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5.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uujiAnderson\Dropbox\Kaissa Consumer\Mosaic\buckets\AGENTICS\BILL\source\"/>
    </mc:Choice>
  </mc:AlternateContent>
  <xr:revisionPtr revIDLastSave="0" documentId="8_{E24008E2-0620-4CDA-A617-91DE475EF665}" xr6:coauthVersionLast="47" xr6:coauthVersionMax="47" xr10:uidLastSave="{00000000-0000-0000-0000-000000000000}"/>
  <bookViews>
    <workbookView xWindow="-120" yWindow="-120" windowWidth="29040" windowHeight="15720" tabRatio="751" firstSheet="1" activeTab="6" xr2:uid="{C3B8FBC3-8F41-4AF1-AA8C-F18CA99860A9}"/>
  </bookViews>
  <sheets>
    <sheet name="__FDSCACHE__" sheetId="4" state="veryHidden" r:id="rId1"/>
    <sheet name="Comparison" sheetId="24" r:id="rId2"/>
    <sheet name="Guide" sheetId="25" r:id="rId3"/>
    <sheet name="IS" sheetId="10" r:id="rId4"/>
    <sheet name="BS" sheetId="11" r:id="rId5"/>
    <sheet name="CF" sheetId="12" r:id="rId6"/>
    <sheet name="Revenue Build" sheetId="28" r:id="rId7"/>
    <sheet name="Metrics" sheetId="35" r:id="rId8"/>
    <sheet name="BM Upload" sheetId="26" r:id="rId9"/>
    <sheet name="Graph" sheetId="31" r:id="rId10"/>
    <sheet name="FI Metrics" sheetId="18" state="hidden" r:id="rId11"/>
    <sheet name="Old Rev Build" sheetId="3" state="hidden" r:id="rId12"/>
    <sheet name="Old IS" sheetId="29" state="hidden" r:id="rId13"/>
    <sheet name="Contribution Margin" sheetId="34" r:id="rId14"/>
    <sheet name="Sheet4" sheetId="19" state="hidden" r:id="rId15"/>
    <sheet name="Valuation" sheetId="32"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__wrn2" localSheetId="7" hidden="1">{#N/A,#N/A,FALSE,"ASSUMPTIONS";#N/A,#N/A,FALSE,"Valuation Summary";"page1",#N/A,FALSE,"PRESENTATION";"page2",#N/A,FALSE,"PRESENTATION";#N/A,#N/A,FALSE,"ORIGINAL_ROLLBACK"}</definedName>
    <definedName name="_____wrn2" localSheetId="6" hidden="1">{#N/A,#N/A,FALSE,"ASSUMPTIONS";#N/A,#N/A,FALSE,"Valuation Summary";"page1",#N/A,FALSE,"PRESENTATION";"page2",#N/A,FALSE,"PRESENTATION";#N/A,#N/A,FALSE,"ORIGINAL_ROLLBACK"}</definedName>
    <definedName name="_____wrn2" hidden="1">{#N/A,#N/A,FALSE,"ASSUMPTIONS";#N/A,#N/A,FALSE,"Valuation Summary";"page1",#N/A,FALSE,"PRESENTATION";"page2",#N/A,FALSE,"PRESENTATION";#N/A,#N/A,FALSE,"ORIGINAL_ROLLBACK"}</definedName>
    <definedName name="_____wrn3" localSheetId="7" hidden="1">{#N/A,#N/A,FALSE,"ASSUMPTIONS";#N/A,#N/A,FALSE,"Valuation Summary";"page1",#N/A,FALSE,"PRESENTATION";"page2",#N/A,FALSE,"PRESENTATION";#N/A,#N/A,FALSE,"ORIGINAL_ROLLBACK"}</definedName>
    <definedName name="_____wrn3" localSheetId="6" hidden="1">{#N/A,#N/A,FALSE,"ASSUMPTIONS";#N/A,#N/A,FALSE,"Valuation Summary";"page1",#N/A,FALSE,"PRESENTATION";"page2",#N/A,FALSE,"PRESENTATION";#N/A,#N/A,FALSE,"ORIGINAL_ROLLBACK"}</definedName>
    <definedName name="_____wrn3" hidden="1">{#N/A,#N/A,FALSE,"ASSUMPTIONS";#N/A,#N/A,FALSE,"Valuation Summary";"page1",#N/A,FALSE,"PRESENTATION";"page2",#N/A,FALSE,"PRESENTATION";#N/A,#N/A,FALSE,"ORIGINAL_ROLLBACK"}</definedName>
    <definedName name="____wr3" localSheetId="7" hidden="1">{#N/A,#N/A,FALSE,"ASSUMPTIONS";#N/A,#N/A,FALSE,"Valuation Summary";"page1",#N/A,FALSE,"PRESENTATION";"page2",#N/A,FALSE,"PRESENTATION";#N/A,#N/A,FALSE,"ORIGINAL_ROLLBACK"}</definedName>
    <definedName name="____wr3" localSheetId="6" hidden="1">{#N/A,#N/A,FALSE,"ASSUMPTIONS";#N/A,#N/A,FALSE,"Valuation Summary";"page1",#N/A,FALSE,"PRESENTATION";"page2",#N/A,FALSE,"PRESENTATION";#N/A,#N/A,FALSE,"ORIGINAL_ROLLBACK"}</definedName>
    <definedName name="____wr3" hidden="1">{#N/A,#N/A,FALSE,"ASSUMPTIONS";#N/A,#N/A,FALSE,"Valuation Summary";"page1",#N/A,FALSE,"PRESENTATION";"page2",#N/A,FALSE,"PRESENTATION";#N/A,#N/A,FALSE,"ORIGINAL_ROLLBACK"}</definedName>
    <definedName name="____wrn2" localSheetId="7" hidden="1">{#N/A,#N/A,FALSE,"ASSUMPTIONS";#N/A,#N/A,FALSE,"Valuation Summary";"page1",#N/A,FALSE,"PRESENTATION";"page2",#N/A,FALSE,"PRESENTATION";#N/A,#N/A,FALSE,"ORIGINAL_ROLLBACK"}</definedName>
    <definedName name="____wrn2" localSheetId="6" hidden="1">{#N/A,#N/A,FALSE,"ASSUMPTIONS";#N/A,#N/A,FALSE,"Valuation Summary";"page1",#N/A,FALSE,"PRESENTATION";"page2",#N/A,FALSE,"PRESENTATION";#N/A,#N/A,FALSE,"ORIGINAL_ROLLBACK"}</definedName>
    <definedName name="____wrn2" hidden="1">{#N/A,#N/A,FALSE,"ASSUMPTIONS";#N/A,#N/A,FALSE,"Valuation Summary";"page1",#N/A,FALSE,"PRESENTATION";"page2",#N/A,FALSE,"PRESENTATION";#N/A,#N/A,FALSE,"ORIGINAL_ROLLBACK"}</definedName>
    <definedName name="____wrn3" localSheetId="7" hidden="1">{#N/A,#N/A,FALSE,"ASSUMPTIONS";#N/A,#N/A,FALSE,"Valuation Summary";"page1",#N/A,FALSE,"PRESENTATION";"page2",#N/A,FALSE,"PRESENTATION";#N/A,#N/A,FALSE,"ORIGINAL_ROLLBACK"}</definedName>
    <definedName name="____wrn3" localSheetId="6" hidden="1">{#N/A,#N/A,FALSE,"ASSUMPTIONS";#N/A,#N/A,FALSE,"Valuation Summary";"page1",#N/A,FALSE,"PRESENTATION";"page2",#N/A,FALSE,"PRESENTATION";#N/A,#N/A,FALSE,"ORIGINAL_ROLLBACK"}</definedName>
    <definedName name="____wrn3" hidden="1">{#N/A,#N/A,FALSE,"ASSUMPTIONS";#N/A,#N/A,FALSE,"Valuation Summary";"page1",#N/A,FALSE,"PRESENTATION";"page2",#N/A,FALSE,"PRESENTATION";#N/A,#N/A,FALSE,"ORIGINAL_ROLLBACK"}</definedName>
    <definedName name="___wrn2" localSheetId="7" hidden="1">{#N/A,#N/A,FALSE,"ASSUMPTIONS";#N/A,#N/A,FALSE,"Valuation Summary";"page1",#N/A,FALSE,"PRESENTATION";"page2",#N/A,FALSE,"PRESENTATION";#N/A,#N/A,FALSE,"ORIGINAL_ROLLBACK"}</definedName>
    <definedName name="___wrn2" localSheetId="6" hidden="1">{#N/A,#N/A,FALSE,"ASSUMPTIONS";#N/A,#N/A,FALSE,"Valuation Summary";"page1",#N/A,FALSE,"PRESENTATION";"page2",#N/A,FALSE,"PRESENTATION";#N/A,#N/A,FALSE,"ORIGINAL_ROLLBACK"}</definedName>
    <definedName name="___wrn2" hidden="1">{#N/A,#N/A,FALSE,"ASSUMPTIONS";#N/A,#N/A,FALSE,"Valuation Summary";"page1",#N/A,FALSE,"PRESENTATION";"page2",#N/A,FALSE,"PRESENTATION";#N/A,#N/A,FALSE,"ORIGINAL_ROLLBACK"}</definedName>
    <definedName name="___wrn3" localSheetId="7" hidden="1">{#N/A,#N/A,FALSE,"ASSUMPTIONS";#N/A,#N/A,FALSE,"Valuation Summary";"page1",#N/A,FALSE,"PRESENTATION";"page2",#N/A,FALSE,"PRESENTATION";#N/A,#N/A,FALSE,"ORIGINAL_ROLLBACK"}</definedName>
    <definedName name="___wrn3" localSheetId="6" hidden="1">{#N/A,#N/A,FALSE,"ASSUMPTIONS";#N/A,#N/A,FALSE,"Valuation Summary";"page1",#N/A,FALSE,"PRESENTATION";"page2",#N/A,FALSE,"PRESENTATION";#N/A,#N/A,FALSE,"ORIGINAL_ROLLBACK"}</definedName>
    <definedName name="___wrn3" hidden="1">{#N/A,#N/A,FALSE,"ASSUMPTIONS";#N/A,#N/A,FALSE,"Valuation Summary";"page1",#N/A,FALSE,"PRESENTATION";"page2",#N/A,FALSE,"PRESENTATION";#N/A,#N/A,FALSE,"ORIGINAL_ROLLBACK"}</definedName>
    <definedName name="__123Graph_A" localSheetId="13" hidden="1">#REF!</definedName>
    <definedName name="__123Graph_A" localSheetId="7" hidden="1">#REF!</definedName>
    <definedName name="__123Graph_A" localSheetId="12" hidden="1">#REF!</definedName>
    <definedName name="__123Graph_A" hidden="1">#REF!</definedName>
    <definedName name="__123Graph_B" localSheetId="13" hidden="1">'[1]TECH AID'!#REF!</definedName>
    <definedName name="__123Graph_B" localSheetId="7" hidden="1">'[1]TECH AID'!#REF!</definedName>
    <definedName name="__123Graph_B" localSheetId="12" hidden="1">'[1]TECH AID'!#REF!</definedName>
    <definedName name="__123Graph_B" hidden="1">'[1]TECH AID'!#REF!</definedName>
    <definedName name="__123Graph_C" localSheetId="13" hidden="1">'[2]Fleet Debits'!#REF!</definedName>
    <definedName name="__123Graph_C" localSheetId="7" hidden="1">'[2]Fleet Debits'!#REF!</definedName>
    <definedName name="__123Graph_C" localSheetId="12" hidden="1">'[2]Fleet Debits'!#REF!</definedName>
    <definedName name="__123Graph_C" hidden="1">'[2]Fleet Debits'!#REF!</definedName>
    <definedName name="__123Graph_D" localSheetId="13" hidden="1">'[2]Fleet Debits'!#REF!</definedName>
    <definedName name="__123Graph_D" localSheetId="7" hidden="1">'[2]Fleet Debits'!#REF!</definedName>
    <definedName name="__123Graph_D" localSheetId="12" hidden="1">'[2]Fleet Debits'!#REF!</definedName>
    <definedName name="__123Graph_D" hidden="1">'[2]Fleet Debits'!#REF!</definedName>
    <definedName name="__123Graph_E" localSheetId="13" hidden="1">'[2]Fleet Debits'!#REF!</definedName>
    <definedName name="__123Graph_E" localSheetId="7" hidden="1">'[2]Fleet Debits'!#REF!</definedName>
    <definedName name="__123Graph_E" localSheetId="12" hidden="1">'[2]Fleet Debits'!#REF!</definedName>
    <definedName name="__123Graph_E" hidden="1">'[2]Fleet Debits'!#REF!</definedName>
    <definedName name="__123Graph_F" localSheetId="13" hidden="1">#REF!</definedName>
    <definedName name="__123Graph_F" localSheetId="7" hidden="1">#REF!</definedName>
    <definedName name="__123Graph_F" localSheetId="12" hidden="1">#REF!</definedName>
    <definedName name="__123Graph_F" localSheetId="6" hidden="1">#REF!</definedName>
    <definedName name="__123Graph_F" hidden="1">#REF!</definedName>
    <definedName name="__123Graph_X" localSheetId="13" hidden="1">#REF!</definedName>
    <definedName name="__123Graph_X" localSheetId="7" hidden="1">#REF!</definedName>
    <definedName name="__123Graph_X" localSheetId="12" hidden="1">#REF!</definedName>
    <definedName name="__123Graph_X" localSheetId="6" hidden="1">#REF!</definedName>
    <definedName name="__123Graph_X" hidden="1">#REF!</definedName>
    <definedName name="__FDS_HYPERLINK_TOGGLE_STATE__" hidden="1">"ON"</definedName>
    <definedName name="__FDS_UNIQUE_RANGE_ID_GENERATOR_COUNTER" hidden="1">1</definedName>
    <definedName name="__FDS_USED_FOR_REUSING_RANGE_IDS_RECYCLE" localSheetId="7" hidden="1">{152,168,338,189,173,195,158,390,7,11,232,378,159,175,261,183,177,129,8,155,265,394,57}</definedName>
    <definedName name="__FDS_USED_FOR_REUSING_RANGE_IDS_RECYCLE" localSheetId="6" hidden="1">{152,168,338,189,173,195,158,390,7,11,232,378,159,175,261,183,177,129,8,155,265,394,57}</definedName>
    <definedName name="__FDS_USED_FOR_REUSING_RANGE_IDS_RECYCLE" hidden="1">{152,168,338,189,173,195,158,390,7,11,232,378,159,175,261,183,177,129,8,155,265,394,57}</definedName>
    <definedName name="__IntlFixup" hidden="1">TRUE</definedName>
    <definedName name="__IntlFixupTable" localSheetId="13" hidden="1">#REF!</definedName>
    <definedName name="__IntlFixupTable" localSheetId="7" hidden="1">#REF!</definedName>
    <definedName name="__IntlFixupTable" localSheetId="12" hidden="1">#REF!</definedName>
    <definedName name="__IntlFixupTable" hidden="1">#REF!</definedName>
    <definedName name="__n324" hidden="1">"c39"</definedName>
    <definedName name="__new1" hidden="1">"c32"</definedName>
    <definedName name="__new2" hidden="1">"c8"</definedName>
    <definedName name="__new3" hidden="1">"c7"</definedName>
    <definedName name="__new5" hidden="1">"c1471"</definedName>
    <definedName name="__wrn2" localSheetId="7" hidden="1">{#N/A,#N/A,FALSE,"ASSUMPTIONS";#N/A,#N/A,FALSE,"Valuation Summary";"page1",#N/A,FALSE,"PRESENTATION";"page2",#N/A,FALSE,"PRESENTATION";#N/A,#N/A,FALSE,"ORIGINAL_ROLLBACK"}</definedName>
    <definedName name="__wrn2" localSheetId="6" hidden="1">{#N/A,#N/A,FALSE,"ASSUMPTIONS";#N/A,#N/A,FALSE,"Valuation Summary";"page1",#N/A,FALSE,"PRESENTATION";"page2",#N/A,FALSE,"PRESENTATION";#N/A,#N/A,FALSE,"ORIGINAL_ROLLBACK"}</definedName>
    <definedName name="__wrn2" hidden="1">{#N/A,#N/A,FALSE,"ASSUMPTIONS";#N/A,#N/A,FALSE,"Valuation Summary";"page1",#N/A,FALSE,"PRESENTATION";"page2",#N/A,FALSE,"PRESENTATION";#N/A,#N/A,FALSE,"ORIGINAL_ROLLBACK"}</definedName>
    <definedName name="__wrn3" localSheetId="7" hidden="1">{#N/A,#N/A,FALSE,"ASSUMPTIONS";#N/A,#N/A,FALSE,"Valuation Summary";"page1",#N/A,FALSE,"PRESENTATION";"page2",#N/A,FALSE,"PRESENTATION";#N/A,#N/A,FALSE,"ORIGINAL_ROLLBACK"}</definedName>
    <definedName name="__wrn3" localSheetId="6"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1__123Graph_A1991_BARGRAPH" localSheetId="13" hidden="1">#REF!</definedName>
    <definedName name="_1__123Graph_A1991_BARGRAPH" localSheetId="7" hidden="1">#REF!</definedName>
    <definedName name="_1__123Graph_A1991_BARGRAPH" localSheetId="12" hidden="1">#REF!</definedName>
    <definedName name="_1__123Graph_A1991_BARGRAPH" hidden="1">#REF!</definedName>
    <definedName name="_1__123Graph_ACHART_10" localSheetId="13" hidden="1">'[3]Variance Sum '!#REF!</definedName>
    <definedName name="_1__123Graph_ACHART_10" localSheetId="7" hidden="1">'[3]Variance Sum '!#REF!</definedName>
    <definedName name="_1__123Graph_ACHART_10" localSheetId="12" hidden="1">'[3]Variance Sum '!#REF!</definedName>
    <definedName name="_1__123Graph_ACHART_10" hidden="1">'[3]Variance Sum '!#REF!</definedName>
    <definedName name="_1__123Graph_ACHART_3" localSheetId="13" hidden="1">#REF!</definedName>
    <definedName name="_1__123Graph_ACHART_3" localSheetId="7" hidden="1">#REF!</definedName>
    <definedName name="_1__123Graph_ACHART_3" localSheetId="12" hidden="1">#REF!</definedName>
    <definedName name="_1__123Graph_ACHART_3" localSheetId="6" hidden="1">#REF!</definedName>
    <definedName name="_1__123Graph_ACHART_3" hidden="1">#REF!</definedName>
    <definedName name="_1__123Graph_ACONTRACT_BY_B_U" localSheetId="13" hidden="1">#REF!</definedName>
    <definedName name="_1__123Graph_ACONTRACT_BY_B_U" localSheetId="7" hidden="1">#REF!</definedName>
    <definedName name="_1__123Graph_ACONTRACT_BY_B_U" localSheetId="12" hidden="1">#REF!</definedName>
    <definedName name="_1__123Graph_ACONTRACT_BY_B_U" localSheetId="6" hidden="1">#REF!</definedName>
    <definedName name="_1__123Graph_ACONTRACT_BY_B_U" hidden="1">#REF!</definedName>
    <definedName name="_10__123Graph_ACHART_2" localSheetId="13" hidden="1">'[3]Variance Sum '!#REF!</definedName>
    <definedName name="_10__123Graph_ACHART_2" localSheetId="7" hidden="1">'[3]Variance Sum '!#REF!</definedName>
    <definedName name="_10__123Graph_ACHART_2" localSheetId="12" hidden="1">'[3]Variance Sum '!#REF!</definedName>
    <definedName name="_10__123Graph_ACHART_2" localSheetId="6" hidden="1">'[3]Variance Sum '!#REF!</definedName>
    <definedName name="_10__123Graph_ACHART_2" hidden="1">'[3]Variance Sum '!#REF!</definedName>
    <definedName name="_10__123Graph_ACHART_9" localSheetId="13" hidden="1">'[3]Variance Sum '!#REF!</definedName>
    <definedName name="_10__123Graph_ACHART_9" localSheetId="7" hidden="1">'[3]Variance Sum '!#REF!</definedName>
    <definedName name="_10__123Graph_ACHART_9" localSheetId="12" hidden="1">'[3]Variance Sum '!#REF!</definedName>
    <definedName name="_10__123Graph_ACHART_9" localSheetId="6" hidden="1">'[3]Variance Sum '!#REF!</definedName>
    <definedName name="_10__123Graph_ACHART_9" hidden="1">'[3]Variance Sum '!#REF!</definedName>
    <definedName name="_10__123Graph_BCONTRACT_BY_B_U" localSheetId="13" hidden="1">#REF!</definedName>
    <definedName name="_10__123Graph_BCONTRACT_BY_B_U" localSheetId="7" hidden="1">#REF!</definedName>
    <definedName name="_10__123Graph_BCONTRACT_BY_B_U" localSheetId="12" hidden="1">#REF!</definedName>
    <definedName name="_10__123Graph_BCONTRACT_BY_B_U" localSheetId="6" hidden="1">#REF!</definedName>
    <definedName name="_10__123Graph_BCONTRACT_BY_B_U" hidden="1">#REF!</definedName>
    <definedName name="_10__123Graph_BSENS_COMPARISON" localSheetId="13" hidden="1">#REF!</definedName>
    <definedName name="_10__123Graph_BSENS_COMPARISON" localSheetId="7" hidden="1">#REF!</definedName>
    <definedName name="_10__123Graph_BSENS_COMPARISON" localSheetId="12" hidden="1">#REF!</definedName>
    <definedName name="_10__123Graph_BSENS_COMPARISON" localSheetId="6" hidden="1">#REF!</definedName>
    <definedName name="_10__123Graph_BSENS_COMPARISON" hidden="1">#REF!</definedName>
    <definedName name="_10__123Graph_BSUPPLIES_BY_B_U" localSheetId="13" hidden="1">#REF!</definedName>
    <definedName name="_10__123Graph_BSUPPLIES_BY_B_U" localSheetId="7" hidden="1">#REF!</definedName>
    <definedName name="_10__123Graph_BSUPPLIES_BY_B_U" localSheetId="12" hidden="1">#REF!</definedName>
    <definedName name="_10__123Graph_BSUPPLIES_BY_B_U" localSheetId="6" hidden="1">#REF!</definedName>
    <definedName name="_10__123Graph_BSUPPLIES_BY_B_U" hidden="1">#REF!</definedName>
    <definedName name="_109__123Graph_ACHART_8" localSheetId="13" hidden="1">'[3]Variance Sum '!#REF!</definedName>
    <definedName name="_109__123Graph_ACHART_8" localSheetId="7" hidden="1">'[3]Variance Sum '!#REF!</definedName>
    <definedName name="_109__123Graph_ACHART_8" localSheetId="12" hidden="1">'[3]Variance Sum '!#REF!</definedName>
    <definedName name="_109__123Graph_ACHART_8" localSheetId="6" hidden="1">'[3]Variance Sum '!#REF!</definedName>
    <definedName name="_109__123Graph_ACHART_8" hidden="1">'[3]Variance Sum '!#REF!</definedName>
    <definedName name="_11__123Graph_BChart_1A" localSheetId="13" hidden="1">'[4]19'!#REF!</definedName>
    <definedName name="_11__123Graph_BChart_1A" localSheetId="7" hidden="1">'[4]19'!#REF!</definedName>
    <definedName name="_11__123Graph_BChart_1A" localSheetId="12" hidden="1">'[4]19'!#REF!</definedName>
    <definedName name="_11__123Graph_BChart_1A" localSheetId="6" hidden="1">'[4]19'!#REF!</definedName>
    <definedName name="_11__123Graph_BChart_1A" hidden="1">'[4]19'!#REF!</definedName>
    <definedName name="_11__123Graph_BQRE_S_BY_CO." localSheetId="13" hidden="1">#REF!</definedName>
    <definedName name="_11__123Graph_BQRE_S_BY_CO." localSheetId="7" hidden="1">#REF!</definedName>
    <definedName name="_11__123Graph_BQRE_S_BY_CO." localSheetId="12" hidden="1">#REF!</definedName>
    <definedName name="_11__123Graph_BQRE_S_BY_CO." localSheetId="6" hidden="1">#REF!</definedName>
    <definedName name="_11__123Graph_BQRE_S_BY_CO." hidden="1">#REF!</definedName>
    <definedName name="_11__123Graph_BSUPPLIES_BY_B_U" localSheetId="13" hidden="1">#REF!</definedName>
    <definedName name="_11__123Graph_BSUPPLIES_BY_B_U" localSheetId="7" hidden="1">#REF!</definedName>
    <definedName name="_11__123Graph_BSUPPLIES_BY_B_U" localSheetId="12" hidden="1">#REF!</definedName>
    <definedName name="_11__123Graph_BSUPPLIES_BY_B_U" localSheetId="6" hidden="1">#REF!</definedName>
    <definedName name="_11__123Graph_BSUPPLIES_BY_B_U" hidden="1">#REF!</definedName>
    <definedName name="_11__123Graph_BTAX_CREDIT" localSheetId="13" hidden="1">#REF!</definedName>
    <definedName name="_11__123Graph_BTAX_CREDIT" localSheetId="7" hidden="1">#REF!</definedName>
    <definedName name="_11__123Graph_BTAX_CREDIT" localSheetId="12" hidden="1">#REF!</definedName>
    <definedName name="_11__123Graph_BTAX_CREDIT" localSheetId="6" hidden="1">#REF!</definedName>
    <definedName name="_11__123Graph_BTAX_CREDIT" hidden="1">#REF!</definedName>
    <definedName name="_112__FDSAUDITLINK__" localSheetId="7"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6"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2__123Graph_ACHART_10" localSheetId="13" hidden="1">'[3]Variance Sum '!#REF!</definedName>
    <definedName name="_12__123Graph_ACHART_10" localSheetId="7" hidden="1">'[3]Variance Sum '!#REF!</definedName>
    <definedName name="_12__123Graph_ACHART_10" localSheetId="12" hidden="1">'[3]Variance Sum '!#REF!</definedName>
    <definedName name="_12__123Graph_ACHART_10" hidden="1">'[3]Variance Sum '!#REF!</definedName>
    <definedName name="_12__123Graph_BSENS_COMPARISON" localSheetId="13" hidden="1">#REF!</definedName>
    <definedName name="_12__123Graph_BSENS_COMPARISON" localSheetId="7" hidden="1">#REF!</definedName>
    <definedName name="_12__123Graph_BSENS_COMPARISON" localSheetId="12" hidden="1">#REF!</definedName>
    <definedName name="_12__123Graph_BSENS_COMPARISON" localSheetId="6" hidden="1">#REF!</definedName>
    <definedName name="_12__123Graph_BSENS_COMPARISON" hidden="1">#REF!</definedName>
    <definedName name="_12__123Graph_BTAX_CREDIT" localSheetId="13" hidden="1">#REF!</definedName>
    <definedName name="_12__123Graph_BTAX_CREDIT" localSheetId="7" hidden="1">#REF!</definedName>
    <definedName name="_12__123Graph_BTAX_CREDIT" localSheetId="12" hidden="1">#REF!</definedName>
    <definedName name="_12__123Graph_BTAX_CREDIT" localSheetId="6" hidden="1">#REF!</definedName>
    <definedName name="_12__123Graph_BTAX_CREDIT" hidden="1">#REF!</definedName>
    <definedName name="_12__123Graph_BWAGES_BY_B_U" localSheetId="13" hidden="1">#REF!</definedName>
    <definedName name="_12__123Graph_BWAGES_BY_B_U" localSheetId="7" hidden="1">#REF!</definedName>
    <definedName name="_12__123Graph_BWAGES_BY_B_U" localSheetId="12" hidden="1">#REF!</definedName>
    <definedName name="_12__123Graph_BWAGES_BY_B_U" localSheetId="6" hidden="1">#REF!</definedName>
    <definedName name="_12__123Graph_BWAGES_BY_B_U" hidden="1">#REF!</definedName>
    <definedName name="_12__123Graph_CChart_1A" localSheetId="13" hidden="1">'[4]19'!#REF!</definedName>
    <definedName name="_12__123Graph_CChart_1A" localSheetId="7" hidden="1">'[4]19'!#REF!</definedName>
    <definedName name="_12__123Graph_CChart_1A" localSheetId="12" hidden="1">'[4]19'!#REF!</definedName>
    <definedName name="_12__123Graph_CChart_1A" localSheetId="6" hidden="1">'[4]19'!#REF!</definedName>
    <definedName name="_12__123Graph_CChart_1A" hidden="1">'[4]19'!#REF!</definedName>
    <definedName name="_120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6"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__123Graph_ACHART_9" localSheetId="13" hidden="1">'[3]Variance Sum '!#REF!</definedName>
    <definedName name="_121__123Graph_ACHART_9" localSheetId="7" hidden="1">'[3]Variance Sum '!#REF!</definedName>
    <definedName name="_121__123Graph_ACHART_9" localSheetId="12" hidden="1">'[3]Variance Sum '!#REF!</definedName>
    <definedName name="_121__123Graph_ACHART_9" hidden="1">'[3]Variance Sum '!#REF!</definedName>
    <definedName name="_13__123Graph_ACHART_3" localSheetId="13" hidden="1">'[3]Variance Sum '!#REF!</definedName>
    <definedName name="_13__123Graph_ACHART_3" localSheetId="7" hidden="1">'[3]Variance Sum '!#REF!</definedName>
    <definedName name="_13__123Graph_ACHART_3" localSheetId="12" hidden="1">'[3]Variance Sum '!#REF!</definedName>
    <definedName name="_13__123Graph_ACHART_3" hidden="1">'[3]Variance Sum '!#REF!</definedName>
    <definedName name="_13__123Graph_BSUPPLIES_BY_B_U" localSheetId="13" hidden="1">#REF!</definedName>
    <definedName name="_13__123Graph_BSUPPLIES_BY_B_U" localSheetId="7" hidden="1">#REF!</definedName>
    <definedName name="_13__123Graph_BSUPPLIES_BY_B_U" localSheetId="12" hidden="1">#REF!</definedName>
    <definedName name="_13__123Graph_BSUPPLIES_BY_B_U" localSheetId="6" hidden="1">#REF!</definedName>
    <definedName name="_13__123Graph_BSUPPLIES_BY_B_U" hidden="1">#REF!</definedName>
    <definedName name="_13__123Graph_BWAGES_BY_B_U" localSheetId="13" hidden="1">#REF!</definedName>
    <definedName name="_13__123Graph_BWAGES_BY_B_U" localSheetId="7" hidden="1">#REF!</definedName>
    <definedName name="_13__123Graph_BWAGES_BY_B_U" localSheetId="12" hidden="1">#REF!</definedName>
    <definedName name="_13__123Graph_BWAGES_BY_B_U" localSheetId="6" hidden="1">#REF!</definedName>
    <definedName name="_13__123Graph_BWAGES_BY_B_U" hidden="1">#REF!</definedName>
    <definedName name="_13__123Graph_CCONTRACT_BY_B_U" localSheetId="13" hidden="1">#REF!</definedName>
    <definedName name="_13__123Graph_CCONTRACT_BY_B_U" localSheetId="7" hidden="1">#REF!</definedName>
    <definedName name="_13__123Graph_CCONTRACT_BY_B_U" localSheetId="12" hidden="1">#REF!</definedName>
    <definedName name="_13__123Graph_CCONTRACT_BY_B_U" localSheetId="6" hidden="1">#REF!</definedName>
    <definedName name="_13__123Graph_CCONTRACT_BY_B_U" hidden="1">#REF!</definedName>
    <definedName name="_13__123Graph_LBL_ACHART_10" localSheetId="13" hidden="1">'[3]Variance Sum '!#REF!</definedName>
    <definedName name="_13__123Graph_LBL_ACHART_10" localSheetId="7" hidden="1">'[3]Variance Sum '!#REF!</definedName>
    <definedName name="_13__123Graph_LBL_ACHART_10" localSheetId="12" hidden="1">'[3]Variance Sum '!#REF!</definedName>
    <definedName name="_13__123Graph_LBL_ACHART_10" localSheetId="6" hidden="1">'[3]Variance Sum '!#REF!</definedName>
    <definedName name="_13__123Graph_LBL_ACHART_10" hidden="1">'[3]Variance Sum '!#REF!</definedName>
    <definedName name="_134__123Graph_BChart_1A" localSheetId="13" hidden="1">'[4]19'!#REF!</definedName>
    <definedName name="_134__123Graph_BChart_1A" localSheetId="7" hidden="1">'[4]19'!#REF!</definedName>
    <definedName name="_134__123Graph_BChart_1A" localSheetId="12" hidden="1">'[4]19'!#REF!</definedName>
    <definedName name="_134__123Graph_BChart_1A" localSheetId="6" hidden="1">'[4]19'!#REF!</definedName>
    <definedName name="_134__123Graph_BChart_1A" hidden="1">'[4]19'!#REF!</definedName>
    <definedName name="_14__123Graph_BTAX_CREDIT" localSheetId="13" hidden="1">#REF!</definedName>
    <definedName name="_14__123Graph_BTAX_CREDIT" localSheetId="7" hidden="1">#REF!</definedName>
    <definedName name="_14__123Graph_BTAX_CREDIT" localSheetId="12" hidden="1">#REF!</definedName>
    <definedName name="_14__123Graph_BTAX_CREDIT" localSheetId="6" hidden="1">#REF!</definedName>
    <definedName name="_14__123Graph_BTAX_CREDIT" hidden="1">#REF!</definedName>
    <definedName name="_14__123Graph_CCONTRACT_BY_B_U" localSheetId="13" hidden="1">#REF!</definedName>
    <definedName name="_14__123Graph_CCONTRACT_BY_B_U" localSheetId="7" hidden="1">#REF!</definedName>
    <definedName name="_14__123Graph_CCONTRACT_BY_B_U" localSheetId="12" hidden="1">#REF!</definedName>
    <definedName name="_14__123Graph_CCONTRACT_BY_B_U" localSheetId="6" hidden="1">#REF!</definedName>
    <definedName name="_14__123Graph_CCONTRACT_BY_B_U" hidden="1">#REF!</definedName>
    <definedName name="_14__123Graph_CQRE_S_BY_CO." localSheetId="13" hidden="1">#REF!</definedName>
    <definedName name="_14__123Graph_CQRE_S_BY_CO." localSheetId="7" hidden="1">#REF!</definedName>
    <definedName name="_14__123Graph_CQRE_S_BY_CO." localSheetId="12" hidden="1">#REF!</definedName>
    <definedName name="_14__123Graph_CQRE_S_BY_CO." localSheetId="6" hidden="1">#REF!</definedName>
    <definedName name="_14__123Graph_CQRE_S_BY_CO." hidden="1">#REF!</definedName>
    <definedName name="_14__123Graph_XCHART_10" localSheetId="13" hidden="1">'[3]Variance Sum '!#REF!</definedName>
    <definedName name="_14__123Graph_XCHART_10" localSheetId="7" hidden="1">'[3]Variance Sum '!#REF!</definedName>
    <definedName name="_14__123Graph_XCHART_10" localSheetId="12" hidden="1">'[3]Variance Sum '!#REF!</definedName>
    <definedName name="_14__123Graph_XCHART_10" localSheetId="6" hidden="1">'[3]Variance Sum '!#REF!</definedName>
    <definedName name="_14__123Graph_XCHART_10" hidden="1">'[3]Variance Sum '!#REF!</definedName>
    <definedName name="_144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6"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7__123Graph_CChart_1A" localSheetId="13" hidden="1">'[4]19'!#REF!</definedName>
    <definedName name="_147__123Graph_CChart_1A" localSheetId="7" hidden="1">'[4]19'!#REF!</definedName>
    <definedName name="_147__123Graph_CChart_1A" localSheetId="12" hidden="1">'[4]19'!#REF!</definedName>
    <definedName name="_147__123Graph_CChart_1A" hidden="1">'[4]19'!#REF!</definedName>
    <definedName name="_15__123Graph_BWAGES_BY_B_U" localSheetId="13" hidden="1">#REF!</definedName>
    <definedName name="_15__123Graph_BWAGES_BY_B_U" localSheetId="7" hidden="1">#REF!</definedName>
    <definedName name="_15__123Graph_BWAGES_BY_B_U" localSheetId="12" hidden="1">#REF!</definedName>
    <definedName name="_15__123Graph_BWAGES_BY_B_U" localSheetId="6" hidden="1">#REF!</definedName>
    <definedName name="_15__123Graph_BWAGES_BY_B_U" hidden="1">#REF!</definedName>
    <definedName name="_15__123Graph_CQRE_S_BY_CO." localSheetId="13" hidden="1">#REF!</definedName>
    <definedName name="_15__123Graph_CQRE_S_BY_CO." localSheetId="7" hidden="1">#REF!</definedName>
    <definedName name="_15__123Graph_CQRE_S_BY_CO." localSheetId="12" hidden="1">#REF!</definedName>
    <definedName name="_15__123Graph_CQRE_S_BY_CO." localSheetId="6" hidden="1">#REF!</definedName>
    <definedName name="_15__123Graph_CQRE_S_BY_CO." hidden="1">#REF!</definedName>
    <definedName name="_15__123Graph_CSENS_COMPARISON" localSheetId="13" hidden="1">#REF!</definedName>
    <definedName name="_15__123Graph_CSENS_COMPARISON" localSheetId="7" hidden="1">#REF!</definedName>
    <definedName name="_15__123Graph_CSENS_COMPARISON" localSheetId="12" hidden="1">#REF!</definedName>
    <definedName name="_15__123Graph_CSENS_COMPARISON" localSheetId="6" hidden="1">#REF!</definedName>
    <definedName name="_15__123Graph_CSENS_COMPARISON" hidden="1">#REF!</definedName>
    <definedName name="_15__123Graph_XChart_1A" localSheetId="13" hidden="1">'[4]19'!#REF!</definedName>
    <definedName name="_15__123Graph_XChart_1A" localSheetId="7" hidden="1">'[4]19'!#REF!</definedName>
    <definedName name="_15__123Graph_XChart_1A" localSheetId="12" hidden="1">'[4]19'!#REF!</definedName>
    <definedName name="_15__123Graph_XChart_1A" localSheetId="6" hidden="1">'[4]19'!#REF!</definedName>
    <definedName name="_15__123Graph_XChart_1A" hidden="1">'[4]19'!#REF!</definedName>
    <definedName name="_159__123Graph_LBL_ACHART_10" localSheetId="13" hidden="1">'[3]Variance Sum '!#REF!</definedName>
    <definedName name="_159__123Graph_LBL_ACHART_10" localSheetId="7" hidden="1">'[3]Variance Sum '!#REF!</definedName>
    <definedName name="_159__123Graph_LBL_ACHART_10" localSheetId="12" hidden="1">'[3]Variance Sum '!#REF!</definedName>
    <definedName name="_159__123Graph_LBL_ACHART_10" localSheetId="6" hidden="1">'[3]Variance Sum '!#REF!</definedName>
    <definedName name="_159__123Graph_LBL_ACHART_10" hidden="1">'[3]Variance Sum '!#REF!</definedName>
    <definedName name="_16__123Graph_ACHART_4" localSheetId="13" hidden="1">'[3]Variance Sum '!#REF!</definedName>
    <definedName name="_16__123Graph_ACHART_4" localSheetId="7" hidden="1">'[3]Variance Sum '!#REF!</definedName>
    <definedName name="_16__123Graph_ACHART_4" localSheetId="12" hidden="1">'[3]Variance Sum '!#REF!</definedName>
    <definedName name="_16__123Graph_ACHART_4" localSheetId="6" hidden="1">'[3]Variance Sum '!#REF!</definedName>
    <definedName name="_16__123Graph_ACHART_4" hidden="1">'[3]Variance Sum '!#REF!</definedName>
    <definedName name="_16__123Graph_CCONTRACT_BY_B_U" localSheetId="13" hidden="1">#REF!</definedName>
    <definedName name="_16__123Graph_CCONTRACT_BY_B_U" localSheetId="7" hidden="1">#REF!</definedName>
    <definedName name="_16__123Graph_CCONTRACT_BY_B_U" localSheetId="12" hidden="1">#REF!</definedName>
    <definedName name="_16__123Graph_CCONTRACT_BY_B_U" localSheetId="6" hidden="1">#REF!</definedName>
    <definedName name="_16__123Graph_CCONTRACT_BY_B_U" hidden="1">#REF!</definedName>
    <definedName name="_16__123Graph_CSENS_COMPARISON" localSheetId="13" hidden="1">#REF!</definedName>
    <definedName name="_16__123Graph_CSENS_COMPARISON" localSheetId="7" hidden="1">#REF!</definedName>
    <definedName name="_16__123Graph_CSENS_COMPARISON" localSheetId="12" hidden="1">#REF!</definedName>
    <definedName name="_16__123Graph_CSENS_COMPARISON" localSheetId="6" hidden="1">#REF!</definedName>
    <definedName name="_16__123Graph_CSENS_COMPARISON" hidden="1">#REF!</definedName>
    <definedName name="_16__123Graph_CSUPPLIES_BY_B_U" localSheetId="13" hidden="1">#REF!</definedName>
    <definedName name="_16__123Graph_CSUPPLIES_BY_B_U" localSheetId="7" hidden="1">#REF!</definedName>
    <definedName name="_16__123Graph_CSUPPLIES_BY_B_U" localSheetId="12" hidden="1">#REF!</definedName>
    <definedName name="_16__123Graph_CSUPPLIES_BY_B_U" localSheetId="6" hidden="1">#REF!</definedName>
    <definedName name="_16__123Graph_CSUPPLIES_BY_B_U" hidden="1">#REF!</definedName>
    <definedName name="_16__123Graph_XCHART_2" localSheetId="13" hidden="1">'[3]Variance Sum '!#REF!</definedName>
    <definedName name="_16__123Graph_XCHART_2" localSheetId="7" hidden="1">'[3]Variance Sum '!#REF!</definedName>
    <definedName name="_16__123Graph_XCHART_2" localSheetId="12" hidden="1">'[3]Variance Sum '!#REF!</definedName>
    <definedName name="_16__123Graph_XCHART_2" localSheetId="6" hidden="1">'[3]Variance Sum '!#REF!</definedName>
    <definedName name="_16__123Graph_XCHART_2" hidden="1">'[3]Variance Sum '!#REF!</definedName>
    <definedName name="_160__FDSAUDITLINK__" localSheetId="7"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6"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7__123Graph_CQRE_S_BY_CO." localSheetId="13" hidden="1">#REF!</definedName>
    <definedName name="_17__123Graph_CQRE_S_BY_CO." localSheetId="7" hidden="1">#REF!</definedName>
    <definedName name="_17__123Graph_CQRE_S_BY_CO." localSheetId="12" hidden="1">#REF!</definedName>
    <definedName name="_17__123Graph_CQRE_S_BY_CO." hidden="1">#REF!</definedName>
    <definedName name="_17__123Graph_CSUPPLIES_BY_B_U" localSheetId="13" hidden="1">#REF!</definedName>
    <definedName name="_17__123Graph_CSUPPLIES_BY_B_U" localSheetId="7" hidden="1">#REF!</definedName>
    <definedName name="_17__123Graph_CSUPPLIES_BY_B_U" localSheetId="12" hidden="1">#REF!</definedName>
    <definedName name="_17__123Graph_CSUPPLIES_BY_B_U" hidden="1">#REF!</definedName>
    <definedName name="_17__123Graph_CWAGES_BY_B_U" localSheetId="13" hidden="1">#REF!</definedName>
    <definedName name="_17__123Graph_CWAGES_BY_B_U" localSheetId="7" hidden="1">#REF!</definedName>
    <definedName name="_17__123Graph_CWAGES_BY_B_U" localSheetId="12" hidden="1">#REF!</definedName>
    <definedName name="_17__123Graph_CWAGES_BY_B_U" hidden="1">#REF!</definedName>
    <definedName name="_17__123Graph_XCHART_3" localSheetId="13" hidden="1">'[3]Variance Sum '!#REF!</definedName>
    <definedName name="_17__123Graph_XCHART_3" localSheetId="7" hidden="1">'[3]Variance Sum '!#REF!</definedName>
    <definedName name="_17__123Graph_XCHART_3" localSheetId="12" hidden="1">'[3]Variance Sum '!#REF!</definedName>
    <definedName name="_17__123Graph_XCHART_3" hidden="1">'[3]Variance Sum '!#REF!</definedName>
    <definedName name="_171__123Graph_XCHART_10" localSheetId="13" hidden="1">'[3]Variance Sum '!#REF!</definedName>
    <definedName name="_171__123Graph_XCHART_10" localSheetId="7" hidden="1">'[3]Variance Sum '!#REF!</definedName>
    <definedName name="_171__123Graph_XCHART_10" localSheetId="12" hidden="1">'[3]Variance Sum '!#REF!</definedName>
    <definedName name="_171__123Graph_XCHART_10" hidden="1">'[3]Variance Sum '!#REF!</definedName>
    <definedName name="_18__123Graph_CSENS_COMPARISON" localSheetId="13" hidden="1">#REF!</definedName>
    <definedName name="_18__123Graph_CSENS_COMPARISON" localSheetId="7" hidden="1">#REF!</definedName>
    <definedName name="_18__123Graph_CSENS_COMPARISON" localSheetId="12" hidden="1">#REF!</definedName>
    <definedName name="_18__123Graph_CSENS_COMPARISON" localSheetId="6" hidden="1">#REF!</definedName>
    <definedName name="_18__123Graph_CSENS_COMPARISON" hidden="1">#REF!</definedName>
    <definedName name="_18__123Graph_CWAGES_BY_B_U" localSheetId="13" hidden="1">#REF!</definedName>
    <definedName name="_18__123Graph_CWAGES_BY_B_U" localSheetId="7" hidden="1">#REF!</definedName>
    <definedName name="_18__123Graph_CWAGES_BY_B_U" localSheetId="12" hidden="1">#REF!</definedName>
    <definedName name="_18__123Graph_CWAGES_BY_B_U" localSheetId="6" hidden="1">#REF!</definedName>
    <definedName name="_18__123Graph_CWAGES_BY_B_U" hidden="1">#REF!</definedName>
    <definedName name="_18__123Graph_DCONTRACT_BY_B_U" localSheetId="13" hidden="1">#REF!</definedName>
    <definedName name="_18__123Graph_DCONTRACT_BY_B_U" localSheetId="7" hidden="1">#REF!</definedName>
    <definedName name="_18__123Graph_DCONTRACT_BY_B_U" localSheetId="12" hidden="1">#REF!</definedName>
    <definedName name="_18__123Graph_DCONTRACT_BY_B_U" localSheetId="6" hidden="1">#REF!</definedName>
    <definedName name="_18__123Graph_DCONTRACT_BY_B_U" hidden="1">#REF!</definedName>
    <definedName name="_18__123Graph_XCHART_4" localSheetId="13" hidden="1">'[3]Variance Sum '!#REF!</definedName>
    <definedName name="_18__123Graph_XCHART_4" localSheetId="7" hidden="1">'[3]Variance Sum '!#REF!</definedName>
    <definedName name="_18__123Graph_XCHART_4" localSheetId="12" hidden="1">'[3]Variance Sum '!#REF!</definedName>
    <definedName name="_18__123Graph_XCHART_4" localSheetId="6" hidden="1">'[3]Variance Sum '!#REF!</definedName>
    <definedName name="_18__123Graph_XCHART_4" hidden="1">'[3]Variance Sum '!#REF!</definedName>
    <definedName name="_184__123Graph_XChart_1A" localSheetId="13" hidden="1">'[4]19'!#REF!</definedName>
    <definedName name="_184__123Graph_XChart_1A" localSheetId="7" hidden="1">'[4]19'!#REF!</definedName>
    <definedName name="_184__123Graph_XChart_1A" localSheetId="12" hidden="1">'[4]19'!#REF!</definedName>
    <definedName name="_184__123Graph_XChart_1A" localSheetId="6" hidden="1">'[4]19'!#REF!</definedName>
    <definedName name="_184__123Graph_XChart_1A" hidden="1">'[4]19'!#REF!</definedName>
    <definedName name="_19__123Graph_ACHART_5" localSheetId="13" hidden="1">'[3]Variance Sum '!#REF!</definedName>
    <definedName name="_19__123Graph_ACHART_5" localSheetId="7" hidden="1">'[3]Variance Sum '!#REF!</definedName>
    <definedName name="_19__123Graph_ACHART_5" localSheetId="12" hidden="1">'[3]Variance Sum '!#REF!</definedName>
    <definedName name="_19__123Graph_ACHART_5" localSheetId="6" hidden="1">'[3]Variance Sum '!#REF!</definedName>
    <definedName name="_19__123Graph_ACHART_5" hidden="1">'[3]Variance Sum '!#REF!</definedName>
    <definedName name="_19__123Graph_CSUPPLIES_BY_B_U" localSheetId="13" hidden="1">#REF!</definedName>
    <definedName name="_19__123Graph_CSUPPLIES_BY_B_U" localSheetId="7" hidden="1">#REF!</definedName>
    <definedName name="_19__123Graph_CSUPPLIES_BY_B_U" localSheetId="12" hidden="1">#REF!</definedName>
    <definedName name="_19__123Graph_CSUPPLIES_BY_B_U" localSheetId="6" hidden="1">#REF!</definedName>
    <definedName name="_19__123Graph_CSUPPLIES_BY_B_U" hidden="1">#REF!</definedName>
    <definedName name="_19__123Graph_DCONTRACT_BY_B_U" localSheetId="13" hidden="1">#REF!</definedName>
    <definedName name="_19__123Graph_DCONTRACT_BY_B_U" localSheetId="7" hidden="1">#REF!</definedName>
    <definedName name="_19__123Graph_DCONTRACT_BY_B_U" localSheetId="12" hidden="1">#REF!</definedName>
    <definedName name="_19__123Graph_DCONTRACT_BY_B_U" localSheetId="6" hidden="1">#REF!</definedName>
    <definedName name="_19__123Graph_DCONTRACT_BY_B_U" hidden="1">#REF!</definedName>
    <definedName name="_19__123Graph_DQRE_S_BY_CO." localSheetId="13" hidden="1">#REF!</definedName>
    <definedName name="_19__123Graph_DQRE_S_BY_CO." localSheetId="7" hidden="1">#REF!</definedName>
    <definedName name="_19__123Graph_DQRE_S_BY_CO." localSheetId="12" hidden="1">#REF!</definedName>
    <definedName name="_19__123Graph_DQRE_S_BY_CO." localSheetId="6" hidden="1">#REF!</definedName>
    <definedName name="_19__123Graph_DQRE_S_BY_CO." hidden="1">#REF!</definedName>
    <definedName name="_19__123Graph_XCHART_5" localSheetId="13" hidden="1">'[3]Variance Sum '!#REF!</definedName>
    <definedName name="_19__123Graph_XCHART_5" localSheetId="7" hidden="1">'[3]Variance Sum '!#REF!</definedName>
    <definedName name="_19__123Graph_XCHART_5" localSheetId="12" hidden="1">'[3]Variance Sum '!#REF!</definedName>
    <definedName name="_19__123Graph_XCHART_5" localSheetId="6" hidden="1">'[3]Variance Sum '!#REF!</definedName>
    <definedName name="_19__123Graph_XCHART_5" hidden="1">'[3]Variance Sum '!#REF!</definedName>
    <definedName name="_196__123Graph_XCHART_2" localSheetId="13" hidden="1">'[3]Variance Sum '!#REF!</definedName>
    <definedName name="_196__123Graph_XCHART_2" localSheetId="7" hidden="1">'[3]Variance Sum '!#REF!</definedName>
    <definedName name="_196__123Graph_XCHART_2" localSheetId="12" hidden="1">'[3]Variance Sum '!#REF!</definedName>
    <definedName name="_196__123Graph_XCHART_2" localSheetId="6" hidden="1">'[3]Variance Sum '!#REF!</definedName>
    <definedName name="_196__123Graph_XCHART_2" hidden="1">'[3]Variance Sum '!#REF!</definedName>
    <definedName name="_2__123Graph_A1992_BARGRAPH" localSheetId="13" hidden="1">#REF!</definedName>
    <definedName name="_2__123Graph_A1992_BARGRAPH" localSheetId="7" hidden="1">#REF!</definedName>
    <definedName name="_2__123Graph_A1992_BARGRAPH" localSheetId="12" hidden="1">#REF!</definedName>
    <definedName name="_2__123Graph_A1992_BARGRAPH" localSheetId="6" hidden="1">#REF!</definedName>
    <definedName name="_2__123Graph_A1992_BARGRAPH" hidden="1">#REF!</definedName>
    <definedName name="_2__123Graph_AChart_1A" localSheetId="13" hidden="1">'[4]19'!#REF!</definedName>
    <definedName name="_2__123Graph_AChart_1A" localSheetId="7" hidden="1">'[4]19'!#REF!</definedName>
    <definedName name="_2__123Graph_AChart_1A" localSheetId="12" hidden="1">'[4]19'!#REF!</definedName>
    <definedName name="_2__123Graph_AChart_1A" localSheetId="6" hidden="1">'[4]19'!#REF!</definedName>
    <definedName name="_2__123Graph_AChart_1A" hidden="1">'[4]19'!#REF!</definedName>
    <definedName name="_2__123Graph_ACHART_3" localSheetId="13" hidden="1">#REF!</definedName>
    <definedName name="_2__123Graph_ACHART_3" localSheetId="7" hidden="1">#REF!</definedName>
    <definedName name="_2__123Graph_ACHART_3" localSheetId="12" hidden="1">#REF!</definedName>
    <definedName name="_2__123Graph_ACHART_3" localSheetId="6" hidden="1">#REF!</definedName>
    <definedName name="_2__123Graph_ACHART_3" hidden="1">#REF!</definedName>
    <definedName name="_2__123Graph_ACONTRACT_BY_B_U" localSheetId="13" hidden="1">#REF!</definedName>
    <definedName name="_2__123Graph_ACONTRACT_BY_B_U" localSheetId="7" hidden="1">#REF!</definedName>
    <definedName name="_2__123Graph_ACONTRACT_BY_B_U" localSheetId="12" hidden="1">#REF!</definedName>
    <definedName name="_2__123Graph_ACONTRACT_BY_B_U" localSheetId="6" hidden="1">#REF!</definedName>
    <definedName name="_2__123Graph_ACONTRACT_BY_B_U" hidden="1">#REF!</definedName>
    <definedName name="_2__123Graph_AQRE_S_BY_CO." localSheetId="13" hidden="1">#REF!</definedName>
    <definedName name="_2__123Graph_AQRE_S_BY_CO." localSheetId="7" hidden="1">#REF!</definedName>
    <definedName name="_2__123Graph_AQRE_S_BY_CO." localSheetId="12" hidden="1">#REF!</definedName>
    <definedName name="_2__123Graph_AQRE_S_BY_CO." localSheetId="6" hidden="1">#REF!</definedName>
    <definedName name="_2__123Graph_AQRE_S_BY_CO." hidden="1">#REF!</definedName>
    <definedName name="_2__123Graph_BCHART_3" localSheetId="13" hidden="1">#REF!</definedName>
    <definedName name="_2__123Graph_BCHART_3" localSheetId="7" hidden="1">#REF!</definedName>
    <definedName name="_2__123Graph_BCHART_3" localSheetId="12" hidden="1">#REF!</definedName>
    <definedName name="_2__123Graph_BCHART_3" hidden="1">#REF!</definedName>
    <definedName name="_20__123Graph_CWAGES_BY_B_U" localSheetId="13" hidden="1">#REF!</definedName>
    <definedName name="_20__123Graph_CWAGES_BY_B_U" localSheetId="7" hidden="1">#REF!</definedName>
    <definedName name="_20__123Graph_CWAGES_BY_B_U" localSheetId="12" hidden="1">#REF!</definedName>
    <definedName name="_20__123Graph_CWAGES_BY_B_U" hidden="1">#REF!</definedName>
    <definedName name="_20__123Graph_DQRE_S_BY_CO." localSheetId="13" hidden="1">#REF!</definedName>
    <definedName name="_20__123Graph_DQRE_S_BY_CO." localSheetId="7" hidden="1">#REF!</definedName>
    <definedName name="_20__123Graph_DQRE_S_BY_CO." localSheetId="12" hidden="1">#REF!</definedName>
    <definedName name="_20__123Graph_DQRE_S_BY_CO." hidden="1">#REF!</definedName>
    <definedName name="_20__123Graph_DSUPPLIES_BY_B_U" localSheetId="13" hidden="1">#REF!</definedName>
    <definedName name="_20__123Graph_DSUPPLIES_BY_B_U" localSheetId="7" hidden="1">#REF!</definedName>
    <definedName name="_20__123Graph_DSUPPLIES_BY_B_U" localSheetId="12" hidden="1">#REF!</definedName>
    <definedName name="_20__123Graph_DSUPPLIES_BY_B_U" hidden="1">#REF!</definedName>
    <definedName name="_20__123Graph_XCHART_6" localSheetId="13" hidden="1">'[3]Variance Sum '!#REF!</definedName>
    <definedName name="_20__123Graph_XCHART_6" localSheetId="7" hidden="1">'[3]Variance Sum '!#REF!</definedName>
    <definedName name="_20__123Graph_XCHART_6" localSheetId="12" hidden="1">'[3]Variance Sum '!#REF!</definedName>
    <definedName name="_20__123Graph_XCHART_6" hidden="1">'[3]Variance Sum '!#REF!</definedName>
    <definedName name="_206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6"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8__123Graph_XCHART_3" localSheetId="13" hidden="1">'[3]Variance Sum '!#REF!</definedName>
    <definedName name="_208__123Graph_XCHART_3" localSheetId="7" hidden="1">'[3]Variance Sum '!#REF!</definedName>
    <definedName name="_208__123Graph_XCHART_3" localSheetId="12" hidden="1">'[3]Variance Sum '!#REF!</definedName>
    <definedName name="_208__123Graph_XCHART_3" hidden="1">'[3]Variance Sum '!#REF!</definedName>
    <definedName name="_21__123Graph_DCONTRACT_BY_B_U" localSheetId="13" hidden="1">#REF!</definedName>
    <definedName name="_21__123Graph_DCONTRACT_BY_B_U" localSheetId="7" hidden="1">#REF!</definedName>
    <definedName name="_21__123Graph_DCONTRACT_BY_B_U" localSheetId="12" hidden="1">#REF!</definedName>
    <definedName name="_21__123Graph_DCONTRACT_BY_B_U" localSheetId="6" hidden="1">#REF!</definedName>
    <definedName name="_21__123Graph_DCONTRACT_BY_B_U" hidden="1">#REF!</definedName>
    <definedName name="_21__123Graph_DSUPPLIES_BY_B_U" localSheetId="13" hidden="1">#REF!</definedName>
    <definedName name="_21__123Graph_DSUPPLIES_BY_B_U" localSheetId="7" hidden="1">#REF!</definedName>
    <definedName name="_21__123Graph_DSUPPLIES_BY_B_U" localSheetId="12" hidden="1">#REF!</definedName>
    <definedName name="_21__123Graph_DSUPPLIES_BY_B_U" localSheetId="6" hidden="1">#REF!</definedName>
    <definedName name="_21__123Graph_DSUPPLIES_BY_B_U" hidden="1">#REF!</definedName>
    <definedName name="_21__123Graph_DWAGES_BY_B_U" localSheetId="13" hidden="1">#REF!</definedName>
    <definedName name="_21__123Graph_DWAGES_BY_B_U" localSheetId="7" hidden="1">#REF!</definedName>
    <definedName name="_21__123Graph_DWAGES_BY_B_U" localSheetId="12" hidden="1">#REF!</definedName>
    <definedName name="_21__123Graph_DWAGES_BY_B_U" localSheetId="6" hidden="1">#REF!</definedName>
    <definedName name="_21__123Graph_DWAGES_BY_B_U" hidden="1">#REF!</definedName>
    <definedName name="_21__123Graph_XCHART_7" localSheetId="13" hidden="1">'[3]Variance Sum '!#REF!</definedName>
    <definedName name="_21__123Graph_XCHART_7" localSheetId="7" hidden="1">'[3]Variance Sum '!#REF!</definedName>
    <definedName name="_21__123Graph_XCHART_7" localSheetId="12" hidden="1">'[3]Variance Sum '!#REF!</definedName>
    <definedName name="_21__123Graph_XCHART_7" localSheetId="6" hidden="1">'[3]Variance Sum '!#REF!</definedName>
    <definedName name="_21__123Graph_XCHART_7" hidden="1">'[3]Variance Sum '!#REF!</definedName>
    <definedName name="_22__123Graph_ACHART_6" localSheetId="13" hidden="1">'[3]Variance Sum '!#REF!</definedName>
    <definedName name="_22__123Graph_ACHART_6" localSheetId="7" hidden="1">'[3]Variance Sum '!#REF!</definedName>
    <definedName name="_22__123Graph_ACHART_6" localSheetId="12" hidden="1">'[3]Variance Sum '!#REF!</definedName>
    <definedName name="_22__123Graph_ACHART_6" localSheetId="6" hidden="1">'[3]Variance Sum '!#REF!</definedName>
    <definedName name="_22__123Graph_ACHART_6" hidden="1">'[3]Variance Sum '!#REF!</definedName>
    <definedName name="_22__123Graph_DQRE_S_BY_CO." localSheetId="13" hidden="1">#REF!</definedName>
    <definedName name="_22__123Graph_DQRE_S_BY_CO." localSheetId="7" hidden="1">#REF!</definedName>
    <definedName name="_22__123Graph_DQRE_S_BY_CO." localSheetId="12" hidden="1">#REF!</definedName>
    <definedName name="_22__123Graph_DQRE_S_BY_CO." localSheetId="6" hidden="1">#REF!</definedName>
    <definedName name="_22__123Graph_DQRE_S_BY_CO." hidden="1">#REF!</definedName>
    <definedName name="_22__123Graph_DWAGES_BY_B_U" localSheetId="13" hidden="1">#REF!</definedName>
    <definedName name="_22__123Graph_DWAGES_BY_B_U" localSheetId="7" hidden="1">#REF!</definedName>
    <definedName name="_22__123Graph_DWAGES_BY_B_U" localSheetId="12" hidden="1">#REF!</definedName>
    <definedName name="_22__123Graph_DWAGES_BY_B_U" localSheetId="6" hidden="1">#REF!</definedName>
    <definedName name="_22__123Graph_DWAGES_BY_B_U" hidden="1">#REF!</definedName>
    <definedName name="_22__123Graph_ECONTRACT_BY_B_U" localSheetId="13" hidden="1">#REF!</definedName>
    <definedName name="_22__123Graph_ECONTRACT_BY_B_U" localSheetId="7" hidden="1">#REF!</definedName>
    <definedName name="_22__123Graph_ECONTRACT_BY_B_U" localSheetId="12" hidden="1">#REF!</definedName>
    <definedName name="_22__123Graph_ECONTRACT_BY_B_U" localSheetId="6" hidden="1">#REF!</definedName>
    <definedName name="_22__123Graph_ECONTRACT_BY_B_U" hidden="1">#REF!</definedName>
    <definedName name="_22__123Graph_XCHART_8" localSheetId="13" hidden="1">'[3]Variance Sum '!#REF!</definedName>
    <definedName name="_22__123Graph_XCHART_8" localSheetId="7" hidden="1">'[3]Variance Sum '!#REF!</definedName>
    <definedName name="_22__123Graph_XCHART_8" localSheetId="12" hidden="1">'[3]Variance Sum '!#REF!</definedName>
    <definedName name="_22__123Graph_XCHART_8" localSheetId="6" hidden="1">'[3]Variance Sum '!#REF!</definedName>
    <definedName name="_22__123Graph_XCHART_8" hidden="1">'[3]Variance Sum '!#REF!</definedName>
    <definedName name="_220__123Graph_XCHART_4" localSheetId="13" hidden="1">'[3]Variance Sum '!#REF!</definedName>
    <definedName name="_220__123Graph_XCHART_4" localSheetId="7" hidden="1">'[3]Variance Sum '!#REF!</definedName>
    <definedName name="_220__123Graph_XCHART_4" localSheetId="12" hidden="1">'[3]Variance Sum '!#REF!</definedName>
    <definedName name="_220__123Graph_XCHART_4" localSheetId="6" hidden="1">'[3]Variance Sum '!#REF!</definedName>
    <definedName name="_220__123Graph_XCHART_4" hidden="1">'[3]Variance Sum '!#REF!</definedName>
    <definedName name="_23__123Graph_DSUPPLIES_BY_B_U" localSheetId="13" hidden="1">#REF!</definedName>
    <definedName name="_23__123Graph_DSUPPLIES_BY_B_U" localSheetId="7" hidden="1">#REF!</definedName>
    <definedName name="_23__123Graph_DSUPPLIES_BY_B_U" localSheetId="12" hidden="1">#REF!</definedName>
    <definedName name="_23__123Graph_DSUPPLIES_BY_B_U" localSheetId="6" hidden="1">#REF!</definedName>
    <definedName name="_23__123Graph_DSUPPLIES_BY_B_U" hidden="1">#REF!</definedName>
    <definedName name="_23__123Graph_ECONTRACT_BY_B_U" localSheetId="13" hidden="1">#REF!</definedName>
    <definedName name="_23__123Graph_ECONTRACT_BY_B_U" localSheetId="7" hidden="1">#REF!</definedName>
    <definedName name="_23__123Graph_ECONTRACT_BY_B_U" localSheetId="12" hidden="1">#REF!</definedName>
    <definedName name="_23__123Graph_ECONTRACT_BY_B_U" localSheetId="6" hidden="1">#REF!</definedName>
    <definedName name="_23__123Graph_ECONTRACT_BY_B_U" hidden="1">#REF!</definedName>
    <definedName name="_23__123Graph_EQRE_S_BY_CO." localSheetId="13" hidden="1">#REF!</definedName>
    <definedName name="_23__123Graph_EQRE_S_BY_CO." localSheetId="7" hidden="1">#REF!</definedName>
    <definedName name="_23__123Graph_EQRE_S_BY_CO." localSheetId="12" hidden="1">#REF!</definedName>
    <definedName name="_23__123Graph_EQRE_S_BY_CO." localSheetId="6" hidden="1">#REF!</definedName>
    <definedName name="_23__123Graph_EQRE_S_BY_CO." hidden="1">#REF!</definedName>
    <definedName name="_23__123Graph_XCHART_9" localSheetId="13" hidden="1">'[3]Variance Sum '!#REF!</definedName>
    <definedName name="_23__123Graph_XCHART_9" localSheetId="7" hidden="1">'[3]Variance Sum '!#REF!</definedName>
    <definedName name="_23__123Graph_XCHART_9" localSheetId="12" hidden="1">'[3]Variance Sum '!#REF!</definedName>
    <definedName name="_23__123Graph_XCHART_9" localSheetId="6" hidden="1">'[3]Variance Sum '!#REF!</definedName>
    <definedName name="_23__123Graph_XCHART_9" hidden="1">'[3]Variance Sum '!#REF!</definedName>
    <definedName name="_232__123Graph_XCHART_5" localSheetId="13" hidden="1">'[3]Variance Sum '!#REF!</definedName>
    <definedName name="_232__123Graph_XCHART_5" localSheetId="7" hidden="1">'[3]Variance Sum '!#REF!</definedName>
    <definedName name="_232__123Graph_XCHART_5" localSheetId="12" hidden="1">'[3]Variance Sum '!#REF!</definedName>
    <definedName name="_232__123Graph_XCHART_5" localSheetId="6" hidden="1">'[3]Variance Sum '!#REF!</definedName>
    <definedName name="_232__123Graph_XCHART_5" hidden="1">'[3]Variance Sum '!#REF!</definedName>
    <definedName name="_234_x" localSheetId="13" hidden="1">'[5]OPERATING EXPS.'!#REF!</definedName>
    <definedName name="_234_x" localSheetId="7" hidden="1">'[5]OPERATING EXPS.'!#REF!</definedName>
    <definedName name="_234_x" localSheetId="12" hidden="1">'[5]OPERATING EXPS.'!#REF!</definedName>
    <definedName name="_234_x" localSheetId="6" hidden="1">'[5]OPERATING EXPS.'!#REF!</definedName>
    <definedName name="_234_x" hidden="1">'[5]OPERATING EXPS.'!#REF!</definedName>
    <definedName name="_24__123Graph_DWAGES_BY_B_U" localSheetId="13" hidden="1">#REF!</definedName>
    <definedName name="_24__123Graph_DWAGES_BY_B_U" localSheetId="7" hidden="1">#REF!</definedName>
    <definedName name="_24__123Graph_DWAGES_BY_B_U" localSheetId="12" hidden="1">#REF!</definedName>
    <definedName name="_24__123Graph_DWAGES_BY_B_U" localSheetId="6" hidden="1">#REF!</definedName>
    <definedName name="_24__123Graph_DWAGES_BY_B_U" hidden="1">#REF!</definedName>
    <definedName name="_24__123Graph_EQRE_S_BY_CO." localSheetId="13" hidden="1">#REF!</definedName>
    <definedName name="_24__123Graph_EQRE_S_BY_CO." localSheetId="7" hidden="1">#REF!</definedName>
    <definedName name="_24__123Graph_EQRE_S_BY_CO." localSheetId="12" hidden="1">#REF!</definedName>
    <definedName name="_24__123Graph_EQRE_S_BY_CO." localSheetId="6" hidden="1">#REF!</definedName>
    <definedName name="_24__123Graph_EQRE_S_BY_CO." hidden="1">#REF!</definedName>
    <definedName name="_24__123Graph_ESUPPLIES_BY_B_U" localSheetId="13" hidden="1">#REF!</definedName>
    <definedName name="_24__123Graph_ESUPPLIES_BY_B_U" localSheetId="7" hidden="1">#REF!</definedName>
    <definedName name="_24__123Graph_ESUPPLIES_BY_B_U" localSheetId="12" hidden="1">#REF!</definedName>
    <definedName name="_24__123Graph_ESUPPLIES_BY_B_U" localSheetId="6" hidden="1">#REF!</definedName>
    <definedName name="_24__123Graph_ESUPPLIES_BY_B_U" hidden="1">#REF!</definedName>
    <definedName name="_244__123Graph_XCHART_6" localSheetId="13" hidden="1">'[3]Variance Sum '!#REF!</definedName>
    <definedName name="_244__123Graph_XCHART_6" localSheetId="7" hidden="1">'[3]Variance Sum '!#REF!</definedName>
    <definedName name="_244__123Graph_XCHART_6" localSheetId="12" hidden="1">'[3]Variance Sum '!#REF!</definedName>
    <definedName name="_244__123Graph_XCHART_6" localSheetId="6" hidden="1">'[3]Variance Sum '!#REF!</definedName>
    <definedName name="_244__123Graph_XCHART_6" hidden="1">'[3]Variance Sum '!#REF!</definedName>
    <definedName name="_25__123Graph_AChart_1A" localSheetId="13" hidden="1">'[4]19'!#REF!</definedName>
    <definedName name="_25__123Graph_AChart_1A" localSheetId="7" hidden="1">'[4]19'!#REF!</definedName>
    <definedName name="_25__123Graph_AChart_1A" localSheetId="12" hidden="1">'[4]19'!#REF!</definedName>
    <definedName name="_25__123Graph_AChart_1A" localSheetId="6" hidden="1">'[4]19'!#REF!</definedName>
    <definedName name="_25__123Graph_AChart_1A" hidden="1">'[4]19'!#REF!</definedName>
    <definedName name="_25__123Graph_ACHART_7" localSheetId="13" hidden="1">'[3]Variance Sum '!#REF!</definedName>
    <definedName name="_25__123Graph_ACHART_7" localSheetId="7" hidden="1">'[3]Variance Sum '!#REF!</definedName>
    <definedName name="_25__123Graph_ACHART_7" localSheetId="12" hidden="1">'[3]Variance Sum '!#REF!</definedName>
    <definedName name="_25__123Graph_ACHART_7" localSheetId="6" hidden="1">'[3]Variance Sum '!#REF!</definedName>
    <definedName name="_25__123Graph_ACHART_7" hidden="1">'[3]Variance Sum '!#REF!</definedName>
    <definedName name="_25__123Graph_ECONTRACT_BY_B_U" localSheetId="13" hidden="1">#REF!</definedName>
    <definedName name="_25__123Graph_ECONTRACT_BY_B_U" localSheetId="7" hidden="1">#REF!</definedName>
    <definedName name="_25__123Graph_ECONTRACT_BY_B_U" localSheetId="12" hidden="1">#REF!</definedName>
    <definedName name="_25__123Graph_ECONTRACT_BY_B_U" localSheetId="6" hidden="1">#REF!</definedName>
    <definedName name="_25__123Graph_ECONTRACT_BY_B_U" hidden="1">#REF!</definedName>
    <definedName name="_25__123Graph_ESUPPLIES_BY_B_U" localSheetId="13" hidden="1">#REF!</definedName>
    <definedName name="_25__123Graph_ESUPPLIES_BY_B_U" localSheetId="7" hidden="1">#REF!</definedName>
    <definedName name="_25__123Graph_ESUPPLIES_BY_B_U" localSheetId="12" hidden="1">#REF!</definedName>
    <definedName name="_25__123Graph_ESUPPLIES_BY_B_U" localSheetId="6" hidden="1">#REF!</definedName>
    <definedName name="_25__123Graph_ESUPPLIES_BY_B_U" hidden="1">#REF!</definedName>
    <definedName name="_25__123Graph_EWAGES_BY_B_U" localSheetId="13" hidden="1">#REF!</definedName>
    <definedName name="_25__123Graph_EWAGES_BY_B_U" localSheetId="7" hidden="1">#REF!</definedName>
    <definedName name="_25__123Graph_EWAGES_BY_B_U" localSheetId="12" hidden="1">#REF!</definedName>
    <definedName name="_25__123Graph_EWAGES_BY_B_U" localSheetId="6" hidden="1">#REF!</definedName>
    <definedName name="_25__123Graph_EWAGES_BY_B_U" hidden="1">#REF!</definedName>
    <definedName name="_256__123Graph_XCHART_7" localSheetId="13" hidden="1">'[3]Variance Sum '!#REF!</definedName>
    <definedName name="_256__123Graph_XCHART_7" localSheetId="7" hidden="1">'[3]Variance Sum '!#REF!</definedName>
    <definedName name="_256__123Graph_XCHART_7" localSheetId="12" hidden="1">'[3]Variance Sum '!#REF!</definedName>
    <definedName name="_256__123Graph_XCHART_7" localSheetId="6" hidden="1">'[3]Variance Sum '!#REF!</definedName>
    <definedName name="_256__123Graph_XCHART_7" hidden="1">'[3]Variance Sum '!#REF!</definedName>
    <definedName name="_26__123Graph_EQRE_S_BY_CO." localSheetId="13" hidden="1">#REF!</definedName>
    <definedName name="_26__123Graph_EQRE_S_BY_CO." localSheetId="7" hidden="1">#REF!</definedName>
    <definedName name="_26__123Graph_EQRE_S_BY_CO." localSheetId="12" hidden="1">#REF!</definedName>
    <definedName name="_26__123Graph_EQRE_S_BY_CO." localSheetId="6" hidden="1">#REF!</definedName>
    <definedName name="_26__123Graph_EQRE_S_BY_CO." hidden="1">#REF!</definedName>
    <definedName name="_26__123Graph_EWAGES_BY_B_U" localSheetId="13" hidden="1">#REF!</definedName>
    <definedName name="_26__123Graph_EWAGES_BY_B_U" localSheetId="7" hidden="1">#REF!</definedName>
    <definedName name="_26__123Graph_EWAGES_BY_B_U" localSheetId="12" hidden="1">#REF!</definedName>
    <definedName name="_26__123Graph_EWAGES_BY_B_U" localSheetId="6" hidden="1">#REF!</definedName>
    <definedName name="_26__123Graph_EWAGES_BY_B_U" hidden="1">#REF!</definedName>
    <definedName name="_26__123Graph_FCONTRACT_BY_B_U" localSheetId="13" hidden="1">#REF!</definedName>
    <definedName name="_26__123Graph_FCONTRACT_BY_B_U" localSheetId="7" hidden="1">#REF!</definedName>
    <definedName name="_26__123Graph_FCONTRACT_BY_B_U" localSheetId="12" hidden="1">#REF!</definedName>
    <definedName name="_26__123Graph_FCONTRACT_BY_B_U" localSheetId="6" hidden="1">#REF!</definedName>
    <definedName name="_26__123Graph_FCONTRACT_BY_B_U" hidden="1">#REF!</definedName>
    <definedName name="_268__123Graph_XCHART_8" localSheetId="13" hidden="1">'[3]Variance Sum '!#REF!</definedName>
    <definedName name="_268__123Graph_XCHART_8" localSheetId="7" hidden="1">'[3]Variance Sum '!#REF!</definedName>
    <definedName name="_268__123Graph_XCHART_8" localSheetId="12" hidden="1">'[3]Variance Sum '!#REF!</definedName>
    <definedName name="_268__123Graph_XCHART_8" localSheetId="6" hidden="1">'[3]Variance Sum '!#REF!</definedName>
    <definedName name="_268__123Graph_XCHART_8" hidden="1">'[3]Variance Sum '!#REF!</definedName>
    <definedName name="_27__123Graph_ESUPPLIES_BY_B_U" localSheetId="13" hidden="1">#REF!</definedName>
    <definedName name="_27__123Graph_ESUPPLIES_BY_B_U" localSheetId="7" hidden="1">#REF!</definedName>
    <definedName name="_27__123Graph_ESUPPLIES_BY_B_U" localSheetId="12" hidden="1">#REF!</definedName>
    <definedName name="_27__123Graph_ESUPPLIES_BY_B_U" localSheetId="6" hidden="1">#REF!</definedName>
    <definedName name="_27__123Graph_ESUPPLIES_BY_B_U" hidden="1">#REF!</definedName>
    <definedName name="_27__123Graph_FCONTRACT_BY_B_U" localSheetId="13" hidden="1">#REF!</definedName>
    <definedName name="_27__123Graph_FCONTRACT_BY_B_U" localSheetId="7" hidden="1">#REF!</definedName>
    <definedName name="_27__123Graph_FCONTRACT_BY_B_U" localSheetId="12" hidden="1">#REF!</definedName>
    <definedName name="_27__123Graph_FCONTRACT_BY_B_U" localSheetId="6" hidden="1">#REF!</definedName>
    <definedName name="_27__123Graph_FCONTRACT_BY_B_U" hidden="1">#REF!</definedName>
    <definedName name="_27__123Graph_FQRE_S_BY_CO." localSheetId="13" hidden="1">#REF!</definedName>
    <definedName name="_27__123Graph_FQRE_S_BY_CO." localSheetId="7" hidden="1">#REF!</definedName>
    <definedName name="_27__123Graph_FQRE_S_BY_CO." localSheetId="12" hidden="1">#REF!</definedName>
    <definedName name="_27__123Graph_FQRE_S_BY_CO." localSheetId="6" hidden="1">#REF!</definedName>
    <definedName name="_27__123Graph_FQRE_S_BY_CO." hidden="1">#REF!</definedName>
    <definedName name="_28__123Graph_ACHART_8" localSheetId="13" hidden="1">'[3]Variance Sum '!#REF!</definedName>
    <definedName name="_28__123Graph_ACHART_8" localSheetId="7" hidden="1">'[3]Variance Sum '!#REF!</definedName>
    <definedName name="_28__123Graph_ACHART_8" localSheetId="12" hidden="1">'[3]Variance Sum '!#REF!</definedName>
    <definedName name="_28__123Graph_ACHART_8" localSheetId="6" hidden="1">'[3]Variance Sum '!#REF!</definedName>
    <definedName name="_28__123Graph_ACHART_8" hidden="1">'[3]Variance Sum '!#REF!</definedName>
    <definedName name="_28__123Graph_EWAGES_BY_B_U" localSheetId="13" hidden="1">#REF!</definedName>
    <definedName name="_28__123Graph_EWAGES_BY_B_U" localSheetId="7" hidden="1">#REF!</definedName>
    <definedName name="_28__123Graph_EWAGES_BY_B_U" localSheetId="12" hidden="1">#REF!</definedName>
    <definedName name="_28__123Graph_EWAGES_BY_B_U" localSheetId="6" hidden="1">#REF!</definedName>
    <definedName name="_28__123Graph_EWAGES_BY_B_U" hidden="1">#REF!</definedName>
    <definedName name="_28__123Graph_FQRE_S_BY_CO." localSheetId="13" hidden="1">#REF!</definedName>
    <definedName name="_28__123Graph_FQRE_S_BY_CO." localSheetId="7" hidden="1">#REF!</definedName>
    <definedName name="_28__123Graph_FQRE_S_BY_CO." localSheetId="12" hidden="1">#REF!</definedName>
    <definedName name="_28__123Graph_FQRE_S_BY_CO." localSheetId="6" hidden="1">#REF!</definedName>
    <definedName name="_28__123Graph_FQRE_S_BY_CO." hidden="1">#REF!</definedName>
    <definedName name="_28__123Graph_FSUPPLIES_BY_B_U" localSheetId="13" hidden="1">#REF!</definedName>
    <definedName name="_28__123Graph_FSUPPLIES_BY_B_U" localSheetId="7" hidden="1">#REF!</definedName>
    <definedName name="_28__123Graph_FSUPPLIES_BY_B_U" localSheetId="12" hidden="1">#REF!</definedName>
    <definedName name="_28__123Graph_FSUPPLIES_BY_B_U" localSheetId="6" hidden="1">#REF!</definedName>
    <definedName name="_28__123Graph_FSUPPLIES_BY_B_U" hidden="1">#REF!</definedName>
    <definedName name="_280__123Graph_XCHART_9" localSheetId="13" hidden="1">'[3]Variance Sum '!#REF!</definedName>
    <definedName name="_280__123Graph_XCHART_9" localSheetId="7" hidden="1">'[3]Variance Sum '!#REF!</definedName>
    <definedName name="_280__123Graph_XCHART_9" localSheetId="12" hidden="1">'[3]Variance Sum '!#REF!</definedName>
    <definedName name="_280__123Graph_XCHART_9" localSheetId="6" hidden="1">'[3]Variance Sum '!#REF!</definedName>
    <definedName name="_280__123Graph_XCHART_9" hidden="1">'[3]Variance Sum '!#REF!</definedName>
    <definedName name="_29__123Graph_FCONTRACT_BY_B_U" localSheetId="13" hidden="1">#REF!</definedName>
    <definedName name="_29__123Graph_FCONTRACT_BY_B_U" localSheetId="7" hidden="1">#REF!</definedName>
    <definedName name="_29__123Graph_FCONTRACT_BY_B_U" localSheetId="12" hidden="1">#REF!</definedName>
    <definedName name="_29__123Graph_FCONTRACT_BY_B_U" localSheetId="6" hidden="1">#REF!</definedName>
    <definedName name="_29__123Graph_FCONTRACT_BY_B_U" hidden="1">#REF!</definedName>
    <definedName name="_29__123Graph_FSUPPLIES_BY_B_U" localSheetId="13" hidden="1">#REF!</definedName>
    <definedName name="_29__123Graph_FSUPPLIES_BY_B_U" localSheetId="7" hidden="1">#REF!</definedName>
    <definedName name="_29__123Graph_FSUPPLIES_BY_B_U" localSheetId="12" hidden="1">#REF!</definedName>
    <definedName name="_29__123Graph_FSUPPLIES_BY_B_U" localSheetId="6" hidden="1">#REF!</definedName>
    <definedName name="_29__123Graph_FSUPPLIES_BY_B_U" hidden="1">#REF!</definedName>
    <definedName name="_29__123Graph_FWAGES_BY_B_U" localSheetId="13" hidden="1">#REF!</definedName>
    <definedName name="_29__123Graph_FWAGES_BY_B_U" localSheetId="7" hidden="1">#REF!</definedName>
    <definedName name="_29__123Graph_FWAGES_BY_B_U" localSheetId="12" hidden="1">#REF!</definedName>
    <definedName name="_29__123Graph_FWAGES_BY_B_U" localSheetId="6" hidden="1">#REF!</definedName>
    <definedName name="_29__123Graph_FWAGES_BY_B_U" hidden="1">#REF!</definedName>
    <definedName name="_3__123Graph_ACHART_10" localSheetId="13" hidden="1">'[3]Variance Sum '!#REF!</definedName>
    <definedName name="_3__123Graph_ACHART_10" localSheetId="7" hidden="1">'[3]Variance Sum '!#REF!</definedName>
    <definedName name="_3__123Graph_ACHART_10" localSheetId="12" hidden="1">'[3]Variance Sum '!#REF!</definedName>
    <definedName name="_3__123Graph_ACHART_10" localSheetId="6" hidden="1">'[3]Variance Sum '!#REF!</definedName>
    <definedName name="_3__123Graph_ACHART_10" hidden="1">'[3]Variance Sum '!#REF!</definedName>
    <definedName name="_3__123Graph_ACHART_2" localSheetId="13" hidden="1">'[3]Variance Sum '!#REF!</definedName>
    <definedName name="_3__123Graph_ACHART_2" localSheetId="7" hidden="1">'[3]Variance Sum '!#REF!</definedName>
    <definedName name="_3__123Graph_ACHART_2" localSheetId="12" hidden="1">'[3]Variance Sum '!#REF!</definedName>
    <definedName name="_3__123Graph_ACHART_2" localSheetId="6" hidden="1">'[3]Variance Sum '!#REF!</definedName>
    <definedName name="_3__123Graph_ACHART_2" hidden="1">'[3]Variance Sum '!#REF!</definedName>
    <definedName name="_3__123Graph_ACONTRACT_BY_B_U" localSheetId="13" hidden="1">#REF!</definedName>
    <definedName name="_3__123Graph_ACONTRACT_BY_B_U" localSheetId="7" hidden="1">#REF!</definedName>
    <definedName name="_3__123Graph_ACONTRACT_BY_B_U" localSheetId="12" hidden="1">#REF!</definedName>
    <definedName name="_3__123Graph_ACONTRACT_BY_B_U" localSheetId="6" hidden="1">#REF!</definedName>
    <definedName name="_3__123Graph_ACONTRACT_BY_B_U" hidden="1">#REF!</definedName>
    <definedName name="_3__123Graph_AJULY_SALES_PIE" localSheetId="13" hidden="1">#REF!</definedName>
    <definedName name="_3__123Graph_AJULY_SALES_PIE" localSheetId="7" hidden="1">#REF!</definedName>
    <definedName name="_3__123Graph_AJULY_SALES_PIE" localSheetId="12" hidden="1">#REF!</definedName>
    <definedName name="_3__123Graph_AJULY_SALES_PIE" localSheetId="6" hidden="1">#REF!</definedName>
    <definedName name="_3__123Graph_AJULY_SALES_PIE" hidden="1">#REF!</definedName>
    <definedName name="_3__123Graph_AQRE_S_BY_CO." localSheetId="13" hidden="1">#REF!</definedName>
    <definedName name="_3__123Graph_AQRE_S_BY_CO." localSheetId="7" hidden="1">#REF!</definedName>
    <definedName name="_3__123Graph_AQRE_S_BY_CO." localSheetId="12" hidden="1">#REF!</definedName>
    <definedName name="_3__123Graph_AQRE_S_BY_CO." localSheetId="6" hidden="1">#REF!</definedName>
    <definedName name="_3__123Graph_AQRE_S_BY_CO." hidden="1">#REF!</definedName>
    <definedName name="_3__123Graph_ASENS_COMPARISON" localSheetId="13" hidden="1">#REF!</definedName>
    <definedName name="_3__123Graph_ASENS_COMPARISON" localSheetId="7" hidden="1">#REF!</definedName>
    <definedName name="_3__123Graph_ASENS_COMPARISON" localSheetId="12" hidden="1">#REF!</definedName>
    <definedName name="_3__123Graph_ASENS_COMPARISON" hidden="1">#REF!</definedName>
    <definedName name="_30__123Graph_FQRE_S_BY_CO." localSheetId="13" hidden="1">#REF!</definedName>
    <definedName name="_30__123Graph_FQRE_S_BY_CO." localSheetId="7" hidden="1">#REF!</definedName>
    <definedName name="_30__123Graph_FQRE_S_BY_CO." localSheetId="12" hidden="1">#REF!</definedName>
    <definedName name="_30__123Graph_FQRE_S_BY_CO." hidden="1">#REF!</definedName>
    <definedName name="_30__123Graph_FWAGES_BY_B_U" localSheetId="13" hidden="1">#REF!</definedName>
    <definedName name="_30__123Graph_FWAGES_BY_B_U" localSheetId="7" hidden="1">#REF!</definedName>
    <definedName name="_30__123Graph_FWAGES_BY_B_U" localSheetId="12" hidden="1">#REF!</definedName>
    <definedName name="_30__123Graph_FWAGES_BY_B_U" hidden="1">#REF!</definedName>
    <definedName name="_30__123Graph_XCONTRACT_BY_B_U" localSheetId="13" hidden="1">#REF!</definedName>
    <definedName name="_30__123Graph_XCONTRACT_BY_B_U" localSheetId="7" hidden="1">#REF!</definedName>
    <definedName name="_30__123Graph_XCONTRACT_BY_B_U" localSheetId="12" hidden="1">#REF!</definedName>
    <definedName name="_30__123Graph_XCONTRACT_BY_B_U" hidden="1">#REF!</definedName>
    <definedName name="_31__123Graph_ACHART_9" localSheetId="13" hidden="1">'[3]Variance Sum '!#REF!</definedName>
    <definedName name="_31__123Graph_ACHART_9" localSheetId="7" hidden="1">'[3]Variance Sum '!#REF!</definedName>
    <definedName name="_31__123Graph_ACHART_9" localSheetId="12" hidden="1">'[3]Variance Sum '!#REF!</definedName>
    <definedName name="_31__123Graph_ACHART_9" localSheetId="6" hidden="1">'[3]Variance Sum '!#REF!</definedName>
    <definedName name="_31__123Graph_ACHART_9" hidden="1">'[3]Variance Sum '!#REF!</definedName>
    <definedName name="_31__123Graph_FSUPPLIES_BY_B_U" localSheetId="13" hidden="1">#REF!</definedName>
    <definedName name="_31__123Graph_FSUPPLIES_BY_B_U" localSheetId="7" hidden="1">#REF!</definedName>
    <definedName name="_31__123Graph_FSUPPLIES_BY_B_U" localSheetId="12" hidden="1">#REF!</definedName>
    <definedName name="_31__123Graph_FSUPPLIES_BY_B_U" localSheetId="6" hidden="1">#REF!</definedName>
    <definedName name="_31__123Graph_FSUPPLIES_BY_B_U" hidden="1">#REF!</definedName>
    <definedName name="_31__123Graph_XCONTRACT_BY_B_U" localSheetId="13" hidden="1">#REF!</definedName>
    <definedName name="_31__123Graph_XCONTRACT_BY_B_U" localSheetId="7" hidden="1">#REF!</definedName>
    <definedName name="_31__123Graph_XCONTRACT_BY_B_U" localSheetId="12" hidden="1">#REF!</definedName>
    <definedName name="_31__123Graph_XCONTRACT_BY_B_U" localSheetId="6" hidden="1">#REF!</definedName>
    <definedName name="_31__123Graph_XCONTRACT_BY_B_U" hidden="1">#REF!</definedName>
    <definedName name="_31__123Graph_XQRE_S_BY_CO." localSheetId="13" hidden="1">#REF!</definedName>
    <definedName name="_31__123Graph_XQRE_S_BY_CO." localSheetId="7" hidden="1">#REF!</definedName>
    <definedName name="_31__123Graph_XQRE_S_BY_CO." localSheetId="12" hidden="1">#REF!</definedName>
    <definedName name="_31__123Graph_XQRE_S_BY_CO." localSheetId="6" hidden="1">#REF!</definedName>
    <definedName name="_31__123Graph_XQRE_S_BY_CO." hidden="1">#REF!</definedName>
    <definedName name="_32__123Graph_FWAGES_BY_B_U" localSheetId="13" hidden="1">#REF!</definedName>
    <definedName name="_32__123Graph_FWAGES_BY_B_U" localSheetId="7" hidden="1">#REF!</definedName>
    <definedName name="_32__123Graph_FWAGES_BY_B_U" localSheetId="12" hidden="1">#REF!</definedName>
    <definedName name="_32__123Graph_FWAGES_BY_B_U" hidden="1">#REF!</definedName>
    <definedName name="_32__123Graph_XQRE_S_BY_CO." localSheetId="13" hidden="1">#REF!</definedName>
    <definedName name="_32__123Graph_XQRE_S_BY_CO." localSheetId="7" hidden="1">#REF!</definedName>
    <definedName name="_32__123Graph_XQRE_S_BY_CO." localSheetId="12" hidden="1">#REF!</definedName>
    <definedName name="_32__123Graph_XQRE_S_BY_CO." hidden="1">#REF!</definedName>
    <definedName name="_32__123Graph_XQRE_S_BY_TYPE" localSheetId="13" hidden="1">#REF!</definedName>
    <definedName name="_32__123Graph_XQRE_S_BY_TYPE" localSheetId="7" hidden="1">#REF!</definedName>
    <definedName name="_32__123Graph_XQRE_S_BY_TYPE" localSheetId="12" hidden="1">#REF!</definedName>
    <definedName name="_32__123Graph_XQRE_S_BY_TYPE" hidden="1">#REF!</definedName>
    <definedName name="_33__123Graph_XCONTRACT_BY_B_U" localSheetId="13" hidden="1">#REF!</definedName>
    <definedName name="_33__123Graph_XCONTRACT_BY_B_U" localSheetId="7" hidden="1">#REF!</definedName>
    <definedName name="_33__123Graph_XCONTRACT_BY_B_U" localSheetId="12" hidden="1">#REF!</definedName>
    <definedName name="_33__123Graph_XCONTRACT_BY_B_U" hidden="1">#REF!</definedName>
    <definedName name="_33__123Graph_XQRE_S_BY_TYPE" localSheetId="13" hidden="1">#REF!</definedName>
    <definedName name="_33__123Graph_XQRE_S_BY_TYPE" localSheetId="7" hidden="1">#REF!</definedName>
    <definedName name="_33__123Graph_XQRE_S_BY_TYPE" localSheetId="12" hidden="1">#REF!</definedName>
    <definedName name="_33__123Graph_XQRE_S_BY_TYPE" hidden="1">#REF!</definedName>
    <definedName name="_33__123Graph_XSUPPLIES_BY_B_U" localSheetId="13" hidden="1">#REF!</definedName>
    <definedName name="_33__123Graph_XSUPPLIES_BY_B_U" localSheetId="7" hidden="1">#REF!</definedName>
    <definedName name="_33__123Graph_XSUPPLIES_BY_B_U" localSheetId="12" hidden="1">#REF!</definedName>
    <definedName name="_33__123Graph_XSUPPLIES_BY_B_U" hidden="1">#REF!</definedName>
    <definedName name="_34__123Graph_XQRE_S_BY_CO." localSheetId="13" hidden="1">#REF!</definedName>
    <definedName name="_34__123Graph_XQRE_S_BY_CO." localSheetId="7" hidden="1">#REF!</definedName>
    <definedName name="_34__123Graph_XQRE_S_BY_CO." localSheetId="12" hidden="1">#REF!</definedName>
    <definedName name="_34__123Graph_XQRE_S_BY_CO." hidden="1">#REF!</definedName>
    <definedName name="_34__123Graph_XSUPPLIES_BY_B_U" localSheetId="13" hidden="1">#REF!</definedName>
    <definedName name="_34__123Graph_XSUPPLIES_BY_B_U" localSheetId="7" hidden="1">#REF!</definedName>
    <definedName name="_34__123Graph_XSUPPLIES_BY_B_U" localSheetId="12" hidden="1">#REF!</definedName>
    <definedName name="_34__123Graph_XSUPPLIES_BY_B_U" hidden="1">#REF!</definedName>
    <definedName name="_34__123Graph_XTAX_CREDIT" localSheetId="13" hidden="1">#REF!</definedName>
    <definedName name="_34__123Graph_XTAX_CREDIT" localSheetId="7" hidden="1">#REF!</definedName>
    <definedName name="_34__123Graph_XTAX_CREDIT" localSheetId="12" hidden="1">#REF!</definedName>
    <definedName name="_34__123Graph_XTAX_CREDIT" hidden="1">#REF!</definedName>
    <definedName name="_35__123Graph_BChart_1A" localSheetId="13" hidden="1">'[4]19'!#REF!</definedName>
    <definedName name="_35__123Graph_BChart_1A" localSheetId="7" hidden="1">'[4]19'!#REF!</definedName>
    <definedName name="_35__123Graph_BChart_1A" localSheetId="12" hidden="1">'[4]19'!#REF!</definedName>
    <definedName name="_35__123Graph_BChart_1A" hidden="1">'[4]19'!#REF!</definedName>
    <definedName name="_35__123Graph_XQRE_S_BY_TYPE" localSheetId="13" hidden="1">#REF!</definedName>
    <definedName name="_35__123Graph_XQRE_S_BY_TYPE" localSheetId="7" hidden="1">#REF!</definedName>
    <definedName name="_35__123Graph_XQRE_S_BY_TYPE" localSheetId="12" hidden="1">#REF!</definedName>
    <definedName name="_35__123Graph_XQRE_S_BY_TYPE" localSheetId="6" hidden="1">#REF!</definedName>
    <definedName name="_35__123Graph_XQRE_S_BY_TYPE" hidden="1">#REF!</definedName>
    <definedName name="_35__123Graph_XTAX_CREDIT" localSheetId="13" hidden="1">#REF!</definedName>
    <definedName name="_35__123Graph_XTAX_CREDIT" localSheetId="7" hidden="1">#REF!</definedName>
    <definedName name="_35__123Graph_XTAX_CREDIT" localSheetId="12" hidden="1">#REF!</definedName>
    <definedName name="_35__123Graph_XTAX_CREDIT" localSheetId="6" hidden="1">#REF!</definedName>
    <definedName name="_35__123Graph_XTAX_CREDIT" hidden="1">#REF!</definedName>
    <definedName name="_353__FDSAUDITLINK__" localSheetId="7"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6"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XSUPPLIES_BY_B_U" localSheetId="13" hidden="1">#REF!</definedName>
    <definedName name="_36__123Graph_XSUPPLIES_BY_B_U" localSheetId="7" hidden="1">#REF!</definedName>
    <definedName name="_36__123Graph_XSUPPLIES_BY_B_U" localSheetId="12" hidden="1">#REF!</definedName>
    <definedName name="_36__123Graph_XSUPPLIES_BY_B_U" hidden="1">#REF!</definedName>
    <definedName name="_37__123Graph_ACHART_2" localSheetId="13" hidden="1">'[3]Variance Sum '!#REF!</definedName>
    <definedName name="_37__123Graph_ACHART_2" localSheetId="7" hidden="1">'[3]Variance Sum '!#REF!</definedName>
    <definedName name="_37__123Graph_ACHART_2" localSheetId="12" hidden="1">'[3]Variance Sum '!#REF!</definedName>
    <definedName name="_37__123Graph_ACHART_2" hidden="1">'[3]Variance Sum '!#REF!</definedName>
    <definedName name="_37__123Graph_XTAX_CREDIT" localSheetId="13" hidden="1">#REF!</definedName>
    <definedName name="_37__123Graph_XTAX_CREDIT" localSheetId="7" hidden="1">#REF!</definedName>
    <definedName name="_37__123Graph_XTAX_CREDIT" localSheetId="12" hidden="1">#REF!</definedName>
    <definedName name="_37__123Graph_XTAX_CREDIT" localSheetId="6" hidden="1">#REF!</definedName>
    <definedName name="_37__123Graph_XTAX_CREDIT" hidden="1">#REF!</definedName>
    <definedName name="_371__FDSAUDITLINK__" localSheetId="7"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6"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9__123Graph_CChart_1A" localSheetId="13" hidden="1">'[4]19'!#REF!</definedName>
    <definedName name="_39__123Graph_CChart_1A" localSheetId="7" hidden="1">'[4]19'!#REF!</definedName>
    <definedName name="_39__123Graph_CChart_1A" localSheetId="12" hidden="1">'[4]19'!#REF!</definedName>
    <definedName name="_39__123Graph_CChart_1A" hidden="1">'[4]19'!#REF!</definedName>
    <definedName name="_4__123Graph_ACHART_3" localSheetId="13" hidden="1">'[3]Variance Sum '!#REF!</definedName>
    <definedName name="_4__123Graph_ACHART_3" localSheetId="7" hidden="1">'[3]Variance Sum '!#REF!</definedName>
    <definedName name="_4__123Graph_ACHART_3" localSheetId="12" hidden="1">'[3]Variance Sum '!#REF!</definedName>
    <definedName name="_4__123Graph_ACHART_3" localSheetId="6" hidden="1">'[3]Variance Sum '!#REF!</definedName>
    <definedName name="_4__123Graph_ACHART_3" hidden="1">'[3]Variance Sum '!#REF!</definedName>
    <definedName name="_4__123Graph_AQRE_S_BY_CO." localSheetId="13" hidden="1">#REF!</definedName>
    <definedName name="_4__123Graph_AQRE_S_BY_CO." localSheetId="7" hidden="1">#REF!</definedName>
    <definedName name="_4__123Graph_AQRE_S_BY_CO." localSheetId="12" hidden="1">#REF!</definedName>
    <definedName name="_4__123Graph_AQRE_S_BY_CO." localSheetId="6" hidden="1">#REF!</definedName>
    <definedName name="_4__123Graph_AQRE_S_BY_CO." hidden="1">#REF!</definedName>
    <definedName name="_4__123Graph_ASALES_TODATE_PI" localSheetId="13" hidden="1">#REF!</definedName>
    <definedName name="_4__123Graph_ASALES_TODATE_PI" localSheetId="7" hidden="1">#REF!</definedName>
    <definedName name="_4__123Graph_ASALES_TODATE_PI" localSheetId="12" hidden="1">#REF!</definedName>
    <definedName name="_4__123Graph_ASALES_TODATE_PI" localSheetId="6" hidden="1">#REF!</definedName>
    <definedName name="_4__123Graph_ASALES_TODATE_PI" hidden="1">#REF!</definedName>
    <definedName name="_4__123Graph_ASENS_COMPARISON" localSheetId="13" hidden="1">#REF!</definedName>
    <definedName name="_4__123Graph_ASENS_COMPARISON" localSheetId="7" hidden="1">#REF!</definedName>
    <definedName name="_4__123Graph_ASENS_COMPARISON" localSheetId="12" hidden="1">#REF!</definedName>
    <definedName name="_4__123Graph_ASENS_COMPARISON" localSheetId="6" hidden="1">#REF!</definedName>
    <definedName name="_4__123Graph_ASENS_COMPARISON" hidden="1">#REF!</definedName>
    <definedName name="_4__123Graph_ASUPPLIES_BY_B_U" localSheetId="13" hidden="1">#REF!</definedName>
    <definedName name="_4__123Graph_ASUPPLIES_BY_B_U" localSheetId="7" hidden="1">#REF!</definedName>
    <definedName name="_4__123Graph_ASUPPLIES_BY_B_U" localSheetId="12" hidden="1">#REF!</definedName>
    <definedName name="_4__123Graph_ASUPPLIES_BY_B_U" hidden="1">#REF!</definedName>
    <definedName name="_42__123Graph_LBL_ACHART_10" localSheetId="13" hidden="1">'[3]Variance Sum '!#REF!</definedName>
    <definedName name="_42__123Graph_LBL_ACHART_10" localSheetId="7" hidden="1">'[3]Variance Sum '!#REF!</definedName>
    <definedName name="_42__123Graph_LBL_ACHART_10" localSheetId="12" hidden="1">'[3]Variance Sum '!#REF!</definedName>
    <definedName name="_42__123Graph_LBL_ACHART_10" hidden="1">'[3]Variance Sum '!#REF!</definedName>
    <definedName name="_45__123Graph_XCHART_10" localSheetId="13" hidden="1">'[3]Variance Sum '!#REF!</definedName>
    <definedName name="_45__123Graph_XCHART_10" localSheetId="7" hidden="1">'[3]Variance Sum '!#REF!</definedName>
    <definedName name="_45__123Graph_XCHART_10" localSheetId="12" hidden="1">'[3]Variance Sum '!#REF!</definedName>
    <definedName name="_45__123Graph_XCHART_10" hidden="1">'[3]Variance Sum '!#REF!</definedName>
    <definedName name="_49__123Graph_ACHART_3" localSheetId="13" hidden="1">'[3]Variance Sum '!#REF!</definedName>
    <definedName name="_49__123Graph_ACHART_3" localSheetId="7" hidden="1">'[3]Variance Sum '!#REF!</definedName>
    <definedName name="_49__123Graph_ACHART_3" localSheetId="12" hidden="1">'[3]Variance Sum '!#REF!</definedName>
    <definedName name="_49__123Graph_ACHART_3" hidden="1">'[3]Variance Sum '!#REF!</definedName>
    <definedName name="_49__123Graph_XChart_1A" localSheetId="13" hidden="1">'[4]19'!#REF!</definedName>
    <definedName name="_49__123Graph_XChart_1A" localSheetId="7" hidden="1">'[4]19'!#REF!</definedName>
    <definedName name="_49__123Graph_XChart_1A" localSheetId="12" hidden="1">'[4]19'!#REF!</definedName>
    <definedName name="_49__123Graph_XChart_1A" hidden="1">'[4]19'!#REF!</definedName>
    <definedName name="_5__123Graph_ACHART_4" localSheetId="13" hidden="1">'[3]Variance Sum '!#REF!</definedName>
    <definedName name="_5__123Graph_ACHART_4" localSheetId="7" hidden="1">'[3]Variance Sum '!#REF!</definedName>
    <definedName name="_5__123Graph_ACHART_4" localSheetId="12" hidden="1">'[3]Variance Sum '!#REF!</definedName>
    <definedName name="_5__123Graph_ACHART_4" hidden="1">'[3]Variance Sum '!#REF!</definedName>
    <definedName name="_5__123Graph_ASENS_COMPARISON" localSheetId="13" hidden="1">#REF!</definedName>
    <definedName name="_5__123Graph_ASENS_COMPARISON" localSheetId="7" hidden="1">#REF!</definedName>
    <definedName name="_5__123Graph_ASENS_COMPARISON" localSheetId="12" hidden="1">#REF!</definedName>
    <definedName name="_5__123Graph_ASENS_COMPARISON" localSheetId="6" hidden="1">#REF!</definedName>
    <definedName name="_5__123Graph_ASENS_COMPARISON" hidden="1">#REF!</definedName>
    <definedName name="_5__123Graph_ASUPPLIES_BY_B_U" localSheetId="13" hidden="1">#REF!</definedName>
    <definedName name="_5__123Graph_ASUPPLIES_BY_B_U" localSheetId="7" hidden="1">#REF!</definedName>
    <definedName name="_5__123Graph_ASUPPLIES_BY_B_U" localSheetId="12" hidden="1">#REF!</definedName>
    <definedName name="_5__123Graph_ASUPPLIES_BY_B_U" localSheetId="6" hidden="1">#REF!</definedName>
    <definedName name="_5__123Graph_ASUPPLIES_BY_B_U" hidden="1">#REF!</definedName>
    <definedName name="_5__123Graph_ATAX_CREDIT" localSheetId="13" hidden="1">#REF!</definedName>
    <definedName name="_5__123Graph_ATAX_CREDIT" localSheetId="7" hidden="1">#REF!</definedName>
    <definedName name="_5__123Graph_ATAX_CREDIT" localSheetId="12" hidden="1">#REF!</definedName>
    <definedName name="_5__123Graph_ATAX_CREDIT" localSheetId="6" hidden="1">#REF!</definedName>
    <definedName name="_5__123Graph_ATAX_CREDIT" hidden="1">#REF!</definedName>
    <definedName name="_5__123Graph_X1991_BARGRAPH" localSheetId="13" hidden="1">#REF!</definedName>
    <definedName name="_5__123Graph_X1991_BARGRAPH" localSheetId="7" hidden="1">#REF!</definedName>
    <definedName name="_5__123Graph_X1991_BARGRAPH" localSheetId="12" hidden="1">#REF!</definedName>
    <definedName name="_5__123Graph_X1991_BARGRAPH" hidden="1">#REF!</definedName>
    <definedName name="_52__123Graph_XCHART_2" localSheetId="13" hidden="1">'[3]Variance Sum '!#REF!</definedName>
    <definedName name="_52__123Graph_XCHART_2" localSheetId="7" hidden="1">'[3]Variance Sum '!#REF!</definedName>
    <definedName name="_52__123Graph_XCHART_2" localSheetId="12" hidden="1">'[3]Variance Sum '!#REF!</definedName>
    <definedName name="_52__123Graph_XCHART_2" hidden="1">'[3]Variance Sum '!#REF!</definedName>
    <definedName name="_55__123Graph_XCHART_3" localSheetId="13" hidden="1">'[3]Variance Sum '!#REF!</definedName>
    <definedName name="_55__123Graph_XCHART_3" localSheetId="7" hidden="1">'[3]Variance Sum '!#REF!</definedName>
    <definedName name="_55__123Graph_XCHART_3" localSheetId="12" hidden="1">'[3]Variance Sum '!#REF!</definedName>
    <definedName name="_55__123Graph_XCHART_3" hidden="1">'[3]Variance Sum '!#REF!</definedName>
    <definedName name="_58__123Graph_XCHART_4" localSheetId="13" hidden="1">'[3]Variance Sum '!#REF!</definedName>
    <definedName name="_58__123Graph_XCHART_4" localSheetId="7" hidden="1">'[3]Variance Sum '!#REF!</definedName>
    <definedName name="_58__123Graph_XCHART_4" localSheetId="12" hidden="1">'[3]Variance Sum '!#REF!</definedName>
    <definedName name="_58__123Graph_XCHART_4" hidden="1">'[3]Variance Sum '!#REF!</definedName>
    <definedName name="_583IQ___SET_WRITEDOWN_INS" hidden="1">"c59"</definedName>
    <definedName name="_6__123Graph_ACHART_5" localSheetId="13" hidden="1">'[3]Variance Sum '!#REF!</definedName>
    <definedName name="_6__123Graph_ACHART_5" localSheetId="7" hidden="1">'[3]Variance Sum '!#REF!</definedName>
    <definedName name="_6__123Graph_ACHART_5" localSheetId="12" hidden="1">'[3]Variance Sum '!#REF!</definedName>
    <definedName name="_6__123Graph_ACHART_5" hidden="1">'[3]Variance Sum '!#REF!</definedName>
    <definedName name="_6__123Graph_ASUPPLIES_BY_B_U" localSheetId="13" hidden="1">#REF!</definedName>
    <definedName name="_6__123Graph_ASUPPLIES_BY_B_U" localSheetId="7" hidden="1">#REF!</definedName>
    <definedName name="_6__123Graph_ASUPPLIES_BY_B_U" localSheetId="12" hidden="1">#REF!</definedName>
    <definedName name="_6__123Graph_ASUPPLIES_BY_B_U" localSheetId="6" hidden="1">#REF!</definedName>
    <definedName name="_6__123Graph_ASUPPLIES_BY_B_U" hidden="1">#REF!</definedName>
    <definedName name="_6__123Graph_ATAX_CREDIT" localSheetId="13" hidden="1">#REF!</definedName>
    <definedName name="_6__123Graph_ATAX_CREDIT" localSheetId="7" hidden="1">#REF!</definedName>
    <definedName name="_6__123Graph_ATAX_CREDIT" localSheetId="12" hidden="1">#REF!</definedName>
    <definedName name="_6__123Graph_ATAX_CREDIT" localSheetId="6" hidden="1">#REF!</definedName>
    <definedName name="_6__123Graph_ATAX_CREDIT" hidden="1">#REF!</definedName>
    <definedName name="_6__123Graph_AWAGES_BY_B_U" localSheetId="13" hidden="1">#REF!</definedName>
    <definedName name="_6__123Graph_AWAGES_BY_B_U" localSheetId="7" hidden="1">#REF!</definedName>
    <definedName name="_6__123Graph_AWAGES_BY_B_U" localSheetId="12" hidden="1">#REF!</definedName>
    <definedName name="_6__123Graph_AWAGES_BY_B_U" localSheetId="6" hidden="1">#REF!</definedName>
    <definedName name="_6__123Graph_AWAGES_BY_B_U" hidden="1">#REF!</definedName>
    <definedName name="_6__123Graph_X1992_BARGRAPH" localSheetId="13" hidden="1">#REF!</definedName>
    <definedName name="_6__123Graph_X1992_BARGRAPH" localSheetId="7" hidden="1">#REF!</definedName>
    <definedName name="_6__123Graph_X1992_BARGRAPH" localSheetId="12" hidden="1">#REF!</definedName>
    <definedName name="_6__123Graph_X1992_BARGRAPH" hidden="1">#REF!</definedName>
    <definedName name="_61__123Graph_ACHART_4" localSheetId="13" hidden="1">'[3]Variance Sum '!#REF!</definedName>
    <definedName name="_61__123Graph_ACHART_4" localSheetId="7" hidden="1">'[3]Variance Sum '!#REF!</definedName>
    <definedName name="_61__123Graph_ACHART_4" localSheetId="12" hidden="1">'[3]Variance Sum '!#REF!</definedName>
    <definedName name="_61__123Graph_ACHART_4" hidden="1">'[3]Variance Sum '!#REF!</definedName>
    <definedName name="_61__123Graph_XCHART_5" localSheetId="13" hidden="1">'[3]Variance Sum '!#REF!</definedName>
    <definedName name="_61__123Graph_XCHART_5" localSheetId="7" hidden="1">'[3]Variance Sum '!#REF!</definedName>
    <definedName name="_61__123Graph_XCHART_5" localSheetId="12" hidden="1">'[3]Variance Sum '!#REF!</definedName>
    <definedName name="_61__123Graph_XCHART_5" hidden="1">'[3]Variance Sum '!#REF!</definedName>
    <definedName name="_64__123Graph_XCHART_6" localSheetId="13" hidden="1">'[3]Variance Sum '!#REF!</definedName>
    <definedName name="_64__123Graph_XCHART_6" localSheetId="7" hidden="1">'[3]Variance Sum '!#REF!</definedName>
    <definedName name="_64__123Graph_XCHART_6" localSheetId="12" hidden="1">'[3]Variance Sum '!#REF!</definedName>
    <definedName name="_64__123Graph_XCHART_6" hidden="1">'[3]Variance Sum '!#REF!</definedName>
    <definedName name="_67__123Graph_XCHART_7" localSheetId="13" hidden="1">'[3]Variance Sum '!#REF!</definedName>
    <definedName name="_67__123Graph_XCHART_7" localSheetId="7" hidden="1">'[3]Variance Sum '!#REF!</definedName>
    <definedName name="_67__123Graph_XCHART_7" localSheetId="12" hidden="1">'[3]Variance Sum '!#REF!</definedName>
    <definedName name="_67__123Graph_XCHART_7" hidden="1">'[3]Variance Sum '!#REF!</definedName>
    <definedName name="_68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6"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7__123Graph_AChart_1A" localSheetId="13" hidden="1">'[4]19'!#REF!</definedName>
    <definedName name="_7__123Graph_AChart_1A" localSheetId="7" hidden="1">'[4]19'!#REF!</definedName>
    <definedName name="_7__123Graph_AChart_1A" localSheetId="12" hidden="1">'[4]19'!#REF!</definedName>
    <definedName name="_7__123Graph_AChart_1A" hidden="1">'[4]19'!#REF!</definedName>
    <definedName name="_7__123Graph_ACHART_6" localSheetId="13" hidden="1">'[3]Variance Sum '!#REF!</definedName>
    <definedName name="_7__123Graph_ACHART_6" localSheetId="7" hidden="1">'[3]Variance Sum '!#REF!</definedName>
    <definedName name="_7__123Graph_ACHART_6" localSheetId="12" hidden="1">'[3]Variance Sum '!#REF!</definedName>
    <definedName name="_7__123Graph_ACHART_6" hidden="1">'[3]Variance Sum '!#REF!</definedName>
    <definedName name="_7__123Graph_ATAX_CREDIT" localSheetId="13" hidden="1">#REF!</definedName>
    <definedName name="_7__123Graph_ATAX_CREDIT" localSheetId="7" hidden="1">#REF!</definedName>
    <definedName name="_7__123Graph_ATAX_CREDIT" localSheetId="12" hidden="1">#REF!</definedName>
    <definedName name="_7__123Graph_ATAX_CREDIT" localSheetId="6" hidden="1">#REF!</definedName>
    <definedName name="_7__123Graph_ATAX_CREDIT" hidden="1">#REF!</definedName>
    <definedName name="_7__123Graph_AWAGES_BY_B_U" localSheetId="13" hidden="1">#REF!</definedName>
    <definedName name="_7__123Graph_AWAGES_BY_B_U" localSheetId="7" hidden="1">#REF!</definedName>
    <definedName name="_7__123Graph_AWAGES_BY_B_U" localSheetId="12" hidden="1">#REF!</definedName>
    <definedName name="_7__123Graph_AWAGES_BY_B_U" localSheetId="6" hidden="1">#REF!</definedName>
    <definedName name="_7__123Graph_AWAGES_BY_B_U" hidden="1">#REF!</definedName>
    <definedName name="_7__123Graph_BCONTRACT_BY_B_U" localSheetId="13" hidden="1">#REF!</definedName>
    <definedName name="_7__123Graph_BCONTRACT_BY_B_U" localSheetId="7" hidden="1">#REF!</definedName>
    <definedName name="_7__123Graph_BCONTRACT_BY_B_U" localSheetId="12" hidden="1">#REF!</definedName>
    <definedName name="_7__123Graph_BCONTRACT_BY_B_U" localSheetId="6" hidden="1">#REF!</definedName>
    <definedName name="_7__123Graph_BCONTRACT_BY_B_U" hidden="1">#REF!</definedName>
    <definedName name="_7__123Graph_XJULY_SALES_PIE" localSheetId="13" hidden="1">#REF!</definedName>
    <definedName name="_7__123Graph_XJULY_SALES_PIE" localSheetId="7" hidden="1">#REF!</definedName>
    <definedName name="_7__123Graph_XJULY_SALES_PIE" localSheetId="12" hidden="1">#REF!</definedName>
    <definedName name="_7__123Graph_XJULY_SALES_PIE" hidden="1">#REF!</definedName>
    <definedName name="_70__123Graph_XCHART_8" localSheetId="13" hidden="1">'[3]Variance Sum '!#REF!</definedName>
    <definedName name="_70__123Graph_XCHART_8" localSheetId="7" hidden="1">'[3]Variance Sum '!#REF!</definedName>
    <definedName name="_70__123Graph_XCHART_8" localSheetId="12" hidden="1">'[3]Variance Sum '!#REF!</definedName>
    <definedName name="_70__123Graph_XCHART_8" hidden="1">'[3]Variance Sum '!#REF!</definedName>
    <definedName name="_73__123Graph_ACHART_5" localSheetId="13" hidden="1">'[3]Variance Sum '!#REF!</definedName>
    <definedName name="_73__123Graph_ACHART_5" localSheetId="7" hidden="1">'[3]Variance Sum '!#REF!</definedName>
    <definedName name="_73__123Graph_ACHART_5" localSheetId="12" hidden="1">'[3]Variance Sum '!#REF!</definedName>
    <definedName name="_73__123Graph_ACHART_5" hidden="1">'[3]Variance Sum '!#REF!</definedName>
    <definedName name="_73__123Graph_XCHART_9" localSheetId="13" hidden="1">'[3]Variance Sum '!#REF!</definedName>
    <definedName name="_73__123Graph_XCHART_9" localSheetId="7" hidden="1">'[3]Variance Sum '!#REF!</definedName>
    <definedName name="_73__123Graph_XCHART_9" localSheetId="12" hidden="1">'[3]Variance Sum '!#REF!</definedName>
    <definedName name="_73__123Graph_XCHART_9" hidden="1">'[3]Variance Sum '!#REF!</definedName>
    <definedName name="_8__123Graph_ACHART_7" localSheetId="13" hidden="1">'[3]Variance Sum '!#REF!</definedName>
    <definedName name="_8__123Graph_ACHART_7" localSheetId="7" hidden="1">'[3]Variance Sum '!#REF!</definedName>
    <definedName name="_8__123Graph_ACHART_7" localSheetId="12" hidden="1">'[3]Variance Sum '!#REF!</definedName>
    <definedName name="_8__123Graph_ACHART_7" hidden="1">'[3]Variance Sum '!#REF!</definedName>
    <definedName name="_8__123Graph_AWAGES_BY_B_U" localSheetId="13" hidden="1">#REF!</definedName>
    <definedName name="_8__123Graph_AWAGES_BY_B_U" localSheetId="7" hidden="1">#REF!</definedName>
    <definedName name="_8__123Graph_AWAGES_BY_B_U" localSheetId="12" hidden="1">#REF!</definedName>
    <definedName name="_8__123Graph_AWAGES_BY_B_U" localSheetId="6" hidden="1">#REF!</definedName>
    <definedName name="_8__123Graph_AWAGES_BY_B_U" hidden="1">#REF!</definedName>
    <definedName name="_8__123Graph_BCONTRACT_BY_B_U" localSheetId="13" hidden="1">#REF!</definedName>
    <definedName name="_8__123Graph_BCONTRACT_BY_B_U" localSheetId="7" hidden="1">#REF!</definedName>
    <definedName name="_8__123Graph_BCONTRACT_BY_B_U" localSheetId="12" hidden="1">#REF!</definedName>
    <definedName name="_8__123Graph_BCONTRACT_BY_B_U" localSheetId="6" hidden="1">#REF!</definedName>
    <definedName name="_8__123Graph_BCONTRACT_BY_B_U" hidden="1">#REF!</definedName>
    <definedName name="_8__123Graph_BQRE_S_BY_CO." localSheetId="13" hidden="1">#REF!</definedName>
    <definedName name="_8__123Graph_BQRE_S_BY_CO." localSheetId="7" hidden="1">#REF!</definedName>
    <definedName name="_8__123Graph_BQRE_S_BY_CO." localSheetId="12" hidden="1">#REF!</definedName>
    <definedName name="_8__123Graph_BQRE_S_BY_CO." localSheetId="6" hidden="1">#REF!</definedName>
    <definedName name="_8__123Graph_BQRE_S_BY_CO." hidden="1">#REF!</definedName>
    <definedName name="_8__123Graph_XSALES_TODATE_PI" localSheetId="13" hidden="1">#REF!</definedName>
    <definedName name="_8__123Graph_XSALES_TODATE_PI" localSheetId="7" hidden="1">#REF!</definedName>
    <definedName name="_8__123Graph_XSALES_TODATE_PI" localSheetId="12" hidden="1">#REF!</definedName>
    <definedName name="_8__123Graph_XSALES_TODATE_PI" hidden="1">#REF!</definedName>
    <definedName name="_85__123Graph_ACHART_6" localSheetId="13" hidden="1">'[3]Variance Sum '!#REF!</definedName>
    <definedName name="_85__123Graph_ACHART_6" localSheetId="7" hidden="1">'[3]Variance Sum '!#REF!</definedName>
    <definedName name="_85__123Graph_ACHART_6" localSheetId="12" hidden="1">'[3]Variance Sum '!#REF!</definedName>
    <definedName name="_85__123Graph_ACHART_6" hidden="1">'[3]Variance Sum '!#REF!</definedName>
    <definedName name="_9__123Graph_ACHART_8" localSheetId="13" hidden="1">'[3]Variance Sum '!#REF!</definedName>
    <definedName name="_9__123Graph_ACHART_8" localSheetId="7" hidden="1">'[3]Variance Sum '!#REF!</definedName>
    <definedName name="_9__123Graph_ACHART_8" localSheetId="12" hidden="1">'[3]Variance Sum '!#REF!</definedName>
    <definedName name="_9__123Graph_ACHART_8" hidden="1">'[3]Variance Sum '!#REF!</definedName>
    <definedName name="_9__123Graph_BCHART_3" localSheetId="13" hidden="1">#REF!</definedName>
    <definedName name="_9__123Graph_BCHART_3" localSheetId="7" hidden="1">#REF!</definedName>
    <definedName name="_9__123Graph_BCHART_3" localSheetId="12" hidden="1">#REF!</definedName>
    <definedName name="_9__123Graph_BCHART_3" localSheetId="6" hidden="1">#REF!</definedName>
    <definedName name="_9__123Graph_BCHART_3" hidden="1">#REF!</definedName>
    <definedName name="_9__123Graph_BQRE_S_BY_CO." localSheetId="13" hidden="1">#REF!</definedName>
    <definedName name="_9__123Graph_BQRE_S_BY_CO." localSheetId="7" hidden="1">#REF!</definedName>
    <definedName name="_9__123Graph_BQRE_S_BY_CO." localSheetId="12" hidden="1">#REF!</definedName>
    <definedName name="_9__123Graph_BQRE_S_BY_CO." localSheetId="6" hidden="1">#REF!</definedName>
    <definedName name="_9__123Graph_BQRE_S_BY_CO." hidden="1">#REF!</definedName>
    <definedName name="_9__123Graph_BSENS_COMPARISON" localSheetId="13" hidden="1">#REF!</definedName>
    <definedName name="_9__123Graph_BSENS_COMPARISON" localSheetId="7" hidden="1">#REF!</definedName>
    <definedName name="_9__123Graph_BSENS_COMPARISON" localSheetId="12" hidden="1">#REF!</definedName>
    <definedName name="_9__123Graph_BSENS_COMPARISON" localSheetId="6" hidden="1">#REF!</definedName>
    <definedName name="_9__123Graph_BSENS_COMPARISON" hidden="1">#REF!</definedName>
    <definedName name="_97__123Graph_ACHART_7" localSheetId="13" hidden="1">'[3]Variance Sum '!#REF!</definedName>
    <definedName name="_97__123Graph_ACHART_7" localSheetId="7" hidden="1">'[3]Variance Sum '!#REF!</definedName>
    <definedName name="_97__123Graph_ACHART_7" localSheetId="12" hidden="1">'[3]Variance Sum '!#REF!</definedName>
    <definedName name="_97__123Graph_ACHART_7" localSheetId="6" hidden="1">'[3]Variance Sum '!#REF!</definedName>
    <definedName name="_97__123Graph_ACHART_7" hidden="1">'[3]Variance Sum '!#REF!</definedName>
    <definedName name="_bdm.A41748D8CDC148869DAC28F2A19A85E3.edm" localSheetId="1" hidden="1">#REF!</definedName>
    <definedName name="_bdm.A41748D8CDC148869DAC28F2A19A85E3.edm" localSheetId="13" hidden="1">#REF!</definedName>
    <definedName name="_bdm.A41748D8CDC148869DAC28F2A19A85E3.edm" localSheetId="10" hidden="1">#REF!</definedName>
    <definedName name="_bdm.A41748D8CDC148869DAC28F2A19A85E3.edm" localSheetId="2" hidden="1">#REF!</definedName>
    <definedName name="_bdm.A41748D8CDC148869DAC28F2A19A85E3.edm" localSheetId="7" hidden="1">#REF!</definedName>
    <definedName name="_bdm.A41748D8CDC148869DAC28F2A19A85E3.edm" localSheetId="12" hidden="1">#REF!</definedName>
    <definedName name="_bdm.A41748D8CDC148869DAC28F2A19A85E3.edm" localSheetId="6" hidden="1">#REF!</definedName>
    <definedName name="_bdm.A41748D8CDC148869DAC28F2A19A85E3.edm" hidden="1">#REF!</definedName>
    <definedName name="_BQ4.1" hidden="1">'[6]query results'!$A$1:$G$1628</definedName>
    <definedName name="_BQ4.2" hidden="1">'[6]query results'!$A$1629:$G$3355</definedName>
    <definedName name="_BQ4.3" hidden="1">'[6]query results'!$A$3356:$G$5080</definedName>
    <definedName name="_BQ4.4" hidden="1">'[6]query results'!$A$5081:$G$6824</definedName>
    <definedName name="_BQ4.5" hidden="1">'[6]query results'!$A$6825:$G$8581</definedName>
    <definedName name="_BQ4.6" hidden="1">'[6]query results'!$A$8582:$G$10421</definedName>
    <definedName name="_BQ4.7" hidden="1">'[6]query results'!$A$10422:$G$12272</definedName>
    <definedName name="_Fill" localSheetId="13" hidden="1">[7]지급어음!#REF!</definedName>
    <definedName name="_Fill" localSheetId="7" hidden="1">[7]지급어음!#REF!</definedName>
    <definedName name="_Fill" localSheetId="12" hidden="1">[7]지급어음!#REF!</definedName>
    <definedName name="_Fill" localSheetId="6" hidden="1">[7]지급어음!#REF!</definedName>
    <definedName name="_Fill" hidden="1">[7]지급어음!#REF!</definedName>
    <definedName name="_FILL1" localSheetId="13" hidden="1">#REF!</definedName>
    <definedName name="_FILL1" localSheetId="7" hidden="1">#REF!</definedName>
    <definedName name="_FILL1" localSheetId="12" hidden="1">#REF!</definedName>
    <definedName name="_FILL1" localSheetId="6" hidden="1">#REF!</definedName>
    <definedName name="_FILL1" hidden="1">#REF!</definedName>
    <definedName name="_hod2" localSheetId="7" hidden="1">{#N/A,#N/A,FALSE,"TS";#N/A,#N/A,FALSE,"Combo";#N/A,#N/A,FALSE,"FAIR";#N/A,#N/A,FALSE,"RBC";#N/A,#N/A,FALSE,"xxxx";#N/A,#N/A,FALSE,"A_D";#N/A,#N/A,FALSE,"WACC";#N/A,#N/A,FALSE,"DCF";#N/A,#N/A,FALSE,"LBO";#N/A,#N/A,FALSE,"AcqMults";#N/A,#N/A,FALSE,"CompMults"}</definedName>
    <definedName name="_hod2" localSheetId="6" hidden="1">{#N/A,#N/A,FALSE,"TS";#N/A,#N/A,FALSE,"Combo";#N/A,#N/A,FALSE,"FAIR";#N/A,#N/A,FALSE,"RBC";#N/A,#N/A,FALSE,"xxxx";#N/A,#N/A,FALSE,"A_D";#N/A,#N/A,FALSE,"WACC";#N/A,#N/A,FALSE,"DCF";#N/A,#N/A,FALSE,"LBO";#N/A,#N/A,FALSE,"AcqMults";#N/A,#N/A,FALSE,"CompMults"}</definedName>
    <definedName name="_hod2" hidden="1">{#N/A,#N/A,FALSE,"TS";#N/A,#N/A,FALSE,"Combo";#N/A,#N/A,FALSE,"FAIR";#N/A,#N/A,FALSE,"RBC";#N/A,#N/A,FALSE,"xxxx";#N/A,#N/A,FALSE,"A_D";#N/A,#N/A,FALSE,"WACC";#N/A,#N/A,FALSE,"DCF";#N/A,#N/A,FALSE,"LBO";#N/A,#N/A,FALSE,"AcqMults";#N/A,#N/A,FALSE,"CompMults"}</definedName>
    <definedName name="_ibo2" localSheetId="7" hidden="1">{#N/A,#N/A,FALSE,"Summary";#N/A,#N/A,FALSE,"Projections";#N/A,#N/A,FALSE,"Mkt Mults";#N/A,#N/A,FALSE,"DCF";#N/A,#N/A,FALSE,"Accr Dil";#N/A,#N/A,FALSE,"PIC LBO";#N/A,#N/A,FALSE,"MULT10_4";#N/A,#N/A,FALSE,"CBI LBO"}</definedName>
    <definedName name="_ibo2" localSheetId="6" hidden="1">{#N/A,#N/A,FALSE,"Summary";#N/A,#N/A,FALSE,"Projections";#N/A,#N/A,FALSE,"Mkt Mults";#N/A,#N/A,FALSE,"DCF";#N/A,#N/A,FALSE,"Accr Dil";#N/A,#N/A,FALSE,"PIC LBO";#N/A,#N/A,FALSE,"MULT10_4";#N/A,#N/A,FALSE,"CBI LBO"}</definedName>
    <definedName name="_ibo2" hidden="1">{#N/A,#N/A,FALSE,"Summary";#N/A,#N/A,FALSE,"Projections";#N/A,#N/A,FALSE,"Mkt Mults";#N/A,#N/A,FALSE,"DCF";#N/A,#N/A,FALSE,"Accr Dil";#N/A,#N/A,FALSE,"PIC LBO";#N/A,#N/A,FALSE,"MULT10_4";#N/A,#N/A,FALSE,"CBI LBO"}</definedName>
    <definedName name="_Key_ys13" hidden="1">#N/A</definedName>
    <definedName name="_Key1" hidden="1">'[8]DeltaCom wan orders'!$A$6</definedName>
    <definedName name="_Key2" hidden="1">'[8]DeltaCom wan orders'!$A$6</definedName>
    <definedName name="_Keyys2" hidden="1">#N/A</definedName>
    <definedName name="_n324" hidden="1">"c39"</definedName>
    <definedName name="_new1" hidden="1">"c32"</definedName>
    <definedName name="_new2" hidden="1">"c8"</definedName>
    <definedName name="_new3" hidden="1">"c7"</definedName>
    <definedName name="_new5" hidden="1">"c1471"</definedName>
    <definedName name="_ok2" localSheetId="7" hidden="1">{#N/A,#N/A,FALSE,"Cover";#N/A,#N/A,FALSE,"LUMI";#N/A,#N/A,FALSE,"COMD";#N/A,#N/A,FALSE,"Valuation";#N/A,#N/A,FALSE,"Assumptions";#N/A,#N/A,FALSE,"Pooling";#N/A,#N/A,FALSE,"BalanceSheet"}</definedName>
    <definedName name="_ok2" localSheetId="6" hidden="1">{#N/A,#N/A,FALSE,"Cover";#N/A,#N/A,FALSE,"LUMI";#N/A,#N/A,FALSE,"COMD";#N/A,#N/A,FALSE,"Valuation";#N/A,#N/A,FALSE,"Assumptions";#N/A,#N/A,FALSE,"Pooling";#N/A,#N/A,FALSE,"BalanceSheet"}</definedName>
    <definedName name="_ok2" hidden="1">{#N/A,#N/A,FALSE,"Cover";#N/A,#N/A,FALSE,"LUMI";#N/A,#N/A,FALSE,"COMD";#N/A,#N/A,FALSE,"Valuation";#N/A,#N/A,FALSE,"Assumptions";#N/A,#N/A,FALSE,"Pooling";#N/A,#N/A,FALSE,"BalanceSheet"}</definedName>
    <definedName name="_Order1" hidden="1">255</definedName>
    <definedName name="_Order2" hidden="1">0</definedName>
    <definedName name="_P00comps1" hidden="1">'[9]EU Comps'!$DK$326:$FO$489</definedName>
    <definedName name="_P00comps2" hidden="1">'[9]EU Comps'!$FQ$326:$HL$489</definedName>
    <definedName name="_Regression_X" localSheetId="13" hidden="1">#REF!</definedName>
    <definedName name="_Regression_X" localSheetId="7" hidden="1">#REF!</definedName>
    <definedName name="_Regression_X" localSheetId="12" hidden="1">#REF!</definedName>
    <definedName name="_Regression_X" localSheetId="6" hidden="1">#REF!</definedName>
    <definedName name="_Regression_X" hidden="1">#REF!</definedName>
    <definedName name="_rod1" localSheetId="7" hidden="1">{#N/A,#N/A,FALSE,"Projections";#N/A,#N/A,FALSE,"Multiples Valuation";#N/A,#N/A,FALSE,"LBO";#N/A,#N/A,FALSE,"Multiples_Sensitivity";#N/A,#N/A,FALSE,"Summary"}</definedName>
    <definedName name="_rod1" localSheetId="6" hidden="1">{#N/A,#N/A,FALSE,"Projections";#N/A,#N/A,FALSE,"Multiples Valuation";#N/A,#N/A,FALSE,"LBO";#N/A,#N/A,FALSE,"Multiples_Sensitivity";#N/A,#N/A,FALSE,"Summary"}</definedName>
    <definedName name="_rod1" hidden="1">{#N/A,#N/A,FALSE,"Projections";#N/A,#N/A,FALSE,"Multiples Valuation";#N/A,#N/A,FALSE,"LBO";#N/A,#N/A,FALSE,"Multiples_Sensitivity";#N/A,#N/A,FALSE,"Summary"}</definedName>
    <definedName name="_Sort" hidden="1">'[8]DeltaCom wan orders'!$A$6:$G$21</definedName>
    <definedName name="_Sort1" hidden="1">'[8]DeltaCom wan orders'!$A$6:$G$21</definedName>
    <definedName name="_SSS1" localSheetId="13" hidden="1">#REF!</definedName>
    <definedName name="_SSS1" localSheetId="7" hidden="1">#REF!</definedName>
    <definedName name="_SSS1" localSheetId="12" hidden="1">#REF!</definedName>
    <definedName name="_SSS1" localSheetId="6" hidden="1">#REF!</definedName>
    <definedName name="_SSS1" hidden="1">#REF!</definedName>
    <definedName name="_Table1_In1" localSheetId="13" hidden="1">#REF!</definedName>
    <definedName name="_Table1_In1" localSheetId="7" hidden="1">#REF!</definedName>
    <definedName name="_Table1_In1" localSheetId="12" hidden="1">#REF!</definedName>
    <definedName name="_Table1_In1" localSheetId="6" hidden="1">#REF!</definedName>
    <definedName name="_Table1_In1" hidden="1">#REF!</definedName>
    <definedName name="_Table1_Out" localSheetId="13" hidden="1">#REF!</definedName>
    <definedName name="_Table1_Out" localSheetId="7" hidden="1">#REF!</definedName>
    <definedName name="_Table1_Out" localSheetId="12" hidden="1">#REF!</definedName>
    <definedName name="_Table1_Out" localSheetId="6" hidden="1">#REF!</definedName>
    <definedName name="_Table1_Out" hidden="1">#REF!</definedName>
    <definedName name="_Table2_In1" localSheetId="13" hidden="1">#REF!</definedName>
    <definedName name="_Table2_In1" localSheetId="7" hidden="1">#REF!</definedName>
    <definedName name="_Table2_In1" localSheetId="12" hidden="1">#REF!</definedName>
    <definedName name="_Table2_In1" hidden="1">#REF!</definedName>
    <definedName name="_Table2_In2" localSheetId="2" hidden="1">#REF!</definedName>
    <definedName name="_Table2_In2" localSheetId="7" hidden="1">#REF!</definedName>
    <definedName name="_Table2_In2" localSheetId="6" hidden="1">#REF!</definedName>
    <definedName name="_Table2_Out" localSheetId="13" hidden="1">#REF!</definedName>
    <definedName name="_Table2_Out" localSheetId="7" hidden="1">#REF!</definedName>
    <definedName name="_Table2_Out" localSheetId="12" hidden="1">#REF!</definedName>
    <definedName name="_Table2_Out" localSheetId="6" hidden="1">#REF!</definedName>
    <definedName name="_Table2_Out" hidden="1">#REF!</definedName>
    <definedName name="_Table3_In2" localSheetId="13" hidden="1">#REF!</definedName>
    <definedName name="_Table3_In2" localSheetId="7" hidden="1">#REF!</definedName>
    <definedName name="_Table3_In2" localSheetId="12" hidden="1">#REF!</definedName>
    <definedName name="_Table3_In2" localSheetId="6" hidden="1">#REF!</definedName>
    <definedName name="_Table3_In2" hidden="1">#REF!</definedName>
    <definedName name="_UUID_0" hidden="1">589638</definedName>
    <definedName name="_UUID_1" hidden="1">262297</definedName>
    <definedName name="_UUID_2" hidden="1">875385</definedName>
    <definedName name="_wrn2" localSheetId="7" hidden="1">{#N/A,#N/A,FALSE,"ASSUMPTIONS";#N/A,#N/A,FALSE,"Valuation Summary";"page1",#N/A,FALSE,"PRESENTATION";"page2",#N/A,FALSE,"PRESENTATION";#N/A,#N/A,FALSE,"ORIGINAL_ROLLBACK"}</definedName>
    <definedName name="_wrn2" localSheetId="6" hidden="1">{#N/A,#N/A,FALSE,"ASSUMPTIONS";#N/A,#N/A,FALSE,"Valuation Summary";"page1",#N/A,FALSE,"PRESENTATION";"page2",#N/A,FALSE,"PRESENTATION";#N/A,#N/A,FALSE,"ORIGINAL_ROLLBACK"}</definedName>
    <definedName name="_wrn2" hidden="1">{#N/A,#N/A,FALSE,"ASSUMPTIONS";#N/A,#N/A,FALSE,"Valuation Summary";"page1",#N/A,FALSE,"PRESENTATION";"page2",#N/A,FALSE,"PRESENTATION";#N/A,#N/A,FALSE,"ORIGINAL_ROLLBACK"}</definedName>
    <definedName name="_wrn3" localSheetId="7" hidden="1">{#N/A,#N/A,FALSE,"ASSUMPTIONS";#N/A,#N/A,FALSE,"Valuation Summary";"page1",#N/A,FALSE,"PRESENTATION";"page2",#N/A,FALSE,"PRESENTATION";#N/A,#N/A,FALSE,"ORIGINAL_ROLLBACK"}</definedName>
    <definedName name="_wrn3" localSheetId="6"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Zcomps1" localSheetId="7" hidden="1">{0,0,0,0,1,-4105,42.5196850393701,42.5196850393701,42.5196850393701,42.5196850393701,2,TRUE,TRUE,FALSE,FALSE,FALSE,#N/A,1,85,1,1,"","","","&amp;""Kennerly,Roman Bold""&amp;14L&amp;12EHMAN &amp;14 B&amp;12ROTHERS","","",FALSE}</definedName>
    <definedName name="_Zcomps1" localSheetId="6" hidden="1">{0,0,0,0,1,-4105,42.5196850393701,42.5196850393701,42.5196850393701,42.5196850393701,2,TRUE,TRUE,FALSE,FALSE,FALSE,#N/A,1,85,1,1,"","","","&amp;""Kennerly,Roman Bold""&amp;14L&amp;12EHMAN &amp;14 B&amp;12ROTHERS","","",FALSE}</definedName>
    <definedName name="_Zcomps1" hidden="1">{0,0,0,0,1,-4105,42.5196850393701,42.5196850393701,42.5196850393701,42.5196850393701,2,TRUE,TRUE,FALSE,FALSE,FALSE,#N/A,1,85,1,1,"","","","&amp;""Kennerly,Roman Bold""&amp;14L&amp;12EHMAN &amp;14 B&amp;12ROTHERS","","",FALSE}</definedName>
    <definedName name="_Zcomps2" localSheetId="7" hidden="1">{0,0,0,0,1,-4105,28.3464566929134,28.3464566929134,28.346456664,28.3464566929134,2,TRUE,TRUE,FALSE,FALSE,FALSE,#N/A,1,85,1,2,"","","","&amp;""Kennerly,Roman Bold""&amp;14L&amp;12EHMAN &amp;14 B&amp;12ROTHERS","","",FALSE}</definedName>
    <definedName name="_Zcomps2" localSheetId="6"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a" hidden="1">#REF!</definedName>
    <definedName name="aaa" localSheetId="7" hidden="1">{#N/A,#N/A,FALSE,"Projections";#N/A,#N/A,FALSE,"Multiples Valuation";#N/A,#N/A,FALSE,"LBO";#N/A,#N/A,FALSE,"Multiples_Sensitivity";#N/A,#N/A,FALSE,"Summary"}</definedName>
    <definedName name="aaa" localSheetId="6" hidden="1">{#N/A,#N/A,FALSE,"Projections";#N/A,#N/A,FALSE,"Multiples Valuation";#N/A,#N/A,FALSE,"LBO";#N/A,#N/A,FALSE,"Multiples_Sensitivity";#N/A,#N/A,FALSE,"Summary"}</definedName>
    <definedName name="aaa" hidden="1">{#N/A,#N/A,FALSE,"Projections";#N/A,#N/A,FALSE,"Multiples Valuation";#N/A,#N/A,FALSE,"LBO";#N/A,#N/A,FALSE,"Multiples_Sensitivity";#N/A,#N/A,FALSE,"Summary"}</definedName>
    <definedName name="AAA_DOCTOPS" hidden="1">"AAA_SET"</definedName>
    <definedName name="AAA_duser" hidden="1">"OFF"</definedName>
    <definedName name="aaaaaaaaaaaaaaaaaa" hidden="1">#REF!</definedName>
    <definedName name="aaaaaaaaaaaaaaaaaaa" hidden="1">#REF!</definedName>
    <definedName name="aaaaaaaaaaaaaaaaaaaaa" hidden="1">'[3]Variance Sum '!#REF!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7" hidden="1">{#N/A,#N/A,FALSE,"Projections";#N/A,#N/A,FALSE,"Multiples Valuation";#N/A,#N/A,FALSE,"LBO";#N/A,#N/A,FALSE,"Multiples_Sensitivity";#N/A,#N/A,FALSE,"Summary"}</definedName>
    <definedName name="abc" localSheetId="6" hidden="1">{#N/A,#N/A,FALSE,"Projections";#N/A,#N/A,FALSE,"Multiples Valuation";#N/A,#N/A,FALSE,"LBO";#N/A,#N/A,FALSE,"Multiples_Sensitivity";#N/A,#N/A,FALSE,"Summary"}</definedName>
    <definedName name="abc" hidden="1">{#N/A,#N/A,FALSE,"Projections";#N/A,#N/A,FALSE,"Multiples Valuation";#N/A,#N/A,FALSE,"LBO";#N/A,#N/A,FALSE,"Multiples_Sensitivity";#N/A,#N/A,FALSE,"Summary"}</definedName>
    <definedName name="abcde" localSheetId="7" hidden="1">{#N/A,#N/A,FALSE,"Performance Flash Report"}</definedName>
    <definedName name="abcde" localSheetId="6" hidden="1">{#N/A,#N/A,FALSE,"Performance Flash Report"}</definedName>
    <definedName name="abcde" hidden="1">{#N/A,#N/A,FALSE,"Performance Flash Report"}</definedName>
    <definedName name="abcdefg" localSheetId="7" hidden="1">{#N/A,#N/A,FALSE,"Performance Flash Report"}</definedName>
    <definedName name="abcdefg" localSheetId="6" hidden="1">{#N/A,#N/A,FALSE,"Performance Flash Report"}</definedName>
    <definedName name="abcdefg" hidden="1">{#N/A,#N/A,FALSE,"Performance Flash Report"}</definedName>
    <definedName name="AccessOpt" hidden="1">"Yes"</definedName>
    <definedName name="ACwvu.incearn." localSheetId="13" hidden="1">[10]EndNotes!#REF!</definedName>
    <definedName name="ACwvu.incearn." localSheetId="7" hidden="1">[10]EndNotes!#REF!</definedName>
    <definedName name="ACwvu.incearn." localSheetId="12" hidden="1">[10]EndNotes!#REF!</definedName>
    <definedName name="ACwvu.incearn." localSheetId="6" hidden="1">[10]EndNotes!#REF!</definedName>
    <definedName name="ACwvu.incearn." hidden="1">[10]EndNotes!#REF!</definedName>
    <definedName name="adg" localSheetId="7" hidden="1">{"'Sheet1'!$A$1:$O$40"}</definedName>
    <definedName name="adg" localSheetId="6" hidden="1">{"'Sheet1'!$A$1:$O$40"}</definedName>
    <definedName name="adg" hidden="1">{"'Sheet1'!$A$1:$O$40"}</definedName>
    <definedName name="adgare" localSheetId="13" hidden="1">'[3]Variance Sum '!#REF!</definedName>
    <definedName name="adgare" localSheetId="7" hidden="1">'[3]Variance Sum '!#REF!</definedName>
    <definedName name="adgare" localSheetId="12" hidden="1">'[3]Variance Sum '!#REF!</definedName>
    <definedName name="adgare" hidden="1">'[3]Variance Sum '!#REF!</definedName>
    <definedName name="adhgsfghjfgj" localSheetId="13" hidden="1">'[4]19'!#REF!</definedName>
    <definedName name="adhgsfghjfgj" localSheetId="7" hidden="1">'[4]19'!#REF!</definedName>
    <definedName name="adhgsfghjfgj" localSheetId="12" hidden="1">'[4]19'!#REF!</definedName>
    <definedName name="adhgsfghjfgj" hidden="1">'[4]19'!#REF!</definedName>
    <definedName name="adsf" localSheetId="13"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adsf" localSheetId="7"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adsf" localSheetId="12"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adsf" localSheetId="6"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adsf"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ae" localSheetId="7" hidden="1">{#N/A,#N/A,FALSE,"Performance Flash Report"}</definedName>
    <definedName name="ae" localSheetId="6" hidden="1">{#N/A,#N/A,FALSE,"Performance Flash Report"}</definedName>
    <definedName name="ae" hidden="1">{#N/A,#N/A,FALSE,"Performance Flash Report"}</definedName>
    <definedName name="afasdfasdf" localSheetId="13" hidden="1">'[3]Variance Sum '!#REF!</definedName>
    <definedName name="afasdfasdf" localSheetId="7" hidden="1">'[3]Variance Sum '!#REF!</definedName>
    <definedName name="afasdfasdf" localSheetId="12" hidden="1">'[3]Variance Sum '!#REF!</definedName>
    <definedName name="afasdfasdf" hidden="1">'[3]Variance Sum '!#REF!</definedName>
    <definedName name="afdafds" localSheetId="7" hidden="1">{#N/A,#N/A,FALSE,"Performance Flash Report"}</definedName>
    <definedName name="afdafds" localSheetId="6" hidden="1">{#N/A,#N/A,FALSE,"Performance Flash Report"}</definedName>
    <definedName name="afdafds" hidden="1">{#N/A,#N/A,FALSE,"Performance Flash Report"}</definedName>
    <definedName name="Alex" localSheetId="7" hidden="1">{#N/A,#N/A,FALSE,"Performance Flash Report"}</definedName>
    <definedName name="Alex" localSheetId="6" hidden="1">{#N/A,#N/A,FALSE,"Performance Flash Report"}</definedName>
    <definedName name="Alex" hidden="1">{#N/A,#N/A,FALSE,"Performance Flash Report"}</definedName>
    <definedName name="amy" localSheetId="7" hidden="1">{#N/A,#N/A,FALSE,"AD_Purchase";#N/A,#N/A,FALSE,"Credit";#N/A,#N/A,FALSE,"PF Acquisition";#N/A,#N/A,FALSE,"PF Offering"}</definedName>
    <definedName name="amy" localSheetId="6" hidden="1">{#N/A,#N/A,FALSE,"AD_Purchase";#N/A,#N/A,FALSE,"Credit";#N/A,#N/A,FALSE,"PF Acquisition";#N/A,#N/A,FALSE,"PF Offering"}</definedName>
    <definedName name="amy" hidden="1">{#N/A,#N/A,FALSE,"AD_Purchase";#N/A,#N/A,FALSE,"Credit";#N/A,#N/A,FALSE,"PF Acquisition";#N/A,#N/A,FALSE,"PF Offering"}</definedName>
    <definedName name="amy.mistake" localSheetId="7" hidden="1">{#N/A,#N/A,FALSE,"AD_Purchase";#N/A,#N/A,FALSE,"Credit";#N/A,#N/A,FALSE,"PF Acquisition";#N/A,#N/A,FALSE,"PF Offering"}</definedName>
    <definedName name="amy.mistake" localSheetId="6" hidden="1">{#N/A,#N/A,FALSE,"AD_Purchase";#N/A,#N/A,FALSE,"Credit";#N/A,#N/A,FALSE,"PF Acquisition";#N/A,#N/A,FALSE,"PF Offering"}</definedName>
    <definedName name="amy.mistake" hidden="1">{#N/A,#N/A,FALSE,"AD_Purchase";#N/A,#N/A,FALSE,"Credit";#N/A,#N/A,FALSE,"PF Acquisition";#N/A,#N/A,FALSE,"PF Offering"}</definedName>
    <definedName name="ando" localSheetId="7" hidden="1">{"'下期集計（10.27迄・速報値）'!$Q$16"}</definedName>
    <definedName name="ando" localSheetId="6" hidden="1">{"'下期集計（10.27迄・速報値）'!$Q$16"}</definedName>
    <definedName name="ando" hidden="1">{"'下期集計（10.27迄・速報値）'!$Q$16"}</definedName>
    <definedName name="anotherrange" localSheetId="7" hidden="1">{#N/A,#N/A,FALSE,"Performance Flash Report"}</definedName>
    <definedName name="anotherrange" localSheetId="6" hidden="1">{#N/A,#N/A,FALSE,"Performance Flash Report"}</definedName>
    <definedName name="anotherrange" hidden="1">{#N/A,#N/A,FALSE,"Performance Flash Report"}</definedName>
    <definedName name="anscount" hidden="1">1</definedName>
    <definedName name="as" hidden="1">"c2127"</definedName>
    <definedName name="AS2ReportLS" hidden="1">1</definedName>
    <definedName name="AS2StaticLS" localSheetId="13" hidden="1">#REF!</definedName>
    <definedName name="AS2StaticLS" localSheetId="7" hidden="1">#REF!</definedName>
    <definedName name="AS2StaticLS" localSheetId="12" hidden="1">#REF!</definedName>
    <definedName name="AS2StaticLS" hidden="1">#REF!</definedName>
    <definedName name="AS2SyncStepLS" hidden="1">0</definedName>
    <definedName name="AS2TickmarkLS" localSheetId="13" hidden="1">#REF!</definedName>
    <definedName name="AS2TickmarkLS" localSheetId="7" hidden="1">#REF!</definedName>
    <definedName name="AS2TickmarkLS" localSheetId="12" hidden="1">#REF!</definedName>
    <definedName name="AS2TickmarkLS" hidden="1">#REF!</definedName>
    <definedName name="AS2VersionLS" hidden="1">300</definedName>
    <definedName name="asd" localSheetId="7" hidden="1">"c100"</definedName>
    <definedName name="asd" localSheetId="6" hidden="1">"c100"</definedName>
    <definedName name="asd" hidden="1">"c1630"</definedName>
    <definedName name="asdas" localSheetId="7" hidden="1">{#N/A,#N/A,FALSE,"Performance Flash Report"}</definedName>
    <definedName name="asdas" localSheetId="6" hidden="1">{#N/A,#N/A,FALSE,"Performance Flash Report"}</definedName>
    <definedName name="asdas" hidden="1">{#N/A,#N/A,FALSE,"Performance Flash Report"}</definedName>
    <definedName name="asdas1" localSheetId="7" hidden="1">{#N/A,#N/A,FALSE,"Performance Flash Report"}</definedName>
    <definedName name="asdas1" localSheetId="6" hidden="1">{#N/A,#N/A,FALSE,"Performance Flash Report"}</definedName>
    <definedName name="asdas1" hidden="1">{#N/A,#N/A,FALSE,"Performance Flash Report"}</definedName>
    <definedName name="asdfassdfdsa" hidden="1">#REF!</definedName>
    <definedName name="asdfdassdfds" hidden="1">#REF!</definedName>
    <definedName name="asdfdsasdf" hidden="1">#REF!</definedName>
    <definedName name="asdfdsasdfds" hidden="1">#REF!</definedName>
    <definedName name="asdfsa" localSheetId="7" hidden="1">{#N/A,#N/A,FALSE,"Performance Flash Report"}</definedName>
    <definedName name="asdfsa" localSheetId="6" hidden="1">{#N/A,#N/A,FALSE,"Performance Flash Report"}</definedName>
    <definedName name="asdfsa" hidden="1">{#N/A,#N/A,FALSE,"Performance Flash Report"}</definedName>
    <definedName name="asdfsd" localSheetId="7" hidden="1">{"'Planning Data'!$A$2:$X$120"}</definedName>
    <definedName name="asdfsd" localSheetId="6" hidden="1">{"'Planning Data'!$A$2:$X$120"}</definedName>
    <definedName name="asdfsd" hidden="1">{"'Planning Data'!$A$2:$X$120"}</definedName>
    <definedName name="asdvcxzcv" hidden="1">#REF!</definedName>
    <definedName name="ayesha" localSheetId="8" hidden="1">{"p1TOC",#N/A,FALSE,"DCF_Summary";"p23summary",#N/A,FALSE,"DCF_Summary";"p4contact",#N/A,FALSE,"Contact Lake";"p5kumtor",#N/A,FALSE,"Kumtor";#N/A,#N/A,FALSE,"CCAU_NAV";"p8compdata",#N/A,FALSE,"Gold_Comps";#N/A,#N/A,FALSE,"Comp_Valuation"}</definedName>
    <definedName name="ayesha" localSheetId="2" hidden="1">{"p1TOC",#N/A,FALSE,"DCF_Summary";"p23summary",#N/A,FALSE,"DCF_Summary";"p4contact",#N/A,FALSE,"Contact Lake";"p5kumtor",#N/A,FALSE,"Kumtor";#N/A,#N/A,FALSE,"CCAU_NAV";"p8compdata",#N/A,FALSE,"Gold_Comps";#N/A,#N/A,FALSE,"Comp_Valuation"}</definedName>
    <definedName name="ayesha" localSheetId="7" hidden="1">{"p1TOC",#N/A,FALSE,"DCF_Summary";"p23summary",#N/A,FALSE,"DCF_Summary";"p4contact",#N/A,FALSE,"Contact Lake";"p5kumtor",#N/A,FALSE,"Kumtor";#N/A,#N/A,FALSE,"CCAU_NAV";"p8compdata",#N/A,FALSE,"Gold_Comps";#N/A,#N/A,FALSE,"Comp_Valuation"}</definedName>
    <definedName name="ayesha" localSheetId="6" hidden="1">{"p1TOC",#N/A,FALSE,"DCF_Summary";"p23summary",#N/A,FALSE,"DCF_Summary";"p4contact",#N/A,FALSE,"Contact Lake";"p5kumtor",#N/A,FALSE,"Kumtor";#N/A,#N/A,FALSE,"CCAU_NAV";"p8compdata",#N/A,FALSE,"Gold_Comps";#N/A,#N/A,FALSE,"Comp_Valuation"}</definedName>
    <definedName name="ayesha" hidden="1">{"p1TOC",#N/A,FALSE,"DCF_Summary";"p23summary",#N/A,FALSE,"DCF_Summary";"p4contact",#N/A,FALSE,"Contact Lake";"p5kumtor",#N/A,FALSE,"Kumtor";#N/A,#N/A,FALSE,"CCAU_NAV";"p8compdata",#N/A,FALSE,"Gold_Comps";#N/A,#N/A,FALSE,"Comp_Valuation"}</definedName>
    <definedName name="azxc" hidden="1">#REF!</definedName>
    <definedName name="Bear" localSheetId="7" hidden="1">{#N/A,#N/A,FALSE,"TS";#N/A,#N/A,FALSE,"Combo";#N/A,#N/A,FALSE,"FAIR";#N/A,#N/A,FALSE,"RBC";#N/A,#N/A,FALSE,"xxxx";#N/A,#N/A,FALSE,"A_D";#N/A,#N/A,FALSE,"WACC";#N/A,#N/A,FALSE,"DCF";#N/A,#N/A,FALSE,"LBO";#N/A,#N/A,FALSE,"AcqMults";#N/A,#N/A,FALSE,"CompMults"}</definedName>
    <definedName name="Bear" localSheetId="6"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r2" localSheetId="7" hidden="1">{#N/A,#N/A,FALSE,"TS";#N/A,#N/A,FALSE,"Combo";#N/A,#N/A,FALSE,"FAIR";#N/A,#N/A,FALSE,"RBC";#N/A,#N/A,FALSE,"xxxx";#N/A,#N/A,FALSE,"A_D";#N/A,#N/A,FALSE,"WACC";#N/A,#N/A,FALSE,"DCF";#N/A,#N/A,FALSE,"LBO";#N/A,#N/A,FALSE,"AcqMults";#N/A,#N/A,FALSE,"CompMults"}</definedName>
    <definedName name="bear2" localSheetId="6"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G_Del" hidden="1">15</definedName>
    <definedName name="BG_Ins" hidden="1">4</definedName>
    <definedName name="BG_Mod" hidden="1">6</definedName>
    <definedName name="bla" localSheetId="7" hidden="1">{"PA1",#N/A,FALSE,"BORDMW";"pa2",#N/A,FALSE,"BORDMW";"PA3",#N/A,FALSE,"BORDMW";"PA4",#N/A,FALSE,"BORDMW"}</definedName>
    <definedName name="bla" localSheetId="6" hidden="1">{"PA1",#N/A,FALSE,"BORDMW";"pa2",#N/A,FALSE,"BORDMW";"PA3",#N/A,FALSE,"BORDMW";"PA4",#N/A,FALSE,"BORDMW"}</definedName>
    <definedName name="bla" hidden="1">{"PA1",#N/A,FALSE,"BORDMW";"pa2",#N/A,FALSE,"BORDMW";"PA3",#N/A,FALSE,"BORDMW";"PA4",#N/A,FALSE,"BORDMW"}</definedName>
    <definedName name="blah2" localSheetId="7" hidden="1">{#N/A,#N/A,FALSE,"Performance Flash Report"}</definedName>
    <definedName name="blah2" localSheetId="6" hidden="1">{#N/A,#N/A,FALSE,"Performance Flash Report"}</definedName>
    <definedName name="blah2" hidden="1">{#N/A,#N/A,FALSE,"Performance Flash Report"}</definedName>
    <definedName name="blah3" localSheetId="7" hidden="1">{#N/A,#N/A,FALSE,"Performance Flash Report"}</definedName>
    <definedName name="blah3" localSheetId="6" hidden="1">{#N/A,#N/A,FALSE,"Performance Flash Report"}</definedName>
    <definedName name="blah3" hidden="1">{#N/A,#N/A,FALSE,"Performance Flash Report"}</definedName>
    <definedName name="blah4" localSheetId="7" hidden="1">{#N/A,#N/A,FALSE,"Performance Flash Report"}</definedName>
    <definedName name="blah4" localSheetId="6" hidden="1">{#N/A,#N/A,FALSE,"Performance Flash Report"}</definedName>
    <definedName name="blah4" hidden="1">{#N/A,#N/A,FALSE,"Performance Flash Report"}</definedName>
    <definedName name="BLPH1" hidden="1">'[12]commercial construction'!$A$3</definedName>
    <definedName name="BLPH10" hidden="1">'[12]crack spreads'!$E$4</definedName>
    <definedName name="BLPH18" localSheetId="13" hidden="1">#REF!</definedName>
    <definedName name="BLPH18" localSheetId="7" hidden="1">#REF!</definedName>
    <definedName name="BLPH18" localSheetId="12" hidden="1">#REF!</definedName>
    <definedName name="BLPH18" localSheetId="6" hidden="1">#REF!</definedName>
    <definedName name="BLPH18" hidden="1">#REF!</definedName>
    <definedName name="BLPH19" localSheetId="13" hidden="1">#REF!</definedName>
    <definedName name="BLPH19" localSheetId="7" hidden="1">#REF!</definedName>
    <definedName name="BLPH19" localSheetId="12" hidden="1">#REF!</definedName>
    <definedName name="BLPH19" localSheetId="6" hidden="1">#REF!</definedName>
    <definedName name="BLPH19" hidden="1">#REF!</definedName>
    <definedName name="BLPH2" hidden="1">'[12]new orders'!$D$7</definedName>
    <definedName name="BLPH20" localSheetId="13" hidden="1">#REF!</definedName>
    <definedName name="BLPH20" localSheetId="7" hidden="1">#REF!</definedName>
    <definedName name="BLPH20" localSheetId="12" hidden="1">#REF!</definedName>
    <definedName name="BLPH20" localSheetId="6" hidden="1">#REF!</definedName>
    <definedName name="BLPH20" hidden="1">#REF!</definedName>
    <definedName name="BLPH21" localSheetId="13" hidden="1">#REF!</definedName>
    <definedName name="BLPH21" localSheetId="7" hidden="1">#REF!</definedName>
    <definedName name="BLPH21" localSheetId="12" hidden="1">#REF!</definedName>
    <definedName name="BLPH21" localSheetId="6" hidden="1">#REF!</definedName>
    <definedName name="BLPH21" hidden="1">#REF!</definedName>
    <definedName name="BLPH22" localSheetId="13" hidden="1">#REF!</definedName>
    <definedName name="BLPH22" localSheetId="7" hidden="1">#REF!</definedName>
    <definedName name="BLPH22" localSheetId="12" hidden="1">#REF!</definedName>
    <definedName name="BLPH22" localSheetId="6" hidden="1">#REF!</definedName>
    <definedName name="BLPH22" hidden="1">#REF!</definedName>
    <definedName name="BLPH23" localSheetId="13" hidden="1">#REF!</definedName>
    <definedName name="BLPH23" localSheetId="7" hidden="1">#REF!</definedName>
    <definedName name="BLPH23" localSheetId="12" hidden="1">#REF!</definedName>
    <definedName name="BLPH23" hidden="1">#REF!</definedName>
    <definedName name="BLPH24" localSheetId="13" hidden="1">#REF!</definedName>
    <definedName name="BLPH24" localSheetId="7" hidden="1">#REF!</definedName>
    <definedName name="BLPH24" localSheetId="12" hidden="1">#REF!</definedName>
    <definedName name="BLPH24" hidden="1">#REF!</definedName>
    <definedName name="BLPH25" localSheetId="13" hidden="1">#REF!</definedName>
    <definedName name="BLPH25" localSheetId="7" hidden="1">#REF!</definedName>
    <definedName name="BLPH25" localSheetId="12" hidden="1">#REF!</definedName>
    <definedName name="BLPH25" hidden="1">#REF!</definedName>
    <definedName name="BLPH26" localSheetId="13" hidden="1">#REF!</definedName>
    <definedName name="BLPH26" localSheetId="7" hidden="1">#REF!</definedName>
    <definedName name="BLPH26" localSheetId="12" hidden="1">#REF!</definedName>
    <definedName name="BLPH26" hidden="1">#REF!</definedName>
    <definedName name="BLPH3" hidden="1">'[12]new orders'!$G$7</definedName>
    <definedName name="BLPH31" localSheetId="13" hidden="1">[13]Data!#REF!</definedName>
    <definedName name="BLPH31" localSheetId="7" hidden="1">[13]Data!#REF!</definedName>
    <definedName name="BLPH31" localSheetId="12" hidden="1">[13]Data!#REF!</definedName>
    <definedName name="BLPH31" hidden="1">[13]Data!#REF!</definedName>
    <definedName name="BLPH32" localSheetId="13" hidden="1">[13]Data!#REF!</definedName>
    <definedName name="BLPH32" localSheetId="7" hidden="1">[13]Data!#REF!</definedName>
    <definedName name="BLPH32" localSheetId="12" hidden="1">[13]Data!#REF!</definedName>
    <definedName name="BLPH32" hidden="1">[13]Data!#REF!</definedName>
    <definedName name="BLPH33" localSheetId="13" hidden="1">[13]Data!#REF!</definedName>
    <definedName name="BLPH33" localSheetId="7" hidden="1">[13]Data!#REF!</definedName>
    <definedName name="BLPH33" localSheetId="12" hidden="1">[13]Data!#REF!</definedName>
    <definedName name="BLPH33" hidden="1">[13]Data!#REF!</definedName>
    <definedName name="BLPH34" localSheetId="13" hidden="1">[13]Data!#REF!</definedName>
    <definedName name="BLPH34" localSheetId="7" hidden="1">[13]Data!#REF!</definedName>
    <definedName name="BLPH34" localSheetId="12" hidden="1">[13]Data!#REF!</definedName>
    <definedName name="BLPH34" hidden="1">[13]Data!#REF!</definedName>
    <definedName name="BLPH35" localSheetId="13" hidden="1">[13]Data!#REF!</definedName>
    <definedName name="BLPH35" localSheetId="7" hidden="1">[13]Data!#REF!</definedName>
    <definedName name="BLPH35" localSheetId="12" hidden="1">[13]Data!#REF!</definedName>
    <definedName name="BLPH35" hidden="1">[13]Data!#REF!</definedName>
    <definedName name="BLPH4" hidden="1">'[12]crack spreads'!$A$3</definedName>
    <definedName name="BLPH5" hidden="1">'[12]crack spreads'!$A$3</definedName>
    <definedName name="BLPH6" hidden="1">'[12]crack spreads'!$A$3</definedName>
    <definedName name="BLPH7" hidden="1">'[12]crack spreads'!$A$3</definedName>
    <definedName name="BLPH8" hidden="1">'[12]IFO Manufacturing Business Clim'!$E$6</definedName>
    <definedName name="BLPH9" hidden="1">'[12]commercial construction'!$D$33</definedName>
    <definedName name="Bridge" localSheetId="7" hidden="1">{"'Highlights'!$A$1:$M$123"}</definedName>
    <definedName name="Bridge" localSheetId="6" hidden="1">{"'Highlights'!$A$1:$M$123"}</definedName>
    <definedName name="Bridge" hidden="1">{"'Highlights'!$A$1:$M$123"}</definedName>
    <definedName name="bvwrg" localSheetId="7"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localSheetId="6"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Cabinet" localSheetId="7" hidden="1">{"'Sheet1'!$A$1:$D$69"}</definedName>
    <definedName name="Cabinet" localSheetId="6" hidden="1">{"'Sheet1'!$A$1:$D$69"}</definedName>
    <definedName name="Cabinet" hidden="1">{"'Sheet1'!$A$1:$D$69"}</definedName>
    <definedName name="cance" localSheetId="7" hidden="1">{#N/A,#N/A,TRUE,"PAGE 2";#N/A,#N/A,TRUE,"PAGE 3";#N/A,#N/A,TRUE,"PAGE4"}</definedName>
    <definedName name="cance" localSheetId="6" hidden="1">{#N/A,#N/A,TRUE,"PAGE 2";#N/A,#N/A,TRUE,"PAGE 3";#N/A,#N/A,TRUE,"PAGE4"}</definedName>
    <definedName name="cance" hidden="1">{#N/A,#N/A,TRUE,"PAGE 2";#N/A,#N/A,TRUE,"PAGE 3";#N/A,#N/A,TRUE,"PAGE4"}</definedName>
    <definedName name="cawc" localSheetId="7"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 localSheetId="6"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b_sChart1D5372A5_opts" hidden="1">"1, 5, 1, False, 2, False, False, , 0, False, False, 1, 1"</definedName>
    <definedName name="cb_sChartE2218BA_opts" hidden="1">"1, 4, 1, False, 2, False, False, , 0, False, True, 1, 1"</definedName>
    <definedName name="cb_sChartE221ADA_opts" hidden="1">"1, 5, 1, False, 2, False, False, , 0, False, False, 1, 1"</definedName>
    <definedName name="CBWorkbookPriority" hidden="1">-1935235038</definedName>
    <definedName name="cccccccccccccczzzzzzz" hidden="1">'[11]IS Detail-budget run1_ Updated'!#REF!,'[11]IS Detail-budget run1_ Updated'!#REF!,'[11]IS Detail-budget run1_ Updated'!$E$1:$G$65536,'[11]IS Detail-budget run1_ Updated'!#REF!,'[11]IS Detail-budget run1_ Updated'!#REF!</definedName>
    <definedName name="chiho" localSheetId="7" hidden="1">{"'下期集計（10.27迄・速報値）'!$Q$16"}</definedName>
    <definedName name="chiho" localSheetId="6" hidden="1">{"'下期集計（10.27迄・速報値）'!$Q$16"}</definedName>
    <definedName name="chiho" hidden="1">{"'下期集計（10.27迄・速報値）'!$Q$16"}</definedName>
    <definedName name="chris" localSheetId="7" hidden="1">{#N/A,#N/A,FALSE,"Performance Flash Report"}</definedName>
    <definedName name="chris" localSheetId="6" hidden="1">{#N/A,#N/A,FALSE,"Performance Flash Report"}</definedName>
    <definedName name="chris" hidden="1">{#N/A,#N/A,FALSE,"Performance Flash Report"}</definedName>
    <definedName name="CIQWBGuid" hidden="1">"7b18bcf8-263b-4061-9e8a-67f30914c2d7"</definedName>
    <definedName name="CL" hidden="1">1</definedName>
    <definedName name="CLsysID" hidden="1">"BWP"</definedName>
    <definedName name="cm" localSheetId="7" hidden="1">{#N/A,#N/A,FALSE,"Aging Summary";#N/A,#N/A,FALSE,"Ratio Analysis";#N/A,#N/A,FALSE,"Test 120 Day Accts";#N/A,#N/A,FALSE,"Tickmarks"}</definedName>
    <definedName name="cm" localSheetId="6" hidden="1">{#N/A,#N/A,FALSE,"Aging Summary";#N/A,#N/A,FALSE,"Ratio Analysis";#N/A,#N/A,FALSE,"Test 120 Day Accts";#N/A,#N/A,FALSE,"Tickmarks"}</definedName>
    <definedName name="cm" hidden="1">{#N/A,#N/A,FALSE,"Aging Summary";#N/A,#N/A,FALSE,"Ratio Analysis";#N/A,#N/A,FALSE,"Test 120 Day Accts";#N/A,#N/A,FALSE,"Tickmarks"}</definedName>
    <definedName name="comeonnow" localSheetId="7" hidden="1">{#N/A,#N/A,FALSE,"Performance Flash Report"}</definedName>
    <definedName name="comeonnow" localSheetId="6" hidden="1">{#N/A,#N/A,FALSE,"Performance Flash Report"}</definedName>
    <definedName name="comeonnow" hidden="1">{#N/A,#N/A,FALSE,"Performance Flash Report"}</definedName>
    <definedName name="Consulotin" localSheetId="7" hidden="1">{#N/A,#N/A,FALSE,"BU INCOME STATEMENT ";#N/A,#N/A,FALSE,"EXPENSE SUMMARY ";#N/A,#N/A,FALSE,"DEPT1";#N/A,#N/A,FALSE,"DEPT1 (2)"}</definedName>
    <definedName name="Consulotin" localSheetId="6" hidden="1">{#N/A,#N/A,FALSE,"BU INCOME STATEMENT ";#N/A,#N/A,FALSE,"EXPENSE SUMMARY ";#N/A,#N/A,FALSE,"DEPT1";#N/A,#N/A,FALSE,"DEPT1 (2)"}</definedName>
    <definedName name="Consulotin" hidden="1">{#N/A,#N/A,FALSE,"BU INCOME STATEMENT ";#N/A,#N/A,FALSE,"EXPENSE SUMMARY ";#N/A,#N/A,FALSE,"DEPT1";#N/A,#N/A,FALSE,"DEPT1 (2)"}</definedName>
    <definedName name="copy" localSheetId="7" hidden="1">{#N/A,#N/A,FALSE,"Projections";#N/A,#N/A,FALSE,"Multiples Valuation";#N/A,#N/A,FALSE,"LBO";#N/A,#N/A,FALSE,"Multiples_Sensitivity";#N/A,#N/A,FALSE,"Summary"}</definedName>
    <definedName name="copy" localSheetId="6" hidden="1">{#N/A,#N/A,FALSE,"Projections";#N/A,#N/A,FALSE,"Multiples Valuation";#N/A,#N/A,FALSE,"LBO";#N/A,#N/A,FALSE,"Multiples_Sensitivity";#N/A,#N/A,FALSE,"Summary"}</definedName>
    <definedName name="copy" hidden="1">{#N/A,#N/A,FALSE,"Projections";#N/A,#N/A,FALSE,"Multiples Valuation";#N/A,#N/A,FALSE,"LBO";#N/A,#N/A,FALSE,"Multiples_Sensitivity";#N/A,#N/A,FALSE,"Summary"}</definedName>
    <definedName name="Covenants" localSheetId="7" hidden="1">{#N/A,#N/A,FALSE,"Projections";#N/A,#N/A,FALSE,"Multiples Valuation";#N/A,#N/A,FALSE,"LBO";#N/A,#N/A,FALSE,"Multiples_Sensitivity";#N/A,#N/A,FALSE,"Summary"}</definedName>
    <definedName name="Covenants" localSheetId="6" hidden="1">{#N/A,#N/A,FALSE,"Projections";#N/A,#N/A,FALSE,"Multiples Valuation";#N/A,#N/A,FALSE,"LBO";#N/A,#N/A,FALSE,"Multiples_Sensitivity";#N/A,#N/A,FALSE,"Summary"}</definedName>
    <definedName name="Covenants" hidden="1">{#N/A,#N/A,FALSE,"Projections";#N/A,#N/A,FALSE,"Multiples Valuation";#N/A,#N/A,FALSE,"LBO";#N/A,#N/A,FALSE,"Multiples_Sensitivity";#N/A,#N/A,FALSE,"Summary"}</definedName>
    <definedName name="cxaa" localSheetId="7" hidden="1">{#N/A,#N/A,FALSE,"Adj Proj";#N/A,#N/A,FALSE,"Sheet1";#N/A,#N/A,FALSE,"LBO";#N/A,#N/A,FALSE,"LBOMER";#N/A,#N/A,FALSE,"WACC";#N/A,#N/A,FALSE,"DCF";#N/A,#N/A,FALSE,"DCFMER";#N/A,#N/A,FALSE,"Pooling";#N/A,#N/A,FALSE,"income";#N/A,#N/A,FALSE,"Offer"}</definedName>
    <definedName name="cxaa" localSheetId="6" hidden="1">{#N/A,#N/A,FALSE,"Adj Proj";#N/A,#N/A,FALSE,"Sheet1";#N/A,#N/A,FALSE,"LBO";#N/A,#N/A,FALSE,"LBOMER";#N/A,#N/A,FALSE,"WACC";#N/A,#N/A,FALSE,"DCF";#N/A,#N/A,FALSE,"DCFMER";#N/A,#N/A,FALSE,"Pooling";#N/A,#N/A,FALSE,"income";#N/A,#N/A,FALSE,"Offer"}</definedName>
    <definedName name="cxaa" hidden="1">{#N/A,#N/A,FALSE,"Adj Proj";#N/A,#N/A,FALSE,"Sheet1";#N/A,#N/A,FALSE,"LBO";#N/A,#N/A,FALSE,"LBOMER";#N/A,#N/A,FALSE,"WACC";#N/A,#N/A,FALSE,"DCF";#N/A,#N/A,FALSE,"DCFMER";#N/A,#N/A,FALSE,"Pooling";#N/A,#N/A,FALSE,"income";#N/A,#N/A,FALSE,"Offer"}</definedName>
    <definedName name="czxcvxzc" hidden="1">#REF!</definedName>
    <definedName name="D" localSheetId="7" hidden="1">{"'Sheet1'!$A$1:$L$21"}</definedName>
    <definedName name="D" localSheetId="6" hidden="1">{"'Sheet1'!$A$1:$L$21"}</definedName>
    <definedName name="D" hidden="1">{"'Sheet1'!$A$1:$L$21"}</definedName>
    <definedName name="da" localSheetId="2" hidden="1">{#N/A,#N/A,FALSE,"Aging Summary";#N/A,#N/A,FALSE,"Ratio Analysis";#N/A,#N/A,FALSE,"Test 120 Day Accts";#N/A,#N/A,FALSE,"Tickmarks"}</definedName>
    <definedName name="da" localSheetId="7" hidden="1">{#N/A,#N/A,FALSE,"Aging Summary";#N/A,#N/A,FALSE,"Ratio Analysis";#N/A,#N/A,FALSE,"Test 120 Day Accts";#N/A,#N/A,FALSE,"Tickmarks"}</definedName>
    <definedName name="da" localSheetId="6" hidden="1">{#N/A,#N/A,FALSE,"Aging Summary";#N/A,#N/A,FALSE,"Ratio Analysis";#N/A,#N/A,FALSE,"Test 120 Day Accts";#N/A,#N/A,FALSE,"Tickmarks"}</definedName>
    <definedName name="DATA_01" localSheetId="13" hidden="1">#REF!</definedName>
    <definedName name="DATA_01" localSheetId="7" hidden="1">#REF!</definedName>
    <definedName name="DATA_01" localSheetId="12" hidden="1">#REF!</definedName>
    <definedName name="DATA_01" localSheetId="6" hidden="1">#REF!</definedName>
    <definedName name="DATA_01" hidden="1">#REF!</definedName>
    <definedName name="DATA_02" localSheetId="13" hidden="1">#REF!</definedName>
    <definedName name="DATA_02" localSheetId="7" hidden="1">#REF!</definedName>
    <definedName name="DATA_02" localSheetId="12" hidden="1">#REF!</definedName>
    <definedName name="DATA_02" localSheetId="6" hidden="1">#REF!</definedName>
    <definedName name="DATA_02" hidden="1">#REF!</definedName>
    <definedName name="DATA_03" localSheetId="13" hidden="1">#REF!</definedName>
    <definedName name="DATA_03" localSheetId="7" hidden="1">#REF!</definedName>
    <definedName name="DATA_03" localSheetId="12" hidden="1">#REF!</definedName>
    <definedName name="DATA_03" localSheetId="6" hidden="1">#REF!</definedName>
    <definedName name="DATA_03" hidden="1">#REF!</definedName>
    <definedName name="DATA_04" localSheetId="13" hidden="1">#REF!</definedName>
    <definedName name="DATA_04" localSheetId="7" hidden="1">#REF!</definedName>
    <definedName name="DATA_04" localSheetId="12" hidden="1">#REF!</definedName>
    <definedName name="DATA_04" hidden="1">#REF!</definedName>
    <definedName name="DATA_05" localSheetId="13" hidden="1">#REF!</definedName>
    <definedName name="DATA_05" localSheetId="7" hidden="1">#REF!</definedName>
    <definedName name="DATA_05" localSheetId="12" hidden="1">#REF!</definedName>
    <definedName name="DATA_05" hidden="1">#REF!</definedName>
    <definedName name="DATA_06" localSheetId="13" hidden="1">#REF!</definedName>
    <definedName name="DATA_06" localSheetId="7" hidden="1">#REF!</definedName>
    <definedName name="DATA_06" localSheetId="12" hidden="1">#REF!</definedName>
    <definedName name="DATA_06" hidden="1">#REF!</definedName>
    <definedName name="DATA_07" localSheetId="13" hidden="1">#REF!</definedName>
    <definedName name="DATA_07" localSheetId="7" hidden="1">#REF!</definedName>
    <definedName name="DATA_07" localSheetId="12" hidden="1">#REF!</definedName>
    <definedName name="DATA_07" hidden="1">#REF!</definedName>
    <definedName name="DATA_08" localSheetId="13" hidden="1">#REF!</definedName>
    <definedName name="DATA_08" localSheetId="7" hidden="1">#REF!</definedName>
    <definedName name="DATA_08" localSheetId="12" hidden="1">#REF!</definedName>
    <definedName name="DATA_08" hidden="1">#REF!</definedName>
    <definedName name="DATA_10" localSheetId="13" hidden="1">[14]MGreenberg!#REF!</definedName>
    <definedName name="DATA_10" localSheetId="7" hidden="1">[14]MGreenberg!#REF!</definedName>
    <definedName name="DATA_10" localSheetId="12" hidden="1">[14]MGreenberg!#REF!</definedName>
    <definedName name="DATA_10" hidden="1">[14]MGreenberg!#REF!</definedName>
    <definedName name="DATA_11" localSheetId="13" hidden="1">[14]MGreenberg!#REF!</definedName>
    <definedName name="DATA_11" localSheetId="7" hidden="1">[14]MGreenberg!#REF!</definedName>
    <definedName name="DATA_11" localSheetId="12" hidden="1">[14]MGreenberg!#REF!</definedName>
    <definedName name="DATA_11" hidden="1">[14]MGreenberg!#REF!</definedName>
    <definedName name="dbgf" hidden="1">#REF!</definedName>
    <definedName name="dd" localSheetId="7" hidden="1">{#N/A,#N/A,FALSE,"Performance Flash Report"}</definedName>
    <definedName name="dd" localSheetId="6" hidden="1">{#N/A,#N/A,FALSE,"Performance Flash Report"}</definedName>
    <definedName name="dd" hidden="1">{#N/A,#N/A,FALSE,"Performance Flash Report"}</definedName>
    <definedName name="ddbmdb" localSheetId="7" hidden="1">{#N/A,#N/A,FALSE,"Aging Summary";#N/A,#N/A,FALSE,"Ratio Analysis";#N/A,#N/A,FALSE,"Test 120 Day Accts";#N/A,#N/A,FALSE,"Tickmarks"}</definedName>
    <definedName name="ddbmdb" localSheetId="6" hidden="1">{#N/A,#N/A,FALSE,"Aging Summary";#N/A,#N/A,FALSE,"Ratio Analysis";#N/A,#N/A,FALSE,"Test 120 Day Accts";#N/A,#N/A,FALSE,"Tickmarks"}</definedName>
    <definedName name="ddbmdb" hidden="1">{#N/A,#N/A,FALSE,"Aging Summary";#N/A,#N/A,FALSE,"Ratio Analysis";#N/A,#N/A,FALSE,"Test 120 Day Accts";#N/A,#N/A,FALSE,"Tickmarks"}</definedName>
    <definedName name="ddd" localSheetId="7" hidden="1">{#N/A,#N/A,FALSE,"Performance Flash Report"}</definedName>
    <definedName name="ddd" localSheetId="6" hidden="1">{#N/A,#N/A,FALSE,"Performance Flash Report"}</definedName>
    <definedName name="ddd" hidden="1">{#N/A,#N/A,FALSE,"Performance Flash Report"}</definedName>
    <definedName name="dddd" localSheetId="7" hidden="1">{#N/A,#N/A,FALSE,"AD_Purchase";#N/A,#N/A,FALSE,"Credit";#N/A,#N/A,FALSE,"PF Acquisition";#N/A,#N/A,FALSE,"PF Offering"}</definedName>
    <definedName name="dddd" localSheetId="6" hidden="1">{#N/A,#N/A,FALSE,"AD_Purchase";#N/A,#N/A,FALSE,"Credit";#N/A,#N/A,FALSE,"PF Acquisition";#N/A,#N/A,FALSE,"PF Offering"}</definedName>
    <definedName name="dddd" hidden="1">{#N/A,#N/A,FALSE,"AD_Purchase";#N/A,#N/A,FALSE,"Credit";#N/A,#N/A,FALSE,"PF Acquisition";#N/A,#N/A,FALSE,"PF Offering"}</definedName>
    <definedName name="ddddddddd" localSheetId="7"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localSheetId="6"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ssssssssssssssc" hidden="1">#REF!</definedName>
    <definedName name="DE" localSheetId="7" hidden="1">{#N/A,#N/A,FALSE,"Cover";#N/A,#N/A,FALSE,"LUMI";#N/A,#N/A,FALSE,"COMD";#N/A,#N/A,FALSE,"Valuation";#N/A,#N/A,FALSE,"Assumptions";#N/A,#N/A,FALSE,"Pooling";#N/A,#N/A,FALSE,"BalanceSheet"}</definedName>
    <definedName name="DE" localSheetId="6" hidden="1">{#N/A,#N/A,FALSE,"Cover";#N/A,#N/A,FALSE,"LUMI";#N/A,#N/A,FALSE,"COMD";#N/A,#N/A,FALSE,"Valuation";#N/A,#N/A,FALSE,"Assumptions";#N/A,#N/A,FALSE,"Pooling";#N/A,#N/A,FALSE,"BalanceSheet"}</definedName>
    <definedName name="DE" hidden="1">{#N/A,#N/A,FALSE,"Cover";#N/A,#N/A,FALSE,"LUMI";#N/A,#N/A,FALSE,"COMD";#N/A,#N/A,FALSE,"Valuation";#N/A,#N/A,FALSE,"Assumptions";#N/A,#N/A,FALSE,"Pooling";#N/A,#N/A,FALSE,"BalanceSheet"}</definedName>
    <definedName name="DEM" hidden="1">1.95583</definedName>
    <definedName name="df" localSheetId="7" hidden="1">{#N/A,#N/A,FALSE,"Aging Summary";#N/A,#N/A,FALSE,"Ratio Analysis";#N/A,#N/A,FALSE,"Test 120 Day Accts";#N/A,#N/A,FALSE,"Tickmarks"}</definedName>
    <definedName name="df" localSheetId="6" hidden="1">{#N/A,#N/A,FALSE,"Aging Summary";#N/A,#N/A,FALSE,"Ratio Analysis";#N/A,#N/A,FALSE,"Test 120 Day Accts";#N/A,#N/A,FALSE,"Tickmarks"}</definedName>
    <definedName name="df" hidden="1">{#N/A,#N/A,FALSE,"Aging Summary";#N/A,#N/A,FALSE,"Ratio Analysis";#N/A,#N/A,FALSE,"Test 120 Day Accts";#N/A,#N/A,FALSE,"Tickmarks"}</definedName>
    <definedName name="dfg" localSheetId="7" hidden="1">{#N/A,#N/A,FALSE,"HuscoCombined-Summ";#N/A,#N/A,FALSE,"HuscoCombined-Income";#N/A,#N/A,FALSE,"HuscoCombined-Offering";#N/A,#N/A,FALSE,"Husco-Income";#N/A,#N/A,FALSE,"TargetEngineer";#N/A,#N/A,FALSE,"TargetAcqCalc";#N/A,#N/A,FALSE,"Husco-Acq"}</definedName>
    <definedName name="dfg" localSheetId="6" hidden="1">{#N/A,#N/A,FALSE,"HuscoCombined-Summ";#N/A,#N/A,FALSE,"HuscoCombined-Income";#N/A,#N/A,FALSE,"HuscoCombined-Offering";#N/A,#N/A,FALSE,"Husco-Income";#N/A,#N/A,FALSE,"TargetEngineer";#N/A,#N/A,FALSE,"TargetAcqCalc";#N/A,#N/A,FALSE,"Husco-Acq"}</definedName>
    <definedName name="dfg" hidden="1">{#N/A,#N/A,FALSE,"HuscoCombined-Summ";#N/A,#N/A,FALSE,"HuscoCombined-Income";#N/A,#N/A,FALSE,"HuscoCombined-Offering";#N/A,#N/A,FALSE,"Husco-Income";#N/A,#N/A,FALSE,"TargetEngineer";#N/A,#N/A,FALSE,"TargetAcqCalc";#N/A,#N/A,FALSE,"Husco-Acq"}</definedName>
    <definedName name="dfgdfg" localSheetId="7"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 localSheetId="6"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dfg" localSheetId="7" hidden="1">{#N/A,#N/A,FALSE,"Assump";#N/A,#N/A,FALSE,"Income";#N/A,#N/A,FALSE,"Balance";#N/A,#N/A,FALSE,"DCF Pump";#N/A,#N/A,FALSE,"Trans Assump";#N/A,#N/A,FALSE,"Combined Income";#N/A,#N/A,FALSE,"Combined Balance"}</definedName>
    <definedName name="dfgdfgdfg" localSheetId="6" hidden="1">{#N/A,#N/A,FALSE,"Assump";#N/A,#N/A,FALSE,"Income";#N/A,#N/A,FALSE,"Balance";#N/A,#N/A,FALSE,"DCF Pump";#N/A,#N/A,FALSE,"Trans Assump";#N/A,#N/A,FALSE,"Combined Income";#N/A,#N/A,FALSE,"Combined Balance"}</definedName>
    <definedName name="dfgdfgdfg" hidden="1">{#N/A,#N/A,FALSE,"Assump";#N/A,#N/A,FALSE,"Income";#N/A,#N/A,FALSE,"Balance";#N/A,#N/A,FALSE,"DCF Pump";#N/A,#N/A,FALSE,"Trans Assump";#N/A,#N/A,FALSE,"Combined Income";#N/A,#N/A,FALSE,"Combined Balance"}</definedName>
    <definedName name="dfgds" hidden="1">38922.8233796296</definedName>
    <definedName name="dfhdfjdf" localSheetId="13" hidden="1">'[3]Variance Sum '!#REF!</definedName>
    <definedName name="dfhdfjdf" localSheetId="7" hidden="1">'[3]Variance Sum '!#REF!</definedName>
    <definedName name="dfhdfjdf" localSheetId="12" hidden="1">'[3]Variance Sum '!#REF!</definedName>
    <definedName name="dfhdfjdf" hidden="1">'[3]Variance Sum '!#REF!</definedName>
    <definedName name="dgfjdgjd" localSheetId="13" hidden="1">'[3]Variance Sum '!#REF!</definedName>
    <definedName name="dgfjdgjd" localSheetId="7" hidden="1">'[3]Variance Sum '!#REF!</definedName>
    <definedName name="dgfjdgjd" localSheetId="12" hidden="1">'[3]Variance Sum '!#REF!</definedName>
    <definedName name="dgfjdgjd" hidden="1">'[3]Variance Sum '!#REF!</definedName>
    <definedName name="DSHiddenYear1" localSheetId="8" hidden="1">#REF!</definedName>
    <definedName name="DSHiddenYear1" localSheetId="13" hidden="1">#REF!</definedName>
    <definedName name="DSHiddenYear1" localSheetId="2" hidden="1">#REF!</definedName>
    <definedName name="DSHiddenYear1" localSheetId="7" hidden="1">#REF!</definedName>
    <definedName name="DSHiddenYear1" localSheetId="12" hidden="1">#REF!</definedName>
    <definedName name="DSHiddenYear1" localSheetId="6" hidden="1">#REF!</definedName>
    <definedName name="DSHiddenYear1" hidden="1">#REF!</definedName>
    <definedName name="DSHiddenYear2" localSheetId="13" hidden="1">#REF!</definedName>
    <definedName name="DSHiddenYear2" localSheetId="2" hidden="1">#REF!</definedName>
    <definedName name="DSHiddenYear2" localSheetId="7" hidden="1">#REF!</definedName>
    <definedName name="DSHiddenYear2" localSheetId="12" hidden="1">#REF!</definedName>
    <definedName name="DSHiddenYear2" localSheetId="6" hidden="1">#REF!</definedName>
    <definedName name="DSHiddenYear2" hidden="1">#REF!</definedName>
    <definedName name="DSHiddenYear3" localSheetId="13" hidden="1">#REF!</definedName>
    <definedName name="DSHiddenYear3" localSheetId="2" hidden="1">#REF!</definedName>
    <definedName name="DSHiddenYear3" localSheetId="7" hidden="1">#REF!</definedName>
    <definedName name="DSHiddenYear3" localSheetId="12" hidden="1">#REF!</definedName>
    <definedName name="DSHiddenYear3" localSheetId="6" hidden="1">#REF!</definedName>
    <definedName name="DSHiddenYear3" hidden="1">#REF!</definedName>
    <definedName name="DSHiddenYear4" localSheetId="13" hidden="1">#REF!</definedName>
    <definedName name="DSHiddenYear4" localSheetId="7" hidden="1">#REF!</definedName>
    <definedName name="DSHiddenYear4" localSheetId="12" hidden="1">#REF!</definedName>
    <definedName name="DSHiddenYear4" hidden="1">#REF!</definedName>
    <definedName name="DSIndHiddenYear1" localSheetId="13" hidden="1">#REF!</definedName>
    <definedName name="DSIndHiddenYear1" localSheetId="7" hidden="1">#REF!</definedName>
    <definedName name="DSIndHiddenYear1" localSheetId="12" hidden="1">#REF!</definedName>
    <definedName name="DSIndHiddenYear1" hidden="1">#REF!</definedName>
    <definedName name="DSIndHiddenYear2" localSheetId="13" hidden="1">#REF!</definedName>
    <definedName name="DSIndHiddenYear2" localSheetId="7" hidden="1">#REF!</definedName>
    <definedName name="DSIndHiddenYear2" localSheetId="12" hidden="1">#REF!</definedName>
    <definedName name="DSIndHiddenYear2" hidden="1">#REF!</definedName>
    <definedName name="DSIndHiddenYear3" localSheetId="13" hidden="1">#REF!</definedName>
    <definedName name="DSIndHiddenYear3" localSheetId="7" hidden="1">#REF!</definedName>
    <definedName name="DSIndHiddenYear3" localSheetId="12" hidden="1">#REF!</definedName>
    <definedName name="DSIndHiddenYear3" hidden="1">#REF!</definedName>
    <definedName name="DSIndHiddenYear4" localSheetId="13" hidden="1">#REF!</definedName>
    <definedName name="DSIndHiddenYear4" localSheetId="7" hidden="1">#REF!</definedName>
    <definedName name="DSIndHiddenYear4" localSheetId="12" hidden="1">#REF!</definedName>
    <definedName name="DSIndHiddenYear4" hidden="1">#REF!</definedName>
    <definedName name="DSIndHistHiddenYear1" localSheetId="13" hidden="1">#REF!</definedName>
    <definedName name="DSIndHistHiddenYear1" localSheetId="7" hidden="1">#REF!</definedName>
    <definedName name="DSIndHistHiddenYear1" localSheetId="12" hidden="1">#REF!</definedName>
    <definedName name="DSIndHistHiddenYear1" hidden="1">#REF!</definedName>
    <definedName name="DSIndHistHiddenYear2" localSheetId="13" hidden="1">#REF!</definedName>
    <definedName name="DSIndHistHiddenYear2" localSheetId="7" hidden="1">#REF!</definedName>
    <definedName name="DSIndHistHiddenYear2" localSheetId="12" hidden="1">#REF!</definedName>
    <definedName name="DSIndHistHiddenYear2" hidden="1">#REF!</definedName>
    <definedName name="DSIndHistHiddenYear3" localSheetId="13" hidden="1">#REF!</definedName>
    <definedName name="DSIndHistHiddenYear3" localSheetId="7" hidden="1">#REF!</definedName>
    <definedName name="DSIndHistHiddenYear3" localSheetId="12" hidden="1">#REF!</definedName>
    <definedName name="DSIndHistHiddenYear3" hidden="1">#REF!</definedName>
    <definedName name="DSIndHistHiddenYear4" localSheetId="13" hidden="1">#REF!</definedName>
    <definedName name="DSIndHistHiddenYear4" localSheetId="7" hidden="1">#REF!</definedName>
    <definedName name="DSIndHistHiddenYear4" localSheetId="12" hidden="1">#REF!</definedName>
    <definedName name="DSIndHistHiddenYear4" hidden="1">#REF!</definedName>
    <definedName name="DSIndHistHiddenYear5" localSheetId="13" hidden="1">#REF!</definedName>
    <definedName name="DSIndHistHiddenYear5" localSheetId="7" hidden="1">#REF!</definedName>
    <definedName name="DSIndHistHiddenYear5" localSheetId="12" hidden="1">#REF!</definedName>
    <definedName name="DSIndHistHiddenYear5" hidden="1">#REF!</definedName>
    <definedName name="dso_Cabinet" localSheetId="7" hidden="1">{"'Sheet1'!$A$1:$D$69"}</definedName>
    <definedName name="dso_Cabinet" localSheetId="6" hidden="1">{"'Sheet1'!$A$1:$D$69"}</definedName>
    <definedName name="dso_Cabinet" hidden="1">{"'Sheet1'!$A$1:$D$69"}</definedName>
    <definedName name="DSO_HTML_Control" localSheetId="7" hidden="1">{"'Sheet1'!$A$1:$D$69"}</definedName>
    <definedName name="DSO_HTML_Control" localSheetId="6" hidden="1">{"'Sheet1'!$A$1:$D$69"}</definedName>
    <definedName name="DSO_HTML_Control" hidden="1">{"'Sheet1'!$A$1:$D$69"}</definedName>
    <definedName name="DVSVSDVsdvsD" localSheetId="7" hidden="1">{"'Planning Data'!$A$2:$X$120"}</definedName>
    <definedName name="DVSVSDVsdvsD" localSheetId="6" hidden="1">{"'Planning Data'!$A$2:$X$120"}</definedName>
    <definedName name="DVSVSDVsdvsD" hidden="1">{"'Planning Data'!$A$2:$X$120"}</definedName>
    <definedName name="dwcwc" localSheetId="7" hidden="1">{#N/A,#N/A,FALSE,"Assump";#N/A,#N/A,FALSE,"Income";#N/A,#N/A,FALSE,"Balance";#N/A,#N/A,FALSE,"DCF Pump";#N/A,#N/A,FALSE,"Trans Assump";#N/A,#N/A,FALSE,"Combined Income";#N/A,#N/A,FALSE,"Combined Balance"}</definedName>
    <definedName name="dwcwc" localSheetId="6" hidden="1">{#N/A,#N/A,FALSE,"Assump";#N/A,#N/A,FALSE,"Income";#N/A,#N/A,FALSE,"Balance";#N/A,#N/A,FALSE,"DCF Pump";#N/A,#N/A,FALSE,"Trans Assump";#N/A,#N/A,FALSE,"Combined Income";#N/A,#N/A,FALSE,"Combined Balance"}</definedName>
    <definedName name="dwcwc" hidden="1">{#N/A,#N/A,FALSE,"Assump";#N/A,#N/A,FALSE,"Income";#N/A,#N/A,FALSE,"Balance";#N/A,#N/A,FALSE,"DCF Pump";#N/A,#N/A,FALSE,"Trans Assump";#N/A,#N/A,FALSE,"Combined Income";#N/A,#N/A,FALSE,"Combined Balance"}</definedName>
    <definedName name="ee" localSheetId="7" hidden="1">{#N/A,#N/A,FALSE,"Tabelle1"}</definedName>
    <definedName name="ee" localSheetId="6" hidden="1">{#N/A,#N/A,FALSE,"Tabelle1"}</definedName>
    <definedName name="ee" hidden="1">{#N/A,#N/A,FALSE,"Tabelle1"}</definedName>
    <definedName name="efbar" localSheetId="7" hidden="1">{#N/A,#N/A,FALSE,"Performance Flash Report"}</definedName>
    <definedName name="efbar" localSheetId="6" hidden="1">{#N/A,#N/A,FALSE,"Performance Flash Report"}</definedName>
    <definedName name="efbar" hidden="1">{#N/A,#N/A,FALSE,"Performance Flash Report"}</definedName>
    <definedName name="efQFQA" localSheetId="13" hidden="1">[15]DS_Industry_Specif!#REF!</definedName>
    <definedName name="efQFQA" localSheetId="7" hidden="1">[15]DS_Industry_Specif!#REF!</definedName>
    <definedName name="efQFQA" localSheetId="12" hidden="1">[15]DS_Industry_Specif!#REF!</definedName>
    <definedName name="efQFQA" hidden="1">[15]DS_Industry_Specif!#REF!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r" localSheetId="8" hidden="1">[15]DS_Industry_Specif!#REF!</definedName>
    <definedName name="er" localSheetId="13" hidden="1">[15]DS_Industry_Specif!#REF!</definedName>
    <definedName name="er" localSheetId="2" hidden="1">[15]DS_Industry_Specif!#REF!</definedName>
    <definedName name="er" localSheetId="7" hidden="1">[15]DS_Industry_Specif!#REF!</definedName>
    <definedName name="er" localSheetId="12" hidden="1">[15]DS_Industry_Specif!#REF!</definedName>
    <definedName name="er" localSheetId="6" hidden="1">[15]DS_Industry_Specif!#REF!</definedName>
    <definedName name="er" hidden="1">[15]DS_Industry_Specif!#REF!</definedName>
    <definedName name="ere" localSheetId="7" hidden="1">{#N/A,#N/A,FALSE,"Tabelle1"}</definedName>
    <definedName name="ere" localSheetId="6" hidden="1">{#N/A,#N/A,FALSE,"Tabelle1"}</definedName>
    <definedName name="ere" hidden="1">{#N/A,#N/A,FALSE,"Tabelle1"}</definedName>
    <definedName name="ertyjuytruyt" hidden="1">#REF!</definedName>
    <definedName name="etc" localSheetId="13" hidden="1">#REF!</definedName>
    <definedName name="etc" localSheetId="7" hidden="1">#REF!</definedName>
    <definedName name="etc" localSheetId="12" hidden="1">#REF!</definedName>
    <definedName name="etc" localSheetId="6" hidden="1">#REF!</definedName>
    <definedName name="etc" hidden="1">#REF!</definedName>
    <definedName name="EUR" hidden="1">1</definedName>
    <definedName name="ev.Calculation" hidden="1">-4135</definedName>
    <definedName name="ev.Initialized" hidden="1">FALSE</definedName>
    <definedName name="EV__CVPARAMS__" hidden="1">"Trend!$B$17:$C$38;"</definedName>
    <definedName name="EV__DECIMALSYMBOL__" hidden="1">"."</definedName>
    <definedName name="EV__LOCKEDCVW__CASHFLOW" hidden="1">"A_TOTCFA,AC_CASHAC,ACTUAL,LC,E_QSG,2007.Q2,PERIODIC,"</definedName>
    <definedName name="EV__LOCKEDCVW__CONSO" hidden="1">"A_None_NETINC,B_ALL,ACTUAL,C_ALL,USD,TotConso,E_QSG,G_ALL,2007.Q3,PERIODIC,"</definedName>
    <definedName name="EV__LOCKEDCVW__CORPOPS" hidden="1">"A_None_NETINC,B_ALL,BUDGET,C_ALL,USD,TotConso,E_100,G_ALL,2007.Q3,PERIODIC,"</definedName>
    <definedName name="EV__LOCKEDCVW__FINANCE" hidden="1">"Miles,Plan,TotalAdj,TOT_DEPT,TOT_COMPANY,TOT_LOB,2008.total,PERIODIC,"</definedName>
    <definedName name="EV__LOCKEDCVW__FPR" hidden="1">"A_STAT_INVENT,B_ALL,FORECAST,C_ALL,LC,Input,D_ALL,E_503,P_ALL,S_ALL,2006.Q4,PERIODIC,"</definedName>
    <definedName name="EV__LOCKEDCVW__INTERCOMATCHING" hidden="1">"ICAssets,Actual,Input,E_All,I_All,2004.TOTAL,USD,PERIODIC,"</definedName>
    <definedName name="EV__LOCKEDCVW__PAYROLL" hidden="1">"11250,Actual,TotalAdj,TOT_DEPT,ALLEMPL,TOT_COMPANY_PF,Tot_Job,TOT_LOB,ALLPAYGROUPS,2008.Total,ALLDATACONT,PERIODIC,"</definedName>
    <definedName name="EV__LOCKEDCVW__RATE" hidden="1">"ACTUAL,USD,Avg,Default,2004.TOTAL,PERIODIC,"</definedName>
    <definedName name="EV__LOCKEDCVW__RATE_INTERCO" hidden="1">"Actual,Avg,Default,2004.TOTAL,USD,PERIODIC,"</definedName>
    <definedName name="EV__LOCKEDCVW__REVENUE" hidden="1">"CustomerData,Actual,1001018,Revenue,10,TOT_LOB,2009.SEP,PERIODIC,"</definedName>
    <definedName name="EV__LOCKEDCVW__SAFETY" hidden="1">"PrevDOTRatio_PLAN,Plan,Input,LINEHAUL,TOT_COMPANY,REGULAR,2009.TOTAL,PERIODIC,"</definedName>
    <definedName name="EV__LOCKSTATUS__" hidden="1">4</definedName>
    <definedName name="EV__WSINFO__" hidden="1">"silver"</definedName>
    <definedName name="f" localSheetId="2" hidden="1">{#N/A,#N/A,FALSE,"ACTIVO - hoja 1";#N/A,#N/A,FALSE,"ACTIVO - hoja 2";#N/A,#N/A,FALSE,"PASIVO - hoja 1";#N/A,#N/A,FALSE,"PASIVO - hoja 2";#N/A,#N/A,FALSE,"GASTOS - hoja 1 ";#N/A,#N/A,FALSE,"GASTOS - hoja 2";#N/A,#N/A,FALSE,"INGRESOS - hoja 1 ";#N/A,#N/A,FALSE,"INGRESOS - hoja 2"}</definedName>
    <definedName name="f" localSheetId="7" hidden="1">{#N/A,#N/A,FALSE,"ACTIVO - hoja 1";#N/A,#N/A,FALSE,"ACTIVO - hoja 2";#N/A,#N/A,FALSE,"PASIVO - hoja 1";#N/A,#N/A,FALSE,"PASIVO - hoja 2";#N/A,#N/A,FALSE,"GASTOS - hoja 1 ";#N/A,#N/A,FALSE,"GASTOS - hoja 2";#N/A,#N/A,FALSE,"INGRESOS - hoja 1 ";#N/A,#N/A,FALSE,"INGRESOS - hoja 2"}</definedName>
    <definedName name="f" localSheetId="6" hidden="1">{#N/A,#N/A,FALSE,"ACTIVO - hoja 1";#N/A,#N/A,FALSE,"ACTIVO - hoja 2";#N/A,#N/A,FALSE,"PASIVO - hoja 1";#N/A,#N/A,FALSE,"PASIVO - hoja 2";#N/A,#N/A,FALSE,"GASTOS - hoja 1 ";#N/A,#N/A,FALSE,"GASTOS - hoja 2";#N/A,#N/A,FALSE,"INGRESOS - hoja 1 ";#N/A,#N/A,FALSE,"INGRESOS - hoja 2"}</definedName>
    <definedName name="fddfghdjd" localSheetId="13" hidden="1">'[3]Variance Sum '!#REF!</definedName>
    <definedName name="fddfghdjd" localSheetId="7" hidden="1">'[3]Variance Sum '!#REF!</definedName>
    <definedName name="fddfghdjd" localSheetId="12" hidden="1">'[3]Variance Sum '!#REF!</definedName>
    <definedName name="fddfghdjd" hidden="1">'[3]Variance Sum '!#REF!</definedName>
    <definedName name="fdg" localSheetId="7" hidden="1">{"Assumptions",#N/A,TRUE,"Assumptions";"Income",#N/A,TRUE,"Income";"Balance",#N/A,TRUE,"Balance"}</definedName>
    <definedName name="fdg" localSheetId="6" hidden="1">{"Assumptions",#N/A,TRUE,"Assumptions";"Income",#N/A,TRUE,"Income";"Balance",#N/A,TRUE,"Balance"}</definedName>
    <definedName name="fdg" hidden="1">{"Assumptions",#N/A,TRUE,"Assumptions";"Income",#N/A,TRUE,"Income";"Balance",#N/A,TRUE,"Balance"}</definedName>
    <definedName name="fds" hidden="1">"c275"</definedName>
    <definedName name="fdsa" hidden="1">"c301"</definedName>
    <definedName name="fg" localSheetId="7" hidden="1">{#N/A,#N/A,FALSE,"Pooling";#N/A,#N/A,FALSE,"income";#N/A,#N/A,FALSE,"valuation"}</definedName>
    <definedName name="fg" localSheetId="6" hidden="1">{#N/A,#N/A,FALSE,"Pooling";#N/A,#N/A,FALSE,"income";#N/A,#N/A,FALSE,"valuation"}</definedName>
    <definedName name="fg" hidden="1">{#N/A,#N/A,FALSE,"Pooling";#N/A,#N/A,FALSE,"income";#N/A,#N/A,FALSE,"valuation"}</definedName>
    <definedName name="fgh" hidden="1">"c118"</definedName>
    <definedName name="fghjdfj" localSheetId="13" hidden="1">'[3]Variance Sum '!#REF!</definedName>
    <definedName name="fghjdfj" localSheetId="7" hidden="1">'[3]Variance Sum '!#REF!</definedName>
    <definedName name="fghjdfj" localSheetId="12" hidden="1">'[3]Variance Sum '!#REF!</definedName>
    <definedName name="fghjdfj" hidden="1">'[3]Variance Sum '!#REF!</definedName>
    <definedName name="fghkfghkf" localSheetId="13" hidden="1">'[4]19'!#REF!</definedName>
    <definedName name="fghkfghkf" localSheetId="7" hidden="1">'[4]19'!#REF!</definedName>
    <definedName name="fghkfghkf" localSheetId="12" hidden="1">'[4]19'!#REF!</definedName>
    <definedName name="fghkfghkf" hidden="1">'[4]19'!#REF!</definedName>
    <definedName name="fghkfghkghj" localSheetId="13" hidden="1">'[3]Variance Sum '!#REF!</definedName>
    <definedName name="fghkfghkghj" localSheetId="7" hidden="1">'[3]Variance Sum '!#REF!</definedName>
    <definedName name="fghkfghkghj" localSheetId="12" hidden="1">'[3]Variance Sum '!#REF!</definedName>
    <definedName name="fghkfghkghj" hidden="1">'[3]Variance Sum '!#REF!</definedName>
    <definedName name="fghkjfghkfghkf" localSheetId="13" hidden="1">'[3]Variance Sum '!#REF!</definedName>
    <definedName name="fghkjfghkfghkf" localSheetId="7" hidden="1">'[3]Variance Sum '!#REF!</definedName>
    <definedName name="fghkjfghkfghkf" localSheetId="12" hidden="1">'[3]Variance Sum '!#REF!</definedName>
    <definedName name="fghkjfghkfghkf" hidden="1">'[3]Variance Sum '!#REF!</definedName>
    <definedName name="fhsdfghsfdg" localSheetId="13" hidden="1">'[4]19'!#REF!</definedName>
    <definedName name="fhsdfghsfdg" localSheetId="7" hidden="1">'[4]19'!#REF!</definedName>
    <definedName name="fhsdfghsfdg" localSheetId="12" hidden="1">'[4]19'!#REF!</definedName>
    <definedName name="fhsdfghsfdg" localSheetId="6" hidden="1">'[4]19'!#REF!</definedName>
    <definedName name="fhsdfghsfdg" hidden="1">'[4]19'!#REF!</definedName>
    <definedName name="Formatted" localSheetId="7" hidden="1">{"'Sheet1'!$A$1:$F$101"}</definedName>
    <definedName name="Formatted" localSheetId="6" hidden="1">{"'Sheet1'!$A$1:$F$101"}</definedName>
    <definedName name="Formatted" hidden="1">{"'Sheet1'!$A$1:$F$101"}</definedName>
    <definedName name="fsfdgsfdhj" localSheetId="13" hidden="1">'[3]Variance Sum '!#REF!</definedName>
    <definedName name="fsfdgsfdhj" localSheetId="7" hidden="1">'[3]Variance Sum '!#REF!</definedName>
    <definedName name="fsfdgsfdhj" localSheetId="12" hidden="1">'[3]Variance Sum '!#REF!</definedName>
    <definedName name="fsfdgsfdhj" localSheetId="6" hidden="1">'[3]Variance Sum '!#REF!</definedName>
    <definedName name="fsfdgsfdhj" hidden="1">'[3]Variance Sum '!#REF!</definedName>
    <definedName name="fuyituy" localSheetId="13" hidden="1">'[3]Variance Sum '!#REF!</definedName>
    <definedName name="fuyituy" localSheetId="7" hidden="1">'[3]Variance Sum '!#REF!</definedName>
    <definedName name="fuyituy" localSheetId="12" hidden="1">'[3]Variance Sum '!#REF!</definedName>
    <definedName name="fuyituy" localSheetId="6" hidden="1">'[3]Variance Sum '!#REF!</definedName>
    <definedName name="fuyituy" hidden="1">'[3]Variance Sum '!#REF!</definedName>
    <definedName name="ｇ" localSheetId="7" hidden="1">{"'下期集計（10.27迄・速報値）'!$Q$16"}</definedName>
    <definedName name="ｇ" localSheetId="6" hidden="1">{"'下期集計（10.27迄・速報値）'!$Q$16"}</definedName>
    <definedName name="ｇ" hidden="1">{"'下期集計（10.27迄・速報値）'!$Q$16"}</definedName>
    <definedName name="gd" localSheetId="7" hidden="1">{"'下期集計（10.27迄・速報値）'!$Q$16"}</definedName>
    <definedName name="gd" localSheetId="6" hidden="1">{"'下期集計（10.27迄・速報値）'!$Q$16"}</definedName>
    <definedName name="gd" hidden="1">{"'下期集計（10.27迄・速報値）'!$Q$16"}</definedName>
    <definedName name="gda" localSheetId="7" hidden="1">{"'下期集計（10.27迄・速報値）'!$Q$16"}</definedName>
    <definedName name="gda" localSheetId="6" hidden="1">{"'下期集計（10.27迄・速報値）'!$Q$16"}</definedName>
    <definedName name="gda" hidden="1">{"'下期集計（10.27迄・速報値）'!$Q$16"}</definedName>
    <definedName name="gdfs" localSheetId="7" hidden="1">{#N/A,#N/A,FALSE,"Projections";#N/A,#N/A,FALSE,"Multiples Valuation";#N/A,#N/A,FALSE,"LBO";#N/A,#N/A,FALSE,"Multiples_Sensitivity";#N/A,#N/A,FALSE,"Summary"}</definedName>
    <definedName name="gdfs" localSheetId="6" hidden="1">{#N/A,#N/A,FALSE,"Projections";#N/A,#N/A,FALSE,"Multiples Valuation";#N/A,#N/A,FALSE,"LBO";#N/A,#N/A,FALSE,"Multiples_Sensitivity";#N/A,#N/A,FALSE,"Summary"}</definedName>
    <definedName name="gdfs" hidden="1">{#N/A,#N/A,FALSE,"Projections";#N/A,#N/A,FALSE,"Multiples Valuation";#N/A,#N/A,FALSE,"LBO";#N/A,#N/A,FALSE,"Multiples_Sensitivity";#N/A,#N/A,FALSE,"Summary"}</definedName>
    <definedName name="gdsa" localSheetId="7" hidden="1">{"'下期集計（10.27迄・速報値）'!$Q$16"}</definedName>
    <definedName name="gdsa" localSheetId="6" hidden="1">{"'下期集計（10.27迄・速報値）'!$Q$16"}</definedName>
    <definedName name="gdsa" hidden="1">{"'下期集計（10.27迄・速報値）'!$Q$16"}</definedName>
    <definedName name="gf" hidden="1">"c247"</definedName>
    <definedName name="gfdfsa" hidden="1">"c261"</definedName>
    <definedName name="GlideChartMarker" hidden="1">"Chart!A1"</definedName>
    <definedName name="GlideDataMarker" hidden="1">"Data!A1"</definedName>
    <definedName name="GlideHiddenMarker" hidden="1">"Costcurvedata!A1"</definedName>
    <definedName name="GlideMaxCharts" hidden="1">7</definedName>
    <definedName name="gljghjlghj" localSheetId="13" hidden="1">'[3]Variance Sum '!#REF!</definedName>
    <definedName name="gljghjlghj" localSheetId="7" hidden="1">'[3]Variance Sum '!#REF!</definedName>
    <definedName name="gljghjlghj" localSheetId="12" hidden="1">'[3]Variance Sum '!#REF!</definedName>
    <definedName name="gljghjlghj" hidden="1">'[3]Variance Sum '!#REF!</definedName>
    <definedName name="ｈ" localSheetId="7" hidden="1">{"'下期集計（10.27迄・速報値）'!$Q$16"}</definedName>
    <definedName name="ｈ" localSheetId="6" hidden="1">{"'下期集計（10.27迄・速報値）'!$Q$16"}</definedName>
    <definedName name="ｈ" hidden="1">{"'下期集計（10.27迄・速報値）'!$Q$16"}</definedName>
    <definedName name="Ｈ16・１" localSheetId="7" hidden="1">{"'コメント'!$A$1:$C$37"}</definedName>
    <definedName name="Ｈ16・１" localSheetId="6" hidden="1">{"'コメント'!$A$1:$C$37"}</definedName>
    <definedName name="Ｈ16・１" hidden="1">{"'コメント'!$A$1:$C$37"}</definedName>
    <definedName name="H16･1速報" localSheetId="7" hidden="1">{"'コメント'!$A$1:$C$37"}</definedName>
    <definedName name="H16･1速報" localSheetId="6" hidden="1">{"'コメント'!$A$1:$C$37"}</definedName>
    <definedName name="H16･1速報" hidden="1">{"'コメント'!$A$1:$C$37"}</definedName>
    <definedName name="Headcount" localSheetId="2" hidden="1">[7]지급어음!#REF!</definedName>
    <definedName name="Headcount" localSheetId="7" hidden="1">[7]지급어음!#REF!</definedName>
    <definedName name="Headcount" localSheetId="6" hidden="1">[7]지급어음!#REF!</definedName>
    <definedName name="hello" localSheetId="7" hidden="1">{"QTR1",#N/A,FALSE,"96OUT";"QTR2",#N/A,FALSE,"96OUT";"QTR3",#N/A,FALSE,"96OUT";"QTR4",#N/A,FALSE,"96OUT";"YEAR",#N/A,FALSE,"96OUT"}</definedName>
    <definedName name="hello" localSheetId="6" hidden="1">{"QTR1",#N/A,FALSE,"96OUT";"QTR2",#N/A,FALSE,"96OUT";"QTR3",#N/A,FALSE,"96OUT";"QTR4",#N/A,FALSE,"96OUT";"YEAR",#N/A,FALSE,"96OUT"}</definedName>
    <definedName name="hello" hidden="1">{"QTR1",#N/A,FALSE,"96OUT";"QTR2",#N/A,FALSE,"96OUT";"QTR3",#N/A,FALSE,"96OUT";"QTR4",#N/A,FALSE,"96OUT";"YEAR",#N/A,FALSE,"96OUT"}</definedName>
    <definedName name="hellop" localSheetId="7" hidden="1">{#N/A,#N/A,TRUE,"PAGE 2";#N/A,#N/A,TRUE,"PAGE 3";#N/A,#N/A,TRUE,"PAGE4"}</definedName>
    <definedName name="hellop" localSheetId="6" hidden="1">{#N/A,#N/A,TRUE,"PAGE 2";#N/A,#N/A,TRUE,"PAGE 3";#N/A,#N/A,TRUE,"PAGE4"}</definedName>
    <definedName name="hellop" hidden="1">{#N/A,#N/A,TRUE,"PAGE 2";#N/A,#N/A,TRUE,"PAGE 3";#N/A,#N/A,TRUE,"PAGE4"}</definedName>
    <definedName name="help" localSheetId="7" hidden="1">{#N/A,#N/A,FALSE,"Summary";#N/A,#N/A,FALSE,"proj1";#N/A,#N/A,FALSE,"proj2";#N/A,#N/A,FALSE,"DCF"}</definedName>
    <definedName name="help" localSheetId="6" hidden="1">{#N/A,#N/A,FALSE,"Summary";#N/A,#N/A,FALSE,"proj1";#N/A,#N/A,FALSE,"proj2";#N/A,#N/A,FALSE,"DCF"}</definedName>
    <definedName name="help" hidden="1">{#N/A,#N/A,FALSE,"Summary";#N/A,#N/A,FALSE,"proj1";#N/A,#N/A,FALSE,"proj2";#N/A,#N/A,FALSE,"DCF"}</definedName>
    <definedName name="hgh" hidden="1">#REF!</definedName>
    <definedName name="hjlhjklhjkl" localSheetId="13" hidden="1">'[3]Variance Sum '!#REF!</definedName>
    <definedName name="hjlhjklhjkl" localSheetId="7" hidden="1">'[3]Variance Sum '!#REF!</definedName>
    <definedName name="hjlhjklhjkl" localSheetId="12" hidden="1">'[3]Variance Sum '!#REF!</definedName>
    <definedName name="hjlhjklhjkl" hidden="1">'[3]Variance Sum '!#REF!</definedName>
    <definedName name="hjyny" localSheetId="7" hidden="1">{#N/A,#N/A,FALSE,"TSUM";#N/A,#N/A,FALSE,"shares";#N/A,#N/A,FALSE,"earnout";#N/A,#N/A,FALSE,"Heaty";#N/A,#N/A,FALSE,"self-tend";#N/A,#N/A,FALSE,"self-sum"}</definedName>
    <definedName name="hjyny" localSheetId="6" hidden="1">{#N/A,#N/A,FALSE,"TSUM";#N/A,#N/A,FALSE,"shares";#N/A,#N/A,FALSE,"earnout";#N/A,#N/A,FALSE,"Heaty";#N/A,#N/A,FALSE,"self-tend";#N/A,#N/A,FALSE,"self-sum"}</definedName>
    <definedName name="hjyny" hidden="1">{#N/A,#N/A,FALSE,"TSUM";#N/A,#N/A,FALSE,"shares";#N/A,#N/A,FALSE,"earnout";#N/A,#N/A,FALSE,"Heaty";#N/A,#N/A,FALSE,"self-tend";#N/A,#N/A,FALSE,"self-sum"}</definedName>
    <definedName name="hkklghjlg" localSheetId="13" hidden="1">'[3]Variance Sum '!#REF!</definedName>
    <definedName name="hkklghjlg" localSheetId="7" hidden="1">'[3]Variance Sum '!#REF!</definedName>
    <definedName name="hkklghjlg" localSheetId="12" hidden="1">'[3]Variance Sum '!#REF!</definedName>
    <definedName name="hkklghjlg" hidden="1">'[3]Variance Sum '!#REF!</definedName>
    <definedName name="hn.ExtDb" hidden="1">FALSE</definedName>
    <definedName name="hn.ModelType" hidden="1">"DEAL"</definedName>
    <definedName name="hn.ModelVersion" hidden="1">1</definedName>
    <definedName name="hn.NoUpload" hidden="1">0</definedName>
    <definedName name="hod" localSheetId="7" hidden="1">{#N/A,#N/A,FALSE,"TS";#N/A,#N/A,FALSE,"Combo";#N/A,#N/A,FALSE,"FAIR";#N/A,#N/A,FALSE,"RBC";#N/A,#N/A,FALSE,"xxxx";#N/A,#N/A,FALSE,"A_D";#N/A,#N/A,FALSE,"WACC";#N/A,#N/A,FALSE,"DCF";#N/A,#N/A,FALSE,"LBO";#N/A,#N/A,FALSE,"AcqMults";#N/A,#N/A,FALSE,"CompMults"}</definedName>
    <definedName name="hod" localSheetId="6"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uy" localSheetId="7" hidden="1">{#N/A,#N/A,FALSE,"AD_Purchase";#N/A,#N/A,FALSE,"Credit";#N/A,#N/A,FALSE,"PF Acquisition";#N/A,#N/A,FALSE,"PF Offering"}</definedName>
    <definedName name="houy" localSheetId="6" hidden="1">{#N/A,#N/A,FALSE,"AD_Purchase";#N/A,#N/A,FALSE,"Credit";#N/A,#N/A,FALSE,"PF Acquisition";#N/A,#N/A,FALSE,"PF Offering"}</definedName>
    <definedName name="houy" hidden="1">{#N/A,#N/A,FALSE,"AD_Purchase";#N/A,#N/A,FALSE,"Credit";#N/A,#N/A,FALSE,"PF Acquisition";#N/A,#N/A,FALSE,"PF Offering"}</definedName>
    <definedName name="houy2" localSheetId="7" hidden="1">{#N/A,#N/A,FALSE,"AD_Purchase";#N/A,#N/A,FALSE,"Credit";#N/A,#N/A,FALSE,"PF Acquisition";#N/A,#N/A,FALSE,"PF Offering"}</definedName>
    <definedName name="houy2" localSheetId="6" hidden="1">{#N/A,#N/A,FALSE,"AD_Purchase";#N/A,#N/A,FALSE,"Credit";#N/A,#N/A,FALSE,"PF Acquisition";#N/A,#N/A,FALSE,"PF Offering"}</definedName>
    <definedName name="houy2" hidden="1">{#N/A,#N/A,FALSE,"AD_Purchase";#N/A,#N/A,FALSE,"Credit";#N/A,#N/A,FALSE,"PF Acquisition";#N/A,#N/A,FALSE,"PF Offering"}</definedName>
    <definedName name="HTM_Control" localSheetId="7" hidden="1">{"'下期集計（10.27迄・速報値）'!$Q$16"}</definedName>
    <definedName name="HTM_Control" localSheetId="6" hidden="1">{"'下期集計（10.27迄・速報値）'!$Q$16"}</definedName>
    <definedName name="HTM_Control" hidden="1">{"'下期集計（10.27迄・速報値）'!$Q$16"}</definedName>
    <definedName name="ＨＴＭＬ" localSheetId="7" hidden="1">{"'コメント'!$A$1:$C$37"}</definedName>
    <definedName name="ＨＴＭＬ" localSheetId="6" hidden="1">{"'コメント'!$A$1:$C$37"}</definedName>
    <definedName name="ＨＴＭＬ" hidden="1">{"'コメント'!$A$1:$C$37"}</definedName>
    <definedName name="HTML_CodePage" hidden="1">1252</definedName>
    <definedName name="HTML_Control" localSheetId="7" hidden="1">{"'Planning Data'!$A$2:$X$120"}</definedName>
    <definedName name="HTML_Control" localSheetId="6" hidden="1">{"'Planning Data'!$A$2:$X$120"}</definedName>
    <definedName name="HTML_Control" hidden="1">{"'Planning Data'!$A$2:$X$120"}</definedName>
    <definedName name="HTML_Control_BS" localSheetId="7" hidden="1">{"'Sheet1'!$A$1:$L$21"}</definedName>
    <definedName name="HTML_Control_BS" localSheetId="6" hidden="1">{"'Sheet1'!$A$1:$L$21"}</definedName>
    <definedName name="HTML_Control_BS" hidden="1">{"'Sheet1'!$A$1:$L$21"}</definedName>
    <definedName name="html_control2" localSheetId="7" hidden="1">{"'Planning Data'!$A$2:$X$120"}</definedName>
    <definedName name="html_control2" localSheetId="6" hidden="1">{"'Planning Data'!$A$2:$X$120"}</definedName>
    <definedName name="html_control2" hidden="1">{"'Planning Data'!$A$2:$X$120"}</definedName>
    <definedName name="HTML_Description" hidden="1">"Week Ending 8/26/99"</definedName>
    <definedName name="HTML_Email" hidden="1">"net-planning@mindspring.com"</definedName>
    <definedName name="HTML_Header" hidden="1">"MindSpring Planning Data Report"</definedName>
    <definedName name="HTML_LastUpdate" hidden="1">"08/27/1999"</definedName>
    <definedName name="HTML_LineAfter" hidden="1">FALSE</definedName>
    <definedName name="HTML_LineBefore" hidden="1">TRUE</definedName>
    <definedName name="HTML_Name" hidden="1">"jason cohn"</definedName>
    <definedName name="HTML_OBDlg2" hidden="1">TRUE</definedName>
    <definedName name="HTML_OBDlg4" hidden="1">TRUE</definedName>
    <definedName name="HTML_OS" hidden="1">0</definedName>
    <definedName name="HTML_PathFile" hidden="1">"C:\html\august2799.htm"</definedName>
    <definedName name="HTML_PathFileMac" hidden="1">"Macintosh HD:HomePageStuff:pc:datasets:implprem.html"</definedName>
    <definedName name="HTML_Title" hidden="1">"MindSpring Planning Data Report"</definedName>
    <definedName name="I" localSheetId="13" hidden="1">#REF!</definedName>
    <definedName name="I" localSheetId="7" hidden="1">#REF!</definedName>
    <definedName name="I" localSheetId="12" hidden="1">#REF!</definedName>
    <definedName name="I" hidden="1">#REF!</definedName>
    <definedName name="iffy" localSheetId="7"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6"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i" localSheetId="7" hidden="1">{"'Sheet1'!$A$1:$H$36"}</definedName>
    <definedName name="ii" localSheetId="6" hidden="1">{"'Sheet1'!$A$1:$H$36"}</definedName>
    <definedName name="ii" hidden="1">{"'Sheet1'!$A$1:$H$36"}</definedName>
    <definedName name="ijn" localSheetId="7" hidden="1">{#N/A,#N/A,FALSE,"AD_Purchase";#N/A,#N/A,FALSE,"Credit";#N/A,#N/A,FALSE,"PF Acquisition";#N/A,#N/A,FALSE,"PF Offering"}</definedName>
    <definedName name="ijn" localSheetId="6" hidden="1">{#N/A,#N/A,FALSE,"AD_Purchase";#N/A,#N/A,FALSE,"Credit";#N/A,#N/A,FALSE,"PF Acquisition";#N/A,#N/A,FALSE,"PF Offering"}</definedName>
    <definedName name="ijn" hidden="1">{#N/A,#N/A,FALSE,"AD_Purchase";#N/A,#N/A,FALSE,"Credit";#N/A,#N/A,FALSE,"PF Acquisition";#N/A,#N/A,FALSE,"PF Offering"}</definedName>
    <definedName name="Imagyn" localSheetId="7" hidden="1">{#N/A,#N/A,FALSE,"Projections";#N/A,#N/A,FALSE,"Multiples Valuation";#N/A,#N/A,FALSE,"LBO";#N/A,#N/A,FALSE,"Multiples_Sensitivity";#N/A,#N/A,FALSE,"Summary"}</definedName>
    <definedName name="Imagyn" localSheetId="6" hidden="1">{#N/A,#N/A,FALSE,"Projections";#N/A,#N/A,FALSE,"Multiples Valuation";#N/A,#N/A,FALSE,"LBO";#N/A,#N/A,FALSE,"Multiples_Sensitivity";#N/A,#N/A,FALSE,"Summary"}</definedName>
    <definedName name="Imagyn" hidden="1">{#N/A,#N/A,FALSE,"Projections";#N/A,#N/A,FALSE,"Multiples Valuation";#N/A,#N/A,FALSE,"LBO";#N/A,#N/A,FALSE,"Multiples_Sensitivity";#N/A,#N/A,FALSE,"Summary"}</definedName>
    <definedName name="inflList" hidden="1">"10000000000000000000000000000000000000000000000000000000000000000000000000000000000000000000000000000000000000000000000000000000000000000000000000000000000000000000000000000000000000000000000000000000"</definedName>
    <definedName name="IntroPrintArea" localSheetId="13" hidden="1">#REF!</definedName>
    <definedName name="IntroPrintArea" localSheetId="7" hidden="1">#REF!</definedName>
    <definedName name="IntroPrintArea" localSheetId="12" hidden="1">#REF!</definedName>
    <definedName name="IntroPrintArea" localSheetId="6" hidden="1">#REF!</definedName>
    <definedName name="IntroPrintArea" hidden="1">#REF!</definedName>
    <definedName name="IQ_" hidden="1">"c59"</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_COMISSION" hidden="1">"c98"</definedName>
    <definedName name="IQ_BROK_COMMISSION" hidden="1">"c3514"</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REUT" hidden="1">"c6800"</definedName>
    <definedName name="IQ_CAL_Y" hidden="1">"c102"</definedName>
    <definedName name="IQ_CAL_Y_EST_REUT" hidden="1">"c6801"</definedName>
    <definedName name="IQ_CALC_TYPE_BS" hidden="1">"c3086"</definedName>
    <definedName name="IQ_CALC_TYPE_CF" hidden="1">"c3085"</definedName>
    <definedName name="IQ_CALC_TYPE_IS" hidden="1">"c3084"</definedName>
    <definedName name="IQ_CALL_FEATURE" hidden="1">"c2197"</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localSheetId="7" hidden="1">"c1630"</definedName>
    <definedName name="IQ_CASH_ACQUIRE_CF" localSheetId="6" hidden="1">"c1630"</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HIGH_EST" hidden="1">"c1669"</definedName>
    <definedName name="IQ_CFPS_HIGH_EST_REUT" hidden="1">"c3846"</definedName>
    <definedName name="IQ_CFPS_LOW_EST" hidden="1">"c1670"</definedName>
    <definedName name="IQ_CFPS_LOW_EST_REUT" hidden="1">"c3847"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 hidden="1">"c231"</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_REUT" hidden="1">"c5501"</definedName>
    <definedName name="IQ_DPS_EST_REUT" hidden="1">"c3851"</definedName>
    <definedName name="IQ_DPS_HIGH_EST" hidden="1">"c1676"</definedName>
    <definedName name="IQ_DPS_HIGH_EST_REUT" hidden="1">"c3853"</definedName>
    <definedName name="IQ_DPS_LOW_EST" hidden="1">"c1677"</definedName>
    <definedName name="IQ_DPS_LOW_EST_REUT" hidden="1">"c3854"</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W_ACT_OR_EST" hidden="1">"c4306"</definedName>
    <definedName name="IQ_EBIT_HIGH_EST" hidden="1">"c1683"</definedName>
    <definedName name="IQ_EBIT_HIGH_EST_REUT" hidden="1">"c5335"</definedName>
    <definedName name="IQ_EBIT_INT" hidden="1">"c360"</definedName>
    <definedName name="IQ_EBIT_LOW_EST" hidden="1">"c1684"</definedName>
    <definedName name="IQ_EBIT_LOW_EST_REUT" hidden="1">"c5336"</definedName>
    <definedName name="IQ_EBIT_MARGIN" hidden="1">"c359"</definedName>
    <definedName name="IQ_EBIT_MEDIAN_EST" hidden="1">"c1682"</definedName>
    <definedName name="IQ_EBIT_MEDIAN_EST_REUT" hidden="1">"c5334"</definedName>
    <definedName name="IQ_EBIT_NET_INT" hidden="1">"c360"</definedName>
    <definedName name="IQ_EBIT_NUM_EST" hidden="1">"c1685"</definedName>
    <definedName name="IQ_EBIT_NUM_EST_REUT" hidden="1">"c5337"</definedName>
    <definedName name="IQ_EBIT_OVER_IE" hidden="1">"c1369"</definedName>
    <definedName name="IQ_EBIT_SBC_ACT_OR_EST" hidden="1">"c4316"</definedName>
    <definedName name="IQ_EBIT_SBC_GW_ACT_OR_EST" hidden="1">"c4320"</definedName>
    <definedName name="IQ_EBIT_STDDEV_EST" hidden="1">"c1686"</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NET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ET_INT" hidden="1">"c373"</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"c189"</definedName>
    <definedName name="IQ_EPS_EST_BOTTOM_UP_REUT" hidden="1">"c5497"</definedName>
    <definedName name="IQ_EPS_EST_REUT" hidden="1">"c5453"</definedName>
    <definedName name="IQ_EPS_GW_ACT_OR_EST" hidden="1">"c2223"</definedName>
    <definedName name="IQ_EPS_GW_ACT_OR_EST_REUT" hidden="1">"c5469"</definedName>
    <definedName name="IQ_EPS_GW_EST" hidden="1">"c1737"</definedName>
    <definedName name="IQ_EPS_GW_EST_BOTTOM_UP_REUT" hidden="1">"c5499"</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REUT" hidden="1">"c5470"</definedName>
    <definedName name="IQ_EPS_REPORTED_EST" hidden="1">"c1744"</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 hidden="1">"c1673"</definedName>
    <definedName name="IQ_EST_ACT_CFPS_REUT" hidden="1">"c3850"</definedName>
    <definedName name="IQ_EST_ACT_DPS" hidden="1">"c1680"</definedName>
    <definedName name="IQ_EST_ACT_DPS_REUT" hidden="1">"c3857"</definedName>
    <definedName name="IQ_EST_ACT_EBIT" hidden="1">"c1687"</definedName>
    <definedName name="IQ_EST_ACT_EBIT_REUT" hidden="1">"c5339"</definedName>
    <definedName name="IQ_EST_ACT_EBITDA" hidden="1">"c1664"</definedName>
    <definedName name="IQ_EST_ACT_EBITDA_REUT" hidden="1">"c3836"</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 hidden="1">"c5457"</definedName>
    <definedName name="IQ_EST_ACT_FFO" hidden="1">"c1666"</definedName>
    <definedName name="IQ_EST_ACT_FFO_REUT" hidden="1">"c3843"</definedName>
    <definedName name="IQ_EST_ACT_NAV" hidden="1">"c1757"</definedName>
    <definedName name="IQ_EST_ACT_NAV_SHARE_REUT" hidden="1">"c5616"</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GW_THOM" hidden="1">"c5139"</definedName>
    <definedName name="IQ_EST_ACT_NI_REPORTED" hidden="1">"c1736"</definedName>
    <definedName name="IQ_EST_ACT_NI_REPORTED_REUT" hidden="1">"c5388"</definedName>
    <definedName name="IQ_EST_ACT_NI_REUT" hidden="1">"c5374"</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TURN_ASSETS_REUT" hidden="1">"c3996"</definedName>
    <definedName name="IQ_EST_ACT_RETURN_EQUITY_REUT" hidden="1">"c3989"</definedName>
    <definedName name="IQ_EST_ACT_REV" hidden="1">"c2113"</definedName>
    <definedName name="IQ_EST_ACT_REV_REUT" hidden="1">"c3835"</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URPRISE_PERCENT" hidden="1">"c1870"</definedName>
    <definedName name="IQ_EST_FFO_SURPRISE_PERCENT_REUT" hidden="1">"c3891"</definedName>
    <definedName name="IQ_EST_FOOTNOTE_REUT" hidden="1">"c5478"</definedName>
    <definedName name="IQ_EST_NAV_DIFF" hidden="1">"c1895"</definedName>
    <definedName name="IQ_EST_NAV_SURPRISE_PERCENT" hidden="1">"c1896"</definedName>
    <definedName name="IQ_EST_NI_DIFF" hidden="1">"c1885"</definedName>
    <definedName name="IQ_EST_NI_DIFF_REUT" hidden="1">"c5423"</definedName>
    <definedName name="IQ_EST_NI_GW_DIFF" hidden="1">"c1887"</definedName>
    <definedName name="IQ_EST_NI_GW_DIFF_REUT" hidden="1">"c5425"</definedName>
    <definedName name="IQ_EST_NI_GW_DIFF_THOM" hidden="1">"c5200"</definedName>
    <definedName name="IQ_EST_NI_GW_SURPRISE_PERCENT" hidden="1">"c1888"</definedName>
    <definedName name="IQ_EST_NI_GW_SURPRISE_PERCENT_REUT" hidden="1">"c5426"</definedName>
    <definedName name="IQ_EST_NI_GW_SURPRISE_PERCENT_THOM" hidden="1">"c5201"</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UT_ACT_CAPEX" hidden="1">"c3975"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TRN_PENSION_FOREIGN" hidden="1">"c408"</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EST_REUT" hidden="1">"c3837"</definedName>
    <definedName name="IQ_FFO_HIGH_EST" hidden="1">"c419"</definedName>
    <definedName name="IQ_FFO_HIGH_EST_REUT" hidden="1">"c3839"</definedName>
    <definedName name="IQ_FFO_LOW_EST" hidden="1">"c420"</definedName>
    <definedName name="IQ_FFO_LOW_EST_REUT" hidden="1">"c3840"</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TDDEV_EST" hidden="1">"c422"</definedName>
    <definedName name="IQ_FFO_STDDEV_EST_REUT" hidden="1">"c3842"</definedName>
    <definedName name="IQ_FH" hidden="1">100000</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_REUT" hidden="1">"c6798"</definedName>
    <definedName name="IQ_FISCAL_Y" hidden="1">"c441"</definedName>
    <definedName name="IQ_FISCAL_Y_EST_REUT" hidden="1">"c6799"</definedName>
    <definedName name="IQ_FIVE_PERCENT_AMOUNT" hidden="1">"c240"</definedName>
    <definedName name="IQ_FIVE_PERCENT_OWNER" hidden="1">"c442"</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L_EPS_EST" hidden="1">"c24729"</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ISTING_CURRENCY" hidden="1">"c2127"</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40073.4698842593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REUT" hidden="1">"c5473"</definedName>
    <definedName name="IQ_NET_DEBT_EBITDA" hidden="1">"c750"</definedName>
    <definedName name="IQ_NET_DEBT_EBITDA_CAPEX" hidden="1">"c2949"</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W_EST" hidden="1">"c1723"</definedName>
    <definedName name="IQ_NI_GW_EST_REUT" hidden="1">"c5375"</definedName>
    <definedName name="IQ_NI_GW_EST_THOM" hidden="1">"c5133"</definedName>
    <definedName name="IQ_NI_GW_HIGH_EST" hidden="1">"c1725"</definedName>
    <definedName name="IQ_NI_GW_HIGH_EST_REUT" hidden="1">"c5377"</definedName>
    <definedName name="IQ_NI_GW_HIGH_EST_THOM" hidden="1">"c5135"</definedName>
    <definedName name="IQ_NI_GW_LOW_EST" hidden="1">"c1726"</definedName>
    <definedName name="IQ_NI_GW_LOW_EST_REUT" hidden="1">"c5378"</definedName>
    <definedName name="IQ_NI_GW_LOW_EST_THOM" hidden="1">"c5136"</definedName>
    <definedName name="IQ_NI_GW_MEDIAN_EST" hidden="1">"c1724"</definedName>
    <definedName name="IQ_NI_GW_MEDIAN_EST_REUT" hidden="1">"c5376"</definedName>
    <definedName name="IQ_NI_GW_MEDIAN_EST_THOM" hidden="1">"c5134"</definedName>
    <definedName name="IQ_NI_GW_NUM_EST" hidden="1">"c1727"</definedName>
    <definedName name="IQ_NI_GW_NUM_EST_REUT" hidden="1">"c5379"</definedName>
    <definedName name="IQ_NI_GW_NUM_EST_THOM" hidden="1">"c5137"</definedName>
    <definedName name="IQ_NI_GW_STDDEV_EST" hidden="1">"c1728"</definedName>
    <definedName name="IQ_NI_GW_STDDEV_EST_REUT" hidden="1">"c5380"</definedName>
    <definedName name="IQ_NI_GW_STDDEV_EST_THOM" hidden="1">"c5138"</definedName>
    <definedName name="IQ_NI_HIGH_EST" hidden="1">"c1718"</definedName>
    <definedName name="IQ_NI_HIGH_EST_REUT" hidden="1">"c5370"</definedName>
    <definedName name="IQ_NI_LOW_EST" hidden="1">"c1719"</definedName>
    <definedName name="IQ_NI_LOW_EST_REUT" hidden="1">"c5371"</definedName>
    <definedName name="IQ_NI_MARGIN" hidden="1">"c794"</definedName>
    <definedName name="IQ_NI_MEDIAN_EST" hidden="1">"c1717"</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GW_ACT_OR_EST" hidden="1">"c4478"</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R" hidden="1">"c5566"</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localSheetId="7" hidden="1">"c2127"</definedName>
    <definedName name="IQ_OUTSTANDING_FILING_DATE" localSheetId="6" hidden="1">"c2127"</definedName>
    <definedName name="IQ_OUTSTANDING_FILING_DATE" hidden="1">"c1023"</definedName>
    <definedName name="IQ_OUTSTANDING_FILING_DATE_TOTAL" hidden="1">"c2107"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FLOAT" hidden="1">"c227"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localSheetId="7" hidden="1">38995.2790740741</definedName>
    <definedName name="IQ_REVISION_DATE_" localSheetId="6" hidden="1">38995.2790740741</definedName>
    <definedName name="IQ_REVISION_DATE_" hidden="1">39286.2329861111</definedName>
    <definedName name="IQ_REVISION_DATE__1" hidden="1">39111.4358564815</definedName>
    <definedName name="IQ_REVOLVING_SECURED_1_–4_NON_ACCRUAL_FFIEC" hidden="1">"c15565"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ISSUE_LC_ACTION" hidden="1">"c2644"</definedName>
    <definedName name="IQ_SP_ISSUE_LC_DATE" hidden="1">"c2643"</definedName>
    <definedName name="IQ_SP_ISSUE_LC_LT" hidden="1">"c2645"</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AL" hidden="1">"c1308"</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8" hidden="1">"$A$9:$A$260"</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9" hidden="1">"$B$40:$B$61"</definedName>
    <definedName name="IQRB5" hidden="1">"$B$6:$B$585"</definedName>
    <definedName name="IQRB6" hidden="1">"$B$7"</definedName>
    <definedName name="IQRB8" hidden="1">"$B$9:$B$260"</definedName>
    <definedName name="IQRC15" hidden="1">"$C$16:$C$20"</definedName>
    <definedName name="IQRC24" hidden="1">"$C$25:$C$29"</definedName>
    <definedName name="IQRC8" hidden="1">"$C$9:$C$260"</definedName>
    <definedName name="IQRD15" hidden="1">"$D$16:$D$17"</definedName>
    <definedName name="IQRD39" hidden="1">"$D$40:$D$61"</definedName>
    <definedName name="IQRD6" hidden="1">"$D$7"</definedName>
    <definedName name="IQRF39" hidden="1">"$F$40:$F$61"</definedName>
    <definedName name="IQRH59" hidden="1">"$H$60"</definedName>
    <definedName name="IQRH6" hidden="1">"$H$7:$H$112"</definedName>
    <definedName name="IQRI2" hidden="1">"$I$3:$I$66"</definedName>
    <definedName name="IQRI39" hidden="1">"$I$40:$I$61"</definedName>
    <definedName name="IQRI6" hidden="1">"$I$7:$I$112"</definedName>
    <definedName name="IQRJ3" hidden="1">"$J$4:$J$67"</definedName>
    <definedName name="IQRJ59" hidden="1">"$J$60"</definedName>
    <definedName name="IQRJ6" hidden="1">"$J$7:$J$112"</definedName>
    <definedName name="IQRL16" hidden="1">"$L$17:$L$21"</definedName>
    <definedName name="IQRL39" hidden="1">"$L$40:$L$61"</definedName>
    <definedName name="IQRL59" hidden="1">"$L$60"</definedName>
    <definedName name="IQRM15" hidden="1">"$M$16"</definedName>
    <definedName name="IQRM16" hidden="1">"$N$16"</definedName>
    <definedName name="IQRM17" hidden="1">"$M$18:$M$22"</definedName>
    <definedName name="IQRM39" hidden="1">"$M$40:$M$61"</definedName>
    <definedName name="IQRO39" hidden="1">"$O$40:$O$61"</definedName>
    <definedName name="IQRP39" hidden="1">"$P$40:$P$61"</definedName>
    <definedName name="IQRS6" hidden="1">"$S$7:$S$259"</definedName>
    <definedName name="IQRU11" hidden="1">"$U$12:$U$264"</definedName>
    <definedName name="IQRV11" hidden="1">"$V$12:$V$264"</definedName>
    <definedName name="iQShowHideColumns" hidden="1">"iQShowAll"</definedName>
    <definedName name="IsColHidden" hidden="1">FALSE</definedName>
    <definedName name="IsLTMColHidden" hidden="1">FALSE</definedName>
    <definedName name="IT수정" localSheetId="7" hidden="1">{"'Sheet1'!$A$1:$H$36"}</definedName>
    <definedName name="IT수정" localSheetId="6" hidden="1">{"'Sheet1'!$A$1:$H$36"}</definedName>
    <definedName name="IT수정" hidden="1">{"'Sheet1'!$A$1:$H$36"}</definedName>
    <definedName name="iuykik" hidden="1">[15]DS_Industry_Specif!#REF!</definedName>
    <definedName name="jdgfghdf" localSheetId="13" hidden="1">'[3]Variance Sum '!#REF!</definedName>
    <definedName name="jdgfghdf" localSheetId="7" hidden="1">'[3]Variance Sum '!#REF!</definedName>
    <definedName name="jdgfghdf" localSheetId="12" hidden="1">'[3]Variance Sum '!#REF!</definedName>
    <definedName name="jdgfghdf" hidden="1">'[3]Variance Sum '!#REF!</definedName>
    <definedName name="je" localSheetId="7" hidden="1">{"'Sheet1'!$A$1:$L$21"}</definedName>
    <definedName name="je" localSheetId="6" hidden="1">{"'Sheet1'!$A$1:$L$21"}</definedName>
    <definedName name="je" hidden="1">{"'Sheet1'!$A$1:$L$21"}</definedName>
    <definedName name="ji" localSheetId="7" hidden="1">{"'Highlights'!$A$1:$M$123"}</definedName>
    <definedName name="ji" localSheetId="6" hidden="1">{"'Highlights'!$A$1:$M$123"}</definedName>
    <definedName name="ji" hidden="1">{"'Highlights'!$A$1:$M$123"}</definedName>
    <definedName name="jim" localSheetId="7" hidden="1">{"'Directory'!$A$72:$E$91"}</definedName>
    <definedName name="jim" localSheetId="6" hidden="1">{"'Directory'!$A$72:$E$91"}</definedName>
    <definedName name="jim" hidden="1">{"'Directory'!$A$72:$E$91"}</definedName>
    <definedName name="jimm" localSheetId="7" hidden="1">{"'Directory'!$A$72:$E$91"}</definedName>
    <definedName name="jimm" localSheetId="6" hidden="1">{"'Directory'!$A$72:$E$91"}</definedName>
    <definedName name="jimm" hidden="1">{"'Directory'!$A$72:$E$91"}</definedName>
    <definedName name="jip" localSheetId="7" hidden="1">{"'Highlights'!$A$1:$M$123"}</definedName>
    <definedName name="jip" localSheetId="6" hidden="1">{"'Highlights'!$A$1:$M$123"}</definedName>
    <definedName name="jip" hidden="1">{"'Highlights'!$A$1:$M$123"}</definedName>
    <definedName name="jsdfgf" localSheetId="13" hidden="1">'[3]Variance Sum '!#REF!</definedName>
    <definedName name="jsdfgf" localSheetId="7" hidden="1">'[3]Variance Sum '!#REF!</definedName>
    <definedName name="jsdfgf" localSheetId="12" hidden="1">'[3]Variance Sum '!#REF!</definedName>
    <definedName name="jsdfgf" hidden="1">'[3]Variance Sum '!#REF!</definedName>
    <definedName name="JU" localSheetId="7" hidden="1">{#N/A,#N/A,FALSE,"ASSUMPTIONS";#N/A,#N/A,FALSE,"Valuation Summary";"page1",#N/A,FALSE,"PRESENTATION";"page2",#N/A,FALSE,"PRESENTATION";#N/A,#N/A,FALSE,"ORIGINAL_ROLLBACK"}</definedName>
    <definedName name="JU" localSheetId="6" hidden="1">{#N/A,#N/A,FALSE,"ASSUMPTIONS";#N/A,#N/A,FALSE,"Valuation Summary";"page1",#N/A,FALSE,"PRESENTATION";"page2",#N/A,FALSE,"PRESENTATION";#N/A,#N/A,FALSE,"ORIGINAL_ROLLBACK"}</definedName>
    <definedName name="JU" hidden="1">{#N/A,#N/A,FALSE,"ASSUMPTIONS";#N/A,#N/A,FALSE,"Valuation Summary";"page1",#N/A,FALSE,"PRESENTATION";"page2",#N/A,FALSE,"PRESENTATION";#N/A,#N/A,FALSE,"ORIGINAL_ROLLBACK"}</definedName>
    <definedName name="kituyuki" hidden="1">#REF!</definedName>
    <definedName name="kjfghj" hidden="1">#REF!</definedName>
    <definedName name="kkk" localSheetId="7" hidden="1">{"'下期集計（10.27迄・速報値）'!$Q$16"}</definedName>
    <definedName name="kkk" localSheetId="6" hidden="1">{"'下期集計（10.27迄・速報値）'!$Q$16"}</definedName>
    <definedName name="kkk" hidden="1">{"'下期集計（10.27迄・速報値）'!$Q$16"}</definedName>
    <definedName name="klghjlhj" localSheetId="13" hidden="1">'[4]19'!#REF!</definedName>
    <definedName name="klghjlhj" localSheetId="7" hidden="1">'[4]19'!#REF!</definedName>
    <definedName name="klghjlhj" localSheetId="12" hidden="1">'[4]19'!#REF!</definedName>
    <definedName name="klghjlhj" hidden="1">'[4]19'!#REF!</definedName>
    <definedName name="kljbmmnb" hidden="1">#REF!</definedName>
    <definedName name="kuytyuiu" hidden="1">#REF!</definedName>
    <definedName name="kyd.CounterLimitCell.01." hidden="1">"x"</definedName>
    <definedName name="kyd.Dim.01." hidden="1">"toad:Company"</definedName>
    <definedName name="kyd.ElementType.01." hidden="1">3</definedName>
    <definedName name="kyd.ItemType.01." hidden="1">2</definedName>
    <definedName name="kyd.NumLevels.01." hidden="1">999</definedName>
    <definedName name="kyd.ParentName.01." hidden="1">""</definedName>
    <definedName name="kyd.PrintParent.01." hidden="1">TRUE</definedName>
    <definedName name="kyd.SelectString.01." hidden="1">"*"</definedName>
    <definedName name="l" localSheetId="7" hidden="1">{"'Sheet1'!$A$1:$L$21"}</definedName>
    <definedName name="l" localSheetId="6" hidden="1">{"'Sheet1'!$A$1:$L$21"}</definedName>
    <definedName name="l" hidden="1">{"'Sheet1'!$A$1:$L$21"}</definedName>
    <definedName name="lafdsafds" hidden="1">#REF!</definedName>
    <definedName name="lbo" localSheetId="7" hidden="1">{#N/A,#N/A,FALSE,"Summary";#N/A,#N/A,FALSE,"Projections";#N/A,#N/A,FALSE,"Mkt Mults";#N/A,#N/A,FALSE,"DCF";#N/A,#N/A,FALSE,"Accr Dil";#N/A,#N/A,FALSE,"PIC LBO";#N/A,#N/A,FALSE,"MULT10_4";#N/A,#N/A,FALSE,"CBI LBO"}</definedName>
    <definedName name="lbo" localSheetId="6"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dsjglsgls" localSheetId="7" hidden="1">{#N/A,#N/A,FALSE,"Performance Flash Report"}</definedName>
    <definedName name="ldsjglsgls" localSheetId="6" hidden="1">{#N/A,#N/A,FALSE,"Performance Flash Report"}</definedName>
    <definedName name="ldsjglsgls" hidden="1">{#N/A,#N/A,FALSE,"Performance Flash Report"}</definedName>
    <definedName name="Legal" localSheetId="7" hidden="1">{#N/A,#N/A,FALSE,"Aging Summary";#N/A,#N/A,FALSE,"Ratio Analysis";#N/A,#N/A,FALSE,"Test 120 Day Accts";#N/A,#N/A,FALSE,"Tickmarks"}</definedName>
    <definedName name="Legal" localSheetId="6" hidden="1">{#N/A,#N/A,FALSE,"Aging Summary";#N/A,#N/A,FALSE,"Ratio Analysis";#N/A,#N/A,FALSE,"Test 120 Day Accts";#N/A,#N/A,FALSE,"Tickmarks"}</definedName>
    <definedName name="Legal" hidden="1">{#N/A,#N/A,FALSE,"Aging Summary";#N/A,#N/A,FALSE,"Ratio Analysis";#N/A,#N/A,FALSE,"Test 120 Day Accts";#N/A,#N/A,FALSE,"Tickmarks"}</definedName>
    <definedName name="lk" hidden="1">"c147"</definedName>
    <definedName name="lkjhjklkhjkl" hidden="1">[10]EndNotes!#REF!</definedName>
    <definedName name="lkjhjklkjh" hidden="1">#REF!</definedName>
    <definedName name="lkjhjklkjhjkl" hidden="1">#REF!</definedName>
    <definedName name="lkjhui"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ll" localSheetId="7" hidden="1">{#N/A,#N/A,FALSE,"Performance Flash Report"}</definedName>
    <definedName name="ll" localSheetId="6" hidden="1">{#N/A,#N/A,FALSE,"Performance Flash Report"}</definedName>
    <definedName name="ll" hidden="1">{#N/A,#N/A,FALSE,"Performance Flash Report"}</definedName>
    <definedName name="lll" localSheetId="7" hidden="1">{#N/A,#N/A,FALSE,"Performance Flash Report"}</definedName>
    <definedName name="lll" localSheetId="6" hidden="1">{#N/A,#N/A,FALSE,"Performance Flash Report"}</definedName>
    <definedName name="lll" hidden="1">{#N/A,#N/A,FALSE,"Performance Flash Report"}</definedName>
    <definedName name="m" localSheetId="7" hidden="1">{0,0,0,0,1,-4105,42.5196850393701,42.5196850393701,42.5196850393701,42.5196850393701,2,TRUE,TRUE,FALSE,FALSE,FALSE,#N/A,1,85,1,1,"","","","&amp;""Kennerly,Roman Bold""&amp;14L&amp;12EHMAN &amp;14 B&amp;12ROTHERS","","",FALSE}</definedName>
    <definedName name="m" localSheetId="6" hidden="1">{0,0,0,0,1,-4105,42.5196850393701,42.5196850393701,42.5196850393701,42.5196850393701,2,TRUE,TRUE,FALSE,FALSE,FALSE,#N/A,1,85,1,1,"","","","&amp;""Kennerly,Roman Bold""&amp;14L&amp;12EHMAN &amp;14 B&amp;12ROTHERS","","",FALSE}</definedName>
    <definedName name="m" hidden="1">{0,0,0,0,1,-4105,42.5196850393701,42.5196850393701,42.5196850393701,42.5196850393701,2,TRUE,TRUE,FALSE,FALSE,FALSE,#N/A,1,85,1,1,"","","","&amp;""Kennerly,Roman Bold""&amp;14L&amp;12EHMAN &amp;14 B&amp;12ROTHERS","","",FALSE}</definedName>
    <definedName name="mbnvcxgxs" hidden="1">#REF!</definedName>
    <definedName name="Med_prod" localSheetId="7" hidden="1">{#N/A,#N/A,FALSE,"Prem_Sum";#N/A,#N/A,FALSE,"Prem"}</definedName>
    <definedName name="Med_prod" localSheetId="6" hidden="1">{#N/A,#N/A,FALSE,"Prem_Sum";#N/A,#N/A,FALSE,"Prem"}</definedName>
    <definedName name="Med_prod" hidden="1">{#N/A,#N/A,FALSE,"Prem_Sum";#N/A,#N/A,FALSE,"Prem"}</definedName>
    <definedName name="Med_prod.xls" localSheetId="7" hidden="1">{#N/A,#N/A,FALSE,"FACTSHEETS";#N/A,#N/A,FALSE,"pump";#N/A,#N/A,FALSE,"filter"}</definedName>
    <definedName name="Med_prod.xls" localSheetId="6" hidden="1">{#N/A,#N/A,FALSE,"FACTSHEETS";#N/A,#N/A,FALSE,"pump";#N/A,#N/A,FALSE,"filter"}</definedName>
    <definedName name="Med_prod.xls" hidden="1">{#N/A,#N/A,FALSE,"FACTSHEETS";#N/A,#N/A,FALSE,"pump";#N/A,#N/A,FALSE,"filter"}</definedName>
    <definedName name="Med_products" localSheetId="7" hidden="1">{#N/A,#N/A,FALSE,"FACTSHEETS";#N/A,#N/A,FALSE,"pump";#N/A,#N/A,FALSE,"filter"}</definedName>
    <definedName name="Med_products" localSheetId="6" hidden="1">{#N/A,#N/A,FALSE,"FACTSHEETS";#N/A,#N/A,FALSE,"pump";#N/A,#N/A,FALSE,"filter"}</definedName>
    <definedName name="Med_products" hidden="1">{#N/A,#N/A,FALSE,"FACTSHEETS";#N/A,#N/A,FALSE,"pump";#N/A,#N/A,FALSE,"filter"}</definedName>
    <definedName name="MEWarning" hidden="1">0</definedName>
    <definedName name="MKK" localSheetId="7" hidden="1">{"'下期集計（10.27迄・速報値）'!$Q$16"}</definedName>
    <definedName name="MKK" localSheetId="6" hidden="1">{"'下期集計（10.27迄・速報値）'!$Q$16"}</definedName>
    <definedName name="MKK" hidden="1">{"'下期集計（10.27迄・速報値）'!$Q$16"}</definedName>
    <definedName name="mn" hidden="1">"c315"</definedName>
    <definedName name="model" localSheetId="7" hidden="1">{#N/A,#N/A,FALSE,"Rev Grwth";#N/A,#N/A,FALSE,"Op Inc Grwth";#N/A,#N/A,FALSE,"Net Grwth";#N/A,#N/A,FALSE,"EPS Growth"}</definedName>
    <definedName name="model" localSheetId="6" hidden="1">{#N/A,#N/A,FALSE,"Rev Grwth";#N/A,#N/A,FALSE,"Op Inc Grwth";#N/A,#N/A,FALSE,"Net Grwth";#N/A,#N/A,FALSE,"EPS Growth"}</definedName>
    <definedName name="model" hidden="1">{#N/A,#N/A,FALSE,"Rev Grwth";#N/A,#N/A,FALSE,"Op Inc Grwth";#N/A,#N/A,FALSE,"Net Grwth";#N/A,#N/A,FALSE,"EPS Growth"}</definedName>
    <definedName name="Mt.Todd" localSheetId="8" hidden="1">{"p1TOC",#N/A,FALSE,"DCF_Summary";"p23summary",#N/A,FALSE,"DCF_Summary";"p4contact",#N/A,FALSE,"Contact Lake";"p5kumtor",#N/A,FALSE,"Kumtor";#N/A,#N/A,FALSE,"CCAU_NAV";"p8compdata",#N/A,FALSE,"Gold_Comps";#N/A,#N/A,FALSE,"Comp_Valuation"}</definedName>
    <definedName name="Mt.Todd" localSheetId="2" hidden="1">{"p1TOC",#N/A,FALSE,"DCF_Summary";"p23summary",#N/A,FALSE,"DCF_Summary";"p4contact",#N/A,FALSE,"Contact Lake";"p5kumtor",#N/A,FALSE,"Kumtor";#N/A,#N/A,FALSE,"CCAU_NAV";"p8compdata",#N/A,FALSE,"Gold_Comps";#N/A,#N/A,FALSE,"Comp_Valuation"}</definedName>
    <definedName name="Mt.Todd" localSheetId="7" hidden="1">{"p1TOC",#N/A,FALSE,"DCF_Summary";"p23summary",#N/A,FALSE,"DCF_Summary";"p4contact",#N/A,FALSE,"Contact Lake";"p5kumtor",#N/A,FALSE,"Kumtor";#N/A,#N/A,FALSE,"CCAU_NAV";"p8compdata",#N/A,FALSE,"Gold_Comps";#N/A,#N/A,FALSE,"Comp_Valuation"}</definedName>
    <definedName name="Mt.Todd" localSheetId="6" hidden="1">{"p1TOC",#N/A,FALSE,"DCF_Summary";"p23summary",#N/A,FALSE,"DCF_Summary";"p4contact",#N/A,FALSE,"Contact Lake";"p5kumtor",#N/A,FALSE,"Kumtor";#N/A,#N/A,FALSE,"CCAU_NAV";"p8compdata",#N/A,FALSE,"Gold_Comps";#N/A,#N/A,FALSE,"Comp_Valuation"}</definedName>
    <definedName name="Mt.Todd" hidden="1">{"p1TOC",#N/A,FALSE,"DCF_Summary";"p23summary",#N/A,FALSE,"DCF_Summary";"p4contact",#N/A,FALSE,"Contact Lake";"p5kumtor",#N/A,FALSE,"Kumtor";#N/A,#N/A,FALSE,"CCAU_NAV";"p8compdata",#N/A,FALSE,"Gold_Comps";#N/A,#N/A,FALSE,"Comp_Valuation"}</definedName>
    <definedName name="Mults02" localSheetId="7" hidden="1">{#N/A,#N/A,FALSE,"Projections";#N/A,#N/A,FALSE,"Multiples Valuation";#N/A,#N/A,FALSE,"LBO";#N/A,#N/A,FALSE,"Multiples_Sensitivity";#N/A,#N/A,FALSE,"Summary"}</definedName>
    <definedName name="Mults02" localSheetId="6" hidden="1">{#N/A,#N/A,FALSE,"Projections";#N/A,#N/A,FALSE,"Multiples Valuation";#N/A,#N/A,FALSE,"LBO";#N/A,#N/A,FALSE,"Multiples_Sensitivity";#N/A,#N/A,FALSE,"Summary"}</definedName>
    <definedName name="Mults02" hidden="1">{#N/A,#N/A,FALSE,"Projections";#N/A,#N/A,FALSE,"Multiples Valuation";#N/A,#N/A,FALSE,"LBO";#N/A,#N/A,FALSE,"Multiples_Sensitivity";#N/A,#N/A,FALSE,"Summary"}</definedName>
    <definedName name="n" localSheetId="7" hidden="1">{"'下期集計（10.27迄・速報値）'!$Q$16"}</definedName>
    <definedName name="n" localSheetId="6" hidden="1">{"'下期集計（10.27迄・速報値）'!$Q$16"}</definedName>
    <definedName name="n" hidden="1">{"'下期集計（10.27迄・速報値）'!$Q$16"}</definedName>
    <definedName name="nert" hidden="1">"c88"</definedName>
    <definedName name="new" hidden="1">"c413"</definedName>
    <definedName name="newbel" localSheetId="7" hidden="1">{"'Directory'!$A$72:$E$91"}</definedName>
    <definedName name="newbel" localSheetId="6" hidden="1">{"'Directory'!$A$72:$E$91"}</definedName>
    <definedName name="newbel" hidden="1">{"'Directory'!$A$72:$E$91"}</definedName>
    <definedName name="newbls" localSheetId="7" hidden="1">{"'Directory'!$A$72:$E$91"}</definedName>
    <definedName name="newbls" localSheetId="6" hidden="1">{"'Directory'!$A$72:$E$91"}</definedName>
    <definedName name="newbls" hidden="1">{"'Directory'!$A$72:$E$91"}</definedName>
    <definedName name="NewMarketMedium" localSheetId="13" hidden="1">#REF!</definedName>
    <definedName name="NewMarketMedium" localSheetId="7" hidden="1">#REF!</definedName>
    <definedName name="NewMarketMedium" localSheetId="12" hidden="1">#REF!</definedName>
    <definedName name="NewMarketMedium" hidden="1">#REF!</definedName>
    <definedName name="newname" localSheetId="7" hidden="1">{#N/A,#N/A,FALSE,"Performance Flash Report"}</definedName>
    <definedName name="newname" localSheetId="6" hidden="1">{#N/A,#N/A,FALSE,"Performance Flash Report"}</definedName>
    <definedName name="newname" hidden="1">{#N/A,#N/A,FALSE,"Performance Flash Report"}</definedName>
    <definedName name="newt" localSheetId="7" hidden="1">{"'Directory'!$A$72:$E$91"}</definedName>
    <definedName name="newt" localSheetId="6" hidden="1">{"'Directory'!$A$72:$E$91"}</definedName>
    <definedName name="newt" hidden="1">{"'Directory'!$A$72:$E$91"}</definedName>
    <definedName name="newwcom" localSheetId="7" hidden="1">{"'Directory'!$A$72:$E$91"}</definedName>
    <definedName name="newwcom" localSheetId="6" hidden="1">{"'Directory'!$A$72:$E$91"}</definedName>
    <definedName name="newwcom" hidden="1">{"'Directory'!$A$72:$E$91"}</definedName>
    <definedName name="Nil" localSheetId="7" hidden="1">{#N/A,#N/A,FALSE,"Aging Summary";#N/A,#N/A,FALSE,"Ratio Analysis";#N/A,#N/A,FALSE,"Test 120 Day Accts";#N/A,#N/A,FALSE,"Tickmarks"}</definedName>
    <definedName name="Nil" localSheetId="6" hidden="1">{#N/A,#N/A,FALSE,"Aging Summary";#N/A,#N/A,FALSE,"Ratio Analysis";#N/A,#N/A,FALSE,"Test 120 Day Accts";#N/A,#N/A,FALSE,"Tickmarks"}</definedName>
    <definedName name="Nil" hidden="1">{#N/A,#N/A,FALSE,"Aging Summary";#N/A,#N/A,FALSE,"Ratio Analysis";#N/A,#N/A,FALSE,"Test 120 Day Accts";#N/A,#N/A,FALSE,"Tickmarks"}</definedName>
    <definedName name="nnnnnnn" localSheetId="7" hidden="1">{#N/A,#N/A,TRUE,"TS";#N/A,#N/A,TRUE,"Combo";#N/A,#N/A,TRUE,"FAIR";#N/A,#N/A,TRUE,"RBC";#N/A,#N/A,TRUE,"xxxx"}</definedName>
    <definedName name="nnnnnnn" localSheetId="6" hidden="1">{#N/A,#N/A,TRUE,"TS";#N/A,#N/A,TRUE,"Combo";#N/A,#N/A,TRUE,"FAIR";#N/A,#N/A,TRUE,"RBC";#N/A,#N/A,TRUE,"xxxx"}</definedName>
    <definedName name="nnnnnnn" hidden="1">{#N/A,#N/A,TRUE,"TS";#N/A,#N/A,TRUE,"Combo";#N/A,#N/A,TRUE,"FAIR";#N/A,#N/A,TRUE,"RBC";#N/A,#N/A,TRUE,"xxxx"}</definedName>
    <definedName name="no" hidden="1">38995.2790740741</definedName>
    <definedName name="nofnono2" localSheetId="7" hidden="1">{#N/A,#N/A,FALSE,"Aging Summary";#N/A,#N/A,FALSE,"Ratio Analysis";#N/A,#N/A,FALSE,"Test 120 Day Accts";#N/A,#N/A,FALSE,"Tickmarks"}</definedName>
    <definedName name="nofnono2" localSheetId="6" hidden="1">{#N/A,#N/A,FALSE,"Aging Summary";#N/A,#N/A,FALSE,"Ratio Analysis";#N/A,#N/A,FALSE,"Test 120 Day Accts";#N/A,#N/A,FALSE,"Tickmarks"}</definedName>
    <definedName name="nofnono2" hidden="1">{#N/A,#N/A,FALSE,"Aging Summary";#N/A,#N/A,FALSE,"Ratio Analysis";#N/A,#N/A,FALSE,"Test 120 Day Accts";#N/A,#N/A,FALSE,"Tickmarks"}</definedName>
    <definedName name="none" localSheetId="7" hidden="1">{"QTR2",#N/A,FALSE,"OTK6_27";#N/A,#N/A,FALSE,"Q2 Detail";"SIXMTH",#N/A,FALSE,"OTK6_27";"qtr3",#N/A,FALSE,"OTK6_27";#N/A,#N/A,FALSE,"Q3 Detail";"NINEMTH",#N/A,FALSE,"OTK6_27";"qtr4",#N/A,FALSE,"OTK6_27";#N/A,#N/A,FALSE,"Q4 Detail";"YEAR",#N/A,FALSE,"OTK6_27"}</definedName>
    <definedName name="none" localSheetId="6" hidden="1">{"QTR2",#N/A,FALSE,"OTK6_27";#N/A,#N/A,FALSE,"Q2 Detail";"SIXMTH",#N/A,FALSE,"OTK6_27";"qtr3",#N/A,FALSE,"OTK6_27";#N/A,#N/A,FALSE,"Q3 Detail";"NINEMTH",#N/A,FALSE,"OTK6_27";"qtr4",#N/A,FALSE,"OTK6_27";#N/A,#N/A,FALSE,"Q4 Detail";"YEAR",#N/A,FALSE,"OTK6_27"}</definedName>
    <definedName name="none" hidden="1">{"QTR2",#N/A,FALSE,"OTK6_27";#N/A,#N/A,FALSE,"Q2 Detail";"SIXMTH",#N/A,FALSE,"OTK6_27";"qtr3",#N/A,FALSE,"OTK6_27";#N/A,#N/A,FALSE,"Q3 Detail";"NINEMTH",#N/A,FALSE,"OTK6_27";"qtr4",#N/A,FALSE,"OTK6_27";#N/A,#N/A,FALSE,"Q4 Detail";"YEAR",#N/A,FALSE,"OTK6_27"}</definedName>
    <definedName name="none2" localSheetId="7" hidden="1">{"QTR1",#N/A,FALSE,"Q1 Detail";"QTR2",#N/A,FALSE,"Q2 Detail";"QTR3",#N/A,FALSE,"Q3 Detail";"QTR4",#N/A,FALSE,"Q4 Detail"}</definedName>
    <definedName name="none2" localSheetId="6" hidden="1">{"QTR1",#N/A,FALSE,"Q1 Detail";"QTR2",#N/A,FALSE,"Q2 Detail";"QTR3",#N/A,FALSE,"Q3 Detail";"QTR4",#N/A,FALSE,"Q4 Detail"}</definedName>
    <definedName name="none2" hidden="1">{"QTR1",#N/A,FALSE,"Q1 Detail";"QTR2",#N/A,FALSE,"Q2 Detail";"QTR3",#N/A,FALSE,"Q3 Detail";"QTR4",#N/A,FALSE,"Q4 Detail"}</definedName>
    <definedName name="none3" localSheetId="7" hidden="1">{"QTR1",#N/A,FALSE,"96OUT";"QTR2",#N/A,FALSE,"96OUT";"QTR3",#N/A,FALSE,"96OUT";"QTR4",#N/A,FALSE,"96OUT";"YEAR",#N/A,FALSE,"96OUT"}</definedName>
    <definedName name="none3" localSheetId="6" hidden="1">{"QTR1",#N/A,FALSE,"96OUT";"QTR2",#N/A,FALSE,"96OUT";"QTR3",#N/A,FALSE,"96OUT";"QTR4",#N/A,FALSE,"96OUT";"YEAR",#N/A,FALSE,"96OUT"}</definedName>
    <definedName name="none3" hidden="1">{"QTR1",#N/A,FALSE,"96OUT";"QTR2",#N/A,FALSE,"96OUT";"QTR3",#N/A,FALSE,"96OUT";"QTR4",#N/A,FALSE,"96OUT";"YEAR",#N/A,FALSE,"96OUT"}</definedName>
    <definedName name="none4" localSheetId="7" hidden="1">{#N/A,#N/A,TRUE,"PAGE 2";#N/A,#N/A,TRUE,"PAGE 3";#N/A,#N/A,TRUE,"PAGE4"}</definedName>
    <definedName name="none4" localSheetId="6" hidden="1">{#N/A,#N/A,TRUE,"PAGE 2";#N/A,#N/A,TRUE,"PAGE 3";#N/A,#N/A,TRUE,"PAGE4"}</definedName>
    <definedName name="none4" hidden="1">{#N/A,#N/A,TRUE,"PAGE 2";#N/A,#N/A,TRUE,"PAGE 3";#N/A,#N/A,TRUE,"PAGE4"}</definedName>
    <definedName name="none5" localSheetId="7" hidden="1">{"QTR2",#N/A,FALSE,"OTK6_27";#N/A,#N/A,FALSE,"Q2 Detail";"SIXMTH",#N/A,FALSE,"OTK6_27";"qtr3",#N/A,FALSE,"OTK6_27";#N/A,#N/A,FALSE,"Q3 Detail";"NINEMTH",#N/A,FALSE,"OTK6_27";"qtr4",#N/A,FALSE,"OTK6_27";#N/A,#N/A,FALSE,"Q4 Detail";"YEAR",#N/A,FALSE,"OTK6_27"}</definedName>
    <definedName name="none5" localSheetId="6" hidden="1">{"QTR2",#N/A,FALSE,"OTK6_27";#N/A,#N/A,FALSE,"Q2 Detail";"SIXMTH",#N/A,FALSE,"OTK6_27";"qtr3",#N/A,FALSE,"OTK6_27";#N/A,#N/A,FALSE,"Q3 Detail";"NINEMTH",#N/A,FALSE,"OTK6_27";"qtr4",#N/A,FALSE,"OTK6_27";#N/A,#N/A,FALSE,"Q4 Detail";"YEAR",#N/A,FALSE,"OTK6_27"}</definedName>
    <definedName name="none5" hidden="1">{"QTR2",#N/A,FALSE,"OTK6_27";#N/A,#N/A,FALSE,"Q2 Detail";"SIXMTH",#N/A,FALSE,"OTK6_27";"qtr3",#N/A,FALSE,"OTK6_27";#N/A,#N/A,FALSE,"Q3 Detail";"NINEMTH",#N/A,FALSE,"OTK6_27";"qtr4",#N/A,FALSE,"OTK6_27";#N/A,#N/A,FALSE,"Q4 Detail";"YEAR",#N/A,FALSE,"OTK6_27"}</definedName>
    <definedName name="none6" localSheetId="7" hidden="1">{"OUTLK3YROCC",#N/A,FALSE,"3YR_OCC"}</definedName>
    <definedName name="none6" localSheetId="6" hidden="1">{"OUTLK3YROCC",#N/A,FALSE,"3YR_OCC"}</definedName>
    <definedName name="none6" hidden="1">{"OUTLK3YROCC",#N/A,FALSE,"3YR_OCC"}</definedName>
    <definedName name="none7" localSheetId="7" hidden="1">{"QTR2",#N/A,FALSE,"OTK6_27";#N/A,#N/A,FALSE,"Q2 Detail";"SIXMTH",#N/A,FALSE,"OTK6_27";"qtr3",#N/A,FALSE,"OTK6_27";#N/A,#N/A,FALSE,"Q3 Detail";"NINEMTH",#N/A,FALSE,"OTK6_27";"qtr4",#N/A,FALSE,"OTK6_27";#N/A,#N/A,FALSE,"Q4 Detail";"YEAR",#N/A,FALSE,"OTK6_27"}</definedName>
    <definedName name="none7" localSheetId="6" hidden="1">{"QTR2",#N/A,FALSE,"OTK6_27";#N/A,#N/A,FALSE,"Q2 Detail";"SIXMTH",#N/A,FALSE,"OTK6_27";"qtr3",#N/A,FALSE,"OTK6_27";#N/A,#N/A,FALSE,"Q3 Detail";"NINEMTH",#N/A,FALSE,"OTK6_27";"qtr4",#N/A,FALSE,"OTK6_27";#N/A,#N/A,FALSE,"Q4 Detail";"YEAR",#N/A,FALSE,"OTK6_27"}</definedName>
    <definedName name="none7" hidden="1">{"QTR2",#N/A,FALSE,"OTK6_27";#N/A,#N/A,FALSE,"Q2 Detail";"SIXMTH",#N/A,FALSE,"OTK6_27";"qtr3",#N/A,FALSE,"OTK6_27";#N/A,#N/A,FALSE,"Q3 Detail";"NINEMTH",#N/A,FALSE,"OTK6_27";"qtr4",#N/A,FALSE,"OTK6_27";#N/A,#N/A,FALSE,"Q4 Detail";"YEAR",#N/A,FALSE,"OTK6_27"}</definedName>
    <definedName name="nwer" hidden="1">"c65"</definedName>
    <definedName name="ogl" localSheetId="13" hidden="1">'[11]IS Detail-budget run1_ Updated'!#REF!,'[11]IS Detail-budget run1_ Updated'!#REF!,'[11]IS Detail-budget run1_ Updated'!$E$1:$G$65536,'[11]IS Detail-budget run1_ Updated'!#REF!,'[11]IS Detail-budget run1_ Updated'!#REF!</definedName>
    <definedName name="ogl" localSheetId="7" hidden="1">'[11]IS Detail-budget run1_ Updated'!#REF!,'[11]IS Detail-budget run1_ Updated'!#REF!,'[11]IS Detail-budget run1_ Updated'!$E$1:$G$65536,'[11]IS Detail-budget run1_ Updated'!#REF!,'[11]IS Detail-budget run1_ Updated'!#REF!</definedName>
    <definedName name="ogl" localSheetId="12" hidden="1">'[11]IS Detail-budget run1_ Updated'!#REF!,'[11]IS Detail-budget run1_ Updated'!#REF!,'[11]IS Detail-budget run1_ Updated'!$E$1:$G$65536,'[11]IS Detail-budget run1_ Updated'!#REF!,'[11]IS Detail-budget run1_ Updated'!#REF!</definedName>
    <definedName name="ogl" localSheetId="6" hidden="1">'[11]IS Detail-budget run1_ Updated'!#REF!,'[11]IS Detail-budget run1_ Updated'!#REF!,'[11]IS Detail-budget run1_ Updated'!$E$1:$G$65536,'[11]IS Detail-budget run1_ Updated'!#REF!,'[11]IS Detail-budget run1_ Updated'!#REF!</definedName>
    <definedName name="ogl" hidden="1">'[11]IS Detail-budget run1_ Updated'!#REF!,'[11]IS Detail-budget run1_ Updated'!#REF!,'[11]IS Detail-budget run1_ Updated'!$E$1:$G$65536,'[11]IS Detail-budget run1_ Updated'!#REF!,'[11]IS Detail-budget run1_ Updated'!#REF!</definedName>
    <definedName name="oiu" hidden="1">"c313"</definedName>
    <definedName name="OK" localSheetId="7" hidden="1">{#N/A,#N/A,FALSE,"Cover";#N/A,#N/A,FALSE,"LUMI";#N/A,#N/A,FALSE,"COMD";#N/A,#N/A,FALSE,"Valuation";#N/A,#N/A,FALSE,"Assumptions";#N/A,#N/A,FALSE,"Pooling";#N/A,#N/A,FALSE,"BalanceSheet"}</definedName>
    <definedName name="OK" localSheetId="6" hidden="1">{#N/A,#N/A,FALSE,"Cover";#N/A,#N/A,FALSE,"LUMI";#N/A,#N/A,FALSE,"COMD";#N/A,#N/A,FALSE,"Valuation";#N/A,#N/A,FALSE,"Assumptions";#N/A,#N/A,FALSE,"Pooling";#N/A,#N/A,FALSE,"BalanceSheet"}</definedName>
    <definedName name="OK" hidden="1">{#N/A,#N/A,FALSE,"Cover";#N/A,#N/A,FALSE,"LUMI";#N/A,#N/A,FALSE,"COMD";#N/A,#N/A,FALSE,"Valuation";#N/A,#N/A,FALSE,"Assumptions";#N/A,#N/A,FALSE,"Pooling";#N/A,#N/A,FALSE,"BalanceSheet"}</definedName>
    <definedName name="opoiu" hidden="1">#REF!</definedName>
    <definedName name="Original" localSheetId="7" hidden="1">{#N/A,#N/A,FALSE,"Performance Flash Report"}</definedName>
    <definedName name="Original" localSheetId="6" hidden="1">{#N/A,#N/A,FALSE,"Performance Flash Report"}</definedName>
    <definedName name="Original" hidden="1">{#N/A,#N/A,FALSE,"Performance Flash Report"}</definedName>
    <definedName name="p.kh" localSheetId="7" hidden="1">{#N/A,#N/A,FALSE,"Heat";#N/A,#N/A,FALSE,"DCF";#N/A,#N/A,FALSE,"LBO";#N/A,#N/A,FALSE,"A";#N/A,#N/A,FALSE,"C";#N/A,#N/A,FALSE,"impd";#N/A,#N/A,FALSE,"Accr-Dilu"}</definedName>
    <definedName name="p.kh" localSheetId="6" hidden="1">{#N/A,#N/A,FALSE,"Heat";#N/A,#N/A,FALSE,"DCF";#N/A,#N/A,FALSE,"LBO";#N/A,#N/A,FALSE,"A";#N/A,#N/A,FALSE,"C";#N/A,#N/A,FALSE,"impd";#N/A,#N/A,FALSE,"Accr-Dilu"}</definedName>
    <definedName name="p.kh" hidden="1">{#N/A,#N/A,FALSE,"Heat";#N/A,#N/A,FALSE,"DCF";#N/A,#N/A,FALSE,"LBO";#N/A,#N/A,FALSE,"A";#N/A,#N/A,FALSE,"C";#N/A,#N/A,FALSE,"impd";#N/A,#N/A,FALSE,"Accr-Dilu"}</definedName>
    <definedName name="PC_msg" hidden="1">"Yes"</definedName>
    <definedName name="placeholder" localSheetId="7" hidden="1">{#N/A,#N/A,FALSE,"Performance Flash Report"}</definedName>
    <definedName name="placeholder" localSheetId="6" hidden="1">{#N/A,#N/A,FALSE,"Performance Flash Report"}</definedName>
    <definedName name="placeholder" hidden="1">{#N/A,#N/A,FALSE,"Performance Flash Report"}</definedName>
    <definedName name="plan" localSheetId="7" hidden="1">{#N/A,#N/A,FALSE,"BalSheet 0899";#N/A,#N/A,FALSE,"ytdpl899";#N/A,#N/A,FALSE,"Aug PL";#N/A,#N/A,FALSE,"Minority Int";#N/A,#N/A,FALSE,"Equity Roll Forward";#N/A,#N/A,FALSE,"Book Equity Test"}</definedName>
    <definedName name="plan" localSheetId="6" hidden="1">{#N/A,#N/A,FALSE,"BalSheet 0899";#N/A,#N/A,FALSE,"ytdpl899";#N/A,#N/A,FALSE,"Aug PL";#N/A,#N/A,FALSE,"Minority Int";#N/A,#N/A,FALSE,"Equity Roll Forward";#N/A,#N/A,FALSE,"Book Equity Test"}</definedName>
    <definedName name="plan" hidden="1">{#N/A,#N/A,FALSE,"BalSheet 0899";#N/A,#N/A,FALSE,"ytdpl899";#N/A,#N/A,FALSE,"Aug PL";#N/A,#N/A,FALSE,"Minority Int";#N/A,#N/A,FALSE,"Equity Roll Forward";#N/A,#N/A,FALSE,"Book Equity Test"}</definedName>
    <definedName name="planning" localSheetId="7" hidden="1">{#N/A,#N/A,FALSE,"BalSheet 0899";#N/A,#N/A,FALSE,"ytdpl899";#N/A,#N/A,FALSE,"Aug PL";#N/A,#N/A,FALSE,"Minority Int";#N/A,#N/A,FALSE,"Equity Roll Forward";#N/A,#N/A,FALSE,"Book Equity Test"}</definedName>
    <definedName name="planning" localSheetId="6" hidden="1">{#N/A,#N/A,FALSE,"BalSheet 0899";#N/A,#N/A,FALSE,"ytdpl899";#N/A,#N/A,FALSE,"Aug PL";#N/A,#N/A,FALSE,"Minority Int";#N/A,#N/A,FALSE,"Equity Roll Forward";#N/A,#N/A,FALSE,"Book Equity Test"}</definedName>
    <definedName name="planning" hidden="1">{#N/A,#N/A,FALSE,"BalSheet 0899";#N/A,#N/A,FALSE,"ytdpl899";#N/A,#N/A,FALSE,"Aug PL";#N/A,#N/A,FALSE,"Minority Int";#N/A,#N/A,FALSE,"Equity Roll Forward";#N/A,#N/A,FALSE,"Book Equity Test"}</definedName>
    <definedName name="ploi" localSheetId="7" hidden="1">{#N/A,#N/A,FALSE,"Assump2";#N/A,#N/A,FALSE,"Income2";#N/A,#N/A,FALSE,"Balance2";#N/A,#N/A,FALSE,"DCF Filter";#N/A,#N/A,FALSE,"Trans Assump2";#N/A,#N/A,FALSE,"Combined Income2";#N/A,#N/A,FALSE,"Combined Balance2"}</definedName>
    <definedName name="ploi" localSheetId="6" hidden="1">{#N/A,#N/A,FALSE,"Assump2";#N/A,#N/A,FALSE,"Income2";#N/A,#N/A,FALSE,"Balance2";#N/A,#N/A,FALSE,"DCF Filter";#N/A,#N/A,FALSE,"Trans Assump2";#N/A,#N/A,FALSE,"Combined Income2";#N/A,#N/A,FALSE,"Combined Balance2"}</definedName>
    <definedName name="ploi" hidden="1">{#N/A,#N/A,FALSE,"Assump2";#N/A,#N/A,FALSE,"Income2";#N/A,#N/A,FALSE,"Balance2";#N/A,#N/A,FALSE,"DCF Filter";#N/A,#N/A,FALSE,"Trans Assump2";#N/A,#N/A,FALSE,"Combined Income2";#N/A,#N/A,FALSE,"Combined Balance2"}</definedName>
    <definedName name="po" hidden="1">"c182"</definedName>
    <definedName name="poiop" hidden="1">'[16]detail9''96_oh'!$C$1:$D$65536,'[16]detail9''96_oh'!$H$1:$H$65536,'[16]detail9''96_oh'!#REF!,'[16]detail9''96_oh'!$M$1:$M$65536,'[16]detail9''96_oh'!$P$1:$P$65536,'[16]detail9''96_oh'!$R$1:$R$65536</definedName>
    <definedName name="poir" hidden="1">"c322"</definedName>
    <definedName name="PopCache_GL_INTERFACE_REFERENCE7" hidden="1">[17]PopCache!$A$1:$A$2</definedName>
    <definedName name="PremiumPaidSUmmary" localSheetId="7" hidden="1">{#N/A,#N/A,FALSE,"Projections";#N/A,#N/A,FALSE,"Multiples Valuation";#N/A,#N/A,FALSE,"LBO";#N/A,#N/A,FALSE,"Multiples_Sensitivity";#N/A,#N/A,FALSE,"Summary"}</definedName>
    <definedName name="PremiumPaidSUmmary" localSheetId="6" hidden="1">{#N/A,#N/A,FALSE,"Projections";#N/A,#N/A,FALSE,"Multiples Valuation";#N/A,#N/A,FALSE,"LBO";#N/A,#N/A,FALSE,"Multiples_Sensitivity";#N/A,#N/A,FALSE,"Summary"}</definedName>
    <definedName name="PremiumPaidSUmmary" hidden="1">{#N/A,#N/A,FALSE,"Projections";#N/A,#N/A,FALSE,"Multiples Valuation";#N/A,#N/A,FALSE,"LBO";#N/A,#N/A,FALSE,"Multiples_Sensitivity";#N/A,#N/A,FALSE,"Summary"}</definedName>
    <definedName name="pt" localSheetId="7" hidden="1">{#N/A,#N/A,FALSE,"Aging Summary";#N/A,#N/A,FALSE,"Ratio Analysis";#N/A,#N/A,FALSE,"Test 120 Day Accts";#N/A,#N/A,FALSE,"Tickmarks"}</definedName>
    <definedName name="pt" localSheetId="6" hidden="1">{#N/A,#N/A,FALSE,"Aging Summary";#N/A,#N/A,FALSE,"Ratio Analysis";#N/A,#N/A,FALSE,"Test 120 Day Accts";#N/A,#N/A,FALSE,"Tickmarks"}</definedName>
    <definedName name="pt" hidden="1">{#N/A,#N/A,FALSE,"Aging Summary";#N/A,#N/A,FALSE,"Ratio Analysis";#N/A,#N/A,FALSE,"Test 120 Day Accts";#N/A,#N/A,FALSE,"Tickmarks"}</definedName>
    <definedName name="q" localSheetId="2" hidden="1">#REF!</definedName>
    <definedName name="q" localSheetId="7" hidden="1">#REF!</definedName>
    <definedName name="q" localSheetId="6" hidden="1">#REF!</definedName>
    <definedName name="Q1fill" localSheetId="13" hidden="1">#REF!</definedName>
    <definedName name="Q1fill" localSheetId="7" hidden="1">#REF!</definedName>
    <definedName name="Q1fill" localSheetId="12" hidden="1">#REF!</definedName>
    <definedName name="Q1fill" localSheetId="6" hidden="1">#REF!</definedName>
    <definedName name="Q1fill" hidden="1">#REF!</definedName>
    <definedName name="q4NIvsplan" localSheetId="7" hidden="1">{#N/A,#N/A,FALSE,"BalSheet 0899";#N/A,#N/A,FALSE,"ytdpl899";#N/A,#N/A,FALSE,"Aug PL";#N/A,#N/A,FALSE,"Minority Int";#N/A,#N/A,FALSE,"Equity Roll Forward";#N/A,#N/A,FALSE,"Book Equity Test"}</definedName>
    <definedName name="q4NIvsplan" localSheetId="6" hidden="1">{#N/A,#N/A,FALSE,"BalSheet 0899";#N/A,#N/A,FALSE,"ytdpl899";#N/A,#N/A,FALSE,"Aug PL";#N/A,#N/A,FALSE,"Minority Int";#N/A,#N/A,FALSE,"Equity Roll Forward";#N/A,#N/A,FALSE,"Book Equity Test"}</definedName>
    <definedName name="q4NIvsplan" hidden="1">{#N/A,#N/A,FALSE,"BalSheet 0899";#N/A,#N/A,FALSE,"ytdpl899";#N/A,#N/A,FALSE,"Aug PL";#N/A,#N/A,FALSE,"Minority Int";#N/A,#N/A,FALSE,"Equity Roll Forward";#N/A,#N/A,FALSE,"Book Equity Test"}</definedName>
    <definedName name="qes" localSheetId="8" hidden="1">{"p1TOC",#N/A,FALSE,"DCF_Summary";"p23summary",#N/A,FALSE,"DCF_Summary";"p4contact",#N/A,FALSE,"Contact Lake";"p5kumtor",#N/A,FALSE,"Kumtor";#N/A,#N/A,FALSE,"CCAU_NAV";"p8compdata",#N/A,FALSE,"Gold_Comps";#N/A,#N/A,FALSE,"Comp_Valuation"}</definedName>
    <definedName name="qes" localSheetId="2" hidden="1">{"p1TOC",#N/A,FALSE,"DCF_Summary";"p23summary",#N/A,FALSE,"DCF_Summary";"p4contact",#N/A,FALSE,"Contact Lake";"p5kumtor",#N/A,FALSE,"Kumtor";#N/A,#N/A,FALSE,"CCAU_NAV";"p8compdata",#N/A,FALSE,"Gold_Comps";#N/A,#N/A,FALSE,"Comp_Valuation"}</definedName>
    <definedName name="qes" localSheetId="7" hidden="1">{"p1TOC",#N/A,FALSE,"DCF_Summary";"p23summary",#N/A,FALSE,"DCF_Summary";"p4contact",#N/A,FALSE,"Contact Lake";"p5kumtor",#N/A,FALSE,"Kumtor";#N/A,#N/A,FALSE,"CCAU_NAV";"p8compdata",#N/A,FALSE,"Gold_Comps";#N/A,#N/A,FALSE,"Comp_Valuation"}</definedName>
    <definedName name="qes" localSheetId="6" hidden="1">{"p1TOC",#N/A,FALSE,"DCF_Summary";"p23summary",#N/A,FALSE,"DCF_Summary";"p4contact",#N/A,FALSE,"Contact Lake";"p5kumtor",#N/A,FALSE,"Kumtor";#N/A,#N/A,FALSE,"CCAU_NAV";"p8compdata",#N/A,FALSE,"Gold_Comps";#N/A,#N/A,FALSE,"Comp_Valuation"}</definedName>
    <definedName name="qes" hidden="1">{"p1TOC",#N/A,FALSE,"DCF_Summary";"p23summary",#N/A,FALSE,"DCF_Summary";"p4contact",#N/A,FALSE,"Contact Lake";"p5kumtor",#N/A,FALSE,"Kumtor";#N/A,#N/A,FALSE,"CCAU_NAV";"p8compdata",#N/A,FALSE,"Gold_Comps";#N/A,#N/A,FALSE,"Comp_Valuation"}</definedName>
    <definedName name="qqqqqqqqqqqqqq" hidden="1">#REF!</definedName>
    <definedName name="qw" hidden="1">"c115"</definedName>
    <definedName name="qwe" localSheetId="7" hidden="1">{#N/A,#N/A,FALSE,"Projections";#N/A,#N/A,FALSE,"Multiples Valuation";#N/A,#N/A,FALSE,"LBO";#N/A,#N/A,FALSE,"Multiples_Sensitivity";#N/A,#N/A,FALSE,"Summary"}</definedName>
    <definedName name="qwe" localSheetId="6" hidden="1">{#N/A,#N/A,FALSE,"Projections";#N/A,#N/A,FALSE,"Multiples Valuation";#N/A,#N/A,FALSE,"LBO";#N/A,#N/A,FALSE,"Multiples_Sensitivity";#N/A,#N/A,FALSE,"Summary"}</definedName>
    <definedName name="qwe" hidden="1">{#N/A,#N/A,FALSE,"Projections";#N/A,#N/A,FALSE,"Multiples Valuation";#N/A,#N/A,FALSE,"LBO";#N/A,#N/A,FALSE,"Multiples_Sensitivity";#N/A,#N/A,FALSE,"Summary"}</definedName>
    <definedName name="qwefdsaf" hidden="1">'[3]Variance Sum '!#REF!</definedName>
    <definedName name="ＲＡＲＯＡ" localSheetId="7" hidden="1">{"'下期集計（10.27迄・速報値）'!$Q$16"}</definedName>
    <definedName name="ＲＡＲＯＡ" localSheetId="6" hidden="1">{"'下期集計（10.27迄・速報値）'!$Q$16"}</definedName>
    <definedName name="ＲＡＲＯＡ" hidden="1">{"'下期集計（10.27迄・速報値）'!$Q$16"}</definedName>
    <definedName name="re" hidden="1">"c226"</definedName>
    <definedName name="redo" localSheetId="7" hidden="1">{#N/A,#N/A,FALSE,"ACQ_GRAPHS";#N/A,#N/A,FALSE,"T_1 GRAPHS";#N/A,#N/A,FALSE,"T_2 GRAPHS";#N/A,#N/A,FALSE,"COMB_GRAPHS"}</definedName>
    <definedName name="redo" localSheetId="6" hidden="1">{#N/A,#N/A,FALSE,"ACQ_GRAPHS";#N/A,#N/A,FALSE,"T_1 GRAPHS";#N/A,#N/A,FALSE,"T_2 GRAPHS";#N/A,#N/A,FALSE,"COMB_GRAPHS"}</definedName>
    <definedName name="redo" hidden="1">{#N/A,#N/A,FALSE,"ACQ_GRAPHS";#N/A,#N/A,FALSE,"T_1 GRAPHS";#N/A,#N/A,FALSE,"T_2 GRAPHS";#N/A,#N/A,FALSE,"COMB_GRAPHS"}</definedName>
    <definedName name="rental" localSheetId="7" hidden="1">{#N/A,#N/A,FALSE,"Aging Summary";#N/A,#N/A,FALSE,"Ratio Analysis";#N/A,#N/A,FALSE,"Test 120 Day Accts";#N/A,#N/A,FALSE,"Tickmarks"}</definedName>
    <definedName name="rental" localSheetId="6" hidden="1">{#N/A,#N/A,FALSE,"Aging Summary";#N/A,#N/A,FALSE,"Ratio Analysis";#N/A,#N/A,FALSE,"Test 120 Day Accts";#N/A,#N/A,FALSE,"Tickmarks"}</definedName>
    <definedName name="rental" hidden="1">{#N/A,#N/A,FALSE,"Aging Summary";#N/A,#N/A,FALSE,"Ratio Analysis";#N/A,#N/A,FALSE,"Test 120 Day Accts";#N/A,#N/A,FALSE,"Tickmarks"}</definedName>
    <definedName name="Repair" localSheetId="7" hidden="1">{#N/A,#N/A,FALSE,"Aging Summary";#N/A,#N/A,FALSE,"Ratio Analysis";#N/A,#N/A,FALSE,"Test 120 Day Accts";#N/A,#N/A,FALSE,"Tickmarks"}</definedName>
    <definedName name="Repair" localSheetId="6" hidden="1">{#N/A,#N/A,FALSE,"Aging Summary";#N/A,#N/A,FALSE,"Ratio Analysis";#N/A,#N/A,FALSE,"Test 120 Day Accts";#N/A,#N/A,FALSE,"Tickmarks"}</definedName>
    <definedName name="Repair" hidden="1">{#N/A,#N/A,FALSE,"Aging Summary";#N/A,#N/A,FALSE,"Ratio Analysis";#N/A,#N/A,FALSE,"Test 120 Day Accts";#N/A,#N/A,FALSE,"Tickmarks"}</definedName>
    <definedName name="reqw" hidden="1">"c274"</definedName>
    <definedName name="Restr" localSheetId="7" hidden="1">{"QTR2",#N/A,FALSE,"OTK6_27";#N/A,#N/A,FALSE,"Q2 Detail";"SIXMTH",#N/A,FALSE,"OTK6_27";"qtr3",#N/A,FALSE,"OTK6_27";#N/A,#N/A,FALSE,"Q3 Detail";"NINEMTH",#N/A,FALSE,"OTK6_27";"qtr4",#N/A,FALSE,"OTK6_27";#N/A,#N/A,FALSE,"Q4 Detail";"YEAR",#N/A,FALSE,"OTK6_27"}</definedName>
    <definedName name="Restr" localSheetId="6" hidden="1">{"QTR2",#N/A,FALSE,"OTK6_27";#N/A,#N/A,FALSE,"Q2 Detail";"SIXMTH",#N/A,FALSE,"OTK6_27";"qtr3",#N/A,FALSE,"OTK6_27";#N/A,#N/A,FALSE,"Q3 Detail";"NINEMTH",#N/A,FALSE,"OTK6_27";"qtr4",#N/A,FALSE,"OTK6_27";#N/A,#N/A,FALSE,"Q4 Detail";"YEAR",#N/A,FALSE,"OTK6_27"}</definedName>
    <definedName name="Restr" hidden="1">{"QTR2",#N/A,FALSE,"OTK6_27";#N/A,#N/A,FALSE,"Q2 Detail";"SIXMTH",#N/A,FALSE,"OTK6_27";"qtr3",#N/A,FALSE,"OTK6_27";#N/A,#N/A,FALSE,"Q3 Detail";"NINEMTH",#N/A,FALSE,"OTK6_27";"qtr4",#N/A,FALSE,"OTK6_27";#N/A,#N/A,FALSE,"Q4 Detail";"YEAR",#N/A,FALSE,"OTK6_27"}</definedName>
    <definedName name="Revsdgfojksdlknsdf" localSheetId="7" hidden="1">{#N/A,#N/A,FALSE,"DEPTTEMPL";#N/A,#N/A,FALSE,"CATTEMPL";#N/A,#N/A,FALSE,"TEM PAYROLL";#N/A,#N/A,FALSE,"TEM T&amp;E";#N/A,#N/A,FALSE,"TEM EQUIP &amp; SOFT"}</definedName>
    <definedName name="Revsdgfojksdlknsdf" localSheetId="6" hidden="1">{#N/A,#N/A,FALSE,"DEPTTEMPL";#N/A,#N/A,FALSE,"CATTEMPL";#N/A,#N/A,FALSE,"TEM PAYROLL";#N/A,#N/A,FALSE,"TEM T&amp;E";#N/A,#N/A,FALSE,"TEM EQUIP &amp; SOFT"}</definedName>
    <definedName name="Revsdgfojksdlknsdf" hidden="1">{#N/A,#N/A,FALSE,"DEPTTEMPL";#N/A,#N/A,FALSE,"CATTEMPL";#N/A,#N/A,FALSE,"TEM PAYROLL";#N/A,#N/A,FALSE,"TEM T&amp;E";#N/A,#N/A,FALSE,"TEM EQUIP &amp; SOFT"}</definedName>
    <definedName name="rfvbgft" localSheetId="7" hidden="1">{#N/A,#N/A,FALSE,"Performance Flash Report"}</definedName>
    <definedName name="rfvbgft" localSheetId="6" hidden="1">{#N/A,#N/A,FALSE,"Performance Flash Report"}</definedName>
    <definedName name="rfvbgft" hidden="1">{#N/A,#N/A,FALSE,"Performance Flash Report"}</definedName>
    <definedName name="rtsslk" localSheetId="7" hidden="1">{"'Planning Data'!$A$2:$X$120"}</definedName>
    <definedName name="rtsslk" localSheetId="6" hidden="1">{"'Planning Data'!$A$2:$X$120"}</definedName>
    <definedName name="rtsslk" hidden="1">{"'Planning Data'!$A$2:$X$120"}</definedName>
    <definedName name="rty" hidden="1">"c118"</definedName>
    <definedName name="Rwvu.Analysis." localSheetId="13" hidden="1">'[16]detail9''96_oh'!$C$1:$D$65536,'[16]detail9''96_oh'!$H$1:$H$65536,'[16]detail9''96_oh'!#REF!,'[16]detail9''96_oh'!$M$1:$M$65536,'[16]detail9''96_oh'!$P$1:$P$65536,'[16]detail9''96_oh'!$R$1:$R$65536</definedName>
    <definedName name="Rwvu.Analysis." localSheetId="7" hidden="1">'[16]detail9''96_oh'!$C$1:$D$65536,'[16]detail9''96_oh'!$H$1:$H$65536,'[16]detail9''96_oh'!#REF!,'[16]detail9''96_oh'!$M$1:$M$65536,'[16]detail9''96_oh'!$P$1:$P$65536,'[16]detail9''96_oh'!$R$1:$R$65536</definedName>
    <definedName name="Rwvu.Analysis." localSheetId="12" hidden="1">'[16]detail9''96_oh'!$C$1:$D$65536,'[16]detail9''96_oh'!$H$1:$H$65536,'[16]detail9''96_oh'!#REF!,'[16]detail9''96_oh'!$M$1:$M$65536,'[16]detail9''96_oh'!$P$1:$P$65536,'[16]detail9''96_oh'!$R$1:$R$65536</definedName>
    <definedName name="Rwvu.Analysis." localSheetId="6" hidden="1">'[16]detail9''96_oh'!$C$1:$D$65536,'[16]detail9''96_oh'!$H$1:$H$65536,'[16]detail9''96_oh'!#REF!,'[16]detail9''96_oh'!$M$1:$M$65536,'[16]detail9''96_oh'!$P$1:$P$65536,'[16]detail9''96_oh'!$R$1:$R$65536</definedName>
    <definedName name="Rwvu.Analysis." hidden="1">'[16]detail9''96_oh'!$C$1:$D$65536,'[16]detail9''96_oh'!$H$1:$H$65536,'[16]detail9''96_oh'!#REF!,'[16]detail9''96_oh'!$M$1:$M$65536,'[16]detail9''96_oh'!$P$1:$P$65536,'[16]detail9''96_oh'!$R$1:$R$65536</definedName>
    <definedName name="Rwvu.incearn." localSheetId="13" hidden="1">[10]EndNotes!$E$1:$E$65536,[10]EndNotes!#REF!,[10]EndNotes!$K$1:$K$65536,[10]EndNotes!$N$1:$N$65536,[10]EndNotes!$Q$1:$Q$65536</definedName>
    <definedName name="Rwvu.incearn." localSheetId="7" hidden="1">[10]EndNotes!$E$1:$E$65536,[10]EndNotes!#REF!,[10]EndNotes!$K$1:$K$65536,[10]EndNotes!$N$1:$N$65536,[10]EndNotes!$Q$1:$Q$65536</definedName>
    <definedName name="Rwvu.incearn." localSheetId="12" hidden="1">[10]EndNotes!$E$1:$E$65536,[10]EndNotes!#REF!,[10]EndNotes!$K$1:$K$65536,[10]EndNotes!$N$1:$N$65536,[10]EndNotes!$Q$1:$Q$65536</definedName>
    <definedName name="Rwvu.incearn." localSheetId="6" hidden="1">[10]EndNotes!$E$1:$E$65536,[10]EndNotes!#REF!,[10]EndNotes!$K$1:$K$65536,[10]EndNotes!$N$1:$N$65536,[10]EndNotes!$Q$1:$Q$65536</definedName>
    <definedName name="Rwvu.incearn." hidden="1">[10]EndNotes!$E$1:$E$65536,[10]EndNotes!#REF!,[10]EndNotes!$K$1:$K$65536,[10]EndNotes!$N$1:$N$65536,[10]EndNotes!$Q$1:$Q$65536</definedName>
    <definedName name="Rwvu.Report1." hidden="1">'[16]detail9''96_oh'!$I$1:$J$65536,'[16]detail9''96_oh'!$M$1:$M$65536</definedName>
    <definedName name="Rwvu.Standard._.Report." hidden="1">'[16]detail9''96_oh'!$C$1:$D$65536,'[16]detail9''96_oh'!$J$1:$J$65536,'[16]detail9''96_oh'!$M$1:$M$65536</definedName>
    <definedName name="sadf" localSheetId="7" hidden="1">{#N/A,#N/A,FALSE,"Performance Flash Report"}</definedName>
    <definedName name="sadf" localSheetId="6" hidden="1">{#N/A,#N/A,FALSE,"Performance Flash Report"}</definedName>
    <definedName name="sadf" hidden="1">{#N/A,#N/A,FALSE,"Performance Flash Report"}</definedName>
    <definedName name="saf" localSheetId="7" hidden="1">{#N/A,#N/A,FALSE,"Projections";#N/A,#N/A,FALSE,"Contribution_Stock";#N/A,#N/A,FALSE,"PF_Combo_Stock";#N/A,#N/A,FALSE,"Projections";#N/A,#N/A,FALSE,"Contribution_Cash";#N/A,#N/A,FALSE,"PF_Combo_Cash";#N/A,#N/A,FALSE,"IPO_Cash"}</definedName>
    <definedName name="saf" localSheetId="6" hidden="1">{#N/A,#N/A,FALSE,"Projections";#N/A,#N/A,FALSE,"Contribution_Stock";#N/A,#N/A,FALSE,"PF_Combo_Stock";#N/A,#N/A,FALSE,"Projections";#N/A,#N/A,FALSE,"Contribution_Cash";#N/A,#N/A,FALSE,"PF_Combo_Cash";#N/A,#N/A,FALSE,"IPO_Cash"}</definedName>
    <definedName name="saf" hidden="1">{#N/A,#N/A,FALSE,"Projections";#N/A,#N/A,FALSE,"Contribution_Stock";#N/A,#N/A,FALSE,"PF_Combo_Stock";#N/A,#N/A,FALSE,"Projections";#N/A,#N/A,FALSE,"Contribution_Cash";#N/A,#N/A,FALSE,"PF_Combo_Cash";#N/A,#N/A,FALSE,"IPO_Cash"}</definedName>
    <definedName name="SAPBEXdnldView" hidden="1">"D2W4R5MBP08ARFN2PBOGUS7HV"</definedName>
    <definedName name="SAPBEXhrIndnt" hidden="1">3</definedName>
    <definedName name="SAPBEXrevision" hidden="1">6</definedName>
    <definedName name="SAPBEXsysID" hidden="1">"BWP"</definedName>
    <definedName name="SAPBEXwbID" hidden="1">"3UAI9K8201YSYNE5YDZKPVIDU"</definedName>
    <definedName name="SAPsysID" hidden="1">"708C5W7SBKP804JT78WJ0JNKI"</definedName>
    <definedName name="SAPwbID" hidden="1">"ARS"</definedName>
    <definedName name="saqqqqqqq" hidden="1">'[3]Variance Sum '!#REF!</definedName>
    <definedName name="sasasdas" localSheetId="7" hidden="1">{#N/A,#N/A,FALSE,"Performance Flash Report"}</definedName>
    <definedName name="sasasdas" localSheetId="6" hidden="1">{#N/A,#N/A,FALSE,"Performance Flash Report"}</definedName>
    <definedName name="sasasdas" hidden="1">{#N/A,#N/A,FALSE,"Performance Flash Report"}</definedName>
    <definedName name="sd" localSheetId="7" hidden="1">{#N/A,#N/A,FALSE,"IPO";#N/A,#N/A,FALSE,"DCF";#N/A,#N/A,FALSE,"LBO";#N/A,#N/A,FALSE,"MULT_VAL";#N/A,#N/A,FALSE,"Status Quo";#N/A,#N/A,FALSE,"Recap"}</definedName>
    <definedName name="sd" localSheetId="6" hidden="1">{#N/A,#N/A,FALSE,"IPO";#N/A,#N/A,FALSE,"DCF";#N/A,#N/A,FALSE,"LBO";#N/A,#N/A,FALSE,"MULT_VAL";#N/A,#N/A,FALSE,"Status Quo";#N/A,#N/A,FALSE,"Recap"}</definedName>
    <definedName name="sd" hidden="1">{#N/A,#N/A,FALSE,"IPO";#N/A,#N/A,FALSE,"DCF";#N/A,#N/A,FALSE,"LBO";#N/A,#N/A,FALSE,"MULT_VAL";#N/A,#N/A,FALSE,"Status Quo";#N/A,#N/A,FALSE,"Recap"}</definedName>
    <definedName name="sdf" localSheetId="7" hidden="1">{#N/A,#N/A,FALSE,"Adj Proj";#N/A,#N/A,FALSE,"Sheet1";#N/A,#N/A,FALSE,"LBO";#N/A,#N/A,FALSE,"LBOMER";#N/A,#N/A,FALSE,"WACC";#N/A,#N/A,FALSE,"DCF";#N/A,#N/A,FALSE,"DCFMER";#N/A,#N/A,FALSE,"Pooling";#N/A,#N/A,FALSE,"income";#N/A,#N/A,FALSE,"Offer"}</definedName>
    <definedName name="sdf" localSheetId="6" hidden="1">{#N/A,#N/A,FALSE,"Adj Proj";#N/A,#N/A,FALSE,"Sheet1";#N/A,#N/A,FALSE,"LBO";#N/A,#N/A,FALSE,"LBOMER";#N/A,#N/A,FALSE,"WACC";#N/A,#N/A,FALSE,"DCF";#N/A,#N/A,FALSE,"DCFMER";#N/A,#N/A,FALSE,"Pooling";#N/A,#N/A,FALSE,"income";#N/A,#N/A,FALSE,"Offer"}</definedName>
    <definedName name="sdf" hidden="1">{#N/A,#N/A,FALSE,"Adj Proj";#N/A,#N/A,FALSE,"Sheet1";#N/A,#N/A,FALSE,"LBO";#N/A,#N/A,FALSE,"LBOMER";#N/A,#N/A,FALSE,"WACC";#N/A,#N/A,FALSE,"DCF";#N/A,#N/A,FALSE,"DCFMER";#N/A,#N/A,FALSE,"Pooling";#N/A,#N/A,FALSE,"income";#N/A,#N/A,FALSE,"Offer"}</definedName>
    <definedName name="sdfasd" localSheetId="7" hidden="1">{#N/A,#N/A,TRUE,"BS_Report";#N/A,#N/A,TRUE,"PL_Report"}</definedName>
    <definedName name="sdfasd" localSheetId="6" hidden="1">{#N/A,#N/A,TRUE,"BS_Report";#N/A,#N/A,TRUE,"PL_Report"}</definedName>
    <definedName name="sdfasd" hidden="1">{#N/A,#N/A,TRUE,"BS_Report";#N/A,#N/A,TRUE,"PL_Report"}</definedName>
    <definedName name="sdfffcvcccc" hidden="1">'[3]Variance Sum '!#REF!</definedName>
    <definedName name="sdfgfdsdfgf" hidden="1">#REF!</definedName>
    <definedName name="sdfhdfj" localSheetId="13" hidden="1">'[3]Variance Sum '!#REF!</definedName>
    <definedName name="sdfhdfj" localSheetId="7" hidden="1">'[3]Variance Sum '!#REF!</definedName>
    <definedName name="sdfhdfj" localSheetId="12" hidden="1">'[3]Variance Sum '!#REF!</definedName>
    <definedName name="sdfhdfj" hidden="1">'[3]Variance Sum '!#REF!</definedName>
    <definedName name="sdgfvv" hidden="1">#REF!</definedName>
    <definedName name="sds" localSheetId="7" hidden="1">{#N/A,#N/A,FALSE,"Performance Flash Report"}</definedName>
    <definedName name="sds" localSheetId="6" hidden="1">{#N/A,#N/A,FALSE,"Performance Flash Report"}</definedName>
    <definedName name="sds" hidden="1">{#N/A,#N/A,FALSE,"Performance Flash Report"}</definedName>
    <definedName name="sdvsdvsDVVd" localSheetId="7" hidden="1">{"'Planning Data'!$A$2:$X$120"}</definedName>
    <definedName name="sdvsdvsDVVd" localSheetId="6" hidden="1">{"'Planning Data'!$A$2:$X$120"}</definedName>
    <definedName name="sdvsdvsDVVd" hidden="1">{"'Planning Data'!$A$2:$X$120"}</definedName>
    <definedName name="secondaries" localSheetId="7" hidden="1">{#N/A,#N/A,FALSE,"Summary";#N/A,#N/A,FALSE,"Pending";#N/A,#N/A,FALSE,"Oct'97";#N/A,#N/A,FALSE,"Sept'97";#N/A,#N/A,FALSE,"Aug'97";#N/A,#N/A,FALSE,"Jul'97";#N/A,#N/A,FALSE,"Jun'97";#N/A,#N/A,FALSE,"May'97";#N/A,#N/A,FALSE,"Apr'97";#N/A,#N/A,FALSE,"Mar'97";#N/A,#N/A,FALSE,"Feb'97";#N/A,#N/A,FALSE,"Jan'97"}</definedName>
    <definedName name="secondaries" localSheetId="6" hidden="1">{#N/A,#N/A,FALSE,"Summary";#N/A,#N/A,FALSE,"Pending";#N/A,#N/A,FALSE,"Oct'97";#N/A,#N/A,FALSE,"Sept'97";#N/A,#N/A,FALSE,"Aug'97";#N/A,#N/A,FALSE,"Jul'97";#N/A,#N/A,FALSE,"Jun'97";#N/A,#N/A,FALSE,"May'97";#N/A,#N/A,FALSE,"Apr'97";#N/A,#N/A,FALSE,"Mar'97";#N/A,#N/A,FALSE,"Feb'97";#N/A,#N/A,FALSE,"Jan'97"}</definedName>
    <definedName name="secondaries" hidden="1">{#N/A,#N/A,FALSE,"Summary";#N/A,#N/A,FALSE,"Pending";#N/A,#N/A,FALSE,"Oct'97";#N/A,#N/A,FALSE,"Sept'97";#N/A,#N/A,FALSE,"Aug'97";#N/A,#N/A,FALSE,"Jul'97";#N/A,#N/A,FALSE,"Jun'97";#N/A,#N/A,FALSE,"May'97";#N/A,#N/A,FALSE,"Apr'97";#N/A,#N/A,FALSE,"Mar'97";#N/A,#N/A,FALSE,"Feb'97";#N/A,#N/A,FALSE,"Jan'97"}</definedName>
    <definedName name="sf" localSheetId="7" hidden="1">{#N/A,#N/A,FALSE,"Performance Flash Report"}</definedName>
    <definedName name="sf" localSheetId="6" hidden="1">{#N/A,#N/A,FALSE,"Performance Flash Report"}</definedName>
    <definedName name="sf" hidden="1">{#N/A,#N/A,FALSE,"Performance Flash Report"}</definedName>
    <definedName name="sfdjdfhjd" localSheetId="13" hidden="1">'[3]Variance Sum '!#REF!</definedName>
    <definedName name="sfdjdfhjd" localSheetId="7" hidden="1">'[3]Variance Sum '!#REF!</definedName>
    <definedName name="sfdjdfhjd" localSheetId="12" hidden="1">'[3]Variance Sum '!#REF!</definedName>
    <definedName name="sfdjdfhjd" hidden="1">'[3]Variance Sum '!#REF!</definedName>
    <definedName name="sfgasd" localSheetId="7" hidden="1">{0,0,0,0;0,0,0,0;0,0,0,0;0,0,0,0;0,0,0,0;0,0,0,0;0,0,2,0;2,3,3,0;FALSE,FALSE,FALSE,FALSE;TRUE,FALSE,TRUE,TRUE;FALSE,FALSE,TRUE,TRUE;FALSE,0,2.78134444564786E-308,4.45015196281921E-308;7.78776275135711E-308,1.33504516457612E-307,2.22507555776164E-307,3.56012157274209E-307}</definedName>
    <definedName name="sfgasd" localSheetId="6"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gsG" localSheetId="7" hidden="1">{#N/A,#N/A,FALSE,"Performance Flash Report"}</definedName>
    <definedName name="sgsG" localSheetId="6" hidden="1">{#N/A,#N/A,FALSE,"Performance Flash Report"}</definedName>
    <definedName name="sgsG" hidden="1">{#N/A,#N/A,FALSE,"Performance Flash Report"}</definedName>
    <definedName name="sGSGkj" localSheetId="7" hidden="1">{"'Planning Data'!$A$2:$X$120"}</definedName>
    <definedName name="sGSGkj" localSheetId="6" hidden="1">{"'Planning Data'!$A$2:$X$120"}</definedName>
    <definedName name="sGSGkj" hidden="1">{"'Planning Data'!$A$2:$X$120"}</definedName>
    <definedName name="Sheet2" localSheetId="7" hidden="1">{#N/A,#N/A,FALSE,"Adj Proj";#N/A,#N/A,FALSE,"Sheet1";#N/A,#N/A,FALSE,"LBO";#N/A,#N/A,FALSE,"LBOMER";#N/A,#N/A,FALSE,"WACC";#N/A,#N/A,FALSE,"DCF";#N/A,#N/A,FALSE,"DCFMER";#N/A,#N/A,FALSE,"Pooling";#N/A,#N/A,FALSE,"income";#N/A,#N/A,FALSE,"Offer"}</definedName>
    <definedName name="Sheet2" localSheetId="6" hidden="1">{#N/A,#N/A,FALSE,"Adj Proj";#N/A,#N/A,FALSE,"Sheet1";#N/A,#N/A,FALSE,"LBO";#N/A,#N/A,FALSE,"LBOMER";#N/A,#N/A,FALSE,"WACC";#N/A,#N/A,FALSE,"DCF";#N/A,#N/A,FALSE,"DCFMER";#N/A,#N/A,FALSE,"Pooling";#N/A,#N/A,FALSE,"income";#N/A,#N/A,FALSE,"Offer"}</definedName>
    <definedName name="Sheet2" hidden="1">{#N/A,#N/A,FALSE,"Adj Proj";#N/A,#N/A,FALSE,"Sheet1";#N/A,#N/A,FALSE,"LBO";#N/A,#N/A,FALSE,"LBOMER";#N/A,#N/A,FALSE,"WACC";#N/A,#N/A,FALSE,"DCF";#N/A,#N/A,FALSE,"DCFMER";#N/A,#N/A,FALSE,"Pooling";#N/A,#N/A,FALSE,"income";#N/A,#N/A,FALSE,"Offer"}</definedName>
    <definedName name="Sheet3" localSheetId="7" hidden="1">{#N/A,#N/A,FALSE,"Projections";#N/A,#N/A,FALSE,"Multiples Valuation";#N/A,#N/A,FALSE,"LBO";#N/A,#N/A,FALSE,"Multiples_Sensitivity";#N/A,#N/A,FALSE,"Summary"}</definedName>
    <definedName name="Sheet3" localSheetId="6" hidden="1">{#N/A,#N/A,FALSE,"Projections";#N/A,#N/A,FALSE,"Multiples Valuation";#N/A,#N/A,FALSE,"LBO";#N/A,#N/A,FALSE,"Multiples_Sensitivity";#N/A,#N/A,FALSE,"Summary"}</definedName>
    <definedName name="Sheet3" hidden="1">{#N/A,#N/A,FALSE,"Projections";#N/A,#N/A,FALSE,"Multiples Valuation";#N/A,#N/A,FALSE,"LBO";#N/A,#N/A,FALSE,"Multiples_Sensitivity";#N/A,#N/A,FALSE,"Summary"}</definedName>
    <definedName name="Sheet4" localSheetId="7" hidden="1">{#N/A,#N/A,FALSE,"Projections";#N/A,#N/A,FALSE,"Multiples Valuation";#N/A,#N/A,FALSE,"LBO";#N/A,#N/A,FALSE,"Multiples_Sensitivity";#N/A,#N/A,FALSE,"Summary"}</definedName>
    <definedName name="Sheet4" localSheetId="6"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6" localSheetId="7" hidden="1">{#N/A,#N/A,FALSE,"Projections";#N/A,#N/A,FALSE,"Multiples Valuation";#N/A,#N/A,FALSE,"LBO";#N/A,#N/A,FALSE,"Multiples_Sensitivity";#N/A,#N/A,FALSE,"Summary"}</definedName>
    <definedName name="Sheet6" localSheetId="6" hidden="1">{#N/A,#N/A,FALSE,"Projections";#N/A,#N/A,FALSE,"Multiples Valuation";#N/A,#N/A,FALSE,"LBO";#N/A,#N/A,FALSE,"Multiples_Sensitivity";#N/A,#N/A,FALSE,"Summary"}</definedName>
    <definedName name="Sheet6" hidden="1">{#N/A,#N/A,FALSE,"Projections";#N/A,#N/A,FALSE,"Multiples Valuation";#N/A,#N/A,FALSE,"LBO";#N/A,#N/A,FALSE,"Multiples_Sensitivity";#N/A,#N/A,FALSE,"Summary"}</definedName>
    <definedName name="SMPS" localSheetId="7" hidden="1">{#N/A,#N/A,FALSE,"AD_Purchase";#N/A,#N/A,FALSE,"Credit";#N/A,#N/A,FALSE,"PF Acquisition";#N/A,#N/A,FALSE,"PF Offering"}</definedName>
    <definedName name="SMPS" localSheetId="6" hidden="1">{#N/A,#N/A,FALSE,"AD_Purchase";#N/A,#N/A,FALSE,"Credit";#N/A,#N/A,FALSE,"PF Acquisition";#N/A,#N/A,FALSE,"PF Offering"}</definedName>
    <definedName name="SMPS" hidden="1">{#N/A,#N/A,FALSE,"AD_Purchase";#N/A,#N/A,FALSE,"Credit";#N/A,#N/A,FALSE,"PF Acquisition";#N/A,#N/A,FALSE,"PF Offering"}</definedName>
    <definedName name="solver_adj" localSheetId="13" hidden="1">#REF!</definedName>
    <definedName name="solver_adj" localSheetId="7" hidden="1">#REF!</definedName>
    <definedName name="solver_adj" localSheetId="12" hidden="1">#REF!</definedName>
    <definedName name="solver_adj" localSheetId="6" hidden="1">#REF!</definedName>
    <definedName name="solver_adj" hidden="1">#REF!</definedName>
    <definedName name="solver_cvg" hidden="1">0.0001</definedName>
    <definedName name="solver_drv" hidden="1">1</definedName>
    <definedName name="solver_est" hidden="1">1</definedName>
    <definedName name="solver_itr" hidden="1">100</definedName>
    <definedName name="solver_neg" hidden="1">1</definedName>
    <definedName name="solver_nwt" hidden="1">1</definedName>
    <definedName name="solver_opt" localSheetId="13" hidden="1">#REF!</definedName>
    <definedName name="solver_opt" localSheetId="7" hidden="1">#REF!</definedName>
    <definedName name="solver_opt" localSheetId="12" hidden="1">#REF!</definedName>
    <definedName name="solver_opt" hidden="1">#REF!</definedName>
    <definedName name="solver_pre" hidden="1">0.000001</definedName>
    <definedName name="solver_scl" hidden="1">2</definedName>
    <definedName name="solver_sho" hidden="1">2</definedName>
    <definedName name="solver_tim" hidden="1">200</definedName>
    <definedName name="solver_tol" hidden="1">0.05</definedName>
    <definedName name="ss" localSheetId="7" hidden="1">{#N/A,#N/A,FALSE,"Performance Flash Report"}</definedName>
    <definedName name="ss" localSheetId="6" hidden="1">{#N/A,#N/A,FALSE,"Performance Flash Report"}</definedName>
    <definedName name="ss" hidden="1">{#N/A,#N/A,FALSE,"Performance Flash Report"}</definedName>
    <definedName name="ssasa" localSheetId="7" hidden="1">{#N/A,#N/A,FALSE,"Performance Flash Report"}</definedName>
    <definedName name="ssasa" localSheetId="6" hidden="1">{#N/A,#N/A,FALSE,"Performance Flash Report"}</definedName>
    <definedName name="ssasa" hidden="1">{#N/A,#N/A,FALSE,"Performance Flash Report"}</definedName>
    <definedName name="sssss" localSheetId="7" hidden="1">{#N/A,#N/A,FALSE,"Performance Flash Report"}</definedName>
    <definedName name="sssss" localSheetId="6" hidden="1">{#N/A,#N/A,FALSE,"Performance Flash Report"}</definedName>
    <definedName name="sssss" hidden="1">{#N/A,#N/A,FALSE,"Performance Flash Report"}</definedName>
    <definedName name="summ" localSheetId="7" hidden="1">{"'DataPrep 4.0'!$A$1:$AG$75","'DataPrep 4.0'!$AH$13"}</definedName>
    <definedName name="summ" localSheetId="6" hidden="1">{"'DataPrep 4.0'!$A$1:$AG$75","'DataPrep 4.0'!$AH$13"}</definedName>
    <definedName name="summ" hidden="1">{"'DataPrep 4.0'!$A$1:$AG$75","'DataPrep 4.0'!$AH$13"}</definedName>
    <definedName name="Summary2" localSheetId="7" hidden="1">{#N/A,#N/A,FALSE,"FACTSHEETS";#N/A,#N/A,FALSE,"pump";#N/A,#N/A,FALSE,"filter"}</definedName>
    <definedName name="Summary2" localSheetId="6" hidden="1">{#N/A,#N/A,FALSE,"FACTSHEETS";#N/A,#N/A,FALSE,"pump";#N/A,#N/A,FALSE,"filter"}</definedName>
    <definedName name="Summary2" hidden="1">{#N/A,#N/A,FALSE,"FACTSHEETS";#N/A,#N/A,FALSE,"pump";#N/A,#N/A,FALSE,"filter"}</definedName>
    <definedName name="SuperUser" hidden="1">FALSE</definedName>
    <definedName name="Swvu.incearn." localSheetId="13" hidden="1">[10]EndNotes!#REF!</definedName>
    <definedName name="Swvu.incearn." localSheetId="7" hidden="1">[10]EndNotes!#REF!</definedName>
    <definedName name="Swvu.incearn." localSheetId="12" hidden="1">[10]EndNotes!#REF!</definedName>
    <definedName name="Swvu.incearn." hidden="1">[10]EndNotes!#REF!</definedName>
    <definedName name="t" localSheetId="13" hidden="1">#REF!</definedName>
    <definedName name="t" localSheetId="7" hidden="1">#REF!</definedName>
    <definedName name="t" localSheetId="12" hidden="1">#REF!</definedName>
    <definedName name="t" localSheetId="6" hidden="1">#REF!</definedName>
    <definedName name="t" hidden="1">#REF!</definedName>
    <definedName name="test2" localSheetId="7" hidden="1">{#N/A,#N/A,FALSE,"Performance Flash Report"}</definedName>
    <definedName name="test2" localSheetId="6" hidden="1">{#N/A,#N/A,FALSE,"Performance Flash Report"}</definedName>
    <definedName name="test2" hidden="1">{#N/A,#N/A,FALSE,"Performance Flash Report"}</definedName>
    <definedName name="test3" localSheetId="7" hidden="1">{#N/A,#N/A,FALSE,"Performance Flash Report"}</definedName>
    <definedName name="test3" localSheetId="6" hidden="1">{#N/A,#N/A,FALSE,"Performance Flash Report"}</definedName>
    <definedName name="test3" hidden="1">{#N/A,#N/A,FALSE,"Performance Flash Report"}</definedName>
    <definedName name="test4" localSheetId="7" hidden="1">{#N/A,#N/A,FALSE,"Performance Flash Report"}</definedName>
    <definedName name="test4" localSheetId="6" hidden="1">{#N/A,#N/A,FALSE,"Performance Flash Report"}</definedName>
    <definedName name="test4" hidden="1">{#N/A,#N/A,FALSE,"Performance Flash Report"}</definedName>
    <definedName name="test5" localSheetId="7" hidden="1">{#N/A,#N/A,FALSE,"Performance Flash Report"}</definedName>
    <definedName name="test5" localSheetId="6" hidden="1">{#N/A,#N/A,FALSE,"Performance Flash Report"}</definedName>
    <definedName name="test5" hidden="1">{#N/A,#N/A,FALSE,"Performance Flash Report"}</definedName>
    <definedName name="ThresholdDiscount" hidden="1">14%</definedName>
    <definedName name="Tiger" localSheetId="7" hidden="1">{#N/A,#N/A,FALSE,"TS";#N/A,#N/A,FALSE,"Combo";#N/A,#N/A,FALSE,"FAIR";#N/A,#N/A,FALSE,"RBC";#N/A,#N/A,FALSE,"xxxx";#N/A,#N/A,FALSE,"A_D";#N/A,#N/A,FALSE,"WACC";#N/A,#N/A,FALSE,"DCF";#N/A,#N/A,FALSE,"LBO";#N/A,#N/A,FALSE,"AcqMults";#N/A,#N/A,FALSE,"CompMults"}</definedName>
    <definedName name="Tiger" localSheetId="6" hidden="1">{#N/A,#N/A,FALSE,"TS";#N/A,#N/A,FALSE,"Combo";#N/A,#N/A,FALSE,"FAIR";#N/A,#N/A,FALSE,"RBC";#N/A,#N/A,FALSE,"xxxx";#N/A,#N/A,FALSE,"A_D";#N/A,#N/A,FALSE,"WACC";#N/A,#N/A,FALSE,"DCF";#N/A,#N/A,FALSE,"LBO";#N/A,#N/A,FALSE,"AcqMults";#N/A,#N/A,FALSE,"CompMults"}</definedName>
    <definedName name="Tiger" hidden="1">{#N/A,#N/A,FALSE,"TS";#N/A,#N/A,FALSE,"Combo";#N/A,#N/A,FALSE,"FAIR";#N/A,#N/A,FALSE,"RBC";#N/A,#N/A,FALSE,"xxxx";#N/A,#N/A,FALSE,"A_D";#N/A,#N/A,FALSE,"WACC";#N/A,#N/A,FALSE,"DCF";#N/A,#N/A,FALSE,"LBO";#N/A,#N/A,FALSE,"AcqMults";#N/A,#N/A,FALSE,"CompMults"}</definedName>
    <definedName name="TP_Footer_User" hidden="1">"Erica Bodi"</definedName>
    <definedName name="TP_Footer_Version" hidden="1">"v4.00"</definedName>
    <definedName name="TransferPerCent" hidden="1">70%</definedName>
    <definedName name="treeList" hidden="1">"11111100000000000000000000000000000000000000000000000000000000000000000000000000000000000000000000000000000000000000000000000000000000000000000000000000000000000000000000000000000000000000000000000000"</definedName>
    <definedName name="tyu" hidden="1">"c124"</definedName>
    <definedName name="UEASDAS" localSheetId="7" hidden="1">{#N/A,#N/A,FALSE,"Performance Flash Report"}</definedName>
    <definedName name="UEASDAS" localSheetId="6" hidden="1">{#N/A,#N/A,FALSE,"Performance Flash Report"}</definedName>
    <definedName name="UEASDAS" hidden="1">{#N/A,#N/A,FALSE,"Performance Flash Report"}</definedName>
    <definedName name="UEBLAH2" localSheetId="7" hidden="1">{#N/A,#N/A,FALSE,"Performance Flash Report"}</definedName>
    <definedName name="UEBLAH2" localSheetId="6" hidden="1">{#N/A,#N/A,FALSE,"Performance Flash Report"}</definedName>
    <definedName name="UEBLAH2" hidden="1">{#N/A,#N/A,FALSE,"Performance Flash Report"}</definedName>
    <definedName name="UEEfbar" localSheetId="7" hidden="1">{#N/A,#N/A,FALSE,"Performance Flash Report"}</definedName>
    <definedName name="UEEfbar" localSheetId="6" hidden="1">{#N/A,#N/A,FALSE,"Performance Flash Report"}</definedName>
    <definedName name="UEEfbar" hidden="1">{#N/A,#N/A,FALSE,"Performance Flash Report"}</definedName>
    <definedName name="UEPlaceholder" localSheetId="7" hidden="1">{#N/A,#N/A,FALSE,"Performance Flash Report"}</definedName>
    <definedName name="UEPlaceholder" localSheetId="6" hidden="1">{#N/A,#N/A,FALSE,"Performance Flash Report"}</definedName>
    <definedName name="UEPlaceholder" hidden="1">{#N/A,#N/A,FALSE,"Performance Flash Report"}</definedName>
    <definedName name="UEtest2" localSheetId="7" hidden="1">{#N/A,#N/A,FALSE,"Performance Flash Report"}</definedName>
    <definedName name="UEtest2" localSheetId="6" hidden="1">{#N/A,#N/A,FALSE,"Performance Flash Report"}</definedName>
    <definedName name="UEtest2" hidden="1">{#N/A,#N/A,FALSE,"Performance Flash Report"}</definedName>
    <definedName name="UETest3" localSheetId="7" hidden="1">{#N/A,#N/A,FALSE,"Performance Flash Report"}</definedName>
    <definedName name="UETest3" localSheetId="6" hidden="1">{#N/A,#N/A,FALSE,"Performance Flash Report"}</definedName>
    <definedName name="UETest3" hidden="1">{#N/A,#N/A,FALSE,"Performance Flash Report"}</definedName>
    <definedName name="UEwef" localSheetId="7" hidden="1">{#N/A,#N/A,FALSE,"Performance Flash Report"}</definedName>
    <definedName name="UEwef" localSheetId="6" hidden="1">{#N/A,#N/A,FALSE,"Performance Flash Report"}</definedName>
    <definedName name="UEwef" hidden="1">{#N/A,#N/A,FALSE,"Performance Flash Report"}</definedName>
    <definedName name="UEwrncs" localSheetId="7" hidden="1">{#N/A,#N/A,FALSE,"Performance Flash Report"}</definedName>
    <definedName name="UEwrncs" localSheetId="6" hidden="1">{#N/A,#N/A,FALSE,"Performance Flash Report"}</definedName>
    <definedName name="UEwrncs" hidden="1">{#N/A,#N/A,FALSE,"Performance Flash Report"}</definedName>
    <definedName name="uigl" localSheetId="8" hidden="1">[15]DS_Industry_Specif!#REF!</definedName>
    <definedName name="uigl" localSheetId="13" hidden="1">[15]DS_Industry_Specif!#REF!</definedName>
    <definedName name="uigl" localSheetId="2" hidden="1">[15]DS_Industry_Specif!#REF!</definedName>
    <definedName name="uigl" localSheetId="7" hidden="1">[15]DS_Industry_Specif!#REF!</definedName>
    <definedName name="uigl" localSheetId="12" hidden="1">[15]DS_Industry_Specif!#REF!</definedName>
    <definedName name="uigl" hidden="1">[15]DS_Industry_Specif!#REF!</definedName>
    <definedName name="uiknu" localSheetId="7"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 localSheetId="6"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ky" localSheetId="8" hidden="1">[15]DS_Industry_Specif!#REF!</definedName>
    <definedName name="uky" localSheetId="13" hidden="1">[15]DS_Industry_Specif!#REF!</definedName>
    <definedName name="uky" localSheetId="2" hidden="1">[15]DS_Industry_Specif!#REF!</definedName>
    <definedName name="uky" localSheetId="7" hidden="1">[15]DS_Industry_Specif!#REF!</definedName>
    <definedName name="uky" localSheetId="12" hidden="1">[15]DS_Industry_Specif!#REF!</definedName>
    <definedName name="uky" hidden="1">[15]DS_Industry_Specif!#REF!</definedName>
    <definedName name="UPDATESUMMARY" localSheetId="7" hidden="1">{#N/A,#N/A,FALSE,"FACTSHEETS";#N/A,#N/A,FALSE,"pump";#N/A,#N/A,FALSE,"filter"}</definedName>
    <definedName name="UPDATESUMMARY" localSheetId="6" hidden="1">{#N/A,#N/A,FALSE,"FACTSHEETS";#N/A,#N/A,FALSE,"pump";#N/A,#N/A,FALSE,"filter"}</definedName>
    <definedName name="UPDATESUMMARY" hidden="1">{#N/A,#N/A,FALSE,"FACTSHEETS";#N/A,#N/A,FALSE,"pump";#N/A,#N/A,FALSE,"filter"}</definedName>
    <definedName name="uuuui" hidden="1">[10]EndNotes!$E$1:$E$65536,[10]EndNotes!#REF!,[10]EndNotes!$K$1:$K$65536,[10]EndNotes!$N$1:$N$65536,[10]EndNotes!$Q$1:$Q$65536</definedName>
    <definedName name="uytyuiytyui" hidden="1">#REF!</definedName>
    <definedName name="Varanalysis2001" localSheetId="7" hidden="1">{#N/A,#N/A,FALSE,"BalSheet 0899";#N/A,#N/A,FALSE,"ytdpl899";#N/A,#N/A,FALSE,"Aug PL";#N/A,#N/A,FALSE,"Minority Int";#N/A,#N/A,FALSE,"Equity Roll Forward";#N/A,#N/A,FALSE,"Book Equity Test"}</definedName>
    <definedName name="Varanalysis2001" localSheetId="6" hidden="1">{#N/A,#N/A,FALSE,"BalSheet 0899";#N/A,#N/A,FALSE,"ytdpl899";#N/A,#N/A,FALSE,"Aug PL";#N/A,#N/A,FALSE,"Minority Int";#N/A,#N/A,FALSE,"Equity Roll Forward";#N/A,#N/A,FALSE,"Book Equity Test"}</definedName>
    <definedName name="Varanalysis2001" hidden="1">{#N/A,#N/A,FALSE,"BalSheet 0899";#N/A,#N/A,FALSE,"ytdpl899";#N/A,#N/A,FALSE,"Aug PL";#N/A,#N/A,FALSE,"Minority Int";#N/A,#N/A,FALSE,"Equity Roll Forward";#N/A,#N/A,FALSE,"Book Equity Test"}</definedName>
    <definedName name="vbvn" hidden="1">"c116"</definedName>
    <definedName name="ve" localSheetId="7" hidden="1">{"'Sheet1'!$A$1:$D$69"}</definedName>
    <definedName name="ve" localSheetId="6" hidden="1">{"'Sheet1'!$A$1:$D$69"}</definedName>
    <definedName name="ve" hidden="1">{"'Sheet1'!$A$1:$D$69"}</definedName>
    <definedName name="vwew32" localSheetId="7" hidden="1">{"Assumptions",#N/A,TRUE,"Assumptions";"Income",#N/A,TRUE,"Income";"Balance",#N/A,TRUE,"Balance"}</definedName>
    <definedName name="vwew32" localSheetId="6" hidden="1">{"Assumptions",#N/A,TRUE,"Assumptions";"Income",#N/A,TRUE,"Income";"Balance",#N/A,TRUE,"Balance"}</definedName>
    <definedName name="vwew32" hidden="1">{"Assumptions",#N/A,TRUE,"Assumptions";"Income",#N/A,TRUE,"Income";"Balance",#N/A,TRUE,"Balance"}</definedName>
    <definedName name="vzssw" localSheetId="7" hidden="1">{#N/A,#N/A,FALSE,"Projections";#N/A,#N/A,FALSE,"Acq Mult";#N/A,#N/A,FALSE,"TWER Mult";#N/A,#N/A,FALSE,"DCF EBITDA";#N/A,#N/A,FALSE,"DCF EBIT";#N/A,#N/A,FALSE,"Debt Accr";#N/A,#N/A,FALSE,"Stock Accr";#N/A,#N/A,FALSE,"Debt Stock Accr";#N/A,#N/A,FALSE,"Accr Dil Sensi"}</definedName>
    <definedName name="vzssw" localSheetId="6" hidden="1">{#N/A,#N/A,FALSE,"Projections";#N/A,#N/A,FALSE,"Acq Mult";#N/A,#N/A,FALSE,"TWER Mult";#N/A,#N/A,FALSE,"DCF EBITDA";#N/A,#N/A,FALSE,"DCF EBIT";#N/A,#N/A,FALSE,"Debt Accr";#N/A,#N/A,FALSE,"Stock Accr";#N/A,#N/A,FALSE,"Debt Stock Accr";#N/A,#N/A,FALSE,"Accr Dil Sensi"}</definedName>
    <definedName name="vzssw" hidden="1">{#N/A,#N/A,FALSE,"Projections";#N/A,#N/A,FALSE,"Acq Mult";#N/A,#N/A,FALSE,"TWER Mult";#N/A,#N/A,FALSE,"DCF EBITDA";#N/A,#N/A,FALSE,"DCF EBIT";#N/A,#N/A,FALSE,"Debt Accr";#N/A,#N/A,FALSE,"Stock Accr";#N/A,#N/A,FALSE,"Debt Stock Accr";#N/A,#N/A,FALSE,"Accr Dil Sensi"}</definedName>
    <definedName name="w" localSheetId="7" hidden="1">{#N/A,#N/A,FALSE,"Projections";#N/A,#N/A,FALSE,"Multiples Valuation";#N/A,#N/A,FALSE,"LBO";#N/A,#N/A,FALSE,"Multiples_Sensitivity";#N/A,#N/A,FALSE,"Summary"}</definedName>
    <definedName name="w" localSheetId="6" hidden="1">{#N/A,#N/A,FALSE,"Projections";#N/A,#N/A,FALSE,"Multiples Valuation";#N/A,#N/A,FALSE,"LBO";#N/A,#N/A,FALSE,"Multiples_Sensitivity";#N/A,#N/A,FALSE,"Summary"}</definedName>
    <definedName name="w" hidden="1">{#N/A,#N/A,FALSE,"Projections";#N/A,#N/A,FALSE,"Multiples Valuation";#N/A,#N/A,FALSE,"LBO";#N/A,#N/A,FALSE,"Multiples_Sensitivity";#N/A,#N/A,FALSE,"Summary"}</definedName>
    <definedName name="wef" localSheetId="7" hidden="1">{#N/A,#N/A,FALSE,"Performance Flash Report"}</definedName>
    <definedName name="wef" localSheetId="6" hidden="1">{#N/A,#N/A,FALSE,"Performance Flash Report"}</definedName>
    <definedName name="wef" hidden="1">{#N/A,#N/A,FALSE,"Performance Flash Report"}</definedName>
    <definedName name="wereeeeeeeeeee" hidden="1">'[4]19'!#REF!</definedName>
    <definedName name="werrr" localSheetId="7" hidden="1">{#N/A,#N/A,FALSE,"Adj Proj";#N/A,#N/A,FALSE,"Sheet1";#N/A,#N/A,FALSE,"LBO";#N/A,#N/A,FALSE,"LBOMER";#N/A,#N/A,FALSE,"WACC";#N/A,#N/A,FALSE,"DCF";#N/A,#N/A,FALSE,"DCFMER";#N/A,#N/A,FALSE,"Pooling";#N/A,#N/A,FALSE,"income";#N/A,#N/A,FALSE,"Offer"}</definedName>
    <definedName name="werrr" localSheetId="6" hidden="1">{#N/A,#N/A,FALSE,"Adj Proj";#N/A,#N/A,FALSE,"Sheet1";#N/A,#N/A,FALSE,"LBO";#N/A,#N/A,FALSE,"LBOMER";#N/A,#N/A,FALSE,"WACC";#N/A,#N/A,FALSE,"DCF";#N/A,#N/A,FALSE,"DCFMER";#N/A,#N/A,FALSE,"Pooling";#N/A,#N/A,FALSE,"income";#N/A,#N/A,FALSE,"Offer"}</definedName>
    <definedName name="werrr" hidden="1">{#N/A,#N/A,FALSE,"Adj Proj";#N/A,#N/A,FALSE,"Sheet1";#N/A,#N/A,FALSE,"LBO";#N/A,#N/A,FALSE,"LBOMER";#N/A,#N/A,FALSE,"WACC";#N/A,#N/A,FALSE,"DCF";#N/A,#N/A,FALSE,"DCFMER";#N/A,#N/A,FALSE,"Pooling";#N/A,#N/A,FALSE,"income";#N/A,#N/A,FALSE,"Offer"}</definedName>
    <definedName name="Westburne" localSheetId="7" hidden="1">{#N/A,#N/A,FALSE,"Projections";#N/A,#N/A,FALSE,"Multiples Valuation";#N/A,#N/A,FALSE,"LBO";#N/A,#N/A,FALSE,"Multiples_Sensitivity";#N/A,#N/A,FALSE,"Summary"}</definedName>
    <definedName name="Westburne" localSheetId="6" hidden="1">{#N/A,#N/A,FALSE,"Projections";#N/A,#N/A,FALSE,"Multiples Valuation";#N/A,#N/A,FALSE,"LBO";#N/A,#N/A,FALSE,"Multiples_Sensitivity";#N/A,#N/A,FALSE,"Summary"}</definedName>
    <definedName name="Westburne" hidden="1">{#N/A,#N/A,FALSE,"Projections";#N/A,#N/A,FALSE,"Multiples Valuation";#N/A,#N/A,FALSE,"LBO";#N/A,#N/A,FALSE,"Multiples_Sensitivity";#N/A,#N/A,FALSE,"Summary"}</definedName>
    <definedName name="what" localSheetId="7"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localSheetId="6"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isthis" localSheetId="7" hidden="1">{#N/A,#N/A,FALSE,"Summary";#N/A,#N/A,FALSE,"Projections";#N/A,#N/A,FALSE,"Mkt Mults";#N/A,#N/A,FALSE,"DCF";#N/A,#N/A,FALSE,"Accr Dil";#N/A,#N/A,FALSE,"PIC LBO";#N/A,#N/A,FALSE,"MULT10_4";#N/A,#N/A,FALSE,"CBI LBO"}</definedName>
    <definedName name="whatisthis" localSheetId="6"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7" hidden="1">{#N/A,#N/A,FALSE,"IPO";#N/A,#N/A,FALSE,"DCF";#N/A,#N/A,FALSE,"LBO";#N/A,#N/A,FALSE,"MULT_VAL";#N/A,#N/A,FALSE,"Status Quo";#N/A,#N/A,FALSE,"Recap"}</definedName>
    <definedName name="whatisthissss" localSheetId="6"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7" hidden="1">{#N/A,#N/A,FALSE,"Summary";#N/A,#N/A,FALSE,"Projections";#N/A,#N/A,FALSE,"Mkt Mults";#N/A,#N/A,FALSE,"DCF";#N/A,#N/A,FALSE,"Accr Dil";#N/A,#N/A,FALSE,"PIC LBO";#N/A,#N/A,FALSE,"MULT10_4";#N/A,#N/A,FALSE,"CBI LBO"}</definedName>
    <definedName name="whatisthisssss" localSheetId="6"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illiam"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william" localSheetId="6" hidden="1">{#N/A,#N/A,FALSE,"Projections";#N/A,#N/A,FALSE,"AccrDil";#N/A,#N/A,FALSE,"PurchPriMult";#N/A,#N/A,FALSE,"Mults7_13";#N/A,#N/A,FALSE,"Mkt Mults";#N/A,#N/A,FALSE,"Acq Mults";#N/A,#N/A,FALSE,"StockPrices";#N/A,#N/A,FALSE,"Prem Paid";#N/A,#N/A,FALSE,"DCF";#N/A,#N/A,FALSE,"AUTO";#N/A,#N/A,FALSE,"Relative Trading";#N/A,#N/A,FALSE,"Mkt Val";#N/A,#N/A,FALSE,"Acq Val"}</definedName>
    <definedName name="william" hidden="1">{#N/A,#N/A,FALSE,"Projections";#N/A,#N/A,FALSE,"AccrDil";#N/A,#N/A,FALSE,"PurchPriMult";#N/A,#N/A,FALSE,"Mults7_13";#N/A,#N/A,FALSE,"Mkt Mults";#N/A,#N/A,FALSE,"Acq Mults";#N/A,#N/A,FALSE,"StockPrices";#N/A,#N/A,FALSE,"Prem Paid";#N/A,#N/A,FALSE,"DCF";#N/A,#N/A,FALSE,"AUTO";#N/A,#N/A,FALSE,"Relative Trading";#N/A,#N/A,FALSE,"Mkt Val";#N/A,#N/A,FALSE,"Acq Val"}</definedName>
    <definedName name="wqwt" localSheetId="7" hidden="1">{#N/A,#N/A,FALSE,"Projections";#N/A,#N/A,FALSE,"Contribution_Stock";#N/A,#N/A,FALSE,"PF_Combo_Stock";#N/A,#N/A,FALSE,"Projections";#N/A,#N/A,FALSE,"Contribution_Cash";#N/A,#N/A,FALSE,"PF_Combo_Cash";#N/A,#N/A,FALSE,"IPO_Cash"}</definedName>
    <definedName name="wqwt" localSheetId="6" hidden="1">{#N/A,#N/A,FALSE,"Projections";#N/A,#N/A,FALSE,"Contribution_Stock";#N/A,#N/A,FALSE,"PF_Combo_Stock";#N/A,#N/A,FALSE,"Projections";#N/A,#N/A,FALSE,"Contribution_Cash";#N/A,#N/A,FALSE,"PF_Combo_Cash";#N/A,#N/A,FALSE,"IPO_Cash"}</definedName>
    <definedName name="wqwt" hidden="1">{#N/A,#N/A,FALSE,"Projections";#N/A,#N/A,FALSE,"Contribution_Stock";#N/A,#N/A,FALSE,"PF_Combo_Stock";#N/A,#N/A,FALSE,"Projections";#N/A,#N/A,FALSE,"Contribution_Cash";#N/A,#N/A,FALSE,"PF_Combo_Cash";#N/A,#N/A,FALSE,"IPO_Cash"}</definedName>
    <definedName name="wrn.2NDQTRRPT." localSheetId="7" hidden="1">{"QTR2",#N/A,FALSE,"OTK6_27";#N/A,#N/A,FALSE,"Q2 Detail";"SIXMTH",#N/A,FALSE,"OTK6_27";"qtr3",#N/A,FALSE,"OTK6_27";#N/A,#N/A,FALSE,"Q3 Detail";"NINEMTH",#N/A,FALSE,"OTK6_27";"qtr4",#N/A,FALSE,"OTK6_27";#N/A,#N/A,FALSE,"Q4 Detail";"YEAR",#N/A,FALSE,"OTK6_27"}</definedName>
    <definedName name="wrn.2NDQTRRPT." localSheetId="6" hidden="1">{"QTR2",#N/A,FALSE,"OTK6_27";#N/A,#N/A,FALSE,"Q2 Detail";"SIXMTH",#N/A,FALSE,"OTK6_27";"qtr3",#N/A,FALSE,"OTK6_27";#N/A,#N/A,FALSE,"Q3 Detail";"NINEMTH",#N/A,FALSE,"OTK6_27";"qtr4",#N/A,FALSE,"OTK6_27";#N/A,#N/A,FALSE,"Q4 Detail";"YEAR",#N/A,FALSE,"OTK6_27"}</definedName>
    <definedName name="wrn.2NDQTRRPT." hidden="1">{"QTR2",#N/A,FALSE,"OTK6_27";#N/A,#N/A,FALSE,"Q2 Detail";"SIXMTH",#N/A,FALSE,"OTK6_27";"qtr3",#N/A,FALSE,"OTK6_27";#N/A,#N/A,FALSE,"Q3 Detail";"NINEMTH",#N/A,FALSE,"OTK6_27";"qtr4",#N/A,FALSE,"OTK6_27";#N/A,#N/A,FALSE,"Q4 Detail";"YEAR",#N/A,FALSE,"OTK6_27"}</definedName>
    <definedName name="wrn.A._.Summary._.View." localSheetId="7" hidden="1">{#N/A,#N/A,FALSE,"BU INCOME STATEMENT ";#N/A,#N/A,FALSE,"EXPENSE SUMMARY ";#N/A,#N/A,FALSE,"DEPT1";#N/A,#N/A,FALSE,"DEPT1 (2)"}</definedName>
    <definedName name="wrn.A._.Summary._.View." localSheetId="6" hidden="1">{#N/A,#N/A,FALSE,"BU INCOME STATEMENT ";#N/A,#N/A,FALSE,"EXPENSE SUMMARY ";#N/A,#N/A,FALSE,"DEPT1";#N/A,#N/A,FALSE,"DEPT1 (2)"}</definedName>
    <definedName name="wrn.A._.Summary._.View." hidden="1">{#N/A,#N/A,FALSE,"BU INCOME STATEMENT ";#N/A,#N/A,FALSE,"EXPENSE SUMMARY ";#N/A,#N/A,FALSE,"DEPT1";#N/A,#N/A,FALSE,"DEPT1 (2)"}</definedName>
    <definedName name="wrn.A_VALUATION." localSheetId="7" hidden="1">{#N/A,#N/A,FALSE,"A_D";#N/A,#N/A,FALSE,"WACC";#N/A,#N/A,FALSE,"DCF";#N/A,#N/A,FALSE,"A";#N/A,#N/A,FALSE,"LBO";#N/A,#N/A,FALSE,"C";#N/A,#N/A,FALSE,"impd";#N/A,#N/A,FALSE,"comps"}</definedName>
    <definedName name="wrn.A_VALUATION." localSheetId="6"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7" hidden="1">{#N/A,#N/A,FALSE,"Debt Accr";#N/A,#N/A,FALSE,"Stock Accr";#N/A,#N/A,FALSE,"Debt Stock Accr"}</definedName>
    <definedName name="wrn.Accr_Dil." localSheetId="6" hidden="1">{#N/A,#N/A,FALSE,"Debt Accr";#N/A,#N/A,FALSE,"Stock Accr";#N/A,#N/A,FALSE,"Debt Stock Accr"}</definedName>
    <definedName name="wrn.Accr_Dil." hidden="1">{#N/A,#N/A,FALSE,"Debt Accr";#N/A,#N/A,FALSE,"Stock Accr";#N/A,#N/A,FALSE,"Debt Stock Accr"}</definedName>
    <definedName name="wrn.Aging._.and._.Trend._.Analysis." localSheetId="7"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7" hidden="1">{#N/A,#N/A,FALSE,"Summary Combined Budget";#N/A,#N/A,FALSE,"Combined Budget";#N/A,#N/A,FALSE,"GTHV Cons";#N/A,#N/A,FALSE,"GTHV Cons Stan";#N/A,#N/A,FALSE,"GT Home Video";#N/A,#N/A,FALSE,"GT CorpSvc";#N/A,#N/A,FALSE,"GT Int'l";#N/A,#N/A,FALSE,"GT Mnf";#N/A,#N/A,FALSE,"GT DC";#N/A,#N/A,FALSE,"GT Publishing";#N/A,#N/A,FALSE,"GT M&amp;L";#N/A,#N/A,FALSE,"SimmGT";#N/A,#N/A,FALSE,"REPS"}</definedName>
    <definedName name="wrn.All." localSheetId="6" hidden="1">{#N/A,#N/A,FALSE,"Summary Combined Budget";#N/A,#N/A,FALSE,"Combined Budget";#N/A,#N/A,FALSE,"GTHV Cons";#N/A,#N/A,FALSE,"GTHV Cons Stan";#N/A,#N/A,FALSE,"GT Home Video";#N/A,#N/A,FALSE,"GT CorpSvc";#N/A,#N/A,FALSE,"GT Int'l";#N/A,#N/A,FALSE,"GT Mnf";#N/A,#N/A,FALSE,"GT DC";#N/A,#N/A,FALSE,"GT Publishing";#N/A,#N/A,FALSE,"GT M&amp;L";#N/A,#N/A,FALSE,"SimmGT";#N/A,#N/A,FALSE,"REPS"}</definedName>
    <definedName name="wrn.All." hidden="1">{#N/A,#N/A,FALSE,"Summary Combined Budget";#N/A,#N/A,FALSE,"Combined Budget";#N/A,#N/A,FALSE,"GTHV Cons";#N/A,#N/A,FALSE,"GTHV Cons Stan";#N/A,#N/A,FALSE,"GT Home Video";#N/A,#N/A,FALSE,"GT CorpSvc";#N/A,#N/A,FALSE,"GT Int'l";#N/A,#N/A,FALSE,"GT Mnf";#N/A,#N/A,FALSE,"GT DC";#N/A,#N/A,FALSE,"GT Publishing";#N/A,#N/A,FALSE,"GT M&amp;L";#N/A,#N/A,FALSE,"SimmGT";#N/A,#N/A,FALSE,"REPS"}</definedName>
    <definedName name="wrn.all._.gulp._.sheets." localSheetId="7"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6"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Pages."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HEETS." localSheetId="7" hidden="1">{#N/A,#N/A,FALSE,"Adj Proj";#N/A,#N/A,FALSE,"Sheet1";#N/A,#N/A,FALSE,"LBO";#N/A,#N/A,FALSE,"LBOMER";#N/A,#N/A,FALSE,"WACC";#N/A,#N/A,FALSE,"DCF";#N/A,#N/A,FALSE,"DCFMER";#N/A,#N/A,FALSE,"Pooling";#N/A,#N/A,FALSE,"income";#N/A,#N/A,FALSE,"Offer"}</definedName>
    <definedName name="wrn.ALL._.SHEETS." localSheetId="6"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Models." localSheetId="7" hidden="1">{#N/A,#N/A,FALSE,"Summary";#N/A,#N/A,FALSE,"Projections";#N/A,#N/A,FALSE,"Mkt Mults";#N/A,#N/A,FALSE,"DCF";#N/A,#N/A,FALSE,"Accr Dil";#N/A,#N/A,FALSE,"PIC LBO";#N/A,#N/A,FALSE,"MULT10_4";#N/A,#N/A,FALSE,"CBI LBO"}</definedName>
    <definedName name="wrn.All_Models." localSheetId="6"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Models2" localSheetId="7" hidden="1">{#N/A,#N/A,FALSE,"Projections";#N/A,#N/A,FALSE,"Multiples Valuation";#N/A,#N/A,FALSE,"LBO";#N/A,#N/A,FALSE,"Multiples_Sensitivity";#N/A,#N/A,FALSE,"Summary"}</definedName>
    <definedName name="wrn.All_Models2" localSheetId="6" hidden="1">{#N/A,#N/A,FALSE,"Projections";#N/A,#N/A,FALSE,"Multiples Valuation";#N/A,#N/A,FALSE,"LBO";#N/A,#N/A,FALSE,"Multiples_Sensitivity";#N/A,#N/A,FALSE,"Summary"}</definedName>
    <definedName name="wrn.All_Models2" hidden="1">{#N/A,#N/A,FALSE,"Projections";#N/A,#N/A,FALSE,"Multiples Valuation";#N/A,#N/A,FALSE,"LBO";#N/A,#N/A,FALSE,"Multiples_Sensitivity";#N/A,#N/A,FALSE,"Summary"}</definedName>
    <definedName name="wrn.All_Sheets." localSheetId="7" hidden="1">{#N/A,#N/A,FALSE,"Projections";#N/A,#N/A,FALSE,"Contribution_Stock";#N/A,#N/A,FALSE,"PF_Combo_Stock";#N/A,#N/A,FALSE,"Projections";#N/A,#N/A,FALSE,"Contribution_Cash";#N/A,#N/A,FALSE,"PF_Combo_Cash";#N/A,#N/A,FALSE,"IPO_Cash"}</definedName>
    <definedName name="wrn.All_Sheets." localSheetId="6"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4" localSheetId="7" hidden="1">{#N/A,#N/A,FALSE,"ASSUMPTIONS";#N/A,#N/A,FALSE,"Valuation Summary";"page1",#N/A,FALSE,"PRESENTATION";"page2",#N/A,FALSE,"PRESENTATION";#N/A,#N/A,FALSE,"ORIGINAL_ROLLBACK"}</definedName>
    <definedName name="wrn.ALL4" localSheetId="6"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5" localSheetId="7" hidden="1">{#N/A,#N/A,FALSE,"ASSUMPTIONS";#N/A,#N/A,FALSE,"Valuation Summary";"page1",#N/A,FALSE,"PRESENTATION";"page2",#N/A,FALSE,"PRESENTATION";#N/A,#N/A,FALSE,"ORIGINAL_ROLLBACK"}</definedName>
    <definedName name="wrn.ALL5" localSheetId="6"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localSheetId="7" hidden="1">{#N/A,#N/A,FALSE,"ASSUMPTIONS";#N/A,#N/A,FALSE,"Valuation Summary";"page1",#N/A,FALSE,"PRESENTATION";"page2",#N/A,FALSE,"PRESENTATION";#N/A,#N/A,FALSE,"ORIGINAL_ROLLBACK"}</definedName>
    <definedName name="wrn.ALL6" localSheetId="6"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localSheetId="7" hidden="1">{#N/A,#N/A,FALSE,"ASSUMPTIONS";#N/A,#N/A,FALSE,"Valuation Summary";"page1",#N/A,FALSE,"PRESENTATION";"page2",#N/A,FALSE,"PRESENTATION";#N/A,#N/A,FALSE,"ORIGINAL_ROLLBACK"}</definedName>
    <definedName name="wrn.ALL8" localSheetId="6"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butPREMIUM."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6"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6"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7" hidden="1">{#N/A,#N/A,FALSE,"AD_Purchase";#N/A,#N/A,FALSE,"Credit";#N/A,#N/A,FALSE,"PF Acquisition";#N/A,#N/A,FALSE,"PF Offering"}</definedName>
    <definedName name="wrn.AllModels." localSheetId="6" hidden="1">{#N/A,#N/A,FALSE,"AD_Purchase";#N/A,#N/A,FALSE,"Credit";#N/A,#N/A,FALSE,"PF Acquisition";#N/A,#N/A,FALSE,"PF Offering"}</definedName>
    <definedName name="wrn.AllModels." hidden="1">{#N/A,#N/A,FALSE,"AD_Purchase";#N/A,#N/A,FALSE,"Credit";#N/A,#N/A,FALSE,"PF Acquisition";#N/A,#N/A,FALSE,"PF Offering"}</definedName>
    <definedName name="wrn.ALLQTRS." localSheetId="7" hidden="1">{"QTR1",#N/A,FALSE,"Q1 Detail";"QTR2",#N/A,FALSE,"Q2 Detail";"QTR3",#N/A,FALSE,"Q3 Detail";"QTR4",#N/A,FALSE,"Q4 Detail"}</definedName>
    <definedName name="wrn.ALLQTRS." localSheetId="6" hidden="1">{"QTR1",#N/A,FALSE,"Q1 Detail";"QTR2",#N/A,FALSE,"Q2 Detail";"QTR3",#N/A,FALSE,"Q3 Detail";"QTR4",#N/A,FALSE,"Q4 Detail"}</definedName>
    <definedName name="wrn.ALLQTRS." hidden="1">{"QTR1",#N/A,FALSE,"Q1 Detail";"QTR2",#N/A,FALSE,"Q2 Detail";"QTR3",#N/A,FALSE,"Q3 Detail";"QTR4",#N/A,FALSE,"Q4 Detail"}</definedName>
    <definedName name="wrn.ALLRPTS." localSheetId="7" hidden="1">{"QTR1",#N/A,FALSE,"96OUT";"QTR2",#N/A,FALSE,"96OUT";"QTR3",#N/A,FALSE,"96OUT";"QTR4",#N/A,FALSE,"96OUT";"YEAR",#N/A,FALSE,"96OUT"}</definedName>
    <definedName name="wrn.ALLRPTS." localSheetId="6" hidden="1">{"QTR1",#N/A,FALSE,"96OUT";"QTR2",#N/A,FALSE,"96OUT";"QTR3",#N/A,FALSE,"96OUT";"QTR4",#N/A,FALSE,"96OUT";"YEAR",#N/A,FALSE,"96OUT"}</definedName>
    <definedName name="wrn.ALLRPTS." hidden="1">{"QTR1",#N/A,FALSE,"96OUT";"QTR2",#N/A,FALSE,"96OUT";"QTR3",#N/A,FALSE,"96OUT";"QTR4",#N/A,FALSE,"96OUT";"YEAR",#N/A,FALSE,"96OUT"}</definedName>
    <definedName name="wrn.Analytic." localSheetId="7" hidden="1">{#N/A,#N/A,FALSE,"Fisons_Sci_Instr";#N/A,#N/A,FALSE,"Fisons_Lab_Supplies";#N/A,#N/A,FALSE,"Nunc";#N/A,#N/A,FALSE,"Sorvall";#N/A,#N/A,FALSE,"Dynatech";#N/A,#N/A,FALSE,"Hach"}</definedName>
    <definedName name="wrn.Analytic." localSheetId="6" hidden="1">{#N/A,#N/A,FALSE,"Fisons_Sci_Instr";#N/A,#N/A,FALSE,"Fisons_Lab_Supplies";#N/A,#N/A,FALSE,"Nunc";#N/A,#N/A,FALSE,"Sorvall";#N/A,#N/A,FALSE,"Dynatech";#N/A,#N/A,FALSE,"Hach"}</definedName>
    <definedName name="wrn.Analytic." hidden="1">{#N/A,#N/A,FALSE,"Fisons_Sci_Instr";#N/A,#N/A,FALSE,"Fisons_Lab_Supplies";#N/A,#N/A,FALSE,"Nunc";#N/A,#N/A,FALSE,"Sorvall";#N/A,#N/A,FALSE,"Dynatech";#N/A,#N/A,FALSE,"Hach"}</definedName>
    <definedName name="wrn.Backup." localSheetId="7" hidden="1">{#N/A,#N/A,FALSE,"Balance";#N/A,#N/A,FALSE,"TDFX";#N/A,#N/A,FALSE,"TDDDF";#N/A,#N/A,FALSE,"ADI";#N/A,#N/A,FALSE,"CUBE";#N/A,#N/A,FALSE,"DIMD";#N/A,#N/A,FALSE,"ZRAN";#N/A,#N/A,FALSE,"GNMC"}</definedName>
    <definedName name="wrn.Backup." localSheetId="6" hidden="1">{#N/A,#N/A,FALSE,"Balance";#N/A,#N/A,FALSE,"TDFX";#N/A,#N/A,FALSE,"TDDDF";#N/A,#N/A,FALSE,"ADI";#N/A,#N/A,FALSE,"CUBE";#N/A,#N/A,FALSE,"DIMD";#N/A,#N/A,FALSE,"ZRAN";#N/A,#N/A,FALSE,"GNMC"}</definedName>
    <definedName name="wrn.Backup." hidden="1">{#N/A,#N/A,FALSE,"Balance";#N/A,#N/A,FALSE,"TDFX";#N/A,#N/A,FALSE,"TDDDF";#N/A,#N/A,FALSE,"ADI";#N/A,#N/A,FALSE,"CUBE";#N/A,#N/A,FALSE,"DIMD";#N/A,#N/A,FALSE,"ZRAN";#N/A,#N/A,FALSE,"GNMC"}</definedName>
    <definedName name="wrn.balance._.sheet." localSheetId="7" hidden="1">{"bs",#N/A,FALSE,"SCF"}</definedName>
    <definedName name="wrn.balance._.sheet." localSheetId="6" hidden="1">{"bs",#N/A,FALSE,"SCF"}</definedName>
    <definedName name="wrn.balance._.sheet." hidden="1">{"bs",#N/A,FALSE,"SCF"}</definedName>
    <definedName name="wrn.Basic." localSheetId="7" hidden="1">{#N/A,#N/A,FALSE,"Cover";#N/A,#N/A,FALSE,"Assumptions";#N/A,#N/A,FALSE,"Acquirer";#N/A,#N/A,FALSE,"Target";#N/A,#N/A,FALSE,"Income Statement";#N/A,#N/A,FALSE,"Summary Tables"}</definedName>
    <definedName name="wrn.Basic." localSheetId="6"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asics." localSheetId="7" hidden="1">{#N/A,#N/A,FALSE,"TSUM";#N/A,#N/A,FALSE,"shares";#N/A,#N/A,FALSE,"earnout";#N/A,#N/A,FALSE,"Heaty";#N/A,#N/A,FALSE,"self-tend";#N/A,#N/A,FALSE,"self-sum"}</definedName>
    <definedName name="wrn.basics." localSheetId="6" hidden="1">{#N/A,#N/A,FALSE,"TSUM";#N/A,#N/A,FALSE,"shares";#N/A,#N/A,FALSE,"earnout";#N/A,#N/A,FALSE,"Heaty";#N/A,#N/A,FALSE,"self-tend";#N/A,#N/A,FALSE,"self-sum"}</definedName>
    <definedName name="wrn.basics." hidden="1">{#N/A,#N/A,FALSE,"TSUM";#N/A,#N/A,FALSE,"shares";#N/A,#N/A,FALSE,"earnout";#N/A,#N/A,FALSE,"Heaty";#N/A,#N/A,FALSE,"self-tend";#N/A,#N/A,FALSE,"self-sum"}</definedName>
    <definedName name="wrn.Bericht." localSheetId="7" hidden="1">{#N/A,#N/A,FALSE,"Tabelle1"}</definedName>
    <definedName name="wrn.Bericht." localSheetId="6" hidden="1">{#N/A,#N/A,FALSE,"Tabelle1"}</definedName>
    <definedName name="wrn.Bericht." hidden="1">{#N/A,#N/A,FALSE,"Tabelle1"}</definedName>
    <definedName name="wrn.Budget._.Sheets." localSheetId="7" hidden="1">{#N/A,#N/A,FALSE,"DEPTTEMPL";#N/A,#N/A,FALSE,"CATTEMPL";#N/A,#N/A,FALSE,"TEM PAYROLL";#N/A,#N/A,FALSE,"TEM T&amp;E";#N/A,#N/A,FALSE,"TEM EQUIP &amp; SOFT"}</definedName>
    <definedName name="wrn.Budget._.Sheets." localSheetId="6" hidden="1">{#N/A,#N/A,FALSE,"DEPTTEMPL";#N/A,#N/A,FALSE,"CATTEMPL";#N/A,#N/A,FALSE,"TEM PAYROLL";#N/A,#N/A,FALSE,"TEM T&amp;E";#N/A,#N/A,FALSE,"TEM EQUIP &amp; SOFT"}</definedName>
    <definedName name="wrn.Budget._.Sheets." hidden="1">{#N/A,#N/A,FALSE,"DEPTTEMPL";#N/A,#N/A,FALSE,"CATTEMPL";#N/A,#N/A,FALSE,"TEM PAYROLL";#N/A,#N/A,FALSE,"TEM T&amp;E";#N/A,#N/A,FALSE,"TEM EQUIP &amp; SOFT"}</definedName>
    <definedName name="wrn.bullshit1." localSheetId="7" hidden="1">{#N/A,#N/A,FALSE,"Sheet1";#N/A,#N/A,FALSE,"Summary";#N/A,#N/A,FALSE,"proj1";#N/A,#N/A,FALSE,"proj2"}</definedName>
    <definedName name="wrn.bullshit1." localSheetId="6" hidden="1">{#N/A,#N/A,FALSE,"Sheet1";#N/A,#N/A,FALSE,"Summary";#N/A,#N/A,FALSE,"proj1";#N/A,#N/A,FALSE,"proj2"}</definedName>
    <definedName name="wrn.bullshit1." hidden="1">{#N/A,#N/A,FALSE,"Sheet1";#N/A,#N/A,FALSE,"Summary";#N/A,#N/A,FALSE,"proj1";#N/A,#N/A,FALSE,"proj2"}</definedName>
    <definedName name="wrn.Categories._.only." localSheetId="7" hidden="1">{#N/A,#N/A,FALSE,"DEPT1-PAYROLL"}</definedName>
    <definedName name="wrn.Categories._.only." localSheetId="6" hidden="1">{#N/A,#N/A,FALSE,"DEPT1-PAYROLL"}</definedName>
    <definedName name="wrn.Categories._.only." hidden="1">{#N/A,#N/A,FALSE,"DEPT1-PAYROLL"}</definedName>
    <definedName name="wrn.COMBINED." localSheetId="7" hidden="1">{#N/A,#N/A,FALSE,"INPUTS";#N/A,#N/A,FALSE,"PROFORMA BSHEET";#N/A,#N/A,FALSE,"COMBINED";#N/A,#N/A,FALSE,"HIGH YIELD";#N/A,#N/A,FALSE,"COMB_GRAPHS"}</definedName>
    <definedName name="wrn.COMBINED." localSheetId="6"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_.and._.Prices." localSheetId="7" hidden="1">{#N/A,#N/A,FALSE,"comp";#N/A,#N/A,FALSE,"Alpha";#N/A,#N/A,FALSE,"Hi";#N/A,#N/A,FALSE,"Lo";#N/A,#N/A,FALSE,"Mkt. Cap";#N/A,#N/A,FALSE,"Categ."}</definedName>
    <definedName name="wrn.Comp._.and._.Prices." localSheetId="6" hidden="1">{#N/A,#N/A,FALSE,"comp";#N/A,#N/A,FALSE,"Alpha";#N/A,#N/A,FALSE,"Hi";#N/A,#N/A,FALSE,"Lo";#N/A,#N/A,FALSE,"Mkt. Cap";#N/A,#N/A,FALSE,"Categ."}</definedName>
    <definedName name="wrn.Comp._.and._.Prices." hidden="1">{#N/A,#N/A,FALSE,"comp";#N/A,#N/A,FALSE,"Alpha";#N/A,#N/A,FALSE,"Hi";#N/A,#N/A,FALSE,"Lo";#N/A,#N/A,FALSE,"Mkt. Cap";#N/A,#N/A,FALSE,"Categ."}</definedName>
    <definedName name="wrn.Compensation." localSheetId="8" hidden="1">{"Comp sum",#N/A,FALSE,"Compensation";"Comp by emp",#N/A,FALSE,"Compensation";"Salary summary",#N/A,FALSE,"Compensation";"Payroll taxes",#N/A,FALSE,"Compensation";"HC by Month",#N/A,FALSE,"Compensation";"Misc",#N/A,FALSE,"Compensation"}</definedName>
    <definedName name="wrn.Compensation." localSheetId="2" hidden="1">{"Comp sum",#N/A,FALSE,"Compensation";"Comp by emp",#N/A,FALSE,"Compensation";"Salary summary",#N/A,FALSE,"Compensation";"Payroll taxes",#N/A,FALSE,"Compensation";"HC by Month",#N/A,FALSE,"Compensation";"Misc",#N/A,FALSE,"Compensation"}</definedName>
    <definedName name="wrn.Compensation." localSheetId="7" hidden="1">{"Comp sum",#N/A,FALSE,"Compensation";"Comp by emp",#N/A,FALSE,"Compensation";"Salary summary",#N/A,FALSE,"Compensation";"Payroll taxes",#N/A,FALSE,"Compensation";"HC by Month",#N/A,FALSE,"Compensation";"Misc",#N/A,FALSE,"Compensation"}</definedName>
    <definedName name="wrn.Compensation." localSheetId="6" hidden="1">{"Comp sum",#N/A,FALSE,"Compensation";"Comp by emp",#N/A,FALSE,"Compensation";"Salary summary",#N/A,FALSE,"Compensation";"Payroll taxes",#N/A,FALSE,"Compensation";"HC by Month",#N/A,FALSE,"Compensation";"Misc",#N/A,FALSE,"Compensation"}</definedName>
    <definedName name="wrn.Compensation." hidden="1">{"Comp sum",#N/A,FALSE,"Compensation";"Comp by emp",#N/A,FALSE,"Compensation";"Salary summary",#N/A,FALSE,"Compensation";"Payroll taxes",#N/A,FALSE,"Compensation";"HC by Month",#N/A,FALSE,"Compensation";"Misc",#N/A,FALSE,"Compensation"}</definedName>
    <definedName name="wrn.Complete._.Budget." localSheetId="7"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localSheetId="6"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nsol._.FS." localSheetId="7" hidden="1">{#N/A,#N/A,FALSE,"BalSheet 0899";#N/A,#N/A,FALSE,"ytdpl899";#N/A,#N/A,FALSE,"Aug PL";#N/A,#N/A,FALSE,"Minority Int";#N/A,#N/A,FALSE,"Equity Roll Forward";#N/A,#N/A,FALSE,"Book Equity Test"}</definedName>
    <definedName name="wrn.Consol._.FS." localSheetId="6" hidden="1">{#N/A,#N/A,FALSE,"BalSheet 0899";#N/A,#N/A,FALSE,"ytdpl899";#N/A,#N/A,FALSE,"Aug PL";#N/A,#N/A,FALSE,"Minority Int";#N/A,#N/A,FALSE,"Equity Roll Forward";#N/A,#N/A,FALSE,"Book Equity Test"}</definedName>
    <definedName name="wrn.Consol._.FS." hidden="1">{#N/A,#N/A,FALSE,"BalSheet 0899";#N/A,#N/A,FALSE,"ytdpl899";#N/A,#N/A,FALSE,"Aug PL";#N/A,#N/A,FALSE,"Minority Int";#N/A,#N/A,FALSE,"Equity Roll Forward";#N/A,#N/A,FALSE,"Book Equity Test"}</definedName>
    <definedName name="wrn.CS._.Flash._.Test." localSheetId="7" hidden="1">{#N/A,#N/A,FALSE,"Performance Flash Report"}</definedName>
    <definedName name="wrn.CS._.Flash._.Test." localSheetId="6" hidden="1">{#N/A,#N/A,FALSE,"Performance Flash Report"}</definedName>
    <definedName name="wrn.CS._.Flash._.Test." hidden="1">{#N/A,#N/A,FALSE,"Performance Flash Report"}</definedName>
    <definedName name="wrn.dept._.1." localSheetId="7" hidden="1">{#N/A,#N/A,FALSE,"EXPENSE SUMMARY ";#N/A,#N/A,FALSE,"DEPT1";#N/A,#N/A,FALSE,"DEPT1-PAYROLL"}</definedName>
    <definedName name="wrn.dept._.1." localSheetId="6" hidden="1">{#N/A,#N/A,FALSE,"EXPENSE SUMMARY ";#N/A,#N/A,FALSE,"DEPT1";#N/A,#N/A,FALSE,"DEPT1-PAYROLL"}</definedName>
    <definedName name="wrn.dept._.1." hidden="1">{#N/A,#N/A,FALSE,"EXPENSE SUMMARY ";#N/A,#N/A,FALSE,"DEPT1";#N/A,#N/A,FALSE,"DEPT1-PAYROLL"}</definedName>
    <definedName name="wrn.dept._.2." localSheetId="7" hidden="1">{#N/A,#N/A,FALSE,"EXPENSE SUMMARY ";#N/A,#N/A,FALSE,"DEPT1 (2)"}</definedName>
    <definedName name="wrn.dept._.2." localSheetId="6" hidden="1">{#N/A,#N/A,FALSE,"EXPENSE SUMMARY ";#N/A,#N/A,FALSE,"DEPT1 (2)"}</definedName>
    <definedName name="wrn.dept._.2." hidden="1">{#N/A,#N/A,FALSE,"EXPENSE SUMMARY ";#N/A,#N/A,FALSE,"DEPT1 (2)"}</definedName>
    <definedName name="wrn.dir." localSheetId="7" hidden="1">{#N/A,#N/A,FALSE,"Dir. Marketing_Summary";#N/A,#N/A,FALSE,"Infolink";#N/A,#N/A,FALSE,"Direct";#N/A,#N/A,FALSE,"Med_Marketing";#N/A,#N/A,FALSE,"Dimac_1";#N/A,#N/A,FALSE,"Dimac_2";#N/A,#N/A,FALSE,"Vantage";#N/A,#N/A,FALSE,"Tomahawk";#N/A,#N/A,FALSE,"BofA";#N/A,#N/A,FALSE,"Epsilon";#N/A,#N/A,FALSE,"Epsilon"}</definedName>
    <definedName name="wrn.dir." localSheetId="6"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STADOS._.FINANCIEROS." localSheetId="7" hidden="1">{#N/A,#N/A,FALSE,"ACTIVO - hoja 1";#N/A,#N/A,FALSE,"ACTIVO - hoja 2";#N/A,#N/A,FALSE,"PASIVO - hoja 1";#N/A,#N/A,FALSE,"PASIVO - hoja 2";#N/A,#N/A,FALSE,"GASTOS - hoja 1 ";#N/A,#N/A,FALSE,"GASTOS - hoja 2";#N/A,#N/A,FALSE,"INGRESOS - hoja 1 ";#N/A,#N/A,FALSE,"INGRESOS - hoja 2"}</definedName>
    <definedName name="wrn.ESTADOS._.FINANCIEROS." localSheetId="6" hidden="1">{#N/A,#N/A,FALSE,"ACTIVO - hoja 1";#N/A,#N/A,FALSE,"ACTIVO - hoja 2";#N/A,#N/A,FALSE,"PASIVO - hoja 1";#N/A,#N/A,FALSE,"PASIVO - hoja 2";#N/A,#N/A,FALSE,"GASTOS - hoja 1 ";#N/A,#N/A,FALSE,"GASTOS - hoja 2";#N/A,#N/A,FALSE,"INGRESOS - hoja 1 ";#N/A,#N/A,FALSE,"INGRESOS - hoja 2"}</definedName>
    <definedName name="wrn.ESTADOS._.FINANCIEROS." hidden="1">{#N/A,#N/A,FALSE,"ACTIVO - hoja 1";#N/A,#N/A,FALSE,"ACTIVO - hoja 2";#N/A,#N/A,FALSE,"PASIVO - hoja 1";#N/A,#N/A,FALSE,"PASIVO - hoja 2";#N/A,#N/A,FALSE,"GASTOS - hoja 1 ";#N/A,#N/A,FALSE,"GASTOS - hoja 2";#N/A,#N/A,FALSE,"INGRESOS - hoja 1 ";#N/A,#N/A,FALSE,"INGRESOS - hoja 2"}</definedName>
    <definedName name="wrn.Fa.._.Englert." localSheetId="7" hidden="1">{#N/A,#N/A,TRUE,"Plan GuV Übersicht";#N/A,#N/A,TRUE,"Investionsgüterliste ";#N/A,#N/A,TRUE,"FUL";#N/A,#N/A,TRUE,"AFA"}</definedName>
    <definedName name="wrn.Fa.._.Englert." localSheetId="6" hidden="1">{#N/A,#N/A,TRUE,"Plan GuV Übersicht";#N/A,#N/A,TRUE,"Investionsgüterliste ";#N/A,#N/A,TRUE,"FUL";#N/A,#N/A,TRUE,"AFA"}</definedName>
    <definedName name="wrn.Fa.._.Englert." hidden="1">{#N/A,#N/A,TRUE,"Plan GuV Übersicht";#N/A,#N/A,TRUE,"Investionsgüterliste ";#N/A,#N/A,TRUE,"FUL";#N/A,#N/A,TRUE,"AFA"}</definedName>
    <definedName name="wrn.Filter." localSheetId="7" hidden="1">{#N/A,#N/A,FALSE,"Assump2";#N/A,#N/A,FALSE,"Income2";#N/A,#N/A,FALSE,"Balance2";#N/A,#N/A,FALSE,"DCF Filter";#N/A,#N/A,FALSE,"Trans Assump2";#N/A,#N/A,FALSE,"Combined Income2";#N/A,#N/A,FALSE,"Combined Balance2"}</definedName>
    <definedName name="wrn.Filter." localSheetId="6"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l." localSheetId="8" hidden="1">{#N/A,#N/A,FALSE,"Total Sum";#N/A,#N/A,FALSE,"NA Summary";#N/A,#N/A,FALSE,"Junior Summary";#N/A,#N/A,FALSE,"FMC -NA Summary";#N/A,#N/A,FALSE,"Pacif Summary";#N/A,#N/A,FALSE,"NAV";#N/A,#N/A,FALSE,"Asset Summary";#N/A,#N/A,FALSE,"Bulawan";#N/A,#N/A,FALSE,"Sibutad";#N/A,#N/A,FALSE,"Prodn &amp; Reserves"}</definedName>
    <definedName name="wrn.Final." localSheetId="2" hidden="1">{#N/A,#N/A,FALSE,"Total Sum";#N/A,#N/A,FALSE,"NA Summary";#N/A,#N/A,FALSE,"Junior Summary";#N/A,#N/A,FALSE,"FMC -NA Summary";#N/A,#N/A,FALSE,"Pacif Summary";#N/A,#N/A,FALSE,"NAV";#N/A,#N/A,FALSE,"Asset Summary";#N/A,#N/A,FALSE,"Bulawan";#N/A,#N/A,FALSE,"Sibutad";#N/A,#N/A,FALSE,"Prodn &amp; Reserves"}</definedName>
    <definedName name="wrn.Final." localSheetId="7" hidden="1">{#N/A,#N/A,FALSE,"Total Sum";#N/A,#N/A,FALSE,"NA Summary";#N/A,#N/A,FALSE,"Junior Summary";#N/A,#N/A,FALSE,"FMC -NA Summary";#N/A,#N/A,FALSE,"Pacif Summary";#N/A,#N/A,FALSE,"NAV";#N/A,#N/A,FALSE,"Asset Summary";#N/A,#N/A,FALSE,"Bulawan";#N/A,#N/A,FALSE,"Sibutad";#N/A,#N/A,FALSE,"Prodn &amp; Reserves"}</definedName>
    <definedName name="wrn.Final." localSheetId="6" hidden="1">{#N/A,#N/A,FALSE,"Total Sum";#N/A,#N/A,FALSE,"NA Summary";#N/A,#N/A,FALSE,"Junior Summary";#N/A,#N/A,FALSE,"FMC -NA Summary";#N/A,#N/A,FALSE,"Pacif Summary";#N/A,#N/A,FALSE,"NAV";#N/A,#N/A,FALSE,"Asset Summary";#N/A,#N/A,FALSE,"Bulawan";#N/A,#N/A,FALSE,"Sibutad";#N/A,#N/A,FALSE,"Prodn &amp; Reserves"}</definedName>
    <definedName name="wrn.Final." hidden="1">{#N/A,#N/A,FALSE,"Total Sum";#N/A,#N/A,FALSE,"NA Summary";#N/A,#N/A,FALSE,"Junior Summary";#N/A,#N/A,FALSE,"FMC -NA Summary";#N/A,#N/A,FALSE,"Pacif Summary";#N/A,#N/A,FALSE,"NAV";#N/A,#N/A,FALSE,"Asset Summary";#N/A,#N/A,FALSE,"Bulawan";#N/A,#N/A,FALSE,"Sibutad";#N/A,#N/A,FALSE,"Prodn &amp; Reserves"}</definedName>
    <definedName name="wrn.financials." localSheetId="7" hidden="1">{#N/A,#N/A,TRUE,"PL_Report";#N/A,#N/A,TRUE,"ftf by cust";#N/A,#N/A,TRUE,"vita by ship";#N/A,#N/A,TRUE,"FTF Sum";#N/A,#N/A,TRUE,"VITA SUMM"}</definedName>
    <definedName name="wrn.financials." localSheetId="6" hidden="1">{#N/A,#N/A,TRUE,"PL_Report";#N/A,#N/A,TRUE,"ftf by cust";#N/A,#N/A,TRUE,"vita by ship";#N/A,#N/A,TRUE,"FTF Sum";#N/A,#N/A,TRUE,"VITA SUMM"}</definedName>
    <definedName name="wrn.financials." hidden="1">{#N/A,#N/A,TRUE,"PL_Report";#N/A,#N/A,TRUE,"ftf by cust";#N/A,#N/A,TRUE,"vita by ship";#N/A,#N/A,TRUE,"FTF Sum";#N/A,#N/A,TRUE,"VITA SUMM"}</definedName>
    <definedName name="wrn.first2." localSheetId="7" hidden="1">{#N/A,#N/A,FALSE,"sum-don";#N/A,#N/A,FALSE,"inc-don"}</definedName>
    <definedName name="wrn.first2." localSheetId="6" hidden="1">{#N/A,#N/A,FALSE,"sum-don";#N/A,#N/A,FALSE,"inc-don"}</definedName>
    <definedName name="wrn.first2." hidden="1">{#N/A,#N/A,FALSE,"sum-don";#N/A,#N/A,FALSE,"inc-don"}</definedName>
    <definedName name="wrn.first3." localSheetId="7" hidden="1">{#N/A,#N/A,FALSE,"Summary";#N/A,#N/A,FALSE,"proj1";#N/A,#N/A,FALSE,"proj2"}</definedName>
    <definedName name="wrn.first3." localSheetId="6" hidden="1">{#N/A,#N/A,FALSE,"Summary";#N/A,#N/A,FALSE,"proj1";#N/A,#N/A,FALSE,"proj2"}</definedName>
    <definedName name="wrn.first3." hidden="1">{#N/A,#N/A,FALSE,"Summary";#N/A,#N/A,FALSE,"proj1";#N/A,#N/A,FALSE,"proj2"}</definedName>
    <definedName name="wrn.first4." localSheetId="7" hidden="1">{#N/A,#N/A,FALSE,"Summary";#N/A,#N/A,FALSE,"proj1";#N/A,#N/A,FALSE,"proj2";#N/A,#N/A,FALSE,"DCF"}</definedName>
    <definedName name="wrn.first4." localSheetId="6" hidden="1">{#N/A,#N/A,FALSE,"Summary";#N/A,#N/A,FALSE,"proj1";#N/A,#N/A,FALSE,"proj2";#N/A,#N/A,FALSE,"DCF"}</definedName>
    <definedName name="wrn.first4." hidden="1">{#N/A,#N/A,FALSE,"Summary";#N/A,#N/A,FALSE,"proj1";#N/A,#N/A,FALSE,"proj2";#N/A,#N/A,FALSE,"DCF"}</definedName>
    <definedName name="wrn.first5000." localSheetId="7" hidden="1">{#N/A,#N/A,FALSE,"sum-don";#N/A,#N/A,FALSE,"inc-don"}</definedName>
    <definedName name="wrn.first5000." localSheetId="6" hidden="1">{#N/A,#N/A,FALSE,"sum-don";#N/A,#N/A,FALSE,"inc-don"}</definedName>
    <definedName name="wrn.first5000." hidden="1">{#N/A,#N/A,FALSE,"sum-don";#N/A,#N/A,FALSE,"inc-don"}</definedName>
    <definedName name="wrn.Five._.Year._.Model." localSheetId="7"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localSheetId="6"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OUR._.CASES." localSheetId="7" hidden="1">{"MODEL","ALL STOCK",FALSE,"CS First Boston Merger Model";"MODEL","ALL CASH",FALSE,"CS First Boston Merger Model";"MODEL","ALL CASH WITH EQUITY OFFERING",FALSE,"CS First Boston Merger Model";"MODEL","HALF CASH/HALF STOCK",FALSE,"CS First Boston Merger Model"}</definedName>
    <definedName name="wrn.FOUR._.CASES." localSheetId="6"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ULL._.REPORT." localSheetId="8" hidden="1">{"p1TOC",#N/A,FALSE,"DCF_Summary";"p23summary",#N/A,FALSE,"DCF_Summary";"p4contact",#N/A,FALSE,"Contact Lake";"p5kumtor",#N/A,FALSE,"Kumtor";#N/A,#N/A,FALSE,"CCAU_NAV";"p8compdata",#N/A,FALSE,"Gold_Comps";#N/A,#N/A,FALSE,"Comp_Valuation"}</definedName>
    <definedName name="wrn.FULL._.REPORT." localSheetId="2" hidden="1">{"p1TOC",#N/A,FALSE,"DCF_Summary";"p23summary",#N/A,FALSE,"DCF_Summary";"p4contact",#N/A,FALSE,"Contact Lake";"p5kumtor",#N/A,FALSE,"Kumtor";#N/A,#N/A,FALSE,"CCAU_NAV";"p8compdata",#N/A,FALSE,"Gold_Comps";#N/A,#N/A,FALSE,"Comp_Valuation"}</definedName>
    <definedName name="wrn.FULL._.REPORT." localSheetId="7" hidden="1">{"p1TOC",#N/A,FALSE,"DCF_Summary";"p23summary",#N/A,FALSE,"DCF_Summary";"p4contact",#N/A,FALSE,"Contact Lake";"p5kumtor",#N/A,FALSE,"Kumtor";#N/A,#N/A,FALSE,"CCAU_NAV";"p8compdata",#N/A,FALSE,"Gold_Comps";#N/A,#N/A,FALSE,"Comp_Valuation"}</definedName>
    <definedName name="wrn.FULL._.REPORT." localSheetId="6" hidden="1">{"p1TOC",#N/A,FALSE,"DCF_Summary";"p23summary",#N/A,FALSE,"DCF_Summary";"p4contact",#N/A,FALSE,"Contact Lake";"p5kumtor",#N/A,FALSE,"Kumtor";#N/A,#N/A,FALSE,"CCAU_NAV";"p8compdata",#N/A,FALSE,"Gold_Comps";#N/A,#N/A,FALSE,"Comp_Valuation"}</definedName>
    <definedName name="wrn.FULL._.REPORT." hidden="1">{"p1TOC",#N/A,FALSE,"DCF_Summary";"p23summary",#N/A,FALSE,"DCF_Summary";"p4contact",#N/A,FALSE,"Contact Lake";"p5kumtor",#N/A,FALSE,"Kumtor";#N/A,#N/A,FALSE,"CCAU_NAV";"p8compdata",#N/A,FALSE,"Gold_Comps";#N/A,#N/A,FALSE,"Comp_Valuation"}</definedName>
    <definedName name="wrn.FY97SBP." localSheetId="7" hidden="1">{#N/A,#N/A,FALSE,"FY97";#N/A,#N/A,FALSE,"FY98";#N/A,#N/A,FALSE,"FY99";#N/A,#N/A,FALSE,"FY00";#N/A,#N/A,FALSE,"FY01"}</definedName>
    <definedName name="wrn.FY97SBP." localSheetId="6" hidden="1">{#N/A,#N/A,FALSE,"FY97";#N/A,#N/A,FALSE,"FY98";#N/A,#N/A,FALSE,"FY99";#N/A,#N/A,FALSE,"FY00";#N/A,#N/A,FALSE,"FY01"}</definedName>
    <definedName name="wrn.FY97SBP." hidden="1">{#N/A,#N/A,FALSE,"FY97";#N/A,#N/A,FALSE,"FY98";#N/A,#N/A,FALSE,"FY99";#N/A,#N/A,FALSE,"FY00";#N/A,#N/A,FALSE,"FY01"}</definedName>
    <definedName name="wrn.GRAPHS." localSheetId="7" hidden="1">{#N/A,#N/A,FALSE,"ACQ_GRAPHS";#N/A,#N/A,FALSE,"T_1 GRAPHS";#N/A,#N/A,FALSE,"T_2 GRAPHS";#N/A,#N/A,FALSE,"COMB_GRAPHS"}</definedName>
    <definedName name="wrn.GRAPHS." localSheetId="6" hidden="1">{#N/A,#N/A,FALSE,"ACQ_GRAPHS";#N/A,#N/A,FALSE,"T_1 GRAPHS";#N/A,#N/A,FALSE,"T_2 GRAPHS";#N/A,#N/A,FALSE,"COMB_GRAPHS"}</definedName>
    <definedName name="wrn.GRAPHS." hidden="1">{#N/A,#N/A,FALSE,"ACQ_GRAPHS";#N/A,#N/A,FALSE,"T_1 GRAPHS";#N/A,#N/A,FALSE,"T_2 GRAPHS";#N/A,#N/A,FALSE,"COMB_GRAPHS"}</definedName>
    <definedName name="wrn.Group." localSheetId="7" hidden="1">{#N/A,#N/A,FALSE,"Summary";#N/A,#N/A,FALSE,"Projections";#N/A,#N/A,FALSE,"Debt Schedule";#N/A,#N/A,FALSE,"Mayline Sales Group";#N/A,#N/A,FALSE,"Sales Groups";#N/A,#N/A,FALSE,"Operating Expenses";#N/A,#N/A,FALSE,"Depreciation";#N/A,#N/A,FALSE,"Balance Sheet";#N/A,#N/A,FALSE,"Working Capital";#N/A,#N/A,FALSE,"Addbacks"}</definedName>
    <definedName name="wrn.Group." localSheetId="6" hidden="1">{#N/A,#N/A,FALSE,"Summary";#N/A,#N/A,FALSE,"Projections";#N/A,#N/A,FALSE,"Debt Schedule";#N/A,#N/A,FALSE,"Mayline Sales Group";#N/A,#N/A,FALSE,"Sales Groups";#N/A,#N/A,FALSE,"Operating Expenses";#N/A,#N/A,FALSE,"Depreciation";#N/A,#N/A,FALSE,"Balance Sheet";#N/A,#N/A,FALSE,"Working Capital";#N/A,#N/A,FALSE,"Addbacks"}</definedName>
    <definedName name="wrn.Group." hidden="1">{#N/A,#N/A,FALSE,"Summary";#N/A,#N/A,FALSE,"Projections";#N/A,#N/A,FALSE,"Debt Schedule";#N/A,#N/A,FALSE,"Mayline Sales Group";#N/A,#N/A,FALSE,"Sales Groups";#N/A,#N/A,FALSE,"Operating Expenses";#N/A,#N/A,FALSE,"Depreciation";#N/A,#N/A,FALSE,"Balance Sheet";#N/A,#N/A,FALSE,"Working Capital";#N/A,#N/A,FALSE,"Addbacks"}</definedName>
    <definedName name="wrn.Growth." localSheetId="7" hidden="1">{#N/A,#N/A,FALSE,"Rev Grwth";#N/A,#N/A,FALSE,"Op Inc Grwth";#N/A,#N/A,FALSE,"Net Grwth";#N/A,#N/A,FALSE,"EPS Growth"}</definedName>
    <definedName name="wrn.Growth." localSheetId="6" hidden="1">{#N/A,#N/A,FALSE,"Rev Grwth";#N/A,#N/A,FALSE,"Op Inc Grwth";#N/A,#N/A,FALSE,"Net Grwth";#N/A,#N/A,FALSE,"EPS Growth"}</definedName>
    <definedName name="wrn.Growth." hidden="1">{#N/A,#N/A,FALSE,"Rev Grwth";#N/A,#N/A,FALSE,"Op Inc Grwth";#N/A,#N/A,FALSE,"Net Grwth";#N/A,#N/A,FALSE,"EPS Growth"}</definedName>
    <definedName name="wrn.GTDirect." localSheetId="7" hidden="1">{"june",#N/A,FALSE,"GT Direct"}</definedName>
    <definedName name="wrn.GTDirect." localSheetId="6" hidden="1">{"june",#N/A,FALSE,"GT Direct"}</definedName>
    <definedName name="wrn.GTDirect." hidden="1">{"june",#N/A,FALSE,"GT Direct"}</definedName>
    <definedName name="wrn.GTHV._.Cons." localSheetId="7" hidden="1">{#N/A,#N/A,TRUE,"GTHV Cons";#N/A,#N/A,TRUE,"GTHV Cons Stan";#N/A,#N/A,TRUE,"GT Home Video";#N/A,#N/A,TRUE,"GT CorpSvc";#N/A,#N/A,TRUE,"GT Int'l";#N/A,#N/A,TRUE,"GT Mnf";#N/A,#N/A,TRUE,"GT DC"}</definedName>
    <definedName name="wrn.GTHV._.Cons." localSheetId="6" hidden="1">{#N/A,#N/A,TRUE,"GTHV Cons";#N/A,#N/A,TRUE,"GTHV Cons Stan";#N/A,#N/A,TRUE,"GT Home Video";#N/A,#N/A,TRUE,"GT CorpSvc";#N/A,#N/A,TRUE,"GT Int'l";#N/A,#N/A,TRUE,"GT Mnf";#N/A,#N/A,TRUE,"GT DC"}</definedName>
    <definedName name="wrn.GTHV._.Cons." hidden="1">{#N/A,#N/A,TRUE,"GTHV Cons";#N/A,#N/A,TRUE,"GTHV Cons Stan";#N/A,#N/A,TRUE,"GT Home Video";#N/A,#N/A,TRUE,"GT CorpSvc";#N/A,#N/A,TRUE,"GT Int'l";#N/A,#N/A,TRUE,"GT Mnf";#N/A,#N/A,TRUE,"GT DC"}</definedName>
    <definedName name="wrn.HEAT." localSheetId="7" hidden="1">{#N/A,#N/A,FALSE,"Heat";#N/A,#N/A,FALSE,"DCF";#N/A,#N/A,FALSE,"LBO";#N/A,#N/A,FALSE,"A";#N/A,#N/A,FALSE,"C";#N/A,#N/A,FALSE,"impd";#N/A,#N/A,FALSE,"Accr-Dilu"}</definedName>
    <definedName name="wrn.HEAT." localSheetId="6" hidden="1">{#N/A,#N/A,FALSE,"Heat";#N/A,#N/A,FALSE,"DCF";#N/A,#N/A,FALSE,"LBO";#N/A,#N/A,FALSE,"A";#N/A,#N/A,FALSE,"C";#N/A,#N/A,FALSE,"impd";#N/A,#N/A,FALSE,"Accr-Dilu"}</definedName>
    <definedName name="wrn.HEAT." hidden="1">{#N/A,#N/A,FALSE,"Heat";#N/A,#N/A,FALSE,"DCF";#N/A,#N/A,FALSE,"LBO";#N/A,#N/A,FALSE,"A";#N/A,#N/A,FALSE,"C";#N/A,#N/A,FALSE,"impd";#N/A,#N/A,FALSE,"Accr-Dilu"}</definedName>
    <definedName name="wrn.Hydraulic." localSheetId="7"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6"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7" hidden="1">{#N/A,#N/A,FALSE,"HuscoCombined-Summ";#N/A,#N/A,FALSE,"HuscoCombined-Income";#N/A,#N/A,FALSE,"HuscoCombined-Offering";#N/A,#N/A,FALSE,"Husco-Income";#N/A,#N/A,FALSE,"TargetEngineer";#N/A,#N/A,FALSE,"TargetAcqCalc";#N/A,#N/A,FALSE,"Husco-Acq"}</definedName>
    <definedName name="wrn.Hydraulic2." localSheetId="6"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BB._.Sanierungsfond." localSheetId="7" hidden="1">{#N/A,#N/A,TRUE,"Plan GuV monatlich 1998-1999";#N/A,#N/A,TRUE,"Absatzplanung";#N/A,#N/A,TRUE,"Planung des Aufwands";#N/A,#N/A,TRUE,"Finanzplan";#N/A,#N/A,TRUE,"Planung Investitionen und Afa";#N/A,#N/A,TRUE,"Zins- und Tilgung"}</definedName>
    <definedName name="wrn.IBB._.Sanierungsfond." localSheetId="6" hidden="1">{#N/A,#N/A,TRUE,"Plan GuV monatlich 1998-1999";#N/A,#N/A,TRUE,"Absatzplanung";#N/A,#N/A,TRUE,"Planung des Aufwands";#N/A,#N/A,TRUE,"Finanzplan";#N/A,#N/A,TRUE,"Planung Investitionen und Afa";#N/A,#N/A,TRUE,"Zins- und Tilgung"}</definedName>
    <definedName name="wrn.IBB._.Sanierungsfond." hidden="1">{#N/A,#N/A,TRUE,"Plan GuV monatlich 1998-1999";#N/A,#N/A,TRUE,"Absatzplanung";#N/A,#N/A,TRUE,"Planung des Aufwands";#N/A,#N/A,TRUE,"Finanzplan";#N/A,#N/A,TRUE,"Planung Investitionen und Afa";#N/A,#N/A,TRUE,"Zins- und Tilgung"}</definedName>
    <definedName name="wrn.info." localSheetId="7" hidden="1">{#N/A,#N/A,FALSE,"IT_Summary";#N/A,#N/A,FALSE,"Renaissance";#N/A,#N/A,FALSE,"Intermetrics";#N/A,#N/A,FALSE,"Systems";#N/A,#N/A,FALSE,"IMI";#N/A,#N/A,FALSE,"Landmark";#N/A,#N/A,FALSE,"Rational";#N/A,#N/A,FALSE,"AGS";#N/A,#N/A,FALSE,"GE"}</definedName>
    <definedName name="wrn.info." localSheetId="6" hidden="1">{#N/A,#N/A,FALSE,"IT_Summary";#N/A,#N/A,FALSE,"Renaissance";#N/A,#N/A,FALSE,"Intermetrics";#N/A,#N/A,FALSE,"Systems";#N/A,#N/A,FALSE,"IMI";#N/A,#N/A,FALSE,"Landmark";#N/A,#N/A,FALSE,"Rational";#N/A,#N/A,FALSE,"AGS";#N/A,#N/A,FALSE,"GE"}</definedName>
    <definedName name="wrn.info." hidden="1">{#N/A,#N/A,FALSE,"IT_Summary";#N/A,#N/A,FALSE,"Renaissance";#N/A,#N/A,FALSE,"Intermetrics";#N/A,#N/A,FALSE,"Systems";#N/A,#N/A,FALSE,"IMI";#N/A,#N/A,FALSE,"Landmark";#N/A,#N/A,FALSE,"Rational";#N/A,#N/A,FALSE,"AGS";#N/A,#N/A,FALSE,"GE"}</definedName>
    <definedName name="wrn.intlandtot" localSheetId="7" hidden="1">{"tot",#N/A,FALSE,"Int'l Cons";"tot",#N/A,FALSE,"UK";"tot",#N/A,FALSE,"GER";"tot",#N/A,FALSE,"AUS";"tot",#N/A,FALSE,"SA";"tot",#N/A,FALSE,"FR";"tot",#N/A,FALSE,"RofW"}</definedName>
    <definedName name="wrn.intlandtot" localSheetId="6" hidden="1">{"tot",#N/A,FALSE,"Int'l Cons";"tot",#N/A,FALSE,"UK";"tot",#N/A,FALSE,"GER";"tot",#N/A,FALSE,"AUS";"tot",#N/A,FALSE,"SA";"tot",#N/A,FALSE,"FR";"tot",#N/A,FALSE,"RofW"}</definedName>
    <definedName name="wrn.intlandtot" hidden="1">{"tot",#N/A,FALSE,"Int'l Cons";"tot",#N/A,FALSE,"UK";"tot",#N/A,FALSE,"GER";"tot",#N/A,FALSE,"AUS";"tot",#N/A,FALSE,"SA";"tot",#N/A,FALSE,"FR";"tot",#N/A,FALSE,"RofW"}</definedName>
    <definedName name="wrn.IPO." localSheetId="7" hidden="1">{#N/A,#N/A,FALSE,"Summary";#N/A,#N/A,FALSE,"Jan'97";#N/A,#N/A,FALSE,"Feb'97";#N/A,#N/A,FALSE,"Mar'97";#N/A,#N/A,FALSE,"Apr'97";#N/A,#N/A,FALSE,"May'97";#N/A,#N/A,FALSE,"Jun'97";#N/A,#N/A,FALSE,"Jul'97";#N/A,#N/A,FALSE,"Aug'97";#N/A,#N/A,FALSE,"Sept'97";#N/A,#N/A,FALSE,"Oct'97";#N/A,#N/A,FALSE,"Nov'97";#N/A,#N/A,FALSE,"Dec'97";#N/A,#N/A,FALSE,"Pending"}</definedName>
    <definedName name="wrn.IPO." localSheetId="6" hidden="1">{#N/A,#N/A,FALSE,"Summary";#N/A,#N/A,FALSE,"Jan'97";#N/A,#N/A,FALSE,"Feb'97";#N/A,#N/A,FALSE,"Mar'97";#N/A,#N/A,FALSE,"Apr'97";#N/A,#N/A,FALSE,"May'97";#N/A,#N/A,FALSE,"Jun'97";#N/A,#N/A,FALSE,"Jul'97";#N/A,#N/A,FALSE,"Aug'97";#N/A,#N/A,FALSE,"Sept'97";#N/A,#N/A,FALSE,"Oct'97";#N/A,#N/A,FALSE,"Nov'97";#N/A,#N/A,FALSE,"Dec'97";#N/A,#N/A,FALSE,"Pending"}</definedName>
    <definedName name="wrn.IPO." hidden="1">{#N/A,#N/A,FALSE,"Summary";#N/A,#N/A,FALSE,"Jan'97";#N/A,#N/A,FALSE,"Feb'97";#N/A,#N/A,FALSE,"Mar'97";#N/A,#N/A,FALSE,"Apr'97";#N/A,#N/A,FALSE,"May'97";#N/A,#N/A,FALSE,"Jun'97";#N/A,#N/A,FALSE,"Jul'97";#N/A,#N/A,FALSE,"Aug'97";#N/A,#N/A,FALSE,"Sept'97";#N/A,#N/A,FALSE,"Oct'97";#N/A,#N/A,FALSE,"Nov'97";#N/A,#N/A,FALSE,"Dec'97";#N/A,#N/A,FALSE,"Pending"}</definedName>
    <definedName name="wrn.IPO._.Analysis." localSheetId="7" hidden="1">{#N/A,#N/A,FALSE,"Summary";#N/A,#N/A,FALSE,"Pending";#N/A,#N/A,FALSE,"Oct'97";#N/A,#N/A,FALSE,"Sept'97";#N/A,#N/A,FALSE,"Aug'97";#N/A,#N/A,FALSE,"Jul'97";#N/A,#N/A,FALSE,"Jun'97";#N/A,#N/A,FALSE,"May'97";#N/A,#N/A,FALSE,"Apr'97";#N/A,#N/A,FALSE,"Mar'97";#N/A,#N/A,FALSE,"Feb'97";#N/A,#N/A,FALSE,"Jan'97"}</definedName>
    <definedName name="wrn.IPO._.Analysis." localSheetId="6" hidden="1">{#N/A,#N/A,FALSE,"Summary";#N/A,#N/A,FALSE,"Pending";#N/A,#N/A,FALSE,"Oct'97";#N/A,#N/A,FALSE,"Sept'97";#N/A,#N/A,FALSE,"Aug'97";#N/A,#N/A,FALSE,"Jul'97";#N/A,#N/A,FALSE,"Jun'97";#N/A,#N/A,FALSE,"May'97";#N/A,#N/A,FALSE,"Apr'97";#N/A,#N/A,FALSE,"Mar'97";#N/A,#N/A,FALSE,"Feb'97";#N/A,#N/A,FALSE,"Jan'97"}</definedName>
    <definedName name="wrn.IPO._.Analysis." hidden="1">{#N/A,#N/A,FALSE,"Summary";#N/A,#N/A,FALSE,"Pending";#N/A,#N/A,FALSE,"Oct'97";#N/A,#N/A,FALSE,"Sept'97";#N/A,#N/A,FALSE,"Aug'97";#N/A,#N/A,FALSE,"Jul'97";#N/A,#N/A,FALSE,"Jun'97";#N/A,#N/A,FALSE,"May'97";#N/A,#N/A,FALSE,"Apr'97";#N/A,#N/A,FALSE,"Mar'97";#N/A,#N/A,FALSE,"Feb'97";#N/A,#N/A,FALSE,"Jan'97"}</definedName>
    <definedName name="wrn.ipovalue." localSheetId="7" hidden="1">{#N/A,#N/A,FALSE,"puboff";#N/A,#N/A,FALSE,"valuation";#N/A,#N/A,FALSE,"finanalsis";#N/A,#N/A,FALSE,"split";#N/A,#N/A,FALSE,"ownership"}</definedName>
    <definedName name="wrn.ipovalue." localSheetId="6" hidden="1">{#N/A,#N/A,FALSE,"puboff";#N/A,#N/A,FALSE,"valuation";#N/A,#N/A,FALSE,"finanalsis";#N/A,#N/A,FALSE,"split";#N/A,#N/A,FALSE,"ownership"}</definedName>
    <definedName name="wrn.ipovalue." hidden="1">{#N/A,#N/A,FALSE,"puboff";#N/A,#N/A,FALSE,"valuation";#N/A,#N/A,FALSE,"finanalsis";#N/A,#N/A,FALSE,"split";#N/A,#N/A,FALSE,"ownership"}</definedName>
    <definedName name="wrn.ISCG._.model." localSheetId="7" hidden="1">{#N/A,#N/A,FALSE,"Second";#N/A,#N/A,FALSE,"ownership";#N/A,#N/A,FALSE,"Valuation";#N/A,#N/A,FALSE,"Eqiv";#N/A,#N/A,FALSE,"Mults";#N/A,#N/A,FALSE,"ISCG Graphics"}</definedName>
    <definedName name="wrn.ISCG._.model." localSheetId="6"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ust._.Sorts." localSheetId="7" hidden="1">{#N/A,#N/A,FALSE,"Hi";#N/A,#N/A,FALSE,"Lo";#N/A,#N/A,FALSE,"Mkt. Cap";#N/A,#N/A,FALSE,"Alpha"}</definedName>
    <definedName name="wrn.Just._.Sorts." localSheetId="6" hidden="1">{#N/A,#N/A,FALSE,"Hi";#N/A,#N/A,FALSE,"Lo";#N/A,#N/A,FALSE,"Mkt. Cap";#N/A,#N/A,FALSE,"Alpha"}</definedName>
    <definedName name="wrn.Just._.Sorts." hidden="1">{#N/A,#N/A,FALSE,"Hi";#N/A,#N/A,FALSE,"Lo";#N/A,#N/A,FALSE,"Mkt. Cap";#N/A,#N/A,FALSE,"Alpha"}</definedName>
    <definedName name="wrn.k" localSheetId="7" hidden="1">{#N/A,#N/A,FALSE,"AD_Purchase";#N/A,#N/A,FALSE,"Credit";#N/A,#N/A,FALSE,"PF Acquisition";#N/A,#N/A,FALSE,"PF Offering"}</definedName>
    <definedName name="wrn.k" localSheetId="6" hidden="1">{#N/A,#N/A,FALSE,"AD_Purchase";#N/A,#N/A,FALSE,"Credit";#N/A,#N/A,FALSE,"PF Acquisition";#N/A,#N/A,FALSE,"PF Offering"}</definedName>
    <definedName name="wrn.k" hidden="1">{#N/A,#N/A,FALSE,"AD_Purchase";#N/A,#N/A,FALSE,"Credit";#N/A,#N/A,FALSE,"PF Acquisition";#N/A,#N/A,FALSE,"PF Offering"}</definedName>
    <definedName name="wrn.Maine." localSheetId="7" hidden="1">{"Assumptions",#N/A,TRUE,"Assumptions";"Income",#N/A,TRUE,"Income";"Balance",#N/A,TRUE,"Balance"}</definedName>
    <definedName name="wrn.Maine." localSheetId="6" hidden="1">{"Assumptions",#N/A,TRUE,"Assumptions";"Income",#N/A,TRUE,"Income";"Balance",#N/A,TRUE,"Balance"}</definedName>
    <definedName name="wrn.Maine." hidden="1">{"Assumptions",#N/A,TRUE,"Assumptions";"Income",#N/A,TRUE,"Income";"Balance",#N/A,TRUE,"Balance"}</definedName>
    <definedName name="wrn.Maine2." localSheetId="7"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6"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gins." localSheetId="7" hidden="1">{#N/A,#N/A,FALSE,"Margins - GrossR&amp;D";#N/A,#N/A,FALSE,"Margins - sg&amp;a";#N/A,#N/A,FALSE,"Margins - Oper-net"}</definedName>
    <definedName name="wrn.Margins." localSheetId="6" hidden="1">{#N/A,#N/A,FALSE,"Margins - GrossR&amp;D";#N/A,#N/A,FALSE,"Margins - sg&amp;a";#N/A,#N/A,FALSE,"Margins - Oper-net"}</definedName>
    <definedName name="wrn.Margins." hidden="1">{#N/A,#N/A,FALSE,"Margins - GrossR&amp;D";#N/A,#N/A,FALSE,"Margins - sg&amp;a";#N/A,#N/A,FALSE,"Margins - Oper-net"}</definedName>
    <definedName name="wrn.merge." localSheetId="7" hidden="1">{#N/A,#N/A,FALSE,"IPO";#N/A,#N/A,FALSE,"DCF";#N/A,#N/A,FALSE,"LBO";#N/A,#N/A,FALSE,"MULT_VAL";#N/A,#N/A,FALSE,"Status Quo";#N/A,#N/A,FALSE,"Recap"}</definedName>
    <definedName name="wrn.merge." localSheetId="6" hidden="1">{#N/A,#N/A,FALSE,"IPO";#N/A,#N/A,FALSE,"DCF";#N/A,#N/A,FALSE,"LBO";#N/A,#N/A,FALSE,"MULT_VAL";#N/A,#N/A,FALSE,"Status Quo";#N/A,#N/A,FALSE,"Recap"}</definedName>
    <definedName name="wrn.merge." hidden="1">{#N/A,#N/A,FALSE,"IPO";#N/A,#N/A,FALSE,"DCF";#N/A,#N/A,FALSE,"LBO";#N/A,#N/A,FALSE,"MULT_VAL";#N/A,#N/A,FALSE,"Status Quo";#N/A,#N/A,FALSE,"Recap"}</definedName>
    <definedName name="wrn.merge.1" localSheetId="7" hidden="1">{#N/A,#N/A,FALSE,"IPO";#N/A,#N/A,FALSE,"DCF";#N/A,#N/A,FALSE,"LBO";#N/A,#N/A,FALSE,"MULT_VAL";#N/A,#N/A,FALSE,"Status Quo";#N/A,#N/A,FALSE,"Recap"}</definedName>
    <definedName name="wrn.merge.1" localSheetId="6" hidden="1">{#N/A,#N/A,FALSE,"IPO";#N/A,#N/A,FALSE,"DCF";#N/A,#N/A,FALSE,"LBO";#N/A,#N/A,FALSE,"MULT_VAL";#N/A,#N/A,FALSE,"Status Quo";#N/A,#N/A,FALSE,"Recap"}</definedName>
    <definedName name="wrn.merge.1" hidden="1">{#N/A,#N/A,FALSE,"IPO";#N/A,#N/A,FALSE,"DCF";#N/A,#N/A,FALSE,"LBO";#N/A,#N/A,FALSE,"MULT_VAL";#N/A,#N/A,FALSE,"Status Quo";#N/A,#N/A,FALSE,"Recap"}</definedName>
    <definedName name="wrn.Model." localSheetId="7" hidden="1">{#N/A,#N/A,FALSE,"Cover";#N/A,#N/A,FALSE,"LUMI";#N/A,#N/A,FALSE,"COMD";#N/A,#N/A,FALSE,"Valuation";#N/A,#N/A,FALSE,"Assumptions";#N/A,#N/A,FALSE,"Pooling";#N/A,#N/A,FALSE,"BalanceSheet"}</definedName>
    <definedName name="wrn.Model." localSheetId="6" hidden="1">{#N/A,#N/A,FALSE,"Cover";#N/A,#N/A,FALSE,"LUMI";#N/A,#N/A,FALSE,"COMD";#N/A,#N/A,FALSE,"Valuation";#N/A,#N/A,FALSE,"Assumptions";#N/A,#N/A,FALSE,"Pooling";#N/A,#N/A,FALSE,"BalanceSheet"}</definedName>
    <definedName name="wrn.Model." hidden="1">{#N/A,#N/A,FALSE,"Cover";#N/A,#N/A,FALSE,"LUMI";#N/A,#N/A,FALSE,"COMD";#N/A,#N/A,FALSE,"Valuation";#N/A,#N/A,FALSE,"Assumptions";#N/A,#N/A,FALSE,"Pooling";#N/A,#N/A,FALSE,"BalanceSheet"}</definedName>
    <definedName name="wrn.models" localSheetId="7" hidden="1">{#N/A,#N/A,FALSE,"Summary";#N/A,#N/A,FALSE,"Projections";#N/A,#N/A,FALSE,"Mkt Mults";#N/A,#N/A,FALSE,"DCF";#N/A,#N/A,FALSE,"Accr Dil";#N/A,#N/A,FALSE,"PIC LBO";#N/A,#N/A,FALSE,"MULT10_4";#N/A,#N/A,FALSE,"CBI LBO"}</definedName>
    <definedName name="wrn.models" localSheetId="6" hidden="1">{#N/A,#N/A,FALSE,"Summary";#N/A,#N/A,FALSE,"Projections";#N/A,#N/A,FALSE,"Mkt Mults";#N/A,#N/A,FALSE,"DCF";#N/A,#N/A,FALSE,"Accr Dil";#N/A,#N/A,FALSE,"PIC LBO";#N/A,#N/A,FALSE,"MULT10_4";#N/A,#N/A,FALSE,"CBI LBO"}</definedName>
    <definedName name="wrn.models" hidden="1">{#N/A,#N/A,FALSE,"Summary";#N/A,#N/A,FALSE,"Projections";#N/A,#N/A,FALSE,"Mkt Mults";#N/A,#N/A,FALSE,"DCF";#N/A,#N/A,FALSE,"Accr Dil";#N/A,#N/A,FALSE,"PIC LBO";#N/A,#N/A,FALSE,"MULT10_4";#N/A,#N/A,FALSE,"CBI LBO"}</definedName>
    <definedName name="wrn.newest." localSheetId="7" hidden="1">{#N/A,#N/A,TRUE,"TS";#N/A,#N/A,TRUE,"Combo";#N/A,#N/A,TRUE,"FAIR";#N/A,#N/A,TRUE,"RBC";#N/A,#N/A,TRUE,"xxxx"}</definedName>
    <definedName name="wrn.newest." localSheetId="6" hidden="1">{#N/A,#N/A,TRUE,"TS";#N/A,#N/A,TRUE,"Combo";#N/A,#N/A,TRUE,"FAIR";#N/A,#N/A,TRUE,"RBC";#N/A,#N/A,TRUE,"xxxx"}</definedName>
    <definedName name="wrn.newest." hidden="1">{#N/A,#N/A,TRUE,"TS";#N/A,#N/A,TRUE,"Combo";#N/A,#N/A,TRUE,"FAIR";#N/A,#N/A,TRUE,"RBC";#N/A,#N/A,TRUE,"xxxx"}</definedName>
    <definedName name="wrn.NOVPRES." localSheetId="7" hidden="1">{#N/A,#N/A,TRUE,"PAGE 2";#N/A,#N/A,TRUE,"PAGE 3";#N/A,#N/A,TRUE,"PAGE4"}</definedName>
    <definedName name="wrn.NOVPRES." localSheetId="6" hidden="1">{#N/A,#N/A,TRUE,"PAGE 2";#N/A,#N/A,TRUE,"PAGE 3";#N/A,#N/A,TRUE,"PAGE4"}</definedName>
    <definedName name="wrn.NOVPRES." hidden="1">{#N/A,#N/A,TRUE,"PAGE 2";#N/A,#N/A,TRUE,"PAGE 3";#N/A,#N/A,TRUE,"PAGE4"}</definedName>
    <definedName name="wrn.OUTLOOKFULLYEAR." localSheetId="7" hidden="1">{"QTR2",#N/A,FALSE,"OTK6_27";#N/A,#N/A,FALSE,"Q2 Detail";"SIXMTH",#N/A,FALSE,"OTK6_27";"qtr3",#N/A,FALSE,"OTK6_27";#N/A,#N/A,FALSE,"Q3 Detail";"NINEMTH",#N/A,FALSE,"OTK6_27";"qtr4",#N/A,FALSE,"OTK6_27";#N/A,#N/A,FALSE,"Q4 Detail";"YEAR",#N/A,FALSE,"OTK6_27"}</definedName>
    <definedName name="wrn.OUTLOOKFULLYEAR." localSheetId="6" hidden="1">{"QTR2",#N/A,FALSE,"OTK6_27";#N/A,#N/A,FALSE,"Q2 Detail";"SIXMTH",#N/A,FALSE,"OTK6_27";"qtr3",#N/A,FALSE,"OTK6_27";#N/A,#N/A,FALSE,"Q3 Detail";"NINEMTH",#N/A,FALSE,"OTK6_27";"qtr4",#N/A,FALSE,"OTK6_27";#N/A,#N/A,FALSE,"Q4 Detail";"YEAR",#N/A,FALSE,"OTK6_27"}</definedName>
    <definedName name="wrn.OUTLOOKFULLYEAR." hidden="1">{"QTR2",#N/A,FALSE,"OTK6_27";#N/A,#N/A,FALSE,"Q2 Detail";"SIXMTH",#N/A,FALSE,"OTK6_27";"qtr3",#N/A,FALSE,"OTK6_27";#N/A,#N/A,FALSE,"Q3 Detail";"NINEMTH",#N/A,FALSE,"OTK6_27";"qtr4",#N/A,FALSE,"OTK6_27";#N/A,#N/A,FALSE,"Q4 Detail";"YEAR",#N/A,FALSE,"OTK6_27"}</definedName>
    <definedName name="wrn.OUTPUT." localSheetId="7" hidden="1">{"DCF","UPSIDE CASE",FALSE,"Sheet1";"DCF","BASE CASE",FALSE,"Sheet1";"DCF","DOWNSIDE CASE",FALSE,"Sheet1"}</definedName>
    <definedName name="wrn.OUTPUT." localSheetId="6" hidden="1">{"DCF","UPSIDE CASE",FALSE,"Sheet1";"DCF","BASE CASE",FALSE,"Sheet1";"DCF","DOWNSIDE CASE",FALSE,"Sheet1"}</definedName>
    <definedName name="wrn.OUTPUT." hidden="1">{"DCF","UPSIDE CASE",FALSE,"Sheet1";"DCF","BASE CASE",FALSE,"Sheet1";"DCF","DOWNSIDE CASE",FALSE,"Sheet1"}</definedName>
    <definedName name="wrn.packer._.1." localSheetId="7"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6"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gasus." localSheetId="8"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localSheetId="2"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localSheetId="7"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localSheetId="6"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hidden="1">{#N/A,#N/A,FALSE,"Proforma NAV";#N/A,#N/A,FALSE,"P NAV";#N/A,#N/A,FALSE,"Prodn &amp; Reserves";#N/A,#N/A,FALSE,"Asset Summary";#N/A,#N/A,FALSE,"Mt.Todd";#N/A,#N/A,FALSE,"Zortman";#N/A,#N/A,FALSE,"Pullalli";#N/A,#N/A,FALSE,"Black Pine";#N/A,#N/A,FALSE,"Beal Mtn.";#N/A,#N/A,FALSE,"Florida";#N/A,#N/A,FALSE,"Montana";#N/A,#N/A,FALSE,"Diamond Hill";#N/A,#N/A,FALSE,"K_SUMM"}</definedName>
    <definedName name="wrn.Placer._.NAV." localSheetId="8"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localSheetId="2"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localSheetId="7"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localSheetId="6"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RES_OUT." localSheetId="7" hidden="1">{"page1",#N/A,FALSE,"PRESENTATION";"page2",#N/A,FALSE,"PRESENTATION";#N/A,#N/A,FALSE,"Valuation Summary"}</definedName>
    <definedName name="wrn.PRES_OUT." localSheetId="6" hidden="1">{"page1",#N/A,FALSE,"PRESENTATION";"page2",#N/A,FALSE,"PRESENTATION";#N/A,#N/A,FALSE,"Valuation Summary"}</definedName>
    <definedName name="wrn.PRES_OUT." hidden="1">{"page1",#N/A,FALSE,"PRESENTATION";"page2",#N/A,FALSE,"PRESENTATION";#N/A,#N/A,FALSE,"Valuation Summary"}</definedName>
    <definedName name="wrn.PRES_OUT2" localSheetId="7" hidden="1">{"page1",#N/A,FALSE,"PRESENTATION";"page2",#N/A,FALSE,"PRESENTATION";#N/A,#N/A,FALSE,"Valuation Summary"}</definedName>
    <definedName name="wrn.PRES_OUT2" localSheetId="6" hidden="1">{"page1",#N/A,FALSE,"PRESENTATION";"page2",#N/A,FALSE,"PRESENTATION";#N/A,#N/A,FALSE,"Valuation Summary"}</definedName>
    <definedName name="wrn.PRES_OUT2" hidden="1">{"page1",#N/A,FALSE,"PRESENTATION";"page2",#N/A,FALSE,"PRESENTATION";#N/A,#N/A,FALSE,"Valuation Summary"}</definedName>
    <definedName name="wrn.Pres_OUT3" localSheetId="7" hidden="1">{"page1",#N/A,FALSE,"PRESENTATION";"page2",#N/A,FALSE,"PRESENTATION";#N/A,#N/A,FALSE,"Valuation Summary"}</definedName>
    <definedName name="wrn.Pres_OUT3" localSheetId="6" hidden="1">{"page1",#N/A,FALSE,"PRESENTATION";"page2",#N/A,FALSE,"PRESENTATION";#N/A,#N/A,FALSE,"Valuation Summary"}</definedName>
    <definedName name="wrn.Pres_OUT3" hidden="1">{"page1",#N/A,FALSE,"PRESENTATION";"page2",#N/A,FALSE,"PRESENTATION";#N/A,#N/A,FALSE,"Valuation Summary"}</definedName>
    <definedName name="wrn.PRES_OUT4" localSheetId="7" hidden="1">{"page1",#N/A,FALSE,"PRESENTATION";"page2",#N/A,FALSE,"PRESENTATION";#N/A,#N/A,FALSE,"Valuation Summary"}</definedName>
    <definedName name="wrn.PRES_OUT4" localSheetId="6" hidden="1">{"page1",#N/A,FALSE,"PRESENTATION";"page2",#N/A,FALSE,"PRESENTATION";#N/A,#N/A,FALSE,"Valuation Summary"}</definedName>
    <definedName name="wrn.PRES_OUT4" hidden="1">{"page1",#N/A,FALSE,"PRESENTATION";"page2",#N/A,FALSE,"PRESENTATION";#N/A,#N/A,FALSE,"Valuation Summary"}</definedName>
    <definedName name="wrn.PRES_OUT5" localSheetId="7" hidden="1">{"page1",#N/A,FALSE,"PRESENTATION";"page2",#N/A,FALSE,"PRESENTATION";#N/A,#N/A,FALSE,"Valuation Summary"}</definedName>
    <definedName name="wrn.PRES_OUT5" localSheetId="6" hidden="1">{"page1",#N/A,FALSE,"PRESENTATION";"page2",#N/A,FALSE,"PRESENTATION";#N/A,#N/A,FALSE,"Valuation Summary"}</definedName>
    <definedName name="wrn.PRES_OUT5" hidden="1">{"page1",#N/A,FALSE,"PRESENTATION";"page2",#N/A,FALSE,"PRESENTATION";#N/A,#N/A,FALSE,"Valuation Summary"}</definedName>
    <definedName name="wrn.PRES_OUT6" localSheetId="7" hidden="1">{"page1",#N/A,FALSE,"PRESENTATION";"page2",#N/A,FALSE,"PRESENTATION";#N/A,#N/A,FALSE,"Valuation Summary"}</definedName>
    <definedName name="wrn.PRES_OUT6" localSheetId="6" hidden="1">{"page1",#N/A,FALSE,"PRESENTATION";"page2",#N/A,FALSE,"PRESENTATION";#N/A,#N/A,FALSE,"Valuation Summary"}</definedName>
    <definedName name="wrn.PRES_OUT6" hidden="1">{"page1",#N/A,FALSE,"PRESENTATION";"page2",#N/A,FALSE,"PRESENTATION";#N/A,#N/A,FALSE,"Valuation Summary"}</definedName>
    <definedName name="wrn.PRES_OUT8" localSheetId="7" hidden="1">{"page1",#N/A,FALSE,"PRESENTATION";"page2",#N/A,FALSE,"PRESENTATION";#N/A,#N/A,FALSE,"Valuation Summary"}</definedName>
    <definedName name="wrn.PRES_OUT8" localSheetId="6" hidden="1">{"page1",#N/A,FALSE,"PRESENTATION";"page2",#N/A,FALSE,"PRESENTATION";#N/A,#N/A,FALSE,"Valuation Summary"}</definedName>
    <definedName name="wrn.PRES_OUT8" hidden="1">{"page1",#N/A,FALSE,"PRESENTATION";"page2",#N/A,FALSE,"PRESENTATION";#N/A,#N/A,FALSE,"Valuation Summary"}</definedName>
    <definedName name="wrn.Print." localSheetId="7" hidden="1">{"vi1",#N/A,FALSE,"Financial Statements";"vi2",#N/A,FALSE,"Financial Statements";#N/A,#N/A,FALSE,"DCF"}</definedName>
    <definedName name="wrn.Print." localSheetId="6" hidden="1">{"vi1",#N/A,FALSE,"Financial Statements";"vi2",#N/A,FALSE,"Financial Statements";#N/A,#N/A,FALSE,"DCF"}</definedName>
    <definedName name="wrn.Print." hidden="1">{"vi1",#N/A,FALSE,"Financial Statements";"vi2",#N/A,FALSE,"Financial Statements";#N/A,#N/A,FALSE,"DCF"}</definedName>
    <definedName name="wrn.PRINT2." localSheetId="7" hidden="1">{"PAGE1",#N/A,FALSE,"ADJMODL";"PAGE2",#N/A,FALSE,"ADJMODL";"PAGE3",#N/A,FALSE,"ADJMODL";"PAGE4",#N/A,FALSE,"ADJMODL";"PAGE5",#N/A,FALSE,"ADJMODL";"PAGE6",#N/A,FALSE,"ADJMODL";"PAGE7",#N/A,FALSE,"ADJMODL";"PAGE8",#N/A,FALSE,"ADJMODL"}</definedName>
    <definedName name="wrn.PRINT2." localSheetId="6" hidden="1">{"PAGE1",#N/A,FALSE,"ADJMODL";"PAGE2",#N/A,FALSE,"ADJMODL";"PAGE3",#N/A,FALSE,"ADJMODL";"PAGE4",#N/A,FALSE,"ADJMODL";"PAGE5",#N/A,FALSE,"ADJMODL";"PAGE6",#N/A,FALSE,"ADJMODL";"PAGE7",#N/A,FALSE,"ADJMODL";"PAGE8",#N/A,FALSE,"ADJMODL"}</definedName>
    <definedName name="wrn.PRINT2." hidden="1">{"PAGE1",#N/A,FALSE,"ADJMODL";"PAGE2",#N/A,FALSE,"ADJMODL";"PAGE3",#N/A,FALSE,"ADJMODL";"PAGE4",#N/A,FALSE,"ADJMODL";"PAGE5",#N/A,FALSE,"ADJMODL";"PAGE6",#N/A,FALSE,"ADJMODL";"PAGE7",#N/A,FALSE,"ADJMODL";"PAGE8",#N/A,FALSE,"ADJMODL"}</definedName>
    <definedName name="wrn.print3." localSheetId="7" hidden="1">{"PAGE1",#N/A,FALSE,"ADJMODL";"PAGE2",#N/A,FALSE,"ADJMODL";"PAGE3",#N/A,FALSE,"ADJMODL";"PAGE4",#N/A,FALSE,"ADJMODL";"PAGE5",#N/A,FALSE,"ADJMODL";"PAGE6",#N/A,FALSE,"ADJMODL";"PAGE7",#N/A,FALSE,"ADJMODL";"PAGE8",#N/A,FALSE,"ADJMODL"}</definedName>
    <definedName name="wrn.print3." localSheetId="6" hidden="1">{"PAGE1",#N/A,FALSE,"ADJMODL";"PAGE2",#N/A,FALSE,"ADJMODL";"PAGE3",#N/A,FALSE,"ADJMODL";"PAGE4",#N/A,FALSE,"ADJMODL";"PAGE5",#N/A,FALSE,"ADJMODL";"PAGE6",#N/A,FALSE,"ADJMODL";"PAGE7",#N/A,FALSE,"ADJMODL";"PAGE8",#N/A,FALSE,"ADJMODL"}</definedName>
    <definedName name="wrn.print3." hidden="1">{"PAGE1",#N/A,FALSE,"ADJMODL";"PAGE2",#N/A,FALSE,"ADJMODL";"PAGE3",#N/A,FALSE,"ADJMODL";"PAGE4",#N/A,FALSE,"ADJMODL";"PAGE5",#N/A,FALSE,"ADJMODL";"PAGE6",#N/A,FALSE,"ADJMODL";"PAGE7",#N/A,FALSE,"ADJMODL";"PAGE8",#N/A,FALSE,"ADJMODL"}</definedName>
    <definedName name="wrn.PrintAll." localSheetId="7" hidden="1">{"PA1",#N/A,FALSE,"BORDMW";"pa2",#N/A,FALSE,"BORDMW";"PA3",#N/A,FALSE,"BORDMW";"PA4",#N/A,FALSE,"BORDMW"}</definedName>
    <definedName name="wrn.PrintAll." localSheetId="6" hidden="1">{"PA1",#N/A,FALSE,"BORDMW";"pa2",#N/A,FALSE,"BORDMW";"PA3",#N/A,FALSE,"BORDMW";"PA4",#N/A,FALSE,"BORDMW"}</definedName>
    <definedName name="wrn.PrintAll." hidden="1">{"PA1",#N/A,FALSE,"BORDMW";"pa2",#N/A,FALSE,"BORDMW";"PA3",#N/A,FALSE,"BORDMW";"PA4",#N/A,FALSE,"BORDMW"}</definedName>
    <definedName name="wrn.Pump." localSheetId="7" hidden="1">{#N/A,#N/A,FALSE,"Assump";#N/A,#N/A,FALSE,"Income";#N/A,#N/A,FALSE,"Balance";#N/A,#N/A,FALSE,"DCF Pump";#N/A,#N/A,FALSE,"Trans Assump";#N/A,#N/A,FALSE,"Combined Income";#N/A,#N/A,FALSE,"Combined Balance"}</definedName>
    <definedName name="wrn.Pump." localSheetId="6"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Red._.Book." localSheetId="7" hidden="1">{#N/A,#N/A,FALSE,"P&amp;LQGRP";#N/A,#N/A,FALSE,"BSQGRP";#N/A,#N/A,FALSE,"P&amp;LFYGP"}</definedName>
    <definedName name="wrn.Red._.Book." localSheetId="6" hidden="1">{#N/A,#N/A,FALSE,"P&amp;LQGRP";#N/A,#N/A,FALSE,"BSQGRP";#N/A,#N/A,FALSE,"P&amp;LFYGP"}</definedName>
    <definedName name="wrn.Red._.Book." hidden="1">{#N/A,#N/A,FALSE,"P&amp;LQGRP";#N/A,#N/A,FALSE,"BSQGRP";#N/A,#N/A,FALSE,"P&amp;LFYGP"}</definedName>
    <definedName name="wrn.RELEVANTSHEETS." localSheetId="7" hidden="1">{#N/A,#N/A,FALSE,"AD_Purch";#N/A,#N/A,FALSE,"Projections";#N/A,#N/A,FALSE,"DCF";#N/A,#N/A,FALSE,"Mkt Val"}</definedName>
    <definedName name="wrn.RELEVANTSHEETS." localSheetId="6" hidden="1">{#N/A,#N/A,FALSE,"AD_Purch";#N/A,#N/A,FALSE,"Projections";#N/A,#N/A,FALSE,"DCF";#N/A,#N/A,FALSE,"Mkt Val"}</definedName>
    <definedName name="wrn.RELEVANTSHEETS." hidden="1">{#N/A,#N/A,FALSE,"AD_Purch";#N/A,#N/A,FALSE,"Projections";#N/A,#N/A,FALSE,"DCF";#N/A,#N/A,FALSE,"Mkt Val"}</definedName>
    <definedName name="wrn.report." localSheetId="7" hidden="1">{#N/A,#N/A,FALSE,"Temp Staf_Summary";#N/A,#N/A,FALSE,"ATC Services";#N/A,#N/A,FALSE,"Brannon &amp; Tully";#N/A,#N/A,FALSE,"Debbie";#N/A,#N/A,FALSE,"Alternative";#N/A,#N/A,FALSE,"Mid-States";#N/A,#N/A,FALSE,"United Temp."}</definedName>
    <definedName name="wrn.report." localSheetId="6"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SalesBudgets." localSheetId="7" hidden="1">{#N/A,#N/A,FALSE,"Summary";#N/A,#N/A,FALSE,"Infomercial";#N/A,#N/A,FALSE,"QVC";#N/A,#N/A,FALSE,"Avon";#N/A,#N/A,FALSE,"Fingerhut";#N/A,#N/A,FALSE,"FTF Retail";#N/A,#N/A,FALSE,"Vita - Intit Order";#N/A,#N/A,FALSE,"Vita - 2 Shots";#N/A,#N/A,FALSE,"QVC Vita";#N/A,#N/A,FALSE,"QVC Sales";#N/A,#N/A,FALSE,"DAM"}</definedName>
    <definedName name="wrn.SalesBudgets." localSheetId="6" hidden="1">{#N/A,#N/A,FALSE,"Summary";#N/A,#N/A,FALSE,"Infomercial";#N/A,#N/A,FALSE,"QVC";#N/A,#N/A,FALSE,"Avon";#N/A,#N/A,FALSE,"Fingerhut";#N/A,#N/A,FALSE,"FTF Retail";#N/A,#N/A,FALSE,"Vita - Intit Order";#N/A,#N/A,FALSE,"Vita - 2 Shots";#N/A,#N/A,FALSE,"QVC Vita";#N/A,#N/A,FALSE,"QVC Sales";#N/A,#N/A,FALSE,"DAM"}</definedName>
    <definedName name="wrn.SalesBudgets." hidden="1">{#N/A,#N/A,FALSE,"Summary";#N/A,#N/A,FALSE,"Infomercial";#N/A,#N/A,FALSE,"QVC";#N/A,#N/A,FALSE,"Avon";#N/A,#N/A,FALSE,"Fingerhut";#N/A,#N/A,FALSE,"FTF Retail";#N/A,#N/A,FALSE,"Vita - Intit Order";#N/A,#N/A,FALSE,"Vita - 2 Shots";#N/A,#N/A,FALSE,"QVC Vita";#N/A,#N/A,FALSE,"QVC Sales";#N/A,#N/A,FALSE,"DAM"}</definedName>
    <definedName name="wrn.Set." localSheetId="7" hidden="1">{#N/A,#N/A,FALSE,"High";#N/A,#N/A,FALSE,"Low";#N/A,#N/A,FALSE,"MarketCap";#N/A,#N/A,FALSE,"Alpha"}</definedName>
    <definedName name="wrn.Set." localSheetId="6" hidden="1">{#N/A,#N/A,FALSE,"High";#N/A,#N/A,FALSE,"Low";#N/A,#N/A,FALSE,"MarketCap";#N/A,#N/A,FALSE,"Alpha"}</definedName>
    <definedName name="wrn.Set." hidden="1">{#N/A,#N/A,FALSE,"High";#N/A,#N/A,FALSE,"Low";#N/A,#N/A,FALSE,"MarketCap";#N/A,#N/A,FALSE,"Alpha"}</definedName>
    <definedName name="wrn.Spec." localSheetId="7" hidden="1">{#N/A,#N/A,FALSE,"Sheet1"}</definedName>
    <definedName name="wrn.Spec." localSheetId="6" hidden="1">{#N/A,#N/A,FALSE,"Sheet1"}</definedName>
    <definedName name="wrn.Spec." hidden="1">{#N/A,#N/A,FALSE,"Sheet1"}</definedName>
    <definedName name="wrn.Structure." localSheetId="7" hidden="1">{#N/A,#N/A,FALSE,"Structure";#N/A,#N/A,FALSE,"Proj-Cal";#N/A,#N/A,FALSE,"Market"}</definedName>
    <definedName name="wrn.Structure." localSheetId="6" hidden="1">{#N/A,#N/A,FALSE,"Structure";#N/A,#N/A,FALSE,"Proj-Cal";#N/A,#N/A,FALSE,"Market"}</definedName>
    <definedName name="wrn.Structure." hidden="1">{#N/A,#N/A,FALSE,"Structure";#N/A,#N/A,FALSE,"Proj-Cal";#N/A,#N/A,FALSE,"Market"}</definedName>
    <definedName name="wrn.summaryANDbackup." localSheetId="7" hidden="1">{#N/A,#N/A,FALSE,"Prem_Sum";#N/A,#N/A,FALSE,"Prem"}</definedName>
    <definedName name="wrn.summaryANDbackup." localSheetId="6" hidden="1">{#N/A,#N/A,FALSE,"Prem_Sum";#N/A,#N/A,FALSE,"Prem"}</definedName>
    <definedName name="wrn.summaryANDbackup." hidden="1">{#N/A,#N/A,FALSE,"Prem_Sum";#N/A,#N/A,FALSE,"Prem"}</definedName>
    <definedName name="wrn.Szenario." localSheetId="7" hidden="1">{#N/A,#N/A,FALSE,"Deckblatt";#N/A,#N/A,FALSE,"Graphik";#N/A,#N/A,FALSE,"Bilanz"}</definedName>
    <definedName name="wrn.Szenario." localSheetId="6" hidden="1">{#N/A,#N/A,FALSE,"Deckblatt";#N/A,#N/A,FALSE,"Graphik";#N/A,#N/A,FALSE,"Bilanz"}</definedName>
    <definedName name="wrn.Szenario." hidden="1">{#N/A,#N/A,FALSE,"Deckblatt";#N/A,#N/A,FALSE,"Graphik";#N/A,#N/A,FALSE,"Bilanz"}</definedName>
    <definedName name="wrn.tel2." localSheetId="7" hidden="1">{#N/A,#N/A,FALSE,"FS_Summary";#N/A,#N/A,FALSE,"Tel_Summary";#N/A,#N/A,FALSE,"Tomahawk";#N/A,#N/A,FALSE,"Medical Marketing";#N/A,#N/A,FALSE,"DIMAC";#N/A,#N/A,FALSE,"Epsilon";#N/A,#N/A,FALSE,"Direct";#N/A,#N/A,FALSE,"DIMAC(2)"}</definedName>
    <definedName name="wrn.tel2." localSheetId="6"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7" hidden="1">{#N/A,#N/A,FALSE,"FS_Summary";#N/A,#N/A,FALSE,"Tomahawk";#N/A,#N/A,FALSE,"Medical Marketing";#N/A,#N/A,FALSE,"Epsilon";#N/A,#N/A,FALSE,"DIMAC";#N/A,#N/A,FALSE,"Direct";#N/A,#N/A,FALSE,"DIMAC(2)"}</definedName>
    <definedName name="wrn.telem." localSheetId="6"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ST." localSheetId="7" hidden="1">{"OUTLK3YROCC",#N/A,FALSE,"3YR_OCC"}</definedName>
    <definedName name="wrn.TEST." localSheetId="6" hidden="1">{"OUTLK3YROCC",#N/A,FALSE,"3YR_OCC"}</definedName>
    <definedName name="wrn.TEST." hidden="1">{"OUTLK3YROCC",#N/A,FALSE,"3YR_OCC"}</definedName>
    <definedName name="wrn.TOOL." localSheetId="7"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6"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7" hidden="1">{#N/A,#N/A,FALSE,"Trans-Sum";#N/A,#N/A,FALSE,"Accr-Dilu2";#N/A,#N/A,FALSE,"Contribution";#N/A,#N/A,FALSE,"Combined";#N/A,#N/A,FALSE,"ASTF";#N/A,#N/A,FALSE,"BRA";#N/A,#N/A,FALSE,"Bra_C";#N/A,#N/A,FALSE,"AcqMults";#N/A,#N/A,FALSE,"CompMults";#N/A,#N/A,FALSE,"DCF";#N/A,#N/A,FALSE,"WACC";#N/A,#N/A,FALSE,"LBO";#N/A,#N/A,FALSE,"Summary";#N/A,#N/A,FALSE,"StructSum"}</definedName>
    <definedName name="wrn.Total." localSheetId="6"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7" hidden="1">{#N/A,#N/A,TRUE,"TransPrcd 1";#N/A,#N/A,TRUE,"TransPrcd 2";#N/A,#N/A,TRUE,"TransPrcd 3"}</definedName>
    <definedName name="wrn.TransPrcd_123." localSheetId="6" hidden="1">{#N/A,#N/A,TRUE,"TransPrcd 1";#N/A,#N/A,TRUE,"TransPrcd 2";#N/A,#N/A,TRUE,"TransPrcd 3"}</definedName>
    <definedName name="wrn.TransPrcd_123." hidden="1">{#N/A,#N/A,TRUE,"TransPrcd 1";#N/A,#N/A,TRUE,"TransPrcd 2";#N/A,#N/A,TRUE,"TransPrcd 3"}</definedName>
    <definedName name="wrn.VALUATION." localSheetId="7" hidden="1">{#N/A,#N/A,FALSE,"Valuation Assumptions";#N/A,#N/A,FALSE,"Summary";#N/A,#N/A,FALSE,"DCF";#N/A,#N/A,FALSE,"Valuation";#N/A,#N/A,FALSE,"WACC";#N/A,#N/A,FALSE,"UBVH";#N/A,#N/A,FALSE,"Free Cash Flow"}</definedName>
    <definedName name="wrn.VALUATION." localSheetId="6"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orlage." localSheetId="7" hidden="1">{#N/A,#N/A,FALSE,"Personaleinsatzkosten";#N/A,#N/A,FALSE,"Finanzierungsplan";#N/A,#N/A,FALSE,"Kostenplan Anlage 2";#N/A,#N/A,FALSE,"Absatzplanung";#N/A,#N/A,FALSE,"Anforderungen";#N/A,#N/A,FALSE,"Konzepte";#N/A,#N/A,FALSE,"Konstruktion&amp;Entwicklung";#N/A,#N/A,FALSE,"Fertigung&amp;Erprobung"}</definedName>
    <definedName name="wrn.Vorlage." localSheetId="6" hidden="1">{#N/A,#N/A,FALSE,"Personaleinsatzkosten";#N/A,#N/A,FALSE,"Finanzierungsplan";#N/A,#N/A,FALSE,"Kostenplan Anlage 2";#N/A,#N/A,FALSE,"Absatzplanung";#N/A,#N/A,FALSE,"Anforderungen";#N/A,#N/A,FALSE,"Konzepte";#N/A,#N/A,FALSE,"Konstruktion&amp;Entwicklung";#N/A,#N/A,FALSE,"Fertigung&amp;Erprobung"}</definedName>
    <definedName name="wrn.Vorlage." hidden="1">{#N/A,#N/A,FALSE,"Personaleinsatzkosten";#N/A,#N/A,FALSE,"Finanzierungsplan";#N/A,#N/A,FALSE,"Kostenplan Anlage 2";#N/A,#N/A,FALSE,"Absatzplanung";#N/A,#N/A,FALSE,"Anforderungen";#N/A,#N/A,FALSE,"Konzepte";#N/A,#N/A,FALSE,"Konstruktion&amp;Entwicklung";#N/A,#N/A,FALSE,"Fertigung&amp;Erprobung"}</definedName>
    <definedName name="wrn.WATERTOWN._.BUDGET." localSheetId="7" hidden="1">{#N/A,#N/A,TRUE,"Inc. St.";#N/A,#N/A,TRUE,"SalesLabor";#N/A,#N/A,TRUE,"Labor";#N/A,#N/A,TRUE,"TEMP.";#N/A,#N/A,TRUE,"Manuf.";#N/A,#N/A,TRUE,"Repairs";#N/A,#N/A,TRUE,"G&amp;A";#N/A,#N/A,TRUE,"Inv.";#N/A,#N/A,TRUE,"Cap.X";#N/A,#N/A,TRUE,"Leases"}</definedName>
    <definedName name="wrn.WATERTOWN._.BUDGET." localSheetId="6"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estern._.Metal." localSheetId="7" hidden="1">{#N/A,#N/A,FALSE,"Western";#N/A,#N/A,FALSE,"Inc. St.";#N/A,#N/A,FALSE,"Hist.";#N/A,#N/A,FALSE,"SalesLabor";#N/A,#N/A,FALSE,"Labor";#N/A,#N/A,FALSE,"Manuf.";#N/A,#N/A,FALSE,"Repairs";#N/A,#N/A,FALSE,"G&amp;A";#N/A,#N/A,FALSE,"Inv.";#N/A,#N/A,FALSE,"Cap. X"}</definedName>
    <definedName name="wrn.Western._.Metal." localSheetId="6"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icor." localSheetId="7" hidden="1">{#N/A,#N/A,FALSE,"FACTSHEETS";#N/A,#N/A,FALSE,"pump";#N/A,#N/A,FALSE,"filter"}</definedName>
    <definedName name="wrn.wicor." localSheetId="6" hidden="1">{#N/A,#N/A,FALSE,"FACTSHEETS";#N/A,#N/A,FALSE,"pump";#N/A,#N/A,FALSE,"filter"}</definedName>
    <definedName name="wrn.wicor." hidden="1">{#N/A,#N/A,FALSE,"FACTSHEETS";#N/A,#N/A,FALSE,"pump";#N/A,#N/A,FALSE,"filter"}</definedName>
    <definedName name="wrn2.All." localSheetId="7"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localSheetId="6"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x" localSheetId="7" hidden="1">{#N/A,#N/A,FALSE,"FY97";#N/A,#N/A,FALSE,"FY98";#N/A,#N/A,FALSE,"FY99";#N/A,#N/A,FALSE,"FY00";#N/A,#N/A,FALSE,"FY01"}</definedName>
    <definedName name="x" localSheetId="6" hidden="1">{#N/A,#N/A,FALSE,"FY97";#N/A,#N/A,FALSE,"FY98";#N/A,#N/A,FALSE,"FY99";#N/A,#N/A,FALSE,"FY00";#N/A,#N/A,FALSE,"FY01"}</definedName>
    <definedName name="x" hidden="1">{#N/A,#N/A,FALSE,"FY97";#N/A,#N/A,FALSE,"FY98";#N/A,#N/A,FALSE,"FY99";#N/A,#N/A,FALSE,"FY00";#N/A,#N/A,FALSE,"FY01"}</definedName>
    <definedName name="xcv" hidden="1">"c161"</definedName>
    <definedName name="xcxzc" localSheetId="7" hidden="1">{#N/A,#N/A,FALSE,"AD_Purchase";#N/A,#N/A,FALSE,"Credit";#N/A,#N/A,FALSE,"PF Acquisition";#N/A,#N/A,FALSE,"PF Offering"}</definedName>
    <definedName name="xcxzc" localSheetId="6" hidden="1">{#N/A,#N/A,FALSE,"AD_Purchase";#N/A,#N/A,FALSE,"Credit";#N/A,#N/A,FALSE,"PF Acquisition";#N/A,#N/A,FALSE,"PF Offering"}</definedName>
    <definedName name="xcxzc" hidden="1">{#N/A,#N/A,FALSE,"AD_Purchase";#N/A,#N/A,FALSE,"Credit";#N/A,#N/A,FALSE,"PF Acquisition";#N/A,#N/A,FALSE,"PF Offering"}</definedName>
    <definedName name="XREF_COLUMN_1" localSheetId="13" hidden="1">#REF!</definedName>
    <definedName name="XREF_COLUMN_1" localSheetId="7" hidden="1">#REF!</definedName>
    <definedName name="XREF_COLUMN_1" localSheetId="12" hidden="1">#REF!</definedName>
    <definedName name="XREF_COLUMN_1" hidden="1">#REF!</definedName>
    <definedName name="XREF_COLUMN_2" localSheetId="13" hidden="1">'[18]Intl def'!#REF!</definedName>
    <definedName name="XREF_COLUMN_2" localSheetId="7" hidden="1">'[18]Intl def'!#REF!</definedName>
    <definedName name="XREF_COLUMN_2" localSheetId="12" hidden="1">'[18]Intl def'!#REF!</definedName>
    <definedName name="XREF_COLUMN_2" hidden="1">'[18]Intl def'!#REF!</definedName>
    <definedName name="XREF_COLUMN_3" localSheetId="13" hidden="1">'[18]Intl def'!#REF!</definedName>
    <definedName name="XREF_COLUMN_3" localSheetId="7" hidden="1">'[18]Intl def'!#REF!</definedName>
    <definedName name="XREF_COLUMN_3" localSheetId="12" hidden="1">'[18]Intl def'!#REF!</definedName>
    <definedName name="XREF_COLUMN_3" hidden="1">'[18]Intl def'!#REF!</definedName>
    <definedName name="XREF_COLUMN_4" localSheetId="13" hidden="1">#REF!</definedName>
    <definedName name="XREF_COLUMN_4" localSheetId="7" hidden="1">#REF!</definedName>
    <definedName name="XREF_COLUMN_4" localSheetId="12" hidden="1">#REF!</definedName>
    <definedName name="XREF_COLUMN_4" localSheetId="6" hidden="1">#REF!</definedName>
    <definedName name="XREF_COLUMN_4" hidden="1">#REF!</definedName>
    <definedName name="XREF_COLUMN_8" localSheetId="13" hidden="1">#REF!</definedName>
    <definedName name="XREF_COLUMN_8" localSheetId="7" hidden="1">#REF!</definedName>
    <definedName name="XREF_COLUMN_8" localSheetId="12" hidden="1">#REF!</definedName>
    <definedName name="XREF_COLUMN_8" localSheetId="6" hidden="1">#REF!</definedName>
    <definedName name="XREF_COLUMN_8" hidden="1">#REF!</definedName>
    <definedName name="XREF_COLUMN_9" localSheetId="13" hidden="1">#REF!</definedName>
    <definedName name="XREF_COLUMN_9" localSheetId="7" hidden="1">#REF!</definedName>
    <definedName name="XREF_COLUMN_9" localSheetId="12" hidden="1">#REF!</definedName>
    <definedName name="XREF_COLUMN_9" localSheetId="6" hidden="1">#REF!</definedName>
    <definedName name="XREF_COLUMN_9" hidden="1">#REF!</definedName>
    <definedName name="XRefActiveRow" localSheetId="13" hidden="1">#REF!</definedName>
    <definedName name="XRefActiveRow" localSheetId="7" hidden="1">#REF!</definedName>
    <definedName name="XRefActiveRow" localSheetId="12" hidden="1">#REF!</definedName>
    <definedName name="XRefActiveRow" hidden="1">#REF!</definedName>
    <definedName name="XRefCopy1" localSheetId="13" hidden="1">#REF!</definedName>
    <definedName name="XRefCopy1" localSheetId="7" hidden="1">#REF!</definedName>
    <definedName name="XRefCopy1" localSheetId="12" hidden="1">#REF!</definedName>
    <definedName name="XRefCopy1" hidden="1">#REF!</definedName>
    <definedName name="XRefCopy10Row" localSheetId="13" hidden="1">#REF!</definedName>
    <definedName name="XRefCopy10Row" localSheetId="7" hidden="1">#REF!</definedName>
    <definedName name="XRefCopy10Row" localSheetId="12" hidden="1">#REF!</definedName>
    <definedName name="XRefCopy10Row" hidden="1">#REF!</definedName>
    <definedName name="XRefCopy11Row" localSheetId="13" hidden="1">#REF!</definedName>
    <definedName name="XRefCopy11Row" localSheetId="7" hidden="1">#REF!</definedName>
    <definedName name="XRefCopy11Row" localSheetId="12" hidden="1">#REF!</definedName>
    <definedName name="XRefCopy11Row" hidden="1">#REF!</definedName>
    <definedName name="XRefCopy1Row" localSheetId="13" hidden="1">#REF!</definedName>
    <definedName name="XRefCopy1Row" localSheetId="7" hidden="1">#REF!</definedName>
    <definedName name="XRefCopy1Row" localSheetId="12" hidden="1">#REF!</definedName>
    <definedName name="XRefCopy1Row" hidden="1">#REF!</definedName>
    <definedName name="XRefCopy2" localSheetId="13" hidden="1">#REF!</definedName>
    <definedName name="XRefCopy2" localSheetId="7" hidden="1">#REF!</definedName>
    <definedName name="XRefCopy2" localSheetId="12" hidden="1">#REF!</definedName>
    <definedName name="XRefCopy2" hidden="1">#REF!</definedName>
    <definedName name="XRefCopy2Row" localSheetId="13" hidden="1">#REF!</definedName>
    <definedName name="XRefCopy2Row" localSheetId="7" hidden="1">#REF!</definedName>
    <definedName name="XRefCopy2Row" localSheetId="12" hidden="1">#REF!</definedName>
    <definedName name="XRefCopy2Row" hidden="1">#REF!</definedName>
    <definedName name="XRefCopy3" localSheetId="13" hidden="1">'[19]Exp-vested over periods'!#REF!</definedName>
    <definedName name="XRefCopy3" localSheetId="7" hidden="1">'[19]Exp-vested over periods'!#REF!</definedName>
    <definedName name="XRefCopy3" localSheetId="12" hidden="1">'[19]Exp-vested over periods'!#REF!</definedName>
    <definedName name="XRefCopy3" hidden="1">'[19]Exp-vested over periods'!#REF!</definedName>
    <definedName name="XRefCopy3Row" localSheetId="13" hidden="1">#REF!</definedName>
    <definedName name="XRefCopy3Row" localSheetId="7" hidden="1">#REF!</definedName>
    <definedName name="XRefCopy3Row" localSheetId="12" hidden="1">#REF!</definedName>
    <definedName name="XRefCopy3Row" localSheetId="6" hidden="1">#REF!</definedName>
    <definedName name="XRefCopy3Row" hidden="1">#REF!</definedName>
    <definedName name="XRefCopy4Row" localSheetId="13" hidden="1">#REF!</definedName>
    <definedName name="XRefCopy4Row" localSheetId="7" hidden="1">#REF!</definedName>
    <definedName name="XRefCopy4Row" localSheetId="12" hidden="1">#REF!</definedName>
    <definedName name="XRefCopy4Row" localSheetId="6" hidden="1">#REF!</definedName>
    <definedName name="XRefCopy4Row" hidden="1">#REF!</definedName>
    <definedName name="XRefCopy5Row" localSheetId="13" hidden="1">#REF!</definedName>
    <definedName name="XRefCopy5Row" localSheetId="7" hidden="1">#REF!</definedName>
    <definedName name="XRefCopy5Row" localSheetId="12" hidden="1">#REF!</definedName>
    <definedName name="XRefCopy5Row" localSheetId="6" hidden="1">#REF!</definedName>
    <definedName name="XRefCopy5Row" hidden="1">#REF!</definedName>
    <definedName name="XRefCopy6Row" localSheetId="13" hidden="1">#REF!</definedName>
    <definedName name="XRefCopy6Row" localSheetId="7" hidden="1">#REF!</definedName>
    <definedName name="XRefCopy6Row" localSheetId="12" hidden="1">#REF!</definedName>
    <definedName name="XRefCopy6Row" hidden="1">#REF!</definedName>
    <definedName name="XRefCopy8Row" localSheetId="13" hidden="1">#REF!</definedName>
    <definedName name="XRefCopy8Row" localSheetId="7" hidden="1">#REF!</definedName>
    <definedName name="XRefCopy8Row" localSheetId="12" hidden="1">#REF!</definedName>
    <definedName name="XRefCopy8Row" hidden="1">#REF!</definedName>
    <definedName name="XRefCopy9Row" localSheetId="13" hidden="1">#REF!</definedName>
    <definedName name="XRefCopy9Row" localSheetId="7" hidden="1">#REF!</definedName>
    <definedName name="XRefCopy9Row" localSheetId="12" hidden="1">#REF!</definedName>
    <definedName name="XRefCopy9Row" hidden="1">#REF!</definedName>
    <definedName name="XRefPaste1" localSheetId="13" hidden="1">#REF!</definedName>
    <definedName name="XRefPaste1" localSheetId="7" hidden="1">#REF!</definedName>
    <definedName name="XRefPaste1" localSheetId="12" hidden="1">#REF!</definedName>
    <definedName name="XRefPaste1" hidden="1">#REF!</definedName>
    <definedName name="XRefPaste10" localSheetId="13" hidden="1">[20]Warrants!#REF!</definedName>
    <definedName name="XRefPaste10" localSheetId="7" hidden="1">[20]Warrants!#REF!</definedName>
    <definedName name="XRefPaste10" localSheetId="12" hidden="1">[20]Warrants!#REF!</definedName>
    <definedName name="XRefPaste10" hidden="1">[20]Warrants!#REF!</definedName>
    <definedName name="XRefPaste10Row" localSheetId="13" hidden="1">#REF!</definedName>
    <definedName name="XRefPaste10Row" localSheetId="7" hidden="1">#REF!</definedName>
    <definedName name="XRefPaste10Row" localSheetId="12" hidden="1">#REF!</definedName>
    <definedName name="XRefPaste10Row" localSheetId="6" hidden="1">#REF!</definedName>
    <definedName name="XRefPaste10Row" hidden="1">#REF!</definedName>
    <definedName name="XRefPaste11" localSheetId="13" hidden="1">[20]Warrants!#REF!</definedName>
    <definedName name="XRefPaste11" localSheetId="7" hidden="1">[20]Warrants!#REF!</definedName>
    <definedName name="XRefPaste11" localSheetId="12" hidden="1">[20]Warrants!#REF!</definedName>
    <definedName name="XRefPaste11" hidden="1">[20]Warrants!#REF!</definedName>
    <definedName name="XRefPaste11Row" localSheetId="13" hidden="1">#REF!</definedName>
    <definedName name="XRefPaste11Row" localSheetId="7" hidden="1">#REF!</definedName>
    <definedName name="XRefPaste11Row" localSheetId="12" hidden="1">#REF!</definedName>
    <definedName name="XRefPaste11Row" localSheetId="6" hidden="1">#REF!</definedName>
    <definedName name="XRefPaste11Row" hidden="1">#REF!</definedName>
    <definedName name="XRefPaste12" localSheetId="13" hidden="1">[20]Warrants!#REF!</definedName>
    <definedName name="XRefPaste12" localSheetId="7" hidden="1">[20]Warrants!#REF!</definedName>
    <definedName name="XRefPaste12" localSheetId="12" hidden="1">[20]Warrants!#REF!</definedName>
    <definedName name="XRefPaste12" hidden="1">[20]Warrants!#REF!</definedName>
    <definedName name="XRefPaste12Row" localSheetId="13" hidden="1">#REF!</definedName>
    <definedName name="XRefPaste12Row" localSheetId="7" hidden="1">#REF!</definedName>
    <definedName name="XRefPaste12Row" localSheetId="12" hidden="1">#REF!</definedName>
    <definedName name="XRefPaste12Row" localSheetId="6" hidden="1">#REF!</definedName>
    <definedName name="XRefPaste12Row" hidden="1">#REF!</definedName>
    <definedName name="XRefPaste13Row" localSheetId="13" hidden="1">#REF!</definedName>
    <definedName name="XRefPaste13Row" localSheetId="7" hidden="1">#REF!</definedName>
    <definedName name="XRefPaste13Row" localSheetId="12" hidden="1">#REF!</definedName>
    <definedName name="XRefPaste13Row" localSheetId="6" hidden="1">#REF!</definedName>
    <definedName name="XRefPaste13Row" hidden="1">#REF!</definedName>
    <definedName name="XRefPaste14Row" localSheetId="13" hidden="1">#REF!</definedName>
    <definedName name="XRefPaste14Row" localSheetId="7" hidden="1">#REF!</definedName>
    <definedName name="XRefPaste14Row" localSheetId="12" hidden="1">#REF!</definedName>
    <definedName name="XRefPaste14Row" localSheetId="6" hidden="1">#REF!</definedName>
    <definedName name="XRefPaste14Row" hidden="1">#REF!</definedName>
    <definedName name="XRefPaste15Row" localSheetId="13" hidden="1">#REF!</definedName>
    <definedName name="XRefPaste15Row" localSheetId="7" hidden="1">#REF!</definedName>
    <definedName name="XRefPaste15Row" localSheetId="12" hidden="1">#REF!</definedName>
    <definedName name="XRefPaste15Row" hidden="1">#REF!</definedName>
    <definedName name="XRefPaste16Row" localSheetId="13" hidden="1">#REF!</definedName>
    <definedName name="XRefPaste16Row" localSheetId="7" hidden="1">#REF!</definedName>
    <definedName name="XRefPaste16Row" localSheetId="12" hidden="1">#REF!</definedName>
    <definedName name="XRefPaste16Row" hidden="1">#REF!</definedName>
    <definedName name="XRefPaste17Row" localSheetId="13" hidden="1">#REF!</definedName>
    <definedName name="XRefPaste17Row" localSheetId="7" hidden="1">#REF!</definedName>
    <definedName name="XRefPaste17Row" localSheetId="12" hidden="1">#REF!</definedName>
    <definedName name="XRefPaste17Row" hidden="1">#REF!</definedName>
    <definedName name="XRefPaste18Row" localSheetId="13" hidden="1">#REF!</definedName>
    <definedName name="XRefPaste18Row" localSheetId="7" hidden="1">#REF!</definedName>
    <definedName name="XRefPaste18Row" localSheetId="12" hidden="1">#REF!</definedName>
    <definedName name="XRefPaste18Row" hidden="1">#REF!</definedName>
    <definedName name="XRefPaste1Row" localSheetId="13" hidden="1">#REF!</definedName>
    <definedName name="XRefPaste1Row" localSheetId="7" hidden="1">#REF!</definedName>
    <definedName name="XRefPaste1Row" localSheetId="12" hidden="1">#REF!</definedName>
    <definedName name="XRefPaste1Row" hidden="1">#REF!</definedName>
    <definedName name="XRefPaste2" localSheetId="13" hidden="1">'[19]Exp-vested over periods'!#REF!</definedName>
    <definedName name="XRefPaste2" localSheetId="7" hidden="1">'[19]Exp-vested over periods'!#REF!</definedName>
    <definedName name="XRefPaste2" localSheetId="12" hidden="1">'[19]Exp-vested over periods'!#REF!</definedName>
    <definedName name="XRefPaste2" hidden="1">'[19]Exp-vested over periods'!#REF!</definedName>
    <definedName name="XRefPaste2Row" localSheetId="13" hidden="1">#REF!</definedName>
    <definedName name="XRefPaste2Row" localSheetId="7" hidden="1">#REF!</definedName>
    <definedName name="XRefPaste2Row" localSheetId="12" hidden="1">#REF!</definedName>
    <definedName name="XRefPaste2Row" localSheetId="6" hidden="1">#REF!</definedName>
    <definedName name="XRefPaste2Row" hidden="1">#REF!</definedName>
    <definedName name="XRefPaste3Row" localSheetId="13" hidden="1">#REF!</definedName>
    <definedName name="XRefPaste3Row" localSheetId="7" hidden="1">#REF!</definedName>
    <definedName name="XRefPaste3Row" localSheetId="12" hidden="1">#REF!</definedName>
    <definedName name="XRefPaste3Row" localSheetId="6" hidden="1">#REF!</definedName>
    <definedName name="XRefPaste3Row" hidden="1">#REF!</definedName>
    <definedName name="XRefPaste4Row" localSheetId="13" hidden="1">#REF!</definedName>
    <definedName name="XRefPaste4Row" localSheetId="7" hidden="1">#REF!</definedName>
    <definedName name="XRefPaste4Row" localSheetId="12" hidden="1">#REF!</definedName>
    <definedName name="XRefPaste4Row" localSheetId="6" hidden="1">#REF!</definedName>
    <definedName name="XRefPaste4Row" hidden="1">#REF!</definedName>
    <definedName name="XRefPaste5Row" localSheetId="13" hidden="1">#REF!</definedName>
    <definedName name="XRefPaste5Row" localSheetId="7" hidden="1">#REF!</definedName>
    <definedName name="XRefPaste5Row" localSheetId="12" hidden="1">#REF!</definedName>
    <definedName name="XRefPaste5Row" hidden="1">#REF!</definedName>
    <definedName name="XRefPaste6" localSheetId="13" hidden="1">[20]Warrants!#REF!</definedName>
    <definedName name="XRefPaste6" localSheetId="7" hidden="1">[20]Warrants!#REF!</definedName>
    <definedName name="XRefPaste6" localSheetId="12" hidden="1">[20]Warrants!#REF!</definedName>
    <definedName name="XRefPaste6" hidden="1">[20]Warrants!#REF!</definedName>
    <definedName name="XRefPaste6Row" localSheetId="13" hidden="1">#REF!</definedName>
    <definedName name="XRefPaste6Row" localSheetId="7" hidden="1">#REF!</definedName>
    <definedName name="XRefPaste6Row" localSheetId="12" hidden="1">#REF!</definedName>
    <definedName name="XRefPaste6Row" localSheetId="6" hidden="1">#REF!</definedName>
    <definedName name="XRefPaste6Row" hidden="1">#REF!</definedName>
    <definedName name="XRefPaste7" localSheetId="13" hidden="1">#REF!</definedName>
    <definedName name="XRefPaste7" localSheetId="7" hidden="1">#REF!</definedName>
    <definedName name="XRefPaste7" localSheetId="12" hidden="1">#REF!</definedName>
    <definedName name="XRefPaste7" localSheetId="6" hidden="1">#REF!</definedName>
    <definedName name="XRefPaste7" hidden="1">#REF!</definedName>
    <definedName name="XRefPaste7Row" localSheetId="13" hidden="1">#REF!</definedName>
    <definedName name="XRefPaste7Row" localSheetId="7" hidden="1">#REF!</definedName>
    <definedName name="XRefPaste7Row" localSheetId="12" hidden="1">#REF!</definedName>
    <definedName name="XRefPaste7Row" localSheetId="6" hidden="1">#REF!</definedName>
    <definedName name="XRefPaste7Row" hidden="1">#REF!</definedName>
    <definedName name="XRefPaste8" localSheetId="13" hidden="1">#REF!</definedName>
    <definedName name="XRefPaste8" localSheetId="7" hidden="1">#REF!</definedName>
    <definedName name="XRefPaste8" localSheetId="12" hidden="1">#REF!</definedName>
    <definedName name="XRefPaste8" hidden="1">#REF!</definedName>
    <definedName name="XRefPaste8Row" localSheetId="13" hidden="1">#REF!</definedName>
    <definedName name="XRefPaste8Row" localSheetId="7" hidden="1">#REF!</definedName>
    <definedName name="XRefPaste8Row" localSheetId="12" hidden="1">#REF!</definedName>
    <definedName name="XRefPaste8Row" hidden="1">#REF!</definedName>
    <definedName name="XRefPaste9" localSheetId="13" hidden="1">#REF!</definedName>
    <definedName name="XRefPaste9" localSheetId="7" hidden="1">#REF!</definedName>
    <definedName name="XRefPaste9" localSheetId="12" hidden="1">#REF!</definedName>
    <definedName name="XRefPaste9" hidden="1">#REF!</definedName>
    <definedName name="XRefPaste9Row" localSheetId="13" hidden="1">#REF!</definedName>
    <definedName name="XRefPaste9Row" localSheetId="7" hidden="1">#REF!</definedName>
    <definedName name="XRefPaste9Row" localSheetId="12" hidden="1">#REF!</definedName>
    <definedName name="XRefPaste9Row" hidden="1">#REF!</definedName>
    <definedName name="xvbfjh" hidden="1">#REF!</definedName>
    <definedName name="XXXX" localSheetId="7" hidden="1">{"QTR2",#N/A,FALSE,"OTK6_27";#N/A,#N/A,FALSE,"Q2 Detail";"SIXMTH",#N/A,FALSE,"OTK6_27";"qtr3",#N/A,FALSE,"OTK6_27";#N/A,#N/A,FALSE,"Q3 Detail";"NINEMTH",#N/A,FALSE,"OTK6_27";"qtr4",#N/A,FALSE,"OTK6_27";#N/A,#N/A,FALSE,"Q4 Detail";"YEAR",#N/A,FALSE,"OTK6_27"}</definedName>
    <definedName name="XXXX" localSheetId="6" hidden="1">{"QTR2",#N/A,FALSE,"OTK6_27";#N/A,#N/A,FALSE,"Q2 Detail";"SIXMTH",#N/A,FALSE,"OTK6_27";"qtr3",#N/A,FALSE,"OTK6_27";#N/A,#N/A,FALSE,"Q3 Detail";"NINEMTH",#N/A,FALSE,"OTK6_27";"qtr4",#N/A,FALSE,"OTK6_27";#N/A,#N/A,FALSE,"Q4 Detail";"YEAR",#N/A,FALSE,"OTK6_27"}</definedName>
    <definedName name="XXXX" hidden="1">{"QTR2",#N/A,FALSE,"OTK6_27";#N/A,#N/A,FALSE,"Q2 Detail";"SIXMTH",#N/A,FALSE,"OTK6_27";"qtr3",#N/A,FALSE,"OTK6_27";#N/A,#N/A,FALSE,"Q3 Detail";"NINEMTH",#N/A,FALSE,"OTK6_27";"qtr4",#N/A,FALSE,"OTK6_27";#N/A,#N/A,FALSE,"Q4 Detail";"YEAR",#N/A,FALSE,"OTK6_27"}</definedName>
    <definedName name="xzxzx" localSheetId="7" hidden="1">{#N/A,#N/A,FALSE,"Performance Flash Report"}</definedName>
    <definedName name="xzxzx" localSheetId="6" hidden="1">{#N/A,#N/A,FALSE,"Performance Flash Report"}</definedName>
    <definedName name="xzxzx" hidden="1">{#N/A,#N/A,FALSE,"Performance Flash Report"}</definedName>
    <definedName name="xzzx" localSheetId="7" hidden="1">{#N/A,#N/A,FALSE,"Performance Flash Report"}</definedName>
    <definedName name="xzzx" localSheetId="6" hidden="1">{#N/A,#N/A,FALSE,"Performance Flash Report"}</definedName>
    <definedName name="xzzx" hidden="1">{#N/A,#N/A,FALSE,"Performance Flash Report"}</definedName>
    <definedName name="xzzzdvdvd" localSheetId="7" hidden="1">{#N/A,#N/A,FALSE,"Performance Flash Report"}</definedName>
    <definedName name="xzzzdvdvd" localSheetId="6" hidden="1">{#N/A,#N/A,FALSE,"Performance Flash Report"}</definedName>
    <definedName name="xzzzdvdvd" hidden="1">{#N/A,#N/A,FALSE,"Performance Flash Report"}</definedName>
    <definedName name="yery" localSheetId="13" hidden="1">'[3]Variance Sum '!#REF!</definedName>
    <definedName name="yery" localSheetId="7" hidden="1">'[3]Variance Sum '!#REF!</definedName>
    <definedName name="yery" localSheetId="12" hidden="1">'[3]Variance Sum '!#REF!</definedName>
    <definedName name="yery" hidden="1">'[3]Variance Sum '!#REF!</definedName>
    <definedName name="yhn" localSheetId="7" hidden="1">{#N/A,#N/A,FALSE,"TS";#N/A,#N/A,FALSE,"Combo";#N/A,#N/A,FALSE,"FAIR";#N/A,#N/A,FALSE,"RBC";#N/A,#N/A,FALSE,"xxxx";#N/A,#N/A,FALSE,"A_D";#N/A,#N/A,FALSE,"WACC";#N/A,#N/A,FALSE,"DCF";#N/A,#N/A,FALSE,"LBO";#N/A,#N/A,FALSE,"AcqMults";#N/A,#N/A,FALSE,"CompMults"}</definedName>
    <definedName name="yhn" localSheetId="6" hidden="1">{#N/A,#N/A,FALSE,"TS";#N/A,#N/A,FALSE,"Combo";#N/A,#N/A,FALSE,"FAIR";#N/A,#N/A,FALSE,"RBC";#N/A,#N/A,FALSE,"xxxx";#N/A,#N/A,FALSE,"A_D";#N/A,#N/A,FALSE,"WACC";#N/A,#N/A,FALSE,"DCF";#N/A,#N/A,FALSE,"LBO";#N/A,#N/A,FALSE,"AcqMults";#N/A,#N/A,FALSE,"CompMults"}</definedName>
    <definedName name="yhn" hidden="1">{#N/A,#N/A,FALSE,"TS";#N/A,#N/A,FALSE,"Combo";#N/A,#N/A,FALSE,"FAIR";#N/A,#N/A,FALSE,"RBC";#N/A,#N/A,FALSE,"xxxx";#N/A,#N/A,FALSE,"A_D";#N/A,#N/A,FALSE,"WACC";#N/A,#N/A,FALSE,"DCF";#N/A,#N/A,FALSE,"LBO";#N/A,#N/A,FALSE,"AcqMults";#N/A,#N/A,FALSE,"CompMults"}</definedName>
    <definedName name="yu"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yu" localSheetId="6" hidden="1">{#N/A,#N/A,FALSE,"Projections";#N/A,#N/A,FALSE,"AccrDil";#N/A,#N/A,FALSE,"PurchPriMult";#N/A,#N/A,FALSE,"Mults7_13";#N/A,#N/A,FALSE,"Mkt Mults";#N/A,#N/A,FALSE,"Acq Mults";#N/A,#N/A,FALSE,"StockPrices";#N/A,#N/A,FALSE,"Prem Paid";#N/A,#N/A,FALSE,"DCF";#N/A,#N/A,FALSE,"AUTO";#N/A,#N/A,FALSE,"Relative Trading";#N/A,#N/A,FALSE,"Mkt Val";#N/A,#N/A,FALSE,"Acq Val"}</definedName>
    <definedName name="yu" hidden="1">{#N/A,#N/A,FALSE,"Projections";#N/A,#N/A,FALSE,"AccrDil";#N/A,#N/A,FALSE,"PurchPriMult";#N/A,#N/A,FALSE,"Mults7_13";#N/A,#N/A,FALSE,"Mkt Mults";#N/A,#N/A,FALSE,"Acq Mults";#N/A,#N/A,FALSE,"StockPrices";#N/A,#N/A,FALSE,"Prem Paid";#N/A,#N/A,FALSE,"DCF";#N/A,#N/A,FALSE,"AUTO";#N/A,#N/A,FALSE,"Relative Trading";#N/A,#N/A,FALSE,"Mkt Val";#N/A,#N/A,FALSE,"Acq Val"}</definedName>
    <definedName name="yyyuiu" hidden="1">#REF!</definedName>
    <definedName name="ｚ" localSheetId="7" hidden="1">{"'下期集計（10.27迄・速報値）'!$Q$16"}</definedName>
    <definedName name="ｚ" localSheetId="6" hidden="1">{"'下期集計（10.27迄・速報値）'!$Q$16"}</definedName>
    <definedName name="ｚ" hidden="1">{"'下期集計（10.27迄・速報値）'!$Q$16"}</definedName>
    <definedName name="Z_00AC0B71_AA97_11D0_B456_0000F62B346E_.wvu.Cols" localSheetId="13" hidden="1">[10]EndNotes!$E$1:$E$65536,[10]EndNotes!#REF!,[10]EndNotes!$K$1:$K$65536,[10]EndNotes!$N$1:$N$65536,[10]EndNotes!$Q$1:$Q$65536</definedName>
    <definedName name="Z_00AC0B71_AA97_11D0_B456_0000F62B346E_.wvu.Cols" localSheetId="7" hidden="1">[10]EndNotes!$E$1:$E$65536,[10]EndNotes!#REF!,[10]EndNotes!$K$1:$K$65536,[10]EndNotes!$N$1:$N$65536,[10]EndNotes!$Q$1:$Q$65536</definedName>
    <definedName name="Z_00AC0B71_AA97_11D0_B456_0000F62B346E_.wvu.Cols" localSheetId="12" hidden="1">[10]EndNotes!$E$1:$E$65536,[10]EndNotes!#REF!,[10]EndNotes!$K$1:$K$65536,[10]EndNotes!$N$1:$N$65536,[10]EndNotes!$Q$1:$Q$65536</definedName>
    <definedName name="Z_00AC0B71_AA97_11D0_B456_0000F62B346E_.wvu.Cols" hidden="1">[10]EndNotes!$E$1:$E$65536,[10]EndNotes!#REF!,[10]EndNotes!$K$1:$K$65536,[10]EndNotes!$N$1:$N$65536,[10]EndNotes!$Q$1:$Q$65536</definedName>
    <definedName name="Z_03612579_9F94_11D0_B44C_0000F62B346E_.wvu.Cols" localSheetId="13" hidden="1">[10]EndNotes!$E$1:$E$65536,[10]EndNotes!#REF!,[10]EndNotes!$K$1:$K$65536,[10]EndNotes!$N$1:$N$65536,[10]EndNotes!$Q$1:$Q$65536</definedName>
    <definedName name="Z_03612579_9F94_11D0_B44C_0000F62B346E_.wvu.Cols" localSheetId="7" hidden="1">[10]EndNotes!$E$1:$E$65536,[10]EndNotes!#REF!,[10]EndNotes!$K$1:$K$65536,[10]EndNotes!$N$1:$N$65536,[10]EndNotes!$Q$1:$Q$65536</definedName>
    <definedName name="Z_03612579_9F94_11D0_B44C_0000F62B346E_.wvu.Cols" localSheetId="12" hidden="1">[10]EndNotes!$E$1:$E$65536,[10]EndNotes!#REF!,[10]EndNotes!$K$1:$K$65536,[10]EndNotes!$N$1:$N$65536,[10]EndNotes!$Q$1:$Q$65536</definedName>
    <definedName name="Z_03612579_9F94_11D0_B44C_0000F62B346E_.wvu.Cols" localSheetId="6" hidden="1">[10]EndNotes!$E$1:$E$65536,[10]EndNotes!#REF!,[10]EndNotes!$K$1:$K$65536,[10]EndNotes!$N$1:$N$65536,[10]EndNotes!$Q$1:$Q$65536</definedName>
    <definedName name="Z_03612579_9F94_11D0_B44C_0000F62B346E_.wvu.Cols" hidden="1">[10]EndNotes!$E$1:$E$65536,[10]EndNotes!#REF!,[10]EndNotes!$K$1:$K$65536,[10]EndNotes!$N$1:$N$65536,[10]EndNotes!$Q$1:$Q$65536</definedName>
    <definedName name="Z_0D98A7A4_2260_11D4_AA58_0000F6853C78_.wvu.PrintArea" localSheetId="13" hidden="1">#REF!</definedName>
    <definedName name="Z_0D98A7A4_2260_11D4_AA58_0000F6853C78_.wvu.PrintArea" localSheetId="7" hidden="1">#REF!</definedName>
    <definedName name="Z_0D98A7A4_2260_11D4_AA58_0000F6853C78_.wvu.PrintArea" localSheetId="12" hidden="1">#REF!</definedName>
    <definedName name="Z_0D98A7A4_2260_11D4_AA58_0000F6853C78_.wvu.PrintArea" localSheetId="6" hidden="1">#REF!</definedName>
    <definedName name="Z_0D98A7A4_2260_11D4_AA58_0000F6853C78_.wvu.PrintArea" hidden="1">#REF!</definedName>
    <definedName name="Z_0D98A7A4_2260_11D4_AA58_0000F6853C78_.wvu.PrintTitles" localSheetId="13" hidden="1">#REF!</definedName>
    <definedName name="Z_0D98A7A4_2260_11D4_AA58_0000F6853C78_.wvu.PrintTitles" localSheetId="7" hidden="1">#REF!</definedName>
    <definedName name="Z_0D98A7A4_2260_11D4_AA58_0000F6853C78_.wvu.PrintTitles" localSheetId="12" hidden="1">#REF!</definedName>
    <definedName name="Z_0D98A7A4_2260_11D4_AA58_0000F6853C78_.wvu.PrintTitles" localSheetId="6" hidden="1">#REF!</definedName>
    <definedName name="Z_0D98A7A4_2260_11D4_AA58_0000F6853C78_.wvu.PrintTitles" hidden="1">#REF!</definedName>
    <definedName name="Z_128D8F34_9864_4F93_98E2_12587B58B6EC_.wvu.Cols" localSheetId="13" hidden="1">'[11]IS Detail-budget run1_ Updated'!#REF!,'[11]IS Detail-budget run1_ Updated'!#REF!,'[11]IS Detail-budget run1_ Updated'!$E$1:$G$65536,'[11]IS Detail-budget run1_ Updated'!#REF!,'[11]IS Detail-budget run1_ Updated'!#REF!</definedName>
    <definedName name="Z_128D8F34_9864_4F93_98E2_12587B58B6EC_.wvu.Cols" localSheetId="7" hidden="1">'[11]IS Detail-budget run1_ Updated'!#REF!,'[11]IS Detail-budget run1_ Updated'!#REF!,'[11]IS Detail-budget run1_ Updated'!$E$1:$G$65536,'[11]IS Detail-budget run1_ Updated'!#REF!,'[11]IS Detail-budget run1_ Updated'!#REF!</definedName>
    <definedName name="Z_128D8F34_9864_4F93_98E2_12587B58B6EC_.wvu.Cols" localSheetId="12" hidden="1">'[11]IS Detail-budget run1_ Updated'!#REF!,'[11]IS Detail-budget run1_ Updated'!#REF!,'[11]IS Detail-budget run1_ Updated'!$E$1:$G$65536,'[11]IS Detail-budget run1_ Updated'!#REF!,'[11]IS Detail-budget run1_ Updated'!#REF!</definedName>
    <definedName name="Z_128D8F34_9864_4F93_98E2_12587B58B6EC_.wvu.Cols" localSheetId="6" hidden="1">'[11]IS Detail-budget run1_ Updated'!#REF!,'[11]IS Detail-budget run1_ Updated'!#REF!,'[11]IS Detail-budget run1_ Updated'!$E$1:$G$65536,'[11]IS Detail-budget run1_ Updated'!#REF!,'[11]IS Detail-budget run1_ Updated'!#REF!</definedName>
    <definedName name="Z_128D8F34_9864_4F93_98E2_12587B58B6EC_.wvu.Cols" hidden="1">'[11]IS Detail-budget run1_ Updated'!#REF!,'[11]IS Detail-budget run1_ Updated'!#REF!,'[11]IS Detail-budget run1_ Updated'!$E$1:$G$65536,'[11]IS Detail-budget run1_ Updated'!#REF!,'[11]IS Detail-budget run1_ Updated'!#REF!</definedName>
    <definedName name="Z_128D8F34_9864_4F93_98E2_12587B58B6EC_.wvu.Rows" localSheetId="13"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128D8F34_9864_4F93_98E2_12587B58B6EC_.wvu.Rows" localSheetId="7"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128D8F34_9864_4F93_98E2_12587B58B6EC_.wvu.Rows" localSheetId="12"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128D8F34_9864_4F93_98E2_12587B58B6EC_.wvu.Rows"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47939A2C_A55D_46B4_84FB_3CD5372CD5C0_.wvu.Cols" localSheetId="13" hidden="1">'[11]IS Detail-budget run1_ Updated'!#REF!,'[11]IS Detail-budget run1_ Updated'!$E$1:$N$65536,'[11]IS Detail-budget run1_ Updated'!#REF!</definedName>
    <definedName name="Z_47939A2C_A55D_46B4_84FB_3CD5372CD5C0_.wvu.Cols" localSheetId="7" hidden="1">'[11]IS Detail-budget run1_ Updated'!#REF!,'[11]IS Detail-budget run1_ Updated'!$E$1:$N$65536,'[11]IS Detail-budget run1_ Updated'!#REF!</definedName>
    <definedName name="Z_47939A2C_A55D_46B4_84FB_3CD5372CD5C0_.wvu.Cols" localSheetId="12" hidden="1">'[11]IS Detail-budget run1_ Updated'!#REF!,'[11]IS Detail-budget run1_ Updated'!$E$1:$N$65536,'[11]IS Detail-budget run1_ Updated'!#REF!</definedName>
    <definedName name="Z_47939A2C_A55D_46B4_84FB_3CD5372CD5C0_.wvu.Cols" localSheetId="6" hidden="1">'[11]IS Detail-budget run1_ Updated'!#REF!,'[11]IS Detail-budget run1_ Updated'!$E$1:$N$65536,'[11]IS Detail-budget run1_ Updated'!#REF!</definedName>
    <definedName name="Z_47939A2C_A55D_46B4_84FB_3CD5372CD5C0_.wvu.Cols" hidden="1">'[11]IS Detail-budget run1_ Updated'!#REF!,'[11]IS Detail-budget run1_ Updated'!$E$1:$N$65536,'[11]IS Detail-budget run1_ Updated'!#REF!</definedName>
    <definedName name="Z_47939A2C_A55D_46B4_84FB_3CD5372CD5C0_.wvu.Rows" localSheetId="13"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47939A2C_A55D_46B4_84FB_3CD5372CD5C0_.wvu.Rows" localSheetId="7"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47939A2C_A55D_46B4_84FB_3CD5372CD5C0_.wvu.Rows" localSheetId="12"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47939A2C_A55D_46B4_84FB_3CD5372CD5C0_.wvu.Rows"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75267AA9_531D_11D4_AA58_0000F6785B90_.wvu.PrintArea" localSheetId="13" hidden="1">#REF!</definedName>
    <definedName name="Z_75267AA9_531D_11D4_AA58_0000F6785B90_.wvu.PrintArea" localSheetId="7" hidden="1">#REF!</definedName>
    <definedName name="Z_75267AA9_531D_11D4_AA58_0000F6785B90_.wvu.PrintArea" localSheetId="12" hidden="1">#REF!</definedName>
    <definedName name="Z_75267AA9_531D_11D4_AA58_0000F6785B90_.wvu.PrintArea" localSheetId="6" hidden="1">#REF!</definedName>
    <definedName name="Z_75267AA9_531D_11D4_AA58_0000F6785B90_.wvu.PrintArea" hidden="1">#REF!</definedName>
    <definedName name="Z_87C0A393_8FDF_11D0_B43D_0000F62B346E_.wvu.Cols" localSheetId="13" hidden="1">[10]EndNotes!$E$1:$E$65536,[10]EndNotes!#REF!,[10]EndNotes!$K$1:$K$65536,[10]EndNotes!$N$1:$N$65536,[10]EndNotes!$Q$1:$Q$65536</definedName>
    <definedName name="Z_87C0A393_8FDF_11D0_B43D_0000F62B346E_.wvu.Cols" localSheetId="7" hidden="1">[10]EndNotes!$E$1:$E$65536,[10]EndNotes!#REF!,[10]EndNotes!$K$1:$K$65536,[10]EndNotes!$N$1:$N$65536,[10]EndNotes!$Q$1:$Q$65536</definedName>
    <definedName name="Z_87C0A393_8FDF_11D0_B43D_0000F62B346E_.wvu.Cols" localSheetId="12" hidden="1">[10]EndNotes!$E$1:$E$65536,[10]EndNotes!#REF!,[10]EndNotes!$K$1:$K$65536,[10]EndNotes!$N$1:$N$65536,[10]EndNotes!$Q$1:$Q$65536</definedName>
    <definedName name="Z_87C0A393_8FDF_11D0_B43D_0000F62B346E_.wvu.Cols" localSheetId="6" hidden="1">[10]EndNotes!$E$1:$E$65536,[10]EndNotes!#REF!,[10]EndNotes!$K$1:$K$65536,[10]EndNotes!$N$1:$N$65536,[10]EndNotes!$Q$1:$Q$65536</definedName>
    <definedName name="Z_87C0A393_8FDF_11D0_B43D_0000F62B346E_.wvu.Cols" hidden="1">[10]EndNotes!$E$1:$E$65536,[10]EndNotes!#REF!,[10]EndNotes!$K$1:$K$65536,[10]EndNotes!$N$1:$N$65536,[10]EndNotes!$Q$1:$Q$65536</definedName>
    <definedName name="Z_919A0F12_8EB4_11D0_B43A_0000F62B346E_.wvu.Cols" localSheetId="13" hidden="1">[10]EndNotes!$E$1:$E$65536,[10]EndNotes!#REF!,[10]EndNotes!$K$1:$K$65536,[10]EndNotes!$N$1:$N$65536,[10]EndNotes!$Q$1:$Q$65536</definedName>
    <definedName name="Z_919A0F12_8EB4_11D0_B43A_0000F62B346E_.wvu.Cols" localSheetId="7" hidden="1">[10]EndNotes!$E$1:$E$65536,[10]EndNotes!#REF!,[10]EndNotes!$K$1:$K$65536,[10]EndNotes!$N$1:$N$65536,[10]EndNotes!$Q$1:$Q$65536</definedName>
    <definedName name="Z_919A0F12_8EB4_11D0_B43A_0000F62B346E_.wvu.Cols" localSheetId="12" hidden="1">[10]EndNotes!$E$1:$E$65536,[10]EndNotes!#REF!,[10]EndNotes!$K$1:$K$65536,[10]EndNotes!$N$1:$N$65536,[10]EndNotes!$Q$1:$Q$65536</definedName>
    <definedName name="Z_919A0F12_8EB4_11D0_B43A_0000F62B346E_.wvu.Cols" localSheetId="6" hidden="1">[10]EndNotes!$E$1:$E$65536,[10]EndNotes!#REF!,[10]EndNotes!$K$1:$K$65536,[10]EndNotes!$N$1:$N$65536,[10]EndNotes!$Q$1:$Q$65536</definedName>
    <definedName name="Z_919A0F12_8EB4_11D0_B43A_0000F62B346E_.wvu.Cols" hidden="1">[10]EndNotes!$E$1:$E$65536,[10]EndNotes!#REF!,[10]EndNotes!$K$1:$K$65536,[10]EndNotes!$N$1:$N$65536,[10]EndNotes!$Q$1:$Q$65536</definedName>
    <definedName name="Z_9B47E6EA_A5DE_11D0_B453_0000F62B346E_.wvu.Cols" localSheetId="13" hidden="1">[10]EndNotes!$E$1:$E$65536,[10]EndNotes!#REF!,[10]EndNotes!$K$1:$K$65536,[10]EndNotes!$N$1:$N$65536,[10]EndNotes!$Q$1:$Q$65536</definedName>
    <definedName name="Z_9B47E6EA_A5DE_11D0_B453_0000F62B346E_.wvu.Cols" localSheetId="7" hidden="1">[10]EndNotes!$E$1:$E$65536,[10]EndNotes!#REF!,[10]EndNotes!$K$1:$K$65536,[10]EndNotes!$N$1:$N$65536,[10]EndNotes!$Q$1:$Q$65536</definedName>
    <definedName name="Z_9B47E6EA_A5DE_11D0_B453_0000F62B346E_.wvu.Cols" localSheetId="12" hidden="1">[10]EndNotes!$E$1:$E$65536,[10]EndNotes!#REF!,[10]EndNotes!$K$1:$K$65536,[10]EndNotes!$N$1:$N$65536,[10]EndNotes!$Q$1:$Q$65536</definedName>
    <definedName name="Z_9B47E6EA_A5DE_11D0_B453_0000F62B346E_.wvu.Cols" localSheetId="6" hidden="1">[10]EndNotes!$E$1:$E$65536,[10]EndNotes!#REF!,[10]EndNotes!$K$1:$K$65536,[10]EndNotes!$N$1:$N$65536,[10]EndNotes!$Q$1:$Q$65536</definedName>
    <definedName name="Z_9B47E6EA_A5DE_11D0_B453_0000F62B346E_.wvu.Cols" hidden="1">[10]EndNotes!$E$1:$E$65536,[10]EndNotes!#REF!,[10]EndNotes!$K$1:$K$65536,[10]EndNotes!$N$1:$N$65536,[10]EndNotes!$Q$1:$Q$65536</definedName>
    <definedName name="Z_AB4E8A99_200A_11D4_AA58_0000F685A907_.wvu.Cols" localSheetId="13" hidden="1">#REF!</definedName>
    <definedName name="Z_AB4E8A99_200A_11D4_AA58_0000F685A907_.wvu.Cols" localSheetId="7" hidden="1">#REF!</definedName>
    <definedName name="Z_AB4E8A99_200A_11D4_AA58_0000F685A907_.wvu.Cols" localSheetId="12" hidden="1">#REF!</definedName>
    <definedName name="Z_AB4E8A99_200A_11D4_AA58_0000F685A907_.wvu.Cols" localSheetId="6" hidden="1">#REF!</definedName>
    <definedName name="Z_AB4E8A99_200A_11D4_AA58_0000F685A907_.wvu.Cols" hidden="1">#REF!</definedName>
    <definedName name="Z_AB4E8A99_200A_11D4_AA58_0000F685A907_.wvu.PrintArea" localSheetId="13" hidden="1">#REF!</definedName>
    <definedName name="Z_AB4E8A99_200A_11D4_AA58_0000F685A907_.wvu.PrintArea" localSheetId="7" hidden="1">#REF!</definedName>
    <definedName name="Z_AB4E8A99_200A_11D4_AA58_0000F685A907_.wvu.PrintArea" localSheetId="12" hidden="1">#REF!</definedName>
    <definedName name="Z_AB4E8A99_200A_11D4_AA58_0000F685A907_.wvu.PrintArea" localSheetId="6" hidden="1">#REF!</definedName>
    <definedName name="Z_AB4E8A99_200A_11D4_AA58_0000F685A907_.wvu.PrintArea" hidden="1">#REF!</definedName>
    <definedName name="Z_BE5CA973_A6A8_11D0_B454_0000F62B346E_.wvu.Cols" localSheetId="13" hidden="1">[10]EndNotes!$E$1:$E$65536,[10]EndNotes!#REF!,[10]EndNotes!$K$1:$K$65536,[10]EndNotes!$N$1:$N$65536,[10]EndNotes!$Q$1:$Q$65536</definedName>
    <definedName name="Z_BE5CA973_A6A8_11D0_B454_0000F62B346E_.wvu.Cols" localSheetId="7" hidden="1">[10]EndNotes!$E$1:$E$65536,[10]EndNotes!#REF!,[10]EndNotes!$K$1:$K$65536,[10]EndNotes!$N$1:$N$65536,[10]EndNotes!$Q$1:$Q$65536</definedName>
    <definedName name="Z_BE5CA973_A6A8_11D0_B454_0000F62B346E_.wvu.Cols" localSheetId="12" hidden="1">[10]EndNotes!$E$1:$E$65536,[10]EndNotes!#REF!,[10]EndNotes!$K$1:$K$65536,[10]EndNotes!$N$1:$N$65536,[10]EndNotes!$Q$1:$Q$65536</definedName>
    <definedName name="Z_BE5CA973_A6A8_11D0_B454_0000F62B346E_.wvu.Cols" localSheetId="6" hidden="1">[10]EndNotes!$E$1:$E$65536,[10]EndNotes!#REF!,[10]EndNotes!$K$1:$K$65536,[10]EndNotes!$N$1:$N$65536,[10]EndNotes!$Q$1:$Q$65536</definedName>
    <definedName name="Z_BE5CA973_A6A8_11D0_B454_0000F62B346E_.wvu.Cols" hidden="1">[10]EndNotes!$E$1:$E$65536,[10]EndNotes!#REF!,[10]EndNotes!$K$1:$K$65536,[10]EndNotes!$N$1:$N$65536,[10]EndNotes!$Q$1:$Q$65536</definedName>
    <definedName name="Z_BE5CA977_A6A8_11D0_B454_0000F62B346E_.wvu.Cols" localSheetId="13" hidden="1">[10]EndNotes!$E$1:$E$65536,[10]EndNotes!#REF!,[10]EndNotes!$K$1:$K$65536,[10]EndNotes!$N$1:$N$65536,[10]EndNotes!$Q$1:$Q$65536</definedName>
    <definedName name="Z_BE5CA977_A6A8_11D0_B454_0000F62B346E_.wvu.Cols" localSheetId="7" hidden="1">[10]EndNotes!$E$1:$E$65536,[10]EndNotes!#REF!,[10]EndNotes!$K$1:$K$65536,[10]EndNotes!$N$1:$N$65536,[10]EndNotes!$Q$1:$Q$65536</definedName>
    <definedName name="Z_BE5CA977_A6A8_11D0_B454_0000F62B346E_.wvu.Cols" localSheetId="12" hidden="1">[10]EndNotes!$E$1:$E$65536,[10]EndNotes!#REF!,[10]EndNotes!$K$1:$K$65536,[10]EndNotes!$N$1:$N$65536,[10]EndNotes!$Q$1:$Q$65536</definedName>
    <definedName name="Z_BE5CA977_A6A8_11D0_B454_0000F62B346E_.wvu.Cols" localSheetId="6" hidden="1">[10]EndNotes!$E$1:$E$65536,[10]EndNotes!#REF!,[10]EndNotes!$K$1:$K$65536,[10]EndNotes!$N$1:$N$65536,[10]EndNotes!$Q$1:$Q$65536</definedName>
    <definedName name="Z_BE5CA977_A6A8_11D0_B454_0000F62B346E_.wvu.Cols" hidden="1">[10]EndNotes!$E$1:$E$65536,[10]EndNotes!#REF!,[10]EndNotes!$K$1:$K$65536,[10]EndNotes!$N$1:$N$65536,[10]EndNotes!$Q$1:$Q$65536</definedName>
    <definedName name="Z_CD3E4CF3_A54F_11D0_B452_0000F62B346E_.wvu.Cols" localSheetId="13" hidden="1">[10]EndNotes!$E$1:$E$65536,[10]EndNotes!#REF!,[10]EndNotes!$K$1:$K$65536,[10]EndNotes!$N$1:$N$65536,[10]EndNotes!$Q$1:$Q$65536</definedName>
    <definedName name="Z_CD3E4CF3_A54F_11D0_B452_0000F62B346E_.wvu.Cols" localSheetId="7" hidden="1">[10]EndNotes!$E$1:$E$65536,[10]EndNotes!#REF!,[10]EndNotes!$K$1:$K$65536,[10]EndNotes!$N$1:$N$65536,[10]EndNotes!$Q$1:$Q$65536</definedName>
    <definedName name="Z_CD3E4CF3_A54F_11D0_B452_0000F62B346E_.wvu.Cols" localSheetId="12" hidden="1">[10]EndNotes!$E$1:$E$65536,[10]EndNotes!#REF!,[10]EndNotes!$K$1:$K$65536,[10]EndNotes!$N$1:$N$65536,[10]EndNotes!$Q$1:$Q$65536</definedName>
    <definedName name="Z_CD3E4CF3_A54F_11D0_B452_0000F62B346E_.wvu.Cols" localSheetId="6" hidden="1">[10]EndNotes!$E$1:$E$65536,[10]EndNotes!#REF!,[10]EndNotes!$K$1:$K$65536,[10]EndNotes!$N$1:$N$65536,[10]EndNotes!$Q$1:$Q$65536</definedName>
    <definedName name="Z_CD3E4CF3_A54F_11D0_B452_0000F62B346E_.wvu.Cols" hidden="1">[10]EndNotes!$E$1:$E$65536,[10]EndNotes!#REF!,[10]EndNotes!$K$1:$K$65536,[10]EndNotes!$N$1:$N$65536,[10]EndNotes!$Q$1:$Q$65536</definedName>
    <definedName name="zcvqa" localSheetId="7" hidden="1">{#N/A,#N/A,FALSE,"AD_Purchase";#N/A,#N/A,FALSE,"Credit";#N/A,#N/A,FALSE,"PF Acquisition";#N/A,#N/A,FALSE,"PF Offering"}</definedName>
    <definedName name="zcvqa" localSheetId="6" hidden="1">{#N/A,#N/A,FALSE,"AD_Purchase";#N/A,#N/A,FALSE,"Credit";#N/A,#N/A,FALSE,"PF Acquisition";#N/A,#N/A,FALSE,"PF Offering"}</definedName>
    <definedName name="zcvqa" hidden="1">{#N/A,#N/A,FALSE,"AD_Purchase";#N/A,#N/A,FALSE,"Credit";#N/A,#N/A,FALSE,"PF Acquisition";#N/A,#N/A,FALSE,"PF Offering"}</definedName>
    <definedName name="zcvzaa" localSheetId="7" hidden="1">{#N/A,#N/A,FALSE,"Debt Accr";#N/A,#N/A,FALSE,"Stock Accr";#N/A,#N/A,FALSE,"Debt Stock Accr"}</definedName>
    <definedName name="zcvzaa" localSheetId="6" hidden="1">{#N/A,#N/A,FALSE,"Debt Accr";#N/A,#N/A,FALSE,"Stock Accr";#N/A,#N/A,FALSE,"Debt Stock Accr"}</definedName>
    <definedName name="zcvzaa" hidden="1">{#N/A,#N/A,FALSE,"Debt Accr";#N/A,#N/A,FALSE,"Stock Accr";#N/A,#N/A,FALSE,"Debt Stock Accr"}</definedName>
    <definedName name="zcxzxva" localSheetId="7" hidden="1">{#N/A,#N/A,FALSE,"HuscoCombined-Summ";#N/A,#N/A,FALSE,"HuscoCombined-Income";#N/A,#N/A,FALSE,"HuscoCombined-Offering";#N/A,#N/A,FALSE,"Husco-Income";#N/A,#N/A,FALSE,"TargetEngineer";#N/A,#N/A,FALSE,"TargetAcqCalc";#N/A,#N/A,FALSE,"Husco-Acq"}</definedName>
    <definedName name="zcxzxva" localSheetId="6" hidden="1">{#N/A,#N/A,FALSE,"HuscoCombined-Summ";#N/A,#N/A,FALSE,"HuscoCombined-Income";#N/A,#N/A,FALSE,"HuscoCombined-Offering";#N/A,#N/A,FALSE,"Husco-Income";#N/A,#N/A,FALSE,"TargetEngineer";#N/A,#N/A,FALSE,"TargetAcqCalc";#N/A,#N/A,FALSE,"Husco-Acq"}</definedName>
    <definedName name="zcxzxva" hidden="1">{#N/A,#N/A,FALSE,"HuscoCombined-Summ";#N/A,#N/A,FALSE,"HuscoCombined-Income";#N/A,#N/A,FALSE,"HuscoCombined-Offering";#N/A,#N/A,FALSE,"Husco-Income";#N/A,#N/A,FALSE,"TargetEngineer";#N/A,#N/A,FALSE,"TargetAcqCalc";#N/A,#N/A,FALSE,"Husco-Acq"}</definedName>
    <definedName name="zdcgsdfgsdf" localSheetId="13" hidden="1">'[3]Variance Sum '!#REF!</definedName>
    <definedName name="zdcgsdfgsdf" localSheetId="7" hidden="1">'[3]Variance Sum '!#REF!</definedName>
    <definedName name="zdcgsdfgsdf" localSheetId="12" hidden="1">'[3]Variance Sum '!#REF!</definedName>
    <definedName name="zdcgsdfgsdf" hidden="1">'[3]Variance Sum '!#REF!</definedName>
    <definedName name="Zortnew" localSheetId="8" hidden="1">{"p1TOC",#N/A,FALSE,"DCF_Summary";"p23summary",#N/A,FALSE,"DCF_Summary";"p4contact",#N/A,FALSE,"Contact Lake";"p5kumtor",#N/A,FALSE,"Kumtor";#N/A,#N/A,FALSE,"CCAU_NAV";"p8compdata",#N/A,FALSE,"Gold_Comps";#N/A,#N/A,FALSE,"Comp_Valuation"}</definedName>
    <definedName name="Zortnew" localSheetId="2" hidden="1">{"p1TOC",#N/A,FALSE,"DCF_Summary";"p23summary",#N/A,FALSE,"DCF_Summary";"p4contact",#N/A,FALSE,"Contact Lake";"p5kumtor",#N/A,FALSE,"Kumtor";#N/A,#N/A,FALSE,"CCAU_NAV";"p8compdata",#N/A,FALSE,"Gold_Comps";#N/A,#N/A,FALSE,"Comp_Valuation"}</definedName>
    <definedName name="Zortnew" localSheetId="7" hidden="1">{"p1TOC",#N/A,FALSE,"DCF_Summary";"p23summary",#N/A,FALSE,"DCF_Summary";"p4contact",#N/A,FALSE,"Contact Lake";"p5kumtor",#N/A,FALSE,"Kumtor";#N/A,#N/A,FALSE,"CCAU_NAV";"p8compdata",#N/A,FALSE,"Gold_Comps";#N/A,#N/A,FALSE,"Comp_Valuation"}</definedName>
    <definedName name="Zortnew" localSheetId="6" hidden="1">{"p1TOC",#N/A,FALSE,"DCF_Summary";"p23summary",#N/A,FALSE,"DCF_Summary";"p4contact",#N/A,FALSE,"Contact Lake";"p5kumtor",#N/A,FALSE,"Kumtor";#N/A,#N/A,FALSE,"CCAU_NAV";"p8compdata",#N/A,FALSE,"Gold_Comps";#N/A,#N/A,FALSE,"Comp_Valuation"}</definedName>
    <definedName name="Zortnew" hidden="1">{"p1TOC",#N/A,FALSE,"DCF_Summary";"p23summary",#N/A,FALSE,"DCF_Summary";"p4contact",#N/A,FALSE,"Contact Lake";"p5kumtor",#N/A,FALSE,"Kumtor";#N/A,#N/A,FALSE,"CCAU_NAV";"p8compdata",#N/A,FALSE,"Gold_Comps";#N/A,#N/A,FALSE,"Comp_Valuation"}</definedName>
    <definedName name="zscz" localSheetId="7" hidden="1">{#N/A,#N/A,FALSE,"Pooling";#N/A,#N/A,FALSE,"income";#N/A,#N/A,FALSE,"valuation"}</definedName>
    <definedName name="zscz" localSheetId="6" hidden="1">{#N/A,#N/A,FALSE,"Pooling";#N/A,#N/A,FALSE,"income";#N/A,#N/A,FALSE,"valuation"}</definedName>
    <definedName name="zscz" hidden="1">{#N/A,#N/A,FALSE,"Pooling";#N/A,#N/A,FALSE,"income";#N/A,#N/A,FALSE,"valuation"}</definedName>
    <definedName name="zsvsadf" hidden="1">[7]지급어음!#REF!</definedName>
    <definedName name="zx" localSheetId="7" hidden="1">{#N/A,#N/A,FALSE,"AD_Purchase";#N/A,#N/A,FALSE,"Credit";#N/A,#N/A,FALSE,"PF Acquisition";#N/A,#N/A,FALSE,"PF Offering"}</definedName>
    <definedName name="zx" localSheetId="6" hidden="1">{#N/A,#N/A,FALSE,"AD_Purchase";#N/A,#N/A,FALSE,"Credit";#N/A,#N/A,FALSE,"PF Acquisition";#N/A,#N/A,FALSE,"PF Offering"}</definedName>
    <definedName name="zx" hidden="1">{#N/A,#N/A,FALSE,"AD_Purchase";#N/A,#N/A,FALSE,"Credit";#N/A,#N/A,FALSE,"PF Acquisition";#N/A,#N/A,FALSE,"PF Offering"}</definedName>
    <definedName name="zxcbvvfn" hidden="1">#REF!</definedName>
    <definedName name="zxcc" localSheetId="7" hidden="1">{#N/A,#N/A,FALSE,"Projections";#N/A,#N/A,FALSE,"Contribution_Stock";#N/A,#N/A,FALSE,"PF_Combo_Stock";#N/A,#N/A,FALSE,"Projections";#N/A,#N/A,FALSE,"Contribution_Cash";#N/A,#N/A,FALSE,"PF_Combo_Cash";#N/A,#N/A,FALSE,"IPO_Cash"}</definedName>
    <definedName name="zxcc" localSheetId="6" hidden="1">{#N/A,#N/A,FALSE,"Projections";#N/A,#N/A,FALSE,"Contribution_Stock";#N/A,#N/A,FALSE,"PF_Combo_Stock";#N/A,#N/A,FALSE,"Projections";#N/A,#N/A,FALSE,"Contribution_Cash";#N/A,#N/A,FALSE,"PF_Combo_Cash";#N/A,#N/A,FALSE,"IPO_Cash"}</definedName>
    <definedName name="zxcc" hidden="1">{#N/A,#N/A,FALSE,"Projections";#N/A,#N/A,FALSE,"Contribution_Stock";#N/A,#N/A,FALSE,"PF_Combo_Stock";#N/A,#N/A,FALSE,"Projections";#N/A,#N/A,FALSE,"Contribution_Cash";#N/A,#N/A,FALSE,"PF_Combo_Cash";#N/A,#N/A,FALSE,"IPO_Cash"}</definedName>
    <definedName name="ぁ" localSheetId="7" hidden="1">{"'下期集計（10.27迄・速報値）'!$Q$16"}</definedName>
    <definedName name="ぁ" localSheetId="6" hidden="1">{"'下期集計（10.27迄・速報値）'!$Q$16"}</definedName>
    <definedName name="ぁ" hidden="1">{"'下期集計（10.27迄・速報値）'!$Q$16"}</definedName>
    <definedName name="あ" localSheetId="7" hidden="1">{"'下期集計（10.27迄・速報値）'!$Q$16"}</definedName>
    <definedName name="あ" localSheetId="6" hidden="1">{"'下期集計（10.27迄・速報値）'!$Q$16"}</definedName>
    <definedName name="あ" hidden="1">{"'下期集計（10.27迄・速報値）'!$Q$16"}</definedName>
    <definedName name="あああ" localSheetId="7" hidden="1">{"'下期集計（10.27迄・速報値）'!$Q$16"}</definedName>
    <definedName name="あああ" localSheetId="6" hidden="1">{"'下期集計（10.27迄・速報値）'!$Q$16"}</definedName>
    <definedName name="あああ" hidden="1">{"'下期集計（10.27迄・速報値）'!$Q$16"}</definedName>
    <definedName name="なんで" localSheetId="7" hidden="1">{"'下期集計（10.27迄・速報値）'!$Q$16"}</definedName>
    <definedName name="なんで" localSheetId="6" hidden="1">{"'下期集計（10.27迄・速報値）'!$Q$16"}</definedName>
    <definedName name="なんで" hidden="1">{"'下期集計（10.27迄・速報値）'!$Q$16"}</definedName>
    <definedName name="なんなの" localSheetId="7" hidden="1">{"'下期集計（10.27迄・速報値）'!$Q$16"}</definedName>
    <definedName name="なんなの" localSheetId="6" hidden="1">{"'下期集計（10.27迄・速報値）'!$Q$16"}</definedName>
    <definedName name="なんなの" hidden="1">{"'下期集計（10.27迄・速報値）'!$Q$16"}</definedName>
    <definedName name="경영" localSheetId="7" hidden="1">{"'Sheet1'!$A$1:$H$36"}</definedName>
    <definedName name="경영" localSheetId="6" hidden="1">{"'Sheet1'!$A$1:$H$36"}</definedName>
    <definedName name="경영" hidden="1">{"'Sheet1'!$A$1:$H$36"}</definedName>
    <definedName name="급여1" localSheetId="13" hidden="1">#REF!</definedName>
    <definedName name="급여1" localSheetId="7" hidden="1">#REF!</definedName>
    <definedName name="급여1" localSheetId="12" hidden="1">#REF!</definedName>
    <definedName name="급여1" hidden="1">#REF!</definedName>
    <definedName name="ㅁㅁ" localSheetId="13" hidden="1">[21]FAB별!#REF!</definedName>
    <definedName name="ㅁㅁ" localSheetId="7" hidden="1">[21]FAB별!#REF!</definedName>
    <definedName name="ㅁㅁ" localSheetId="12" hidden="1">[21]FAB별!#REF!</definedName>
    <definedName name="ㅁㅁ" hidden="1">[21]FAB별!#REF!</definedName>
    <definedName name="수정4월25일" localSheetId="7" hidden="1">{"'Sheet1'!$A$1:$H$36"}</definedName>
    <definedName name="수정4월25일" localSheetId="6" hidden="1">{"'Sheet1'!$A$1:$H$36"}</definedName>
    <definedName name="수정4월25일" hidden="1">{"'Sheet1'!$A$1:$H$36"}</definedName>
    <definedName name="이" localSheetId="13" hidden="1">#REF!</definedName>
    <definedName name="이" localSheetId="7" hidden="1">#REF!</definedName>
    <definedName name="이" localSheetId="12" hidden="1">#REF!</definedName>
    <definedName name="이" hidden="1">#REF!</definedName>
    <definedName name="전산장비" localSheetId="7" hidden="1">{"'Sheet1'!$A$1:$H$36"}</definedName>
    <definedName name="전산장비" localSheetId="6" hidden="1">{"'Sheet1'!$A$1:$H$36"}</definedName>
    <definedName name="전산장비" hidden="1">{"'Sheet1'!$A$1:$H$36"}</definedName>
    <definedName name="청" localSheetId="13" hidden="1">#REF!</definedName>
    <definedName name="청" localSheetId="7" hidden="1">#REF!</definedName>
    <definedName name="청" localSheetId="12" hidden="1">#REF!</definedName>
    <definedName name="청" hidden="1">#REF!</definedName>
    <definedName name="표지2" hidden="1">0</definedName>
    <definedName name="年間収支買掛" localSheetId="7" hidden="1">{"'下期集計（10.27迄・速報値）'!$Q$16"}</definedName>
    <definedName name="年間収支買掛" localSheetId="6" hidden="1">{"'下期集計（10.27迄・速報値）'!$Q$16"}</definedName>
    <definedName name="年間収支買掛" hidden="1">{"'下期集計（10.27迄・速報値）'!$Q$16"}</definedName>
    <definedName name="年間資金収支あ" localSheetId="7" hidden="1">{"'下期集計（10.27迄・速報値）'!$Q$16"}</definedName>
    <definedName name="年間資金収支あ" localSheetId="6" hidden="1">{"'下期集計（10.27迄・速報値）'!$Q$16"}</definedName>
    <definedName name="年間資金収支あ" hidden="1">{"'下期集計（10.27迄・速報値）'!$Q$16"}</definedName>
    <definedName name="日繰06" localSheetId="7" hidden="1">{"'下期集計（10.27迄・速報値）'!$Q$16"}</definedName>
    <definedName name="日繰06" localSheetId="6" hidden="1">{"'下期集計（10.27迄・速報値）'!$Q$16"}</definedName>
    <definedName name="日繰06" hidden="1">{"'下期集計（10.27迄・速報値）'!$Q$16"}</definedName>
    <definedName name="要処理資産②" localSheetId="7" hidden="1">{"'下期集計（10.27迄・速報値）'!$Q$16"}</definedName>
    <definedName name="要処理資産②" localSheetId="6" hidden="1">{"'下期集計（10.27迄・速報値）'!$Q$16"}</definedName>
    <definedName name="要処理資産②" hidden="1">{"'下期集計（10.27迄・速報値）'!$Q$16"}</definedName>
    <definedName name="資金" localSheetId="7" hidden="1">{"'下期集計（10.27迄・速報値）'!$Q$16"}</definedName>
    <definedName name="資金" localSheetId="6" hidden="1">{"'下期集計（10.27迄・速報値）'!$Q$16"}</definedName>
    <definedName name="資金" hidden="1">{"'下期集計（10.27迄・速報値）'!$Q$16"}</definedName>
    <definedName name="金利体系" localSheetId="7" hidden="1">{"'下期集計（10.27迄・速報値）'!$Q$16"}</definedName>
    <definedName name="金利体系" localSheetId="6" hidden="1">{"'下期集計（10.27迄・速報値）'!$Q$16"}</definedName>
    <definedName name="金利体系" hidden="1">{"'下期集計（10.27迄・速報値）'!$Q$16"}</definedName>
    <definedName name="関連" localSheetId="7" hidden="1">{"'下期集計（10.27迄・速報値）'!$Q$16"}</definedName>
    <definedName name="関連" localSheetId="6"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85" i="10" l="1"/>
  <c r="AT84" i="10" s="1"/>
  <c r="D13" i="26"/>
  <c r="D10" i="26"/>
  <c r="AS58" i="10" l="1"/>
  <c r="AS61" i="10" s="1"/>
  <c r="AS49" i="10"/>
  <c r="AS52" i="10" s="1"/>
  <c r="AS38" i="10"/>
  <c r="AS36" i="10" s="1"/>
  <c r="AS21" i="10"/>
  <c r="AS26" i="28"/>
  <c r="AS139" i="28" s="1"/>
  <c r="AS8" i="10" s="1"/>
  <c r="AS150" i="28"/>
  <c r="AS14" i="10" s="1"/>
  <c r="AS136" i="28"/>
  <c r="AS133" i="28"/>
  <c r="AS129" i="28"/>
  <c r="AS119" i="28"/>
  <c r="AS112" i="28"/>
  <c r="AS109" i="28"/>
  <c r="AS105" i="28"/>
  <c r="AS104" i="28"/>
  <c r="AS34" i="28" s="1"/>
  <c r="AS101" i="28"/>
  <c r="AS100" i="28"/>
  <c r="AS84" i="28"/>
  <c r="AS83" i="28"/>
  <c r="AS79" i="28"/>
  <c r="AS78" i="28"/>
  <c r="AS77" i="28"/>
  <c r="AS73" i="28"/>
  <c r="AS72" i="28"/>
  <c r="AS71" i="28"/>
  <c r="AS143" i="28"/>
  <c r="AS64" i="28"/>
  <c r="AS63" i="28"/>
  <c r="AS62" i="28"/>
  <c r="AS61" i="28"/>
  <c r="AS56" i="28"/>
  <c r="AS55" i="28"/>
  <c r="AS53" i="28"/>
  <c r="AS52" i="28"/>
  <c r="AS48" i="28"/>
  <c r="AS47" i="28"/>
  <c r="AS46" i="28"/>
  <c r="AS42" i="28"/>
  <c r="AS41" i="28"/>
  <c r="AS40" i="28"/>
  <c r="AS38" i="28"/>
  <c r="AS37" i="28"/>
  <c r="AS36" i="28"/>
  <c r="AS22" i="28"/>
  <c r="AS21" i="28"/>
  <c r="AS17" i="28"/>
  <c r="AS16" i="28"/>
  <c r="AS15" i="28"/>
  <c r="AS13" i="28"/>
  <c r="AS12" i="28"/>
  <c r="AS8" i="28"/>
  <c r="AS7" i="28"/>
  <c r="AS6" i="28"/>
  <c r="AS5" i="28"/>
  <c r="AS83" i="12"/>
  <c r="AS72" i="12"/>
  <c r="AS50" i="12"/>
  <c r="AS4" i="12"/>
  <c r="AS55" i="11"/>
  <c r="AS32" i="11"/>
  <c r="AS39" i="11" s="1"/>
  <c r="AS14" i="11"/>
  <c r="AS20" i="11" s="1"/>
  <c r="AS4" i="11"/>
  <c r="AS92" i="10"/>
  <c r="AS28" i="10"/>
  <c r="AS30" i="10" s="1"/>
  <c r="AS2" i="10"/>
  <c r="AS23" i="28" l="1"/>
  <c r="AS29" i="28"/>
  <c r="AS59" i="28"/>
  <c r="AS40" i="10"/>
  <c r="AS3" i="28"/>
  <c r="AS93" i="28" s="1"/>
  <c r="AS154" i="28"/>
  <c r="AS5" i="10"/>
  <c r="AS147" i="28"/>
  <c r="AS85" i="28"/>
  <c r="AS115" i="28"/>
  <c r="AS44" i="11"/>
  <c r="AS45" i="11" s="1"/>
  <c r="AS15" i="10"/>
  <c r="AF56" i="28"/>
  <c r="AE56" i="28"/>
  <c r="AD56" i="28"/>
  <c r="AC56" i="28"/>
  <c r="AK56" i="28"/>
  <c r="AJ56" i="28"/>
  <c r="AI56" i="28"/>
  <c r="AH56" i="28"/>
  <c r="AM56" i="28"/>
  <c r="AN56" i="28"/>
  <c r="AO56" i="28"/>
  <c r="AP56" i="28"/>
  <c r="AR56" i="28"/>
  <c r="AS128" i="28" l="1"/>
  <c r="AS151" i="28"/>
  <c r="AS140" i="28"/>
  <c r="AS11" i="10"/>
  <c r="AS144" i="28"/>
  <c r="AS123" i="28"/>
  <c r="AS116" i="28" s="1"/>
  <c r="AS89" i="28"/>
  <c r="G9" i="35"/>
  <c r="H9" i="35"/>
  <c r="I9" i="35"/>
  <c r="J9" i="35"/>
  <c r="D78" i="24"/>
  <c r="D77" i="24"/>
  <c r="D73" i="24"/>
  <c r="D72" i="24"/>
  <c r="D69" i="24"/>
  <c r="D64" i="24"/>
  <c r="D63" i="24"/>
  <c r="D60" i="24"/>
  <c r="D59" i="24"/>
  <c r="D56" i="24"/>
  <c r="D50" i="24"/>
  <c r="D49" i="24"/>
  <c r="D45" i="24"/>
  <c r="D44" i="24"/>
  <c r="D42" i="24"/>
  <c r="D41" i="24"/>
  <c r="D35" i="24"/>
  <c r="D31" i="24"/>
  <c r="D7" i="24"/>
  <c r="D4" i="24"/>
  <c r="G85" i="24"/>
  <c r="G78" i="24"/>
  <c r="G77" i="24"/>
  <c r="G73" i="24"/>
  <c r="G72" i="24"/>
  <c r="G69" i="24"/>
  <c r="G64" i="24"/>
  <c r="G63" i="24"/>
  <c r="G60" i="24"/>
  <c r="G59" i="24"/>
  <c r="G56" i="24"/>
  <c r="G50" i="24"/>
  <c r="G49" i="24"/>
  <c r="G45" i="24"/>
  <c r="G44" i="24"/>
  <c r="G42" i="24"/>
  <c r="G41" i="24"/>
  <c r="G35" i="24"/>
  <c r="G31" i="24"/>
  <c r="G16" i="24"/>
  <c r="G15" i="24"/>
  <c r="G4" i="24"/>
  <c r="K81" i="24"/>
  <c r="K74" i="24"/>
  <c r="K72" i="24"/>
  <c r="K70" i="24"/>
  <c r="K67" i="24"/>
  <c r="K61" i="24"/>
  <c r="K59" i="24"/>
  <c r="K53" i="24"/>
  <c r="K46" i="24"/>
  <c r="K44" i="24"/>
  <c r="K35" i="24"/>
  <c r="K4" i="24"/>
  <c r="AP67" i="28"/>
  <c r="AP68" i="28" s="1"/>
  <c r="AP51" i="28"/>
  <c r="AP26" i="28"/>
  <c r="AS17" i="10" l="1"/>
  <c r="AS63" i="11" s="1"/>
  <c r="AS120" i="28"/>
  <c r="AO67" i="28"/>
  <c r="AO51" i="28"/>
  <c r="AO26" i="28"/>
  <c r="AN67" i="28"/>
  <c r="AN26" i="28"/>
  <c r="AM67" i="28"/>
  <c r="AM26" i="28"/>
  <c r="AR26" i="28"/>
  <c r="AR67" i="28"/>
  <c r="D57" i="24" l="1"/>
  <c r="AS27" i="28"/>
  <c r="G57" i="24"/>
  <c r="AS28" i="28"/>
  <c r="D84" i="24"/>
  <c r="AS68" i="28"/>
  <c r="G84" i="24"/>
  <c r="AS69" i="28"/>
  <c r="AS22" i="10"/>
  <c r="AS42" i="10" s="1"/>
  <c r="AS35" i="10"/>
  <c r="AS69" i="11"/>
  <c r="AS62" i="11"/>
  <c r="AS60" i="11"/>
  <c r="AS64" i="11"/>
  <c r="AS68" i="11"/>
  <c r="AS39" i="10"/>
  <c r="AS37" i="10"/>
  <c r="AS51" i="10"/>
  <c r="AS70" i="11"/>
  <c r="AS51" i="11"/>
  <c r="AS72" i="11"/>
  <c r="AS29" i="10"/>
  <c r="AS73" i="11"/>
  <c r="AS67" i="11"/>
  <c r="AS27" i="10"/>
  <c r="AS53" i="11"/>
  <c r="AS33" i="10"/>
  <c r="AS71" i="11"/>
  <c r="AS61" i="11"/>
  <c r="AS31" i="10"/>
  <c r="G34" i="34"/>
  <c r="F34" i="34"/>
  <c r="E34" i="34"/>
  <c r="D34" i="34"/>
  <c r="L34" i="34"/>
  <c r="K34" i="34"/>
  <c r="J34" i="34"/>
  <c r="I34" i="34"/>
  <c r="N34" i="34"/>
  <c r="V34" i="34"/>
  <c r="U34" i="34"/>
  <c r="T34" i="34"/>
  <c r="S34" i="34"/>
  <c r="G28" i="34"/>
  <c r="F28" i="34"/>
  <c r="E28" i="34"/>
  <c r="D28" i="34"/>
  <c r="L28" i="34"/>
  <c r="K28" i="34"/>
  <c r="J28" i="34"/>
  <c r="I28" i="34"/>
  <c r="N28" i="34"/>
  <c r="V28" i="34"/>
  <c r="U28" i="34"/>
  <c r="BA12" i="34"/>
  <c r="BA13" i="34" s="1"/>
  <c r="AU14" i="34"/>
  <c r="AT14" i="34"/>
  <c r="AS14" i="34"/>
  <c r="AR14" i="34"/>
  <c r="AP14" i="34"/>
  <c r="AO14" i="34"/>
  <c r="AN14" i="34"/>
  <c r="AM14" i="34"/>
  <c r="AJ14" i="34"/>
  <c r="AI14" i="34"/>
  <c r="AH14" i="34"/>
  <c r="AE14" i="34"/>
  <c r="AE15" i="34" s="1"/>
  <c r="AD14" i="34"/>
  <c r="AD15" i="34" s="1"/>
  <c r="AC14" i="34"/>
  <c r="Y14" i="34"/>
  <c r="Y15" i="34" s="1"/>
  <c r="Z14" i="34"/>
  <c r="Z15" i="34" s="1"/>
  <c r="X14" i="34"/>
  <c r="AU12" i="34"/>
  <c r="AT12" i="34"/>
  <c r="AS12" i="34"/>
  <c r="AZ14" i="34"/>
  <c r="AY14" i="34"/>
  <c r="AX14" i="34"/>
  <c r="AW14" i="34"/>
  <c r="V14" i="34"/>
  <c r="U14" i="34"/>
  <c r="T14" i="34"/>
  <c r="S14" i="34"/>
  <c r="Q14" i="34"/>
  <c r="P14" i="34"/>
  <c r="O14" i="34"/>
  <c r="N14" i="34"/>
  <c r="L14" i="34"/>
  <c r="K14" i="34"/>
  <c r="J14" i="34"/>
  <c r="AR36" i="34"/>
  <c r="AP36" i="34"/>
  <c r="AO36" i="34"/>
  <c r="AO34" i="34" s="1"/>
  <c r="AN36" i="34"/>
  <c r="AN34" i="34" s="1"/>
  <c r="AM36" i="34"/>
  <c r="AM34" i="34" s="1"/>
  <c r="AK36" i="34"/>
  <c r="AI36" i="34"/>
  <c r="AI34" i="34" s="1"/>
  <c r="AH36" i="34"/>
  <c r="AH34" i="34" s="1"/>
  <c r="AF36" i="34"/>
  <c r="AE36" i="34"/>
  <c r="AD36" i="34"/>
  <c r="AA36" i="34"/>
  <c r="AA37" i="34" s="1"/>
  <c r="Z36" i="34"/>
  <c r="Z37" i="34" s="1"/>
  <c r="Y36" i="34"/>
  <c r="Y34" i="34" s="1"/>
  <c r="X36" i="34"/>
  <c r="W36" i="34"/>
  <c r="Q36" i="34"/>
  <c r="Q34" i="34" s="1"/>
  <c r="P36" i="34"/>
  <c r="P34" i="34" s="1"/>
  <c r="O36" i="34"/>
  <c r="O34" i="34" s="1"/>
  <c r="M36" i="34"/>
  <c r="H36" i="34"/>
  <c r="BA34" i="34"/>
  <c r="BA35" i="34" s="1"/>
  <c r="AJ34" i="34"/>
  <c r="AC34" i="34"/>
  <c r="AE33" i="34"/>
  <c r="AD33" i="34"/>
  <c r="Z33" i="34"/>
  <c r="Y33" i="34"/>
  <c r="BA32" i="34"/>
  <c r="AV32" i="34"/>
  <c r="AQ32" i="34"/>
  <c r="AK32" i="34"/>
  <c r="AL32" i="34" s="1"/>
  <c r="AF32" i="34"/>
  <c r="AG32" i="34" s="1"/>
  <c r="AA32" i="34"/>
  <c r="AA33" i="34" s="1"/>
  <c r="AN30" i="34"/>
  <c r="AI30" i="34"/>
  <c r="AH30" i="34"/>
  <c r="AF30" i="34"/>
  <c r="AE30" i="34"/>
  <c r="AE31" i="34" s="1"/>
  <c r="AD30" i="34"/>
  <c r="AD31" i="34" s="1"/>
  <c r="AA30" i="34"/>
  <c r="Z30" i="34"/>
  <c r="Y30" i="34"/>
  <c r="X30" i="34"/>
  <c r="T30" i="34"/>
  <c r="T28" i="34" s="1"/>
  <c r="S30" i="34"/>
  <c r="S28" i="34" s="1"/>
  <c r="Q30" i="34"/>
  <c r="Q28" i="34" s="1"/>
  <c r="P30" i="34"/>
  <c r="P28" i="34" s="1"/>
  <c r="O30" i="34"/>
  <c r="O28" i="34" s="1"/>
  <c r="M30" i="34"/>
  <c r="H30" i="34"/>
  <c r="BA28" i="34"/>
  <c r="BA26" i="34"/>
  <c r="AR26" i="34"/>
  <c r="AR12" i="34" s="1"/>
  <c r="AP26" i="34"/>
  <c r="AP28" i="34" s="1"/>
  <c r="AO26" i="34"/>
  <c r="AO28" i="34" s="1"/>
  <c r="AN26" i="34"/>
  <c r="AN12" i="34" s="1"/>
  <c r="AM26" i="34"/>
  <c r="AM28" i="34" s="1"/>
  <c r="AK26" i="34"/>
  <c r="AK28" i="34" s="1"/>
  <c r="AJ26" i="34"/>
  <c r="AJ12" i="34" s="1"/>
  <c r="AI26" i="34"/>
  <c r="AI12" i="34" s="1"/>
  <c r="AH26" i="34"/>
  <c r="AH12" i="34" s="1"/>
  <c r="AF26" i="34"/>
  <c r="AF27" i="34" s="1"/>
  <c r="AE26" i="34"/>
  <c r="AE12" i="34" s="1"/>
  <c r="AD26" i="34"/>
  <c r="AD12" i="34" s="1"/>
  <c r="AC26" i="34"/>
  <c r="AC12" i="34" s="1"/>
  <c r="AA26" i="34"/>
  <c r="AA27" i="34" s="1"/>
  <c r="AN24" i="34"/>
  <c r="AI24" i="34"/>
  <c r="AH24" i="34"/>
  <c r="AF24" i="34"/>
  <c r="AE24" i="34"/>
  <c r="AD24" i="34"/>
  <c r="AA24" i="34"/>
  <c r="Z24" i="34"/>
  <c r="Y24" i="34"/>
  <c r="X24" i="34"/>
  <c r="T24" i="34"/>
  <c r="S24" i="34"/>
  <c r="Q24" i="34"/>
  <c r="P24" i="34"/>
  <c r="O24" i="34"/>
  <c r="M24" i="34"/>
  <c r="H24" i="34"/>
  <c r="AR19" i="34"/>
  <c r="AP19" i="34"/>
  <c r="AO19" i="34"/>
  <c r="AN19" i="34"/>
  <c r="AM19" i="34"/>
  <c r="AK19" i="34"/>
  <c r="AJ19" i="34"/>
  <c r="AI19" i="34"/>
  <c r="AH19" i="34"/>
  <c r="AF19" i="34"/>
  <c r="AE19" i="34"/>
  <c r="AD19" i="34"/>
  <c r="AC19" i="34"/>
  <c r="AA19" i="34"/>
  <c r="Z19" i="34"/>
  <c r="Y19" i="34"/>
  <c r="X19" i="34"/>
  <c r="V19" i="34"/>
  <c r="U19" i="34"/>
  <c r="T19" i="34"/>
  <c r="S19" i="34"/>
  <c r="Q19" i="34"/>
  <c r="P19" i="34"/>
  <c r="O19" i="34"/>
  <c r="M19" i="34"/>
  <c r="H19" i="34"/>
  <c r="AF11" i="34"/>
  <c r="AE11" i="34"/>
  <c r="AA11" i="34"/>
  <c r="Z11" i="34"/>
  <c r="AF10" i="34"/>
  <c r="AE10" i="34"/>
  <c r="AD10" i="34"/>
  <c r="G9" i="34"/>
  <c r="G16" i="34" s="1"/>
  <c r="F9" i="34"/>
  <c r="F31" i="34" s="1"/>
  <c r="E9" i="34"/>
  <c r="E16" i="34" s="1"/>
  <c r="D9" i="34"/>
  <c r="D16" i="34" s="1"/>
  <c r="Z7" i="34"/>
  <c r="Y7" i="34"/>
  <c r="X7" i="34"/>
  <c r="V7" i="34"/>
  <c r="U7" i="34"/>
  <c r="U9" i="34" s="1"/>
  <c r="T7" i="34"/>
  <c r="T9" i="34" s="1"/>
  <c r="S7" i="34"/>
  <c r="Q7" i="34"/>
  <c r="P7" i="34"/>
  <c r="P9" i="34" s="1"/>
  <c r="P16" i="34" s="1"/>
  <c r="O7" i="34"/>
  <c r="O9" i="34" s="1"/>
  <c r="O16" i="34" s="1"/>
  <c r="N7" i="34"/>
  <c r="L7" i="34"/>
  <c r="L9" i="34" s="1"/>
  <c r="K7" i="34"/>
  <c r="K9" i="34" s="1"/>
  <c r="J7" i="34"/>
  <c r="J8" i="34" s="1"/>
  <c r="I7" i="34"/>
  <c r="I9" i="34" s="1"/>
  <c r="I16" i="34" s="1"/>
  <c r="H7" i="34"/>
  <c r="H9" i="34" s="1"/>
  <c r="AF6" i="34"/>
  <c r="AA6" i="34"/>
  <c r="V6" i="34"/>
  <c r="U6" i="34"/>
  <c r="T6" i="34"/>
  <c r="S6" i="34"/>
  <c r="Q6" i="34"/>
  <c r="P6" i="34"/>
  <c r="O6" i="34"/>
  <c r="N6" i="34"/>
  <c r="L6" i="34"/>
  <c r="K6" i="34"/>
  <c r="J6" i="34"/>
  <c r="I6" i="34"/>
  <c r="AH6" i="34"/>
  <c r="Z6" i="34"/>
  <c r="AZ2" i="34"/>
  <c r="AY2" i="34"/>
  <c r="AX2" i="34"/>
  <c r="AW2" i="34"/>
  <c r="AU2" i="34"/>
  <c r="AT2" i="34"/>
  <c r="AS2" i="34"/>
  <c r="AR2" i="34"/>
  <c r="AP2" i="34"/>
  <c r="AO2" i="34"/>
  <c r="AN2" i="34"/>
  <c r="AM2" i="34"/>
  <c r="AK2" i="34"/>
  <c r="AJ2" i="34"/>
  <c r="AI2" i="34"/>
  <c r="AH2" i="34"/>
  <c r="AF2" i="34"/>
  <c r="AE2" i="34"/>
  <c r="AD2" i="34"/>
  <c r="AC2" i="34"/>
  <c r="AA2" i="34"/>
  <c r="Z2" i="34"/>
  <c r="Y2" i="34"/>
  <c r="X2" i="34"/>
  <c r="V2" i="34"/>
  <c r="U2" i="34"/>
  <c r="T2" i="34"/>
  <c r="S2" i="34"/>
  <c r="Q2" i="34"/>
  <c r="P2" i="34"/>
  <c r="O2" i="34"/>
  <c r="N2" i="34"/>
  <c r="L2" i="34"/>
  <c r="K2" i="34"/>
  <c r="J2" i="34"/>
  <c r="I2" i="34"/>
  <c r="G2" i="34"/>
  <c r="F2" i="34"/>
  <c r="E2" i="34"/>
  <c r="D2" i="34"/>
  <c r="AJ36" i="10"/>
  <c r="AC36" i="10"/>
  <c r="AA34" i="10"/>
  <c r="AA35" i="10" s="1"/>
  <c r="AA28" i="10"/>
  <c r="AA29" i="10" s="1"/>
  <c r="AF28" i="10"/>
  <c r="AF29" i="10" s="1"/>
  <c r="AE28" i="10"/>
  <c r="Y28" i="10" s="1"/>
  <c r="Y29" i="10" s="1"/>
  <c r="AD28" i="10"/>
  <c r="AD29" i="10" s="1"/>
  <c r="AC28" i="10"/>
  <c r="X28" i="10" s="1"/>
  <c r="AK28" i="10"/>
  <c r="AK30" i="10" s="1"/>
  <c r="AJ28" i="10"/>
  <c r="AI28" i="10"/>
  <c r="AH28" i="10"/>
  <c r="AR28" i="10"/>
  <c r="AP28" i="10"/>
  <c r="AP30" i="10" s="1"/>
  <c r="AO28" i="10"/>
  <c r="AO30" i="10" s="1"/>
  <c r="AN28" i="10"/>
  <c r="AM28" i="10"/>
  <c r="AM30" i="10" s="1"/>
  <c r="G2" i="10"/>
  <c r="F2" i="10"/>
  <c r="E2" i="10"/>
  <c r="D2" i="10"/>
  <c r="L2" i="10"/>
  <c r="K2" i="10"/>
  <c r="J2" i="10"/>
  <c r="I2" i="10"/>
  <c r="Q2" i="10"/>
  <c r="P2" i="10"/>
  <c r="O2" i="10"/>
  <c r="N2" i="10"/>
  <c r="AZ2" i="10"/>
  <c r="AY2" i="10"/>
  <c r="AX2" i="10"/>
  <c r="AW2" i="10"/>
  <c r="AU2" i="10"/>
  <c r="AT2" i="10"/>
  <c r="AR2" i="10"/>
  <c r="AP2" i="10"/>
  <c r="AO2" i="10"/>
  <c r="AN2" i="10"/>
  <c r="AM2" i="10"/>
  <c r="AK2" i="10"/>
  <c r="AJ2" i="10"/>
  <c r="AI2" i="10"/>
  <c r="AH2" i="10"/>
  <c r="AF2" i="10"/>
  <c r="AE2" i="10"/>
  <c r="AD2" i="10"/>
  <c r="AC2" i="10"/>
  <c r="AA2" i="10"/>
  <c r="Z2" i="10"/>
  <c r="Y2" i="10"/>
  <c r="X2" i="10"/>
  <c r="S2" i="10"/>
  <c r="T2" i="10"/>
  <c r="U2" i="10"/>
  <c r="V2" i="10"/>
  <c r="AF34" i="10"/>
  <c r="AF35" i="10" s="1"/>
  <c r="AK34" i="10"/>
  <c r="AL34" i="10" s="1"/>
  <c r="AE35" i="10"/>
  <c r="AD35" i="10"/>
  <c r="Z35" i="10"/>
  <c r="Y35" i="10"/>
  <c r="I38" i="34" l="1"/>
  <c r="AS23" i="10"/>
  <c r="AS43" i="10"/>
  <c r="AS54" i="10"/>
  <c r="AS66" i="10"/>
  <c r="K9" i="35"/>
  <c r="H34" i="34"/>
  <c r="G38" i="34"/>
  <c r="I29" i="34"/>
  <c r="AG28" i="10"/>
  <c r="AB28" i="10" s="1"/>
  <c r="F38" i="34"/>
  <c r="P20" i="34"/>
  <c r="P21" i="34" s="1"/>
  <c r="AR30" i="10"/>
  <c r="U38" i="34"/>
  <c r="V38" i="34"/>
  <c r="AE29" i="10"/>
  <c r="AQ28" i="10"/>
  <c r="Z28" i="10"/>
  <c r="Z29" i="10" s="1"/>
  <c r="AC30" i="10"/>
  <c r="AJ30" i="10"/>
  <c r="K16" i="34"/>
  <c r="K20" i="34" s="1"/>
  <c r="K21" i="34" s="1"/>
  <c r="F16" i="34"/>
  <c r="F29" i="34" s="1"/>
  <c r="P29" i="34"/>
  <c r="D35" i="34"/>
  <c r="P35" i="34"/>
  <c r="E38" i="34"/>
  <c r="O29" i="34"/>
  <c r="I25" i="34"/>
  <c r="L16" i="34"/>
  <c r="L20" i="34" s="1"/>
  <c r="L21" i="34" s="1"/>
  <c r="P38" i="34"/>
  <c r="AM38" i="34"/>
  <c r="Q38" i="34"/>
  <c r="AO38" i="34"/>
  <c r="AP12" i="34"/>
  <c r="O35" i="34"/>
  <c r="I35" i="34"/>
  <c r="Z10" i="34"/>
  <c r="U16" i="34"/>
  <c r="U29" i="34" s="1"/>
  <c r="E20" i="34"/>
  <c r="E21" i="34" s="1"/>
  <c r="E29" i="34"/>
  <c r="E25" i="34"/>
  <c r="K38" i="34"/>
  <c r="L38" i="34"/>
  <c r="S38" i="34"/>
  <c r="E35" i="34"/>
  <c r="J38" i="34"/>
  <c r="T38" i="34"/>
  <c r="O20" i="34"/>
  <c r="O21" i="34" s="1"/>
  <c r="O25" i="34"/>
  <c r="T37" i="34"/>
  <c r="T16" i="34"/>
  <c r="T20" i="34" s="1"/>
  <c r="T21" i="34" s="1"/>
  <c r="D20" i="34"/>
  <c r="D21" i="34" s="1"/>
  <c r="D25" i="34"/>
  <c r="O38" i="34"/>
  <c r="G29" i="34"/>
  <c r="G25" i="34"/>
  <c r="G20" i="34"/>
  <c r="G21" i="34" s="1"/>
  <c r="D38" i="34"/>
  <c r="D29" i="34"/>
  <c r="G35" i="34"/>
  <c r="I20" i="34"/>
  <c r="I21" i="34" s="1"/>
  <c r="R34" i="34"/>
  <c r="N38" i="34"/>
  <c r="W30" i="34"/>
  <c r="R28" i="34"/>
  <c r="P25" i="34"/>
  <c r="AA12" i="34"/>
  <c r="AA13" i="34" s="1"/>
  <c r="M34" i="34"/>
  <c r="R36" i="34"/>
  <c r="AF14" i="34"/>
  <c r="AF15" i="34" s="1"/>
  <c r="M28" i="34"/>
  <c r="AD16" i="34"/>
  <c r="AD20" i="34" s="1"/>
  <c r="AD21" i="34" s="1"/>
  <c r="AE16" i="34"/>
  <c r="AE20" i="34" s="1"/>
  <c r="AE21" i="34" s="1"/>
  <c r="AK14" i="34"/>
  <c r="AL14" i="34" s="1"/>
  <c r="W34" i="34"/>
  <c r="AE13" i="34"/>
  <c r="W28" i="34"/>
  <c r="H28" i="34"/>
  <c r="AA14" i="34"/>
  <c r="AA15" i="34" s="1"/>
  <c r="AD13" i="34"/>
  <c r="AK12" i="34"/>
  <c r="R14" i="34"/>
  <c r="AM12" i="34"/>
  <c r="AF12" i="34"/>
  <c r="AO12" i="34"/>
  <c r="AV12" i="34"/>
  <c r="AV13" i="34" s="1"/>
  <c r="W14" i="34"/>
  <c r="AV14" i="34"/>
  <c r="AV15" i="34" s="1"/>
  <c r="M14" i="34"/>
  <c r="BA14" i="34"/>
  <c r="BA15" i="34" s="1"/>
  <c r="AQ14" i="34"/>
  <c r="I8" i="34"/>
  <c r="AG19" i="34"/>
  <c r="AI6" i="34"/>
  <c r="AO27" i="34"/>
  <c r="AR27" i="34"/>
  <c r="AH28" i="34"/>
  <c r="AH38" i="34" s="1"/>
  <c r="T8" i="34"/>
  <c r="AK34" i="34"/>
  <c r="Y8" i="34"/>
  <c r="U8" i="34"/>
  <c r="AI28" i="34"/>
  <c r="AI38" i="34" s="1"/>
  <c r="AF28" i="34"/>
  <c r="Z8" i="34"/>
  <c r="AF33" i="34"/>
  <c r="AB36" i="34"/>
  <c r="Z34" i="34"/>
  <c r="AQ19" i="34"/>
  <c r="O37" i="34"/>
  <c r="AB24" i="34"/>
  <c r="R30" i="34"/>
  <c r="AB32" i="34"/>
  <c r="AA34" i="34"/>
  <c r="AL30" i="34"/>
  <c r="AL36" i="34"/>
  <c r="AI27" i="34"/>
  <c r="N9" i="34"/>
  <c r="N16" i="34" s="1"/>
  <c r="Y37" i="34"/>
  <c r="AL19" i="34"/>
  <c r="U31" i="34"/>
  <c r="Y10" i="34"/>
  <c r="U11" i="34"/>
  <c r="I10" i="34"/>
  <c r="M6" i="34"/>
  <c r="T31" i="34"/>
  <c r="W6" i="34"/>
  <c r="E31" i="34"/>
  <c r="G31" i="34"/>
  <c r="H31" i="34"/>
  <c r="H37" i="34"/>
  <c r="R6" i="34"/>
  <c r="E11" i="34"/>
  <c r="Y6" i="34"/>
  <c r="K31" i="34"/>
  <c r="K37" i="34"/>
  <c r="AQ26" i="34"/>
  <c r="AG30" i="34"/>
  <c r="Q9" i="34"/>
  <c r="Q16" i="34" s="1"/>
  <c r="Q25" i="34" s="1"/>
  <c r="AR28" i="34"/>
  <c r="AV26" i="34"/>
  <c r="K10" i="34"/>
  <c r="Z26" i="34"/>
  <c r="Z12" i="34" s="1"/>
  <c r="Y26" i="34"/>
  <c r="AE28" i="34"/>
  <c r="P10" i="34"/>
  <c r="P31" i="34"/>
  <c r="U10" i="34"/>
  <c r="AF31" i="34"/>
  <c r="V9" i="34"/>
  <c r="V16" i="34" s="1"/>
  <c r="V8" i="34"/>
  <c r="AL24" i="34"/>
  <c r="P11" i="34"/>
  <c r="AB19" i="34"/>
  <c r="W24" i="34"/>
  <c r="R19" i="34"/>
  <c r="L37" i="34"/>
  <c r="L10" i="34"/>
  <c r="F37" i="34"/>
  <c r="G11" i="34"/>
  <c r="F11" i="34"/>
  <c r="AD28" i="34"/>
  <c r="AP34" i="34"/>
  <c r="AC28" i="34"/>
  <c r="AC38" i="34" s="1"/>
  <c r="AC27" i="34"/>
  <c r="X26" i="34"/>
  <c r="AG26" i="34"/>
  <c r="AR34" i="34"/>
  <c r="AD37" i="34"/>
  <c r="AD34" i="34"/>
  <c r="AG36" i="34"/>
  <c r="AE34" i="34"/>
  <c r="AE37" i="34"/>
  <c r="AF34" i="34"/>
  <c r="AF37" i="34"/>
  <c r="AN27" i="34"/>
  <c r="L11" i="34"/>
  <c r="W7" i="34"/>
  <c r="J9" i="34"/>
  <c r="J16" i="34" s="1"/>
  <c r="J29" i="34" s="1"/>
  <c r="M7" i="34"/>
  <c r="AQ24" i="34"/>
  <c r="K8" i="34"/>
  <c r="AA31" i="34"/>
  <c r="AA28" i="34"/>
  <c r="X6" i="34"/>
  <c r="X9" i="34"/>
  <c r="Q8" i="34"/>
  <c r="L31" i="34"/>
  <c r="W19" i="34"/>
  <c r="AN28" i="34"/>
  <c r="AQ28" i="34" s="1"/>
  <c r="AQ30" i="34"/>
  <c r="P37" i="34"/>
  <c r="D37" i="34"/>
  <c r="U37" i="34"/>
  <c r="AL26" i="34"/>
  <c r="AC6" i="34"/>
  <c r="P8" i="34"/>
  <c r="E37" i="34"/>
  <c r="R7" i="34"/>
  <c r="AG24" i="34"/>
  <c r="AB30" i="34"/>
  <c r="AQ36" i="34"/>
  <c r="AJ27" i="34"/>
  <c r="S9" i="34"/>
  <c r="S16" i="34" s="1"/>
  <c r="S35" i="34" s="1"/>
  <c r="S8" i="34"/>
  <c r="N8" i="34"/>
  <c r="I37" i="34"/>
  <c r="I31" i="34"/>
  <c r="AH27" i="34"/>
  <c r="D31" i="34"/>
  <c r="X34" i="34"/>
  <c r="T10" i="34"/>
  <c r="O8" i="34"/>
  <c r="I11" i="34"/>
  <c r="Y31" i="34"/>
  <c r="AJ28" i="34"/>
  <c r="AJ38" i="34" s="1"/>
  <c r="Z31" i="34"/>
  <c r="L8" i="34"/>
  <c r="X8" i="34"/>
  <c r="R24" i="34"/>
  <c r="O31" i="34"/>
  <c r="G37" i="34"/>
  <c r="AL28" i="10"/>
  <c r="AG34" i="10"/>
  <c r="AB34" i="10"/>
  <c r="AQ34" i="10"/>
  <c r="D17" i="26"/>
  <c r="E17" i="26"/>
  <c r="F17" i="26"/>
  <c r="G17" i="26"/>
  <c r="H17" i="26"/>
  <c r="I17" i="26"/>
  <c r="J17" i="26"/>
  <c r="K17" i="26"/>
  <c r="L17" i="26"/>
  <c r="M17" i="26"/>
  <c r="N17" i="26"/>
  <c r="O17" i="26"/>
  <c r="P17" i="26"/>
  <c r="Q17" i="26"/>
  <c r="R17" i="26"/>
  <c r="S17" i="26"/>
  <c r="T17" i="26"/>
  <c r="U17" i="26"/>
  <c r="V17" i="26"/>
  <c r="W17" i="26"/>
  <c r="X17" i="26"/>
  <c r="Y17" i="26"/>
  <c r="Z17" i="26"/>
  <c r="AA17" i="26"/>
  <c r="AB17" i="26"/>
  <c r="AC17" i="26"/>
  <c r="AD17" i="26"/>
  <c r="AE17" i="26"/>
  <c r="AF17" i="26"/>
  <c r="AG17" i="26"/>
  <c r="F35" i="34" l="1"/>
  <c r="K35" i="34"/>
  <c r="AS69" i="10"/>
  <c r="AS68" i="10"/>
  <c r="AS55" i="10"/>
  <c r="AS72" i="10"/>
  <c r="L35" i="34"/>
  <c r="AD38" i="34"/>
  <c r="AD40" i="34" s="1"/>
  <c r="AD41" i="34" s="1"/>
  <c r="L40" i="34"/>
  <c r="L41" i="34" s="1"/>
  <c r="H16" i="34"/>
  <c r="H25" i="34" s="1"/>
  <c r="F25" i="34"/>
  <c r="K25" i="34"/>
  <c r="F20" i="34"/>
  <c r="F21" i="34" s="1"/>
  <c r="K29" i="34"/>
  <c r="M16" i="34"/>
  <c r="M29" i="34" s="1"/>
  <c r="AA38" i="34"/>
  <c r="AE35" i="34"/>
  <c r="T29" i="34"/>
  <c r="AN38" i="34"/>
  <c r="L29" i="34"/>
  <c r="AE38" i="34"/>
  <c r="AE40" i="34" s="1"/>
  <c r="AE41" i="34" s="1"/>
  <c r="L25" i="34"/>
  <c r="V29" i="34"/>
  <c r="V20" i="34"/>
  <c r="V21" i="34" s="1"/>
  <c r="V25" i="34"/>
  <c r="H38" i="34"/>
  <c r="S25" i="34"/>
  <c r="S29" i="34"/>
  <c r="T35" i="34"/>
  <c r="AL34" i="34"/>
  <c r="AK38" i="34"/>
  <c r="T25" i="34"/>
  <c r="V35" i="34"/>
  <c r="AR38" i="34"/>
  <c r="AB14" i="34"/>
  <c r="AA16" i="34"/>
  <c r="AA20" i="34" s="1"/>
  <c r="R38" i="34"/>
  <c r="Q20" i="34"/>
  <c r="Q21" i="34" s="1"/>
  <c r="Q29" i="34"/>
  <c r="S20" i="34"/>
  <c r="S21" i="34" s="1"/>
  <c r="W16" i="34"/>
  <c r="W20" i="34" s="1"/>
  <c r="W21" i="34" s="1"/>
  <c r="AQ34" i="34"/>
  <c r="J20" i="34"/>
  <c r="J21" i="34" s="1"/>
  <c r="J25" i="34"/>
  <c r="E40" i="34"/>
  <c r="E41" i="34" s="1"/>
  <c r="W38" i="34"/>
  <c r="N29" i="34"/>
  <c r="N20" i="34"/>
  <c r="N21" i="34" s="1"/>
  <c r="N25" i="34"/>
  <c r="AP38" i="34"/>
  <c r="U20" i="34"/>
  <c r="U21" i="34" s="1"/>
  <c r="U25" i="34"/>
  <c r="AD35" i="34"/>
  <c r="AG14" i="34"/>
  <c r="R16" i="34"/>
  <c r="R20" i="34" s="1"/>
  <c r="R21" i="34" s="1"/>
  <c r="N35" i="34"/>
  <c r="U35" i="34"/>
  <c r="AF38" i="34"/>
  <c r="M38" i="34"/>
  <c r="J35" i="34"/>
  <c r="Q35" i="34"/>
  <c r="AE17" i="34"/>
  <c r="AE25" i="34"/>
  <c r="AE29" i="34"/>
  <c r="AD17" i="34"/>
  <c r="AD29" i="34"/>
  <c r="AD25" i="34"/>
  <c r="AF13" i="34"/>
  <c r="AF16" i="34"/>
  <c r="AF35" i="34" s="1"/>
  <c r="Y27" i="34"/>
  <c r="Y12" i="34"/>
  <c r="X15" i="34"/>
  <c r="X27" i="34"/>
  <c r="X12" i="34"/>
  <c r="X13" i="34" s="1"/>
  <c r="Z13" i="34"/>
  <c r="Z16" i="34"/>
  <c r="Z35" i="34" s="1"/>
  <c r="AD6" i="34"/>
  <c r="AD27" i="34"/>
  <c r="AT6" i="34"/>
  <c r="N11" i="34"/>
  <c r="X28" i="34"/>
  <c r="X38" i="34" s="1"/>
  <c r="O11" i="34"/>
  <c r="N37" i="34"/>
  <c r="AM27" i="34"/>
  <c r="AV27" i="34"/>
  <c r="N10" i="34"/>
  <c r="N31" i="34"/>
  <c r="O10" i="34"/>
  <c r="T40" i="34"/>
  <c r="T41" i="34" s="1"/>
  <c r="K11" i="34"/>
  <c r="AL28" i="34"/>
  <c r="D40" i="34"/>
  <c r="D41" i="34" s="1"/>
  <c r="AB34" i="34"/>
  <c r="AG34" i="34"/>
  <c r="AG27" i="34"/>
  <c r="AB26" i="34"/>
  <c r="AB27" i="34" s="1"/>
  <c r="AE6" i="34"/>
  <c r="P40" i="34"/>
  <c r="P41" i="34" s="1"/>
  <c r="AW6" i="34"/>
  <c r="AK6" i="34"/>
  <c r="AK27" i="34"/>
  <c r="Y28" i="34"/>
  <c r="Y38" i="34" s="1"/>
  <c r="R9" i="34"/>
  <c r="R8" i="34"/>
  <c r="V37" i="34"/>
  <c r="V31" i="34"/>
  <c r="V10" i="34"/>
  <c r="V11" i="34"/>
  <c r="AA10" i="34"/>
  <c r="Z27" i="34"/>
  <c r="Z28" i="34"/>
  <c r="Z38" i="34" s="1"/>
  <c r="K40" i="34"/>
  <c r="K41" i="34" s="1"/>
  <c r="AX6" i="34"/>
  <c r="S11" i="34"/>
  <c r="S31" i="34"/>
  <c r="S10" i="34"/>
  <c r="T11" i="34"/>
  <c r="S37" i="34"/>
  <c r="AG28" i="34"/>
  <c r="Q10" i="34"/>
  <c r="Q11" i="34"/>
  <c r="AL6" i="34"/>
  <c r="AJ6" i="34"/>
  <c r="X33" i="34"/>
  <c r="AB9" i="34"/>
  <c r="AB13" i="34" s="1"/>
  <c r="Y11" i="34"/>
  <c r="X11" i="34"/>
  <c r="X10" i="34"/>
  <c r="O40" i="34"/>
  <c r="O41" i="34" s="1"/>
  <c r="I40" i="34"/>
  <c r="I41" i="34" s="1"/>
  <c r="AP6" i="34"/>
  <c r="AU6" i="34"/>
  <c r="AY6" i="34"/>
  <c r="AN6" i="34"/>
  <c r="AN9" i="34"/>
  <c r="X37" i="34"/>
  <c r="Q37" i="34"/>
  <c r="AP27" i="34"/>
  <c r="AS6" i="34"/>
  <c r="AO6" i="34"/>
  <c r="M8" i="34"/>
  <c r="M9" i="34"/>
  <c r="W8" i="34"/>
  <c r="W9" i="34"/>
  <c r="AV34" i="34"/>
  <c r="AZ6" i="34"/>
  <c r="AM6" i="34"/>
  <c r="AQ27" i="34"/>
  <c r="G40" i="34"/>
  <c r="G41" i="34" s="1"/>
  <c r="X31" i="34"/>
  <c r="AG6" i="34"/>
  <c r="AB6" i="34"/>
  <c r="J31" i="34"/>
  <c r="J11" i="34"/>
  <c r="J37" i="34"/>
  <c r="J10" i="34"/>
  <c r="Q31" i="34"/>
  <c r="AR6" i="34"/>
  <c r="AE27" i="34"/>
  <c r="AV28" i="34"/>
  <c r="D85" i="24"/>
  <c r="H72" i="24"/>
  <c r="H59" i="24"/>
  <c r="E44" i="24"/>
  <c r="H35" i="24"/>
  <c r="C17" i="24"/>
  <c r="C16" i="24"/>
  <c r="C15" i="24"/>
  <c r="H4" i="24"/>
  <c r="AZ61" i="10"/>
  <c r="AY61" i="10"/>
  <c r="AX61" i="10"/>
  <c r="AW61" i="10"/>
  <c r="AU61" i="10"/>
  <c r="AT61" i="10"/>
  <c r="K28" i="24"/>
  <c r="AZ59" i="10"/>
  <c r="AY59" i="10"/>
  <c r="AX59" i="10"/>
  <c r="AW59" i="10"/>
  <c r="AU59" i="10"/>
  <c r="AT59" i="10"/>
  <c r="H35" i="34" l="1"/>
  <c r="H29" i="34"/>
  <c r="H20" i="34"/>
  <c r="H21" i="34" s="1"/>
  <c r="AS74" i="10"/>
  <c r="AS76" i="10"/>
  <c r="AS7" i="12" s="1"/>
  <c r="AS33" i="12" s="1"/>
  <c r="AS70" i="10"/>
  <c r="AS79" i="10"/>
  <c r="F40" i="34"/>
  <c r="F41" i="34" s="1"/>
  <c r="AG38" i="34"/>
  <c r="AA25" i="34"/>
  <c r="AL38" i="34"/>
  <c r="AA29" i="34"/>
  <c r="M35" i="34"/>
  <c r="M25" i="34"/>
  <c r="M20" i="34"/>
  <c r="M21" i="34" s="1"/>
  <c r="AA35" i="34"/>
  <c r="R29" i="34"/>
  <c r="U40" i="34"/>
  <c r="U41" i="34" s="1"/>
  <c r="AA17" i="34"/>
  <c r="W25" i="34"/>
  <c r="W29" i="34"/>
  <c r="H40" i="34"/>
  <c r="H41" i="34" s="1"/>
  <c r="AQ38" i="34"/>
  <c r="AN13" i="34"/>
  <c r="AN16" i="34"/>
  <c r="AN15" i="34"/>
  <c r="W35" i="34"/>
  <c r="R25" i="34"/>
  <c r="R35" i="34"/>
  <c r="AF25" i="34"/>
  <c r="AF29" i="34"/>
  <c r="Z25" i="34"/>
  <c r="Z29" i="34"/>
  <c r="AA21" i="34"/>
  <c r="Z17" i="34"/>
  <c r="Z20" i="34"/>
  <c r="AF17" i="34"/>
  <c r="AF20" i="34"/>
  <c r="AA40" i="34"/>
  <c r="AA41" i="34" s="1"/>
  <c r="Y13" i="34"/>
  <c r="Y16" i="34"/>
  <c r="Y35" i="34" s="1"/>
  <c r="AB15" i="34"/>
  <c r="X16" i="34"/>
  <c r="X35" i="34" s="1"/>
  <c r="N40" i="34"/>
  <c r="N41" i="34" s="1"/>
  <c r="V40" i="34"/>
  <c r="V41" i="34" s="1"/>
  <c r="J40" i="34"/>
  <c r="J41" i="34" s="1"/>
  <c r="AB10" i="34"/>
  <c r="AB37" i="34"/>
  <c r="AB33" i="34"/>
  <c r="AQ6" i="34"/>
  <c r="BA6" i="34"/>
  <c r="BA27" i="34"/>
  <c r="AB28" i="34"/>
  <c r="AB38" i="34" s="1"/>
  <c r="M10" i="34"/>
  <c r="M31" i="34"/>
  <c r="M37" i="34"/>
  <c r="W37" i="34"/>
  <c r="W10" i="34"/>
  <c r="W31" i="34"/>
  <c r="S40" i="34"/>
  <c r="S41" i="34" s="1"/>
  <c r="AN37" i="34"/>
  <c r="AN33" i="34"/>
  <c r="AN31" i="34"/>
  <c r="Q40" i="34"/>
  <c r="Q41" i="34" s="1"/>
  <c r="AV6" i="34"/>
  <c r="AB31" i="34"/>
  <c r="R10" i="34"/>
  <c r="R31" i="34"/>
  <c r="R37" i="34"/>
  <c r="AL27" i="34"/>
  <c r="E4" i="24"/>
  <c r="I35" i="24"/>
  <c r="H44" i="24"/>
  <c r="L35" i="24"/>
  <c r="E72" i="24"/>
  <c r="E35" i="24"/>
  <c r="F35" i="24" s="1"/>
  <c r="E59" i="24"/>
  <c r="AS76" i="12" l="1"/>
  <c r="AS52" i="12"/>
  <c r="AS53" i="12" s="1"/>
  <c r="AS34" i="12"/>
  <c r="AS63" i="10"/>
  <c r="AS64" i="10" s="1"/>
  <c r="AS77" i="10"/>
  <c r="AS81" i="10"/>
  <c r="AN35" i="34"/>
  <c r="AN20" i="34"/>
  <c r="AN21" i="34" s="1"/>
  <c r="AN17" i="34"/>
  <c r="AN29" i="34"/>
  <c r="AN25" i="34"/>
  <c r="X25" i="34"/>
  <c r="X29" i="34"/>
  <c r="Y25" i="34"/>
  <c r="Y29" i="34"/>
  <c r="AF21" i="34"/>
  <c r="AF40" i="34"/>
  <c r="AF41" i="34" s="1"/>
  <c r="Z21" i="34"/>
  <c r="Z40" i="34"/>
  <c r="Z41" i="34" s="1"/>
  <c r="X20" i="34"/>
  <c r="X17" i="34"/>
  <c r="Y20" i="34"/>
  <c r="Y17" i="34"/>
  <c r="AB16" i="34"/>
  <c r="AB35" i="34" s="1"/>
  <c r="R40" i="34"/>
  <c r="R41" i="34" s="1"/>
  <c r="W40" i="34"/>
  <c r="W41" i="34" s="1"/>
  <c r="M40" i="34"/>
  <c r="M41" i="34" s="1"/>
  <c r="H59" i="10"/>
  <c r="M59" i="10"/>
  <c r="R59" i="10"/>
  <c r="W59" i="10"/>
  <c r="AB59" i="10"/>
  <c r="AG59" i="10"/>
  <c r="AL59" i="10"/>
  <c r="AQ59" i="10"/>
  <c r="AR58" i="10"/>
  <c r="AR61" i="10" s="1"/>
  <c r="G28" i="24" s="1"/>
  <c r="AP58" i="10"/>
  <c r="AP61" i="10" s="1"/>
  <c r="AO58" i="10"/>
  <c r="AO61" i="10" s="1"/>
  <c r="AN58" i="10"/>
  <c r="AN61" i="10" s="1"/>
  <c r="D28" i="24" s="1"/>
  <c r="AM58" i="10"/>
  <c r="AM61" i="10" s="1"/>
  <c r="AK58" i="10"/>
  <c r="AK61" i="10" s="1"/>
  <c r="AJ58" i="10"/>
  <c r="AJ61" i="10" s="1"/>
  <c r="AI58" i="10"/>
  <c r="AI61" i="10" s="1"/>
  <c r="AH58" i="10"/>
  <c r="AH61" i="10" s="1"/>
  <c r="AF58" i="10"/>
  <c r="AF61" i="10" s="1"/>
  <c r="AE58" i="10"/>
  <c r="AE61" i="10" s="1"/>
  <c r="AD58" i="10"/>
  <c r="AD61" i="10" s="1"/>
  <c r="AC58" i="10"/>
  <c r="AC61" i="10" s="1"/>
  <c r="AA58" i="10"/>
  <c r="AA61" i="10" s="1"/>
  <c r="Z58" i="10"/>
  <c r="Z61" i="10" s="1"/>
  <c r="Y58" i="10"/>
  <c r="Y61" i="10" s="1"/>
  <c r="X58" i="10"/>
  <c r="X61" i="10" s="1"/>
  <c r="V58" i="10"/>
  <c r="V61" i="10" s="1"/>
  <c r="U58" i="10"/>
  <c r="U61" i="10" s="1"/>
  <c r="T58" i="10"/>
  <c r="T61" i="10" s="1"/>
  <c r="S58" i="10"/>
  <c r="S61" i="10" s="1"/>
  <c r="Q58" i="10"/>
  <c r="Q61" i="10" s="1"/>
  <c r="P58" i="10"/>
  <c r="P61" i="10" s="1"/>
  <c r="O58" i="10"/>
  <c r="O61" i="10" s="1"/>
  <c r="N58" i="10"/>
  <c r="N61" i="10" s="1"/>
  <c r="L58" i="10"/>
  <c r="L61" i="10" s="1"/>
  <c r="K58" i="10"/>
  <c r="K61" i="10" s="1"/>
  <c r="J58" i="10"/>
  <c r="J61" i="10" s="1"/>
  <c r="I58" i="10"/>
  <c r="I61" i="10" s="1"/>
  <c r="G58" i="10"/>
  <c r="G61" i="10" s="1"/>
  <c r="F58" i="10"/>
  <c r="F61" i="10" s="1"/>
  <c r="E58" i="10"/>
  <c r="E61" i="10" s="1"/>
  <c r="D58" i="10"/>
  <c r="D61" i="10" s="1"/>
  <c r="AN40" i="34" l="1"/>
  <c r="AN41" i="34" s="1"/>
  <c r="AB29" i="34"/>
  <c r="AB25" i="34"/>
  <c r="AB17" i="34"/>
  <c r="AB20" i="34"/>
  <c r="Y21" i="34"/>
  <c r="Y40" i="34"/>
  <c r="Y41" i="34" s="1"/>
  <c r="X21" i="34"/>
  <c r="X40" i="34"/>
  <c r="X41" i="34" s="1"/>
  <c r="R61" i="10"/>
  <c r="AG61" i="10"/>
  <c r="L28" i="24"/>
  <c r="H28" i="24"/>
  <c r="I28" i="24" s="1"/>
  <c r="E28" i="24"/>
  <c r="F28" i="24" s="1"/>
  <c r="H61" i="10"/>
  <c r="M61" i="10"/>
  <c r="W61" i="10"/>
  <c r="AB61" i="10"/>
  <c r="C6" i="32"/>
  <c r="C4" i="32"/>
  <c r="C5" i="32" s="1"/>
  <c r="AB21" i="34" l="1"/>
  <c r="AB40" i="34"/>
  <c r="AB41" i="34" s="1"/>
  <c r="C7" i="32"/>
  <c r="AU85" i="10" l="1"/>
  <c r="AU84" i="10" s="1"/>
  <c r="K42" i="24"/>
  <c r="AR73" i="28"/>
  <c r="AR49" i="10"/>
  <c r="AR52" i="10" s="1"/>
  <c r="G23" i="24" s="1"/>
  <c r="AR38" i="10"/>
  <c r="G17" i="24" s="1"/>
  <c r="AR21" i="10"/>
  <c r="G10" i="24" s="1"/>
  <c r="AR150" i="28"/>
  <c r="AR143" i="28"/>
  <c r="AR136" i="28"/>
  <c r="AS138" i="28" s="1"/>
  <c r="AR133" i="28"/>
  <c r="AS135" i="28" s="1"/>
  <c r="AR129" i="28"/>
  <c r="AR119" i="28"/>
  <c r="AS122" i="28" s="1"/>
  <c r="AR112" i="28"/>
  <c r="AS114" i="28" s="1"/>
  <c r="AR109" i="28"/>
  <c r="AS111" i="28" s="1"/>
  <c r="AR105" i="28"/>
  <c r="AR104" i="28"/>
  <c r="AR59" i="28" s="1"/>
  <c r="AR101" i="28"/>
  <c r="AR100" i="28"/>
  <c r="AR85" i="28"/>
  <c r="AR84" i="28"/>
  <c r="AR83" i="28"/>
  <c r="AR79" i="28"/>
  <c r="AR78" i="28"/>
  <c r="AR77" i="28"/>
  <c r="AR72" i="28"/>
  <c r="AR71" i="28"/>
  <c r="AR69" i="28"/>
  <c r="AR68" i="28"/>
  <c r="AR64" i="28"/>
  <c r="AR63" i="28"/>
  <c r="AR62" i="28"/>
  <c r="AR61" i="28"/>
  <c r="G74" i="24" s="1"/>
  <c r="AR55" i="28"/>
  <c r="G70" i="24" s="1"/>
  <c r="AR53" i="28"/>
  <c r="AR52" i="28"/>
  <c r="AR48" i="28"/>
  <c r="AR47" i="28"/>
  <c r="AR46" i="28"/>
  <c r="AR42" i="28"/>
  <c r="AR41" i="28"/>
  <c r="AR40" i="28"/>
  <c r="AR38" i="28"/>
  <c r="AR37" i="28"/>
  <c r="AR36" i="28"/>
  <c r="G61" i="24" s="1"/>
  <c r="AR22" i="28"/>
  <c r="AR21" i="28"/>
  <c r="AR17" i="28"/>
  <c r="AR16" i="28"/>
  <c r="AR15" i="28"/>
  <c r="AR13" i="28"/>
  <c r="AR12" i="28"/>
  <c r="AR8" i="28"/>
  <c r="AR7" i="28"/>
  <c r="AR6" i="28"/>
  <c r="AR5" i="28"/>
  <c r="G46" i="24" s="1"/>
  <c r="AR83" i="12"/>
  <c r="AR72" i="12"/>
  <c r="AR50" i="12"/>
  <c r="AR4" i="12"/>
  <c r="AR55" i="11"/>
  <c r="AS57" i="11" s="1"/>
  <c r="AR32" i="11"/>
  <c r="AR39" i="11" s="1"/>
  <c r="AR14" i="11"/>
  <c r="AR20" i="11" s="1"/>
  <c r="AR4" i="11"/>
  <c r="AR92" i="10"/>
  <c r="AR40" i="10" l="1"/>
  <c r="G51" i="24"/>
  <c r="AS19" i="28"/>
  <c r="AS130" i="28"/>
  <c r="AS132" i="28"/>
  <c r="AR7" i="34"/>
  <c r="AR9" i="34" s="1"/>
  <c r="AS153" i="28"/>
  <c r="G83" i="24"/>
  <c r="AS87" i="28"/>
  <c r="G75" i="24"/>
  <c r="AS66" i="28"/>
  <c r="G67" i="24"/>
  <c r="AS50" i="28"/>
  <c r="G81" i="24"/>
  <c r="AS81" i="28"/>
  <c r="G65" i="24"/>
  <c r="AS44" i="28"/>
  <c r="AS108" i="28"/>
  <c r="AS106" i="28"/>
  <c r="G79" i="24"/>
  <c r="AS75" i="28"/>
  <c r="AR5" i="10"/>
  <c r="G5" i="24" s="1"/>
  <c r="AS146" i="28"/>
  <c r="G47" i="24"/>
  <c r="AS10" i="28"/>
  <c r="E42" i="24"/>
  <c r="H42" i="24"/>
  <c r="AR36" i="10"/>
  <c r="E70" i="24"/>
  <c r="H70" i="24"/>
  <c r="L74" i="24"/>
  <c r="H74" i="24"/>
  <c r="E74" i="24"/>
  <c r="L46" i="24"/>
  <c r="E46" i="24"/>
  <c r="H46" i="24"/>
  <c r="AR29" i="28"/>
  <c r="L61" i="24"/>
  <c r="H61" i="24"/>
  <c r="E61" i="24"/>
  <c r="L67" i="24"/>
  <c r="E67" i="24"/>
  <c r="H67" i="24"/>
  <c r="L81" i="24"/>
  <c r="H81" i="24"/>
  <c r="E81" i="24"/>
  <c r="AR23" i="28"/>
  <c r="AR139" i="28"/>
  <c r="AR115" i="28"/>
  <c r="AR14" i="10"/>
  <c r="AR3" i="28"/>
  <c r="AR34" i="28"/>
  <c r="AR44" i="11"/>
  <c r="AR45" i="11" s="1"/>
  <c r="BA104" i="28"/>
  <c r="AZ104" i="28"/>
  <c r="AZ59" i="28" s="1"/>
  <c r="AY104" i="28"/>
  <c r="AX104" i="28"/>
  <c r="AX34" i="28" s="1"/>
  <c r="AW104" i="28"/>
  <c r="AW34" i="28" s="1"/>
  <c r="AZ81" i="28"/>
  <c r="AY81" i="28"/>
  <c r="AX81" i="28"/>
  <c r="AW81" i="28"/>
  <c r="AZ80" i="28"/>
  <c r="AY80" i="28"/>
  <c r="AX80" i="28"/>
  <c r="AW80" i="28"/>
  <c r="BA61" i="28"/>
  <c r="AZ50" i="28"/>
  <c r="AY50" i="28"/>
  <c r="AX50" i="28"/>
  <c r="AW50" i="28"/>
  <c r="AZ49" i="28"/>
  <c r="AY49" i="28"/>
  <c r="AX49" i="28"/>
  <c r="AW49" i="28"/>
  <c r="BA36" i="28"/>
  <c r="AZ25" i="28"/>
  <c r="AY25" i="28"/>
  <c r="AX25" i="28"/>
  <c r="AW25" i="28"/>
  <c r="AZ24" i="28"/>
  <c r="AY24" i="28"/>
  <c r="AX24" i="28"/>
  <c r="BA5" i="28"/>
  <c r="BA74" i="12"/>
  <c r="AZ72" i="12"/>
  <c r="AY72" i="12"/>
  <c r="AX72" i="12"/>
  <c r="AW72" i="12"/>
  <c r="BA71" i="12"/>
  <c r="BA70" i="12"/>
  <c r="BA69" i="12"/>
  <c r="BA68" i="12"/>
  <c r="BA67" i="12"/>
  <c r="BA66" i="12"/>
  <c r="BA65" i="12"/>
  <c r="BA64" i="12"/>
  <c r="BA63" i="12"/>
  <c r="BA62" i="12"/>
  <c r="BA61" i="12"/>
  <c r="BA60" i="12"/>
  <c r="BA59" i="12"/>
  <c r="BA58" i="12"/>
  <c r="BA57" i="12"/>
  <c r="BA56" i="12"/>
  <c r="AZ50" i="12"/>
  <c r="AY50" i="12"/>
  <c r="AX50" i="12"/>
  <c r="AW50" i="12"/>
  <c r="BA48" i="12"/>
  <c r="BA47" i="12"/>
  <c r="BA46" i="12"/>
  <c r="BA45" i="12"/>
  <c r="BA44" i="12"/>
  <c r="BA43" i="12"/>
  <c r="BA42" i="12"/>
  <c r="BA41" i="12"/>
  <c r="BA40" i="12"/>
  <c r="BA39" i="12"/>
  <c r="BA38" i="12"/>
  <c r="BA37" i="12"/>
  <c r="BA25" i="12"/>
  <c r="BA22" i="12"/>
  <c r="BA21" i="12"/>
  <c r="BA20" i="12"/>
  <c r="BA19" i="12"/>
  <c r="BA18" i="12"/>
  <c r="BA16" i="12"/>
  <c r="BA17" i="12"/>
  <c r="BA15" i="12"/>
  <c r="BA14" i="12"/>
  <c r="BA12" i="12"/>
  <c r="AZ10" i="12"/>
  <c r="AY10" i="12"/>
  <c r="AX10" i="12"/>
  <c r="AW10" i="12"/>
  <c r="BA13" i="12"/>
  <c r="AZ9" i="12"/>
  <c r="AY9" i="12"/>
  <c r="AX9" i="12"/>
  <c r="AW9" i="12"/>
  <c r="AZ11" i="12"/>
  <c r="AY11" i="12"/>
  <c r="AX11" i="12"/>
  <c r="AW11" i="12"/>
  <c r="BA4" i="12"/>
  <c r="AZ4" i="12"/>
  <c r="AY4" i="12"/>
  <c r="AX4" i="12"/>
  <c r="AW4" i="12"/>
  <c r="BA37" i="11"/>
  <c r="BA11" i="11"/>
  <c r="AY8" i="11"/>
  <c r="AZ8" i="11" s="1"/>
  <c r="BA8" i="11" s="1"/>
  <c r="BA4" i="11"/>
  <c r="AZ4" i="11"/>
  <c r="AY4" i="11"/>
  <c r="AX4" i="11"/>
  <c r="AW4" i="11"/>
  <c r="BA73" i="10"/>
  <c r="BA60" i="10"/>
  <c r="BA58" i="10"/>
  <c r="BA57" i="10"/>
  <c r="AZ52" i="10"/>
  <c r="AY52" i="10"/>
  <c r="AX52" i="10"/>
  <c r="AW52" i="10"/>
  <c r="BA50" i="10"/>
  <c r="BA49" i="10"/>
  <c r="BA48" i="10"/>
  <c r="BA47" i="10"/>
  <c r="BA46" i="10"/>
  <c r="AR123" i="28" l="1"/>
  <c r="AS118" i="28"/>
  <c r="G55" i="24"/>
  <c r="AS31" i="28"/>
  <c r="AR154" i="28"/>
  <c r="AR140" i="28" s="1"/>
  <c r="AS142" i="28"/>
  <c r="AS7" i="10"/>
  <c r="G53" i="24"/>
  <c r="AS25" i="28"/>
  <c r="G7" i="24"/>
  <c r="AS16" i="10"/>
  <c r="AR116" i="28"/>
  <c r="AS125" i="28"/>
  <c r="AW24" i="28"/>
  <c r="AR31" i="34"/>
  <c r="AR37" i="34"/>
  <c r="AR16" i="34"/>
  <c r="AR13" i="34"/>
  <c r="AR15" i="34"/>
  <c r="AR33" i="34"/>
  <c r="AR147" i="28"/>
  <c r="AS149" i="28" s="1"/>
  <c r="BA59" i="10"/>
  <c r="E53" i="24"/>
  <c r="H53" i="24"/>
  <c r="L53" i="24"/>
  <c r="AR89" i="28"/>
  <c r="AS91" i="28" s="1"/>
  <c r="AR8" i="10"/>
  <c r="BA10" i="12"/>
  <c r="AR128" i="28"/>
  <c r="AR93" i="28"/>
  <c r="AR120" i="28"/>
  <c r="BA11" i="12"/>
  <c r="BA50" i="12"/>
  <c r="BA52" i="10"/>
  <c r="BA72" i="12"/>
  <c r="BA61" i="10"/>
  <c r="BA9" i="12"/>
  <c r="AX3" i="28"/>
  <c r="AX59" i="28"/>
  <c r="AY59" i="28"/>
  <c r="AY34" i="28"/>
  <c r="AY3" i="28"/>
  <c r="AW59" i="28"/>
  <c r="AW3" i="28"/>
  <c r="AZ34" i="28"/>
  <c r="AZ3" i="28"/>
  <c r="BA59" i="28"/>
  <c r="BA3" i="28"/>
  <c r="BA34" i="28"/>
  <c r="N50" i="31"/>
  <c r="M50" i="31"/>
  <c r="L50" i="31"/>
  <c r="K50" i="31"/>
  <c r="J50" i="31"/>
  <c r="I50" i="31"/>
  <c r="H50" i="31"/>
  <c r="G50" i="31"/>
  <c r="F50" i="31"/>
  <c r="E50" i="31"/>
  <c r="D50" i="31"/>
  <c r="C50" i="31"/>
  <c r="N49" i="31"/>
  <c r="M49" i="31"/>
  <c r="L49" i="31"/>
  <c r="K49" i="31"/>
  <c r="J49" i="31"/>
  <c r="I49" i="31"/>
  <c r="H49" i="31"/>
  <c r="G49" i="31"/>
  <c r="F49" i="31"/>
  <c r="E49" i="31"/>
  <c r="D49" i="31"/>
  <c r="C49" i="31"/>
  <c r="R26" i="31"/>
  <c r="Q26" i="31"/>
  <c r="P26" i="31"/>
  <c r="O26" i="31"/>
  <c r="R25" i="31"/>
  <c r="Q25" i="31"/>
  <c r="P25" i="31"/>
  <c r="O25" i="31"/>
  <c r="AR144" i="28" l="1"/>
  <c r="AR151" i="28"/>
  <c r="AS156" i="28"/>
  <c r="G6" i="24"/>
  <c r="AS10" i="10"/>
  <c r="AR35" i="34"/>
  <c r="AR17" i="34"/>
  <c r="AR25" i="34"/>
  <c r="AR20" i="34"/>
  <c r="AR29" i="34"/>
  <c r="AR11" i="10"/>
  <c r="AS13" i="10" s="1"/>
  <c r="AX128" i="28"/>
  <c r="AX93" i="28"/>
  <c r="AZ128" i="28"/>
  <c r="AZ93" i="28"/>
  <c r="BA128" i="28"/>
  <c r="BA93" i="28"/>
  <c r="AW93" i="28"/>
  <c r="AW128" i="28"/>
  <c r="AY128" i="28"/>
  <c r="AY93" i="28"/>
  <c r="E24" i="25"/>
  <c r="E25" i="25" s="1"/>
  <c r="AQ30" i="11"/>
  <c r="AT30" i="11" s="1"/>
  <c r="AU30" i="11" s="1"/>
  <c r="AV30" i="11" s="1"/>
  <c r="AW30" i="11" s="1"/>
  <c r="AX30" i="11" s="1"/>
  <c r="AY30" i="11" s="1"/>
  <c r="AZ30" i="11" s="1"/>
  <c r="BA30" i="11" s="1"/>
  <c r="AP38" i="10"/>
  <c r="AP21" i="10"/>
  <c r="D18" i="25"/>
  <c r="AQ54" i="28"/>
  <c r="AL54" i="28"/>
  <c r="AG54" i="28"/>
  <c r="AP150" i="28"/>
  <c r="AP143" i="28"/>
  <c r="AR146" i="28" s="1"/>
  <c r="AP136" i="28"/>
  <c r="AR138" i="28" s="1"/>
  <c r="AP133" i="28"/>
  <c r="AR135" i="28" s="1"/>
  <c r="AP129" i="28"/>
  <c r="AP119" i="28"/>
  <c r="AR122" i="28" s="1"/>
  <c r="AP112" i="28"/>
  <c r="AR114" i="28" s="1"/>
  <c r="AP109" i="28"/>
  <c r="AR111" i="28" s="1"/>
  <c r="AP105" i="28"/>
  <c r="AP104" i="28"/>
  <c r="AP59" i="28" s="1"/>
  <c r="AP101" i="28"/>
  <c r="AP100" i="28"/>
  <c r="AP94" i="28"/>
  <c r="AP85" i="28"/>
  <c r="AP84" i="28"/>
  <c r="AP83" i="28"/>
  <c r="AP79" i="28"/>
  <c r="AP78" i="28"/>
  <c r="AP77" i="28"/>
  <c r="AP73" i="28"/>
  <c r="AP72" i="28"/>
  <c r="AP71" i="28"/>
  <c r="AP69" i="28"/>
  <c r="AP64" i="28"/>
  <c r="AP63" i="28"/>
  <c r="AP62" i="28"/>
  <c r="AP61" i="28"/>
  <c r="I74" i="24" s="1"/>
  <c r="AP55" i="28"/>
  <c r="I70" i="24" s="1"/>
  <c r="AP53" i="28"/>
  <c r="AP52" i="28"/>
  <c r="AP48" i="28"/>
  <c r="I67" i="24" s="1"/>
  <c r="AP47" i="28"/>
  <c r="AP46" i="28"/>
  <c r="AP42" i="28"/>
  <c r="AP41" i="28"/>
  <c r="AP40" i="28"/>
  <c r="AP38" i="28"/>
  <c r="AP37" i="28"/>
  <c r="AP36" i="28"/>
  <c r="I61" i="24" s="1"/>
  <c r="AP22" i="28"/>
  <c r="AP21" i="28"/>
  <c r="AP17" i="28"/>
  <c r="AP16" i="28"/>
  <c r="AP15" i="28"/>
  <c r="AP13" i="28"/>
  <c r="AP12" i="28"/>
  <c r="AP8" i="28"/>
  <c r="AP7" i="28"/>
  <c r="AP6" i="28"/>
  <c r="AP5" i="28"/>
  <c r="I46" i="24" s="1"/>
  <c r="AV15" i="12"/>
  <c r="AV18" i="12"/>
  <c r="AV48" i="12"/>
  <c r="AV47" i="12"/>
  <c r="AQ48" i="12"/>
  <c r="AV56" i="12"/>
  <c r="AQ56" i="12"/>
  <c r="AP4" i="12"/>
  <c r="AN4" i="11"/>
  <c r="AO4" i="11"/>
  <c r="AP4" i="11"/>
  <c r="AQ4" i="11"/>
  <c r="AT4" i="11"/>
  <c r="AU4" i="11"/>
  <c r="AV4" i="11"/>
  <c r="AP83" i="12"/>
  <c r="AP72" i="12"/>
  <c r="AP50" i="12"/>
  <c r="AP55" i="11"/>
  <c r="AR57" i="11" s="1"/>
  <c r="AP32" i="11"/>
  <c r="AP39" i="11" s="1"/>
  <c r="AP14" i="11"/>
  <c r="AP20" i="11" s="1"/>
  <c r="AP92" i="10"/>
  <c r="AP52" i="10"/>
  <c r="AR153" i="28" l="1"/>
  <c r="AP7" i="34"/>
  <c r="AR21" i="34"/>
  <c r="AR40" i="34"/>
  <c r="AR41" i="34" s="1"/>
  <c r="AP36" i="10"/>
  <c r="AR17" i="10"/>
  <c r="AS19" i="10" s="1"/>
  <c r="AR87" i="28"/>
  <c r="AR44" i="28"/>
  <c r="AR75" i="28"/>
  <c r="AR19" i="28"/>
  <c r="G18" i="24"/>
  <c r="AR66" i="28"/>
  <c r="AR10" i="28"/>
  <c r="AR81" i="28"/>
  <c r="I81" i="24"/>
  <c r="AR132" i="28"/>
  <c r="AR130" i="28"/>
  <c r="AP115" i="28"/>
  <c r="AR118" i="28" s="1"/>
  <c r="AR28" i="28"/>
  <c r="AR108" i="28"/>
  <c r="AR106" i="28"/>
  <c r="N26" i="31"/>
  <c r="AR50" i="28"/>
  <c r="AP40" i="10"/>
  <c r="AP3" i="28"/>
  <c r="AP34" i="28"/>
  <c r="AP29" i="28"/>
  <c r="AP139" i="28"/>
  <c r="AP28" i="28"/>
  <c r="AP23" i="28"/>
  <c r="I53" i="24" s="1"/>
  <c r="AP27" i="28"/>
  <c r="AP5" i="10"/>
  <c r="AP95" i="28"/>
  <c r="AP14" i="10"/>
  <c r="AP44" i="11"/>
  <c r="AP45" i="11" s="1"/>
  <c r="F22" i="25"/>
  <c r="F20" i="25"/>
  <c r="F18" i="25"/>
  <c r="D21" i="25"/>
  <c r="AR73" i="11" l="1"/>
  <c r="AR51" i="10"/>
  <c r="G8" i="24"/>
  <c r="AP123" i="28"/>
  <c r="AR125" i="28" s="1"/>
  <c r="AR35" i="10"/>
  <c r="AR29" i="10"/>
  <c r="AR31" i="10"/>
  <c r="AR22" i="10"/>
  <c r="AR23" i="10" s="1"/>
  <c r="AR27" i="10"/>
  <c r="AP9" i="34"/>
  <c r="AR39" i="10"/>
  <c r="AR69" i="11"/>
  <c r="AR70" i="11"/>
  <c r="AR71" i="11"/>
  <c r="AR62" i="11"/>
  <c r="AR60" i="11"/>
  <c r="AR51" i="11"/>
  <c r="AR72" i="11"/>
  <c r="AR61" i="11"/>
  <c r="AR63" i="11"/>
  <c r="AR64" i="11"/>
  <c r="AR67" i="11"/>
  <c r="AR37" i="10"/>
  <c r="AR33" i="10"/>
  <c r="AR68" i="11"/>
  <c r="AP8" i="10"/>
  <c r="AR142" i="28"/>
  <c r="AP89" i="28"/>
  <c r="AR91" i="28" s="1"/>
  <c r="AR31" i="28"/>
  <c r="AR16" i="10"/>
  <c r="AR7" i="10"/>
  <c r="N25" i="31"/>
  <c r="AR25" i="28"/>
  <c r="AP128" i="28"/>
  <c r="N48" i="31"/>
  <c r="N24" i="31"/>
  <c r="AP93" i="28"/>
  <c r="AP154" i="28"/>
  <c r="AP151" i="28" s="1"/>
  <c r="AP147" i="28"/>
  <c r="AR149" i="28" s="1"/>
  <c r="E21" i="25"/>
  <c r="AA91" i="28"/>
  <c r="Z91" i="28"/>
  <c r="Y91" i="28"/>
  <c r="AP120" i="28" l="1"/>
  <c r="AP116" i="28"/>
  <c r="AP37" i="34"/>
  <c r="AP33" i="34"/>
  <c r="AP16" i="34"/>
  <c r="AP31" i="34"/>
  <c r="AP13" i="34"/>
  <c r="AP15" i="34"/>
  <c r="AR11" i="34"/>
  <c r="AR42" i="10"/>
  <c r="AR43" i="10" s="1"/>
  <c r="AP140" i="28"/>
  <c r="AP11" i="10"/>
  <c r="AP144" i="28"/>
  <c r="AR156" i="28"/>
  <c r="AR10" i="10"/>
  <c r="AR54" i="10" l="1"/>
  <c r="AR55" i="10" s="1"/>
  <c r="AR66" i="10"/>
  <c r="AP35" i="34"/>
  <c r="AP29" i="34"/>
  <c r="AP25" i="34"/>
  <c r="AP20" i="34"/>
  <c r="AP17" i="34"/>
  <c r="AR13" i="10"/>
  <c r="AP17" i="10"/>
  <c r="AO38" i="10"/>
  <c r="AO36" i="10" s="1"/>
  <c r="AO52" i="10"/>
  <c r="AO21" i="10"/>
  <c r="AO21" i="28"/>
  <c r="AO150" i="28"/>
  <c r="AO7" i="34" s="1"/>
  <c r="AO143" i="28"/>
  <c r="AO139" i="28"/>
  <c r="AO8" i="10" s="1"/>
  <c r="AO136" i="28"/>
  <c r="AP138" i="28" s="1"/>
  <c r="AO133" i="28"/>
  <c r="AP135" i="28" s="1"/>
  <c r="AO129" i="28"/>
  <c r="AO119" i="28"/>
  <c r="AP122" i="28" s="1"/>
  <c r="AO115" i="28"/>
  <c r="AP118" i="28" s="1"/>
  <c r="AO112" i="28"/>
  <c r="AP114" i="28" s="1"/>
  <c r="AO109" i="28"/>
  <c r="AP111" i="28" s="1"/>
  <c r="AO105" i="28"/>
  <c r="AO104" i="28"/>
  <c r="AO3" i="28" s="1"/>
  <c r="AO101" i="28"/>
  <c r="AO100" i="28"/>
  <c r="AO94" i="28"/>
  <c r="AP97" i="28" s="1"/>
  <c r="AO85" i="28"/>
  <c r="AP87" i="28" s="1"/>
  <c r="AO84" i="28"/>
  <c r="AO83" i="28"/>
  <c r="AO79" i="28"/>
  <c r="AP81" i="28" s="1"/>
  <c r="AO78" i="28"/>
  <c r="AO77" i="28"/>
  <c r="AO73" i="28"/>
  <c r="AP75" i="28" s="1"/>
  <c r="AO72" i="28"/>
  <c r="AO71" i="28"/>
  <c r="AO69" i="28"/>
  <c r="AO68" i="28"/>
  <c r="AO64" i="28"/>
  <c r="AP66" i="28" s="1"/>
  <c r="AO63" i="28"/>
  <c r="AO62" i="28"/>
  <c r="AO61" i="28"/>
  <c r="AO55" i="28"/>
  <c r="AO53" i="28"/>
  <c r="AO52" i="28"/>
  <c r="AO48" i="28"/>
  <c r="AO47" i="28"/>
  <c r="AO46" i="28"/>
  <c r="AO42" i="28"/>
  <c r="AP44" i="28" s="1"/>
  <c r="AO41" i="28"/>
  <c r="AO40" i="28"/>
  <c r="AO38" i="28"/>
  <c r="AO37" i="28"/>
  <c r="AO36" i="28"/>
  <c r="AO29" i="28"/>
  <c r="AO28" i="28"/>
  <c r="AO27" i="28"/>
  <c r="AO23" i="28"/>
  <c r="AO22" i="28"/>
  <c r="AO17" i="28"/>
  <c r="AP19" i="28" s="1"/>
  <c r="AO16" i="28"/>
  <c r="AO15" i="28"/>
  <c r="AO13" i="28"/>
  <c r="AO12" i="28"/>
  <c r="AO8" i="28"/>
  <c r="AP10" i="28" s="1"/>
  <c r="AO7" i="28"/>
  <c r="AO6" i="28"/>
  <c r="AO5" i="28"/>
  <c r="AO83" i="12"/>
  <c r="AO72" i="12"/>
  <c r="AO50" i="12"/>
  <c r="AO4" i="12"/>
  <c r="AO55" i="11"/>
  <c r="AP57" i="11" s="1"/>
  <c r="AO32" i="11"/>
  <c r="AO39" i="11" s="1"/>
  <c r="AO14" i="11"/>
  <c r="AO20" i="11" s="1"/>
  <c r="AO92" i="10"/>
  <c r="G30" i="24" l="1"/>
  <c r="AR72" i="10"/>
  <c r="AR74" i="10" s="1"/>
  <c r="AR68" i="10"/>
  <c r="AR69" i="10"/>
  <c r="AR79" i="10" s="1"/>
  <c r="G38" i="24" s="1"/>
  <c r="AP29" i="10"/>
  <c r="AP31" i="10"/>
  <c r="AP21" i="34"/>
  <c r="AP40" i="34"/>
  <c r="AP41" i="34" s="1"/>
  <c r="AO9" i="34"/>
  <c r="AP62" i="11"/>
  <c r="AP35" i="10"/>
  <c r="AP37" i="10"/>
  <c r="AP72" i="11"/>
  <c r="AP63" i="11"/>
  <c r="AP27" i="10"/>
  <c r="AP22" i="10"/>
  <c r="AP42" i="10" s="1"/>
  <c r="AP66" i="10" s="1"/>
  <c r="AP69" i="11"/>
  <c r="AP73" i="11"/>
  <c r="AP70" i="11"/>
  <c r="AP68" i="11"/>
  <c r="AP51" i="10"/>
  <c r="AP67" i="11"/>
  <c r="AP64" i="11"/>
  <c r="AP60" i="11"/>
  <c r="AP33" i="10"/>
  <c r="AP39" i="10"/>
  <c r="AP53" i="11"/>
  <c r="AP61" i="11"/>
  <c r="AR19" i="10"/>
  <c r="AP71" i="11"/>
  <c r="M48" i="31"/>
  <c r="M24" i="31"/>
  <c r="AP25" i="28"/>
  <c r="M25" i="31"/>
  <c r="AP50" i="28"/>
  <c r="M26" i="31"/>
  <c r="AO89" i="28"/>
  <c r="AP91" i="28" s="1"/>
  <c r="AO5" i="10"/>
  <c r="AO11" i="10" s="1"/>
  <c r="AP146" i="28"/>
  <c r="AO14" i="10"/>
  <c r="AP16" i="10" s="1"/>
  <c r="AP153" i="28"/>
  <c r="AP108" i="28"/>
  <c r="AP106" i="28"/>
  <c r="AP130" i="28"/>
  <c r="AP132" i="28"/>
  <c r="AP31" i="28"/>
  <c r="AP142" i="28"/>
  <c r="AO34" i="28"/>
  <c r="AO59" i="28"/>
  <c r="AO40" i="10"/>
  <c r="AO44" i="11"/>
  <c r="AO45" i="11" s="1"/>
  <c r="AO93" i="28"/>
  <c r="AO128" i="28"/>
  <c r="AO154" i="28"/>
  <c r="AO147" i="28"/>
  <c r="AP149" i="28" s="1"/>
  <c r="AO95" i="28"/>
  <c r="AO123" i="28"/>
  <c r="AP125" i="28" s="1"/>
  <c r="AR70" i="10" l="1"/>
  <c r="G32" i="24"/>
  <c r="AR76" i="10"/>
  <c r="AR63" i="10" s="1"/>
  <c r="AR64" i="10" s="1"/>
  <c r="AP23" i="10"/>
  <c r="AP68" i="10"/>
  <c r="AP43" i="10"/>
  <c r="AO37" i="34"/>
  <c r="AO16" i="34"/>
  <c r="AO15" i="34"/>
  <c r="AO11" i="34"/>
  <c r="AO31" i="34"/>
  <c r="AO13" i="34"/>
  <c r="AO33" i="34"/>
  <c r="AP11" i="34"/>
  <c r="AP69" i="10"/>
  <c r="AP70" i="10" s="1"/>
  <c r="AP54" i="10"/>
  <c r="AP55" i="10" s="1"/>
  <c r="G11" i="24"/>
  <c r="AO16" i="10"/>
  <c r="AP7" i="10"/>
  <c r="AO17" i="10"/>
  <c r="AP13" i="10"/>
  <c r="AO144" i="28"/>
  <c r="AP156" i="28"/>
  <c r="AP10" i="10"/>
  <c r="AO140" i="28"/>
  <c r="AO151" i="28"/>
  <c r="AO120" i="28"/>
  <c r="AO116" i="28"/>
  <c r="AL60" i="10"/>
  <c r="AV60" i="10"/>
  <c r="AQ60" i="10"/>
  <c r="AR81" i="10" l="1"/>
  <c r="G39" i="24" s="1"/>
  <c r="AR77" i="10"/>
  <c r="AR7" i="12"/>
  <c r="AR33" i="12" s="1"/>
  <c r="AR52" i="12" s="1"/>
  <c r="AR53" i="12" s="1"/>
  <c r="AP79" i="10"/>
  <c r="AO35" i="34"/>
  <c r="AO29" i="34"/>
  <c r="AO25" i="34"/>
  <c r="AO20" i="34"/>
  <c r="AO17" i="34"/>
  <c r="AO29" i="10"/>
  <c r="AO31" i="10"/>
  <c r="AO67" i="11"/>
  <c r="AO35" i="10"/>
  <c r="AO37" i="10"/>
  <c r="AP72" i="10"/>
  <c r="AP76" i="10" s="1"/>
  <c r="AP63" i="10" s="1"/>
  <c r="AP64" i="10" s="1"/>
  <c r="G12" i="24"/>
  <c r="G20" i="24"/>
  <c r="AO68" i="11"/>
  <c r="AO27" i="10"/>
  <c r="AO33" i="10"/>
  <c r="AO70" i="11"/>
  <c r="AO39" i="10"/>
  <c r="AO62" i="11"/>
  <c r="AO63" i="11"/>
  <c r="AO64" i="11"/>
  <c r="AO60" i="11"/>
  <c r="AO71" i="11"/>
  <c r="AO22" i="10"/>
  <c r="AO23" i="10" s="1"/>
  <c r="AO61" i="11"/>
  <c r="AO72" i="11"/>
  <c r="AO51" i="10"/>
  <c r="AO73" i="11"/>
  <c r="AO69" i="11"/>
  <c r="AO53" i="11"/>
  <c r="AP19" i="10"/>
  <c r="AP33" i="12"/>
  <c r="AP76" i="12" s="1"/>
  <c r="AN94" i="28"/>
  <c r="AO97" i="28" s="1"/>
  <c r="AR76" i="12" l="1"/>
  <c r="AR34" i="12"/>
  <c r="AO21" i="34"/>
  <c r="AO40" i="34"/>
  <c r="AO41" i="34" s="1"/>
  <c r="AP77" i="10"/>
  <c r="AP81" i="10"/>
  <c r="AP74" i="10"/>
  <c r="G25" i="24"/>
  <c r="G21" i="24"/>
  <c r="AP34" i="12"/>
  <c r="AP52" i="12"/>
  <c r="AP53" i="12" s="1"/>
  <c r="AO42" i="10"/>
  <c r="AO66" i="10" s="1"/>
  <c r="AJ72" i="12"/>
  <c r="AN58" i="12"/>
  <c r="AN72" i="12" s="1"/>
  <c r="AN139" i="28"/>
  <c r="AS141" i="28" s="1"/>
  <c r="AN38" i="10"/>
  <c r="AN32" i="10"/>
  <c r="AN26" i="10"/>
  <c r="D15" i="24" s="1"/>
  <c r="AN21" i="10"/>
  <c r="D10" i="24" s="1"/>
  <c r="AI46" i="10"/>
  <c r="AN150" i="28"/>
  <c r="AN143" i="28"/>
  <c r="AN136" i="28"/>
  <c r="AN133" i="28"/>
  <c r="AN129" i="28"/>
  <c r="AS131" i="28" s="1"/>
  <c r="AN119" i="28"/>
  <c r="AN115" i="28"/>
  <c r="AN112" i="28"/>
  <c r="AN109" i="28"/>
  <c r="AN105" i="28"/>
  <c r="AS107" i="28" s="1"/>
  <c r="AN104" i="28"/>
  <c r="AN59" i="28" s="1"/>
  <c r="AN101" i="28"/>
  <c r="AN100" i="28"/>
  <c r="AN85" i="28"/>
  <c r="AS86" i="28" s="1"/>
  <c r="AN84" i="28"/>
  <c r="AN83" i="28"/>
  <c r="AN79" i="28"/>
  <c r="AS80" i="28" s="1"/>
  <c r="AN78" i="28"/>
  <c r="AN77" i="28"/>
  <c r="AN73" i="28"/>
  <c r="AS74" i="28" s="1"/>
  <c r="AN72" i="28"/>
  <c r="AN71" i="28"/>
  <c r="AN69" i="28"/>
  <c r="AN68" i="28"/>
  <c r="AN64" i="28"/>
  <c r="AS65" i="28" s="1"/>
  <c r="AN63" i="28"/>
  <c r="AN62" i="28"/>
  <c r="AN61" i="28"/>
  <c r="D74" i="24" s="1"/>
  <c r="AN55" i="28"/>
  <c r="D70" i="24" s="1"/>
  <c r="AN53" i="28"/>
  <c r="AN52" i="28"/>
  <c r="AN48" i="28"/>
  <c r="AS49" i="28" s="1"/>
  <c r="AN47" i="28"/>
  <c r="AN46" i="28"/>
  <c r="AN42" i="28"/>
  <c r="AS43" i="28" s="1"/>
  <c r="AN41" i="28"/>
  <c r="AN40" i="28"/>
  <c r="AN38" i="28"/>
  <c r="AN37" i="28"/>
  <c r="AN36" i="28"/>
  <c r="D61" i="24" s="1"/>
  <c r="AN29" i="28"/>
  <c r="AN27" i="28"/>
  <c r="AN23" i="28"/>
  <c r="AN22" i="28"/>
  <c r="AN21" i="28"/>
  <c r="AN17" i="28"/>
  <c r="AS18" i="28" s="1"/>
  <c r="AN16" i="28"/>
  <c r="AN15" i="28"/>
  <c r="AN13" i="28"/>
  <c r="AN12" i="28"/>
  <c r="AN8" i="28"/>
  <c r="AS9" i="28" s="1"/>
  <c r="AN7" i="28"/>
  <c r="AN6" i="28"/>
  <c r="AN5" i="28"/>
  <c r="D46" i="24" s="1"/>
  <c r="AN83" i="12"/>
  <c r="AN50" i="12"/>
  <c r="AN4" i="12"/>
  <c r="AN55" i="11"/>
  <c r="AN32" i="11"/>
  <c r="AN39" i="11" s="1"/>
  <c r="AN14" i="11"/>
  <c r="AN20" i="11" s="1"/>
  <c r="AN92" i="10"/>
  <c r="AN52" i="10"/>
  <c r="D23" i="24" s="1"/>
  <c r="AO138" i="28" l="1"/>
  <c r="AS137" i="28"/>
  <c r="AO146" i="28"/>
  <c r="AS145" i="28"/>
  <c r="AO153" i="28"/>
  <c r="AS152" i="28"/>
  <c r="AO135" i="28"/>
  <c r="AS134" i="28"/>
  <c r="AO111" i="28"/>
  <c r="AS110" i="28"/>
  <c r="AO114" i="28"/>
  <c r="AS113" i="28"/>
  <c r="D53" i="24"/>
  <c r="AS24" i="28"/>
  <c r="AO118" i="28"/>
  <c r="AS117" i="28"/>
  <c r="AO57" i="11"/>
  <c r="AS56" i="11"/>
  <c r="AO122" i="28"/>
  <c r="AS121" i="28"/>
  <c r="D55" i="24"/>
  <c r="AS30" i="28"/>
  <c r="AO66" i="28"/>
  <c r="D75" i="24"/>
  <c r="AO44" i="28"/>
  <c r="D65" i="24"/>
  <c r="AO10" i="28"/>
  <c r="D47" i="24"/>
  <c r="AO19" i="28"/>
  <c r="D51" i="24"/>
  <c r="AO75" i="28"/>
  <c r="D79" i="24"/>
  <c r="AN36" i="10"/>
  <c r="D17" i="24"/>
  <c r="AO87" i="28"/>
  <c r="D83" i="24"/>
  <c r="L26" i="31"/>
  <c r="D67" i="24"/>
  <c r="AO81" i="28"/>
  <c r="D81" i="24"/>
  <c r="AN30" i="10"/>
  <c r="AQ30" i="10" s="1"/>
  <c r="D16" i="24"/>
  <c r="G34" i="24"/>
  <c r="G26" i="24"/>
  <c r="AN89" i="28"/>
  <c r="AS90" i="28" s="1"/>
  <c r="AO25" i="28"/>
  <c r="L25" i="31"/>
  <c r="AO50" i="28"/>
  <c r="AO142" i="28"/>
  <c r="AN8" i="10"/>
  <c r="AO43" i="10"/>
  <c r="AO54" i="10"/>
  <c r="AO55" i="10" s="1"/>
  <c r="AO31" i="28"/>
  <c r="AO108" i="28"/>
  <c r="AO106" i="28"/>
  <c r="AO132" i="28"/>
  <c r="AO130" i="28"/>
  <c r="AO69" i="10"/>
  <c r="AO68" i="10"/>
  <c r="AN3" i="28"/>
  <c r="AN40" i="10"/>
  <c r="AN34" i="28"/>
  <c r="AN154" i="28"/>
  <c r="AN5" i="10"/>
  <c r="AN147" i="28"/>
  <c r="AN95" i="28"/>
  <c r="AN123" i="28"/>
  <c r="AN44" i="11"/>
  <c r="AN45" i="11" s="1"/>
  <c r="AO149" i="28" l="1"/>
  <c r="AS148" i="28"/>
  <c r="AO156" i="28"/>
  <c r="AS155" i="28"/>
  <c r="D5" i="24"/>
  <c r="AS6" i="10"/>
  <c r="D6" i="24"/>
  <c r="AS9" i="10"/>
  <c r="AO125" i="28"/>
  <c r="AS124" i="28"/>
  <c r="G36" i="24"/>
  <c r="L48" i="31"/>
  <c r="L24" i="31"/>
  <c r="AN11" i="10"/>
  <c r="AS12" i="10" s="1"/>
  <c r="AO72" i="10"/>
  <c r="AO76" i="10" s="1"/>
  <c r="AO63" i="10" s="1"/>
  <c r="AO91" i="28"/>
  <c r="AO10" i="10"/>
  <c r="AO7" i="10"/>
  <c r="AO70" i="10"/>
  <c r="AO79" i="10"/>
  <c r="AN128" i="28"/>
  <c r="AN93" i="28"/>
  <c r="AN144" i="28"/>
  <c r="AN151" i="28"/>
  <c r="AN140" i="28"/>
  <c r="AN116" i="28"/>
  <c r="AN120" i="28"/>
  <c r="R5" i="31"/>
  <c r="Q5" i="31"/>
  <c r="P5" i="31"/>
  <c r="O5" i="31"/>
  <c r="N5" i="31"/>
  <c r="M5" i="31"/>
  <c r="L5" i="31"/>
  <c r="R4" i="31"/>
  <c r="Q4" i="31"/>
  <c r="P4" i="31"/>
  <c r="O4" i="31"/>
  <c r="N4" i="31"/>
  <c r="M4" i="31"/>
  <c r="L4" i="31"/>
  <c r="AO13" i="10" l="1"/>
  <c r="AN12" i="10"/>
  <c r="AN17" i="10"/>
  <c r="AO74" i="10"/>
  <c r="AO7" i="12"/>
  <c r="AO33" i="12" s="1"/>
  <c r="AO52" i="12" s="1"/>
  <c r="AO53" i="12" s="1"/>
  <c r="AO81" i="10"/>
  <c r="AO64" i="10"/>
  <c r="AO77" i="10"/>
  <c r="AV71" i="12"/>
  <c r="AV70" i="12"/>
  <c r="AV69" i="12"/>
  <c r="AV68" i="12"/>
  <c r="AV67" i="12"/>
  <c r="AV66" i="12"/>
  <c r="AV65" i="12"/>
  <c r="AV64" i="12"/>
  <c r="AV63" i="12"/>
  <c r="AV62" i="12"/>
  <c r="AV61" i="12"/>
  <c r="AV60" i="12"/>
  <c r="AV59" i="12"/>
  <c r="AV58" i="12"/>
  <c r="AV57" i="12"/>
  <c r="AQ58" i="12"/>
  <c r="AQ59" i="12"/>
  <c r="AQ60" i="12"/>
  <c r="AQ61" i="12"/>
  <c r="AQ62" i="12"/>
  <c r="AQ63" i="12"/>
  <c r="AQ64" i="12"/>
  <c r="AQ65" i="12"/>
  <c r="AQ66" i="12"/>
  <c r="AQ67" i="12"/>
  <c r="AQ68" i="12"/>
  <c r="AQ69" i="12"/>
  <c r="AQ70" i="12"/>
  <c r="AQ71" i="12"/>
  <c r="AL65" i="12"/>
  <c r="AH57" i="12"/>
  <c r="D8" i="24" l="1"/>
  <c r="AS18" i="10"/>
  <c r="AN29" i="10"/>
  <c r="AN31" i="10"/>
  <c r="AN37" i="10"/>
  <c r="AN35" i="10"/>
  <c r="AO19" i="10"/>
  <c r="AN67" i="11"/>
  <c r="AN63" i="11"/>
  <c r="AN71" i="11"/>
  <c r="AN51" i="11"/>
  <c r="AN33" i="10"/>
  <c r="AN69" i="11"/>
  <c r="AN39" i="10"/>
  <c r="AN53" i="11"/>
  <c r="AN27" i="10"/>
  <c r="AN73" i="11"/>
  <c r="AN60" i="11"/>
  <c r="AN22" i="10"/>
  <c r="AN64" i="11"/>
  <c r="AN68" i="11"/>
  <c r="AN61" i="11"/>
  <c r="AN51" i="10"/>
  <c r="AN72" i="11"/>
  <c r="AN70" i="11"/>
  <c r="AN62" i="11"/>
  <c r="AO76" i="12"/>
  <c r="AO34" i="12"/>
  <c r="AG21" i="12"/>
  <c r="AN42" i="10" l="1"/>
  <c r="AN66" i="10" s="1"/>
  <c r="D30" i="24" s="1"/>
  <c r="AN23" i="10"/>
  <c r="AI67" i="10"/>
  <c r="AN43" i="10" l="1"/>
  <c r="AN54" i="10"/>
  <c r="AN55" i="10" l="1"/>
  <c r="AN72" i="10"/>
  <c r="AN68" i="10"/>
  <c r="AN69" i="10"/>
  <c r="W11" i="12"/>
  <c r="W9" i="12"/>
  <c r="W13" i="12"/>
  <c r="W10" i="12"/>
  <c r="W12" i="12"/>
  <c r="W14" i="12"/>
  <c r="W15" i="12"/>
  <c r="W17" i="12"/>
  <c r="W16" i="12"/>
  <c r="W18" i="12"/>
  <c r="W19" i="12"/>
  <c r="W20" i="12"/>
  <c r="W21" i="12"/>
  <c r="W22" i="12"/>
  <c r="W24" i="12"/>
  <c r="W25" i="12"/>
  <c r="W26" i="12"/>
  <c r="W27" i="12"/>
  <c r="W28" i="12"/>
  <c r="W29" i="12"/>
  <c r="W30" i="12"/>
  <c r="W31" i="12"/>
  <c r="V50" i="12"/>
  <c r="AQ25" i="12"/>
  <c r="AQ22" i="12"/>
  <c r="AQ21" i="12"/>
  <c r="AQ20" i="12"/>
  <c r="AQ19" i="12"/>
  <c r="AQ18" i="12"/>
  <c r="AQ16" i="12"/>
  <c r="AQ17" i="12"/>
  <c r="AQ12" i="12"/>
  <c r="AQ13" i="12"/>
  <c r="AL32" i="12"/>
  <c r="AL31" i="12"/>
  <c r="AL30" i="12"/>
  <c r="AL29" i="12"/>
  <c r="AL28" i="12"/>
  <c r="AL27" i="12"/>
  <c r="AL26" i="12"/>
  <c r="AL25" i="12"/>
  <c r="AL24" i="12"/>
  <c r="AL22" i="12"/>
  <c r="AL21" i="12"/>
  <c r="AL20" i="12"/>
  <c r="AL19" i="12"/>
  <c r="AL18" i="12"/>
  <c r="AL16" i="12"/>
  <c r="AL17" i="12"/>
  <c r="AL15" i="12"/>
  <c r="AL14" i="12"/>
  <c r="AL12" i="12"/>
  <c r="AL10" i="12"/>
  <c r="AL13" i="12"/>
  <c r="AL9" i="12"/>
  <c r="AL11" i="12"/>
  <c r="AG32" i="12"/>
  <c r="AG31" i="12"/>
  <c r="AG30" i="12"/>
  <c r="AG29" i="12"/>
  <c r="AG28" i="12"/>
  <c r="AG27" i="12"/>
  <c r="AG26" i="12"/>
  <c r="AG25" i="12"/>
  <c r="AG24" i="12"/>
  <c r="AG22" i="12"/>
  <c r="AG20" i="12"/>
  <c r="AG19" i="12"/>
  <c r="AG18" i="12"/>
  <c r="AG16" i="12"/>
  <c r="AG17" i="12"/>
  <c r="AG15" i="12"/>
  <c r="AG14" i="12"/>
  <c r="AG12" i="12"/>
  <c r="AG13" i="12"/>
  <c r="AG9" i="12"/>
  <c r="AB32" i="12"/>
  <c r="AB31" i="12"/>
  <c r="AB30" i="12"/>
  <c r="AB29" i="12"/>
  <c r="AB28" i="12"/>
  <c r="AB27" i="12"/>
  <c r="AB26" i="12"/>
  <c r="AB25" i="12"/>
  <c r="AB24" i="12"/>
  <c r="AB22" i="12"/>
  <c r="AB21" i="12"/>
  <c r="AB20" i="12"/>
  <c r="AB19" i="12"/>
  <c r="AB18" i="12"/>
  <c r="AB16" i="12"/>
  <c r="AB17" i="12"/>
  <c r="AB15" i="12"/>
  <c r="AB14" i="12"/>
  <c r="AB12" i="12"/>
  <c r="AB10" i="12"/>
  <c r="AB13" i="12"/>
  <c r="AB9" i="12"/>
  <c r="AB11" i="12"/>
  <c r="W32" i="12"/>
  <c r="R9" i="12"/>
  <c r="R13" i="12"/>
  <c r="R10" i="12"/>
  <c r="R12" i="12"/>
  <c r="R14" i="12"/>
  <c r="R15" i="12"/>
  <c r="R17" i="12"/>
  <c r="R16" i="12"/>
  <c r="R18" i="12"/>
  <c r="R19" i="12"/>
  <c r="R20" i="12"/>
  <c r="R21" i="12"/>
  <c r="R22" i="12"/>
  <c r="R24" i="12"/>
  <c r="R25" i="12"/>
  <c r="R26" i="12"/>
  <c r="R27" i="12"/>
  <c r="R28" i="12"/>
  <c r="R29" i="12"/>
  <c r="R30" i="12"/>
  <c r="R31" i="12"/>
  <c r="R32" i="12"/>
  <c r="AG49" i="12"/>
  <c r="AG48" i="12"/>
  <c r="AG47" i="12"/>
  <c r="AG46" i="12"/>
  <c r="AG45" i="12"/>
  <c r="AG44" i="12"/>
  <c r="AG43" i="12"/>
  <c r="AG42" i="12"/>
  <c r="AG41" i="12"/>
  <c r="AG40" i="12"/>
  <c r="AG39" i="12"/>
  <c r="AG38" i="12"/>
  <c r="AG37" i="12"/>
  <c r="AB49" i="12"/>
  <c r="AB48" i="12"/>
  <c r="AB47" i="12"/>
  <c r="AB46" i="12"/>
  <c r="AB45" i="12"/>
  <c r="AB44" i="12"/>
  <c r="AB43" i="12"/>
  <c r="AB42" i="12"/>
  <c r="AB41" i="12"/>
  <c r="AB40" i="12"/>
  <c r="AB39" i="12"/>
  <c r="AB38" i="12"/>
  <c r="AB37" i="12"/>
  <c r="W49" i="12"/>
  <c r="W48" i="12"/>
  <c r="W47" i="12"/>
  <c r="W46" i="12"/>
  <c r="W45" i="12"/>
  <c r="W44" i="12"/>
  <c r="W43" i="12"/>
  <c r="W41" i="12"/>
  <c r="W40" i="12"/>
  <c r="W39" i="12"/>
  <c r="W38" i="12"/>
  <c r="W37" i="12"/>
  <c r="R49" i="12"/>
  <c r="R48" i="12"/>
  <c r="R47" i="12"/>
  <c r="R46" i="12"/>
  <c r="R45" i="12"/>
  <c r="R44" i="12"/>
  <c r="R43" i="12"/>
  <c r="R42" i="12"/>
  <c r="R41" i="12"/>
  <c r="R40" i="12"/>
  <c r="R39" i="12"/>
  <c r="R38" i="12"/>
  <c r="R37" i="12"/>
  <c r="M49" i="12"/>
  <c r="M48" i="12"/>
  <c r="M47" i="12"/>
  <c r="M46" i="12"/>
  <c r="M45" i="12"/>
  <c r="M44" i="12"/>
  <c r="M43" i="12"/>
  <c r="M42" i="12"/>
  <c r="M41" i="12"/>
  <c r="M40" i="12"/>
  <c r="M39" i="12"/>
  <c r="M38" i="12"/>
  <c r="M37" i="12"/>
  <c r="H38" i="12"/>
  <c r="H39" i="12"/>
  <c r="H40" i="12"/>
  <c r="H41" i="12"/>
  <c r="H42" i="12"/>
  <c r="H43" i="12"/>
  <c r="H44" i="12"/>
  <c r="H45" i="12"/>
  <c r="H46" i="12"/>
  <c r="H47" i="12"/>
  <c r="H48" i="12"/>
  <c r="H49" i="12"/>
  <c r="H37" i="12"/>
  <c r="H71" i="12"/>
  <c r="H70" i="12"/>
  <c r="H69" i="12"/>
  <c r="H68" i="12"/>
  <c r="H67" i="12"/>
  <c r="H66" i="12"/>
  <c r="H65" i="12"/>
  <c r="H64" i="12"/>
  <c r="H63" i="12"/>
  <c r="H62" i="12"/>
  <c r="H61" i="12"/>
  <c r="H60" i="12"/>
  <c r="H59" i="12"/>
  <c r="H58" i="12"/>
  <c r="H57" i="12"/>
  <c r="M71" i="12"/>
  <c r="M70" i="12"/>
  <c r="M69" i="12"/>
  <c r="M68" i="12"/>
  <c r="M67" i="12"/>
  <c r="M66" i="12"/>
  <c r="M65" i="12"/>
  <c r="M64" i="12"/>
  <c r="M63" i="12"/>
  <c r="M62" i="12"/>
  <c r="M61" i="12"/>
  <c r="M60" i="12"/>
  <c r="M59" i="12"/>
  <c r="M58" i="12"/>
  <c r="M57" i="12"/>
  <c r="R71" i="12"/>
  <c r="R70" i="12"/>
  <c r="R69" i="12"/>
  <c r="R68" i="12"/>
  <c r="R67" i="12"/>
  <c r="R66" i="12"/>
  <c r="R65" i="12"/>
  <c r="R64" i="12"/>
  <c r="R63" i="12"/>
  <c r="R62" i="12"/>
  <c r="R61" i="12"/>
  <c r="R60" i="12"/>
  <c r="R59" i="12"/>
  <c r="R58" i="12"/>
  <c r="R57" i="12"/>
  <c r="AG71" i="12"/>
  <c r="AG70" i="12"/>
  <c r="AG69" i="12"/>
  <c r="AG68" i="12"/>
  <c r="AG67" i="12"/>
  <c r="AG66" i="12"/>
  <c r="AG65" i="12"/>
  <c r="AG64" i="12"/>
  <c r="AG63" i="12"/>
  <c r="AG62" i="12"/>
  <c r="AG61" i="12"/>
  <c r="AG60" i="12"/>
  <c r="AG59" i="12"/>
  <c r="AG58" i="12"/>
  <c r="AG57" i="12"/>
  <c r="W71" i="12"/>
  <c r="W70" i="12"/>
  <c r="W69" i="12"/>
  <c r="W68" i="12"/>
  <c r="W67" i="12"/>
  <c r="W66" i="12"/>
  <c r="W65" i="12"/>
  <c r="W64" i="12"/>
  <c r="W63" i="12"/>
  <c r="W61" i="12"/>
  <c r="W60" i="12"/>
  <c r="W59" i="12"/>
  <c r="W58" i="12"/>
  <c r="W57" i="12"/>
  <c r="AB58" i="12"/>
  <c r="AB59" i="12"/>
  <c r="AB60" i="12"/>
  <c r="AB61" i="12"/>
  <c r="AB62" i="12"/>
  <c r="AB63" i="12"/>
  <c r="AB64" i="12"/>
  <c r="AB65" i="12"/>
  <c r="AB66" i="12"/>
  <c r="AB67" i="12"/>
  <c r="AB68" i="12"/>
  <c r="AB70" i="12"/>
  <c r="AB71" i="12"/>
  <c r="AM15" i="12"/>
  <c r="AQ15" i="12" s="1"/>
  <c r="AM14" i="12"/>
  <c r="AQ14" i="12" s="1"/>
  <c r="AM48" i="28"/>
  <c r="AM79" i="28"/>
  <c r="F81" i="24" s="1"/>
  <c r="E8" i="25"/>
  <c r="AM38" i="10"/>
  <c r="AM21" i="10"/>
  <c r="AM36" i="10" l="1"/>
  <c r="AQ36" i="10" s="1"/>
  <c r="D18" i="24"/>
  <c r="AR49" i="28"/>
  <c r="F67" i="24"/>
  <c r="AN28" i="28"/>
  <c r="AR27" i="28"/>
  <c r="AN81" i="28"/>
  <c r="AR80" i="28"/>
  <c r="AN50" i="28"/>
  <c r="K26" i="31"/>
  <c r="AN79" i="10"/>
  <c r="AN70" i="10"/>
  <c r="AN74" i="10"/>
  <c r="AN76" i="10"/>
  <c r="AN63" i="10" s="1"/>
  <c r="AM23" i="28"/>
  <c r="R50" i="12"/>
  <c r="AM150" i="28"/>
  <c r="AM7" i="34" s="1"/>
  <c r="AM143" i="28"/>
  <c r="AM139" i="28"/>
  <c r="AM136" i="28"/>
  <c r="AM133" i="28"/>
  <c r="AM129" i="28"/>
  <c r="AR131" i="28" s="1"/>
  <c r="AM119" i="28"/>
  <c r="AM115" i="28"/>
  <c r="AM112" i="28"/>
  <c r="AM109" i="28"/>
  <c r="AM105" i="28"/>
  <c r="AR107" i="28" s="1"/>
  <c r="AM104" i="28"/>
  <c r="AM34" i="28" s="1"/>
  <c r="AM101" i="28"/>
  <c r="AM100" i="28"/>
  <c r="AM94" i="28"/>
  <c r="AM85" i="28"/>
  <c r="AM84" i="28"/>
  <c r="AM83" i="28"/>
  <c r="AM78" i="28"/>
  <c r="AM77" i="28"/>
  <c r="AM73" i="28"/>
  <c r="AM72" i="28"/>
  <c r="AM71" i="28"/>
  <c r="AM69" i="28"/>
  <c r="AM68" i="28"/>
  <c r="AM64" i="28"/>
  <c r="AM63" i="28"/>
  <c r="AM62" i="28"/>
  <c r="AM61" i="28"/>
  <c r="F74" i="24" s="1"/>
  <c r="AM55" i="28"/>
  <c r="F70" i="24" s="1"/>
  <c r="AM53" i="28"/>
  <c r="AM52" i="28"/>
  <c r="AM47" i="28"/>
  <c r="AM46" i="28"/>
  <c r="AM42" i="28"/>
  <c r="AM41" i="28"/>
  <c r="AM40" i="28"/>
  <c r="AM38" i="28"/>
  <c r="AM37" i="28"/>
  <c r="AM36" i="28"/>
  <c r="AM29" i="28"/>
  <c r="AM28" i="28"/>
  <c r="AM27" i="28"/>
  <c r="AM22" i="28"/>
  <c r="AM21" i="28"/>
  <c r="AM17" i="28"/>
  <c r="AM16" i="28"/>
  <c r="AM15" i="28"/>
  <c r="AM13" i="28"/>
  <c r="AM12" i="28"/>
  <c r="AM8" i="28"/>
  <c r="AM7" i="28"/>
  <c r="AM6" i="28"/>
  <c r="AM5" i="28"/>
  <c r="AM83" i="12"/>
  <c r="AM72" i="12"/>
  <c r="AM50" i="12"/>
  <c r="AM4" i="12"/>
  <c r="AM55" i="11"/>
  <c r="AM32" i="11"/>
  <c r="AM39" i="11" s="1"/>
  <c r="AM14" i="11"/>
  <c r="AM20" i="11" s="1"/>
  <c r="AM4" i="11"/>
  <c r="AM92" i="10"/>
  <c r="AM52" i="10"/>
  <c r="AM40" i="10"/>
  <c r="D38" i="24" l="1"/>
  <c r="AS80" i="10"/>
  <c r="AQ7" i="34"/>
  <c r="AM9" i="34"/>
  <c r="AR8" i="34"/>
  <c r="K4" i="31"/>
  <c r="F46" i="24"/>
  <c r="K5" i="31"/>
  <c r="F61" i="24"/>
  <c r="AR24" i="28"/>
  <c r="F53" i="24"/>
  <c r="AN118" i="28"/>
  <c r="AR117" i="28"/>
  <c r="AM89" i="28"/>
  <c r="AR90" i="28" s="1"/>
  <c r="AR30" i="28"/>
  <c r="AN135" i="28"/>
  <c r="AR134" i="28"/>
  <c r="AN87" i="28"/>
  <c r="AR86" i="28"/>
  <c r="AN138" i="28"/>
  <c r="AR137" i="28"/>
  <c r="AN10" i="28"/>
  <c r="AR9" i="28"/>
  <c r="AN142" i="28"/>
  <c r="AR141" i="28"/>
  <c r="AN114" i="28"/>
  <c r="AR113" i="28"/>
  <c r="AN146" i="28"/>
  <c r="AR145" i="28"/>
  <c r="AN75" i="28"/>
  <c r="AR74" i="28"/>
  <c r="AN122" i="28"/>
  <c r="AR121" i="28"/>
  <c r="AN66" i="28"/>
  <c r="AR65" i="28"/>
  <c r="AN153" i="28"/>
  <c r="AR152" i="28"/>
  <c r="AN57" i="11"/>
  <c r="AR56" i="11"/>
  <c r="AN44" i="28"/>
  <c r="AR43" i="28"/>
  <c r="AN19" i="28"/>
  <c r="AR18" i="28"/>
  <c r="AN111" i="28"/>
  <c r="AR110" i="28"/>
  <c r="AN25" i="28"/>
  <c r="K25" i="31"/>
  <c r="AN7" i="12"/>
  <c r="AN33" i="12" s="1"/>
  <c r="AN64" i="10"/>
  <c r="AN81" i="10"/>
  <c r="AN77" i="10"/>
  <c r="AN31" i="28"/>
  <c r="AN97" i="28"/>
  <c r="AM95" i="28"/>
  <c r="AN130" i="28"/>
  <c r="AN132" i="28"/>
  <c r="AN108" i="28"/>
  <c r="AN106" i="28"/>
  <c r="AM154" i="28"/>
  <c r="AM3" i="28"/>
  <c r="AM5" i="10"/>
  <c r="AM123" i="28"/>
  <c r="AR124" i="28" s="1"/>
  <c r="AM14" i="10"/>
  <c r="AM59" i="28"/>
  <c r="AM147" i="28"/>
  <c r="AM8" i="10"/>
  <c r="AM44" i="11"/>
  <c r="AM45" i="11" s="1"/>
  <c r="L147" i="28"/>
  <c r="K147" i="28"/>
  <c r="J147" i="28"/>
  <c r="I147" i="28"/>
  <c r="Q147" i="28"/>
  <c r="P147" i="28"/>
  <c r="O147" i="28"/>
  <c r="N147" i="28"/>
  <c r="V147" i="28"/>
  <c r="U147" i="28"/>
  <c r="T147" i="28"/>
  <c r="S147" i="28"/>
  <c r="Z147" i="28"/>
  <c r="Y147" i="28"/>
  <c r="X147" i="28"/>
  <c r="AV104" i="28"/>
  <c r="AV34" i="28" s="1"/>
  <c r="AU104" i="28"/>
  <c r="AU34" i="28" s="1"/>
  <c r="AT104" i="28"/>
  <c r="AT34" i="28" s="1"/>
  <c r="AU81" i="28"/>
  <c r="AT81" i="28"/>
  <c r="AU80" i="28"/>
  <c r="AT80" i="28"/>
  <c r="AV61" i="28"/>
  <c r="AU50" i="28"/>
  <c r="AT50" i="28"/>
  <c r="AU49" i="28"/>
  <c r="AT49" i="28"/>
  <c r="AV36" i="28"/>
  <c r="AU25" i="28"/>
  <c r="AT25" i="28"/>
  <c r="AU24" i="28"/>
  <c r="AT24" i="28"/>
  <c r="AV5" i="28"/>
  <c r="AJ83" i="12"/>
  <c r="AV74" i="12"/>
  <c r="AU72" i="12"/>
  <c r="AT72" i="12"/>
  <c r="AU50" i="12"/>
  <c r="AT50" i="12"/>
  <c r="AV46" i="12"/>
  <c r="AV45" i="12"/>
  <c r="AV44" i="12"/>
  <c r="AV43" i="12"/>
  <c r="AV42" i="12"/>
  <c r="AV41" i="12"/>
  <c r="AV40" i="12"/>
  <c r="AV39" i="12"/>
  <c r="AV38" i="12"/>
  <c r="AV37" i="12"/>
  <c r="AV25" i="12"/>
  <c r="AV22" i="12"/>
  <c r="AV21" i="12"/>
  <c r="AV20" i="12"/>
  <c r="AV19" i="12"/>
  <c r="AV16" i="12"/>
  <c r="AV17" i="12"/>
  <c r="AV14" i="12"/>
  <c r="AV12" i="12"/>
  <c r="AU10" i="12"/>
  <c r="AT10" i="12"/>
  <c r="AV13" i="12"/>
  <c r="AU9" i="12"/>
  <c r="AT9" i="12"/>
  <c r="AU11" i="12"/>
  <c r="AT11" i="12"/>
  <c r="AV4" i="12"/>
  <c r="AU4" i="12"/>
  <c r="AT4" i="12"/>
  <c r="AV37" i="11"/>
  <c r="AV11" i="11"/>
  <c r="AT8" i="11"/>
  <c r="AU8" i="11" s="1"/>
  <c r="AV8" i="11" s="1"/>
  <c r="AW8" i="11" s="1"/>
  <c r="AV73" i="10"/>
  <c r="AV58" i="10"/>
  <c r="AV57" i="10"/>
  <c r="AU52" i="10"/>
  <c r="AT52" i="10"/>
  <c r="K23" i="24"/>
  <c r="AV50" i="10"/>
  <c r="AV49" i="10"/>
  <c r="AV48" i="10"/>
  <c r="AV47" i="10"/>
  <c r="AV46" i="10"/>
  <c r="D39" i="24" l="1"/>
  <c r="AS82" i="10"/>
  <c r="L23" i="24"/>
  <c r="E23" i="24"/>
  <c r="F23" i="24" s="1"/>
  <c r="H23" i="24"/>
  <c r="I23" i="24" s="1"/>
  <c r="AM13" i="34"/>
  <c r="AM33" i="34"/>
  <c r="AQ9" i="34"/>
  <c r="AM37" i="34"/>
  <c r="AN11" i="34"/>
  <c r="AM31" i="34"/>
  <c r="AM16" i="34"/>
  <c r="AM15" i="34"/>
  <c r="AR10" i="34"/>
  <c r="AV59" i="10"/>
  <c r="AR9" i="10"/>
  <c r="AN149" i="28"/>
  <c r="AR148" i="28"/>
  <c r="AR15" i="10"/>
  <c r="AR6" i="10"/>
  <c r="AN156" i="28"/>
  <c r="AR155" i="28"/>
  <c r="K3" i="31"/>
  <c r="K48" i="31"/>
  <c r="K24" i="31"/>
  <c r="AN52" i="12"/>
  <c r="AN53" i="12" s="1"/>
  <c r="AN34" i="12"/>
  <c r="AN76" i="12"/>
  <c r="AN91" i="28"/>
  <c r="AV61" i="10"/>
  <c r="AN16" i="10"/>
  <c r="AN7" i="10"/>
  <c r="AM116" i="28"/>
  <c r="AN125" i="28"/>
  <c r="AN10" i="10"/>
  <c r="AU59" i="28"/>
  <c r="AM11" i="10"/>
  <c r="AM93" i="28"/>
  <c r="AM128" i="28"/>
  <c r="AM151" i="28"/>
  <c r="AM144" i="28"/>
  <c r="AM140" i="28"/>
  <c r="AM120" i="28"/>
  <c r="Q149" i="28"/>
  <c r="AV59" i="28"/>
  <c r="AV3" i="28"/>
  <c r="AV93" i="28" s="1"/>
  <c r="AV72" i="12"/>
  <c r="AV10" i="12"/>
  <c r="T148" i="28"/>
  <c r="Z148" i="28"/>
  <c r="O148" i="28"/>
  <c r="P149" i="28"/>
  <c r="N148" i="28"/>
  <c r="AV52" i="10"/>
  <c r="Z149" i="28"/>
  <c r="P148" i="28"/>
  <c r="AV9" i="12"/>
  <c r="S148" i="28"/>
  <c r="AV50" i="12"/>
  <c r="M147" i="28"/>
  <c r="N149" i="28"/>
  <c r="Q148" i="28"/>
  <c r="R147" i="28"/>
  <c r="V148" i="28"/>
  <c r="O149" i="28"/>
  <c r="W147" i="28"/>
  <c r="S149" i="28"/>
  <c r="T149" i="28"/>
  <c r="U149" i="28"/>
  <c r="V149" i="28"/>
  <c r="X148" i="28"/>
  <c r="U148" i="28"/>
  <c r="Y148" i="28"/>
  <c r="X149" i="28"/>
  <c r="Y149" i="28"/>
  <c r="AU3" i="28"/>
  <c r="AT3" i="28"/>
  <c r="AT59" i="28"/>
  <c r="AV11" i="12"/>
  <c r="H14" i="10"/>
  <c r="AC3" i="3"/>
  <c r="AE3" i="3"/>
  <c r="AF3" i="3"/>
  <c r="AG3" i="3"/>
  <c r="AH3" i="3"/>
  <c r="AJ3" i="3"/>
  <c r="AK3" i="3"/>
  <c r="AM14" i="3"/>
  <c r="AM3" i="3" s="1"/>
  <c r="L14" i="10"/>
  <c r="K14" i="10"/>
  <c r="J14" i="10"/>
  <c r="I14" i="10"/>
  <c r="Q14" i="10"/>
  <c r="P14" i="10"/>
  <c r="O14" i="10"/>
  <c r="N14" i="10"/>
  <c r="V14" i="10"/>
  <c r="U14" i="10"/>
  <c r="T14" i="10"/>
  <c r="S14" i="10"/>
  <c r="Z14" i="10"/>
  <c r="Y14" i="10"/>
  <c r="X14" i="10"/>
  <c r="W8" i="10"/>
  <c r="R8" i="10"/>
  <c r="M8" i="10"/>
  <c r="AA142" i="29"/>
  <c r="Z142" i="29"/>
  <c r="Y142" i="29"/>
  <c r="X142" i="29"/>
  <c r="V142" i="29"/>
  <c r="U142" i="29"/>
  <c r="T142" i="29"/>
  <c r="S142" i="29"/>
  <c r="Q142" i="29"/>
  <c r="P142" i="29"/>
  <c r="O142" i="29"/>
  <c r="N142" i="29"/>
  <c r="L142" i="29"/>
  <c r="K142" i="29"/>
  <c r="J142" i="29"/>
  <c r="I142" i="29"/>
  <c r="T138" i="29"/>
  <c r="T139" i="29" s="1"/>
  <c r="T134" i="29"/>
  <c r="AA130" i="29"/>
  <c r="Z130" i="29"/>
  <c r="Y130" i="29"/>
  <c r="X130" i="29"/>
  <c r="V130" i="29"/>
  <c r="U130" i="29"/>
  <c r="T130" i="29"/>
  <c r="S130" i="29"/>
  <c r="Q130" i="29"/>
  <c r="P130" i="29"/>
  <c r="O130" i="29"/>
  <c r="N130" i="29"/>
  <c r="L130" i="29"/>
  <c r="N127" i="29"/>
  <c r="L127" i="29"/>
  <c r="T121" i="29"/>
  <c r="T122" i="29" s="1"/>
  <c r="Z120" i="29"/>
  <c r="Z121" i="29" s="1"/>
  <c r="Z122" i="29" s="1"/>
  <c r="Y120" i="29"/>
  <c r="Y121" i="29" s="1"/>
  <c r="Y122" i="29" s="1"/>
  <c r="Z115" i="29"/>
  <c r="Z116" i="29" s="1"/>
  <c r="Y115" i="29"/>
  <c r="Y116" i="29" s="1"/>
  <c r="T115" i="29"/>
  <c r="AK99" i="29"/>
  <c r="AJ99" i="29"/>
  <c r="AI99" i="29"/>
  <c r="AH99" i="29"/>
  <c r="AF99" i="29"/>
  <c r="AE99" i="29"/>
  <c r="AD99" i="29"/>
  <c r="AC99" i="29"/>
  <c r="Z99" i="29"/>
  <c r="Y99" i="29"/>
  <c r="X99" i="29"/>
  <c r="V99" i="29"/>
  <c r="U99" i="29"/>
  <c r="T99" i="29"/>
  <c r="S99" i="29"/>
  <c r="Q99" i="29"/>
  <c r="P99" i="29"/>
  <c r="O99" i="29"/>
  <c r="Q93" i="29"/>
  <c r="P93" i="29"/>
  <c r="AM92" i="29"/>
  <c r="AN92" i="29" s="1"/>
  <c r="AO92" i="29" s="1"/>
  <c r="AP92" i="29" s="1"/>
  <c r="AQ92" i="29" s="1"/>
  <c r="AL92" i="29"/>
  <c r="AG92" i="29"/>
  <c r="AA92" i="29"/>
  <c r="AA99" i="29" s="1"/>
  <c r="W92" i="29"/>
  <c r="N92" i="29"/>
  <c r="R92" i="29" s="1"/>
  <c r="L92" i="29"/>
  <c r="L99" i="29" s="1"/>
  <c r="K92" i="29"/>
  <c r="K99" i="29" s="1"/>
  <c r="J92" i="29"/>
  <c r="J99" i="29" s="1"/>
  <c r="I92" i="29"/>
  <c r="I99" i="29" s="1"/>
  <c r="G92" i="29"/>
  <c r="F92" i="29"/>
  <c r="E92" i="29"/>
  <c r="D92" i="29"/>
  <c r="AL91" i="29"/>
  <c r="AM91" i="29" s="1"/>
  <c r="AG91" i="29"/>
  <c r="AB91" i="29"/>
  <c r="W91" i="29"/>
  <c r="R91" i="29"/>
  <c r="M91" i="29"/>
  <c r="H91" i="29"/>
  <c r="AQ80" i="29"/>
  <c r="AL80" i="29"/>
  <c r="AG80" i="29"/>
  <c r="AB80" i="29"/>
  <c r="W80" i="29"/>
  <c r="R80" i="29"/>
  <c r="M80" i="29"/>
  <c r="H80" i="29"/>
  <c r="AT76" i="29"/>
  <c r="AS76" i="29"/>
  <c r="AI74" i="29"/>
  <c r="AH74" i="29"/>
  <c r="AF74" i="29"/>
  <c r="AE74" i="29"/>
  <c r="AD74" i="29"/>
  <c r="X74" i="29"/>
  <c r="W74" i="29"/>
  <c r="R74" i="29"/>
  <c r="M74" i="29"/>
  <c r="H74" i="29"/>
  <c r="AP68" i="29"/>
  <c r="AO68" i="29"/>
  <c r="AN68" i="29"/>
  <c r="AM68" i="29"/>
  <c r="V68" i="29"/>
  <c r="S68" i="29"/>
  <c r="Q68" i="29"/>
  <c r="P68" i="29"/>
  <c r="N68" i="29"/>
  <c r="L68" i="29"/>
  <c r="K68" i="29"/>
  <c r="J68" i="29"/>
  <c r="I68" i="29"/>
  <c r="G68" i="29"/>
  <c r="F68" i="29"/>
  <c r="E68" i="29"/>
  <c r="D68" i="29"/>
  <c r="AB67" i="29"/>
  <c r="AQ66" i="29"/>
  <c r="AK66" i="29"/>
  <c r="AK68" i="29" s="1"/>
  <c r="AK69" i="29" s="1"/>
  <c r="AJ66" i="29"/>
  <c r="AJ68" i="29" s="1"/>
  <c r="AJ69" i="29" s="1"/>
  <c r="AI66" i="29"/>
  <c r="AI68" i="29" s="1"/>
  <c r="AH66" i="29"/>
  <c r="AH68" i="29" s="1"/>
  <c r="AF66" i="29"/>
  <c r="AF68" i="29" s="1"/>
  <c r="AE66" i="29"/>
  <c r="AD66" i="29"/>
  <c r="AD68" i="29" s="1"/>
  <c r="AC66" i="29"/>
  <c r="AC68" i="29" s="1"/>
  <c r="AA66" i="29"/>
  <c r="AA68" i="29" s="1"/>
  <c r="Z66" i="29"/>
  <c r="Z68" i="29" s="1"/>
  <c r="Y66" i="29"/>
  <c r="Y68" i="29" s="1"/>
  <c r="X66" i="29"/>
  <c r="U66" i="29"/>
  <c r="U68" i="29" s="1"/>
  <c r="T66" i="29"/>
  <c r="T68" i="29" s="1"/>
  <c r="O66" i="29"/>
  <c r="M66" i="29"/>
  <c r="H66" i="29"/>
  <c r="AQ65" i="29"/>
  <c r="AL65" i="29"/>
  <c r="AG65" i="29"/>
  <c r="AB65" i="29"/>
  <c r="W65" i="29"/>
  <c r="R65" i="29"/>
  <c r="M65" i="29"/>
  <c r="H65" i="29"/>
  <c r="AQ64" i="29"/>
  <c r="AL64" i="29"/>
  <c r="AG64" i="29"/>
  <c r="AB64" i="29"/>
  <c r="W64" i="29"/>
  <c r="AQ63" i="29"/>
  <c r="AL63" i="29"/>
  <c r="AG63" i="29"/>
  <c r="AB63" i="29"/>
  <c r="W63" i="29"/>
  <c r="R63" i="29"/>
  <c r="M63" i="29"/>
  <c r="H63" i="29"/>
  <c r="AP58" i="29"/>
  <c r="AO58" i="29"/>
  <c r="AN58" i="29"/>
  <c r="AM58" i="29"/>
  <c r="AK58" i="29"/>
  <c r="AJ58" i="29"/>
  <c r="AF58" i="29"/>
  <c r="AE58" i="29"/>
  <c r="AD58" i="29"/>
  <c r="AA58" i="29"/>
  <c r="Y58" i="29"/>
  <c r="Q58" i="29"/>
  <c r="P58" i="29"/>
  <c r="O58" i="29"/>
  <c r="N58" i="29"/>
  <c r="L58" i="29"/>
  <c r="K58" i="29"/>
  <c r="J58" i="29"/>
  <c r="I58" i="29"/>
  <c r="G58" i="29"/>
  <c r="F58" i="29"/>
  <c r="E58" i="29"/>
  <c r="D58" i="29"/>
  <c r="AF57" i="29"/>
  <c r="AE57" i="29"/>
  <c r="AD57" i="29"/>
  <c r="AA57" i="29"/>
  <c r="Z57" i="29"/>
  <c r="Y57" i="29"/>
  <c r="AQ56" i="29"/>
  <c r="AL56" i="29"/>
  <c r="AG56" i="29"/>
  <c r="X56" i="29"/>
  <c r="AB56" i="29" s="1"/>
  <c r="V56" i="29"/>
  <c r="V58" i="29" s="1"/>
  <c r="U56" i="29"/>
  <c r="U58" i="29" s="1"/>
  <c r="T56" i="29"/>
  <c r="S56" i="29"/>
  <c r="R56" i="29"/>
  <c r="M56" i="29"/>
  <c r="H56" i="29"/>
  <c r="AQ55" i="29"/>
  <c r="AL55" i="29"/>
  <c r="AG55" i="29"/>
  <c r="AB55" i="29"/>
  <c r="S55" i="29"/>
  <c r="R55" i="29"/>
  <c r="M55" i="29"/>
  <c r="H55" i="29"/>
  <c r="AQ54" i="29"/>
  <c r="AL54" i="29"/>
  <c r="AG54" i="29"/>
  <c r="AB54" i="29"/>
  <c r="W54" i="29"/>
  <c r="R54" i="29"/>
  <c r="M54" i="29"/>
  <c r="H54" i="29"/>
  <c r="AQ53" i="29"/>
  <c r="AL53" i="29"/>
  <c r="AG53" i="29"/>
  <c r="AB53" i="29"/>
  <c r="W53" i="29"/>
  <c r="R53" i="29"/>
  <c r="M53" i="29"/>
  <c r="H53" i="29"/>
  <c r="AQ52" i="29"/>
  <c r="AL52" i="29"/>
  <c r="AG52" i="29"/>
  <c r="AB52" i="29"/>
  <c r="AQ51" i="29"/>
  <c r="AL51" i="29"/>
  <c r="AG51" i="29"/>
  <c r="AB51" i="29"/>
  <c r="AQ50" i="29"/>
  <c r="AL50" i="29"/>
  <c r="AG50" i="29"/>
  <c r="AB50" i="29"/>
  <c r="W50" i="29"/>
  <c r="R50" i="29"/>
  <c r="M50" i="29"/>
  <c r="H50" i="29"/>
  <c r="AQ49" i="29"/>
  <c r="AL49" i="29"/>
  <c r="AG49" i="29"/>
  <c r="AB49" i="29"/>
  <c r="W49" i="29"/>
  <c r="R49" i="29"/>
  <c r="M49" i="29"/>
  <c r="H49" i="29"/>
  <c r="AQ48" i="29"/>
  <c r="AL48" i="29"/>
  <c r="AC48" i="29"/>
  <c r="AG48" i="29" s="1"/>
  <c r="AB48" i="29"/>
  <c r="T48" i="29"/>
  <c r="S48" i="29"/>
  <c r="R48" i="29"/>
  <c r="M48" i="29"/>
  <c r="H48" i="29"/>
  <c r="AQ47" i="29"/>
  <c r="AI47" i="29"/>
  <c r="AI58" i="29" s="1"/>
  <c r="AH47" i="29"/>
  <c r="AG47" i="29"/>
  <c r="Z47" i="29"/>
  <c r="Z58" i="29" s="1"/>
  <c r="X47" i="29"/>
  <c r="W47" i="29"/>
  <c r="AJ41" i="29"/>
  <c r="AC41" i="29"/>
  <c r="V41" i="29"/>
  <c r="U41" i="29"/>
  <c r="N41" i="29"/>
  <c r="L41" i="29"/>
  <c r="K41" i="29"/>
  <c r="J41" i="29"/>
  <c r="I41" i="29"/>
  <c r="G41" i="29"/>
  <c r="F41" i="29"/>
  <c r="E41" i="29"/>
  <c r="D41" i="29"/>
  <c r="AK39" i="29"/>
  <c r="AI39" i="29"/>
  <c r="AH39" i="29"/>
  <c r="AF39" i="29"/>
  <c r="AF40" i="29" s="1"/>
  <c r="AE39" i="29"/>
  <c r="AE40" i="29" s="1"/>
  <c r="AD39" i="29"/>
  <c r="AD40" i="29" s="1"/>
  <c r="AA39" i="29"/>
  <c r="AA40" i="29" s="1"/>
  <c r="Z39" i="29"/>
  <c r="Y39" i="29"/>
  <c r="Y40" i="29" s="1"/>
  <c r="X39" i="29"/>
  <c r="W39" i="29"/>
  <c r="Q39" i="29"/>
  <c r="P39" i="29"/>
  <c r="O39" i="29"/>
  <c r="M39" i="29"/>
  <c r="H39" i="29"/>
  <c r="AI37" i="29"/>
  <c r="AH37" i="29"/>
  <c r="AF37" i="29"/>
  <c r="AF38" i="29" s="1"/>
  <c r="AE37" i="29"/>
  <c r="AE38" i="29" s="1"/>
  <c r="AD37" i="29"/>
  <c r="AA37" i="29"/>
  <c r="AA38" i="29" s="1"/>
  <c r="Z37" i="29"/>
  <c r="Z38" i="29" s="1"/>
  <c r="Y37" i="29"/>
  <c r="Y38" i="29" s="1"/>
  <c r="X37" i="29"/>
  <c r="T37" i="29"/>
  <c r="S37" i="29"/>
  <c r="Q37" i="29"/>
  <c r="P37" i="29"/>
  <c r="O37" i="29"/>
  <c r="M37" i="29"/>
  <c r="H37" i="29"/>
  <c r="AI35" i="29"/>
  <c r="AH35" i="29"/>
  <c r="AF35" i="29"/>
  <c r="AE35" i="29"/>
  <c r="AE36" i="29" s="1"/>
  <c r="AD35" i="29"/>
  <c r="AA35" i="29"/>
  <c r="Z35" i="29"/>
  <c r="Z36" i="29" s="1"/>
  <c r="Y35" i="29"/>
  <c r="Y36" i="29" s="1"/>
  <c r="X35" i="29"/>
  <c r="T35" i="29"/>
  <c r="S35" i="29"/>
  <c r="Q35" i="29"/>
  <c r="P35" i="29"/>
  <c r="O35" i="29"/>
  <c r="M35" i="29"/>
  <c r="H35" i="29"/>
  <c r="AK30" i="29"/>
  <c r="AJ30" i="29"/>
  <c r="AI30" i="29"/>
  <c r="AH30" i="29"/>
  <c r="AF30" i="29"/>
  <c r="AF31" i="29" s="1"/>
  <c r="AF32" i="29" s="1"/>
  <c r="AE30" i="29"/>
  <c r="AE31" i="29" s="1"/>
  <c r="AE32" i="29" s="1"/>
  <c r="AD30" i="29"/>
  <c r="AC30" i="29"/>
  <c r="AA30" i="29"/>
  <c r="AA31" i="29" s="1"/>
  <c r="Z30" i="29"/>
  <c r="Z31" i="29" s="1"/>
  <c r="Y30" i="29"/>
  <c r="Y31" i="29" s="1"/>
  <c r="Y32" i="29" s="1"/>
  <c r="X30" i="29"/>
  <c r="V30" i="29"/>
  <c r="U30" i="29"/>
  <c r="T30" i="29"/>
  <c r="S30" i="29"/>
  <c r="Q30" i="29"/>
  <c r="P30" i="29"/>
  <c r="O30" i="29"/>
  <c r="M30" i="29"/>
  <c r="H30" i="29"/>
  <c r="AF28" i="29"/>
  <c r="AE28" i="29"/>
  <c r="AA28" i="29"/>
  <c r="Z28" i="29"/>
  <c r="AF27" i="29"/>
  <c r="AE27" i="29"/>
  <c r="AD27" i="29"/>
  <c r="AI26" i="29"/>
  <c r="AI27" i="29" s="1"/>
  <c r="AH26" i="29"/>
  <c r="AH28" i="29" s="1"/>
  <c r="AK25" i="29"/>
  <c r="AJ25" i="29"/>
  <c r="AI25" i="29"/>
  <c r="AH25" i="29"/>
  <c r="AK24" i="29"/>
  <c r="AF24" i="29"/>
  <c r="AL23" i="29"/>
  <c r="AL24" i="29" s="1"/>
  <c r="AE23" i="29"/>
  <c r="AD23" i="29"/>
  <c r="AC23" i="29"/>
  <c r="AH24" i="29" s="1"/>
  <c r="AB23" i="29"/>
  <c r="AG24" i="29" s="1"/>
  <c r="Z23" i="29"/>
  <c r="Y23" i="29"/>
  <c r="X23" i="29"/>
  <c r="W23" i="29"/>
  <c r="V23" i="29"/>
  <c r="V26" i="29" s="1"/>
  <c r="V36" i="29" s="1"/>
  <c r="U23" i="29"/>
  <c r="T23" i="29"/>
  <c r="S23" i="29"/>
  <c r="R23" i="29"/>
  <c r="Q23" i="29"/>
  <c r="Q26" i="29" s="1"/>
  <c r="P23" i="29"/>
  <c r="O23" i="29"/>
  <c r="N23" i="29"/>
  <c r="N26" i="29" s="1"/>
  <c r="M23" i="29"/>
  <c r="L23" i="29"/>
  <c r="K23" i="29"/>
  <c r="K26" i="29" s="1"/>
  <c r="K57" i="29" s="1"/>
  <c r="J23" i="29"/>
  <c r="J26" i="29" s="1"/>
  <c r="J36" i="29" s="1"/>
  <c r="I23" i="29"/>
  <c r="H23" i="29"/>
  <c r="G23" i="29"/>
  <c r="G26" i="29" s="1"/>
  <c r="G31" i="29" s="1"/>
  <c r="F23" i="29"/>
  <c r="F26" i="29" s="1"/>
  <c r="F36" i="29" s="1"/>
  <c r="E23" i="29"/>
  <c r="E26" i="29" s="1"/>
  <c r="E71" i="29" s="1"/>
  <c r="D23" i="29"/>
  <c r="D26" i="29" s="1"/>
  <c r="AI22" i="29"/>
  <c r="AH22" i="29"/>
  <c r="V22" i="29"/>
  <c r="U22" i="29"/>
  <c r="T22" i="29"/>
  <c r="S22" i="29"/>
  <c r="Q22" i="29"/>
  <c r="P22" i="29"/>
  <c r="O22" i="29"/>
  <c r="N22" i="29"/>
  <c r="L22" i="29"/>
  <c r="K22" i="29"/>
  <c r="J22" i="29"/>
  <c r="AF21" i="29"/>
  <c r="AA21" i="29"/>
  <c r="V21" i="29"/>
  <c r="U21" i="29"/>
  <c r="T21" i="29"/>
  <c r="S21" i="29"/>
  <c r="Q21" i="29"/>
  <c r="P21" i="29"/>
  <c r="O21" i="29"/>
  <c r="N21" i="29"/>
  <c r="L21" i="29"/>
  <c r="K21" i="29"/>
  <c r="J21" i="29"/>
  <c r="I21" i="29"/>
  <c r="X20" i="29"/>
  <c r="W20" i="29"/>
  <c r="R20" i="29"/>
  <c r="M20" i="29"/>
  <c r="H20" i="29"/>
  <c r="AW19" i="29"/>
  <c r="AW25" i="29" s="1"/>
  <c r="AK15" i="29"/>
  <c r="AJ15" i="29"/>
  <c r="AI15" i="29"/>
  <c r="AH15" i="29"/>
  <c r="AF15" i="29"/>
  <c r="AE15" i="29"/>
  <c r="AD15" i="29"/>
  <c r="AC15" i="29"/>
  <c r="AA15" i="29"/>
  <c r="Z15" i="29"/>
  <c r="Y15" i="29"/>
  <c r="X15" i="29"/>
  <c r="AK13" i="29"/>
  <c r="AJ13" i="29"/>
  <c r="AI13" i="29"/>
  <c r="AH13" i="29"/>
  <c r="AF13" i="29"/>
  <c r="AE13" i="29"/>
  <c r="AD13" i="29"/>
  <c r="AC13" i="29"/>
  <c r="AA13" i="29"/>
  <c r="Z13" i="29"/>
  <c r="Y13" i="29"/>
  <c r="X13" i="29"/>
  <c r="V13" i="29"/>
  <c r="U13" i="29"/>
  <c r="T13" i="29"/>
  <c r="S13" i="29"/>
  <c r="Q13" i="29"/>
  <c r="P13" i="29"/>
  <c r="P17" i="29" s="1"/>
  <c r="O13" i="29"/>
  <c r="N13" i="29"/>
  <c r="L13" i="29"/>
  <c r="L17" i="29" s="1"/>
  <c r="K13" i="29"/>
  <c r="K17" i="29" s="1"/>
  <c r="J13" i="29"/>
  <c r="J17" i="29" s="1"/>
  <c r="I13" i="29"/>
  <c r="I17" i="29" s="1"/>
  <c r="AP7" i="29"/>
  <c r="AO7" i="29"/>
  <c r="AN7" i="29"/>
  <c r="AM7" i="29"/>
  <c r="AK7" i="29"/>
  <c r="AJ7" i="29"/>
  <c r="AI7" i="29"/>
  <c r="AH7" i="29"/>
  <c r="AF7" i="29"/>
  <c r="AE7" i="29"/>
  <c r="AD7" i="29"/>
  <c r="AC7" i="29"/>
  <c r="AA7" i="29"/>
  <c r="Z7" i="29"/>
  <c r="Y7" i="29"/>
  <c r="X7" i="29"/>
  <c r="AI5" i="29"/>
  <c r="AH5" i="29"/>
  <c r="AF5" i="29"/>
  <c r="AE5" i="29"/>
  <c r="AD5" i="29"/>
  <c r="AC5" i="29"/>
  <c r="AA5" i="29"/>
  <c r="Z5" i="29"/>
  <c r="Y5" i="29"/>
  <c r="X5" i="29"/>
  <c r="V5" i="29"/>
  <c r="V9" i="29" s="1"/>
  <c r="U5" i="29"/>
  <c r="U9" i="29" s="1"/>
  <c r="T5" i="29"/>
  <c r="T9" i="29" s="1"/>
  <c r="S5" i="29"/>
  <c r="S9" i="29" s="1"/>
  <c r="Q5" i="29"/>
  <c r="Q9" i="29" s="1"/>
  <c r="P5" i="29"/>
  <c r="P9" i="29" s="1"/>
  <c r="O5" i="29"/>
  <c r="O9" i="29" s="1"/>
  <c r="N5" i="29"/>
  <c r="L5" i="29"/>
  <c r="L9" i="29" s="1"/>
  <c r="K5" i="29"/>
  <c r="K9" i="29" s="1"/>
  <c r="J5" i="29"/>
  <c r="J9" i="29" s="1"/>
  <c r="I5" i="29"/>
  <c r="I9" i="29" s="1"/>
  <c r="H5" i="29"/>
  <c r="H9" i="29" s="1"/>
  <c r="AE2" i="29"/>
  <c r="AD2" i="29"/>
  <c r="AQ37" i="34" l="1"/>
  <c r="AQ13" i="34"/>
  <c r="AQ15" i="34"/>
  <c r="AQ33" i="34"/>
  <c r="AQ31" i="34"/>
  <c r="AM35" i="34"/>
  <c r="AM29" i="34"/>
  <c r="AM25" i="34"/>
  <c r="AM20" i="34"/>
  <c r="AM17" i="34"/>
  <c r="AQ16" i="34"/>
  <c r="AR12" i="10"/>
  <c r="O3" i="31"/>
  <c r="O48" i="31"/>
  <c r="O24" i="31"/>
  <c r="R48" i="31"/>
  <c r="R24" i="31"/>
  <c r="Q3" i="31"/>
  <c r="Q48" i="31"/>
  <c r="Q24" i="31"/>
  <c r="P3" i="31"/>
  <c r="P24" i="31"/>
  <c r="P48" i="31"/>
  <c r="W26" i="29"/>
  <c r="W40" i="29" s="1"/>
  <c r="AM17" i="10"/>
  <c r="AN13" i="10"/>
  <c r="AU93" i="28"/>
  <c r="R3" i="31"/>
  <c r="AL37" i="29"/>
  <c r="AA17" i="29"/>
  <c r="AE8" i="29"/>
  <c r="AI40" i="29"/>
  <c r="AI57" i="29"/>
  <c r="R148" i="28"/>
  <c r="AM12" i="10"/>
  <c r="S25" i="29"/>
  <c r="K19" i="29"/>
  <c r="M21" i="29"/>
  <c r="AB30" i="29"/>
  <c r="J19" i="29"/>
  <c r="T25" i="29"/>
  <c r="O14" i="29"/>
  <c r="AD16" i="29"/>
  <c r="N14" i="29"/>
  <c r="W30" i="29"/>
  <c r="AL30" i="29"/>
  <c r="L19" i="29"/>
  <c r="H26" i="29"/>
  <c r="H38" i="29" s="1"/>
  <c r="AV128" i="28"/>
  <c r="U25" i="29"/>
  <c r="P18" i="29"/>
  <c r="Q14" i="29"/>
  <c r="AF14" i="29"/>
  <c r="M24" i="29"/>
  <c r="X127" i="29"/>
  <c r="X131" i="29" s="1"/>
  <c r="S150" i="29" s="1"/>
  <c r="AL47" i="29"/>
  <c r="AL58" i="29" s="1"/>
  <c r="AD9" i="29"/>
  <c r="K11" i="29"/>
  <c r="F28" i="29"/>
  <c r="AF9" i="29"/>
  <c r="V25" i="29"/>
  <c r="AH9" i="29"/>
  <c r="Q17" i="29"/>
  <c r="Q18" i="29" s="1"/>
  <c r="AL35" i="29"/>
  <c r="Z17" i="29"/>
  <c r="Y127" i="29"/>
  <c r="Y131" i="29" s="1"/>
  <c r="T150" i="29" s="1"/>
  <c r="Z127" i="29"/>
  <c r="Z131" i="29" s="1"/>
  <c r="U150" i="29" s="1"/>
  <c r="T41" i="29"/>
  <c r="P14" i="29"/>
  <c r="X41" i="29"/>
  <c r="AI38" i="29"/>
  <c r="W148" i="28"/>
  <c r="AU128" i="28"/>
  <c r="R14" i="10"/>
  <c r="W14" i="10"/>
  <c r="M14" i="10"/>
  <c r="AT93" i="28"/>
  <c r="AT128" i="28"/>
  <c r="AE24" i="29"/>
  <c r="Z25" i="29"/>
  <c r="AE16" i="29"/>
  <c r="AI14" i="29"/>
  <c r="AE9" i="29"/>
  <c r="M41" i="29"/>
  <c r="AH58" i="29"/>
  <c r="AH6" i="29"/>
  <c r="X14" i="29"/>
  <c r="M26" i="29"/>
  <c r="M31" i="29" s="1"/>
  <c r="AA24" i="29"/>
  <c r="T14" i="29"/>
  <c r="AI6" i="29"/>
  <c r="AI41" i="29"/>
  <c r="L131" i="29"/>
  <c r="J150" i="29" s="1"/>
  <c r="M68" i="29"/>
  <c r="AD24" i="29"/>
  <c r="R24" i="29"/>
  <c r="AK5" i="29"/>
  <c r="AK6" i="29" s="1"/>
  <c r="N17" i="29"/>
  <c r="N18" i="29" s="1"/>
  <c r="K36" i="29"/>
  <c r="Y41" i="29"/>
  <c r="Y43" i="29" s="1"/>
  <c r="R30" i="29"/>
  <c r="AC17" i="29"/>
  <c r="AC58" i="29"/>
  <c r="AF16" i="29"/>
  <c r="AC8" i="29"/>
  <c r="AQ7" i="29"/>
  <c r="O17" i="29"/>
  <c r="O18" i="29" s="1"/>
  <c r="X26" i="29"/>
  <c r="Y28" i="29" s="1"/>
  <c r="Q25" i="29"/>
  <c r="R58" i="29"/>
  <c r="N57" i="29"/>
  <c r="N38" i="29"/>
  <c r="D40" i="29"/>
  <c r="E28" i="29"/>
  <c r="D71" i="29"/>
  <c r="N24" i="29"/>
  <c r="J11" i="29"/>
  <c r="H41" i="29"/>
  <c r="AE41" i="29"/>
  <c r="AE43" i="29" s="1"/>
  <c r="AE60" i="29" s="1"/>
  <c r="R21" i="29"/>
  <c r="AA25" i="29"/>
  <c r="H68" i="29"/>
  <c r="AF6" i="29"/>
  <c r="AG58" i="29"/>
  <c r="AG66" i="29"/>
  <c r="AG68" i="29" s="1"/>
  <c r="AE68" i="29"/>
  <c r="AA127" i="29"/>
  <c r="AA131" i="29" s="1"/>
  <c r="V150" i="29" s="1"/>
  <c r="AC14" i="29"/>
  <c r="F31" i="29"/>
  <c r="F43" i="29" s="1"/>
  <c r="H92" i="29"/>
  <c r="H99" i="29" s="1"/>
  <c r="Y14" i="29"/>
  <c r="R39" i="29"/>
  <c r="Z24" i="29"/>
  <c r="AC25" i="29"/>
  <c r="AG5" i="29"/>
  <c r="U6" i="29"/>
  <c r="AF8" i="29"/>
  <c r="AD17" i="29"/>
  <c r="AH31" i="29"/>
  <c r="F71" i="29"/>
  <c r="O25" i="29"/>
  <c r="AB92" i="29"/>
  <c r="AL39" i="29"/>
  <c r="G36" i="29"/>
  <c r="G38" i="29"/>
  <c r="S58" i="29"/>
  <c r="P6" i="29"/>
  <c r="V6" i="29"/>
  <c r="AG7" i="29"/>
  <c r="X21" i="29"/>
  <c r="K24" i="29"/>
  <c r="AI31" i="29"/>
  <c r="AI32" i="29" s="1"/>
  <c r="G71" i="29"/>
  <c r="M92" i="29"/>
  <c r="M99" i="29" s="1"/>
  <c r="AC24" i="29"/>
  <c r="AQ68" i="29"/>
  <c r="L11" i="29"/>
  <c r="AD14" i="29"/>
  <c r="X58" i="29"/>
  <c r="AA6" i="29"/>
  <c r="AG15" i="29"/>
  <c r="G25" i="29"/>
  <c r="AG39" i="29"/>
  <c r="N99" i="29"/>
  <c r="X6" i="29"/>
  <c r="AC6" i="29"/>
  <c r="Q10" i="29"/>
  <c r="Q11" i="29"/>
  <c r="Q57" i="29"/>
  <c r="Q31" i="29"/>
  <c r="Q40" i="29"/>
  <c r="AE14" i="29"/>
  <c r="AG13" i="29"/>
  <c r="AE17" i="29"/>
  <c r="AJ14" i="29"/>
  <c r="Z40" i="29"/>
  <c r="Z41" i="29"/>
  <c r="Z43" i="29" s="1"/>
  <c r="P10" i="29"/>
  <c r="P11" i="29"/>
  <c r="Q6" i="29"/>
  <c r="AF41" i="29"/>
  <c r="AF43" i="29" s="1"/>
  <c r="AF36" i="29"/>
  <c r="AI9" i="29"/>
  <c r="AN8" i="29"/>
  <c r="AI8" i="29"/>
  <c r="AJ8" i="29"/>
  <c r="AO8" i="29"/>
  <c r="Q41" i="29"/>
  <c r="Q36" i="29"/>
  <c r="R35" i="29"/>
  <c r="Y6" i="29"/>
  <c r="AD6" i="29"/>
  <c r="AD31" i="29"/>
  <c r="AG30" i="29"/>
  <c r="N6" i="29"/>
  <c r="N9" i="29"/>
  <c r="O11" i="29" s="1"/>
  <c r="S6" i="29"/>
  <c r="Z6" i="29"/>
  <c r="AE6" i="29"/>
  <c r="AN91" i="29"/>
  <c r="AO91" i="29" s="1"/>
  <c r="AP91" i="29" s="1"/>
  <c r="O10" i="29"/>
  <c r="V40" i="29"/>
  <c r="V27" i="29"/>
  <c r="V57" i="29"/>
  <c r="AA27" i="29"/>
  <c r="V31" i="29"/>
  <c r="V38" i="29"/>
  <c r="S14" i="29"/>
  <c r="S17" i="29"/>
  <c r="AL7" i="29"/>
  <c r="AH8" i="29"/>
  <c r="G43" i="29"/>
  <c r="G32" i="29"/>
  <c r="AG35" i="29"/>
  <c r="AD38" i="29"/>
  <c r="AG37" i="29"/>
  <c r="H58" i="29"/>
  <c r="AK8" i="29"/>
  <c r="W35" i="29"/>
  <c r="S41" i="29"/>
  <c r="Y9" i="29"/>
  <c r="U14" i="29"/>
  <c r="U17" i="29"/>
  <c r="D57" i="29"/>
  <c r="D38" i="29"/>
  <c r="Z9" i="29"/>
  <c r="T10" i="29"/>
  <c r="T11" i="29"/>
  <c r="AH14" i="29"/>
  <c r="AL13" i="29"/>
  <c r="O24" i="29"/>
  <c r="U11" i="29"/>
  <c r="P25" i="29"/>
  <c r="P24" i="29"/>
  <c r="AI28" i="29"/>
  <c r="W48" i="29"/>
  <c r="T58" i="29"/>
  <c r="AB66" i="29"/>
  <c r="AB68" i="29" s="1"/>
  <c r="X68" i="29"/>
  <c r="E57" i="29"/>
  <c r="E36" i="29"/>
  <c r="E40" i="29"/>
  <c r="AI24" i="29"/>
  <c r="AD25" i="29"/>
  <c r="J27" i="29"/>
  <c r="O26" i="29"/>
  <c r="O38" i="29" s="1"/>
  <c r="AA41" i="29"/>
  <c r="AA43" i="29" s="1"/>
  <c r="AA36" i="29"/>
  <c r="AI36" i="29"/>
  <c r="AB37" i="29"/>
  <c r="AB47" i="29"/>
  <c r="AB58" i="29" s="1"/>
  <c r="W56" i="29"/>
  <c r="AC9" i="29"/>
  <c r="AI16" i="29"/>
  <c r="T17" i="29"/>
  <c r="W21" i="29"/>
  <c r="G40" i="29"/>
  <c r="G57" i="29"/>
  <c r="G28" i="29"/>
  <c r="S26" i="29"/>
  <c r="S36" i="29" s="1"/>
  <c r="S24" i="29"/>
  <c r="P26" i="29"/>
  <c r="AB35" i="29"/>
  <c r="E38" i="29"/>
  <c r="AB74" i="29"/>
  <c r="W9" i="29"/>
  <c r="AK14" i="29"/>
  <c r="AF17" i="29"/>
  <c r="D36" i="29"/>
  <c r="AC16" i="29"/>
  <c r="J57" i="29"/>
  <c r="J40" i="29"/>
  <c r="J31" i="29"/>
  <c r="J38" i="29"/>
  <c r="AP8" i="29"/>
  <c r="Q24" i="29"/>
  <c r="N40" i="29"/>
  <c r="N36" i="29"/>
  <c r="N31" i="29"/>
  <c r="AH36" i="29"/>
  <c r="AK41" i="29"/>
  <c r="AK16" i="29"/>
  <c r="F57" i="29"/>
  <c r="F40" i="29"/>
  <c r="K27" i="29"/>
  <c r="W55" i="29"/>
  <c r="M9" i="29"/>
  <c r="M10" i="29" s="1"/>
  <c r="U10" i="29"/>
  <c r="Z14" i="29"/>
  <c r="X17" i="29"/>
  <c r="AJ16" i="29"/>
  <c r="T26" i="29"/>
  <c r="T24" i="29"/>
  <c r="E25" i="29"/>
  <c r="D31" i="29"/>
  <c r="Y143" i="29"/>
  <c r="Y144" i="29" s="1"/>
  <c r="AD41" i="29"/>
  <c r="AD36" i="29"/>
  <c r="F38" i="29"/>
  <c r="AB39" i="29"/>
  <c r="AG74" i="29"/>
  <c r="AH57" i="29"/>
  <c r="X9" i="29"/>
  <c r="AB7" i="29"/>
  <c r="V14" i="29"/>
  <c r="V17" i="29"/>
  <c r="W66" i="29"/>
  <c r="W68" i="29" s="1"/>
  <c r="O6" i="29"/>
  <c r="AA9" i="29"/>
  <c r="S11" i="29"/>
  <c r="V127" i="29"/>
  <c r="U127" i="29"/>
  <c r="T127" i="29"/>
  <c r="AL66" i="29"/>
  <c r="AL68" i="29" s="1"/>
  <c r="V11" i="29"/>
  <c r="W37" i="29"/>
  <c r="AL15" i="29"/>
  <c r="AH17" i="29"/>
  <c r="AH16" i="29"/>
  <c r="AJ24" i="29"/>
  <c r="AF25" i="29"/>
  <c r="AE25" i="29"/>
  <c r="T6" i="29"/>
  <c r="AD8" i="29"/>
  <c r="V10" i="29"/>
  <c r="AA14" i="29"/>
  <c r="Y17" i="29"/>
  <c r="AK17" i="29"/>
  <c r="I25" i="29"/>
  <c r="I26" i="29"/>
  <c r="J28" i="29" s="1"/>
  <c r="I24" i="29"/>
  <c r="U26" i="29"/>
  <c r="V28" i="29" s="1"/>
  <c r="U24" i="29"/>
  <c r="AB24" i="29"/>
  <c r="F25" i="29"/>
  <c r="R26" i="29"/>
  <c r="R57" i="29" s="1"/>
  <c r="AA32" i="29"/>
  <c r="AA143" i="29"/>
  <c r="AA144" i="29" s="1"/>
  <c r="E31" i="29"/>
  <c r="O41" i="29"/>
  <c r="AH38" i="29"/>
  <c r="AH41" i="29"/>
  <c r="J25" i="29"/>
  <c r="Z32" i="29"/>
  <c r="AQ58" i="29"/>
  <c r="W24" i="29"/>
  <c r="AI17" i="29"/>
  <c r="X22" i="29"/>
  <c r="L26" i="29"/>
  <c r="L24" i="29"/>
  <c r="X24" i="29"/>
  <c r="X25" i="29"/>
  <c r="N25" i="29"/>
  <c r="Q38" i="29"/>
  <c r="Q127" i="29"/>
  <c r="M58" i="29"/>
  <c r="N131" i="29"/>
  <c r="K150" i="29" s="1"/>
  <c r="L25" i="29"/>
  <c r="K31" i="29"/>
  <c r="AJ17" i="29"/>
  <c r="Y25" i="29"/>
  <c r="V24" i="29"/>
  <c r="K28" i="29"/>
  <c r="R37" i="29"/>
  <c r="K38" i="29"/>
  <c r="AH40" i="29"/>
  <c r="O127" i="29"/>
  <c r="Z143" i="29"/>
  <c r="Z144" i="29" s="1"/>
  <c r="K25" i="29"/>
  <c r="AL74" i="29"/>
  <c r="AM8" i="29"/>
  <c r="J24" i="29"/>
  <c r="Y24" i="29"/>
  <c r="S127" i="29"/>
  <c r="K40" i="29"/>
  <c r="P127" i="29"/>
  <c r="O68" i="29"/>
  <c r="R68" i="29" s="1"/>
  <c r="R66" i="29"/>
  <c r="P41" i="29"/>
  <c r="AK55" i="28"/>
  <c r="AJ55" i="28"/>
  <c r="AI55" i="28"/>
  <c r="AH55" i="28"/>
  <c r="AD55" i="28"/>
  <c r="AE55" i="28"/>
  <c r="AF55" i="28"/>
  <c r="AC55" i="28"/>
  <c r="AA55" i="28"/>
  <c r="AA56" i="28" s="1"/>
  <c r="M150" i="28"/>
  <c r="M143" i="28"/>
  <c r="M139" i="28"/>
  <c r="R150" i="28"/>
  <c r="R143" i="28"/>
  <c r="R139" i="28"/>
  <c r="W150" i="28"/>
  <c r="W143" i="28"/>
  <c r="W139" i="28"/>
  <c r="Q153" i="28"/>
  <c r="P153" i="28"/>
  <c r="O153" i="28"/>
  <c r="N153" i="28"/>
  <c r="Q152" i="28"/>
  <c r="P152" i="28"/>
  <c r="O152" i="28"/>
  <c r="N152" i="28"/>
  <c r="V153" i="28"/>
  <c r="U153" i="28"/>
  <c r="T153" i="28"/>
  <c r="S153" i="28"/>
  <c r="V152" i="28"/>
  <c r="U152" i="28"/>
  <c r="T152" i="28"/>
  <c r="S152" i="28"/>
  <c r="Z153" i="28"/>
  <c r="Y153" i="28"/>
  <c r="X153" i="28"/>
  <c r="Z152" i="28"/>
  <c r="Y152" i="28"/>
  <c r="X152" i="28"/>
  <c r="Q146" i="28"/>
  <c r="P146" i="28"/>
  <c r="O146" i="28"/>
  <c r="N146" i="28"/>
  <c r="Q145" i="28"/>
  <c r="P145" i="28"/>
  <c r="O145" i="28"/>
  <c r="N145" i="28"/>
  <c r="V146" i="28"/>
  <c r="U146" i="28"/>
  <c r="T146" i="28"/>
  <c r="S146" i="28"/>
  <c r="V145" i="28"/>
  <c r="U145" i="28"/>
  <c r="T145" i="28"/>
  <c r="S145" i="28"/>
  <c r="Z146" i="28"/>
  <c r="Y146" i="28"/>
  <c r="X146" i="28"/>
  <c r="Z145" i="28"/>
  <c r="Y145" i="28"/>
  <c r="X145" i="28"/>
  <c r="Q142" i="28"/>
  <c r="P142" i="28"/>
  <c r="O142" i="28"/>
  <c r="N142" i="28"/>
  <c r="Q141" i="28"/>
  <c r="P141" i="28"/>
  <c r="O141" i="28"/>
  <c r="N141" i="28"/>
  <c r="V142" i="28"/>
  <c r="U142" i="28"/>
  <c r="T142" i="28"/>
  <c r="S142" i="28"/>
  <c r="V141" i="28"/>
  <c r="U141" i="28"/>
  <c r="T141" i="28"/>
  <c r="S141" i="28"/>
  <c r="Z142" i="28"/>
  <c r="Y142" i="28"/>
  <c r="X142" i="28"/>
  <c r="Z141" i="28"/>
  <c r="Y141" i="28"/>
  <c r="X141" i="28"/>
  <c r="L154" i="28"/>
  <c r="K154" i="28"/>
  <c r="J154" i="28"/>
  <c r="I154" i="28"/>
  <c r="Q154" i="28"/>
  <c r="Q151" i="28" s="1"/>
  <c r="P154" i="28"/>
  <c r="P151" i="28" s="1"/>
  <c r="O154" i="28"/>
  <c r="O151" i="28" s="1"/>
  <c r="N154" i="28"/>
  <c r="N151" i="28" s="1"/>
  <c r="V154" i="28"/>
  <c r="V151" i="28" s="1"/>
  <c r="U154" i="28"/>
  <c r="U151" i="28" s="1"/>
  <c r="T154" i="28"/>
  <c r="T151" i="28" s="1"/>
  <c r="S154" i="28"/>
  <c r="X154" i="28"/>
  <c r="X140" i="28" s="1"/>
  <c r="Y154" i="28"/>
  <c r="Y151" i="28" s="1"/>
  <c r="Z154" i="28"/>
  <c r="Z151" i="28" s="1"/>
  <c r="AG11" i="28"/>
  <c r="AA85" i="28"/>
  <c r="AA86" i="28" s="1"/>
  <c r="AC85" i="28"/>
  <c r="AC86" i="28" s="1"/>
  <c r="AD85" i="28"/>
  <c r="AE85" i="28"/>
  <c r="AE86" i="28" s="1"/>
  <c r="AF85" i="28"/>
  <c r="AH85" i="28"/>
  <c r="AM86" i="28" s="1"/>
  <c r="AI85" i="28"/>
  <c r="AN86" i="28" s="1"/>
  <c r="AJ85" i="28"/>
  <c r="AO86" i="28" s="1"/>
  <c r="AK85" i="28"/>
  <c r="AA48" i="28"/>
  <c r="Z48" i="28"/>
  <c r="Y48" i="28"/>
  <c r="X48" i="28"/>
  <c r="X42" i="28"/>
  <c r="Y42" i="28"/>
  <c r="Z42" i="28"/>
  <c r="AB35" i="28"/>
  <c r="AA36" i="28"/>
  <c r="Z36" i="28"/>
  <c r="Y36" i="28"/>
  <c r="AB104" i="28"/>
  <c r="AB34" i="28" s="1"/>
  <c r="AB99" i="28"/>
  <c r="AB51" i="28"/>
  <c r="AB45" i="28"/>
  <c r="AB39" i="28"/>
  <c r="X4" i="28"/>
  <c r="AA5" i="28"/>
  <c r="Z5" i="28"/>
  <c r="AQ104" i="28"/>
  <c r="AQ34" i="28" s="1"/>
  <c r="AQ61" i="28"/>
  <c r="AQ36" i="28"/>
  <c r="AQ5" i="28"/>
  <c r="AL104" i="28"/>
  <c r="AL34" i="28" s="1"/>
  <c r="AL99" i="28"/>
  <c r="AQ102" i="28" s="1"/>
  <c r="AL82" i="28"/>
  <c r="AL76" i="28"/>
  <c r="AL70" i="28"/>
  <c r="AL67" i="28"/>
  <c r="AL60" i="28"/>
  <c r="AL51" i="28"/>
  <c r="AL45" i="28"/>
  <c r="AL39" i="28"/>
  <c r="AL35" i="28"/>
  <c r="AL26" i="28"/>
  <c r="AL20" i="28"/>
  <c r="AL14" i="28"/>
  <c r="AL11" i="28"/>
  <c r="AL4" i="28"/>
  <c r="AG99" i="28"/>
  <c r="AG82" i="28"/>
  <c r="AG76" i="28"/>
  <c r="AG70" i="28"/>
  <c r="AG67" i="28"/>
  <c r="AG60" i="28"/>
  <c r="AG62" i="28" s="1"/>
  <c r="AG51" i="28"/>
  <c r="AG45" i="28"/>
  <c r="AG39" i="28"/>
  <c r="AG35" i="28"/>
  <c r="AG26" i="28"/>
  <c r="AG20" i="28"/>
  <c r="AG14" i="28"/>
  <c r="AG4" i="28"/>
  <c r="AG6" i="28" s="1"/>
  <c r="V94" i="28"/>
  <c r="V95" i="28" s="1"/>
  <c r="U94" i="28"/>
  <c r="U95" i="28" s="1"/>
  <c r="T94" i="28"/>
  <c r="T95" i="28" s="1"/>
  <c r="S94" i="28"/>
  <c r="S95" i="28" s="1"/>
  <c r="AA94" i="28"/>
  <c r="AK94" i="28"/>
  <c r="AJ94" i="28"/>
  <c r="AO96" i="28" s="1"/>
  <c r="AI94" i="28"/>
  <c r="AN96" i="28" s="1"/>
  <c r="AH94" i="28"/>
  <c r="AM96" i="28" s="1"/>
  <c r="AF94" i="28"/>
  <c r="AE94" i="28"/>
  <c r="AD94" i="28"/>
  <c r="AC94" i="28"/>
  <c r="AA139" i="28"/>
  <c r="AA143" i="28"/>
  <c r="AK150" i="28"/>
  <c r="AJ150" i="28"/>
  <c r="AJ7" i="34" s="1"/>
  <c r="AI150" i="28"/>
  <c r="AI7" i="34" s="1"/>
  <c r="AH150" i="28"/>
  <c r="AD150" i="28"/>
  <c r="AE150" i="28"/>
  <c r="AE7" i="34" s="1"/>
  <c r="AE8" i="34" s="1"/>
  <c r="AF150" i="28"/>
  <c r="AC150" i="28"/>
  <c r="AA150" i="28"/>
  <c r="AK143" i="28"/>
  <c r="AP145" i="28" s="1"/>
  <c r="AJ143" i="28"/>
  <c r="AI143" i="28"/>
  <c r="AH143" i="28"/>
  <c r="AK139" i="28"/>
  <c r="AP141" i="28" s="1"/>
  <c r="AJ139" i="28"/>
  <c r="AI139" i="28"/>
  <c r="AN141" i="28" s="1"/>
  <c r="AH139" i="28"/>
  <c r="AM141" i="28" s="1"/>
  <c r="AK136" i="28"/>
  <c r="AJ136" i="28"/>
  <c r="AO137" i="28" s="1"/>
  <c r="AI136" i="28"/>
  <c r="AN137" i="28" s="1"/>
  <c r="AH136" i="28"/>
  <c r="AM137" i="28" s="1"/>
  <c r="AK133" i="28"/>
  <c r="AJ133" i="28"/>
  <c r="AO134" i="28" s="1"/>
  <c r="AI133" i="28"/>
  <c r="AN134" i="28" s="1"/>
  <c r="AH133" i="28"/>
  <c r="AM134" i="28" s="1"/>
  <c r="AK129" i="28"/>
  <c r="AP131" i="28" s="1"/>
  <c r="AJ129" i="28"/>
  <c r="AO131" i="28" s="1"/>
  <c r="AI129" i="28"/>
  <c r="AN131" i="28" s="1"/>
  <c r="AH129" i="28"/>
  <c r="AM131" i="28" s="1"/>
  <c r="AD143" i="28"/>
  <c r="AE143" i="28"/>
  <c r="AE5" i="10" s="1"/>
  <c r="AF143" i="28"/>
  <c r="AF5" i="10" s="1"/>
  <c r="AD139" i="28"/>
  <c r="AE139" i="28"/>
  <c r="AF139" i="28"/>
  <c r="AA136" i="28"/>
  <c r="AA133" i="28"/>
  <c r="AD136" i="28"/>
  <c r="AE136" i="28"/>
  <c r="AF136" i="28"/>
  <c r="AD133" i="28"/>
  <c r="AE133" i="28"/>
  <c r="AF133" i="28"/>
  <c r="AA129" i="28"/>
  <c r="AD129" i="28"/>
  <c r="AE129" i="28"/>
  <c r="AF129" i="28"/>
  <c r="AG129" i="28" s="1"/>
  <c r="AC143" i="28"/>
  <c r="AC139" i="28"/>
  <c r="AC136" i="28"/>
  <c r="AC133" i="28"/>
  <c r="AC129" i="28"/>
  <c r="AK119" i="28"/>
  <c r="AJ119" i="28"/>
  <c r="AO121" i="28" s="1"/>
  <c r="AI119" i="28"/>
  <c r="AN121" i="28" s="1"/>
  <c r="AH119" i="28"/>
  <c r="AM121" i="28" s="1"/>
  <c r="AK115" i="28"/>
  <c r="AJ115" i="28"/>
  <c r="AO117" i="28" s="1"/>
  <c r="AI115" i="28"/>
  <c r="AN117" i="28" s="1"/>
  <c r="AH115" i="28"/>
  <c r="AM117" i="28" s="1"/>
  <c r="AK112" i="28"/>
  <c r="AJ112" i="28"/>
  <c r="AO113" i="28" s="1"/>
  <c r="AI112" i="28"/>
  <c r="AN113" i="28" s="1"/>
  <c r="AH112" i="28"/>
  <c r="AM113" i="28" s="1"/>
  <c r="AK109" i="28"/>
  <c r="AJ109" i="28"/>
  <c r="AO110" i="28" s="1"/>
  <c r="AI109" i="28"/>
  <c r="AN110" i="28" s="1"/>
  <c r="AH109" i="28"/>
  <c r="AM110" i="28" s="1"/>
  <c r="AK105" i="28"/>
  <c r="AP107" i="28" s="1"/>
  <c r="AJ105" i="28"/>
  <c r="AO107" i="28" s="1"/>
  <c r="AI105" i="28"/>
  <c r="AN107" i="28" s="1"/>
  <c r="AH105" i="28"/>
  <c r="AM107" i="28" s="1"/>
  <c r="AK104" i="28"/>
  <c r="AK3" i="28" s="1"/>
  <c r="AJ104" i="28"/>
  <c r="AJ3" i="28" s="1"/>
  <c r="AI104" i="28"/>
  <c r="AI3" i="28" s="1"/>
  <c r="AH104" i="28"/>
  <c r="AH3" i="28" s="1"/>
  <c r="AC119" i="28"/>
  <c r="AD119" i="28"/>
  <c r="AE119" i="28"/>
  <c r="AC115" i="28"/>
  <c r="AD115" i="28"/>
  <c r="AE115" i="28"/>
  <c r="AC112" i="28"/>
  <c r="AD112" i="28"/>
  <c r="AE112" i="28"/>
  <c r="AC109" i="28"/>
  <c r="AD109" i="28"/>
  <c r="AE109" i="28"/>
  <c r="AD105" i="28"/>
  <c r="AE105" i="28"/>
  <c r="AF105" i="28"/>
  <c r="AG105" i="28" s="1"/>
  <c r="AC105" i="28"/>
  <c r="AF119" i="28"/>
  <c r="AF115" i="28"/>
  <c r="AF112" i="28"/>
  <c r="AF109" i="28"/>
  <c r="AA115" i="28"/>
  <c r="AA119" i="28"/>
  <c r="AA112" i="28"/>
  <c r="AA109" i="28"/>
  <c r="AA105" i="28"/>
  <c r="AK101" i="28"/>
  <c r="AJ101" i="28"/>
  <c r="AI101" i="28"/>
  <c r="AH101" i="28"/>
  <c r="AF101" i="28"/>
  <c r="AE101" i="28"/>
  <c r="AD101" i="28"/>
  <c r="AC101" i="28"/>
  <c r="AA101" i="28"/>
  <c r="Z101" i="28"/>
  <c r="Y101" i="28"/>
  <c r="X101" i="28"/>
  <c r="V101" i="28"/>
  <c r="U101" i="28"/>
  <c r="T101" i="28"/>
  <c r="S101" i="28"/>
  <c r="Q101" i="28"/>
  <c r="P101" i="28"/>
  <c r="O101" i="28"/>
  <c r="N101" i="28"/>
  <c r="L101" i="28"/>
  <c r="K101" i="28"/>
  <c r="J101" i="28"/>
  <c r="I101" i="28"/>
  <c r="G101" i="28"/>
  <c r="F101" i="28"/>
  <c r="E101" i="28"/>
  <c r="AK100" i="28"/>
  <c r="AJ100" i="28"/>
  <c r="AI100" i="28"/>
  <c r="AH100" i="28"/>
  <c r="AF100" i="28"/>
  <c r="AE100" i="28"/>
  <c r="AD100" i="28"/>
  <c r="AC100" i="28"/>
  <c r="AA100" i="28"/>
  <c r="Z100" i="28"/>
  <c r="Y100" i="28"/>
  <c r="X100" i="28"/>
  <c r="W100" i="28"/>
  <c r="V100" i="28"/>
  <c r="U100" i="28"/>
  <c r="T100" i="28"/>
  <c r="S100" i="28"/>
  <c r="R100" i="28"/>
  <c r="Q100" i="28"/>
  <c r="P100" i="28"/>
  <c r="O100" i="28"/>
  <c r="N100" i="28"/>
  <c r="M100" i="28"/>
  <c r="L100" i="28"/>
  <c r="K100" i="28"/>
  <c r="J100" i="28"/>
  <c r="I100" i="28"/>
  <c r="P97" i="28"/>
  <c r="O97" i="28"/>
  <c r="N97" i="28"/>
  <c r="J97" i="28"/>
  <c r="I97" i="28"/>
  <c r="G97" i="28"/>
  <c r="F97" i="28"/>
  <c r="E97" i="28"/>
  <c r="D97" i="28"/>
  <c r="W96" i="28"/>
  <c r="O96" i="28"/>
  <c r="N96" i="28"/>
  <c r="L96" i="28"/>
  <c r="J96" i="28"/>
  <c r="I96" i="28"/>
  <c r="AK84" i="28"/>
  <c r="AJ84" i="28"/>
  <c r="AI84" i="28"/>
  <c r="AH84" i="28"/>
  <c r="AF84" i="28"/>
  <c r="AE84" i="28"/>
  <c r="AD84" i="28"/>
  <c r="AC84" i="28"/>
  <c r="AA84" i="28"/>
  <c r="AK83" i="28"/>
  <c r="AJ83" i="28"/>
  <c r="AI83" i="28"/>
  <c r="AH83" i="28"/>
  <c r="AF83" i="28"/>
  <c r="AE83" i="28"/>
  <c r="AD83" i="28"/>
  <c r="AC83" i="28"/>
  <c r="AA83" i="28"/>
  <c r="AK79" i="28"/>
  <c r="AP80" i="28" s="1"/>
  <c r="AJ79" i="28"/>
  <c r="AO80" i="28" s="1"/>
  <c r="AI79" i="28"/>
  <c r="AN80" i="28" s="1"/>
  <c r="AH79" i="28"/>
  <c r="AM80" i="28" s="1"/>
  <c r="AF79" i="28"/>
  <c r="AE79" i="28"/>
  <c r="AD79" i="28"/>
  <c r="AC79" i="28"/>
  <c r="AA79" i="28"/>
  <c r="AK78" i="28"/>
  <c r="AJ78" i="28"/>
  <c r="AI78" i="28"/>
  <c r="AH78" i="28"/>
  <c r="AF78" i="28"/>
  <c r="AE78" i="28"/>
  <c r="AD78" i="28"/>
  <c r="AC78" i="28"/>
  <c r="AK77" i="28"/>
  <c r="AJ77" i="28"/>
  <c r="AI77" i="28"/>
  <c r="AH77" i="28"/>
  <c r="AF77" i="28"/>
  <c r="AK73" i="28"/>
  <c r="AJ73" i="28"/>
  <c r="AI73" i="28"/>
  <c r="AH73" i="28"/>
  <c r="AM74" i="28" s="1"/>
  <c r="AF73" i="28"/>
  <c r="AE73" i="28"/>
  <c r="AD73" i="28"/>
  <c r="AC73" i="28"/>
  <c r="AA73" i="28"/>
  <c r="AK72" i="28"/>
  <c r="AJ72" i="28"/>
  <c r="AI72" i="28"/>
  <c r="AH72" i="28"/>
  <c r="AF72" i="28"/>
  <c r="AE72" i="28"/>
  <c r="AD72" i="28"/>
  <c r="AC72" i="28"/>
  <c r="AK71" i="28"/>
  <c r="AJ71" i="28"/>
  <c r="AI71" i="28"/>
  <c r="AH71" i="28"/>
  <c r="AF71" i="28"/>
  <c r="AU70" i="28"/>
  <c r="AZ70" i="28" s="1"/>
  <c r="AT70" i="28"/>
  <c r="AY70" i="28" s="1"/>
  <c r="AW70" i="28"/>
  <c r="AK69" i="28"/>
  <c r="AJ69" i="28"/>
  <c r="AI69" i="28"/>
  <c r="AH69" i="28"/>
  <c r="AF69" i="28"/>
  <c r="AE69" i="28"/>
  <c r="AD69" i="28"/>
  <c r="AC69" i="28"/>
  <c r="AK68" i="28"/>
  <c r="AJ68" i="28"/>
  <c r="AI68" i="28"/>
  <c r="AH68" i="28"/>
  <c r="AF68" i="28"/>
  <c r="AK64" i="28"/>
  <c r="AP65" i="28" s="1"/>
  <c r="AJ64" i="28"/>
  <c r="AO65" i="28" s="1"/>
  <c r="AI64" i="28"/>
  <c r="AH64" i="28"/>
  <c r="AF64" i="28"/>
  <c r="AE64" i="28"/>
  <c r="AD64" i="28"/>
  <c r="AC64" i="28"/>
  <c r="AA64" i="28"/>
  <c r="AK63" i="28"/>
  <c r="AJ63" i="28"/>
  <c r="AI63" i="28"/>
  <c r="AH63" i="28"/>
  <c r="AF63" i="28"/>
  <c r="AE63" i="28"/>
  <c r="AD63" i="28"/>
  <c r="AC63" i="28"/>
  <c r="AK62" i="28"/>
  <c r="AJ62" i="28"/>
  <c r="AI62" i="28"/>
  <c r="AH62" i="28"/>
  <c r="AF62" i="28"/>
  <c r="AK61" i="28"/>
  <c r="AJ61" i="28"/>
  <c r="AI61" i="28"/>
  <c r="AH61" i="28"/>
  <c r="AF61" i="28"/>
  <c r="AE61" i="28"/>
  <c r="AD61" i="28"/>
  <c r="AC61" i="28"/>
  <c r="AK53" i="28"/>
  <c r="AJ53" i="28"/>
  <c r="AI53" i="28"/>
  <c r="AH53" i="28"/>
  <c r="AF53" i="28"/>
  <c r="AE53" i="28"/>
  <c r="AD53" i="28"/>
  <c r="AC53" i="28"/>
  <c r="AA53" i="28"/>
  <c r="Z53" i="28"/>
  <c r="Y53" i="28"/>
  <c r="AK52" i="28"/>
  <c r="AJ52" i="28"/>
  <c r="AI52" i="28"/>
  <c r="AH52" i="28"/>
  <c r="AF52" i="28"/>
  <c r="AE52" i="28"/>
  <c r="AD52" i="28"/>
  <c r="AC52" i="28"/>
  <c r="AK48" i="28"/>
  <c r="AJ48" i="28"/>
  <c r="AI48" i="28"/>
  <c r="AH48" i="28"/>
  <c r="AF48" i="28"/>
  <c r="F26" i="31" s="1"/>
  <c r="AE48" i="28"/>
  <c r="E26" i="31" s="1"/>
  <c r="AD48" i="28"/>
  <c r="D26" i="31" s="1"/>
  <c r="AC48" i="28"/>
  <c r="C26" i="31" s="1"/>
  <c r="AK47" i="28"/>
  <c r="AJ47" i="28"/>
  <c r="AI47" i="28"/>
  <c r="AH47" i="28"/>
  <c r="AF47" i="28"/>
  <c r="AE47" i="28"/>
  <c r="AD47" i="28"/>
  <c r="AC47" i="28"/>
  <c r="AA47" i="28"/>
  <c r="Z47" i="28"/>
  <c r="Y47" i="28"/>
  <c r="AK46" i="28"/>
  <c r="AJ46" i="28"/>
  <c r="AI46" i="28"/>
  <c r="AH46" i="28"/>
  <c r="AF46" i="28"/>
  <c r="AE46" i="28"/>
  <c r="AD46" i="28"/>
  <c r="AC46" i="28"/>
  <c r="AK42" i="28"/>
  <c r="AJ42" i="28"/>
  <c r="AI42" i="28"/>
  <c r="AH42" i="28"/>
  <c r="AM43" i="28" s="1"/>
  <c r="AF42" i="28"/>
  <c r="AE42" i="28"/>
  <c r="AD42" i="28"/>
  <c r="AC42" i="28"/>
  <c r="AA42" i="28"/>
  <c r="AK41" i="28"/>
  <c r="AJ41" i="28"/>
  <c r="AI41" i="28"/>
  <c r="AH41" i="28"/>
  <c r="AF41" i="28"/>
  <c r="AE41" i="28"/>
  <c r="AD41" i="28"/>
  <c r="AC41" i="28"/>
  <c r="AA41" i="28"/>
  <c r="Z41" i="28"/>
  <c r="Y41" i="28"/>
  <c r="AK40" i="28"/>
  <c r="AJ40" i="28"/>
  <c r="AI40" i="28"/>
  <c r="AH40" i="28"/>
  <c r="AF40" i="28"/>
  <c r="AE40" i="28"/>
  <c r="AD40" i="28"/>
  <c r="AC40" i="28"/>
  <c r="AU39" i="28"/>
  <c r="AZ39" i="28" s="1"/>
  <c r="AT39" i="28"/>
  <c r="AY39" i="28" s="1"/>
  <c r="AK38" i="28"/>
  <c r="AJ38" i="28"/>
  <c r="AI38" i="28"/>
  <c r="AH38" i="28"/>
  <c r="AF38" i="28"/>
  <c r="AE38" i="28"/>
  <c r="AD38" i="28"/>
  <c r="AC38" i="28"/>
  <c r="AA38" i="28"/>
  <c r="Z38" i="28"/>
  <c r="Y38" i="28"/>
  <c r="AK37" i="28"/>
  <c r="AJ37" i="28"/>
  <c r="AI37" i="28"/>
  <c r="AH37" i="28"/>
  <c r="AF37" i="28"/>
  <c r="AE37" i="28"/>
  <c r="AD37" i="28"/>
  <c r="AC37" i="28"/>
  <c r="AK36" i="28"/>
  <c r="J5" i="31" s="1"/>
  <c r="AJ36" i="28"/>
  <c r="I5" i="31" s="1"/>
  <c r="AI36" i="28"/>
  <c r="H5" i="31" s="1"/>
  <c r="AH36" i="28"/>
  <c r="G5" i="31" s="1"/>
  <c r="AF36" i="28"/>
  <c r="F5" i="31" s="1"/>
  <c r="AE36" i="28"/>
  <c r="E5" i="31" s="1"/>
  <c r="AD36" i="28"/>
  <c r="D5" i="31" s="1"/>
  <c r="AC36" i="28"/>
  <c r="C5" i="31" s="1"/>
  <c r="AK29" i="28"/>
  <c r="AJ29" i="28"/>
  <c r="AI29" i="28"/>
  <c r="AH29" i="28"/>
  <c r="AC29" i="28"/>
  <c r="AD29" i="28"/>
  <c r="AE29" i="28"/>
  <c r="AF29" i="28"/>
  <c r="AA29" i="28"/>
  <c r="AU14" i="28"/>
  <c r="AZ14" i="28" s="1"/>
  <c r="AT14" i="28"/>
  <c r="AY14" i="28" s="1"/>
  <c r="AC8" i="28"/>
  <c r="AD8" i="28"/>
  <c r="AE8" i="28"/>
  <c r="AF8" i="28"/>
  <c r="AH8" i="28"/>
  <c r="AM9" i="28" s="1"/>
  <c r="AI8" i="28"/>
  <c r="AN9" i="28" s="1"/>
  <c r="AJ8" i="28"/>
  <c r="AK8" i="28"/>
  <c r="AA8" i="28"/>
  <c r="AA23" i="28"/>
  <c r="AK23" i="28"/>
  <c r="J25" i="31" s="1"/>
  <c r="AJ23" i="28"/>
  <c r="AI23" i="28"/>
  <c r="AH23" i="28"/>
  <c r="AD23" i="28"/>
  <c r="D25" i="31" s="1"/>
  <c r="AE23" i="28"/>
  <c r="E25" i="31" s="1"/>
  <c r="AF23" i="28"/>
  <c r="F25" i="31" s="1"/>
  <c r="AC23" i="28"/>
  <c r="C25" i="31" s="1"/>
  <c r="AJ33" i="3"/>
  <c r="AK17" i="28"/>
  <c r="AP18" i="28" s="1"/>
  <c r="AJ17" i="28"/>
  <c r="AI17" i="28"/>
  <c r="AN18" i="28" s="1"/>
  <c r="AH17" i="28"/>
  <c r="AC17" i="28"/>
  <c r="AD17" i="28"/>
  <c r="AE17" i="28"/>
  <c r="AF17" i="28"/>
  <c r="AA17" i="28"/>
  <c r="AK5" i="28"/>
  <c r="J4" i="31" s="1"/>
  <c r="AJ5" i="28"/>
  <c r="I4" i="31" s="1"/>
  <c r="AI5" i="28"/>
  <c r="H4" i="31" s="1"/>
  <c r="AH5" i="28"/>
  <c r="G4" i="31" s="1"/>
  <c r="AF5" i="28"/>
  <c r="F4" i="31" s="1"/>
  <c r="AE5" i="28"/>
  <c r="E4" i="31" s="1"/>
  <c r="AD5" i="28"/>
  <c r="D4" i="31" s="1"/>
  <c r="AC5" i="28"/>
  <c r="C4" i="31" s="1"/>
  <c r="D104" i="28"/>
  <c r="D3" i="28" s="1"/>
  <c r="D93" i="28" s="1"/>
  <c r="E104" i="28"/>
  <c r="E3" i="28" s="1"/>
  <c r="E93" i="28" s="1"/>
  <c r="F104" i="28"/>
  <c r="F3" i="28" s="1"/>
  <c r="F93" i="28" s="1"/>
  <c r="G104" i="28"/>
  <c r="G3" i="28" s="1"/>
  <c r="G93" i="28" s="1"/>
  <c r="H104" i="28"/>
  <c r="H3" i="28" s="1"/>
  <c r="H93" i="28" s="1"/>
  <c r="I104" i="28"/>
  <c r="I3" i="28" s="1"/>
  <c r="I93" i="28" s="1"/>
  <c r="J104" i="28"/>
  <c r="J3" i="28" s="1"/>
  <c r="J93" i="28" s="1"/>
  <c r="K104" i="28"/>
  <c r="K3" i="28" s="1"/>
  <c r="K93" i="28" s="1"/>
  <c r="L104" i="28"/>
  <c r="L3" i="28" s="1"/>
  <c r="L93" i="28" s="1"/>
  <c r="M104" i="28"/>
  <c r="M3" i="28" s="1"/>
  <c r="M93" i="28" s="1"/>
  <c r="N104" i="28"/>
  <c r="N3" i="28" s="1"/>
  <c r="N93" i="28" s="1"/>
  <c r="O104" i="28"/>
  <c r="O3" i="28" s="1"/>
  <c r="O93" i="28" s="1"/>
  <c r="P104" i="28"/>
  <c r="P3" i="28" s="1"/>
  <c r="P93" i="28" s="1"/>
  <c r="Q104" i="28"/>
  <c r="Q3" i="28" s="1"/>
  <c r="Q93" i="28" s="1"/>
  <c r="R104" i="28"/>
  <c r="R3" i="28" s="1"/>
  <c r="R93" i="28" s="1"/>
  <c r="S104" i="28"/>
  <c r="S3" i="28" s="1"/>
  <c r="S93" i="28" s="1"/>
  <c r="T104" i="28"/>
  <c r="T3" i="28" s="1"/>
  <c r="T93" i="28" s="1"/>
  <c r="U104" i="28"/>
  <c r="U3" i="28" s="1"/>
  <c r="U93" i="28" s="1"/>
  <c r="V104" i="28"/>
  <c r="V3" i="28" s="1"/>
  <c r="V93" i="28" s="1"/>
  <c r="W104" i="28"/>
  <c r="W3" i="28" s="1"/>
  <c r="W93" i="28" s="1"/>
  <c r="X104" i="28"/>
  <c r="X3" i="28" s="1"/>
  <c r="X93" i="28" s="1"/>
  <c r="Y104" i="28"/>
  <c r="Y3" i="28" s="1"/>
  <c r="Y93" i="28" s="1"/>
  <c r="Z104" i="28"/>
  <c r="Z3" i="28" s="1"/>
  <c r="Z93" i="28" s="1"/>
  <c r="AA104" i="28"/>
  <c r="AA3" i="28" s="1"/>
  <c r="AA93" i="28" s="1"/>
  <c r="AC104" i="28"/>
  <c r="AC3" i="28" s="1"/>
  <c r="AD104" i="28"/>
  <c r="AD3" i="28" s="1"/>
  <c r="AE104" i="28"/>
  <c r="AE3" i="28" s="1"/>
  <c r="AF104" i="28"/>
  <c r="AF3" i="28" s="1"/>
  <c r="AG104" i="28"/>
  <c r="AG3" i="28" s="1"/>
  <c r="AG93" i="28" s="1"/>
  <c r="AK13" i="28"/>
  <c r="AK12" i="28"/>
  <c r="AK28" i="28"/>
  <c r="AK27" i="28"/>
  <c r="AK22" i="28"/>
  <c r="AK21" i="28"/>
  <c r="AK16" i="28"/>
  <c r="AK15" i="28"/>
  <c r="AK7" i="28"/>
  <c r="AK6" i="28"/>
  <c r="AJ13" i="28"/>
  <c r="AI13" i="28"/>
  <c r="AH13" i="28"/>
  <c r="AF13" i="28"/>
  <c r="AE13" i="28"/>
  <c r="AD13" i="28"/>
  <c r="AC13" i="28"/>
  <c r="AJ12" i="28"/>
  <c r="AI12" i="28"/>
  <c r="AH12" i="28"/>
  <c r="AF12" i="28"/>
  <c r="AJ28" i="28"/>
  <c r="AI28" i="28"/>
  <c r="AH28" i="28"/>
  <c r="AF28" i="28"/>
  <c r="AE28" i="28"/>
  <c r="AD28" i="28"/>
  <c r="AC28" i="28"/>
  <c r="AJ27" i="28"/>
  <c r="AI27" i="28"/>
  <c r="AH27" i="28"/>
  <c r="AF27" i="28"/>
  <c r="AJ16" i="28"/>
  <c r="AI16" i="28"/>
  <c r="AH16" i="28"/>
  <c r="AF16" i="28"/>
  <c r="AE16" i="28"/>
  <c r="AD16" i="28"/>
  <c r="AC16" i="28"/>
  <c r="AJ15" i="28"/>
  <c r="AI15" i="28"/>
  <c r="AH15" i="28"/>
  <c r="AF15" i="28"/>
  <c r="AJ22" i="28"/>
  <c r="AI22" i="28"/>
  <c r="AH22" i="28"/>
  <c r="AF22" i="28"/>
  <c r="AE22" i="28"/>
  <c r="AD22" i="28"/>
  <c r="AC22" i="28"/>
  <c r="AJ21" i="28"/>
  <c r="AI21" i="28"/>
  <c r="AH21" i="28"/>
  <c r="AF21" i="28"/>
  <c r="AJ7" i="28"/>
  <c r="AI7" i="28"/>
  <c r="AH7" i="28"/>
  <c r="AF7" i="28"/>
  <c r="AE7" i="28"/>
  <c r="AD7" i="28"/>
  <c r="AC7" i="28"/>
  <c r="AA7" i="28"/>
  <c r="Z7" i="28"/>
  <c r="AJ6" i="28"/>
  <c r="AI6" i="28"/>
  <c r="AH6" i="28"/>
  <c r="AF6" i="28"/>
  <c r="AE6" i="28"/>
  <c r="AD6" i="28"/>
  <c r="U33" i="3"/>
  <c r="AI89" i="28" l="1"/>
  <c r="AX14" i="28"/>
  <c r="K50" i="24"/>
  <c r="AX39" i="28"/>
  <c r="AX109" i="28" s="1"/>
  <c r="K64" i="24"/>
  <c r="AX70" i="28"/>
  <c r="AX133" i="28" s="1"/>
  <c r="K78" i="24"/>
  <c r="AQ35" i="34"/>
  <c r="AQ25" i="34"/>
  <c r="AQ29" i="34"/>
  <c r="AQ17" i="34"/>
  <c r="AQ20" i="34"/>
  <c r="AI9" i="34"/>
  <c r="AN8" i="34"/>
  <c r="AM21" i="34"/>
  <c r="AM40" i="34"/>
  <c r="AM41" i="34" s="1"/>
  <c r="AJ8" i="34"/>
  <c r="AJ9" i="34"/>
  <c r="AO8" i="34"/>
  <c r="AP152" i="28"/>
  <c r="AK7" i="34"/>
  <c r="AH14" i="10"/>
  <c r="AH7" i="34"/>
  <c r="AA14" i="10"/>
  <c r="AB14" i="10" s="1"/>
  <c r="AA7" i="34"/>
  <c r="AC14" i="10"/>
  <c r="AC7" i="34"/>
  <c r="AF14" i="10"/>
  <c r="AF7" i="34"/>
  <c r="AM31" i="10"/>
  <c r="AM29" i="10"/>
  <c r="AD14" i="10"/>
  <c r="AD7" i="34"/>
  <c r="AD8" i="34" s="1"/>
  <c r="AM37" i="10"/>
  <c r="AM35" i="10"/>
  <c r="AR18" i="10"/>
  <c r="AY16" i="28"/>
  <c r="AY109" i="28"/>
  <c r="AY133" i="28"/>
  <c r="AZ109" i="28"/>
  <c r="AZ133" i="28"/>
  <c r="AZ16" i="28"/>
  <c r="AW72" i="28"/>
  <c r="BA70" i="28"/>
  <c r="AX72" i="28"/>
  <c r="AY72" i="28"/>
  <c r="AY41" i="28"/>
  <c r="AZ41" i="28"/>
  <c r="AZ72" i="28"/>
  <c r="AM67" i="11"/>
  <c r="AJ89" i="28"/>
  <c r="W31" i="29"/>
  <c r="W32" i="29" s="1"/>
  <c r="W38" i="29"/>
  <c r="F48" i="31"/>
  <c r="F24" i="31"/>
  <c r="H48" i="31"/>
  <c r="H24" i="31"/>
  <c r="E48" i="31"/>
  <c r="E24" i="31"/>
  <c r="AM49" i="28"/>
  <c r="G26" i="31"/>
  <c r="I48" i="31"/>
  <c r="I24" i="31"/>
  <c r="D48" i="31"/>
  <c r="D24" i="31"/>
  <c r="AN49" i="28"/>
  <c r="H26" i="31"/>
  <c r="J48" i="31"/>
  <c r="J24" i="31"/>
  <c r="AN24" i="28"/>
  <c r="H25" i="31"/>
  <c r="AO49" i="28"/>
  <c r="I26" i="31"/>
  <c r="AP49" i="28"/>
  <c r="J26" i="31"/>
  <c r="W57" i="29"/>
  <c r="AM24" i="28"/>
  <c r="G25" i="31"/>
  <c r="C48" i="31"/>
  <c r="C24" i="31"/>
  <c r="AO24" i="28"/>
  <c r="I25" i="31"/>
  <c r="G48" i="31"/>
  <c r="G24" i="31"/>
  <c r="AF89" i="28"/>
  <c r="AD89" i="28"/>
  <c r="AG55" i="28"/>
  <c r="AP30" i="28"/>
  <c r="AK89" i="28"/>
  <c r="AP90" i="28" s="1"/>
  <c r="AL55" i="28"/>
  <c r="AE89" i="28"/>
  <c r="AC89" i="28"/>
  <c r="AH89" i="28"/>
  <c r="AM114" i="28"/>
  <c r="AP113" i="28"/>
  <c r="AM25" i="28"/>
  <c r="AP24" i="28"/>
  <c r="AM44" i="28"/>
  <c r="AP43" i="28"/>
  <c r="AM135" i="28"/>
  <c r="AP134" i="28"/>
  <c r="AM87" i="28"/>
  <c r="AP86" i="28"/>
  <c r="AM122" i="28"/>
  <c r="AP121" i="28"/>
  <c r="AM10" i="28"/>
  <c r="AP9" i="28"/>
  <c r="AM75" i="28"/>
  <c r="AP74" i="28"/>
  <c r="AM138" i="28"/>
  <c r="AP137" i="28"/>
  <c r="AM111" i="28"/>
  <c r="AP110" i="28"/>
  <c r="AM118" i="28"/>
  <c r="AP117" i="28"/>
  <c r="AM97" i="28"/>
  <c r="AP96" i="28"/>
  <c r="AN30" i="28"/>
  <c r="AM30" i="28"/>
  <c r="AO30" i="28"/>
  <c r="AM31" i="28"/>
  <c r="AT73" i="28"/>
  <c r="AO74" i="28"/>
  <c r="AT17" i="28"/>
  <c r="AO18" i="28"/>
  <c r="AT8" i="28"/>
  <c r="AY8" i="28" s="1"/>
  <c r="AO9" i="28"/>
  <c r="AJ5" i="10"/>
  <c r="AO145" i="28"/>
  <c r="AT42" i="28"/>
  <c r="AO43" i="28"/>
  <c r="AJ8" i="10"/>
  <c r="AO141" i="28"/>
  <c r="AJ14" i="10"/>
  <c r="AO152" i="28"/>
  <c r="AM39" i="10"/>
  <c r="AM33" i="10"/>
  <c r="AM69" i="11"/>
  <c r="AM62" i="11"/>
  <c r="AD19" i="29"/>
  <c r="AM63" i="11"/>
  <c r="AM51" i="11"/>
  <c r="AM71" i="11"/>
  <c r="AM72" i="11"/>
  <c r="AM73" i="11"/>
  <c r="AM60" i="11"/>
  <c r="AM61" i="11"/>
  <c r="AM68" i="11"/>
  <c r="AM22" i="10"/>
  <c r="AM42" i="10" s="1"/>
  <c r="AM66" i="10" s="1"/>
  <c r="AM70" i="11"/>
  <c r="AM27" i="10"/>
  <c r="AM51" i="10"/>
  <c r="AA18" i="29"/>
  <c r="AC19" i="29"/>
  <c r="AM64" i="11"/>
  <c r="AI14" i="10"/>
  <c r="AN152" i="28"/>
  <c r="AI5" i="10"/>
  <c r="AN145" i="28"/>
  <c r="AN65" i="28"/>
  <c r="K79" i="24"/>
  <c r="AN74" i="28"/>
  <c r="AN43" i="28"/>
  <c r="AN19" i="10"/>
  <c r="AF93" i="28"/>
  <c r="F3" i="31"/>
  <c r="AE93" i="28"/>
  <c r="E3" i="31"/>
  <c r="M3" i="31"/>
  <c r="AI93" i="28"/>
  <c r="H3" i="31"/>
  <c r="AJ93" i="28"/>
  <c r="I3" i="31"/>
  <c r="AK93" i="28"/>
  <c r="J3" i="31"/>
  <c r="L3" i="31"/>
  <c r="N3" i="31"/>
  <c r="AH93" i="28"/>
  <c r="G3" i="31"/>
  <c r="AD93" i="28"/>
  <c r="D3" i="31"/>
  <c r="AC93" i="28"/>
  <c r="C3" i="31"/>
  <c r="X28" i="29"/>
  <c r="AA19" i="29"/>
  <c r="AM142" i="28"/>
  <c r="AK8" i="10"/>
  <c r="AK5" i="10"/>
  <c r="AM146" i="28"/>
  <c r="AL105" i="28"/>
  <c r="AL107" i="28" s="1"/>
  <c r="AM108" i="28"/>
  <c r="AM106" i="28"/>
  <c r="AM50" i="28"/>
  <c r="AM152" i="28"/>
  <c r="AU17" i="28"/>
  <c r="AM19" i="28"/>
  <c r="AU64" i="28"/>
  <c r="AZ64" i="28" s="1"/>
  <c r="AM66" i="28"/>
  <c r="AK9" i="29"/>
  <c r="AK20" i="29" s="1"/>
  <c r="AM81" i="28"/>
  <c r="AH5" i="10"/>
  <c r="AM145" i="28"/>
  <c r="AK14" i="10"/>
  <c r="AM153" i="28"/>
  <c r="P19" i="29"/>
  <c r="AW64" i="28"/>
  <c r="AM65" i="28"/>
  <c r="AL41" i="29"/>
  <c r="AW17" i="28"/>
  <c r="AM18" i="28"/>
  <c r="F32" i="29"/>
  <c r="AE73" i="29"/>
  <c r="AE76" i="29" s="1"/>
  <c r="AE86" i="29" s="1"/>
  <c r="AL129" i="28"/>
  <c r="AL131" i="28" s="1"/>
  <c r="AM130" i="28"/>
  <c r="AM132" i="28"/>
  <c r="N126" i="29"/>
  <c r="N128" i="29" s="1"/>
  <c r="AH11" i="29"/>
  <c r="AB26" i="29"/>
  <c r="AB57" i="29" s="1"/>
  <c r="AE44" i="29"/>
  <c r="H31" i="29"/>
  <c r="H32" i="29" s="1"/>
  <c r="H40" i="29"/>
  <c r="H57" i="29"/>
  <c r="AE11" i="29"/>
  <c r="M57" i="29"/>
  <c r="H36" i="29"/>
  <c r="Q19" i="29"/>
  <c r="M40" i="29"/>
  <c r="M43" i="29"/>
  <c r="M60" i="29" s="1"/>
  <c r="AC147" i="28"/>
  <c r="M36" i="29"/>
  <c r="AF11" i="29"/>
  <c r="AF147" i="28"/>
  <c r="AE147" i="28"/>
  <c r="X31" i="29"/>
  <c r="X43" i="29" s="1"/>
  <c r="O19" i="29"/>
  <c r="N19" i="29"/>
  <c r="X36" i="29"/>
  <c r="X57" i="29"/>
  <c r="AA147" i="28"/>
  <c r="AD8" i="10"/>
  <c r="AD147" i="28"/>
  <c r="M27" i="29"/>
  <c r="X38" i="29"/>
  <c r="M32" i="29"/>
  <c r="X40" i="29"/>
  <c r="AA126" i="29"/>
  <c r="AA128" i="29" s="1"/>
  <c r="AD87" i="28"/>
  <c r="O36" i="29"/>
  <c r="AI43" i="29"/>
  <c r="AI60" i="29" s="1"/>
  <c r="AI123" i="28"/>
  <c r="AT16" i="28"/>
  <c r="AT109" i="28"/>
  <c r="AT41" i="28"/>
  <c r="AJ147" i="28"/>
  <c r="AO148" i="28" s="1"/>
  <c r="AK147" i="28"/>
  <c r="AU41" i="28"/>
  <c r="AU16" i="28"/>
  <c r="AU109" i="28"/>
  <c r="AH8" i="10"/>
  <c r="AH147" i="28"/>
  <c r="AM148" i="28" s="1"/>
  <c r="AW39" i="28"/>
  <c r="AI8" i="10"/>
  <c r="AI147" i="28"/>
  <c r="AN148" i="28" s="1"/>
  <c r="AT133" i="28"/>
  <c r="AU72" i="28"/>
  <c r="AU133" i="28"/>
  <c r="AV70" i="28"/>
  <c r="AT72" i="28"/>
  <c r="Z126" i="29"/>
  <c r="Z128" i="29" s="1"/>
  <c r="AD20" i="29"/>
  <c r="AI21" i="29" s="1"/>
  <c r="AL16" i="29"/>
  <c r="AS32" i="29"/>
  <c r="AH43" i="29"/>
  <c r="AH60" i="29" s="1"/>
  <c r="X126" i="29"/>
  <c r="X128" i="29" s="1"/>
  <c r="T57" i="29"/>
  <c r="M38" i="29"/>
  <c r="AD145" i="28"/>
  <c r="AD5" i="10"/>
  <c r="AL14" i="29"/>
  <c r="AB139" i="28"/>
  <c r="AB141" i="28" s="1"/>
  <c r="AA8" i="10"/>
  <c r="AB8" i="10" s="1"/>
  <c r="AE141" i="28"/>
  <c r="AE8" i="10"/>
  <c r="AD18" i="29"/>
  <c r="AG17" i="29"/>
  <c r="AE152" i="28"/>
  <c r="AE14" i="10"/>
  <c r="AA145" i="28"/>
  <c r="AA5" i="10"/>
  <c r="AF141" i="28"/>
  <c r="AF8" i="10"/>
  <c r="AL42" i="28"/>
  <c r="AH87" i="28"/>
  <c r="W27" i="29"/>
  <c r="AG8" i="29"/>
  <c r="AH32" i="29"/>
  <c r="W58" i="29"/>
  <c r="D32" i="29"/>
  <c r="D43" i="29"/>
  <c r="X19" i="29"/>
  <c r="X18" i="29"/>
  <c r="Y11" i="29"/>
  <c r="Y10" i="29"/>
  <c r="AJ19" i="29"/>
  <c r="AJ18" i="29"/>
  <c r="I27" i="29"/>
  <c r="I28" i="29"/>
  <c r="I57" i="29"/>
  <c r="I40" i="29"/>
  <c r="I38" i="29"/>
  <c r="I36" i="29"/>
  <c r="I31" i="29"/>
  <c r="AA11" i="29"/>
  <c r="AA10" i="29"/>
  <c r="AC10" i="29"/>
  <c r="AC11" i="29"/>
  <c r="AG9" i="29"/>
  <c r="AC20" i="29"/>
  <c r="AQ91" i="29"/>
  <c r="Q126" i="29"/>
  <c r="Q128" i="29" s="1"/>
  <c r="J43" i="29"/>
  <c r="J32" i="29"/>
  <c r="J143" i="29"/>
  <c r="J144" i="29" s="1"/>
  <c r="Q143" i="29"/>
  <c r="Q144" i="29" s="1"/>
  <c r="Q43" i="29"/>
  <c r="Q32" i="29"/>
  <c r="N32" i="29"/>
  <c r="N143" i="29"/>
  <c r="N144" i="29" s="1"/>
  <c r="N43" i="29"/>
  <c r="AB41" i="29"/>
  <c r="W41" i="29"/>
  <c r="W36" i="29"/>
  <c r="AE79" i="29"/>
  <c r="AE61" i="29"/>
  <c r="Q27" i="29"/>
  <c r="K43" i="29"/>
  <c r="K32" i="29"/>
  <c r="K143" i="29"/>
  <c r="K144" i="29" s="1"/>
  <c r="T131" i="29"/>
  <c r="P150" i="29" s="1"/>
  <c r="AD10" i="29"/>
  <c r="P57" i="29"/>
  <c r="P28" i="29"/>
  <c r="P31" i="29"/>
  <c r="P36" i="29"/>
  <c r="P126" i="29"/>
  <c r="P128" i="29" s="1"/>
  <c r="P40" i="29"/>
  <c r="P27" i="29"/>
  <c r="AG41" i="29"/>
  <c r="AF10" i="29"/>
  <c r="R41" i="29"/>
  <c r="R36" i="29"/>
  <c r="Q28" i="29"/>
  <c r="O131" i="29"/>
  <c r="L150" i="29" s="1"/>
  <c r="V19" i="29"/>
  <c r="V18" i="29"/>
  <c r="AC18" i="29"/>
  <c r="N27" i="29"/>
  <c r="V131" i="29"/>
  <c r="R150" i="29" s="1"/>
  <c r="S57" i="29"/>
  <c r="S27" i="29"/>
  <c r="S126" i="29"/>
  <c r="S128" i="29" s="1"/>
  <c r="S28" i="29"/>
  <c r="S38" i="29"/>
  <c r="S31" i="29"/>
  <c r="X27" i="29"/>
  <c r="S40" i="29"/>
  <c r="G44" i="29"/>
  <c r="G73" i="29"/>
  <c r="G60" i="29"/>
  <c r="Z44" i="29"/>
  <c r="Z73" i="29"/>
  <c r="Z60" i="29"/>
  <c r="Y20" i="29"/>
  <c r="Y18" i="29"/>
  <c r="Y19" i="29"/>
  <c r="T40" i="29"/>
  <c r="T135" i="29"/>
  <c r="T27" i="29"/>
  <c r="T36" i="29"/>
  <c r="T28" i="29"/>
  <c r="T116" i="29"/>
  <c r="T31" i="29"/>
  <c r="T38" i="29"/>
  <c r="Y27" i="29"/>
  <c r="T126" i="29"/>
  <c r="T128" i="29" s="1"/>
  <c r="AF18" i="29"/>
  <c r="AF19" i="29"/>
  <c r="Z11" i="29"/>
  <c r="Z10" i="29"/>
  <c r="S18" i="29"/>
  <c r="S19" i="29"/>
  <c r="N10" i="29"/>
  <c r="R9" i="29"/>
  <c r="R10" i="29" s="1"/>
  <c r="N11" i="29"/>
  <c r="Z19" i="29"/>
  <c r="V126" i="29"/>
  <c r="V128" i="29" s="1"/>
  <c r="R38" i="29"/>
  <c r="Q131" i="29"/>
  <c r="N150" i="29" s="1"/>
  <c r="P38" i="29"/>
  <c r="AD11" i="29"/>
  <c r="AI11" i="29"/>
  <c r="AI10" i="29"/>
  <c r="E43" i="29"/>
  <c r="E32" i="29"/>
  <c r="P131" i="29"/>
  <c r="M150" i="29" s="1"/>
  <c r="AE18" i="29"/>
  <c r="AE20" i="29"/>
  <c r="AE19" i="29"/>
  <c r="AI19" i="29"/>
  <c r="AI18" i="29"/>
  <c r="AH19" i="29"/>
  <c r="AH18" i="29"/>
  <c r="AL17" i="29"/>
  <c r="R27" i="29"/>
  <c r="R31" i="29"/>
  <c r="S131" i="29"/>
  <c r="O150" i="29" s="1"/>
  <c r="Z20" i="29"/>
  <c r="S10" i="29"/>
  <c r="AA44" i="29"/>
  <c r="AA73" i="29"/>
  <c r="AA60" i="29"/>
  <c r="U19" i="29"/>
  <c r="Z18" i="29"/>
  <c r="U18" i="29"/>
  <c r="F73" i="29"/>
  <c r="F60" i="29"/>
  <c r="F44" i="29"/>
  <c r="R40" i="29"/>
  <c r="AD43" i="29"/>
  <c r="AD32" i="29"/>
  <c r="AH10" i="29"/>
  <c r="L31" i="29"/>
  <c r="L57" i="29"/>
  <c r="L38" i="29"/>
  <c r="L28" i="29"/>
  <c r="L36" i="29"/>
  <c r="L27" i="29"/>
  <c r="L126" i="29"/>
  <c r="L128" i="29" s="1"/>
  <c r="N28" i="29"/>
  <c r="L40" i="29"/>
  <c r="AF44" i="29"/>
  <c r="AF60" i="29"/>
  <c r="AF73" i="29"/>
  <c r="U131" i="29"/>
  <c r="Q150" i="29" s="1"/>
  <c r="AK19" i="29"/>
  <c r="AK18" i="29"/>
  <c r="AL8" i="29"/>
  <c r="AQ8" i="29"/>
  <c r="U126" i="29"/>
  <c r="U128" i="29" s="1"/>
  <c r="U40" i="29"/>
  <c r="U27" i="29"/>
  <c r="U31" i="29"/>
  <c r="U38" i="29"/>
  <c r="U57" i="29"/>
  <c r="Z27" i="29"/>
  <c r="U28" i="29"/>
  <c r="Y126" i="29"/>
  <c r="Y128" i="29" s="1"/>
  <c r="U36" i="29"/>
  <c r="AE10" i="29"/>
  <c r="X11" i="29"/>
  <c r="AB9" i="29"/>
  <c r="X10" i="29"/>
  <c r="Y73" i="29"/>
  <c r="Y44" i="29"/>
  <c r="Y60" i="29"/>
  <c r="T19" i="29"/>
  <c r="T18" i="29"/>
  <c r="O126" i="29"/>
  <c r="O128" i="29" s="1"/>
  <c r="O31" i="29"/>
  <c r="O40" i="29"/>
  <c r="O28" i="29"/>
  <c r="O57" i="29"/>
  <c r="O27" i="29"/>
  <c r="V143" i="29"/>
  <c r="V144" i="29" s="1"/>
  <c r="V43" i="29"/>
  <c r="V32" i="29"/>
  <c r="AI87" i="28"/>
  <c r="M154" i="28"/>
  <c r="M151" i="28" s="1"/>
  <c r="AK86" i="28"/>
  <c r="X144" i="28"/>
  <c r="X151" i="28"/>
  <c r="Y140" i="28"/>
  <c r="Y144" i="28"/>
  <c r="AG139" i="28"/>
  <c r="AL85" i="28"/>
  <c r="AG107" i="28"/>
  <c r="Z44" i="28"/>
  <c r="AG143" i="28"/>
  <c r="AG131" i="28"/>
  <c r="AC145" i="28"/>
  <c r="AC87" i="28"/>
  <c r="AA87" i="28"/>
  <c r="W154" i="28"/>
  <c r="W140" i="28" s="1"/>
  <c r="AC141" i="28"/>
  <c r="AC146" i="28"/>
  <c r="AB143" i="28"/>
  <c r="AB145" i="28" s="1"/>
  <c r="AA141" i="28"/>
  <c r="AC142" i="28"/>
  <c r="AB42" i="28"/>
  <c r="W152" i="28"/>
  <c r="AC153" i="28"/>
  <c r="AC152" i="28"/>
  <c r="AG150" i="28"/>
  <c r="AD152" i="28"/>
  <c r="AE142" i="28"/>
  <c r="AE146" i="28"/>
  <c r="AE153" i="28"/>
  <c r="AJ87" i="28"/>
  <c r="AF142" i="28"/>
  <c r="AA142" i="28"/>
  <c r="AF146" i="28"/>
  <c r="AA146" i="28"/>
  <c r="AF153" i="28"/>
  <c r="AA153" i="28"/>
  <c r="AD141" i="28"/>
  <c r="AA152" i="28"/>
  <c r="R154" i="28"/>
  <c r="R151" i="28" s="1"/>
  <c r="AD142" i="28"/>
  <c r="AD146" i="28"/>
  <c r="S140" i="28"/>
  <c r="N140" i="28"/>
  <c r="S144" i="28"/>
  <c r="N144" i="28"/>
  <c r="S151" i="28"/>
  <c r="AE145" i="28"/>
  <c r="AF145" i="28"/>
  <c r="AF152" i="28"/>
  <c r="AD153" i="28"/>
  <c r="AB150" i="28"/>
  <c r="T140" i="28"/>
  <c r="O140" i="28"/>
  <c r="T144" i="28"/>
  <c r="O144" i="28"/>
  <c r="AG85" i="28"/>
  <c r="Z140" i="28"/>
  <c r="U140" i="28"/>
  <c r="P140" i="28"/>
  <c r="Z144" i="28"/>
  <c r="U144" i="28"/>
  <c r="P144" i="28"/>
  <c r="AF87" i="28"/>
  <c r="V140" i="28"/>
  <c r="Q140" i="28"/>
  <c r="V144" i="28"/>
  <c r="Q144" i="28"/>
  <c r="AQ59" i="28"/>
  <c r="R141" i="28"/>
  <c r="R145" i="28"/>
  <c r="W145" i="28"/>
  <c r="R152" i="28"/>
  <c r="W141" i="28"/>
  <c r="AC49" i="28"/>
  <c r="AD49" i="28"/>
  <c r="AL36" i="28"/>
  <c r="AG42" i="28"/>
  <c r="AJ86" i="28"/>
  <c r="AI86" i="28"/>
  <c r="AK87" i="28"/>
  <c r="AH86" i="28"/>
  <c r="AC6" i="28"/>
  <c r="Y7" i="28"/>
  <c r="AL5" i="28"/>
  <c r="Z50" i="28"/>
  <c r="AF86" i="28"/>
  <c r="AG37" i="28"/>
  <c r="AL29" i="28"/>
  <c r="AJ95" i="28"/>
  <c r="AD86" i="28"/>
  <c r="AE87" i="28"/>
  <c r="AF138" i="28"/>
  <c r="AC43" i="28"/>
  <c r="Y44" i="28"/>
  <c r="AG100" i="28"/>
  <c r="AG23" i="28"/>
  <c r="Y5" i="28"/>
  <c r="AA50" i="28"/>
  <c r="Y50" i="28"/>
  <c r="AL15" i="28"/>
  <c r="AG36" i="28"/>
  <c r="AL119" i="28"/>
  <c r="AL52" i="28"/>
  <c r="AE122" i="28"/>
  <c r="AL27" i="28"/>
  <c r="AH123" i="28"/>
  <c r="AL143" i="28"/>
  <c r="AL12" i="28"/>
  <c r="AG119" i="28"/>
  <c r="AG5" i="28"/>
  <c r="AL37" i="28"/>
  <c r="AG109" i="28"/>
  <c r="AG61" i="28"/>
  <c r="AH153" i="28"/>
  <c r="AL100" i="28"/>
  <c r="AK152" i="28"/>
  <c r="AL94" i="28"/>
  <c r="AL98" i="28" s="1"/>
  <c r="AG94" i="28"/>
  <c r="AG98" i="28" s="1"/>
  <c r="AF95" i="28"/>
  <c r="AC95" i="28"/>
  <c r="AL150" i="28"/>
  <c r="AJ152" i="28"/>
  <c r="AI95" i="28"/>
  <c r="AH95" i="28"/>
  <c r="AE95" i="28"/>
  <c r="AK95" i="28"/>
  <c r="AI154" i="28"/>
  <c r="AH134" i="28"/>
  <c r="AK141" i="28"/>
  <c r="AG46" i="28"/>
  <c r="AL112" i="28"/>
  <c r="AG52" i="28"/>
  <c r="AL133" i="28"/>
  <c r="AA154" i="28"/>
  <c r="AL109" i="28"/>
  <c r="AQ39" i="28"/>
  <c r="AA95" i="28"/>
  <c r="AL46" i="28"/>
  <c r="AL17" i="28"/>
  <c r="AG112" i="28"/>
  <c r="AG115" i="28"/>
  <c r="AG17" i="28"/>
  <c r="AQ14" i="28"/>
  <c r="AQ15" i="28" s="1"/>
  <c r="AD95" i="28"/>
  <c r="AL115" i="28"/>
  <c r="AK137" i="28"/>
  <c r="AG29" i="28"/>
  <c r="AL6" i="28"/>
  <c r="AE114" i="28"/>
  <c r="AL139" i="28"/>
  <c r="AI135" i="28"/>
  <c r="AI146" i="28"/>
  <c r="AC154" i="28"/>
  <c r="AC151" i="28" s="1"/>
  <c r="AJ135" i="28"/>
  <c r="AJ146" i="28"/>
  <c r="AL73" i="28"/>
  <c r="AD154" i="28"/>
  <c r="AL136" i="28"/>
  <c r="AL77" i="28"/>
  <c r="AL79" i="28"/>
  <c r="AL61" i="28"/>
  <c r="AQ70" i="28"/>
  <c r="AQ71" i="28" s="1"/>
  <c r="AF135" i="28"/>
  <c r="AG73" i="28"/>
  <c r="AL83" i="28"/>
  <c r="AB3" i="28"/>
  <c r="AB48" i="28"/>
  <c r="AB59" i="28"/>
  <c r="AG79" i="28"/>
  <c r="AG133" i="28"/>
  <c r="AG136" i="28"/>
  <c r="AL68" i="28"/>
  <c r="AL62" i="28"/>
  <c r="AL71" i="28"/>
  <c r="AF154" i="28"/>
  <c r="AE130" i="28"/>
  <c r="AE154" i="28"/>
  <c r="AQ3" i="28"/>
  <c r="AL59" i="28"/>
  <c r="AL21" i="28"/>
  <c r="AL40" i="28"/>
  <c r="AL3" i="28"/>
  <c r="AL23" i="28"/>
  <c r="AL48" i="28"/>
  <c r="AG83" i="28"/>
  <c r="AG40" i="28"/>
  <c r="AG48" i="28"/>
  <c r="AJ154" i="28"/>
  <c r="AI152" i="28"/>
  <c r="AH154" i="28"/>
  <c r="AH152" i="28"/>
  <c r="AK154" i="28"/>
  <c r="AP155" i="28" s="1"/>
  <c r="AD138" i="28"/>
  <c r="AE135" i="28"/>
  <c r="AI153" i="28"/>
  <c r="AJ153" i="28"/>
  <c r="AK153" i="28"/>
  <c r="AC130" i="28"/>
  <c r="AI141" i="28"/>
  <c r="AE138" i="28"/>
  <c r="AJ131" i="28"/>
  <c r="AI114" i="28"/>
  <c r="AH145" i="28"/>
  <c r="AJ114" i="28"/>
  <c r="AK114" i="28"/>
  <c r="AD111" i="28"/>
  <c r="AJ128" i="28"/>
  <c r="AK128" i="28"/>
  <c r="AE111" i="28"/>
  <c r="AF130" i="28"/>
  <c r="AJ117" i="28"/>
  <c r="AK134" i="28"/>
  <c r="AJ111" i="28"/>
  <c r="AD130" i="28"/>
  <c r="AI111" i="28"/>
  <c r="AK111" i="28"/>
  <c r="AI145" i="28"/>
  <c r="AK146" i="28"/>
  <c r="AH130" i="28"/>
  <c r="AH131" i="28"/>
  <c r="AH141" i="28"/>
  <c r="AJ145" i="28"/>
  <c r="AC122" i="28"/>
  <c r="AF137" i="28"/>
  <c r="AI110" i="28"/>
  <c r="AF110" i="28"/>
  <c r="AD135" i="28"/>
  <c r="AI131" i="28"/>
  <c r="AI134" i="28"/>
  <c r="AK145" i="28"/>
  <c r="AI142" i="28"/>
  <c r="AJ122" i="28"/>
  <c r="AJ134" i="28"/>
  <c r="AJ141" i="28"/>
  <c r="AJ130" i="28"/>
  <c r="AK130" i="28"/>
  <c r="AJ108" i="28"/>
  <c r="AK131" i="28"/>
  <c r="AK135" i="28"/>
  <c r="AF122" i="28"/>
  <c r="AH128" i="28"/>
  <c r="AH135" i="28"/>
  <c r="AH146" i="28"/>
  <c r="AD118" i="28"/>
  <c r="AI128" i="28"/>
  <c r="AK132" i="28"/>
  <c r="AK142" i="28"/>
  <c r="AH142" i="28"/>
  <c r="AJ132" i="28"/>
  <c r="AI130" i="28"/>
  <c r="AI137" i="28"/>
  <c r="AH138" i="28"/>
  <c r="AI138" i="28"/>
  <c r="AJ138" i="28"/>
  <c r="AK138" i="28"/>
  <c r="AH132" i="28"/>
  <c r="AI132" i="28"/>
  <c r="AJ142" i="28"/>
  <c r="AH137" i="28"/>
  <c r="AJ137" i="28"/>
  <c r="AD114" i="28"/>
  <c r="AE118" i="28"/>
  <c r="AE106" i="28"/>
  <c r="AJ107" i="28"/>
  <c r="AH117" i="28"/>
  <c r="AH121" i="28"/>
  <c r="AK122" i="28"/>
  <c r="AI118" i="28"/>
  <c r="AC114" i="28"/>
  <c r="AH113" i="28"/>
  <c r="AC138" i="28"/>
  <c r="AK107" i="28"/>
  <c r="AJ113" i="28"/>
  <c r="AI117" i="28"/>
  <c r="AJ121" i="28"/>
  <c r="AH107" i="28"/>
  <c r="AK113" i="28"/>
  <c r="AH111" i="28"/>
  <c r="AC106" i="28"/>
  <c r="AE123" i="28"/>
  <c r="AI113" i="28"/>
  <c r="AK117" i="28"/>
  <c r="AD123" i="28"/>
  <c r="AD116" i="28" s="1"/>
  <c r="AJ110" i="28"/>
  <c r="AH114" i="28"/>
  <c r="AJ123" i="28"/>
  <c r="AO124" i="28" s="1"/>
  <c r="AC108" i="28"/>
  <c r="AC123" i="28"/>
  <c r="AK110" i="28"/>
  <c r="AI122" i="28"/>
  <c r="AK123" i="28"/>
  <c r="AP124" i="28" s="1"/>
  <c r="AH108" i="28"/>
  <c r="AI106" i="28"/>
  <c r="AI121" i="28"/>
  <c r="AK108" i="28"/>
  <c r="AJ106" i="28"/>
  <c r="AJ118" i="28"/>
  <c r="AH118" i="28"/>
  <c r="AK106" i="28"/>
  <c r="AK118" i="28"/>
  <c r="AK121" i="28"/>
  <c r="AI108" i="28"/>
  <c r="AI107" i="28"/>
  <c r="AH106" i="28"/>
  <c r="AH122" i="28"/>
  <c r="AH110" i="28"/>
  <c r="AC111" i="28"/>
  <c r="AA123" i="28"/>
  <c r="AF106" i="28"/>
  <c r="AD106" i="28"/>
  <c r="AC118" i="28"/>
  <c r="AF107" i="28"/>
  <c r="AF113" i="28"/>
  <c r="AF114" i="28"/>
  <c r="AF123" i="28"/>
  <c r="AF120" i="28" s="1"/>
  <c r="AF117" i="28"/>
  <c r="AF108" i="28"/>
  <c r="AF118" i="28"/>
  <c r="AF121" i="28"/>
  <c r="AF111" i="28"/>
  <c r="AD122" i="28"/>
  <c r="AE132" i="28"/>
  <c r="AD132" i="28"/>
  <c r="AA128" i="28"/>
  <c r="Z128" i="28"/>
  <c r="Y128" i="28"/>
  <c r="X128" i="28"/>
  <c r="P128" i="28"/>
  <c r="O128" i="28"/>
  <c r="AE108" i="28"/>
  <c r="AC132" i="28"/>
  <c r="N128" i="28"/>
  <c r="M128" i="28"/>
  <c r="L128" i="28"/>
  <c r="K128" i="28"/>
  <c r="AF132" i="28"/>
  <c r="V128" i="28"/>
  <c r="J128" i="28"/>
  <c r="AG128" i="28"/>
  <c r="U128" i="28"/>
  <c r="I128" i="28"/>
  <c r="T128" i="28"/>
  <c r="AE128" i="28"/>
  <c r="S128" i="28"/>
  <c r="G128" i="28"/>
  <c r="H128" i="28"/>
  <c r="D128" i="28"/>
  <c r="AD128" i="28"/>
  <c r="R128" i="28"/>
  <c r="F128" i="28"/>
  <c r="W128" i="28"/>
  <c r="AF128" i="28"/>
  <c r="AE31" i="28"/>
  <c r="AC128" i="28"/>
  <c r="Q128" i="28"/>
  <c r="E128" i="28"/>
  <c r="AF131" i="28"/>
  <c r="AD108" i="28"/>
  <c r="AI25" i="28"/>
  <c r="AK10" i="28"/>
  <c r="AH30" i="28"/>
  <c r="AJ30" i="28"/>
  <c r="AK30" i="28"/>
  <c r="I59" i="28"/>
  <c r="J34" i="28"/>
  <c r="AG34" i="28"/>
  <c r="AA34" i="28"/>
  <c r="I34" i="28"/>
  <c r="AG59" i="28"/>
  <c r="AH34" i="28"/>
  <c r="AI31" i="28"/>
  <c r="AJ31" i="28"/>
  <c r="H59" i="28"/>
  <c r="N34" i="28"/>
  <c r="AH31" i="28"/>
  <c r="O34" i="28"/>
  <c r="T59" i="28"/>
  <c r="AC75" i="28"/>
  <c r="S59" i="28"/>
  <c r="AF30" i="28"/>
  <c r="U34" i="28"/>
  <c r="U59" i="28"/>
  <c r="V34" i="28"/>
  <c r="Z59" i="28"/>
  <c r="AF59" i="28"/>
  <c r="G59" i="28"/>
  <c r="N59" i="28"/>
  <c r="Z34" i="28"/>
  <c r="AE59" i="28"/>
  <c r="AF81" i="28"/>
  <c r="AJ81" i="28"/>
  <c r="AI81" i="28"/>
  <c r="AK80" i="28"/>
  <c r="AD75" i="28"/>
  <c r="AK65" i="28"/>
  <c r="AK66" i="28"/>
  <c r="AI66" i="28"/>
  <c r="AH66" i="28"/>
  <c r="AF66" i="28"/>
  <c r="AI30" i="28"/>
  <c r="M34" i="28"/>
  <c r="AK34" i="28"/>
  <c r="K59" i="28"/>
  <c r="AI59" i="28"/>
  <c r="AE75" i="28"/>
  <c r="AJ59" i="28"/>
  <c r="M59" i="28"/>
  <c r="AK59" i="28"/>
  <c r="AF65" i="28"/>
  <c r="D34" i="28"/>
  <c r="P34" i="28"/>
  <c r="AF31" i="28"/>
  <c r="AH19" i="28"/>
  <c r="E34" i="28"/>
  <c r="Q34" i="28"/>
  <c r="AC34" i="28"/>
  <c r="AA44" i="28"/>
  <c r="O59" i="28"/>
  <c r="AA59" i="28"/>
  <c r="K34" i="28"/>
  <c r="X34" i="28"/>
  <c r="J59" i="28"/>
  <c r="W34" i="28"/>
  <c r="L34" i="28"/>
  <c r="AJ34" i="28"/>
  <c r="V59" i="28"/>
  <c r="AH59" i="28"/>
  <c r="AH65" i="28"/>
  <c r="Y34" i="28"/>
  <c r="X59" i="28"/>
  <c r="AF75" i="28"/>
  <c r="F34" i="28"/>
  <c r="AD34" i="28"/>
  <c r="D59" i="28"/>
  <c r="P59" i="28"/>
  <c r="AK74" i="28"/>
  <c r="AK31" i="28"/>
  <c r="G34" i="28"/>
  <c r="S34" i="28"/>
  <c r="AE34" i="28"/>
  <c r="E59" i="28"/>
  <c r="Q59" i="28"/>
  <c r="AC59" i="28"/>
  <c r="AH81" i="28"/>
  <c r="AI80" i="28"/>
  <c r="AI34" i="28"/>
  <c r="W59" i="28"/>
  <c r="L59" i="28"/>
  <c r="Y59" i="28"/>
  <c r="AH75" i="28"/>
  <c r="R34" i="28"/>
  <c r="H34" i="28"/>
  <c r="T34" i="28"/>
  <c r="AF34" i="28"/>
  <c r="F59" i="28"/>
  <c r="R59" i="28"/>
  <c r="AD59" i="28"/>
  <c r="AJ80" i="28"/>
  <c r="AC66" i="28"/>
  <c r="AI75" i="28"/>
  <c r="AF80" i="28"/>
  <c r="AK81" i="28"/>
  <c r="AI65" i="28"/>
  <c r="AD66" i="28"/>
  <c r="AJ75" i="28"/>
  <c r="AJ65" i="28"/>
  <c r="AE66" i="28"/>
  <c r="AK75" i="28"/>
  <c r="AH80" i="28"/>
  <c r="AA81" i="28"/>
  <c r="AF74" i="28"/>
  <c r="AC81" i="28"/>
  <c r="AJ66" i="28"/>
  <c r="AD81" i="28"/>
  <c r="AH74" i="28"/>
  <c r="AE81" i="28"/>
  <c r="AI74" i="28"/>
  <c r="AJ74" i="28"/>
  <c r="AE50" i="28"/>
  <c r="AK43" i="28"/>
  <c r="AF50" i="28"/>
  <c r="AE49" i="28"/>
  <c r="AH50" i="28"/>
  <c r="AI50" i="28"/>
  <c r="AH49" i="28"/>
  <c r="AJ50" i="28"/>
  <c r="AI49" i="28"/>
  <c r="AJ49" i="28"/>
  <c r="AK49" i="28"/>
  <c r="AJ44" i="28"/>
  <c r="AK44" i="28"/>
  <c r="AC44" i="28"/>
  <c r="AD44" i="28"/>
  <c r="AE44" i="28"/>
  <c r="AF44" i="28"/>
  <c r="AH44" i="28"/>
  <c r="AI44" i="28"/>
  <c r="AF49" i="28"/>
  <c r="AK50" i="28"/>
  <c r="AD50" i="28"/>
  <c r="AH43" i="28"/>
  <c r="AD43" i="28"/>
  <c r="AE43" i="28"/>
  <c r="AF43" i="28"/>
  <c r="AC50" i="28"/>
  <c r="AI43" i="28"/>
  <c r="AJ43" i="28"/>
  <c r="AC31" i="28"/>
  <c r="AD31" i="28"/>
  <c r="AI10" i="28"/>
  <c r="AF10" i="28"/>
  <c r="AI18" i="28"/>
  <c r="AI19" i="28"/>
  <c r="AJ19" i="28"/>
  <c r="AC10" i="28"/>
  <c r="AK25" i="28"/>
  <c r="AH18" i="28"/>
  <c r="AJ25" i="28"/>
  <c r="AJ18" i="28"/>
  <c r="AH10" i="28"/>
  <c r="AH24" i="28"/>
  <c r="AU8" i="28"/>
  <c r="AZ8" i="28" s="1"/>
  <c r="AH25" i="28"/>
  <c r="AF9" i="28"/>
  <c r="AK19" i="28"/>
  <c r="AI24" i="28"/>
  <c r="AJ24" i="28"/>
  <c r="AJ10" i="28"/>
  <c r="AH9" i="28"/>
  <c r="AI9" i="28"/>
  <c r="AD10" i="28"/>
  <c r="AJ9" i="28"/>
  <c r="AE10" i="28"/>
  <c r="AK9" i="28"/>
  <c r="AK18" i="28"/>
  <c r="AK24" i="28"/>
  <c r="AE25" i="28"/>
  <c r="AF24" i="28"/>
  <c r="AF25" i="28"/>
  <c r="AC25" i="28"/>
  <c r="AD25" i="28"/>
  <c r="AE19" i="28"/>
  <c r="AF19" i="28"/>
  <c r="AD19" i="28"/>
  <c r="AC19" i="28"/>
  <c r="AF18" i="28"/>
  <c r="AL56" i="28" l="1"/>
  <c r="AG56" i="28"/>
  <c r="AX41" i="28"/>
  <c r="AX8" i="28"/>
  <c r="AY10" i="28" s="1"/>
  <c r="K47" i="24"/>
  <c r="AX42" i="28"/>
  <c r="AX45" i="28" s="1"/>
  <c r="K65" i="24"/>
  <c r="L78" i="24"/>
  <c r="H78" i="24"/>
  <c r="I78" i="24" s="1"/>
  <c r="E78" i="24"/>
  <c r="F78" i="24" s="1"/>
  <c r="L79" i="24"/>
  <c r="H79" i="24"/>
  <c r="I79" i="24" s="1"/>
  <c r="E79" i="24"/>
  <c r="F79" i="24" s="1"/>
  <c r="AX64" i="28"/>
  <c r="AX66" i="28" s="1"/>
  <c r="K75" i="24"/>
  <c r="L64" i="24"/>
  <c r="E64" i="24"/>
  <c r="F64" i="24" s="1"/>
  <c r="H64" i="24"/>
  <c r="I64" i="24" s="1"/>
  <c r="L50" i="24"/>
  <c r="E50" i="24"/>
  <c r="F50" i="24" s="1"/>
  <c r="H50" i="24"/>
  <c r="I50" i="24" s="1"/>
  <c r="AI8" i="34"/>
  <c r="AJ16" i="34"/>
  <c r="AJ15" i="34"/>
  <c r="AJ13" i="34"/>
  <c r="AJ37" i="34"/>
  <c r="AJ33" i="34"/>
  <c r="AJ10" i="34"/>
  <c r="AJ31" i="34"/>
  <c r="AJ11" i="34"/>
  <c r="AO10" i="34"/>
  <c r="AF8" i="34"/>
  <c r="AL7" i="34"/>
  <c r="AH8" i="34"/>
  <c r="AH9" i="34"/>
  <c r="AI11" i="34" s="1"/>
  <c r="AM8" i="34"/>
  <c r="AQ21" i="34"/>
  <c r="AQ40" i="34"/>
  <c r="AQ41" i="34" s="1"/>
  <c r="AC8" i="34"/>
  <c r="AC9" i="34"/>
  <c r="AG7" i="34"/>
  <c r="AB7" i="34"/>
  <c r="AB8" i="34" s="1"/>
  <c r="AA8" i="34"/>
  <c r="AK8" i="34"/>
  <c r="AK9" i="34"/>
  <c r="AP8" i="34"/>
  <c r="AI16" i="34"/>
  <c r="AI31" i="34"/>
  <c r="AI37" i="34"/>
  <c r="AI33" i="34"/>
  <c r="AI10" i="34"/>
  <c r="AI13" i="34"/>
  <c r="AI15" i="34"/>
  <c r="AN10" i="34"/>
  <c r="AG14" i="10"/>
  <c r="D32" i="24"/>
  <c r="D11" i="24"/>
  <c r="AW19" i="28"/>
  <c r="AX73" i="28"/>
  <c r="AX76" i="28" s="1"/>
  <c r="AX134" i="28"/>
  <c r="AX110" i="28"/>
  <c r="AZ134" i="28"/>
  <c r="AZ135" i="28"/>
  <c r="AW41" i="28"/>
  <c r="BA39" i="28"/>
  <c r="AW14" i="28"/>
  <c r="AT76" i="28"/>
  <c r="AY73" i="28"/>
  <c r="AZ111" i="28"/>
  <c r="AZ110" i="28"/>
  <c r="AY134" i="28"/>
  <c r="AY135" i="28"/>
  <c r="AU20" i="28"/>
  <c r="R49" i="31" s="1"/>
  <c r="AZ17" i="28"/>
  <c r="AW66" i="28"/>
  <c r="AY110" i="28"/>
  <c r="AY111" i="28"/>
  <c r="BA71" i="28"/>
  <c r="AT20" i="28"/>
  <c r="Q49" i="31" s="1"/>
  <c r="AY17" i="28"/>
  <c r="AZ10" i="28"/>
  <c r="AT45" i="28"/>
  <c r="Q50" i="31" s="1"/>
  <c r="AY42" i="28"/>
  <c r="W43" i="29"/>
  <c r="W44" i="29" s="1"/>
  <c r="AH91" i="28"/>
  <c r="AD91" i="28"/>
  <c r="AF91" i="28"/>
  <c r="AG89" i="28"/>
  <c r="AL89" i="28"/>
  <c r="AE91" i="28"/>
  <c r="AP15" i="10"/>
  <c r="AP9" i="10"/>
  <c r="AM149" i="28"/>
  <c r="AP148" i="28"/>
  <c r="AP6" i="10"/>
  <c r="AT10" i="28"/>
  <c r="AJ90" i="28"/>
  <c r="AJ91" i="28"/>
  <c r="AO90" i="28"/>
  <c r="AK91" i="28"/>
  <c r="AK90" i="28"/>
  <c r="AM91" i="28"/>
  <c r="AH90" i="28"/>
  <c r="AM90" i="28"/>
  <c r="AU10" i="28"/>
  <c r="AI91" i="28"/>
  <c r="AI90" i="28"/>
  <c r="AN90" i="28"/>
  <c r="AM69" i="10"/>
  <c r="AJ151" i="28"/>
  <c r="AO155" i="28"/>
  <c r="AO9" i="10"/>
  <c r="AT44" i="28"/>
  <c r="AO6" i="10"/>
  <c r="AO15" i="10"/>
  <c r="AM23" i="10"/>
  <c r="K63" i="24"/>
  <c r="AT75" i="28"/>
  <c r="AI116" i="28"/>
  <c r="AN124" i="28"/>
  <c r="AI151" i="28"/>
  <c r="AN155" i="28"/>
  <c r="AN9" i="10"/>
  <c r="AN6" i="10"/>
  <c r="AN15" i="10"/>
  <c r="AK10" i="29"/>
  <c r="AE77" i="29"/>
  <c r="AE75" i="29"/>
  <c r="AU19" i="28"/>
  <c r="AM15" i="10"/>
  <c r="AB36" i="29"/>
  <c r="AB40" i="29"/>
  <c r="AM9" i="10"/>
  <c r="AK151" i="28"/>
  <c r="AM156" i="28"/>
  <c r="AB27" i="29"/>
  <c r="AS44" i="29"/>
  <c r="H43" i="29"/>
  <c r="H73" i="29" s="1"/>
  <c r="H75" i="29" s="1"/>
  <c r="AB38" i="29"/>
  <c r="AB31" i="29"/>
  <c r="AB32" i="29" s="1"/>
  <c r="AD22" i="29"/>
  <c r="AM16" i="10"/>
  <c r="AM6" i="10"/>
  <c r="AH151" i="28"/>
  <c r="AM155" i="28"/>
  <c r="AM10" i="10"/>
  <c r="AM7" i="10"/>
  <c r="AK116" i="28"/>
  <c r="AM125" i="28"/>
  <c r="AH120" i="28"/>
  <c r="AM124" i="28"/>
  <c r="AM54" i="10"/>
  <c r="AM43" i="10"/>
  <c r="M44" i="29"/>
  <c r="M73" i="29"/>
  <c r="M76" i="29" s="1"/>
  <c r="M77" i="29" s="1"/>
  <c r="AH44" i="29"/>
  <c r="AH73" i="29"/>
  <c r="AH76" i="29" s="1"/>
  <c r="X32" i="29"/>
  <c r="X143" i="29"/>
  <c r="X144" i="29" s="1"/>
  <c r="AD21" i="29"/>
  <c r="AI44" i="29"/>
  <c r="AI73" i="29"/>
  <c r="AI76" i="29" s="1"/>
  <c r="O49" i="31"/>
  <c r="AV14" i="28"/>
  <c r="AV15" i="28" s="1"/>
  <c r="AV71" i="28"/>
  <c r="AH149" i="28"/>
  <c r="AL147" i="28"/>
  <c r="AH148" i="28"/>
  <c r="AK149" i="28"/>
  <c r="AK148" i="28"/>
  <c r="AJ149" i="28"/>
  <c r="AJ148" i="28"/>
  <c r="AA148" i="28"/>
  <c r="AB147" i="28"/>
  <c r="AB148" i="28" s="1"/>
  <c r="AA149" i="28"/>
  <c r="AI149" i="28"/>
  <c r="AI148" i="28"/>
  <c r="AC149" i="28"/>
  <c r="AC148" i="28"/>
  <c r="AG147" i="28"/>
  <c r="AU42" i="28"/>
  <c r="AZ42" i="28" s="1"/>
  <c r="AZ45" i="28" s="1"/>
  <c r="AF149" i="28"/>
  <c r="AF148" i="28"/>
  <c r="AV39" i="28"/>
  <c r="AV40" i="28" s="1"/>
  <c r="K60" i="24"/>
  <c r="AE149" i="28"/>
  <c r="AE148" i="28"/>
  <c r="AU110" i="28"/>
  <c r="AU111" i="28"/>
  <c r="AT110" i="28"/>
  <c r="AT111" i="28"/>
  <c r="AD149" i="28"/>
  <c r="AD148" i="28"/>
  <c r="AT134" i="28"/>
  <c r="AT135" i="28"/>
  <c r="AW73" i="28"/>
  <c r="AU73" i="28"/>
  <c r="AZ73" i="28" s="1"/>
  <c r="AT64" i="28"/>
  <c r="AY64" i="28" s="1"/>
  <c r="AU134" i="28"/>
  <c r="AU135" i="28"/>
  <c r="AG141" i="28"/>
  <c r="AL18" i="29"/>
  <c r="AE151" i="28"/>
  <c r="M140" i="28"/>
  <c r="AA151" i="28"/>
  <c r="M144" i="28"/>
  <c r="AL86" i="28"/>
  <c r="AD151" i="28"/>
  <c r="AF144" i="28"/>
  <c r="W144" i="28"/>
  <c r="O143" i="29"/>
  <c r="O144" i="29" s="1"/>
  <c r="O32" i="29"/>
  <c r="O43" i="29"/>
  <c r="X73" i="29"/>
  <c r="X44" i="29"/>
  <c r="X60" i="29"/>
  <c r="AF79" i="29"/>
  <c r="AF61" i="29"/>
  <c r="AA79" i="29"/>
  <c r="AA61" i="29"/>
  <c r="AA76" i="29"/>
  <c r="AA75" i="29"/>
  <c r="G79" i="29"/>
  <c r="G61" i="29"/>
  <c r="S143" i="29"/>
  <c r="S144" i="29" s="1"/>
  <c r="S43" i="29"/>
  <c r="S32" i="29"/>
  <c r="G76" i="29"/>
  <c r="G75" i="29"/>
  <c r="P143" i="29"/>
  <c r="P144" i="29" s="1"/>
  <c r="P43" i="29"/>
  <c r="P32" i="29"/>
  <c r="AH79" i="29"/>
  <c r="AH61" i="29"/>
  <c r="Q73" i="29"/>
  <c r="Q44" i="29"/>
  <c r="Q60" i="29"/>
  <c r="AD73" i="29"/>
  <c r="AD44" i="29"/>
  <c r="AD60" i="29"/>
  <c r="Z22" i="29"/>
  <c r="AA22" i="29"/>
  <c r="Z21" i="29"/>
  <c r="AE21" i="29"/>
  <c r="AF22" i="29"/>
  <c r="AE22" i="29"/>
  <c r="AE81" i="29"/>
  <c r="AE83" i="29"/>
  <c r="W10" i="29"/>
  <c r="Y76" i="29"/>
  <c r="Y75" i="29"/>
  <c r="AK21" i="29"/>
  <c r="AK26" i="29"/>
  <c r="F61" i="29"/>
  <c r="F79" i="29"/>
  <c r="AB10" i="29"/>
  <c r="F76" i="29"/>
  <c r="F75" i="29"/>
  <c r="R32" i="29"/>
  <c r="R43" i="29"/>
  <c r="E73" i="29"/>
  <c r="E44" i="29"/>
  <c r="E60" i="29"/>
  <c r="Y22" i="29"/>
  <c r="Y21" i="29"/>
  <c r="N60" i="29"/>
  <c r="N44" i="29"/>
  <c r="N73" i="29"/>
  <c r="J60" i="29"/>
  <c r="J73" i="29"/>
  <c r="J44" i="29"/>
  <c r="AC21" i="29"/>
  <c r="AC22" i="29"/>
  <c r="AH21" i="29"/>
  <c r="AC26" i="29"/>
  <c r="D73" i="29"/>
  <c r="D44" i="29"/>
  <c r="D60" i="29"/>
  <c r="I32" i="29"/>
  <c r="I43" i="29"/>
  <c r="I143" i="29"/>
  <c r="I144" i="29" s="1"/>
  <c r="U43" i="29"/>
  <c r="U143" i="29"/>
  <c r="U144" i="29" s="1"/>
  <c r="U32" i="29"/>
  <c r="L43" i="29"/>
  <c r="L143" i="29"/>
  <c r="L144" i="29" s="1"/>
  <c r="L32" i="29"/>
  <c r="M61" i="29"/>
  <c r="M79" i="29"/>
  <c r="M81" i="29" s="1"/>
  <c r="Z61" i="29"/>
  <c r="Z79" i="29"/>
  <c r="K60" i="29"/>
  <c r="K44" i="29"/>
  <c r="K73" i="29"/>
  <c r="AG2" i="29"/>
  <c r="AG10" i="29"/>
  <c r="V60" i="29"/>
  <c r="V73" i="29"/>
  <c r="V44" i="29"/>
  <c r="Y61" i="29"/>
  <c r="Y79" i="29"/>
  <c r="AI79" i="29"/>
  <c r="AI61" i="29"/>
  <c r="AF76" i="29"/>
  <c r="AF75" i="29"/>
  <c r="T32" i="29"/>
  <c r="T43" i="29"/>
  <c r="T143" i="29"/>
  <c r="T144" i="29" s="1"/>
  <c r="Z76" i="29"/>
  <c r="Z75" i="29"/>
  <c r="W151" i="28"/>
  <c r="R155" i="28"/>
  <c r="AL24" i="28"/>
  <c r="R144" i="28"/>
  <c r="AG43" i="28"/>
  <c r="AG86" i="28"/>
  <c r="R140" i="28"/>
  <c r="AG145" i="28"/>
  <c r="AD144" i="28"/>
  <c r="AF151" i="28"/>
  <c r="AD140" i="28"/>
  <c r="AL18" i="28"/>
  <c r="AE140" i="28"/>
  <c r="AG152" i="28"/>
  <c r="AB152" i="28"/>
  <c r="AF140" i="28"/>
  <c r="AC140" i="28"/>
  <c r="AB154" i="28"/>
  <c r="AA144" i="28"/>
  <c r="AE144" i="28"/>
  <c r="AA140" i="28"/>
  <c r="AL43" i="28"/>
  <c r="AG154" i="28"/>
  <c r="AC144" i="28"/>
  <c r="W155" i="28"/>
  <c r="AL121" i="28"/>
  <c r="AH116" i="28"/>
  <c r="AL110" i="28"/>
  <c r="AK120" i="28"/>
  <c r="AG49" i="28"/>
  <c r="AL74" i="28"/>
  <c r="AL141" i="28"/>
  <c r="AL152" i="28"/>
  <c r="AJ156" i="28"/>
  <c r="AL96" i="28"/>
  <c r="AC156" i="28"/>
  <c r="AL80" i="28"/>
  <c r="AQ35" i="28"/>
  <c r="AQ37" i="28" s="1"/>
  <c r="AL49" i="28"/>
  <c r="AL117" i="28"/>
  <c r="AG130" i="28"/>
  <c r="AQ40" i="28"/>
  <c r="AQ109" i="28"/>
  <c r="AL154" i="28"/>
  <c r="AL140" i="28" s="1"/>
  <c r="AL113" i="28"/>
  <c r="AL106" i="28"/>
  <c r="AC120" i="28"/>
  <c r="AG123" i="28"/>
  <c r="AG116" i="28" s="1"/>
  <c r="AG106" i="28"/>
  <c r="AA120" i="28"/>
  <c r="AF116" i="28"/>
  <c r="AL30" i="28"/>
  <c r="AL123" i="28"/>
  <c r="AD156" i="28"/>
  <c r="AL145" i="28"/>
  <c r="AB128" i="28"/>
  <c r="AB93" i="28"/>
  <c r="AL130" i="28"/>
  <c r="AQ133" i="28"/>
  <c r="AQ134" i="28" s="1"/>
  <c r="AQ60" i="28"/>
  <c r="AQ62" i="28" s="1"/>
  <c r="AL134" i="28"/>
  <c r="AL137" i="28"/>
  <c r="AH155" i="28"/>
  <c r="AQ93" i="28"/>
  <c r="AQ128" i="28"/>
  <c r="AL128" i="28"/>
  <c r="AL93" i="28"/>
  <c r="AJ155" i="28"/>
  <c r="AJ140" i="28"/>
  <c r="AE156" i="28"/>
  <c r="AI156" i="28"/>
  <c r="AK124" i="28"/>
  <c r="AI155" i="28"/>
  <c r="AI140" i="28"/>
  <c r="AK156" i="28"/>
  <c r="AH156" i="28"/>
  <c r="AF125" i="28"/>
  <c r="AK155" i="28"/>
  <c r="AK140" i="28"/>
  <c r="AI124" i="28"/>
  <c r="AJ144" i="28"/>
  <c r="AH144" i="28"/>
  <c r="AJ125" i="28"/>
  <c r="AF155" i="28"/>
  <c r="AF156" i="28"/>
  <c r="AH140" i="28"/>
  <c r="AI144" i="28"/>
  <c r="AK144" i="28"/>
  <c r="AJ124" i="28"/>
  <c r="AD120" i="28"/>
  <c r="AH124" i="28"/>
  <c r="AC116" i="28"/>
  <c r="AJ120" i="28"/>
  <c r="AJ116" i="28"/>
  <c r="AK125" i="28"/>
  <c r="AI125" i="28"/>
  <c r="AI120" i="28"/>
  <c r="AE120" i="28"/>
  <c r="AE125" i="28"/>
  <c r="AD125" i="28"/>
  <c r="AA116" i="28"/>
  <c r="AE116" i="28"/>
  <c r="AH125" i="28"/>
  <c r="AF124" i="28"/>
  <c r="AC125" i="28"/>
  <c r="AC135" i="28"/>
  <c r="AF134" i="28"/>
  <c r="L75" i="24" l="1"/>
  <c r="E75" i="24"/>
  <c r="F75" i="24" s="1"/>
  <c r="H75" i="24"/>
  <c r="I75" i="24" s="1"/>
  <c r="AX17" i="28"/>
  <c r="AX20" i="28" s="1"/>
  <c r="K51" i="24"/>
  <c r="AY66" i="28"/>
  <c r="E65" i="24"/>
  <c r="F65" i="24" s="1"/>
  <c r="L65" i="24"/>
  <c r="H65" i="24"/>
  <c r="I65" i="24" s="1"/>
  <c r="L60" i="24"/>
  <c r="E60" i="24"/>
  <c r="F60" i="24" s="1"/>
  <c r="H60" i="24"/>
  <c r="I60" i="24" s="1"/>
  <c r="L47" i="24"/>
  <c r="E47" i="24"/>
  <c r="F47" i="24" s="1"/>
  <c r="H47" i="24"/>
  <c r="I47" i="24" s="1"/>
  <c r="K77" i="24"/>
  <c r="L63" i="24"/>
  <c r="E63" i="24"/>
  <c r="F63" i="24" s="1"/>
  <c r="H63" i="24"/>
  <c r="I63" i="24" s="1"/>
  <c r="AL8" i="34"/>
  <c r="AQ8" i="34"/>
  <c r="AG8" i="34"/>
  <c r="AC15" i="34"/>
  <c r="AC37" i="34"/>
  <c r="AC10" i="34"/>
  <c r="AC13" i="34"/>
  <c r="AC31" i="34"/>
  <c r="AC11" i="34"/>
  <c r="AG9" i="34"/>
  <c r="AC33" i="34"/>
  <c r="AC16" i="34"/>
  <c r="AD11" i="34"/>
  <c r="AK13" i="34"/>
  <c r="AK15" i="34"/>
  <c r="AK16" i="34"/>
  <c r="AK33" i="34"/>
  <c r="AK10" i="34"/>
  <c r="AK31" i="34"/>
  <c r="AK11" i="34"/>
  <c r="AK37" i="34"/>
  <c r="AP10" i="34"/>
  <c r="AM11" i="34"/>
  <c r="AI35" i="34"/>
  <c r="AI25" i="34"/>
  <c r="AI20" i="34"/>
  <c r="AI29" i="34"/>
  <c r="AI17" i="34"/>
  <c r="AH37" i="34"/>
  <c r="AH10" i="34"/>
  <c r="AH31" i="34"/>
  <c r="AH13" i="34"/>
  <c r="AH16" i="34"/>
  <c r="AH15" i="34"/>
  <c r="AH33" i="34"/>
  <c r="AH11" i="34"/>
  <c r="AL9" i="34"/>
  <c r="AM10" i="34"/>
  <c r="AJ35" i="34"/>
  <c r="AJ20" i="34"/>
  <c r="AJ29" i="34"/>
  <c r="AJ17" i="34"/>
  <c r="AJ25" i="34"/>
  <c r="D20" i="24"/>
  <c r="D12" i="24"/>
  <c r="AT78" i="28"/>
  <c r="AT136" i="28"/>
  <c r="AT137" i="28" s="1"/>
  <c r="AT77" i="28"/>
  <c r="AT82" i="28"/>
  <c r="AT83" i="28" s="1"/>
  <c r="AX75" i="28"/>
  <c r="AW75" i="28"/>
  <c r="AW76" i="28"/>
  <c r="AX78" i="28" s="1"/>
  <c r="AZ19" i="28"/>
  <c r="AZ20" i="28"/>
  <c r="W60" i="29"/>
  <c r="W79" i="29" s="1"/>
  <c r="AZ44" i="28"/>
  <c r="AY45" i="28"/>
  <c r="W73" i="29"/>
  <c r="W75" i="29" s="1"/>
  <c r="AY75" i="28"/>
  <c r="AY76" i="28"/>
  <c r="AZ51" i="28"/>
  <c r="AZ66" i="28"/>
  <c r="AW8" i="28"/>
  <c r="AT46" i="28"/>
  <c r="AT112" i="28"/>
  <c r="AT113" i="28" s="1"/>
  <c r="AT26" i="28"/>
  <c r="AU26" i="28"/>
  <c r="AT21" i="28"/>
  <c r="AU21" i="28"/>
  <c r="AW20" i="28"/>
  <c r="AW133" i="28"/>
  <c r="AW109" i="28"/>
  <c r="AW16" i="28"/>
  <c r="BA14" i="28"/>
  <c r="BA15" i="28" s="1"/>
  <c r="AX16" i="28"/>
  <c r="AX82" i="28"/>
  <c r="AX77" i="28"/>
  <c r="AT51" i="28"/>
  <c r="AX46" i="28"/>
  <c r="AX51" i="28"/>
  <c r="AU22" i="28"/>
  <c r="O50" i="31"/>
  <c r="AW42" i="28"/>
  <c r="AY19" i="28"/>
  <c r="AY20" i="28"/>
  <c r="BA40" i="28"/>
  <c r="AX19" i="28"/>
  <c r="AZ75" i="28"/>
  <c r="AZ76" i="28"/>
  <c r="AY44" i="28"/>
  <c r="AL90" i="28"/>
  <c r="AT47" i="28"/>
  <c r="P50" i="31"/>
  <c r="K69" i="24"/>
  <c r="M75" i="29"/>
  <c r="AB43" i="29"/>
  <c r="AB73" i="29" s="1"/>
  <c r="AQ20" i="28"/>
  <c r="AQ17" i="28" s="1"/>
  <c r="AQ18" i="28" s="1"/>
  <c r="H76" i="29"/>
  <c r="H77" i="29" s="1"/>
  <c r="H60" i="29"/>
  <c r="H44" i="29"/>
  <c r="AH75" i="29"/>
  <c r="AM55" i="10"/>
  <c r="AM72" i="10"/>
  <c r="AM68" i="10"/>
  <c r="AM79" i="10"/>
  <c r="AI75" i="29"/>
  <c r="AV133" i="28"/>
  <c r="AV134" i="28" s="1"/>
  <c r="AG148" i="28"/>
  <c r="AV109" i="28"/>
  <c r="AV110" i="28" s="1"/>
  <c r="AT19" i="28"/>
  <c r="K49" i="24"/>
  <c r="AU44" i="28"/>
  <c r="AU45" i="28"/>
  <c r="R50" i="31" s="1"/>
  <c r="AT35" i="28"/>
  <c r="AL148" i="28"/>
  <c r="AQ110" i="28"/>
  <c r="K73" i="24"/>
  <c r="AT66" i="28"/>
  <c r="AU66" i="28"/>
  <c r="AU75" i="28"/>
  <c r="AU76" i="28"/>
  <c r="Y83" i="29"/>
  <c r="Y81" i="29"/>
  <c r="U44" i="29"/>
  <c r="U60" i="29"/>
  <c r="U73" i="29"/>
  <c r="E76" i="29"/>
  <c r="E75" i="29"/>
  <c r="AD76" i="29"/>
  <c r="AD75" i="29"/>
  <c r="J79" i="29"/>
  <c r="J61" i="29"/>
  <c r="Q75" i="29"/>
  <c r="Q76" i="29"/>
  <c r="AH86" i="29"/>
  <c r="AH77" i="29"/>
  <c r="I44" i="29"/>
  <c r="I60" i="29"/>
  <c r="I73" i="29"/>
  <c r="R73" i="29"/>
  <c r="R60" i="29"/>
  <c r="R44" i="29"/>
  <c r="K75" i="29"/>
  <c r="K76" i="29"/>
  <c r="AA83" i="29"/>
  <c r="AA81" i="29"/>
  <c r="T44" i="29"/>
  <c r="T60" i="29"/>
  <c r="T73" i="29"/>
  <c r="V75" i="29"/>
  <c r="V76" i="29"/>
  <c r="V72" i="29"/>
  <c r="K61" i="29"/>
  <c r="K79" i="29"/>
  <c r="AF81" i="29"/>
  <c r="AF83" i="29"/>
  <c r="V79" i="29"/>
  <c r="V61" i="29"/>
  <c r="D76" i="29"/>
  <c r="D75" i="29"/>
  <c r="X61" i="29"/>
  <c r="X79" i="29"/>
  <c r="AF86" i="29"/>
  <c r="AF77" i="29"/>
  <c r="G86" i="29"/>
  <c r="G87" i="29" s="1"/>
  <c r="G77" i="29"/>
  <c r="X76" i="29"/>
  <c r="X75" i="29"/>
  <c r="L60" i="29"/>
  <c r="L44" i="29"/>
  <c r="L73" i="29"/>
  <c r="O44" i="29"/>
  <c r="O73" i="29"/>
  <c r="O60" i="29"/>
  <c r="J76" i="29"/>
  <c r="J75" i="29"/>
  <c r="G81" i="29"/>
  <c r="G83" i="29"/>
  <c r="Z77" i="29"/>
  <c r="Z86" i="29"/>
  <c r="N76" i="29"/>
  <c r="N75" i="29"/>
  <c r="AI86" i="29"/>
  <c r="AI77" i="29"/>
  <c r="AA77" i="29"/>
  <c r="AA86" i="29"/>
  <c r="N61" i="29"/>
  <c r="N79" i="29"/>
  <c r="AC57" i="29"/>
  <c r="AC36" i="29"/>
  <c r="AC38" i="29"/>
  <c r="AC27" i="29"/>
  <c r="AD28" i="29"/>
  <c r="AC31" i="29"/>
  <c r="AC28" i="29"/>
  <c r="AC40" i="29"/>
  <c r="AG26" i="29"/>
  <c r="AH27" i="29"/>
  <c r="Y77" i="29"/>
  <c r="Y86" i="29"/>
  <c r="E61" i="29"/>
  <c r="E79" i="29"/>
  <c r="F81" i="29"/>
  <c r="F83" i="29"/>
  <c r="AD61" i="29"/>
  <c r="AD79" i="29"/>
  <c r="S44" i="29"/>
  <c r="S73" i="29"/>
  <c r="S60" i="29"/>
  <c r="AK57" i="29"/>
  <c r="AK36" i="29"/>
  <c r="AK27" i="29"/>
  <c r="AK31" i="29"/>
  <c r="AK38" i="29"/>
  <c r="AK40" i="29"/>
  <c r="AE84" i="29"/>
  <c r="AE70" i="29"/>
  <c r="AE71" i="29" s="1"/>
  <c r="AE88" i="29"/>
  <c r="Z83" i="29"/>
  <c r="Z81" i="29"/>
  <c r="AH81" i="29"/>
  <c r="AH83" i="29"/>
  <c r="D61" i="29"/>
  <c r="D79" i="29"/>
  <c r="F86" i="29"/>
  <c r="F87" i="29" s="1"/>
  <c r="F77" i="29"/>
  <c r="P73" i="29"/>
  <c r="P60" i="29"/>
  <c r="P44" i="29"/>
  <c r="AI81" i="29"/>
  <c r="AI83" i="29"/>
  <c r="Q61" i="29"/>
  <c r="Q79" i="29"/>
  <c r="AQ76" i="28"/>
  <c r="AQ77" i="28" s="1"/>
  <c r="AB155" i="28"/>
  <c r="AB140" i="28"/>
  <c r="AB144" i="28"/>
  <c r="AB151" i="28"/>
  <c r="AG155" i="28"/>
  <c r="AG151" i="28"/>
  <c r="AG144" i="28"/>
  <c r="AG140" i="28"/>
  <c r="AL151" i="28"/>
  <c r="AL144" i="28"/>
  <c r="AQ45" i="28"/>
  <c r="AG120" i="28"/>
  <c r="AL124" i="28"/>
  <c r="AL120" i="28"/>
  <c r="AL116" i="28"/>
  <c r="AL155" i="28"/>
  <c r="AQ67" i="28"/>
  <c r="AQ68" i="28" s="1"/>
  <c r="L69" i="24" l="1"/>
  <c r="H69" i="24"/>
  <c r="I69" i="24" s="1"/>
  <c r="E69" i="24"/>
  <c r="F69" i="24" s="1"/>
  <c r="H77" i="24"/>
  <c r="I77" i="24" s="1"/>
  <c r="E77" i="24"/>
  <c r="F77" i="24" s="1"/>
  <c r="L77" i="24"/>
  <c r="H51" i="24"/>
  <c r="I51" i="24" s="1"/>
  <c r="L51" i="24"/>
  <c r="E51" i="24"/>
  <c r="F51" i="24" s="1"/>
  <c r="L73" i="24"/>
  <c r="E73" i="24"/>
  <c r="F73" i="24" s="1"/>
  <c r="H73" i="24"/>
  <c r="I73" i="24" s="1"/>
  <c r="K85" i="24"/>
  <c r="L49" i="24"/>
  <c r="E49" i="24"/>
  <c r="F49" i="24" s="1"/>
  <c r="H49" i="24"/>
  <c r="I49" i="24" s="1"/>
  <c r="AC35" i="34"/>
  <c r="AC17" i="34"/>
  <c r="AC20" i="34"/>
  <c r="AC29" i="34"/>
  <c r="AG16" i="34"/>
  <c r="AC25" i="34"/>
  <c r="AG10" i="34"/>
  <c r="AG31" i="34"/>
  <c r="AG33" i="34"/>
  <c r="AG13" i="34"/>
  <c r="AG37" i="34"/>
  <c r="AG15" i="34"/>
  <c r="AJ21" i="34"/>
  <c r="AJ40" i="34"/>
  <c r="AJ41" i="34" s="1"/>
  <c r="AK35" i="34"/>
  <c r="AK17" i="34"/>
  <c r="AK25" i="34"/>
  <c r="AK29" i="34"/>
  <c r="AK20" i="34"/>
  <c r="AI21" i="34"/>
  <c r="AI40" i="34"/>
  <c r="AI41" i="34" s="1"/>
  <c r="AH35" i="34"/>
  <c r="AH25" i="34"/>
  <c r="AH29" i="34"/>
  <c r="AH20" i="34"/>
  <c r="AH17" i="34"/>
  <c r="AL16" i="34"/>
  <c r="AL10" i="34"/>
  <c r="AL33" i="34"/>
  <c r="AL31" i="34"/>
  <c r="AL13" i="34"/>
  <c r="AL37" i="34"/>
  <c r="AL15" i="34"/>
  <c r="AQ10" i="34"/>
  <c r="AT139" i="28"/>
  <c r="AT8" i="10" s="1"/>
  <c r="D21" i="24"/>
  <c r="D25" i="24"/>
  <c r="AT84" i="28"/>
  <c r="AU28" i="28"/>
  <c r="AR80" i="10"/>
  <c r="AT52" i="28"/>
  <c r="AT115" i="28"/>
  <c r="AT117" i="28" s="1"/>
  <c r="AT27" i="28"/>
  <c r="AZ77" i="28"/>
  <c r="AZ82" i="28"/>
  <c r="AZ78" i="28"/>
  <c r="AY22" i="28"/>
  <c r="AY21" i="28"/>
  <c r="AY26" i="28"/>
  <c r="AY112" i="28"/>
  <c r="AY136" i="28"/>
  <c r="AX10" i="28"/>
  <c r="AW10" i="28"/>
  <c r="AZ136" i="28"/>
  <c r="AZ26" i="28"/>
  <c r="AZ112" i="28"/>
  <c r="AZ22" i="28"/>
  <c r="AZ21" i="28"/>
  <c r="AW22" i="28"/>
  <c r="AW21" i="28"/>
  <c r="AW26" i="28"/>
  <c r="BA20" i="28"/>
  <c r="AY46" i="28"/>
  <c r="AY51" i="28"/>
  <c r="AY47" i="28"/>
  <c r="W61" i="29"/>
  <c r="AT94" i="28"/>
  <c r="AT96" i="28" s="1"/>
  <c r="AY78" i="28"/>
  <c r="AY77" i="28"/>
  <c r="AY82" i="28"/>
  <c r="AX83" i="28"/>
  <c r="AW44" i="28"/>
  <c r="AW45" i="28"/>
  <c r="AW112" i="28" s="1"/>
  <c r="AX44" i="28"/>
  <c r="AW77" i="28"/>
  <c r="AW78" i="28"/>
  <c r="AW82" i="28"/>
  <c r="AX84" i="28" s="1"/>
  <c r="BA76" i="28"/>
  <c r="W76" i="29"/>
  <c r="W77" i="29" s="1"/>
  <c r="AW111" i="28"/>
  <c r="AW110" i="28"/>
  <c r="BA109" i="28"/>
  <c r="BA110" i="28" s="1"/>
  <c r="AX111" i="28"/>
  <c r="AZ47" i="28"/>
  <c r="AX52" i="28"/>
  <c r="AX136" i="28"/>
  <c r="AX26" i="28"/>
  <c r="AX22" i="28"/>
  <c r="AX112" i="28"/>
  <c r="AX21" i="28"/>
  <c r="AW135" i="28"/>
  <c r="AW134" i="28"/>
  <c r="BA133" i="28"/>
  <c r="BA134" i="28" s="1"/>
  <c r="AX135" i="28"/>
  <c r="AZ46" i="28"/>
  <c r="AV20" i="28"/>
  <c r="AV21" i="28" s="1"/>
  <c r="P49" i="31"/>
  <c r="AT53" i="28"/>
  <c r="AU27" i="28"/>
  <c r="AQ26" i="28"/>
  <c r="AQ27" i="28" s="1"/>
  <c r="AB60" i="29"/>
  <c r="AB79" i="29" s="1"/>
  <c r="AB44" i="29"/>
  <c r="H86" i="29"/>
  <c r="H79" i="29"/>
  <c r="H61" i="29"/>
  <c r="AQ21" i="28"/>
  <c r="AM70" i="10"/>
  <c r="AM76" i="10"/>
  <c r="AM74" i="10"/>
  <c r="AU51" i="28"/>
  <c r="AZ52" i="28" s="1"/>
  <c r="AU47" i="28"/>
  <c r="AU46" i="28"/>
  <c r="AU112" i="28"/>
  <c r="AU94" i="28" s="1"/>
  <c r="AT38" i="28"/>
  <c r="AT37" i="28"/>
  <c r="AU35" i="28"/>
  <c r="AW35" i="28" s="1"/>
  <c r="AT22" i="28"/>
  <c r="AQ4" i="28"/>
  <c r="AQ6" i="28" s="1"/>
  <c r="AV45" i="28"/>
  <c r="AV76" i="28"/>
  <c r="AU77" i="28"/>
  <c r="AU78" i="28"/>
  <c r="AU82" i="28"/>
  <c r="AU136" i="28"/>
  <c r="K84" i="24"/>
  <c r="AT60" i="28"/>
  <c r="P75" i="29"/>
  <c r="P76" i="29"/>
  <c r="N83" i="29"/>
  <c r="N81" i="29"/>
  <c r="L75" i="29"/>
  <c r="L76" i="29"/>
  <c r="AD86" i="29"/>
  <c r="AD87" i="29" s="1"/>
  <c r="AD77" i="29"/>
  <c r="Z70" i="29"/>
  <c r="Z71" i="29" s="1"/>
  <c r="Z84" i="29"/>
  <c r="Z88" i="29"/>
  <c r="AE89" i="29" s="1"/>
  <c r="S79" i="29"/>
  <c r="S61" i="29"/>
  <c r="S76" i="29"/>
  <c r="S75" i="29"/>
  <c r="E86" i="29"/>
  <c r="E87" i="29" s="1"/>
  <c r="E77" i="29"/>
  <c r="D77" i="29"/>
  <c r="D86" i="29"/>
  <c r="D87" i="29" s="1"/>
  <c r="U79" i="29"/>
  <c r="U61" i="29"/>
  <c r="D83" i="29"/>
  <c r="D81" i="29"/>
  <c r="AC32" i="29"/>
  <c r="AC43" i="29"/>
  <c r="V83" i="29"/>
  <c r="V81" i="29"/>
  <c r="AI88" i="29"/>
  <c r="AI84" i="29"/>
  <c r="AI70" i="29"/>
  <c r="AI71" i="29" s="1"/>
  <c r="N77" i="29"/>
  <c r="N86" i="29"/>
  <c r="AF84" i="29"/>
  <c r="AF70" i="29"/>
  <c r="AF71" i="29" s="1"/>
  <c r="AF88" i="29"/>
  <c r="AH88" i="29"/>
  <c r="AH84" i="29"/>
  <c r="AH70" i="29"/>
  <c r="AH71" i="29" s="1"/>
  <c r="AK43" i="29"/>
  <c r="AK32" i="29"/>
  <c r="E83" i="29"/>
  <c r="E81" i="29"/>
  <c r="AE87" i="29"/>
  <c r="AA70" i="29"/>
  <c r="AA71" i="29" s="1"/>
  <c r="AA88" i="29"/>
  <c r="AA84" i="29"/>
  <c r="Q81" i="29"/>
  <c r="Q83" i="29"/>
  <c r="AB76" i="29"/>
  <c r="AB77" i="29" s="1"/>
  <c r="AB75" i="29"/>
  <c r="K77" i="29"/>
  <c r="K86" i="29"/>
  <c r="K87" i="29" s="1"/>
  <c r="I76" i="29"/>
  <c r="I75" i="29"/>
  <c r="X77" i="29"/>
  <c r="X86" i="29"/>
  <c r="I61" i="29"/>
  <c r="I79" i="29"/>
  <c r="AD81" i="29"/>
  <c r="AD83" i="29"/>
  <c r="O79" i="29"/>
  <c r="O61" i="29"/>
  <c r="T76" i="29"/>
  <c r="T75" i="29"/>
  <c r="O76" i="29"/>
  <c r="O75" i="29"/>
  <c r="T79" i="29"/>
  <c r="T61" i="29"/>
  <c r="G84" i="29"/>
  <c r="G88" i="29"/>
  <c r="G89" i="29" s="1"/>
  <c r="AF87" i="29"/>
  <c r="J83" i="29"/>
  <c r="J81" i="29"/>
  <c r="Y70" i="29"/>
  <c r="Y71" i="29" s="1"/>
  <c r="Y88" i="29"/>
  <c r="Y84" i="29"/>
  <c r="R61" i="29"/>
  <c r="R79" i="29"/>
  <c r="R76" i="29"/>
  <c r="R77" i="29" s="1"/>
  <c r="R75" i="29"/>
  <c r="L61" i="29"/>
  <c r="L79" i="29"/>
  <c r="V77" i="29"/>
  <c r="V86" i="29"/>
  <c r="AG57" i="29"/>
  <c r="AG27" i="29"/>
  <c r="AG31" i="29"/>
  <c r="AG40" i="29"/>
  <c r="AG36" i="29"/>
  <c r="AG38" i="29"/>
  <c r="J86" i="29"/>
  <c r="J77" i="29"/>
  <c r="U75" i="29"/>
  <c r="U76" i="29"/>
  <c r="F88" i="29"/>
  <c r="F89" i="29" s="1"/>
  <c r="F84" i="29"/>
  <c r="Q86" i="29"/>
  <c r="Q77" i="29"/>
  <c r="P61" i="29"/>
  <c r="P79" i="29"/>
  <c r="W83" i="29"/>
  <c r="W81" i="29"/>
  <c r="X83" i="29"/>
  <c r="X81" i="29"/>
  <c r="K83" i="29"/>
  <c r="K81" i="29"/>
  <c r="AQ73" i="28"/>
  <c r="AQ74" i="28" s="1"/>
  <c r="AQ85" i="28"/>
  <c r="AQ86" i="28" s="1"/>
  <c r="AQ136" i="28"/>
  <c r="AQ137" i="28" s="1"/>
  <c r="AQ46" i="28"/>
  <c r="AQ42" i="28"/>
  <c r="AQ43" i="28" s="1"/>
  <c r="AQ51" i="28"/>
  <c r="AQ112" i="28"/>
  <c r="AQ82" i="28"/>
  <c r="AQ129" i="28"/>
  <c r="AQ131" i="28" s="1"/>
  <c r="AQ105" i="28"/>
  <c r="AQ11" i="28"/>
  <c r="AQ12" i="28" s="1"/>
  <c r="AV26" i="28" l="1"/>
  <c r="AV23" i="28" s="1"/>
  <c r="K57" i="24"/>
  <c r="L84" i="24"/>
  <c r="E84" i="24"/>
  <c r="F84" i="24" s="1"/>
  <c r="H84" i="24"/>
  <c r="I84" i="24" s="1"/>
  <c r="H85" i="24"/>
  <c r="I85" i="24" s="1"/>
  <c r="L85" i="24"/>
  <c r="E85" i="24"/>
  <c r="F85" i="24" s="1"/>
  <c r="AG35" i="34"/>
  <c r="AG25" i="34"/>
  <c r="AG17" i="34"/>
  <c r="AG29" i="34"/>
  <c r="AG20" i="34"/>
  <c r="AK21" i="34"/>
  <c r="AK40" i="34"/>
  <c r="AK41" i="34" s="1"/>
  <c r="AL35" i="34"/>
  <c r="AL20" i="34"/>
  <c r="AL25" i="34"/>
  <c r="AL17" i="34"/>
  <c r="AL29" i="34"/>
  <c r="AC21" i="34"/>
  <c r="AC40" i="34"/>
  <c r="AC41" i="34" s="1"/>
  <c r="AH21" i="34"/>
  <c r="AH40" i="34"/>
  <c r="AH41" i="34" s="1"/>
  <c r="AT141" i="28"/>
  <c r="D26" i="24"/>
  <c r="D34" i="24"/>
  <c r="AT13" i="11"/>
  <c r="AT31" i="11" s="1"/>
  <c r="AM81" i="10"/>
  <c r="AR82" i="10" s="1"/>
  <c r="AM63" i="10"/>
  <c r="AM64" i="10" s="1"/>
  <c r="AT99" i="28"/>
  <c r="AV17" i="28"/>
  <c r="AV18" i="28" s="1"/>
  <c r="AW113" i="28"/>
  <c r="AW94" i="28"/>
  <c r="AW114" i="28"/>
  <c r="BA112" i="28"/>
  <c r="AX114" i="28"/>
  <c r="AX113" i="28"/>
  <c r="AX94" i="28"/>
  <c r="AY84" i="28"/>
  <c r="AY83" i="28"/>
  <c r="AZ53" i="28"/>
  <c r="AY52" i="28"/>
  <c r="AY53" i="28"/>
  <c r="AW136" i="28"/>
  <c r="AX138" i="28" s="1"/>
  <c r="AW28" i="28"/>
  <c r="AW27" i="28"/>
  <c r="BA26" i="28"/>
  <c r="AY27" i="28"/>
  <c r="AY115" i="28"/>
  <c r="AY139" i="28"/>
  <c r="AY28" i="28"/>
  <c r="AW46" i="28"/>
  <c r="AW51" i="28"/>
  <c r="AW139" i="28" s="1"/>
  <c r="BA45" i="28"/>
  <c r="AW47" i="28"/>
  <c r="AX47" i="28"/>
  <c r="AX139" i="28"/>
  <c r="AX27" i="28"/>
  <c r="AX115" i="28"/>
  <c r="AX28" i="28"/>
  <c r="AZ28" i="28"/>
  <c r="AZ27" i="28"/>
  <c r="AZ115" i="28"/>
  <c r="AZ139" i="28"/>
  <c r="AZ138" i="28"/>
  <c r="AZ137" i="28"/>
  <c r="BA21" i="28"/>
  <c r="BA17" i="28"/>
  <c r="AY138" i="28"/>
  <c r="AY137" i="28"/>
  <c r="AY113" i="28"/>
  <c r="AY94" i="28"/>
  <c r="AY114" i="28"/>
  <c r="AX137" i="28"/>
  <c r="BA73" i="28"/>
  <c r="BA77" i="28"/>
  <c r="AZ84" i="28"/>
  <c r="AZ83" i="28"/>
  <c r="AW37" i="28"/>
  <c r="AW38" i="28"/>
  <c r="AX35" i="28"/>
  <c r="AW84" i="28"/>
  <c r="AW83" i="28"/>
  <c r="BA82" i="28"/>
  <c r="AZ113" i="28"/>
  <c r="AZ94" i="28"/>
  <c r="AZ114" i="28"/>
  <c r="AQ55" i="28"/>
  <c r="AB61" i="29"/>
  <c r="AQ23" i="28"/>
  <c r="AQ24" i="28" s="1"/>
  <c r="AM7" i="12"/>
  <c r="AM33" i="12" s="1"/>
  <c r="AM52" i="12" s="1"/>
  <c r="AM53" i="12" s="1"/>
  <c r="H83" i="29"/>
  <c r="H81" i="29"/>
  <c r="AM77" i="10"/>
  <c r="AV112" i="28"/>
  <c r="AV113" i="28" s="1"/>
  <c r="AV27" i="28"/>
  <c r="AV42" i="28"/>
  <c r="AV43" i="28" s="1"/>
  <c r="AV46" i="28"/>
  <c r="AT138" i="28"/>
  <c r="AQ115" i="28"/>
  <c r="AQ117" i="28" s="1"/>
  <c r="AU114" i="28"/>
  <c r="AU13" i="11"/>
  <c r="AU113" i="28"/>
  <c r="AT114" i="28"/>
  <c r="AT28" i="28"/>
  <c r="K45" i="24"/>
  <c r="AU53" i="28"/>
  <c r="AU52" i="28"/>
  <c r="AU115" i="28"/>
  <c r="AV51" i="28"/>
  <c r="AU38" i="28"/>
  <c r="AU37" i="28"/>
  <c r="AV35" i="28"/>
  <c r="AV37" i="28" s="1"/>
  <c r="AQ113" i="28"/>
  <c r="AQ107" i="28"/>
  <c r="AU137" i="28"/>
  <c r="AU138" i="28"/>
  <c r="AT9" i="10"/>
  <c r="AT67" i="28"/>
  <c r="AT63" i="28"/>
  <c r="AT62" i="28"/>
  <c r="AU60" i="28"/>
  <c r="AW60" i="28" s="1"/>
  <c r="AV77" i="28"/>
  <c r="AV73" i="28"/>
  <c r="AV74" i="28" s="1"/>
  <c r="AU83" i="28"/>
  <c r="AU84" i="28"/>
  <c r="AU139" i="28"/>
  <c r="K83" i="24"/>
  <c r="AV82" i="28"/>
  <c r="AV136" i="28"/>
  <c r="AV137" i="28" s="1"/>
  <c r="V87" i="29"/>
  <c r="AQ139" i="28"/>
  <c r="AQ141" i="28" s="1"/>
  <c r="AB86" i="29"/>
  <c r="L77" i="29"/>
  <c r="L86" i="29"/>
  <c r="L87" i="29" s="1"/>
  <c r="W88" i="29"/>
  <c r="W84" i="29"/>
  <c r="W70" i="29"/>
  <c r="W71" i="29" s="1"/>
  <c r="AK44" i="29"/>
  <c r="AK60" i="29"/>
  <c r="AK73" i="29"/>
  <c r="P83" i="29"/>
  <c r="P81" i="29"/>
  <c r="K88" i="29"/>
  <c r="K89" i="29" s="1"/>
  <c r="K84" i="29"/>
  <c r="K70" i="29"/>
  <c r="K71" i="29" s="1"/>
  <c r="N70" i="29"/>
  <c r="N71" i="29" s="1"/>
  <c r="N84" i="29"/>
  <c r="N88" i="29"/>
  <c r="U86" i="29"/>
  <c r="U77" i="29"/>
  <c r="T86" i="29"/>
  <c r="T77" i="29"/>
  <c r="P86" i="29"/>
  <c r="P87" i="29" s="1"/>
  <c r="P77" i="29"/>
  <c r="L83" i="29"/>
  <c r="L81" i="29"/>
  <c r="AF89" i="29"/>
  <c r="AD88" i="29"/>
  <c r="AD89" i="29" s="1"/>
  <c r="AD84" i="29"/>
  <c r="AD70" i="29"/>
  <c r="AD71" i="29" s="1"/>
  <c r="AI87" i="29"/>
  <c r="U81" i="29"/>
  <c r="U83" i="29"/>
  <c r="AG43" i="29"/>
  <c r="AG32" i="29"/>
  <c r="Q84" i="29"/>
  <c r="Q70" i="29"/>
  <c r="Q71" i="29" s="1"/>
  <c r="Q88" i="29"/>
  <c r="I77" i="29"/>
  <c r="I86" i="29"/>
  <c r="N87" i="29" s="1"/>
  <c r="AA87" i="29"/>
  <c r="D88" i="29"/>
  <c r="D89" i="29" s="1"/>
  <c r="D84" i="29"/>
  <c r="J87" i="29"/>
  <c r="R83" i="29"/>
  <c r="R81" i="29"/>
  <c r="E88" i="29"/>
  <c r="E89" i="29" s="1"/>
  <c r="E84" i="29"/>
  <c r="O77" i="29"/>
  <c r="O86" i="29"/>
  <c r="O87" i="29" s="1"/>
  <c r="V88" i="29"/>
  <c r="AA89" i="29" s="1"/>
  <c r="V84" i="29"/>
  <c r="V70" i="29"/>
  <c r="V71" i="29" s="1"/>
  <c r="J88" i="29"/>
  <c r="J84" i="29"/>
  <c r="J70" i="29"/>
  <c r="J71" i="29" s="1"/>
  <c r="AC73" i="29"/>
  <c r="AC60" i="29"/>
  <c r="AC44" i="29"/>
  <c r="S86" i="29"/>
  <c r="X87" i="29" s="1"/>
  <c r="S77" i="29"/>
  <c r="X88" i="29"/>
  <c r="X84" i="29"/>
  <c r="X70" i="29"/>
  <c r="X71" i="29" s="1"/>
  <c r="O83" i="29"/>
  <c r="O81" i="29"/>
  <c r="AB83" i="29"/>
  <c r="AB81" i="29"/>
  <c r="S81" i="29"/>
  <c r="S83" i="29"/>
  <c r="T81" i="29"/>
  <c r="T83" i="29"/>
  <c r="I83" i="29"/>
  <c r="I81" i="29"/>
  <c r="AQ52" i="28"/>
  <c r="AQ48" i="28"/>
  <c r="AQ49" i="28" s="1"/>
  <c r="AQ94" i="28"/>
  <c r="AQ83" i="28"/>
  <c r="AQ79" i="28"/>
  <c r="AQ80" i="28" s="1"/>
  <c r="AQ119" i="28"/>
  <c r="AQ130" i="28"/>
  <c r="AQ106" i="28"/>
  <c r="AQ56" i="28" l="1"/>
  <c r="AT100" i="28"/>
  <c r="L83" i="24"/>
  <c r="H83" i="24"/>
  <c r="I83" i="24" s="1"/>
  <c r="E83" i="24"/>
  <c r="F83" i="24" s="1"/>
  <c r="H45" i="24"/>
  <c r="I45" i="24" s="1"/>
  <c r="L45" i="24"/>
  <c r="E45" i="24"/>
  <c r="F45" i="24" s="1"/>
  <c r="L57" i="24"/>
  <c r="H57" i="24"/>
  <c r="I57" i="24" s="1"/>
  <c r="E57" i="24"/>
  <c r="F57" i="24" s="1"/>
  <c r="AG21" i="34"/>
  <c r="AG40" i="34"/>
  <c r="AG41" i="34" s="1"/>
  <c r="AL21" i="34"/>
  <c r="AL40" i="34"/>
  <c r="AL41" i="34" s="1"/>
  <c r="D36" i="24"/>
  <c r="AW115" i="28"/>
  <c r="AW118" i="28" s="1"/>
  <c r="AT150" i="28"/>
  <c r="BA18" i="28"/>
  <c r="AW62" i="28"/>
  <c r="AX60" i="28"/>
  <c r="AW63" i="28"/>
  <c r="AW67" i="28"/>
  <c r="AY117" i="28"/>
  <c r="AY118" i="28"/>
  <c r="BA113" i="28"/>
  <c r="BA83" i="28"/>
  <c r="BA79" i="28"/>
  <c r="AY96" i="28"/>
  <c r="AY13" i="11"/>
  <c r="AY97" i="28"/>
  <c r="AY99" i="28"/>
  <c r="AX13" i="11"/>
  <c r="AX97" i="28"/>
  <c r="AX99" i="28"/>
  <c r="AZ118" i="28"/>
  <c r="AZ117" i="28"/>
  <c r="AY141" i="28"/>
  <c r="AY8" i="10"/>
  <c r="AY142" i="28"/>
  <c r="AX117" i="28"/>
  <c r="AX38" i="28"/>
  <c r="AX37" i="28"/>
  <c r="AY35" i="28"/>
  <c r="AX142" i="28"/>
  <c r="AX141" i="28"/>
  <c r="AX8" i="10"/>
  <c r="AW99" i="28"/>
  <c r="AW97" i="28"/>
  <c r="AW13" i="11"/>
  <c r="BA94" i="28"/>
  <c r="AW142" i="28"/>
  <c r="AW8" i="10"/>
  <c r="AW141" i="28"/>
  <c r="BA139" i="28"/>
  <c r="BA23" i="28"/>
  <c r="BA24" i="28" s="1"/>
  <c r="BA27" i="28"/>
  <c r="BA42" i="28"/>
  <c r="BA43" i="28" s="1"/>
  <c r="BA46" i="28"/>
  <c r="AW138" i="28"/>
  <c r="AW137" i="28"/>
  <c r="BA136" i="28"/>
  <c r="BA137" i="28" s="1"/>
  <c r="AZ13" i="11"/>
  <c r="AZ97" i="28"/>
  <c r="AZ96" i="28"/>
  <c r="AZ99" i="28"/>
  <c r="BA74" i="28"/>
  <c r="AZ8" i="10"/>
  <c r="AZ142" i="28"/>
  <c r="AZ141" i="28"/>
  <c r="AW52" i="28"/>
  <c r="AW53" i="28"/>
  <c r="BA51" i="28"/>
  <c r="AX53" i="28"/>
  <c r="AQ29" i="28"/>
  <c r="AQ89" i="28" s="1"/>
  <c r="AV24" i="28"/>
  <c r="AM34" i="12"/>
  <c r="AM76" i="12"/>
  <c r="AU31" i="11"/>
  <c r="AV13" i="11"/>
  <c r="H88" i="29"/>
  <c r="H84" i="29"/>
  <c r="H70" i="29"/>
  <c r="H71" i="29" s="1"/>
  <c r="AQ147" i="28"/>
  <c r="AT118" i="28"/>
  <c r="AU97" i="28"/>
  <c r="AU99" i="28"/>
  <c r="AV99" i="28" s="1"/>
  <c r="AU96" i="28"/>
  <c r="AV48" i="28"/>
  <c r="AV49" i="28" s="1"/>
  <c r="AV52" i="28"/>
  <c r="K56" i="24"/>
  <c r="AT4" i="28"/>
  <c r="AV115" i="28"/>
  <c r="AT142" i="28"/>
  <c r="K6" i="24"/>
  <c r="AU117" i="28"/>
  <c r="AU118" i="28"/>
  <c r="AV94" i="28"/>
  <c r="AV96" i="28" s="1"/>
  <c r="AQ96" i="28"/>
  <c r="AV83" i="28"/>
  <c r="AV79" i="28"/>
  <c r="AV80" i="28" s="1"/>
  <c r="AV139" i="28"/>
  <c r="AV141" i="28" s="1"/>
  <c r="AU63" i="28"/>
  <c r="AV60" i="28"/>
  <c r="AV62" i="28" s="1"/>
  <c r="AU67" i="28"/>
  <c r="AU62" i="28"/>
  <c r="AU8" i="10"/>
  <c r="AU141" i="28"/>
  <c r="AU142" i="28"/>
  <c r="AT68" i="28"/>
  <c r="AT69" i="28"/>
  <c r="AT85" i="28"/>
  <c r="J89" i="29"/>
  <c r="AI89" i="29"/>
  <c r="Q87" i="29"/>
  <c r="AQ143" i="28"/>
  <c r="AQ145" i="28" s="1"/>
  <c r="AC61" i="29"/>
  <c r="AC79" i="29"/>
  <c r="I88" i="29"/>
  <c r="I89" i="29" s="1"/>
  <c r="M83" i="29"/>
  <c r="I70" i="29"/>
  <c r="I71" i="29" s="1"/>
  <c r="I84" i="29"/>
  <c r="V89" i="29"/>
  <c r="AG44" i="29"/>
  <c r="AG60" i="29"/>
  <c r="AG73" i="29"/>
  <c r="U87" i="29"/>
  <c r="Z87" i="29"/>
  <c r="AK75" i="29"/>
  <c r="AK76" i="29"/>
  <c r="AK61" i="29"/>
  <c r="AK79" i="29"/>
  <c r="S87" i="29"/>
  <c r="W86" i="29"/>
  <c r="AB87" i="29" s="1"/>
  <c r="AC76" i="29"/>
  <c r="AC75" i="29"/>
  <c r="R86" i="29"/>
  <c r="AB70" i="29"/>
  <c r="AB71" i="29" s="1"/>
  <c r="AB88" i="29"/>
  <c r="AB89" i="29" s="1"/>
  <c r="AB84" i="29"/>
  <c r="O70" i="29"/>
  <c r="O71" i="29" s="1"/>
  <c r="O84" i="29"/>
  <c r="O88" i="29"/>
  <c r="O89" i="29" s="1"/>
  <c r="O85" i="29"/>
  <c r="R84" i="29"/>
  <c r="R70" i="29"/>
  <c r="R71" i="29" s="1"/>
  <c r="R88" i="29"/>
  <c r="W89" i="29" s="1"/>
  <c r="U70" i="29"/>
  <c r="U71" i="29" s="1"/>
  <c r="U88" i="29"/>
  <c r="U84" i="29"/>
  <c r="T87" i="29"/>
  <c r="Y87" i="29"/>
  <c r="T70" i="29"/>
  <c r="T71" i="29" s="1"/>
  <c r="T88" i="29"/>
  <c r="T84" i="29"/>
  <c r="P84" i="29"/>
  <c r="P70" i="29"/>
  <c r="P71" i="29" s="1"/>
  <c r="P88" i="29"/>
  <c r="P89" i="29" s="1"/>
  <c r="S70" i="29"/>
  <c r="S71" i="29" s="1"/>
  <c r="S84" i="29"/>
  <c r="S88" i="29"/>
  <c r="S89" i="29" s="1"/>
  <c r="M86" i="29"/>
  <c r="M87" i="29" s="1"/>
  <c r="I87" i="29"/>
  <c r="L88" i="29"/>
  <c r="L89" i="29" s="1"/>
  <c r="L84" i="29"/>
  <c r="L70" i="29"/>
  <c r="L71" i="29" s="1"/>
  <c r="AQ99" i="28"/>
  <c r="AQ98" i="28" s="1"/>
  <c r="AQ121" i="28"/>
  <c r="AX118" i="28" l="1"/>
  <c r="H6" i="24"/>
  <c r="I6" i="24" s="1"/>
  <c r="E6" i="24"/>
  <c r="F6" i="24" s="1"/>
  <c r="L6" i="24"/>
  <c r="L56" i="24"/>
  <c r="E56" i="24"/>
  <c r="F56" i="24" s="1"/>
  <c r="H56" i="24"/>
  <c r="I56" i="24" s="1"/>
  <c r="AT14" i="10"/>
  <c r="AT15" i="10" s="1"/>
  <c r="AT7" i="34"/>
  <c r="AW117" i="28"/>
  <c r="BA115" i="28"/>
  <c r="BA117" i="28" s="1"/>
  <c r="AT152" i="28"/>
  <c r="BA80" i="28"/>
  <c r="AX150" i="28"/>
  <c r="AX7" i="34" s="1"/>
  <c r="AX101" i="28"/>
  <c r="AX100" i="28"/>
  <c r="AZ101" i="28"/>
  <c r="AZ100" i="28"/>
  <c r="AZ150" i="28"/>
  <c r="AZ7" i="34" s="1"/>
  <c r="AX10" i="10"/>
  <c r="AX9" i="10"/>
  <c r="BA52" i="28"/>
  <c r="BA48" i="28"/>
  <c r="BA49" i="28" s="1"/>
  <c r="AZ31" i="11"/>
  <c r="BA13" i="11"/>
  <c r="AY31" i="11"/>
  <c r="AW101" i="28"/>
  <c r="AW100" i="28"/>
  <c r="AW150" i="28"/>
  <c r="AW7" i="34" s="1"/>
  <c r="BA99" i="28"/>
  <c r="AW10" i="10"/>
  <c r="BA8" i="10"/>
  <c r="AW9" i="10"/>
  <c r="AW68" i="28"/>
  <c r="AW69" i="28"/>
  <c r="AW85" i="28"/>
  <c r="BA141" i="28"/>
  <c r="AY10" i="10"/>
  <c r="AY9" i="10"/>
  <c r="AW31" i="11"/>
  <c r="AY100" i="28"/>
  <c r="AY150" i="28"/>
  <c r="AY7" i="34" s="1"/>
  <c r="AY101" i="28"/>
  <c r="AX67" i="28"/>
  <c r="AX63" i="28"/>
  <c r="AY60" i="28"/>
  <c r="AX62" i="28"/>
  <c r="AZ9" i="10"/>
  <c r="AZ10" i="10"/>
  <c r="AX31" i="11"/>
  <c r="AZ35" i="28"/>
  <c r="AY38" i="28"/>
  <c r="AY37" i="28"/>
  <c r="BA96" i="28"/>
  <c r="AQ30" i="28"/>
  <c r="AQ90" i="28"/>
  <c r="AQ148" i="28"/>
  <c r="N89" i="29"/>
  <c r="AV98" i="28"/>
  <c r="AT10" i="10"/>
  <c r="AT11" i="28"/>
  <c r="AT7" i="28"/>
  <c r="AU4" i="28"/>
  <c r="AW4" i="28" s="1"/>
  <c r="AT6" i="28"/>
  <c r="AT105" i="28"/>
  <c r="AT129" i="28"/>
  <c r="AV117" i="28"/>
  <c r="AS7" i="34"/>
  <c r="AT101" i="28"/>
  <c r="AU101" i="28"/>
  <c r="AU150" i="28"/>
  <c r="AU7" i="34" s="1"/>
  <c r="AU100" i="28"/>
  <c r="AQ123" i="28"/>
  <c r="AT86" i="28"/>
  <c r="AT87" i="28"/>
  <c r="AV8" i="10"/>
  <c r="AU68" i="28"/>
  <c r="AU85" i="28"/>
  <c r="AU69" i="28"/>
  <c r="AV67" i="28"/>
  <c r="AV68" i="28" s="1"/>
  <c r="AU9" i="10"/>
  <c r="AU10" i="10"/>
  <c r="X89" i="29"/>
  <c r="M70" i="29"/>
  <c r="M71" i="29" s="1"/>
  <c r="M88" i="29"/>
  <c r="M89" i="29" s="1"/>
  <c r="M84" i="29"/>
  <c r="U89" i="29"/>
  <c r="Z89" i="29"/>
  <c r="T89" i="29"/>
  <c r="Y89" i="29"/>
  <c r="R87" i="29"/>
  <c r="AG76" i="29"/>
  <c r="AG77" i="29" s="1"/>
  <c r="AG75" i="29"/>
  <c r="Q89" i="29"/>
  <c r="AG79" i="29"/>
  <c r="AG61" i="29"/>
  <c r="AK77" i="29"/>
  <c r="AK86" i="29"/>
  <c r="AC86" i="29"/>
  <c r="AC77" i="29"/>
  <c r="AC81" i="29"/>
  <c r="AC83" i="29"/>
  <c r="AK81" i="29"/>
  <c r="AK83" i="29"/>
  <c r="W87" i="29"/>
  <c r="AQ150" i="28"/>
  <c r="AQ154" i="28"/>
  <c r="AQ100" i="28"/>
  <c r="K55" i="24" l="1"/>
  <c r="AZ8" i="34"/>
  <c r="AZ9" i="34"/>
  <c r="AS8" i="34"/>
  <c r="AS9" i="34"/>
  <c r="AV7" i="34"/>
  <c r="AV8" i="34" s="1"/>
  <c r="AY8" i="34"/>
  <c r="AY9" i="34"/>
  <c r="AW8" i="34"/>
  <c r="BA7" i="34"/>
  <c r="AW9" i="34"/>
  <c r="AX8" i="34"/>
  <c r="AX9" i="34"/>
  <c r="AU9" i="34"/>
  <c r="AU8" i="34"/>
  <c r="AT8" i="34"/>
  <c r="AT9" i="34"/>
  <c r="BA9" i="10"/>
  <c r="AW87" i="28"/>
  <c r="AW86" i="28"/>
  <c r="BA100" i="28"/>
  <c r="BA98" i="28"/>
  <c r="AX4" i="28"/>
  <c r="AW105" i="28"/>
  <c r="AW6" i="28"/>
  <c r="AW129" i="28"/>
  <c r="AW7" i="28"/>
  <c r="AW11" i="28"/>
  <c r="AW14" i="10"/>
  <c r="AW153" i="28"/>
  <c r="AW152" i="28"/>
  <c r="BA150" i="28"/>
  <c r="AZ153" i="28"/>
  <c r="AZ14" i="10"/>
  <c r="AZ152" i="28"/>
  <c r="AX68" i="28"/>
  <c r="AX85" i="28"/>
  <c r="AX69" i="28"/>
  <c r="AZ37" i="28"/>
  <c r="BA35" i="28"/>
  <c r="BA37" i="28" s="1"/>
  <c r="AZ38" i="28"/>
  <c r="AY62" i="28"/>
  <c r="AY67" i="28"/>
  <c r="AZ60" i="28"/>
  <c r="AY63" i="28"/>
  <c r="AY152" i="28"/>
  <c r="AY14" i="10"/>
  <c r="AY153" i="28"/>
  <c r="BA31" i="11"/>
  <c r="AX153" i="28"/>
  <c r="AX152" i="28"/>
  <c r="AX14" i="10"/>
  <c r="R89" i="29"/>
  <c r="AV150" i="28"/>
  <c r="AV152" i="28" s="1"/>
  <c r="AV100" i="28"/>
  <c r="K5" i="24"/>
  <c r="AT130" i="28"/>
  <c r="AT131" i="28"/>
  <c r="AT132" i="28"/>
  <c r="AT107" i="28"/>
  <c r="AT108" i="28"/>
  <c r="AT106" i="28"/>
  <c r="AT153" i="28"/>
  <c r="K7" i="24"/>
  <c r="AU105" i="28"/>
  <c r="AV4" i="28"/>
  <c r="AV6" i="28" s="1"/>
  <c r="AU6" i="28"/>
  <c r="AU11" i="28"/>
  <c r="AU7" i="28"/>
  <c r="AU129" i="28"/>
  <c r="AU153" i="28"/>
  <c r="AU14" i="10"/>
  <c r="AU152" i="28"/>
  <c r="AT12" i="28"/>
  <c r="AT13" i="28"/>
  <c r="AT119" i="28"/>
  <c r="AT29" i="28"/>
  <c r="AT143" i="28"/>
  <c r="AT147" i="28" s="1"/>
  <c r="AQ124" i="28"/>
  <c r="AQ120" i="28"/>
  <c r="AQ116" i="28"/>
  <c r="AU87" i="28"/>
  <c r="AU86" i="28"/>
  <c r="AV85" i="28"/>
  <c r="AG83" i="29"/>
  <c r="AG81" i="29"/>
  <c r="AK70" i="29"/>
  <c r="AK71" i="29" s="1"/>
  <c r="AK84" i="29"/>
  <c r="AK88" i="29"/>
  <c r="AK87" i="29"/>
  <c r="AC88" i="29"/>
  <c r="AC84" i="29"/>
  <c r="AC70" i="29"/>
  <c r="AC71" i="29" s="1"/>
  <c r="AC87" i="29"/>
  <c r="AG86" i="29"/>
  <c r="AG87" i="29" s="1"/>
  <c r="AH87" i="29"/>
  <c r="AQ151" i="28"/>
  <c r="AQ152" i="28"/>
  <c r="AQ155" i="28"/>
  <c r="AQ140" i="28"/>
  <c r="AQ144" i="28"/>
  <c r="AL48" i="12"/>
  <c r="AK38" i="10"/>
  <c r="AK36" i="10" s="1"/>
  <c r="AK21" i="10"/>
  <c r="BA8" i="34" l="1"/>
  <c r="BA29" i="34" s="1"/>
  <c r="L7" i="24"/>
  <c r="H7" i="24"/>
  <c r="I7" i="24" s="1"/>
  <c r="E7" i="24"/>
  <c r="F7" i="24" s="1"/>
  <c r="H5" i="24"/>
  <c r="I5" i="24" s="1"/>
  <c r="L5" i="24"/>
  <c r="E5" i="24"/>
  <c r="F5" i="24" s="1"/>
  <c r="E55" i="24"/>
  <c r="F55" i="24" s="1"/>
  <c r="L55" i="24"/>
  <c r="H55" i="24"/>
  <c r="I55" i="24" s="1"/>
  <c r="AW16" i="34"/>
  <c r="BA9" i="34"/>
  <c r="AW10" i="34"/>
  <c r="AW11" i="34"/>
  <c r="AW30" i="34"/>
  <c r="AW19" i="34"/>
  <c r="AW36" i="34"/>
  <c r="AW24" i="34"/>
  <c r="AY16" i="34"/>
  <c r="AY19" i="34"/>
  <c r="AY24" i="34"/>
  <c r="AY38" i="34" s="1"/>
  <c r="AY11" i="34"/>
  <c r="AY36" i="34"/>
  <c r="AY30" i="34"/>
  <c r="AY10" i="34"/>
  <c r="AS16" i="34"/>
  <c r="AS24" i="34"/>
  <c r="AS36" i="34"/>
  <c r="AS19" i="34"/>
  <c r="AS30" i="34"/>
  <c r="AS10" i="34"/>
  <c r="AS11" i="34"/>
  <c r="AV9" i="34"/>
  <c r="AX16" i="34"/>
  <c r="AX36" i="34"/>
  <c r="AX11" i="34"/>
  <c r="AX24" i="34"/>
  <c r="AX38" i="34" s="1"/>
  <c r="AX19" i="34"/>
  <c r="AX10" i="34"/>
  <c r="AX30" i="34"/>
  <c r="AT16" i="34"/>
  <c r="AT30" i="34"/>
  <c r="AT24" i="34"/>
  <c r="AT38" i="34" s="1"/>
  <c r="AT19" i="34"/>
  <c r="AT36" i="34"/>
  <c r="AT10" i="34"/>
  <c r="AT11" i="34"/>
  <c r="AZ16" i="34"/>
  <c r="AZ36" i="34"/>
  <c r="AZ24" i="34"/>
  <c r="AZ38" i="34" s="1"/>
  <c r="AZ30" i="34"/>
  <c r="AZ10" i="34"/>
  <c r="AZ11" i="34"/>
  <c r="AZ19" i="34"/>
  <c r="AU19" i="34"/>
  <c r="AU36" i="34"/>
  <c r="AU16" i="34"/>
  <c r="AU30" i="34"/>
  <c r="AU24" i="34"/>
  <c r="AU38" i="34" s="1"/>
  <c r="AU10" i="34"/>
  <c r="AU11" i="34"/>
  <c r="AY16" i="10"/>
  <c r="AY15" i="10"/>
  <c r="AW130" i="28"/>
  <c r="AW131" i="28"/>
  <c r="AW132" i="28"/>
  <c r="AX15" i="10"/>
  <c r="AX16" i="10"/>
  <c r="AZ15" i="10"/>
  <c r="AZ16" i="10"/>
  <c r="AX6" i="28"/>
  <c r="AX7" i="28"/>
  <c r="AY4" i="28"/>
  <c r="AX11" i="28"/>
  <c r="AX105" i="28"/>
  <c r="AX129" i="28"/>
  <c r="BA60" i="28"/>
  <c r="BA62" i="28" s="1"/>
  <c r="AZ63" i="28"/>
  <c r="AZ62" i="28"/>
  <c r="AZ67" i="28"/>
  <c r="AX87" i="28"/>
  <c r="AX86" i="28"/>
  <c r="AW15" i="10"/>
  <c r="AW16" i="10"/>
  <c r="BA14" i="10"/>
  <c r="AW29" i="28"/>
  <c r="AW12" i="28"/>
  <c r="AW119" i="28"/>
  <c r="AW13" i="28"/>
  <c r="AW143" i="28"/>
  <c r="AY69" i="28"/>
  <c r="AY68" i="28"/>
  <c r="AY85" i="28"/>
  <c r="AW106" i="28"/>
  <c r="AW107" i="28"/>
  <c r="AW108" i="28"/>
  <c r="BA152" i="28"/>
  <c r="AT89" i="28"/>
  <c r="AV86" i="28"/>
  <c r="X21" i="26"/>
  <c r="AV14" i="10"/>
  <c r="AT148" i="28"/>
  <c r="AT149" i="28"/>
  <c r="AV105" i="28"/>
  <c r="AV107" i="28" s="1"/>
  <c r="AU108" i="28"/>
  <c r="AU106" i="28"/>
  <c r="AV106" i="28" s="1"/>
  <c r="AU107" i="28"/>
  <c r="AT16" i="10"/>
  <c r="AU16" i="10"/>
  <c r="AU15" i="10"/>
  <c r="AT145" i="28"/>
  <c r="AT5" i="10"/>
  <c r="AT146" i="28"/>
  <c r="AT154" i="28"/>
  <c r="AT30" i="28"/>
  <c r="AT31" i="28"/>
  <c r="AU12" i="28"/>
  <c r="AU119" i="28"/>
  <c r="AU29" i="28"/>
  <c r="AU89" i="28" s="1"/>
  <c r="AU13" i="28"/>
  <c r="AU143" i="28"/>
  <c r="AU147" i="28" s="1"/>
  <c r="AU148" i="28" s="1"/>
  <c r="AV11" i="28"/>
  <c r="AV12" i="28" s="1"/>
  <c r="AT122" i="28"/>
  <c r="AT121" i="28"/>
  <c r="AT123" i="28"/>
  <c r="AU131" i="28"/>
  <c r="AV129" i="28"/>
  <c r="AV131" i="28" s="1"/>
  <c r="AU130" i="28"/>
  <c r="AV130" i="28" s="1"/>
  <c r="AU132" i="28"/>
  <c r="AK89" i="29"/>
  <c r="AG84" i="29"/>
  <c r="AG70" i="29"/>
  <c r="AG71" i="29" s="1"/>
  <c r="AG88" i="29"/>
  <c r="AG89" i="29" s="1"/>
  <c r="AC89" i="29"/>
  <c r="AH89" i="29"/>
  <c r="F7" i="25"/>
  <c r="Y29" i="3"/>
  <c r="AD29" i="3"/>
  <c r="AM62" i="3"/>
  <c r="AK72" i="12"/>
  <c r="AK50" i="12"/>
  <c r="AK83" i="12"/>
  <c r="AK55" i="11"/>
  <c r="AK32" i="11"/>
  <c r="AK39" i="11" s="1"/>
  <c r="AK14" i="11"/>
  <c r="AK20" i="11" s="1"/>
  <c r="AM73" i="3"/>
  <c r="AM71" i="3"/>
  <c r="AM68" i="3"/>
  <c r="AM60" i="3"/>
  <c r="AM56" i="3"/>
  <c r="AM53" i="3"/>
  <c r="AM51" i="3"/>
  <c r="AM49" i="3"/>
  <c r="AM48" i="3"/>
  <c r="AM45" i="3"/>
  <c r="AM44" i="3"/>
  <c r="AM42" i="3"/>
  <c r="AM38" i="3"/>
  <c r="AM33" i="3"/>
  <c r="AM31" i="3"/>
  <c r="AM30" i="3"/>
  <c r="AM27" i="3"/>
  <c r="AM26" i="3"/>
  <c r="AM21" i="3"/>
  <c r="AM19" i="3"/>
  <c r="AM17" i="3"/>
  <c r="AM15" i="3"/>
  <c r="AM10" i="3"/>
  <c r="AM35" i="3" s="1"/>
  <c r="AM9" i="3"/>
  <c r="AM7" i="3"/>
  <c r="AM5" i="3"/>
  <c r="AK92" i="10"/>
  <c r="AK52" i="10"/>
  <c r="AK40" i="10"/>
  <c r="AK16" i="10"/>
  <c r="AK15" i="10"/>
  <c r="AU20" i="34" l="1"/>
  <c r="AU40" i="34" s="1"/>
  <c r="AU41" i="34" s="1"/>
  <c r="AT90" i="28"/>
  <c r="AY20" i="34"/>
  <c r="AY40" i="34" s="1"/>
  <c r="AY41" i="34" s="1"/>
  <c r="AX20" i="34"/>
  <c r="AX40" i="34" s="1"/>
  <c r="AX41" i="34" s="1"/>
  <c r="AV36" i="34"/>
  <c r="AV37" i="34" s="1"/>
  <c r="AZ20" i="34"/>
  <c r="AZ40" i="34" s="1"/>
  <c r="AZ41" i="34" s="1"/>
  <c r="BA36" i="34"/>
  <c r="BA37" i="34" s="1"/>
  <c r="AV10" i="34"/>
  <c r="AV33" i="34"/>
  <c r="AT20" i="34"/>
  <c r="AT40" i="34" s="1"/>
  <c r="AT41" i="34" s="1"/>
  <c r="AS20" i="34"/>
  <c r="AV19" i="34"/>
  <c r="AW20" i="34"/>
  <c r="BA19" i="34"/>
  <c r="AW38" i="34"/>
  <c r="BA24" i="34"/>
  <c r="AS38" i="34"/>
  <c r="AV24" i="34"/>
  <c r="BA30" i="34"/>
  <c r="BA31" i="34" s="1"/>
  <c r="AV16" i="34"/>
  <c r="AV30" i="34"/>
  <c r="AV31" i="34" s="1"/>
  <c r="BA10" i="34"/>
  <c r="BA33" i="34"/>
  <c r="BA16" i="34"/>
  <c r="AY87" i="28"/>
  <c r="AY86" i="28"/>
  <c r="AZ69" i="28"/>
  <c r="AZ85" i="28"/>
  <c r="BA85" i="28" s="1"/>
  <c r="BA86" i="28" s="1"/>
  <c r="AZ68" i="28"/>
  <c r="AW121" i="28"/>
  <c r="AW122" i="28"/>
  <c r="AW123" i="28"/>
  <c r="AX132" i="28"/>
  <c r="AX130" i="28"/>
  <c r="AX131" i="28"/>
  <c r="AW30" i="28"/>
  <c r="AW31" i="28"/>
  <c r="AW89" i="28"/>
  <c r="AX107" i="28"/>
  <c r="AX106" i="28"/>
  <c r="AX108" i="28"/>
  <c r="AW146" i="28"/>
  <c r="AW145" i="28"/>
  <c r="AW5" i="10"/>
  <c r="AW154" i="28"/>
  <c r="AW147" i="28"/>
  <c r="BA15" i="10"/>
  <c r="BA31" i="10" s="1"/>
  <c r="AX119" i="28"/>
  <c r="AX12" i="28"/>
  <c r="AX13" i="28"/>
  <c r="AX143" i="28"/>
  <c r="AX29" i="28"/>
  <c r="AY6" i="28"/>
  <c r="AY7" i="28"/>
  <c r="AY11" i="28"/>
  <c r="AZ4" i="28"/>
  <c r="AY105" i="28"/>
  <c r="AY129" i="28"/>
  <c r="BA67" i="28"/>
  <c r="BA68" i="28" s="1"/>
  <c r="AM57" i="11"/>
  <c r="AP56" i="11"/>
  <c r="AT91" i="28"/>
  <c r="AU91" i="28"/>
  <c r="AU90" i="28"/>
  <c r="D8" i="25"/>
  <c r="AV147" i="28"/>
  <c r="AU149" i="28"/>
  <c r="AT120" i="28"/>
  <c r="AT116" i="28"/>
  <c r="AT125" i="28"/>
  <c r="AT124" i="28"/>
  <c r="AU145" i="28"/>
  <c r="AU146" i="28"/>
  <c r="AU5" i="10"/>
  <c r="AU154" i="28"/>
  <c r="K8" i="24"/>
  <c r="AV29" i="28"/>
  <c r="AV89" i="28" s="1"/>
  <c r="AU31" i="28"/>
  <c r="AU30" i="28"/>
  <c r="AT6" i="10"/>
  <c r="AT7" i="10"/>
  <c r="AT11" i="10"/>
  <c r="AU122" i="28"/>
  <c r="AU121" i="28"/>
  <c r="AU123" i="28"/>
  <c r="AU120" i="28" s="1"/>
  <c r="AV119" i="28"/>
  <c r="AV143" i="28"/>
  <c r="AV145" i="28" s="1"/>
  <c r="AT144" i="28"/>
  <c r="AT140" i="28"/>
  <c r="AT156" i="28"/>
  <c r="AT155" i="28"/>
  <c r="AT151" i="28"/>
  <c r="AM65" i="3"/>
  <c r="AK44" i="11"/>
  <c r="AK45" i="11" s="1"/>
  <c r="AV123" i="28" l="1"/>
  <c r="AV120" i="28" s="1"/>
  <c r="E8" i="24"/>
  <c r="F8" i="24" s="1"/>
  <c r="L8" i="24"/>
  <c r="H8" i="24"/>
  <c r="I8" i="24" s="1"/>
  <c r="AW40" i="34"/>
  <c r="AW41" i="34" s="1"/>
  <c r="BA17" i="34"/>
  <c r="BA20" i="34"/>
  <c r="AV38" i="34"/>
  <c r="AV25" i="34"/>
  <c r="BA38" i="34"/>
  <c r="BA25" i="34"/>
  <c r="AS40" i="34"/>
  <c r="AS41" i="34" s="1"/>
  <c r="AV35" i="34"/>
  <c r="AV17" i="34"/>
  <c r="AV20" i="34"/>
  <c r="AV29" i="34"/>
  <c r="AV148" i="28"/>
  <c r="AW116" i="28"/>
  <c r="AW124" i="28"/>
  <c r="AW125" i="28"/>
  <c r="AX5" i="10"/>
  <c r="AX145" i="28"/>
  <c r="AX146" i="28"/>
  <c r="AX147" i="28"/>
  <c r="AX154" i="28"/>
  <c r="AX121" i="28"/>
  <c r="AX122" i="28"/>
  <c r="AX123" i="28"/>
  <c r="AW91" i="28"/>
  <c r="AW90" i="28"/>
  <c r="AX30" i="28"/>
  <c r="AX31" i="28"/>
  <c r="AX89" i="28"/>
  <c r="AW7" i="10"/>
  <c r="AW6" i="10"/>
  <c r="AW11" i="10"/>
  <c r="AW120" i="28"/>
  <c r="AY131" i="28"/>
  <c r="AY132" i="28"/>
  <c r="AY130" i="28"/>
  <c r="AW149" i="28"/>
  <c r="AW148" i="28"/>
  <c r="AZ86" i="28"/>
  <c r="AZ87" i="28"/>
  <c r="AY108" i="28"/>
  <c r="AY106" i="28"/>
  <c r="AY107" i="28"/>
  <c r="AW155" i="28"/>
  <c r="AW156" i="28"/>
  <c r="AW140" i="28"/>
  <c r="AW151" i="28"/>
  <c r="AZ129" i="28"/>
  <c r="AZ105" i="28"/>
  <c r="AZ6" i="28"/>
  <c r="BA4" i="28"/>
  <c r="BA6" i="28" s="1"/>
  <c r="AZ7" i="28"/>
  <c r="AZ11" i="28"/>
  <c r="BA11" i="28" s="1"/>
  <c r="BA12" i="28" s="1"/>
  <c r="AW144" i="28"/>
  <c r="AY13" i="28"/>
  <c r="AY119" i="28"/>
  <c r="AY143" i="28"/>
  <c r="AY29" i="28"/>
  <c r="AY12" i="28"/>
  <c r="AV30" i="28"/>
  <c r="AV90" i="28"/>
  <c r="Y21" i="26"/>
  <c r="K16" i="24"/>
  <c r="K15" i="24"/>
  <c r="K17" i="24"/>
  <c r="AU6" i="10"/>
  <c r="AU7" i="10"/>
  <c r="AU11" i="10"/>
  <c r="AT17" i="10"/>
  <c r="AT13" i="10"/>
  <c r="AU156" i="28"/>
  <c r="AU144" i="28"/>
  <c r="AU151" i="28"/>
  <c r="AU155" i="28"/>
  <c r="AU140" i="28"/>
  <c r="AV154" i="28"/>
  <c r="AV121" i="28"/>
  <c r="AU125" i="28"/>
  <c r="AU116" i="28"/>
  <c r="AU124" i="28"/>
  <c r="AV5" i="10"/>
  <c r="X31" i="26"/>
  <c r="AK11" i="10"/>
  <c r="AM66" i="3"/>
  <c r="AM77" i="3"/>
  <c r="AK5" i="3"/>
  <c r="AL5" i="3"/>
  <c r="AN5" i="3"/>
  <c r="AO5" i="3"/>
  <c r="AP5" i="3"/>
  <c r="AQ5" i="3"/>
  <c r="AR5" i="3"/>
  <c r="AS5" i="3"/>
  <c r="AE5" i="3"/>
  <c r="AF5" i="3"/>
  <c r="AG5" i="3"/>
  <c r="AH5" i="3"/>
  <c r="AI5" i="3"/>
  <c r="AJ5" i="3"/>
  <c r="E17" i="24" l="1"/>
  <c r="F17" i="24" s="1"/>
  <c r="H17" i="24"/>
  <c r="I17" i="24" s="1"/>
  <c r="L17" i="24"/>
  <c r="H16" i="24"/>
  <c r="I16" i="24" s="1"/>
  <c r="L16" i="24"/>
  <c r="E16" i="24"/>
  <c r="F16" i="24" s="1"/>
  <c r="K10" i="24"/>
  <c r="L15" i="24"/>
  <c r="E15" i="24"/>
  <c r="F15" i="24" s="1"/>
  <c r="H15" i="24"/>
  <c r="I15" i="24" s="1"/>
  <c r="K18" i="24"/>
  <c r="AV21" i="34"/>
  <c r="AV40" i="34"/>
  <c r="AV41" i="34" s="1"/>
  <c r="BA21" i="34"/>
  <c r="BA40" i="34"/>
  <c r="BA41" i="34" s="1"/>
  <c r="AP12" i="10"/>
  <c r="AX155" i="28"/>
  <c r="AX156" i="28"/>
  <c r="AX140" i="28"/>
  <c r="AX151" i="28"/>
  <c r="AX144" i="28"/>
  <c r="AZ130" i="28"/>
  <c r="BA130" i="28" s="1"/>
  <c r="AZ131" i="28"/>
  <c r="AZ132" i="28"/>
  <c r="BA129" i="28"/>
  <c r="BA131" i="28" s="1"/>
  <c r="AX7" i="10"/>
  <c r="AX6" i="10"/>
  <c r="AX11" i="10"/>
  <c r="AZ13" i="28"/>
  <c r="AZ119" i="28"/>
  <c r="AZ29" i="28"/>
  <c r="AZ143" i="28"/>
  <c r="AZ12" i="28"/>
  <c r="AZ108" i="28"/>
  <c r="BA105" i="28"/>
  <c r="BA107" i="28" s="1"/>
  <c r="AZ106" i="28"/>
  <c r="BA106" i="28" s="1"/>
  <c r="AZ107" i="28"/>
  <c r="AW12" i="10"/>
  <c r="AW13" i="10"/>
  <c r="AW17" i="10"/>
  <c r="AC21" i="26" s="1"/>
  <c r="AX148" i="28"/>
  <c r="AX149" i="28"/>
  <c r="AX91" i="28"/>
  <c r="AX90" i="28"/>
  <c r="AY30" i="28"/>
  <c r="AY31" i="28"/>
  <c r="AY89" i="28"/>
  <c r="AY145" i="28"/>
  <c r="AY146" i="28"/>
  <c r="AY5" i="10"/>
  <c r="AY154" i="28"/>
  <c r="AY147" i="28"/>
  <c r="AX124" i="28"/>
  <c r="AX125" i="28"/>
  <c r="AX116" i="28"/>
  <c r="AY121" i="28"/>
  <c r="AY122" i="28"/>
  <c r="AY123" i="28"/>
  <c r="AY120" i="28" s="1"/>
  <c r="AX120" i="28"/>
  <c r="Z21" i="26"/>
  <c r="AT71" i="11"/>
  <c r="AK12" i="10"/>
  <c r="AK17" i="10"/>
  <c r="AM13" i="10"/>
  <c r="K30" i="24"/>
  <c r="AV155" i="28"/>
  <c r="AV140" i="28"/>
  <c r="AV151" i="28"/>
  <c r="AT19" i="10"/>
  <c r="AT26" i="11"/>
  <c r="AT23" i="11"/>
  <c r="AT63" i="11"/>
  <c r="AT51" i="10"/>
  <c r="AT21" i="10"/>
  <c r="AT26" i="10"/>
  <c r="AT19" i="11"/>
  <c r="AT27" i="12" s="1"/>
  <c r="AT32" i="10"/>
  <c r="AT9" i="11"/>
  <c r="AT53" i="11" s="1"/>
  <c r="AT25" i="11"/>
  <c r="AT38" i="10"/>
  <c r="AT24" i="11"/>
  <c r="AT12" i="11"/>
  <c r="AT26" i="12" s="1"/>
  <c r="AT33" i="11"/>
  <c r="AT38" i="11"/>
  <c r="AV116" i="28"/>
  <c r="AV124" i="28"/>
  <c r="AU17" i="10"/>
  <c r="AU13" i="10"/>
  <c r="AV11" i="10"/>
  <c r="AV144" i="28"/>
  <c r="E18" i="24" l="1"/>
  <c r="F18" i="24" s="1"/>
  <c r="L18" i="24"/>
  <c r="H18" i="24"/>
  <c r="I18" i="24" s="1"/>
  <c r="H30" i="24"/>
  <c r="I30" i="24" s="1"/>
  <c r="L30" i="24"/>
  <c r="E30" i="24"/>
  <c r="F30" i="24" s="1"/>
  <c r="H10" i="24"/>
  <c r="I10" i="24" s="1"/>
  <c r="E10" i="24"/>
  <c r="F10" i="24" s="1"/>
  <c r="L10" i="24"/>
  <c r="K11" i="24"/>
  <c r="AK29" i="10"/>
  <c r="AK31" i="10"/>
  <c r="AK35" i="10"/>
  <c r="AK37" i="10"/>
  <c r="AZ147" i="28"/>
  <c r="BA147" i="28" s="1"/>
  <c r="BA148" i="28" s="1"/>
  <c r="AZ146" i="28"/>
  <c r="AZ5" i="10"/>
  <c r="BA5" i="10" s="1"/>
  <c r="BA6" i="10" s="1"/>
  <c r="AZ145" i="28"/>
  <c r="AZ154" i="28"/>
  <c r="BA143" i="28"/>
  <c r="BA29" i="28"/>
  <c r="AZ31" i="28"/>
  <c r="AZ30" i="28"/>
  <c r="AZ89" i="28"/>
  <c r="AY125" i="28"/>
  <c r="AY124" i="28"/>
  <c r="AY116" i="28"/>
  <c r="AY91" i="28"/>
  <c r="AY90" i="28"/>
  <c r="AY149" i="28"/>
  <c r="AY148" i="28"/>
  <c r="AY156" i="28"/>
  <c r="AY155" i="28"/>
  <c r="AY140" i="28"/>
  <c r="AY151" i="28"/>
  <c r="AZ123" i="28"/>
  <c r="AZ122" i="28"/>
  <c r="AZ121" i="28"/>
  <c r="AY144" i="28"/>
  <c r="AW71" i="11"/>
  <c r="AW19" i="10"/>
  <c r="AW21" i="10"/>
  <c r="AW26" i="11"/>
  <c r="AW9" i="11"/>
  <c r="AW38" i="11"/>
  <c r="AW32" i="10"/>
  <c r="AW24" i="11"/>
  <c r="AW18" i="10"/>
  <c r="AW19" i="11"/>
  <c r="AW25" i="11"/>
  <c r="AW51" i="10"/>
  <c r="AW38" i="10"/>
  <c r="AW23" i="11"/>
  <c r="AW33" i="11"/>
  <c r="AW12" i="11"/>
  <c r="AW26" i="10"/>
  <c r="AW63" i="11"/>
  <c r="AW51" i="11"/>
  <c r="BA119" i="28"/>
  <c r="AY7" i="10"/>
  <c r="AY6" i="10"/>
  <c r="AY11" i="10"/>
  <c r="AX13" i="10"/>
  <c r="AX12" i="10"/>
  <c r="AX17" i="10"/>
  <c r="AD21" i="26" s="1"/>
  <c r="AP18" i="10"/>
  <c r="AA21" i="26"/>
  <c r="AU71" i="11"/>
  <c r="AT24" i="12"/>
  <c r="AT29" i="12"/>
  <c r="AM19" i="10"/>
  <c r="AT32" i="12"/>
  <c r="Y31" i="26"/>
  <c r="AU63" i="11"/>
  <c r="AV31" i="11"/>
  <c r="AU9" i="11"/>
  <c r="AU23" i="11"/>
  <c r="AU38" i="11"/>
  <c r="AU25" i="11"/>
  <c r="AV25" i="11" s="1"/>
  <c r="AU32" i="10"/>
  <c r="AU19" i="10"/>
  <c r="AU19" i="11"/>
  <c r="AV19" i="11" s="1"/>
  <c r="AU21" i="10"/>
  <c r="AU22" i="10" s="1"/>
  <c r="AU38" i="10"/>
  <c r="AV38" i="10" s="1"/>
  <c r="AU33" i="11"/>
  <c r="AU51" i="10"/>
  <c r="AU26" i="11"/>
  <c r="AU26" i="10"/>
  <c r="AU12" i="11"/>
  <c r="AU24" i="11"/>
  <c r="AV24" i="11" s="1"/>
  <c r="AT40" i="10"/>
  <c r="AT28" i="12"/>
  <c r="AT31" i="12"/>
  <c r="AT22" i="10"/>
  <c r="AV17" i="10"/>
  <c r="AK62" i="11"/>
  <c r="AK33" i="10"/>
  <c r="AK64" i="11"/>
  <c r="AK73" i="11"/>
  <c r="AK70" i="11"/>
  <c r="AK39" i="10"/>
  <c r="AK27" i="10"/>
  <c r="AK53" i="11"/>
  <c r="AK51" i="10"/>
  <c r="AK22" i="10"/>
  <c r="AK42" i="10" s="1"/>
  <c r="AK66" i="10" s="1"/>
  <c r="AK68" i="11"/>
  <c r="AK18" i="10"/>
  <c r="AK67" i="11"/>
  <c r="AK71" i="11"/>
  <c r="AK72" i="11"/>
  <c r="AK61" i="11"/>
  <c r="AK63" i="11"/>
  <c r="AK69" i="11"/>
  <c r="AK60" i="11"/>
  <c r="AL9" i="3"/>
  <c r="AJ92" i="10"/>
  <c r="L11" i="24" l="1"/>
  <c r="K20" i="24"/>
  <c r="E11" i="24"/>
  <c r="F11" i="24" s="1"/>
  <c r="H11" i="24"/>
  <c r="I11" i="24" s="1"/>
  <c r="K12" i="24"/>
  <c r="K31" i="24"/>
  <c r="AV32" i="10"/>
  <c r="AV33" i="10" s="1"/>
  <c r="C9" i="32"/>
  <c r="C10" i="32" s="1"/>
  <c r="AW27" i="12"/>
  <c r="BA30" i="28"/>
  <c r="BA89" i="28"/>
  <c r="BA90" i="28" s="1"/>
  <c r="BA145" i="28"/>
  <c r="AZ155" i="28"/>
  <c r="AZ156" i="28"/>
  <c r="AZ140" i="28"/>
  <c r="AZ151" i="28"/>
  <c r="BA154" i="28"/>
  <c r="BA144" i="28" s="1"/>
  <c r="AZ144" i="28"/>
  <c r="AX18" i="10"/>
  <c r="AX32" i="10"/>
  <c r="AX19" i="10"/>
  <c r="AX51" i="10"/>
  <c r="AX19" i="11"/>
  <c r="AX33" i="11"/>
  <c r="AX38" i="11"/>
  <c r="AX9" i="11"/>
  <c r="AX24" i="11"/>
  <c r="AX25" i="11"/>
  <c r="AX12" i="11"/>
  <c r="AX26" i="11"/>
  <c r="AX21" i="10"/>
  <c r="AX22" i="10" s="1"/>
  <c r="AX23" i="11"/>
  <c r="AX38" i="10"/>
  <c r="AX26" i="10"/>
  <c r="AX63" i="11"/>
  <c r="AX51" i="11"/>
  <c r="AX71" i="11"/>
  <c r="AZ11" i="10"/>
  <c r="BA11" i="10" s="1"/>
  <c r="AZ7" i="10"/>
  <c r="AZ6" i="10"/>
  <c r="AW22" i="10"/>
  <c r="AZ116" i="28"/>
  <c r="AZ125" i="28"/>
  <c r="AZ124" i="28"/>
  <c r="AZ91" i="28"/>
  <c r="AZ90" i="28"/>
  <c r="AW40" i="10"/>
  <c r="AY13" i="10"/>
  <c r="AY12" i="10"/>
  <c r="AY17" i="10"/>
  <c r="AE21" i="26" s="1"/>
  <c r="AZ120" i="28"/>
  <c r="BA123" i="28"/>
  <c r="BA120" i="28" s="1"/>
  <c r="BA121" i="28"/>
  <c r="AZ149" i="28"/>
  <c r="AZ148" i="28"/>
  <c r="AV51" i="10"/>
  <c r="AB21" i="26"/>
  <c r="AV39" i="10"/>
  <c r="AT42" i="10"/>
  <c r="AT66" i="10" s="1"/>
  <c r="AU27" i="12"/>
  <c r="AV12" i="11"/>
  <c r="AW26" i="12" s="1"/>
  <c r="AU26" i="12"/>
  <c r="AV38" i="11"/>
  <c r="AW31" i="12" s="1"/>
  <c r="AU31" i="12"/>
  <c r="AU53" i="11"/>
  <c r="AU24" i="12"/>
  <c r="AV24" i="12" s="1"/>
  <c r="AV9" i="11"/>
  <c r="AW53" i="11" s="1"/>
  <c r="AV21" i="10"/>
  <c r="AV22" i="10" s="1"/>
  <c r="AV23" i="10" s="1"/>
  <c r="AU40" i="10"/>
  <c r="AU42" i="10" s="1"/>
  <c r="AU66" i="10" s="1"/>
  <c r="AV26" i="10"/>
  <c r="AU28" i="12"/>
  <c r="AV23" i="11"/>
  <c r="AW28" i="12" s="1"/>
  <c r="AU29" i="12"/>
  <c r="AV26" i="11"/>
  <c r="AW29" i="12" s="1"/>
  <c r="AV33" i="11"/>
  <c r="AW32" i="12" s="1"/>
  <c r="AU32" i="12"/>
  <c r="AK23" i="10"/>
  <c r="AK54" i="10"/>
  <c r="AK43" i="10"/>
  <c r="AL51" i="3"/>
  <c r="AL45" i="3"/>
  <c r="AQ45" i="3" s="1"/>
  <c r="AL44" i="3"/>
  <c r="AL42" i="3"/>
  <c r="AL33" i="3"/>
  <c r="AL27" i="3"/>
  <c r="AL26" i="3"/>
  <c r="AL7" i="3"/>
  <c r="AL14" i="3"/>
  <c r="AJ21" i="10"/>
  <c r="E31" i="24" l="1"/>
  <c r="H31" i="24"/>
  <c r="K32" i="24"/>
  <c r="H12" i="24"/>
  <c r="E12" i="24"/>
  <c r="K25" i="24"/>
  <c r="L20" i="24"/>
  <c r="K21" i="24"/>
  <c r="E20" i="24"/>
  <c r="F20" i="24" s="1"/>
  <c r="H20" i="24"/>
  <c r="I20" i="24" s="1"/>
  <c r="BA12" i="10"/>
  <c r="AX29" i="12"/>
  <c r="AX32" i="12"/>
  <c r="AX40" i="10"/>
  <c r="AX42" i="10" s="1"/>
  <c r="BA155" i="28"/>
  <c r="BA140" i="28"/>
  <c r="BA151" i="28"/>
  <c r="AY24" i="11"/>
  <c r="AY51" i="10"/>
  <c r="AY9" i="11"/>
  <c r="AY24" i="12" s="1"/>
  <c r="AY32" i="10"/>
  <c r="AY23" i="11"/>
  <c r="AY26" i="11"/>
  <c r="AY19" i="11"/>
  <c r="AY27" i="12" s="1"/>
  <c r="AY21" i="10"/>
  <c r="AY38" i="11"/>
  <c r="AY19" i="10"/>
  <c r="AY12" i="11"/>
  <c r="AY26" i="12" s="1"/>
  <c r="AY26" i="10"/>
  <c r="AY18" i="10"/>
  <c r="AY25" i="11"/>
  <c r="AY33" i="11"/>
  <c r="AY38" i="10"/>
  <c r="AY63" i="11"/>
  <c r="AY71" i="11"/>
  <c r="BA124" i="28"/>
  <c r="BA116" i="28"/>
  <c r="AX27" i="12"/>
  <c r="AX24" i="12"/>
  <c r="AX53" i="11"/>
  <c r="AX28" i="12"/>
  <c r="AX31" i="12"/>
  <c r="AX26" i="12"/>
  <c r="AW42" i="10"/>
  <c r="AZ12" i="10"/>
  <c r="AZ13" i="10"/>
  <c r="AZ17" i="10"/>
  <c r="AF21" i="26" s="1"/>
  <c r="AT67" i="10"/>
  <c r="AT69" i="10" s="1"/>
  <c r="AT70" i="10" s="1"/>
  <c r="AT54" i="10"/>
  <c r="AT72" i="10" s="1"/>
  <c r="AT43" i="10"/>
  <c r="Z31" i="26" s="1"/>
  <c r="AU43" i="10"/>
  <c r="AA31" i="26" s="1"/>
  <c r="AU54" i="10"/>
  <c r="AU67" i="10"/>
  <c r="AV27" i="10"/>
  <c r="AV40" i="10"/>
  <c r="AV42" i="10" s="1"/>
  <c r="AV66" i="10" s="1"/>
  <c r="AL21" i="3"/>
  <c r="AL3" i="3"/>
  <c r="AJ5" i="29"/>
  <c r="AK55" i="10"/>
  <c r="AK72" i="10"/>
  <c r="AK69" i="10"/>
  <c r="AK68" i="10"/>
  <c r="AL56" i="12"/>
  <c r="L25" i="24" l="1"/>
  <c r="H25" i="24"/>
  <c r="I25" i="24" s="1"/>
  <c r="K34" i="24"/>
  <c r="E25" i="24"/>
  <c r="F25" i="24" s="1"/>
  <c r="K26" i="24"/>
  <c r="H21" i="24"/>
  <c r="E21" i="24"/>
  <c r="L32" i="24"/>
  <c r="H32" i="24"/>
  <c r="I32" i="24" s="1"/>
  <c r="E32" i="24"/>
  <c r="F32" i="24" s="1"/>
  <c r="AY40" i="10"/>
  <c r="AX43" i="10"/>
  <c r="AD31" i="26" s="1"/>
  <c r="AX66" i="10"/>
  <c r="AX67" i="10" s="1"/>
  <c r="AX69" i="10" s="1"/>
  <c r="AX54" i="10"/>
  <c r="AX55" i="10" s="1"/>
  <c r="BA17" i="10"/>
  <c r="AY31" i="12"/>
  <c r="AW43" i="10"/>
  <c r="AC31" i="26" s="1"/>
  <c r="AW66" i="10"/>
  <c r="AW54" i="10"/>
  <c r="AY29" i="12"/>
  <c r="AZ33" i="11"/>
  <c r="AZ18" i="10"/>
  <c r="AZ12" i="11"/>
  <c r="BA12" i="11" s="1"/>
  <c r="AZ21" i="10"/>
  <c r="AZ22" i="10" s="1"/>
  <c r="AZ24" i="11"/>
  <c r="BA24" i="11" s="1"/>
  <c r="AZ38" i="11"/>
  <c r="AZ23" i="11"/>
  <c r="AZ32" i="10"/>
  <c r="AZ9" i="11"/>
  <c r="AZ24" i="12" s="1"/>
  <c r="BA24" i="12" s="1"/>
  <c r="AZ26" i="10"/>
  <c r="AZ38" i="10"/>
  <c r="BA38" i="10" s="1"/>
  <c r="AZ19" i="10"/>
  <c r="AZ26" i="11"/>
  <c r="AZ25" i="11"/>
  <c r="BA25" i="11" s="1"/>
  <c r="AZ19" i="11"/>
  <c r="BA19" i="11" s="1"/>
  <c r="AZ51" i="10"/>
  <c r="AZ63" i="11"/>
  <c r="AZ71" i="11"/>
  <c r="AY22" i="10"/>
  <c r="AY28" i="12"/>
  <c r="AY32" i="12"/>
  <c r="AY53" i="11"/>
  <c r="AT55" i="10"/>
  <c r="AV43" i="10"/>
  <c r="AB31" i="26" s="1"/>
  <c r="AV54" i="10"/>
  <c r="AT76" i="10"/>
  <c r="AT63" i="10" s="1"/>
  <c r="AT74" i="10"/>
  <c r="AU69" i="10"/>
  <c r="AV67" i="10"/>
  <c r="AU72" i="10"/>
  <c r="AU55" i="10"/>
  <c r="AJ6" i="29"/>
  <c r="AJ9" i="29"/>
  <c r="AL5" i="29"/>
  <c r="AL6" i="29" s="1"/>
  <c r="AK79" i="10"/>
  <c r="AK70" i="10"/>
  <c r="AK74" i="10"/>
  <c r="AK76" i="10"/>
  <c r="H26" i="24" l="1"/>
  <c r="E26" i="24"/>
  <c r="L34" i="24"/>
  <c r="H34" i="24"/>
  <c r="I34" i="24" s="1"/>
  <c r="E34" i="24"/>
  <c r="F34" i="24" s="1"/>
  <c r="K36" i="24"/>
  <c r="AG21" i="26"/>
  <c r="BA32" i="10"/>
  <c r="BA33" i="10" s="1"/>
  <c r="AK81" i="10"/>
  <c r="AK63" i="10"/>
  <c r="AK64" i="10" s="1"/>
  <c r="AY42" i="10"/>
  <c r="AY54" i="10" s="1"/>
  <c r="BA18" i="10"/>
  <c r="BA51" i="10"/>
  <c r="AX72" i="10"/>
  <c r="AX74" i="10" s="1"/>
  <c r="BA39" i="10"/>
  <c r="AX70" i="10"/>
  <c r="BA9" i="11"/>
  <c r="AZ53" i="11"/>
  <c r="BA21" i="10"/>
  <c r="BA33" i="11"/>
  <c r="AZ32" i="12"/>
  <c r="BA32" i="12" s="1"/>
  <c r="AW67" i="10"/>
  <c r="AW69" i="10" s="1"/>
  <c r="AZ29" i="12"/>
  <c r="BA29" i="12" s="1"/>
  <c r="BA26" i="11"/>
  <c r="AZ31" i="12"/>
  <c r="BA31" i="12" s="1"/>
  <c r="BA38" i="11"/>
  <c r="AW72" i="10"/>
  <c r="AW55" i="10"/>
  <c r="AZ27" i="12"/>
  <c r="BA27" i="12" s="1"/>
  <c r="AZ40" i="10"/>
  <c r="AZ42" i="10" s="1"/>
  <c r="BA26" i="10"/>
  <c r="AZ28" i="12"/>
  <c r="BA28" i="12" s="1"/>
  <c r="BA23" i="11"/>
  <c r="AZ26" i="12"/>
  <c r="BA26" i="12" s="1"/>
  <c r="AP80" i="10"/>
  <c r="AK7" i="12"/>
  <c r="AK33" i="12" s="1"/>
  <c r="AV68" i="10"/>
  <c r="AU76" i="10"/>
  <c r="AU63" i="10" s="1"/>
  <c r="AU74" i="10"/>
  <c r="AU70" i="10"/>
  <c r="AT77" i="10"/>
  <c r="AT7" i="12"/>
  <c r="AT64" i="10"/>
  <c r="AV55" i="10"/>
  <c r="AV72" i="10"/>
  <c r="AV69" i="10"/>
  <c r="AK11" i="29"/>
  <c r="AJ11" i="29"/>
  <c r="AJ10" i="29"/>
  <c r="AL9" i="29"/>
  <c r="AJ20" i="29"/>
  <c r="AT13" i="29"/>
  <c r="AK77" i="10"/>
  <c r="AI92" i="10"/>
  <c r="AK7" i="3"/>
  <c r="AI83" i="12"/>
  <c r="AH83" i="12"/>
  <c r="AI52" i="10"/>
  <c r="AK68" i="3"/>
  <c r="AK44" i="3"/>
  <c r="AK42" i="3"/>
  <c r="AK26" i="3"/>
  <c r="AK9" i="3"/>
  <c r="AI26" i="10"/>
  <c r="AI21" i="10"/>
  <c r="AI17" i="10"/>
  <c r="AI29" i="10" s="1"/>
  <c r="AI38" i="10"/>
  <c r="AI36" i="10" s="1"/>
  <c r="AI32" i="10"/>
  <c r="AI30" i="10" s="1"/>
  <c r="AI31" i="10" l="1"/>
  <c r="L36" i="24"/>
  <c r="E36" i="24"/>
  <c r="F36" i="24" s="1"/>
  <c r="H36" i="24"/>
  <c r="I36" i="24" s="1"/>
  <c r="BA22" i="10"/>
  <c r="BA23" i="10" s="1"/>
  <c r="AI35" i="10"/>
  <c r="AI37" i="10"/>
  <c r="AY66" i="10"/>
  <c r="AY67" i="10" s="1"/>
  <c r="AY69" i="10" s="1"/>
  <c r="AY70" i="10" s="1"/>
  <c r="AY43" i="10"/>
  <c r="AE31" i="26" s="1"/>
  <c r="AX76" i="10"/>
  <c r="AZ43" i="10"/>
  <c r="AF31" i="26" s="1"/>
  <c r="AZ66" i="10"/>
  <c r="AZ67" i="10" s="1"/>
  <c r="AZ69" i="10" s="1"/>
  <c r="AZ54" i="10"/>
  <c r="BA27" i="10"/>
  <c r="BA40" i="10"/>
  <c r="AW70" i="10"/>
  <c r="AW76" i="10"/>
  <c r="AW63" i="10" s="1"/>
  <c r="AW74" i="10"/>
  <c r="AY72" i="10"/>
  <c r="AY55" i="10"/>
  <c r="AP82" i="10"/>
  <c r="AN18" i="10"/>
  <c r="AV70" i="10"/>
  <c r="AV74" i="10"/>
  <c r="AV76" i="10"/>
  <c r="AV63" i="10" s="1"/>
  <c r="AU7" i="12"/>
  <c r="AU64" i="10"/>
  <c r="AU77" i="10"/>
  <c r="AL20" i="29"/>
  <c r="AL21" i="29" s="1"/>
  <c r="AK22" i="29"/>
  <c r="AJ26" i="29"/>
  <c r="AJ22" i="29"/>
  <c r="AJ21" i="29"/>
  <c r="AL2" i="29"/>
  <c r="AK2" i="29" s="1"/>
  <c r="AL10" i="29"/>
  <c r="AI73" i="11"/>
  <c r="AK34" i="12"/>
  <c r="AK76" i="12"/>
  <c r="AK52" i="12"/>
  <c r="AK53" i="12" s="1"/>
  <c r="AI68" i="11"/>
  <c r="AI69" i="11"/>
  <c r="AK77" i="3"/>
  <c r="AI60" i="11"/>
  <c r="AI67" i="11"/>
  <c r="AI27" i="10"/>
  <c r="AI70" i="11"/>
  <c r="AI64" i="11"/>
  <c r="AI39" i="10"/>
  <c r="AI61" i="11"/>
  <c r="AI71" i="11"/>
  <c r="AI62" i="11"/>
  <c r="AI72" i="11"/>
  <c r="AI22" i="10"/>
  <c r="AI63" i="11"/>
  <c r="AI40" i="10"/>
  <c r="AI33" i="10"/>
  <c r="M29" i="18"/>
  <c r="L29" i="18"/>
  <c r="L20" i="18"/>
  <c r="L26" i="18" s="1"/>
  <c r="L17" i="18"/>
  <c r="M17" i="18"/>
  <c r="L8" i="18"/>
  <c r="L14" i="18" s="1"/>
  <c r="BA42" i="10" l="1"/>
  <c r="BA66" i="10" s="1"/>
  <c r="AX63" i="10"/>
  <c r="AX64" i="10" s="1"/>
  <c r="AX7" i="12"/>
  <c r="AX77" i="10"/>
  <c r="AZ72" i="10"/>
  <c r="AZ55" i="10"/>
  <c r="AY76" i="10"/>
  <c r="AY63" i="10" s="1"/>
  <c r="AY74" i="10"/>
  <c r="AZ70" i="10"/>
  <c r="AW7" i="12"/>
  <c r="AW64" i="10"/>
  <c r="AW77" i="10"/>
  <c r="BA67" i="10"/>
  <c r="AV7" i="12"/>
  <c r="AV64" i="10"/>
  <c r="AV77" i="10"/>
  <c r="AJ36" i="29"/>
  <c r="AJ57" i="29"/>
  <c r="AJ31" i="29"/>
  <c r="AJ28" i="29"/>
  <c r="AJ40" i="29"/>
  <c r="AK28" i="29"/>
  <c r="AJ38" i="29"/>
  <c r="AL26" i="29"/>
  <c r="AJ27" i="29"/>
  <c r="L23" i="18"/>
  <c r="L11" i="18"/>
  <c r="BA54" i="10" l="1"/>
  <c r="BA55" i="10" s="1"/>
  <c r="BA43" i="10"/>
  <c r="AG31" i="26" s="1"/>
  <c r="AY64" i="10"/>
  <c r="AY7" i="12"/>
  <c r="AY77" i="10"/>
  <c r="BA69" i="10"/>
  <c r="BA68" i="10"/>
  <c r="AZ76" i="10"/>
  <c r="AZ63" i="10" s="1"/>
  <c r="AZ74" i="10"/>
  <c r="AL57" i="29"/>
  <c r="AL31" i="29"/>
  <c r="AW26" i="29"/>
  <c r="AL36" i="29"/>
  <c r="AL27" i="29"/>
  <c r="AL38" i="29"/>
  <c r="AL40" i="29"/>
  <c r="AJ43" i="29"/>
  <c r="AJ32" i="29"/>
  <c r="E21" i="26"/>
  <c r="F21" i="26"/>
  <c r="G21" i="26"/>
  <c r="J21" i="26"/>
  <c r="K21" i="26"/>
  <c r="L21" i="26"/>
  <c r="BA72" i="10" l="1"/>
  <c r="BA74" i="10" s="1"/>
  <c r="AZ7" i="12"/>
  <c r="BA7" i="12" s="1"/>
  <c r="AZ77" i="10"/>
  <c r="AZ64" i="10"/>
  <c r="BA70" i="10"/>
  <c r="AJ44" i="29"/>
  <c r="AJ73" i="29"/>
  <c r="AJ60" i="29"/>
  <c r="AL32" i="29"/>
  <c r="AL43" i="29"/>
  <c r="BA76" i="10" l="1"/>
  <c r="BA63" i="10" s="1"/>
  <c r="BA64" i="10" s="1"/>
  <c r="AL60" i="29"/>
  <c r="AL73" i="29"/>
  <c r="AL44" i="29"/>
  <c r="AJ79" i="29"/>
  <c r="AJ61" i="29"/>
  <c r="AJ76" i="29"/>
  <c r="AJ75" i="29"/>
  <c r="AH92" i="10"/>
  <c r="BA77" i="10" l="1"/>
  <c r="AJ81" i="29"/>
  <c r="AJ83" i="29"/>
  <c r="AJ86" i="29"/>
  <c r="AS77" i="29"/>
  <c r="AJ77" i="29"/>
  <c r="AL76" i="29"/>
  <c r="AL75" i="29"/>
  <c r="AL61" i="29"/>
  <c r="AL79" i="29"/>
  <c r="AI47" i="3"/>
  <c r="AI29" i="3"/>
  <c r="AH46" i="10"/>
  <c r="AJ68" i="3"/>
  <c r="AI72" i="12"/>
  <c r="AL71" i="12"/>
  <c r="AL68" i="12"/>
  <c r="AL67" i="12"/>
  <c r="AL66" i="12"/>
  <c r="AL64" i="12"/>
  <c r="AL63" i="12"/>
  <c r="AL62" i="12"/>
  <c r="AL61" i="12"/>
  <c r="AL60" i="12"/>
  <c r="AL59" i="12"/>
  <c r="AL58" i="12"/>
  <c r="AH72" i="12"/>
  <c r="AQ41" i="12"/>
  <c r="AQ40" i="12"/>
  <c r="AL41" i="12"/>
  <c r="AL40" i="12"/>
  <c r="AH4" i="11"/>
  <c r="AH67" i="10"/>
  <c r="AH21" i="10"/>
  <c r="AJ38" i="3"/>
  <c r="AJ31" i="3"/>
  <c r="AJ27" i="3"/>
  <c r="AO27" i="3" s="1"/>
  <c r="AJ26" i="3"/>
  <c r="AJ53" i="3"/>
  <c r="AJ51" i="3"/>
  <c r="AO52" i="3" s="1"/>
  <c r="AJ49" i="3"/>
  <c r="AJ50" i="3" s="1"/>
  <c r="AJ45" i="3"/>
  <c r="AJ46" i="3" s="1"/>
  <c r="AJ48" i="3"/>
  <c r="AJ44" i="3"/>
  <c r="AJ42" i="3"/>
  <c r="AJ9" i="3"/>
  <c r="AJ7" i="3"/>
  <c r="AH38" i="10"/>
  <c r="AH36" i="10" s="1"/>
  <c r="AL36" i="10" s="1"/>
  <c r="AH32" i="10"/>
  <c r="AH30" i="10" s="1"/>
  <c r="AH26" i="10"/>
  <c r="AL30" i="10" l="1"/>
  <c r="AL77" i="29"/>
  <c r="AT77" i="29"/>
  <c r="AL83" i="29"/>
  <c r="AL81" i="29"/>
  <c r="AL86" i="29"/>
  <c r="AL87" i="29" s="1"/>
  <c r="AJ87" i="29"/>
  <c r="AJ88" i="29"/>
  <c r="AJ89" i="29" s="1"/>
  <c r="AJ84" i="29"/>
  <c r="AJ70" i="29"/>
  <c r="AJ71" i="29" s="1"/>
  <c r="F9" i="25"/>
  <c r="AH40" i="10"/>
  <c r="AQ74" i="12"/>
  <c r="AQ57" i="12"/>
  <c r="AQ47" i="12"/>
  <c r="AQ46" i="12"/>
  <c r="AQ45" i="12"/>
  <c r="AQ44" i="12"/>
  <c r="AQ43" i="12"/>
  <c r="AQ42" i="12"/>
  <c r="AQ39" i="12"/>
  <c r="AQ38" i="12"/>
  <c r="AQ37" i="12"/>
  <c r="AQ4" i="12"/>
  <c r="AQ37" i="11"/>
  <c r="AQ11" i="11"/>
  <c r="AQ8" i="11"/>
  <c r="AQ73" i="10"/>
  <c r="AQ58" i="10"/>
  <c r="AQ57" i="10"/>
  <c r="AQ50" i="10"/>
  <c r="AQ49" i="10"/>
  <c r="AQ48" i="10"/>
  <c r="AQ47" i="10"/>
  <c r="AQ46" i="10"/>
  <c r="AO68" i="3"/>
  <c r="AR60" i="3"/>
  <c r="AQ60" i="3"/>
  <c r="AP60" i="3"/>
  <c r="AO60" i="3"/>
  <c r="AS59" i="3"/>
  <c r="AR52" i="3"/>
  <c r="AQ52" i="3"/>
  <c r="AO45" i="3"/>
  <c r="AO43" i="3"/>
  <c r="AR34" i="3"/>
  <c r="AQ34" i="3"/>
  <c r="AO34" i="3"/>
  <c r="AO25" i="3"/>
  <c r="AR19" i="3"/>
  <c r="AQ19" i="3"/>
  <c r="AP19" i="3"/>
  <c r="AO19" i="3"/>
  <c r="AS18" i="3"/>
  <c r="AR17" i="3"/>
  <c r="AQ17" i="3"/>
  <c r="AP17" i="3"/>
  <c r="AO17" i="3"/>
  <c r="AS16" i="3"/>
  <c r="F5" i="25"/>
  <c r="AQ61" i="10" l="1"/>
  <c r="AQ9" i="12"/>
  <c r="AQ11" i="12"/>
  <c r="AQ10" i="12"/>
  <c r="AL70" i="29"/>
  <c r="AL71" i="29" s="1"/>
  <c r="AL84" i="29"/>
  <c r="AL88" i="29"/>
  <c r="AL89" i="29" s="1"/>
  <c r="AQ72" i="12"/>
  <c r="AO47" i="3"/>
  <c r="AO70" i="3"/>
  <c r="AM23" i="29" s="1"/>
  <c r="AQ50" i="12"/>
  <c r="AO29" i="3"/>
  <c r="AO30" i="3" s="1"/>
  <c r="AQ52" i="10"/>
  <c r="AM24" i="29" l="1"/>
  <c r="AM25" i="29"/>
  <c r="AO73" i="3"/>
  <c r="AO48" i="3"/>
  <c r="AO55" i="3"/>
  <c r="AM15" i="29" s="1"/>
  <c r="AO71" i="3"/>
  <c r="AO37" i="3"/>
  <c r="AM13" i="29" s="1"/>
  <c r="W16" i="26"/>
  <c r="V16" i="26"/>
  <c r="U16" i="26"/>
  <c r="T16" i="26"/>
  <c r="S16" i="26"/>
  <c r="R16" i="26"/>
  <c r="Q16" i="26"/>
  <c r="P16" i="26"/>
  <c r="O16" i="26"/>
  <c r="N16" i="26"/>
  <c r="M16" i="26"/>
  <c r="L16" i="26"/>
  <c r="K16" i="26"/>
  <c r="J16" i="26"/>
  <c r="I16" i="26"/>
  <c r="H16" i="26"/>
  <c r="G16" i="26"/>
  <c r="F16" i="26"/>
  <c r="E16" i="26"/>
  <c r="D16" i="26"/>
  <c r="D36" i="26"/>
  <c r="D22" i="26" l="1"/>
  <c r="D24" i="26"/>
  <c r="D32" i="26"/>
  <c r="G24" i="26"/>
  <c r="G22" i="26"/>
  <c r="G32" i="26"/>
  <c r="K22" i="26"/>
  <c r="K32" i="26"/>
  <c r="K24" i="26"/>
  <c r="U22" i="26"/>
  <c r="U24" i="26"/>
  <c r="U32" i="26"/>
  <c r="E32" i="26"/>
  <c r="E22" i="26"/>
  <c r="E24" i="26"/>
  <c r="I24" i="26"/>
  <c r="I22" i="26"/>
  <c r="I32" i="26"/>
  <c r="L22" i="26"/>
  <c r="L32" i="26"/>
  <c r="L24" i="26"/>
  <c r="N24" i="26"/>
  <c r="N22" i="26"/>
  <c r="N32" i="26"/>
  <c r="V24" i="26"/>
  <c r="V22" i="26"/>
  <c r="V32" i="26"/>
  <c r="T24" i="26"/>
  <c r="T32" i="26"/>
  <c r="T22" i="26"/>
  <c r="P22" i="26"/>
  <c r="P24" i="26"/>
  <c r="P32" i="26"/>
  <c r="H32" i="26"/>
  <c r="H24" i="26"/>
  <c r="H22" i="26"/>
  <c r="Q24" i="26"/>
  <c r="Q22" i="26"/>
  <c r="Q32" i="26"/>
  <c r="F22" i="26"/>
  <c r="F24" i="26"/>
  <c r="F32" i="26"/>
  <c r="J32" i="26"/>
  <c r="J24" i="26"/>
  <c r="J22" i="26"/>
  <c r="M24" i="26"/>
  <c r="M22" i="26"/>
  <c r="M32" i="26"/>
  <c r="O22" i="26"/>
  <c r="O32" i="26"/>
  <c r="O24" i="26"/>
  <c r="R22" i="26"/>
  <c r="R24" i="26"/>
  <c r="R32" i="26"/>
  <c r="S22" i="26"/>
  <c r="S32" i="26"/>
  <c r="S24" i="26"/>
  <c r="W32" i="26"/>
  <c r="W24" i="26"/>
  <c r="W22" i="26"/>
  <c r="P36" i="26"/>
  <c r="X16" i="26"/>
  <c r="Y16" i="26"/>
  <c r="Z16" i="26"/>
  <c r="AA16" i="26"/>
  <c r="AB16" i="26"/>
  <c r="AM14" i="29"/>
  <c r="AM17" i="29"/>
  <c r="AM16" i="29"/>
  <c r="AO49" i="3"/>
  <c r="AO56" i="3"/>
  <c r="G18" i="26"/>
  <c r="O18" i="26"/>
  <c r="W18" i="26"/>
  <c r="K20" i="26"/>
  <c r="S20" i="26"/>
  <c r="AO31" i="3"/>
  <c r="AO62" i="3"/>
  <c r="AO38" i="3"/>
  <c r="I18" i="26"/>
  <c r="Q18" i="26"/>
  <c r="E20" i="26"/>
  <c r="U20" i="26"/>
  <c r="K18" i="26"/>
  <c r="S18" i="26"/>
  <c r="G20" i="26"/>
  <c r="H20" i="26" s="1"/>
  <c r="O20" i="26"/>
  <c r="E18" i="26"/>
  <c r="M18" i="26"/>
  <c r="U18" i="26"/>
  <c r="I20" i="26"/>
  <c r="Q20" i="26"/>
  <c r="R20" i="26" s="1"/>
  <c r="D18" i="26"/>
  <c r="H18" i="26"/>
  <c r="L18" i="26"/>
  <c r="P18" i="26"/>
  <c r="T18" i="26"/>
  <c r="D20" i="26"/>
  <c r="L20" i="26"/>
  <c r="M20" i="26" s="1"/>
  <c r="P20" i="26"/>
  <c r="T20" i="26"/>
  <c r="F18" i="26"/>
  <c r="J18" i="26"/>
  <c r="N18" i="26"/>
  <c r="R18" i="26"/>
  <c r="V18" i="26"/>
  <c r="F20" i="26"/>
  <c r="J20" i="26"/>
  <c r="N20" i="26"/>
  <c r="V20" i="26"/>
  <c r="W20" i="26" s="1"/>
  <c r="U26" i="26"/>
  <c r="R34" i="26"/>
  <c r="T34" i="26"/>
  <c r="K30" i="26"/>
  <c r="F26" i="26"/>
  <c r="S36" i="26"/>
  <c r="N34" i="26"/>
  <c r="P28" i="26"/>
  <c r="J34" i="26"/>
  <c r="N30" i="26"/>
  <c r="F36" i="26"/>
  <c r="W34" i="26"/>
  <c r="G34" i="26"/>
  <c r="I30" i="26"/>
  <c r="J36" i="26"/>
  <c r="E26" i="26"/>
  <c r="I28" i="26"/>
  <c r="I34" i="26"/>
  <c r="K36" i="26"/>
  <c r="J30" i="26"/>
  <c r="D34" i="26"/>
  <c r="F30" i="26"/>
  <c r="O30" i="26"/>
  <c r="L36" i="26"/>
  <c r="V30" i="26"/>
  <c r="D26" i="26"/>
  <c r="T36" i="26"/>
  <c r="L30" i="26"/>
  <c r="V34" i="26"/>
  <c r="H34" i="26"/>
  <c r="N28" i="26"/>
  <c r="W26" i="26"/>
  <c r="U30" i="26"/>
  <c r="R36" i="26"/>
  <c r="J28" i="26"/>
  <c r="L26" i="26"/>
  <c r="E30" i="26"/>
  <c r="F28" i="26"/>
  <c r="D28" i="26"/>
  <c r="K28" i="26"/>
  <c r="R28" i="26"/>
  <c r="K26" i="26"/>
  <c r="U28" i="26"/>
  <c r="O34" i="26"/>
  <c r="V26" i="26"/>
  <c r="Q30" i="26"/>
  <c r="H30" i="26"/>
  <c r="S34" i="26"/>
  <c r="W28" i="26"/>
  <c r="V28" i="26"/>
  <c r="Q28" i="26"/>
  <c r="M26" i="26"/>
  <c r="V36" i="26"/>
  <c r="L34" i="26"/>
  <c r="S26" i="26"/>
  <c r="O26" i="26"/>
  <c r="O28" i="26"/>
  <c r="M30" i="26"/>
  <c r="H36" i="26"/>
  <c r="J26" i="26"/>
  <c r="K34" i="26"/>
  <c r="Q34" i="26"/>
  <c r="H28" i="26"/>
  <c r="G36" i="26"/>
  <c r="P34" i="26"/>
  <c r="T30" i="26"/>
  <c r="P26" i="26"/>
  <c r="P30" i="26"/>
  <c r="E28" i="26"/>
  <c r="S30" i="26"/>
  <c r="T26" i="26"/>
  <c r="O36" i="26"/>
  <c r="W36" i="26"/>
  <c r="G30" i="26"/>
  <c r="G26" i="26"/>
  <c r="W30" i="26"/>
  <c r="M36" i="26"/>
  <c r="Q26" i="26"/>
  <c r="I36" i="26"/>
  <c r="U36" i="26"/>
  <c r="N36" i="26"/>
  <c r="T28" i="26"/>
  <c r="H26" i="26"/>
  <c r="E34" i="26"/>
  <c r="D30" i="26"/>
  <c r="R26" i="26"/>
  <c r="I26" i="26"/>
  <c r="L28" i="26"/>
  <c r="U34" i="26"/>
  <c r="G28" i="26"/>
  <c r="S28" i="26"/>
  <c r="M34" i="26"/>
  <c r="Q36" i="26"/>
  <c r="E36" i="26"/>
  <c r="N26" i="26"/>
  <c r="R30" i="26"/>
  <c r="M28" i="26"/>
  <c r="F34" i="26"/>
  <c r="AB22" i="26" l="1"/>
  <c r="AB32" i="26"/>
  <c r="AB24" i="26"/>
  <c r="AA24" i="26"/>
  <c r="AA22" i="26"/>
  <c r="AA32" i="26"/>
  <c r="Z22" i="26"/>
  <c r="Z32" i="26"/>
  <c r="Z24" i="26"/>
  <c r="Y22" i="26"/>
  <c r="Y32" i="26"/>
  <c r="Y24" i="26"/>
  <c r="X32" i="26"/>
  <c r="X22" i="26"/>
  <c r="X24" i="26"/>
  <c r="AG16" i="26"/>
  <c r="AF16" i="26"/>
  <c r="AE16" i="26"/>
  <c r="AD16" i="26"/>
  <c r="AC16" i="26"/>
  <c r="Y20" i="26"/>
  <c r="Y18" i="26"/>
  <c r="AA20" i="26"/>
  <c r="AB20" i="26" s="1"/>
  <c r="AA18" i="26"/>
  <c r="AB18" i="26"/>
  <c r="X20" i="26"/>
  <c r="X18" i="26"/>
  <c r="Z20" i="26"/>
  <c r="Z18" i="26"/>
  <c r="AM19" i="29"/>
  <c r="AM18" i="29"/>
  <c r="AF92" i="10"/>
  <c r="E26" i="18"/>
  <c r="F26" i="18"/>
  <c r="G26" i="18"/>
  <c r="H26" i="18"/>
  <c r="L27" i="18" s="1"/>
  <c r="I26" i="18"/>
  <c r="J26" i="18"/>
  <c r="E14" i="18"/>
  <c r="F14" i="18"/>
  <c r="G14" i="18"/>
  <c r="H14" i="18"/>
  <c r="L15" i="18" s="1"/>
  <c r="I14" i="18"/>
  <c r="J14" i="18"/>
  <c r="AN79" i="3"/>
  <c r="AJ79" i="3"/>
  <c r="K20" i="18"/>
  <c r="K8" i="18"/>
  <c r="K29" i="18"/>
  <c r="K17" i="18"/>
  <c r="AL74" i="12"/>
  <c r="AB74" i="12"/>
  <c r="AG74" i="12"/>
  <c r="AF50" i="12"/>
  <c r="AF73" i="11"/>
  <c r="AF72" i="11"/>
  <c r="AF71" i="11"/>
  <c r="AF70" i="11"/>
  <c r="AF69" i="11"/>
  <c r="AF68" i="11"/>
  <c r="AF67" i="11"/>
  <c r="AF64" i="11"/>
  <c r="AF63" i="11"/>
  <c r="AF62" i="11"/>
  <c r="AF61" i="11"/>
  <c r="AF60" i="11"/>
  <c r="AH77" i="3"/>
  <c r="AH68" i="3"/>
  <c r="AM69" i="3" s="1"/>
  <c r="AH62" i="3"/>
  <c r="AM63" i="3" s="1"/>
  <c r="AH51" i="3"/>
  <c r="AM52" i="3" s="1"/>
  <c r="AH45" i="3"/>
  <c r="AH44" i="3"/>
  <c r="AH42" i="3"/>
  <c r="AH33" i="3"/>
  <c r="AM34" i="3" s="1"/>
  <c r="AH27" i="3"/>
  <c r="AM28" i="3" s="1"/>
  <c r="AH26" i="3"/>
  <c r="AH7" i="3"/>
  <c r="AF67" i="10"/>
  <c r="AF38" i="10"/>
  <c r="AF36" i="10" s="1"/>
  <c r="AF37" i="10" s="1"/>
  <c r="AF32" i="10"/>
  <c r="AF30" i="10" s="1"/>
  <c r="AF31" i="10" s="1"/>
  <c r="AF26" i="10"/>
  <c r="AF21" i="10"/>
  <c r="AC28" i="26"/>
  <c r="X26" i="26"/>
  <c r="AA30" i="26"/>
  <c r="X30" i="26"/>
  <c r="Z30" i="26"/>
  <c r="Y36" i="26"/>
  <c r="AA28" i="26"/>
  <c r="AF26" i="26"/>
  <c r="Z36" i="26"/>
  <c r="Z26" i="26"/>
  <c r="AA26" i="26"/>
  <c r="AB36" i="26"/>
  <c r="Y30" i="26"/>
  <c r="AB26" i="26"/>
  <c r="AB28" i="26"/>
  <c r="AA34" i="26"/>
  <c r="X36" i="26"/>
  <c r="Y28" i="26"/>
  <c r="AC30" i="26"/>
  <c r="AE30" i="26"/>
  <c r="Y26" i="26"/>
  <c r="Y34" i="26"/>
  <c r="X28" i="26"/>
  <c r="AB30" i="26"/>
  <c r="Z34" i="26"/>
  <c r="AB34" i="26"/>
  <c r="AA36" i="26"/>
  <c r="Z28" i="26"/>
  <c r="X34" i="26"/>
  <c r="AC32" i="26" l="1"/>
  <c r="AC22" i="26"/>
  <c r="AC24" i="26"/>
  <c r="AD18" i="26"/>
  <c r="AD32" i="26"/>
  <c r="AD24" i="26"/>
  <c r="AD22" i="26"/>
  <c r="AE20" i="26"/>
  <c r="AE22" i="26"/>
  <c r="AE24" i="26"/>
  <c r="AE32" i="26"/>
  <c r="AF20" i="26"/>
  <c r="AG20" i="26" s="1"/>
  <c r="AF32" i="26"/>
  <c r="AF24" i="26"/>
  <c r="AF22" i="26"/>
  <c r="AG18" i="26"/>
  <c r="AG32" i="26"/>
  <c r="AG22" i="26"/>
  <c r="AG24" i="26"/>
  <c r="AC34" i="26"/>
  <c r="AE36" i="26"/>
  <c r="AC26" i="26"/>
  <c r="AD30" i="26"/>
  <c r="AG36" i="26"/>
  <c r="AC36" i="26"/>
  <c r="AC20" i="26"/>
  <c r="AD20" i="26"/>
  <c r="AF18" i="26"/>
  <c r="AC18" i="26"/>
  <c r="AE18" i="26"/>
  <c r="AM78" i="3"/>
  <c r="AF2" i="29"/>
  <c r="AH46" i="3"/>
  <c r="AM46" i="3"/>
  <c r="AF27" i="10"/>
  <c r="AF33" i="10"/>
  <c r="AF39" i="10"/>
  <c r="K21" i="18"/>
  <c r="L21" i="18"/>
  <c r="K11" i="18"/>
  <c r="L9" i="18"/>
  <c r="I27" i="18"/>
  <c r="J27" i="18"/>
  <c r="J15" i="18"/>
  <c r="I15" i="18"/>
  <c r="K26" i="18"/>
  <c r="K14" i="18"/>
  <c r="K15" i="18" s="1"/>
  <c r="K23" i="18"/>
  <c r="K9" i="18"/>
  <c r="AF40" i="10"/>
  <c r="AD36" i="26"/>
  <c r="AE34" i="26"/>
  <c r="AG34" i="26"/>
  <c r="AF34" i="26"/>
  <c r="AG26" i="26"/>
  <c r="AF30" i="26"/>
  <c r="AD26" i="26"/>
  <c r="AG30" i="26"/>
  <c r="AD34" i="26"/>
  <c r="AF28" i="26"/>
  <c r="AG28" i="26"/>
  <c r="AE26" i="26"/>
  <c r="AF36" i="26"/>
  <c r="AE28" i="26"/>
  <c r="AD28" i="26"/>
  <c r="K27" i="18" l="1"/>
  <c r="AL4" i="12" l="1"/>
  <c r="AJ4" i="12"/>
  <c r="AI4" i="12"/>
  <c r="AH4" i="12"/>
  <c r="AL4" i="11"/>
  <c r="AJ4" i="11"/>
  <c r="AI4" i="11"/>
  <c r="AL58" i="10" l="1"/>
  <c r="AL57" i="10"/>
  <c r="AG57" i="10"/>
  <c r="AG85" i="10"/>
  <c r="AL61" i="10" l="1"/>
  <c r="AG84" i="10"/>
  <c r="AL85" i="10" l="1"/>
  <c r="AE92" i="10"/>
  <c r="AL84" i="10" l="1"/>
  <c r="AL47" i="12" l="1"/>
  <c r="AL46" i="12"/>
  <c r="AL45" i="12"/>
  <c r="AL44" i="12"/>
  <c r="AL43" i="12"/>
  <c r="AL42" i="12"/>
  <c r="AL39" i="12"/>
  <c r="AL38" i="12"/>
  <c r="AL37" i="12"/>
  <c r="AQ85" i="10" l="1"/>
  <c r="O71" i="3"/>
  <c r="N71" i="3"/>
  <c r="M71" i="3"/>
  <c r="L71" i="3"/>
  <c r="K71" i="3"/>
  <c r="X23" i="26" l="1"/>
  <c r="AQ84" i="10"/>
  <c r="J68" i="3"/>
  <c r="O68" i="3"/>
  <c r="AC68" i="3"/>
  <c r="Y23" i="26" l="1"/>
  <c r="K38" i="24"/>
  <c r="K41" i="24"/>
  <c r="AT79" i="10"/>
  <c r="Z23" i="26" s="1"/>
  <c r="AH69" i="3"/>
  <c r="S68" i="3"/>
  <c r="X68" i="3"/>
  <c r="W68" i="3"/>
  <c r="V68" i="3"/>
  <c r="U68" i="3"/>
  <c r="AE68" i="3"/>
  <c r="AJ69" i="3" s="1"/>
  <c r="AF68" i="3"/>
  <c r="AG68" i="3"/>
  <c r="M74" i="3"/>
  <c r="M68" i="3" s="1"/>
  <c r="H41" i="24" l="1"/>
  <c r="E41" i="24"/>
  <c r="H38" i="24"/>
  <c r="E38" i="24"/>
  <c r="AV85" i="10"/>
  <c r="AV79" i="10" s="1"/>
  <c r="AW85" i="10"/>
  <c r="AW84" i="10" s="1"/>
  <c r="K39" i="24"/>
  <c r="AU79" i="10"/>
  <c r="J11" i="18"/>
  <c r="AC51" i="3"/>
  <c r="AB51" i="3"/>
  <c r="AA51" i="3"/>
  <c r="Z51" i="3"/>
  <c r="AE51" i="3"/>
  <c r="AJ52" i="3" s="1"/>
  <c r="AG51" i="3"/>
  <c r="N33" i="3"/>
  <c r="M33" i="3"/>
  <c r="L33" i="3"/>
  <c r="K33" i="3"/>
  <c r="S33" i="3"/>
  <c r="R33" i="3"/>
  <c r="Q33" i="3"/>
  <c r="P33" i="3"/>
  <c r="X33" i="3"/>
  <c r="W33" i="3"/>
  <c r="V33" i="3"/>
  <c r="AC33" i="3"/>
  <c r="AB33" i="3"/>
  <c r="AA33" i="3"/>
  <c r="Z33" i="3"/>
  <c r="AE33" i="3"/>
  <c r="AF51" i="3"/>
  <c r="AF33" i="3"/>
  <c r="AG33" i="3"/>
  <c r="AL34" i="3" s="1"/>
  <c r="AO41" i="3"/>
  <c r="Z53" i="3"/>
  <c r="AA53" i="3"/>
  <c r="AB53" i="3"/>
  <c r="AC53" i="3"/>
  <c r="AE53" i="3"/>
  <c r="AJ54" i="3" s="1"/>
  <c r="AF53" i="3"/>
  <c r="AG53" i="3"/>
  <c r="AG42" i="3"/>
  <c r="AF42" i="3"/>
  <c r="AE42" i="3"/>
  <c r="AC42" i="3"/>
  <c r="AB42" i="3"/>
  <c r="AA42" i="3"/>
  <c r="N51" i="3"/>
  <c r="M51" i="3"/>
  <c r="L51" i="3"/>
  <c r="K51" i="3"/>
  <c r="N35" i="3"/>
  <c r="M35" i="3"/>
  <c r="L35" i="3"/>
  <c r="K35" i="3"/>
  <c r="S35" i="3"/>
  <c r="R35" i="3"/>
  <c r="Q35" i="3"/>
  <c r="P35" i="3"/>
  <c r="X35" i="3"/>
  <c r="W35" i="3"/>
  <c r="V35" i="3"/>
  <c r="U35" i="3"/>
  <c r="AA35" i="3"/>
  <c r="Z35" i="3"/>
  <c r="AG31" i="3"/>
  <c r="AI79" i="3"/>
  <c r="AG19" i="3"/>
  <c r="AN16" i="3"/>
  <c r="AS17" i="3" s="1"/>
  <c r="AI16" i="3"/>
  <c r="AL17" i="3"/>
  <c r="AK17" i="3"/>
  <c r="AJ17" i="3"/>
  <c r="AH17" i="3"/>
  <c r="AG17" i="3"/>
  <c r="AF17" i="3"/>
  <c r="AD16" i="3"/>
  <c r="H39" i="24" l="1"/>
  <c r="E39" i="24"/>
  <c r="AX85" i="10"/>
  <c r="AX84" i="10" s="1"/>
  <c r="AW79" i="10"/>
  <c r="AT81" i="10"/>
  <c r="AB23" i="26"/>
  <c r="AA23" i="26"/>
  <c r="AP41" i="3"/>
  <c r="AO53" i="3"/>
  <c r="AO54" i="3" s="1"/>
  <c r="Z36" i="3"/>
  <c r="P34" i="3"/>
  <c r="AA36" i="3"/>
  <c r="U36" i="3"/>
  <c r="AE34" i="3"/>
  <c r="P36" i="3"/>
  <c r="AB34" i="3"/>
  <c r="S34" i="3"/>
  <c r="U34" i="3"/>
  <c r="R36" i="3"/>
  <c r="R34" i="3"/>
  <c r="AF52" i="3"/>
  <c r="AG54" i="3"/>
  <c r="AF54" i="3"/>
  <c r="AE54" i="3"/>
  <c r="AE52" i="3"/>
  <c r="AG52" i="3"/>
  <c r="V36" i="3"/>
  <c r="S36" i="3"/>
  <c r="Q36" i="3"/>
  <c r="W36" i="3"/>
  <c r="X36" i="3"/>
  <c r="Q34" i="3"/>
  <c r="W34" i="3"/>
  <c r="X34" i="3"/>
  <c r="V34" i="3"/>
  <c r="Z34" i="3"/>
  <c r="AA34" i="3"/>
  <c r="AC34" i="3"/>
  <c r="AG34" i="3"/>
  <c r="AF34" i="3"/>
  <c r="AN17" i="3"/>
  <c r="AI17" i="3"/>
  <c r="AE83" i="12"/>
  <c r="AE72" i="12"/>
  <c r="AE50" i="12"/>
  <c r="AE8" i="11"/>
  <c r="AE14" i="11" s="1"/>
  <c r="AE20" i="11" s="1"/>
  <c r="AE67" i="10"/>
  <c r="AE52" i="10"/>
  <c r="AE38" i="10"/>
  <c r="AE36" i="10" s="1"/>
  <c r="AE37" i="10" s="1"/>
  <c r="AE32" i="10"/>
  <c r="AE30" i="10" s="1"/>
  <c r="AE31" i="10" s="1"/>
  <c r="AE26" i="10"/>
  <c r="AE21" i="10"/>
  <c r="J29" i="18"/>
  <c r="I29" i="18"/>
  <c r="M30" i="18" s="1"/>
  <c r="H29" i="18"/>
  <c r="L30" i="18" s="1"/>
  <c r="G29" i="18"/>
  <c r="K30" i="18" s="1"/>
  <c r="F29" i="18"/>
  <c r="E29" i="18"/>
  <c r="J23" i="18"/>
  <c r="I23" i="18"/>
  <c r="H23" i="18"/>
  <c r="G23" i="18"/>
  <c r="F23" i="18"/>
  <c r="E23" i="18"/>
  <c r="J21" i="18"/>
  <c r="I21" i="18"/>
  <c r="H21" i="18"/>
  <c r="G21" i="18"/>
  <c r="F21" i="18"/>
  <c r="J17" i="18"/>
  <c r="I17" i="18"/>
  <c r="M18" i="18" s="1"/>
  <c r="H17" i="18"/>
  <c r="L18" i="18" s="1"/>
  <c r="G17" i="18"/>
  <c r="K18" i="18" s="1"/>
  <c r="F17" i="18"/>
  <c r="E17" i="18"/>
  <c r="I11" i="18"/>
  <c r="H11" i="18"/>
  <c r="G11" i="18"/>
  <c r="F11" i="18"/>
  <c r="E11" i="18"/>
  <c r="J9" i="18"/>
  <c r="I9" i="18"/>
  <c r="H9" i="18"/>
  <c r="G9" i="18"/>
  <c r="F9" i="18"/>
  <c r="AG49" i="3"/>
  <c r="AG45" i="3"/>
  <c r="AG46" i="3" s="1"/>
  <c r="AG27" i="3"/>
  <c r="AG44" i="3"/>
  <c r="AG26" i="3"/>
  <c r="AG9" i="3"/>
  <c r="AG7" i="3"/>
  <c r="AW80" i="10" l="1"/>
  <c r="AC23" i="26"/>
  <c r="AY85" i="10"/>
  <c r="AY84" i="10" s="1"/>
  <c r="AX79" i="10"/>
  <c r="AV84" i="10"/>
  <c r="AU81" i="10"/>
  <c r="J30" i="18"/>
  <c r="I18" i="18"/>
  <c r="J18" i="18"/>
  <c r="I30" i="18"/>
  <c r="AQ41" i="3"/>
  <c r="AE40" i="10"/>
  <c r="AX80" i="10" l="1"/>
  <c r="AD23" i="26"/>
  <c r="AV81" i="10"/>
  <c r="AZ85" i="10"/>
  <c r="AZ84" i="10" s="1"/>
  <c r="AY79" i="10"/>
  <c r="AR41" i="3"/>
  <c r="AG37" i="11"/>
  <c r="AL37" i="11"/>
  <c r="AG35" i="11"/>
  <c r="AH35" i="11" s="1"/>
  <c r="AI35" i="11" s="1"/>
  <c r="AL35" i="11" s="1"/>
  <c r="AQ35" i="11" s="1"/>
  <c r="AT35" i="11" s="1"/>
  <c r="AU35" i="11" s="1"/>
  <c r="AV35" i="11" s="1"/>
  <c r="AW35" i="11" s="1"/>
  <c r="AX35" i="11" s="1"/>
  <c r="AY35" i="11" s="1"/>
  <c r="AZ35" i="11" s="1"/>
  <c r="BA35" i="11" s="1"/>
  <c r="AY80" i="10" l="1"/>
  <c r="AE23" i="26"/>
  <c r="AZ79" i="10"/>
  <c r="BA85" i="10"/>
  <c r="BA79" i="10" s="1"/>
  <c r="AW81" i="10"/>
  <c r="AW82" i="10" s="1"/>
  <c r="Z53" i="11"/>
  <c r="Y53" i="11"/>
  <c r="AD53" i="11"/>
  <c r="AL70" i="12"/>
  <c r="AL69" i="12"/>
  <c r="AL57" i="12"/>
  <c r="AJ50" i="12"/>
  <c r="AI50" i="12"/>
  <c r="AH50" i="12"/>
  <c r="AL11" i="11"/>
  <c r="AJ8" i="11"/>
  <c r="AL8" i="11" s="1"/>
  <c r="AF49" i="3"/>
  <c r="AR45" i="3"/>
  <c r="AQ43" i="3"/>
  <c r="AP43" i="3"/>
  <c r="AG15" i="11"/>
  <c r="AL15" i="11" s="1"/>
  <c r="AQ15" i="11" s="1"/>
  <c r="AT15" i="11" s="1"/>
  <c r="AU15" i="11" s="1"/>
  <c r="AV15" i="11" s="1"/>
  <c r="AW15" i="11" s="1"/>
  <c r="AX15" i="11" s="1"/>
  <c r="AY15" i="11" s="1"/>
  <c r="AZ15" i="11" s="1"/>
  <c r="BA15" i="11" s="1"/>
  <c r="AC50" i="12"/>
  <c r="AD50" i="12"/>
  <c r="G83" i="12"/>
  <c r="F83" i="12"/>
  <c r="E83" i="12"/>
  <c r="D83" i="12"/>
  <c r="L83" i="12"/>
  <c r="K83" i="12"/>
  <c r="J83" i="12"/>
  <c r="I83" i="12"/>
  <c r="Q83" i="12"/>
  <c r="P83" i="12"/>
  <c r="O83" i="12"/>
  <c r="N83" i="12"/>
  <c r="V83" i="12"/>
  <c r="U83" i="12"/>
  <c r="T83" i="12"/>
  <c r="S83" i="12"/>
  <c r="AA83" i="12"/>
  <c r="Z83" i="12"/>
  <c r="Y83" i="12"/>
  <c r="X83" i="12"/>
  <c r="AC83" i="12"/>
  <c r="AD83" i="12"/>
  <c r="AF11" i="12"/>
  <c r="AG11" i="12" s="1"/>
  <c r="AF10" i="12"/>
  <c r="AG10" i="12" s="1"/>
  <c r="W78" i="12"/>
  <c r="S78" i="12"/>
  <c r="H78" i="12"/>
  <c r="AD72" i="12"/>
  <c r="AC72" i="12"/>
  <c r="Z72" i="12"/>
  <c r="Y72" i="12"/>
  <c r="X72" i="12"/>
  <c r="V72" i="12"/>
  <c r="U72" i="12"/>
  <c r="T72" i="12"/>
  <c r="Q72" i="12"/>
  <c r="P72" i="12"/>
  <c r="O72" i="12"/>
  <c r="N72" i="12"/>
  <c r="L72" i="12"/>
  <c r="K72" i="12"/>
  <c r="J72" i="12"/>
  <c r="I72" i="12"/>
  <c r="G72" i="12"/>
  <c r="F72" i="12"/>
  <c r="E72" i="12"/>
  <c r="D72" i="12"/>
  <c r="AA69" i="12"/>
  <c r="S62" i="12"/>
  <c r="AF72" i="12"/>
  <c r="AB57" i="12"/>
  <c r="AA50" i="12"/>
  <c r="Z50" i="12"/>
  <c r="Y50" i="12"/>
  <c r="X50" i="12"/>
  <c r="U50" i="12"/>
  <c r="T50" i="12"/>
  <c r="Q50" i="12"/>
  <c r="P50" i="12"/>
  <c r="O50" i="12"/>
  <c r="N50" i="12"/>
  <c r="L50" i="12"/>
  <c r="K50" i="12"/>
  <c r="J50" i="12"/>
  <c r="I50" i="12"/>
  <c r="G50" i="12"/>
  <c r="F50" i="12"/>
  <c r="E50" i="12"/>
  <c r="D50" i="12"/>
  <c r="S42" i="12"/>
  <c r="W42" i="12" s="1"/>
  <c r="W50" i="12" s="1"/>
  <c r="M32" i="12"/>
  <c r="H32" i="12"/>
  <c r="M31" i="12"/>
  <c r="H31" i="12"/>
  <c r="M29" i="12"/>
  <c r="H29" i="12"/>
  <c r="M28" i="12"/>
  <c r="H28" i="12"/>
  <c r="M27" i="12"/>
  <c r="H27" i="12"/>
  <c r="M26" i="12"/>
  <c r="H26" i="12"/>
  <c r="M25" i="12"/>
  <c r="H25" i="12"/>
  <c r="M24" i="12"/>
  <c r="H24" i="12"/>
  <c r="M22" i="12"/>
  <c r="H22" i="12"/>
  <c r="M20" i="12"/>
  <c r="H20" i="12"/>
  <c r="M19" i="12"/>
  <c r="H19" i="12"/>
  <c r="M14" i="12"/>
  <c r="H14" i="12"/>
  <c r="M9" i="12"/>
  <c r="H9" i="12"/>
  <c r="R11" i="12"/>
  <c r="M11" i="12"/>
  <c r="H11" i="12"/>
  <c r="AG10" i="11"/>
  <c r="AL10" i="11" s="1"/>
  <c r="AQ10" i="11" s="1"/>
  <c r="AT10" i="11" s="1"/>
  <c r="AU10" i="11" s="1"/>
  <c r="AV10" i="11" s="1"/>
  <c r="AW10" i="11" s="1"/>
  <c r="AX10" i="11" s="1"/>
  <c r="AY10" i="11" s="1"/>
  <c r="AZ10" i="11" s="1"/>
  <c r="BA10" i="11" s="1"/>
  <c r="Z73" i="11"/>
  <c r="Y73" i="11"/>
  <c r="Z72" i="11"/>
  <c r="Y72" i="11"/>
  <c r="Z71" i="11"/>
  <c r="Y71" i="11"/>
  <c r="Z70" i="11"/>
  <c r="Y70" i="11"/>
  <c r="Z69" i="11"/>
  <c r="Y69" i="11"/>
  <c r="Z68" i="11"/>
  <c r="Y68" i="11"/>
  <c r="Z67" i="11"/>
  <c r="Y67" i="11"/>
  <c r="AD73" i="11"/>
  <c r="AD72" i="11"/>
  <c r="AD71" i="11"/>
  <c r="AD70" i="11"/>
  <c r="AD69" i="11"/>
  <c r="AD68" i="11"/>
  <c r="AD67" i="11"/>
  <c r="AD60" i="11"/>
  <c r="Z64" i="11"/>
  <c r="Y64" i="11"/>
  <c r="Z63" i="11"/>
  <c r="Y63" i="11"/>
  <c r="Z62" i="11"/>
  <c r="Y62" i="11"/>
  <c r="Z61" i="11"/>
  <c r="Y61" i="11"/>
  <c r="Z60" i="11"/>
  <c r="Y60" i="11"/>
  <c r="AD64" i="11"/>
  <c r="AD63" i="11"/>
  <c r="AD62" i="11"/>
  <c r="AD61" i="11"/>
  <c r="AD51" i="11"/>
  <c r="Z51" i="11"/>
  <c r="Y51" i="11"/>
  <c r="AC55" i="11"/>
  <c r="X55" i="11"/>
  <c r="U55" i="11"/>
  <c r="T55" i="11"/>
  <c r="S55" i="11"/>
  <c r="Q55" i="11"/>
  <c r="P55" i="11"/>
  <c r="O55" i="11"/>
  <c r="N55" i="11"/>
  <c r="L55" i="11"/>
  <c r="K55" i="11"/>
  <c r="J55" i="11"/>
  <c r="I55" i="11"/>
  <c r="G55" i="11"/>
  <c r="F55" i="11"/>
  <c r="E55" i="11"/>
  <c r="D55" i="11"/>
  <c r="AA41" i="11"/>
  <c r="AB41" i="11" s="1"/>
  <c r="AC41" i="11" s="1"/>
  <c r="AD41" i="11" s="1"/>
  <c r="M41" i="11"/>
  <c r="N41" i="11" s="1"/>
  <c r="O41" i="11" s="1"/>
  <c r="P41" i="11" s="1"/>
  <c r="Q41" i="11" s="1"/>
  <c r="R41" i="11" s="1"/>
  <c r="S41" i="11" s="1"/>
  <c r="T41" i="11" s="1"/>
  <c r="U41" i="11" s="1"/>
  <c r="V41" i="11" s="1"/>
  <c r="W41" i="11" s="1"/>
  <c r="X41" i="11" s="1"/>
  <c r="Y41" i="11" s="1"/>
  <c r="H41" i="11"/>
  <c r="AB38" i="11"/>
  <c r="W38" i="11"/>
  <c r="R38" i="11"/>
  <c r="M38" i="11"/>
  <c r="H38" i="11"/>
  <c r="AB37" i="11"/>
  <c r="W37" i="11"/>
  <c r="AG36" i="11"/>
  <c r="AL36" i="11" s="1"/>
  <c r="AQ36" i="11" s="1"/>
  <c r="AT36" i="11" s="1"/>
  <c r="AU36" i="11" s="1"/>
  <c r="AV36" i="11" s="1"/>
  <c r="AW36" i="11" s="1"/>
  <c r="AX36" i="11" s="1"/>
  <c r="AY36" i="11" s="1"/>
  <c r="AZ36" i="11" s="1"/>
  <c r="BA36" i="11" s="1"/>
  <c r="AB36" i="11"/>
  <c r="W36" i="11"/>
  <c r="O36" i="11"/>
  <c r="P36" i="11" s="1"/>
  <c r="Q36" i="11" s="1"/>
  <c r="R36" i="11" s="1"/>
  <c r="S36" i="11" s="1"/>
  <c r="M36" i="11"/>
  <c r="H36" i="11"/>
  <c r="AB35" i="11"/>
  <c r="W35" i="11"/>
  <c r="AB34" i="11"/>
  <c r="W34" i="11"/>
  <c r="AB33" i="11"/>
  <c r="R33" i="11"/>
  <c r="M33" i="11"/>
  <c r="H33" i="11"/>
  <c r="O32" i="11"/>
  <c r="N32" i="11"/>
  <c r="N39" i="11" s="1"/>
  <c r="L32" i="11"/>
  <c r="L39" i="11" s="1"/>
  <c r="K32" i="11"/>
  <c r="K39" i="11" s="1"/>
  <c r="J32" i="11"/>
  <c r="J39" i="11" s="1"/>
  <c r="I32" i="11"/>
  <c r="I39" i="11" s="1"/>
  <c r="G32" i="11"/>
  <c r="G39" i="11" s="1"/>
  <c r="F32" i="11"/>
  <c r="F39" i="11" s="1"/>
  <c r="E32" i="11"/>
  <c r="E39" i="11" s="1"/>
  <c r="D32" i="11"/>
  <c r="D39" i="11" s="1"/>
  <c r="AB31" i="11"/>
  <c r="W31" i="11"/>
  <c r="R31" i="11"/>
  <c r="M31" i="11"/>
  <c r="H31" i="11"/>
  <c r="AB30" i="11"/>
  <c r="AD28" i="11"/>
  <c r="Y28" i="11"/>
  <c r="Y55" i="11" s="1"/>
  <c r="V28" i="11"/>
  <c r="V55" i="11" s="1"/>
  <c r="R28" i="11"/>
  <c r="M28" i="11"/>
  <c r="H28" i="11"/>
  <c r="AB25" i="11"/>
  <c r="W25" i="11"/>
  <c r="R25" i="11"/>
  <c r="M25" i="11"/>
  <c r="H25" i="11"/>
  <c r="P27" i="11"/>
  <c r="P32" i="11" s="1"/>
  <c r="M27" i="11"/>
  <c r="H27" i="11"/>
  <c r="AB26" i="11"/>
  <c r="W26" i="11"/>
  <c r="R26" i="11"/>
  <c r="M26" i="11"/>
  <c r="H26" i="11"/>
  <c r="AB24" i="11"/>
  <c r="W24" i="11"/>
  <c r="R24" i="11"/>
  <c r="M24" i="11"/>
  <c r="H24" i="11"/>
  <c r="AB23" i="11"/>
  <c r="W23" i="11"/>
  <c r="R23" i="11"/>
  <c r="M23" i="11"/>
  <c r="H23" i="11"/>
  <c r="AB19" i="11"/>
  <c r="W19" i="11"/>
  <c r="R19" i="11"/>
  <c r="M19" i="11"/>
  <c r="H19" i="11"/>
  <c r="AG18" i="11"/>
  <c r="AL18" i="11" s="1"/>
  <c r="AQ18" i="11" s="1"/>
  <c r="AT18" i="11" s="1"/>
  <c r="AU18" i="11" s="1"/>
  <c r="AV18" i="11" s="1"/>
  <c r="AW18" i="11" s="1"/>
  <c r="AX18" i="11" s="1"/>
  <c r="AY18" i="11" s="1"/>
  <c r="AZ18" i="11" s="1"/>
  <c r="BA18" i="11" s="1"/>
  <c r="AB18" i="11"/>
  <c r="W18" i="11"/>
  <c r="AG17" i="11"/>
  <c r="AL17" i="11" s="1"/>
  <c r="AQ17" i="11" s="1"/>
  <c r="AT17" i="11" s="1"/>
  <c r="AU17" i="11" s="1"/>
  <c r="AV17" i="11" s="1"/>
  <c r="AW17" i="11" s="1"/>
  <c r="AX17" i="11" s="1"/>
  <c r="AY17" i="11" s="1"/>
  <c r="AZ17" i="11" s="1"/>
  <c r="BA17" i="11" s="1"/>
  <c r="AB17" i="11"/>
  <c r="W17" i="11"/>
  <c r="AB16" i="11"/>
  <c r="W16" i="11"/>
  <c r="R16" i="11"/>
  <c r="M16" i="11"/>
  <c r="H16" i="11"/>
  <c r="AB15" i="11"/>
  <c r="W15" i="11"/>
  <c r="AD14" i="11"/>
  <c r="AD20" i="11" s="1"/>
  <c r="O14" i="11"/>
  <c r="O20" i="11" s="1"/>
  <c r="N14" i="11"/>
  <c r="N20" i="11" s="1"/>
  <c r="L14" i="11"/>
  <c r="L20" i="11" s="1"/>
  <c r="K14" i="11"/>
  <c r="K20" i="11" s="1"/>
  <c r="J14" i="11"/>
  <c r="J20" i="11" s="1"/>
  <c r="I14" i="11"/>
  <c r="I20" i="11" s="1"/>
  <c r="G14" i="11"/>
  <c r="G20" i="11" s="1"/>
  <c r="F14" i="11"/>
  <c r="F20" i="11" s="1"/>
  <c r="E14" i="11"/>
  <c r="E20" i="11" s="1"/>
  <c r="D14" i="11"/>
  <c r="D20" i="11" s="1"/>
  <c r="AB13" i="11"/>
  <c r="W13" i="11"/>
  <c r="R13" i="11"/>
  <c r="M13" i="11"/>
  <c r="H13" i="11"/>
  <c r="AB12" i="11"/>
  <c r="W12" i="11"/>
  <c r="R12" i="11"/>
  <c r="M12" i="11"/>
  <c r="H12" i="11"/>
  <c r="AG11" i="11"/>
  <c r="AB11" i="11"/>
  <c r="W11" i="11"/>
  <c r="R11" i="11"/>
  <c r="M11" i="11"/>
  <c r="H11" i="11"/>
  <c r="AB10" i="11"/>
  <c r="W10" i="11"/>
  <c r="AB9" i="11"/>
  <c r="W9" i="11"/>
  <c r="R9" i="11"/>
  <c r="M9" i="11"/>
  <c r="H9" i="11"/>
  <c r="AF8" i="11"/>
  <c r="AG8" i="11" s="1"/>
  <c r="AH8" i="11" s="1"/>
  <c r="P8" i="11"/>
  <c r="P14" i="11" s="1"/>
  <c r="P20" i="11" s="1"/>
  <c r="M8" i="11"/>
  <c r="H8" i="11"/>
  <c r="AG7" i="11"/>
  <c r="AL7" i="11" s="1"/>
  <c r="AQ7" i="11" s="1"/>
  <c r="AT7" i="11" s="1"/>
  <c r="AU7" i="11" s="1"/>
  <c r="AV7" i="11" s="1"/>
  <c r="AW7" i="11" s="1"/>
  <c r="AX7" i="11" s="1"/>
  <c r="AY7" i="11" s="1"/>
  <c r="AZ7" i="11" s="1"/>
  <c r="BA7" i="11" s="1"/>
  <c r="AB7" i="11"/>
  <c r="W7" i="11"/>
  <c r="R7" i="11"/>
  <c r="M7" i="11"/>
  <c r="H7" i="11"/>
  <c r="AB6" i="11"/>
  <c r="W6" i="11"/>
  <c r="R6" i="11"/>
  <c r="M6" i="11"/>
  <c r="H6" i="11"/>
  <c r="AB60" i="10"/>
  <c r="AL73" i="10"/>
  <c r="AD51" i="10"/>
  <c r="Z51" i="10"/>
  <c r="Y51" i="10"/>
  <c r="E52" i="10"/>
  <c r="AL47" i="10"/>
  <c r="AL46" i="10"/>
  <c r="AL49" i="10"/>
  <c r="AL48" i="10"/>
  <c r="AG15" i="10"/>
  <c r="AG48" i="10"/>
  <c r="H11" i="10"/>
  <c r="M11" i="10"/>
  <c r="R11" i="10"/>
  <c r="W11" i="10"/>
  <c r="X11" i="10"/>
  <c r="I12" i="10"/>
  <c r="J12" i="10"/>
  <c r="K12" i="10"/>
  <c r="L12" i="10"/>
  <c r="N12" i="10"/>
  <c r="O12" i="10"/>
  <c r="P12" i="10"/>
  <c r="Q12" i="10"/>
  <c r="S12" i="10"/>
  <c r="T12" i="10"/>
  <c r="U12" i="10"/>
  <c r="V12" i="10"/>
  <c r="J13" i="10"/>
  <c r="K13" i="10"/>
  <c r="L13" i="10"/>
  <c r="N13" i="10"/>
  <c r="O13" i="10"/>
  <c r="P13" i="10"/>
  <c r="Q13" i="10"/>
  <c r="S13" i="10"/>
  <c r="T13" i="10"/>
  <c r="U13" i="10"/>
  <c r="V13" i="10"/>
  <c r="D17" i="10"/>
  <c r="E17" i="10"/>
  <c r="F17" i="10"/>
  <c r="J21" i="3"/>
  <c r="V135" i="10"/>
  <c r="U135" i="10"/>
  <c r="T135" i="10"/>
  <c r="S135" i="10"/>
  <c r="Q135" i="10"/>
  <c r="P135" i="10"/>
  <c r="O135" i="10"/>
  <c r="N135" i="10"/>
  <c r="L135" i="10"/>
  <c r="K135" i="10"/>
  <c r="J135" i="10"/>
  <c r="I135" i="10"/>
  <c r="T131" i="10"/>
  <c r="T132" i="10" s="1"/>
  <c r="T127" i="10"/>
  <c r="X123" i="10"/>
  <c r="V123" i="10"/>
  <c r="U123" i="10"/>
  <c r="T123" i="10"/>
  <c r="S123" i="10"/>
  <c r="Q123" i="10"/>
  <c r="P123" i="10"/>
  <c r="O123" i="10"/>
  <c r="N123" i="10"/>
  <c r="L123" i="10"/>
  <c r="N120" i="10"/>
  <c r="L120" i="10"/>
  <c r="T114" i="10"/>
  <c r="T115" i="10" s="1"/>
  <c r="Z113" i="10"/>
  <c r="Z114" i="10" s="1"/>
  <c r="Z115" i="10" s="1"/>
  <c r="Y113" i="10"/>
  <c r="Y114" i="10" s="1"/>
  <c r="Y115" i="10" s="1"/>
  <c r="Z108" i="10"/>
  <c r="Y108" i="10"/>
  <c r="T108" i="10"/>
  <c r="AD92" i="10"/>
  <c r="AC92" i="10"/>
  <c r="Z92" i="10"/>
  <c r="Y92" i="10"/>
  <c r="X92" i="10"/>
  <c r="V92" i="10"/>
  <c r="U92" i="10"/>
  <c r="T92" i="10"/>
  <c r="S92" i="10"/>
  <c r="Q92" i="10"/>
  <c r="P92" i="10"/>
  <c r="O92" i="10"/>
  <c r="Q86" i="10"/>
  <c r="P86" i="10"/>
  <c r="AA85" i="10"/>
  <c r="W85" i="10"/>
  <c r="N85" i="10"/>
  <c r="R85" i="10" s="1"/>
  <c r="L85" i="10"/>
  <c r="K85" i="10"/>
  <c r="J85" i="10"/>
  <c r="I85" i="10"/>
  <c r="G85" i="10"/>
  <c r="F85" i="10"/>
  <c r="E85" i="10"/>
  <c r="D85" i="10"/>
  <c r="AB84" i="10"/>
  <c r="W84" i="10"/>
  <c r="R84" i="10"/>
  <c r="M84" i="10"/>
  <c r="H84" i="10"/>
  <c r="AG73" i="10"/>
  <c r="AB73" i="10"/>
  <c r="W73" i="10"/>
  <c r="R73" i="10"/>
  <c r="M73" i="10"/>
  <c r="H73" i="10"/>
  <c r="AD67" i="10"/>
  <c r="X67" i="10"/>
  <c r="AB67" i="10" s="1"/>
  <c r="W67" i="10"/>
  <c r="R67" i="10"/>
  <c r="M67" i="10"/>
  <c r="H67" i="10"/>
  <c r="R58" i="10"/>
  <c r="M58" i="10"/>
  <c r="H58" i="10"/>
  <c r="AB57" i="10"/>
  <c r="W57" i="10"/>
  <c r="AD52" i="10"/>
  <c r="AA52" i="10"/>
  <c r="Y52" i="10"/>
  <c r="Q52" i="10"/>
  <c r="P52" i="10"/>
  <c r="O52" i="10"/>
  <c r="N52" i="10"/>
  <c r="L52" i="10"/>
  <c r="K52" i="10"/>
  <c r="J52" i="10"/>
  <c r="I52" i="10"/>
  <c r="G52" i="10"/>
  <c r="F52" i="10"/>
  <c r="D52" i="10"/>
  <c r="X50" i="10"/>
  <c r="AB50" i="10" s="1"/>
  <c r="V50" i="10"/>
  <c r="V52" i="10" s="1"/>
  <c r="U50" i="10"/>
  <c r="U52" i="10" s="1"/>
  <c r="T50" i="10"/>
  <c r="S50" i="10"/>
  <c r="R50" i="10"/>
  <c r="M50" i="10"/>
  <c r="H50" i="10"/>
  <c r="AG49" i="10"/>
  <c r="AB49" i="10"/>
  <c r="S49" i="10"/>
  <c r="W49" i="10" s="1"/>
  <c r="R49" i="10"/>
  <c r="M49" i="10"/>
  <c r="H49" i="10"/>
  <c r="AB48" i="10"/>
  <c r="AC47" i="10"/>
  <c r="AG47" i="10" s="1"/>
  <c r="AB47" i="10"/>
  <c r="T47" i="10"/>
  <c r="S47" i="10"/>
  <c r="R47" i="10"/>
  <c r="M47" i="10"/>
  <c r="H47" i="10"/>
  <c r="AG46" i="10"/>
  <c r="Z46" i="10"/>
  <c r="Z52" i="10" s="1"/>
  <c r="X46" i="10"/>
  <c r="W46" i="10"/>
  <c r="AC40" i="10"/>
  <c r="V40" i="10"/>
  <c r="U40" i="10"/>
  <c r="N40" i="10"/>
  <c r="L40" i="10"/>
  <c r="K40" i="10"/>
  <c r="J40" i="10"/>
  <c r="I40" i="10"/>
  <c r="G40" i="10"/>
  <c r="F40" i="10"/>
  <c r="E40" i="10"/>
  <c r="D40" i="10"/>
  <c r="AD38" i="10"/>
  <c r="AD36" i="10" s="1"/>
  <c r="AA38" i="10"/>
  <c r="AA36" i="10" s="1"/>
  <c r="AA37" i="10" s="1"/>
  <c r="Z38" i="10"/>
  <c r="Z36" i="10" s="1"/>
  <c r="Z37" i="10" s="1"/>
  <c r="Y38" i="10"/>
  <c r="Y36" i="10" s="1"/>
  <c r="Y37" i="10" s="1"/>
  <c r="X38" i="10"/>
  <c r="X36" i="10" s="1"/>
  <c r="W38" i="10"/>
  <c r="Q38" i="10"/>
  <c r="P38" i="10"/>
  <c r="O38" i="10"/>
  <c r="M38" i="10"/>
  <c r="H38" i="10"/>
  <c r="AD32" i="10"/>
  <c r="AD30" i="10" s="1"/>
  <c r="AA32" i="10"/>
  <c r="AA30" i="10" s="1"/>
  <c r="AA31" i="10" s="1"/>
  <c r="Z32" i="10"/>
  <c r="Z30" i="10" s="1"/>
  <c r="Z31" i="10" s="1"/>
  <c r="Y32" i="10"/>
  <c r="Y30" i="10" s="1"/>
  <c r="Y31" i="10" s="1"/>
  <c r="X32" i="10"/>
  <c r="X30" i="10" s="1"/>
  <c r="T32" i="10"/>
  <c r="S32" i="10"/>
  <c r="Q32" i="10"/>
  <c r="P32" i="10"/>
  <c r="O32" i="10"/>
  <c r="O120" i="10" s="1"/>
  <c r="M32" i="10"/>
  <c r="H32" i="10"/>
  <c r="AD26" i="10"/>
  <c r="AA26" i="10"/>
  <c r="Z26" i="10"/>
  <c r="Y26" i="10"/>
  <c r="X26" i="10"/>
  <c r="T26" i="10"/>
  <c r="S26" i="10"/>
  <c r="Q26" i="10"/>
  <c r="P26" i="10"/>
  <c r="O26" i="10"/>
  <c r="M26" i="10"/>
  <c r="H26" i="10"/>
  <c r="AD21" i="10"/>
  <c r="AC21" i="10"/>
  <c r="AA21" i="10"/>
  <c r="Z21" i="10"/>
  <c r="Y21" i="10"/>
  <c r="X21" i="10"/>
  <c r="V21" i="10"/>
  <c r="U21" i="10"/>
  <c r="T21" i="10"/>
  <c r="S21" i="10"/>
  <c r="Q21" i="10"/>
  <c r="P21" i="10"/>
  <c r="O21" i="10"/>
  <c r="M21" i="10"/>
  <c r="H21" i="10"/>
  <c r="AB36" i="10" l="1"/>
  <c r="AD31" i="10"/>
  <c r="AG30" i="10"/>
  <c r="AB30" i="10"/>
  <c r="AD37" i="10"/>
  <c r="AG36" i="10"/>
  <c r="F39" i="10"/>
  <c r="E39" i="10"/>
  <c r="D22" i="10"/>
  <c r="D23" i="10" s="1"/>
  <c r="BA80" i="10"/>
  <c r="AG23" i="26"/>
  <c r="AZ80" i="10"/>
  <c r="AF23" i="26"/>
  <c r="AX81" i="10"/>
  <c r="AX82" i="10" s="1"/>
  <c r="X12" i="10"/>
  <c r="X17" i="10"/>
  <c r="X29" i="10" s="1"/>
  <c r="AL72" i="12"/>
  <c r="S72" i="12"/>
  <c r="W62" i="12"/>
  <c r="W72" i="12" s="1"/>
  <c r="AA72" i="12"/>
  <c r="AB69" i="12"/>
  <c r="AB72" i="12" s="1"/>
  <c r="AG67" i="10"/>
  <c r="AQ47" i="3"/>
  <c r="AQ53" i="3" s="1"/>
  <c r="AB85" i="10"/>
  <c r="AG16" i="11"/>
  <c r="AL16" i="11" s="1"/>
  <c r="AQ16" i="11" s="1"/>
  <c r="AT16" i="11" s="1"/>
  <c r="AU16" i="11" s="1"/>
  <c r="AV16" i="11" s="1"/>
  <c r="AW16" i="11" s="1"/>
  <c r="AX16" i="11" s="1"/>
  <c r="AY16" i="11" s="1"/>
  <c r="AZ16" i="11" s="1"/>
  <c r="BA16" i="11" s="1"/>
  <c r="AF83" i="12"/>
  <c r="AG58" i="10"/>
  <c r="AR43" i="3"/>
  <c r="AR47" i="3" s="1"/>
  <c r="AG72" i="12"/>
  <c r="AD55" i="11"/>
  <c r="AD57" i="11" s="1"/>
  <c r="AE28" i="11"/>
  <c r="AG28" i="11" s="1"/>
  <c r="AL28" i="11" s="1"/>
  <c r="AQ28" i="11" s="1"/>
  <c r="AE41" i="11"/>
  <c r="AF41" i="11" s="1"/>
  <c r="AG41" i="11" s="1"/>
  <c r="AH41" i="11" s="1"/>
  <c r="AI41" i="11" s="1"/>
  <c r="AJ41" i="11" s="1"/>
  <c r="O39" i="11"/>
  <c r="O44" i="11" s="1"/>
  <c r="O45" i="11" s="1"/>
  <c r="L124" i="10"/>
  <c r="J143" i="10" s="1"/>
  <c r="I57" i="11"/>
  <c r="AG50" i="12"/>
  <c r="M72" i="12"/>
  <c r="R12" i="10"/>
  <c r="S57" i="11"/>
  <c r="N57" i="11"/>
  <c r="H14" i="11"/>
  <c r="H20" i="11" s="1"/>
  <c r="S50" i="12"/>
  <c r="H32" i="11"/>
  <c r="H39" i="11" s="1"/>
  <c r="Q57" i="11"/>
  <c r="E53" i="11"/>
  <c r="F53" i="11"/>
  <c r="Q27" i="11"/>
  <c r="Q32" i="11" s="1"/>
  <c r="Q39" i="11" s="1"/>
  <c r="J57" i="11"/>
  <c r="T57" i="11"/>
  <c r="K57" i="11"/>
  <c r="U57" i="11"/>
  <c r="AL50" i="12"/>
  <c r="R72" i="12"/>
  <c r="H50" i="12"/>
  <c r="M50" i="12"/>
  <c r="H72" i="12"/>
  <c r="AB50" i="12"/>
  <c r="D51" i="11"/>
  <c r="F51" i="10"/>
  <c r="F71" i="11"/>
  <c r="F63" i="11"/>
  <c r="F61" i="11"/>
  <c r="F69" i="11"/>
  <c r="F60" i="11"/>
  <c r="F73" i="11"/>
  <c r="E62" i="11"/>
  <c r="F67" i="11"/>
  <c r="D51" i="10"/>
  <c r="E51" i="11"/>
  <c r="F62" i="11"/>
  <c r="D64" i="11"/>
  <c r="D68" i="11"/>
  <c r="D70" i="11"/>
  <c r="D72" i="11"/>
  <c r="F51" i="11"/>
  <c r="D61" i="11"/>
  <c r="E64" i="11"/>
  <c r="E68" i="11"/>
  <c r="E70" i="11"/>
  <c r="E72" i="11"/>
  <c r="E51" i="10"/>
  <c r="E61" i="11"/>
  <c r="F64" i="11"/>
  <c r="F68" i="11"/>
  <c r="F70" i="11"/>
  <c r="F72" i="11"/>
  <c r="D63" i="11"/>
  <c r="D73" i="11"/>
  <c r="D60" i="11"/>
  <c r="E63" i="11"/>
  <c r="D67" i="11"/>
  <c r="D69" i="11"/>
  <c r="D71" i="11"/>
  <c r="E73" i="11"/>
  <c r="E60" i="11"/>
  <c r="E67" i="11"/>
  <c r="E69" i="11"/>
  <c r="E71" i="11"/>
  <c r="D62" i="11"/>
  <c r="P39" i="11"/>
  <c r="P44" i="11" s="1"/>
  <c r="P45" i="11" s="1"/>
  <c r="F44" i="11"/>
  <c r="F45" i="11" s="1"/>
  <c r="G44" i="11"/>
  <c r="H44" i="11" s="1"/>
  <c r="M32" i="11"/>
  <c r="M39" i="11" s="1"/>
  <c r="L57" i="11"/>
  <c r="I44" i="11"/>
  <c r="I45" i="11" s="1"/>
  <c r="E57" i="11"/>
  <c r="O57" i="11"/>
  <c r="J44" i="11"/>
  <c r="J45" i="11" s="1"/>
  <c r="P56" i="11"/>
  <c r="G57" i="11"/>
  <c r="M14" i="11"/>
  <c r="M20" i="11" s="1"/>
  <c r="E44" i="11"/>
  <c r="E45" i="11" s="1"/>
  <c r="N44" i="11"/>
  <c r="N45" i="11" s="1"/>
  <c r="W28" i="11"/>
  <c r="D44" i="11"/>
  <c r="D45" i="11" s="1"/>
  <c r="K44" i="11"/>
  <c r="K45" i="11" s="1"/>
  <c r="V57" i="11"/>
  <c r="V56" i="11"/>
  <c r="Y57" i="11"/>
  <c r="Y56" i="11"/>
  <c r="L44" i="11"/>
  <c r="X57" i="11"/>
  <c r="P57" i="11"/>
  <c r="Q8" i="11"/>
  <c r="Q56" i="11"/>
  <c r="F57" i="11"/>
  <c r="I56" i="11"/>
  <c r="S56" i="11"/>
  <c r="AC56" i="11"/>
  <c r="J56" i="11"/>
  <c r="T56" i="11"/>
  <c r="Z28" i="11"/>
  <c r="K56" i="11"/>
  <c r="U56" i="11"/>
  <c r="L56" i="11"/>
  <c r="N56" i="11"/>
  <c r="X56" i="11"/>
  <c r="O56" i="11"/>
  <c r="AC15" i="10"/>
  <c r="H17" i="10"/>
  <c r="F16" i="10"/>
  <c r="W12" i="10"/>
  <c r="U10" i="10"/>
  <c r="E16" i="10"/>
  <c r="AD16" i="10"/>
  <c r="N7" i="10"/>
  <c r="L7" i="10"/>
  <c r="AA16" i="10"/>
  <c r="X13" i="10"/>
  <c r="K10" i="10"/>
  <c r="N6" i="10"/>
  <c r="S6" i="10"/>
  <c r="G16" i="10"/>
  <c r="N124" i="10"/>
  <c r="K143" i="10" s="1"/>
  <c r="M12" i="10"/>
  <c r="T7" i="10"/>
  <c r="V7" i="10"/>
  <c r="AD15" i="10"/>
  <c r="G17" i="10"/>
  <c r="AC16" i="10"/>
  <c r="L10" i="10"/>
  <c r="Q6" i="10"/>
  <c r="Z16" i="10"/>
  <c r="O10" i="10"/>
  <c r="O9" i="10"/>
  <c r="Z6" i="10"/>
  <c r="J7" i="10"/>
  <c r="T10" i="10"/>
  <c r="U7" i="10"/>
  <c r="K7" i="10"/>
  <c r="N10" i="10"/>
  <c r="V10" i="10"/>
  <c r="T9" i="10"/>
  <c r="M5" i="10"/>
  <c r="M6" i="10" s="1"/>
  <c r="Y123" i="10"/>
  <c r="S40" i="10"/>
  <c r="W58" i="10"/>
  <c r="AB32" i="10"/>
  <c r="J92" i="10"/>
  <c r="Z40" i="10"/>
  <c r="W50" i="10"/>
  <c r="O40" i="10"/>
  <c r="AA40" i="10"/>
  <c r="W32" i="10"/>
  <c r="AB21" i="10"/>
  <c r="E27" i="10"/>
  <c r="E22" i="10"/>
  <c r="E23" i="10" s="1"/>
  <c r="AC52" i="10"/>
  <c r="R21" i="10"/>
  <c r="H52" i="10"/>
  <c r="M52" i="10"/>
  <c r="F22" i="10"/>
  <c r="F23" i="10" s="1"/>
  <c r="F27" i="10"/>
  <c r="R32" i="10"/>
  <c r="H85" i="10"/>
  <c r="W26" i="10"/>
  <c r="D33" i="10"/>
  <c r="L92" i="10"/>
  <c r="E33" i="10"/>
  <c r="T40" i="10"/>
  <c r="T52" i="10"/>
  <c r="M85" i="10"/>
  <c r="M40" i="10"/>
  <c r="Y40" i="10"/>
  <c r="X120" i="10"/>
  <c r="X124" i="10" s="1"/>
  <c r="S143" i="10" s="1"/>
  <c r="X52" i="10"/>
  <c r="N92" i="10"/>
  <c r="F19" i="10"/>
  <c r="W21" i="10"/>
  <c r="AB38" i="10"/>
  <c r="K92" i="10"/>
  <c r="Z123" i="10"/>
  <c r="AB58" i="10"/>
  <c r="D42" i="10"/>
  <c r="Y120" i="10"/>
  <c r="AB26" i="10"/>
  <c r="X40" i="10"/>
  <c r="R38" i="10"/>
  <c r="R26" i="10"/>
  <c r="P40" i="10"/>
  <c r="O124" i="10"/>
  <c r="L143" i="10" s="1"/>
  <c r="Z120" i="10"/>
  <c r="H40" i="10"/>
  <c r="Q40" i="10"/>
  <c r="AD40" i="10"/>
  <c r="P120" i="10"/>
  <c r="AA123" i="10"/>
  <c r="W47" i="10"/>
  <c r="S52" i="10"/>
  <c r="E19" i="10"/>
  <c r="D27" i="10"/>
  <c r="Q120" i="10"/>
  <c r="AA120" i="10"/>
  <c r="F33" i="10"/>
  <c r="R52" i="10"/>
  <c r="S120" i="10"/>
  <c r="D39" i="10"/>
  <c r="V120" i="10"/>
  <c r="U120" i="10"/>
  <c r="T120" i="10"/>
  <c r="I92" i="10"/>
  <c r="AA92" i="10"/>
  <c r="AB46" i="10"/>
  <c r="AB52" i="10" s="1"/>
  <c r="X31" i="10" l="1"/>
  <c r="H33" i="10"/>
  <c r="G53" i="11"/>
  <c r="X37" i="10"/>
  <c r="X35" i="10"/>
  <c r="AZ81" i="10"/>
  <c r="AZ82" i="10" s="1"/>
  <c r="AY81" i="10"/>
  <c r="AY82" i="10" s="1"/>
  <c r="AK41" i="11"/>
  <c r="AL41" i="11" s="1"/>
  <c r="AQ55" i="3"/>
  <c r="AO15" i="29" s="1"/>
  <c r="AR55" i="3"/>
  <c r="AP15" i="29" s="1"/>
  <c r="AR53" i="3"/>
  <c r="AA9" i="10"/>
  <c r="AD56" i="11"/>
  <c r="W5" i="10"/>
  <c r="AG34" i="11"/>
  <c r="G45" i="11"/>
  <c r="H45" i="11" s="1"/>
  <c r="R27" i="11"/>
  <c r="S27" i="11" s="1"/>
  <c r="T27" i="11" s="1"/>
  <c r="AD11" i="10"/>
  <c r="H51" i="10"/>
  <c r="G22" i="10"/>
  <c r="G42" i="10" s="1"/>
  <c r="G66" i="10" s="1"/>
  <c r="G73" i="11"/>
  <c r="G63" i="11"/>
  <c r="G61" i="11"/>
  <c r="G51" i="10"/>
  <c r="G72" i="11"/>
  <c r="G70" i="11"/>
  <c r="G68" i="11"/>
  <c r="G64" i="11"/>
  <c r="G51" i="11"/>
  <c r="G69" i="11"/>
  <c r="G62" i="11"/>
  <c r="G71" i="11"/>
  <c r="G67" i="11"/>
  <c r="G60" i="11"/>
  <c r="L45" i="11"/>
  <c r="M45" i="11" s="1"/>
  <c r="M44" i="11"/>
  <c r="AA28" i="11"/>
  <c r="Z55" i="11"/>
  <c r="R8" i="11"/>
  <c r="Q14" i="11"/>
  <c r="Q20" i="11" s="1"/>
  <c r="Q44" i="11" s="1"/>
  <c r="AD6" i="10"/>
  <c r="AD7" i="10"/>
  <c r="D21" i="26"/>
  <c r="Y16" i="10"/>
  <c r="Y6" i="10"/>
  <c r="Y11" i="10"/>
  <c r="Y7" i="10"/>
  <c r="Q7" i="10"/>
  <c r="S7" i="10"/>
  <c r="AA6" i="10"/>
  <c r="V6" i="10"/>
  <c r="G33" i="10"/>
  <c r="G19" i="10"/>
  <c r="Z7" i="10"/>
  <c r="AC10" i="10"/>
  <c r="AC11" i="10"/>
  <c r="G27" i="10"/>
  <c r="G39" i="10"/>
  <c r="AA10" i="10"/>
  <c r="Z11" i="10"/>
  <c r="AA53" i="11"/>
  <c r="AD10" i="10"/>
  <c r="AC7" i="10"/>
  <c r="AA7" i="10"/>
  <c r="U6" i="10"/>
  <c r="P7" i="10"/>
  <c r="P6" i="10"/>
  <c r="R5" i="10"/>
  <c r="T6" i="10"/>
  <c r="O7" i="10"/>
  <c r="O6" i="10"/>
  <c r="AC6" i="10"/>
  <c r="X7" i="10"/>
  <c r="AB5" i="10"/>
  <c r="X6" i="10"/>
  <c r="J10" i="10"/>
  <c r="N9" i="10"/>
  <c r="Q10" i="10"/>
  <c r="Q9" i="10"/>
  <c r="V9" i="10"/>
  <c r="Z9" i="10"/>
  <c r="Z10" i="10"/>
  <c r="P9" i="10"/>
  <c r="P10" i="10"/>
  <c r="Y9" i="10"/>
  <c r="AD9" i="10"/>
  <c r="Y10" i="10"/>
  <c r="U9" i="10"/>
  <c r="X9" i="10"/>
  <c r="X10" i="10"/>
  <c r="AC9" i="10"/>
  <c r="S10" i="10"/>
  <c r="S9" i="10"/>
  <c r="F42" i="10"/>
  <c r="F43" i="10" s="1"/>
  <c r="E42" i="10"/>
  <c r="E66" i="10" s="1"/>
  <c r="W52" i="10"/>
  <c r="W40" i="10"/>
  <c r="H27" i="10"/>
  <c r="H39" i="10"/>
  <c r="H22" i="10"/>
  <c r="H23" i="10" s="1"/>
  <c r="R40" i="10"/>
  <c r="D54" i="10"/>
  <c r="D66" i="10"/>
  <c r="D43" i="10"/>
  <c r="S124" i="10"/>
  <c r="O143" i="10" s="1"/>
  <c r="P124" i="10"/>
  <c r="M143" i="10" s="1"/>
  <c r="T124" i="10"/>
  <c r="P143" i="10" s="1"/>
  <c r="AA124" i="10"/>
  <c r="V143" i="10" s="1"/>
  <c r="Z124" i="10"/>
  <c r="U143" i="10" s="1"/>
  <c r="AB40" i="10"/>
  <c r="Q124" i="10"/>
  <c r="N143" i="10" s="1"/>
  <c r="Y124" i="10"/>
  <c r="T143" i="10" s="1"/>
  <c r="U124" i="10"/>
  <c r="Q143" i="10" s="1"/>
  <c r="V124" i="10"/>
  <c r="R143" i="10" s="1"/>
  <c r="BA84" i="10" l="1"/>
  <c r="BA81" i="10" s="1"/>
  <c r="BA82" i="10" s="1"/>
  <c r="AM41" i="11"/>
  <c r="AT28" i="11"/>
  <c r="AP16" i="29"/>
  <c r="AO16" i="29"/>
  <c r="AQ49" i="3"/>
  <c r="AR49" i="3"/>
  <c r="X27" i="10"/>
  <c r="AB17" i="10"/>
  <c r="S32" i="11"/>
  <c r="S39" i="11" s="1"/>
  <c r="R32" i="11"/>
  <c r="R39" i="11" s="1"/>
  <c r="X33" i="10"/>
  <c r="X53" i="11"/>
  <c r="AD13" i="10"/>
  <c r="AD12" i="10"/>
  <c r="X22" i="10"/>
  <c r="X23" i="10" s="1"/>
  <c r="G23" i="10"/>
  <c r="G43" i="10"/>
  <c r="Y12" i="10"/>
  <c r="X62" i="11"/>
  <c r="X71" i="11"/>
  <c r="X69" i="11"/>
  <c r="X67" i="11"/>
  <c r="X60" i="11"/>
  <c r="X73" i="11"/>
  <c r="X63" i="11"/>
  <c r="X61" i="11"/>
  <c r="X51" i="10"/>
  <c r="X72" i="11"/>
  <c r="X70" i="11"/>
  <c r="X68" i="11"/>
  <c r="X64" i="11"/>
  <c r="X51" i="11"/>
  <c r="G54" i="10"/>
  <c r="G55" i="10" s="1"/>
  <c r="Y13" i="10"/>
  <c r="AA73" i="11"/>
  <c r="AA63" i="11"/>
  <c r="AA61" i="11"/>
  <c r="AA51" i="10"/>
  <c r="AA70" i="11"/>
  <c r="AA68" i="11"/>
  <c r="AA64" i="11"/>
  <c r="AA72" i="11"/>
  <c r="AA51" i="11"/>
  <c r="AA69" i="11"/>
  <c r="AA67" i="11"/>
  <c r="AA62" i="11"/>
  <c r="AA60" i="11"/>
  <c r="AA71" i="11"/>
  <c r="X39" i="10"/>
  <c r="T32" i="11"/>
  <c r="T39" i="11" s="1"/>
  <c r="U27" i="11"/>
  <c r="AB28" i="11"/>
  <c r="AA55" i="11"/>
  <c r="R44" i="11"/>
  <c r="Q45" i="11"/>
  <c r="R45" i="11" s="1"/>
  <c r="Z56" i="11"/>
  <c r="Z57" i="11"/>
  <c r="S8" i="11"/>
  <c r="R14" i="11"/>
  <c r="R20" i="11" s="1"/>
  <c r="AA12" i="10"/>
  <c r="AA13" i="10"/>
  <c r="Z13" i="10"/>
  <c r="Z12" i="10"/>
  <c r="AC12" i="10"/>
  <c r="AC13" i="10"/>
  <c r="X135" i="10"/>
  <c r="AB6" i="10"/>
  <c r="R6" i="10"/>
  <c r="W6" i="10"/>
  <c r="AA39" i="10"/>
  <c r="AA27" i="10"/>
  <c r="AA33" i="10"/>
  <c r="AA22" i="10"/>
  <c r="AC17" i="10"/>
  <c r="F54" i="10"/>
  <c r="F72" i="10" s="1"/>
  <c r="F66" i="10"/>
  <c r="F69" i="10" s="1"/>
  <c r="E54" i="10"/>
  <c r="E72" i="10" s="1"/>
  <c r="E43" i="10"/>
  <c r="H42" i="10"/>
  <c r="H54" i="10" s="1"/>
  <c r="D72" i="10"/>
  <c r="D55" i="10"/>
  <c r="G69" i="10"/>
  <c r="G68" i="10"/>
  <c r="E69" i="10"/>
  <c r="E68" i="10"/>
  <c r="D68" i="10"/>
  <c r="D69" i="10"/>
  <c r="AC29" i="10" l="1"/>
  <c r="AC31" i="10"/>
  <c r="AB29" i="10"/>
  <c r="AB31" i="10"/>
  <c r="H21" i="26"/>
  <c r="AB37" i="10"/>
  <c r="AB35" i="10"/>
  <c r="AC35" i="10"/>
  <c r="AC37" i="10"/>
  <c r="AN41" i="11"/>
  <c r="AU28" i="11"/>
  <c r="AT55" i="11"/>
  <c r="AT57" i="11" s="1"/>
  <c r="I21" i="26"/>
  <c r="AC53" i="11"/>
  <c r="X42" i="10"/>
  <c r="X136" i="10"/>
  <c r="X137" i="10" s="1"/>
  <c r="G72" i="10"/>
  <c r="G74" i="10" s="1"/>
  <c r="AC68" i="11"/>
  <c r="AC67" i="11"/>
  <c r="AC61" i="11"/>
  <c r="AC51" i="10"/>
  <c r="AC64" i="11"/>
  <c r="AC73" i="11"/>
  <c r="AC51" i="11"/>
  <c r="AC72" i="11"/>
  <c r="AC62" i="11"/>
  <c r="AC71" i="11"/>
  <c r="AC63" i="11"/>
  <c r="AC70" i="11"/>
  <c r="AC60" i="11"/>
  <c r="AC69" i="11"/>
  <c r="V27" i="11"/>
  <c r="U32" i="11"/>
  <c r="U39" i="11" s="1"/>
  <c r="AA57" i="11"/>
  <c r="AA56" i="11"/>
  <c r="AC57" i="11"/>
  <c r="S14" i="11"/>
  <c r="S20" i="11" s="1"/>
  <c r="S44" i="11" s="1"/>
  <c r="S45" i="11" s="1"/>
  <c r="T8" i="11"/>
  <c r="AA19" i="10"/>
  <c r="AA23" i="10"/>
  <c r="AA42" i="10"/>
  <c r="AA66" i="10" s="1"/>
  <c r="AD18" i="10"/>
  <c r="AD19" i="10"/>
  <c r="AD27" i="10"/>
  <c r="AD22" i="10"/>
  <c r="AD33" i="10"/>
  <c r="AD39" i="10"/>
  <c r="AC27" i="10"/>
  <c r="AC39" i="10"/>
  <c r="AC19" i="10"/>
  <c r="AC18" i="10"/>
  <c r="AC33" i="10"/>
  <c r="AC22" i="10"/>
  <c r="Z19" i="10"/>
  <c r="Z39" i="10"/>
  <c r="Z109" i="10"/>
  <c r="Z22" i="10"/>
  <c r="Z33" i="10"/>
  <c r="Z27" i="10"/>
  <c r="AA135" i="10"/>
  <c r="AA136" i="10" s="1"/>
  <c r="AA137" i="10" s="1"/>
  <c r="Y19" i="10"/>
  <c r="Y33" i="10"/>
  <c r="Y39" i="10"/>
  <c r="Y27" i="10"/>
  <c r="Y109" i="10"/>
  <c r="Y22" i="10"/>
  <c r="F68" i="10"/>
  <c r="F55" i="10"/>
  <c r="E55" i="10"/>
  <c r="H66" i="10"/>
  <c r="H68" i="10" s="1"/>
  <c r="H43" i="10"/>
  <c r="D76" i="10"/>
  <c r="D7" i="12" s="1"/>
  <c r="D33" i="12" s="1"/>
  <c r="D74" i="10"/>
  <c r="H72" i="10"/>
  <c r="H55" i="10"/>
  <c r="E74" i="10"/>
  <c r="E76" i="10"/>
  <c r="E7" i="12" s="1"/>
  <c r="E33" i="12" s="1"/>
  <c r="D70" i="10"/>
  <c r="D79" i="10"/>
  <c r="G70" i="10"/>
  <c r="G79" i="10"/>
  <c r="E79" i="10"/>
  <c r="E70" i="10"/>
  <c r="F74" i="10"/>
  <c r="F76" i="10"/>
  <c r="F7" i="12" s="1"/>
  <c r="F33" i="12" s="1"/>
  <c r="F79" i="10"/>
  <c r="F70" i="10"/>
  <c r="X43" i="10" l="1"/>
  <c r="D31" i="26" s="1"/>
  <c r="X66" i="10"/>
  <c r="X69" i="10" s="1"/>
  <c r="AO41" i="11"/>
  <c r="AV28" i="11"/>
  <c r="AW28" i="11" s="1"/>
  <c r="AU55" i="11"/>
  <c r="AU57" i="11" s="1"/>
  <c r="AL34" i="11"/>
  <c r="E76" i="12"/>
  <c r="E52" i="12"/>
  <c r="E53" i="12" s="1"/>
  <c r="D76" i="12"/>
  <c r="D79" i="12" s="1"/>
  <c r="E78" i="12" s="1"/>
  <c r="D52" i="12"/>
  <c r="D53" i="12" s="1"/>
  <c r="F52" i="12"/>
  <c r="F53" i="12" s="1"/>
  <c r="F76" i="12"/>
  <c r="X54" i="10"/>
  <c r="X72" i="10" s="1"/>
  <c r="G76" i="10"/>
  <c r="G64" i="10" s="1"/>
  <c r="V32" i="11"/>
  <c r="W27" i="11"/>
  <c r="U8" i="11"/>
  <c r="T14" i="11"/>
  <c r="T20" i="11" s="1"/>
  <c r="T44" i="11" s="1"/>
  <c r="T45" i="11" s="1"/>
  <c r="AA54" i="10"/>
  <c r="AA43" i="10"/>
  <c r="G31" i="26" s="1"/>
  <c r="Z23" i="10"/>
  <c r="Z42" i="10"/>
  <c r="Z66" i="10" s="1"/>
  <c r="Y23" i="10"/>
  <c r="Y42" i="10"/>
  <c r="Y66" i="10" s="1"/>
  <c r="Y135" i="10"/>
  <c r="Y136" i="10" s="1"/>
  <c r="Y137" i="10" s="1"/>
  <c r="AC42" i="10"/>
  <c r="AC66" i="10" s="1"/>
  <c r="AC23" i="10"/>
  <c r="Z135" i="10"/>
  <c r="Z136" i="10" s="1"/>
  <c r="Z137" i="10" s="1"/>
  <c r="AD23" i="10"/>
  <c r="AD42" i="10"/>
  <c r="AD66" i="10" s="1"/>
  <c r="H69" i="10"/>
  <c r="H76" i="10"/>
  <c r="H74" i="10"/>
  <c r="E77" i="10"/>
  <c r="E81" i="10"/>
  <c r="E64" i="10"/>
  <c r="F64" i="10"/>
  <c r="F77" i="10"/>
  <c r="F81" i="10"/>
  <c r="D64" i="10"/>
  <c r="D77" i="10"/>
  <c r="D81" i="10"/>
  <c r="H79" i="10" l="1"/>
  <c r="H81" i="10"/>
  <c r="H63" i="10"/>
  <c r="AX28" i="11"/>
  <c r="AW55" i="11"/>
  <c r="AP41" i="11"/>
  <c r="AQ41" i="11" s="1"/>
  <c r="H7" i="12"/>
  <c r="H33" i="12" s="1"/>
  <c r="H34" i="12" s="1"/>
  <c r="E79" i="12"/>
  <c r="F78" i="12" s="1"/>
  <c r="F79" i="12" s="1"/>
  <c r="G78" i="12" s="1"/>
  <c r="G81" i="10"/>
  <c r="G7" i="12"/>
  <c r="G33" i="12" s="1"/>
  <c r="G77" i="10"/>
  <c r="X68" i="10"/>
  <c r="X55" i="10"/>
  <c r="X27" i="11"/>
  <c r="W32" i="11"/>
  <c r="V8" i="11"/>
  <c r="U14" i="11"/>
  <c r="U20" i="11" s="1"/>
  <c r="U44" i="11" s="1"/>
  <c r="U45" i="11" s="1"/>
  <c r="X70" i="10"/>
  <c r="X79" i="10"/>
  <c r="D23" i="26" s="1"/>
  <c r="X74" i="10"/>
  <c r="X76" i="10"/>
  <c r="X63" i="10" s="1"/>
  <c r="AA55" i="10"/>
  <c r="AA72" i="10"/>
  <c r="AA69" i="10"/>
  <c r="AA68" i="10"/>
  <c r="Y54" i="10"/>
  <c r="Y43" i="10"/>
  <c r="E31" i="26" s="1"/>
  <c r="AC54" i="10"/>
  <c r="AC43" i="10"/>
  <c r="I31" i="26" s="1"/>
  <c r="AD54" i="10"/>
  <c r="AD43" i="10"/>
  <c r="J31" i="26" s="1"/>
  <c r="Z54" i="10"/>
  <c r="Z43" i="10"/>
  <c r="F31" i="26" s="1"/>
  <c r="H70" i="10"/>
  <c r="H77" i="10"/>
  <c r="AR41" i="11" l="1"/>
  <c r="AW57" i="11"/>
  <c r="AW56" i="11"/>
  <c r="AY28" i="11"/>
  <c r="AX55" i="11"/>
  <c r="X64" i="10"/>
  <c r="X81" i="10"/>
  <c r="H76" i="12"/>
  <c r="H79" i="12" s="1"/>
  <c r="M78" i="12" s="1"/>
  <c r="G76" i="12"/>
  <c r="G79" i="12" s="1"/>
  <c r="I78" i="12" s="1"/>
  <c r="G52" i="12"/>
  <c r="G53" i="12" s="1"/>
  <c r="Y27" i="11"/>
  <c r="X32" i="11"/>
  <c r="X39" i="11" s="1"/>
  <c r="W8" i="11"/>
  <c r="V14" i="11"/>
  <c r="V20" i="11" s="1"/>
  <c r="X77" i="10"/>
  <c r="AD55" i="10"/>
  <c r="AD72" i="10"/>
  <c r="Y68" i="10"/>
  <c r="Y69" i="10"/>
  <c r="Z69" i="10"/>
  <c r="Z68" i="10"/>
  <c r="Y72" i="10"/>
  <c r="Y55" i="10"/>
  <c r="AD68" i="10"/>
  <c r="AD69" i="10"/>
  <c r="Z72" i="10"/>
  <c r="Z55" i="10"/>
  <c r="AC68" i="10"/>
  <c r="AC69" i="10"/>
  <c r="AA79" i="10"/>
  <c r="G23" i="26" s="1"/>
  <c r="AA70" i="10"/>
  <c r="AC72" i="10"/>
  <c r="AC55" i="10"/>
  <c r="AA76" i="10"/>
  <c r="AA74" i="10"/>
  <c r="AS41" i="11" l="1"/>
  <c r="AT41" i="11" s="1"/>
  <c r="AU41" i="11" s="1"/>
  <c r="AV41" i="11" s="1"/>
  <c r="AW41" i="11" s="1"/>
  <c r="AX41" i="11" s="1"/>
  <c r="AY41" i="11" s="1"/>
  <c r="AZ41" i="11" s="1"/>
  <c r="BA41" i="11" s="1"/>
  <c r="AA81" i="10"/>
  <c r="AA63" i="10"/>
  <c r="AA64" i="10" s="1"/>
  <c r="AX56" i="11"/>
  <c r="AX57" i="11"/>
  <c r="AZ28" i="11"/>
  <c r="AY55" i="11"/>
  <c r="AA7" i="12"/>
  <c r="AA33" i="12" s="1"/>
  <c r="AA76" i="12" s="1"/>
  <c r="H52" i="12"/>
  <c r="H53" i="12" s="1"/>
  <c r="Y32" i="11"/>
  <c r="Y39" i="11" s="1"/>
  <c r="Z27" i="11"/>
  <c r="W14" i="11"/>
  <c r="W20" i="11" s="1"/>
  <c r="X8" i="11"/>
  <c r="Y74" i="10"/>
  <c r="Y76" i="10"/>
  <c r="AC79" i="10"/>
  <c r="I23" i="26" s="1"/>
  <c r="AC70" i="10"/>
  <c r="Z70" i="10"/>
  <c r="Z79" i="10"/>
  <c r="F23" i="26" s="1"/>
  <c r="AA77" i="10"/>
  <c r="Y70" i="10"/>
  <c r="Y79" i="10"/>
  <c r="E23" i="26" s="1"/>
  <c r="Z76" i="10"/>
  <c r="Z74" i="10"/>
  <c r="AC76" i="10"/>
  <c r="AC74" i="10"/>
  <c r="AD70" i="10"/>
  <c r="AD79" i="10"/>
  <c r="AD74" i="10"/>
  <c r="AD76" i="10"/>
  <c r="Z81" i="10" l="1"/>
  <c r="Z63" i="10"/>
  <c r="Z64" i="10" s="1"/>
  <c r="AD81" i="10"/>
  <c r="AD63" i="10"/>
  <c r="AD64" i="10" s="1"/>
  <c r="Y81" i="10"/>
  <c r="Y63" i="10"/>
  <c r="Y64" i="10" s="1"/>
  <c r="AC81" i="10"/>
  <c r="AC63" i="10"/>
  <c r="AC64" i="10" s="1"/>
  <c r="AY57" i="11"/>
  <c r="AY56" i="11"/>
  <c r="BA28" i="11"/>
  <c r="AZ55" i="11"/>
  <c r="J23" i="26"/>
  <c r="AA52" i="12"/>
  <c r="AA53" i="12" s="1"/>
  <c r="AA34" i="12"/>
  <c r="Y7" i="12"/>
  <c r="Y33" i="12" s="1"/>
  <c r="Y34" i="12" s="1"/>
  <c r="Z7" i="12"/>
  <c r="Z33" i="12" s="1"/>
  <c r="Z52" i="12" s="1"/>
  <c r="Z53" i="12" s="1"/>
  <c r="AD7" i="12"/>
  <c r="AD33" i="12" s="1"/>
  <c r="AD76" i="12" s="1"/>
  <c r="AC7" i="12"/>
  <c r="AC33" i="12" s="1"/>
  <c r="AQ34" i="11"/>
  <c r="AQ30" i="12"/>
  <c r="AC80" i="10"/>
  <c r="AA27" i="11"/>
  <c r="Z32" i="11"/>
  <c r="Z39" i="11" s="1"/>
  <c r="Y8" i="11"/>
  <c r="X14" i="11"/>
  <c r="X20" i="11" s="1"/>
  <c r="X44" i="11" s="1"/>
  <c r="X45" i="11" s="1"/>
  <c r="AC77" i="10"/>
  <c r="Z77" i="10"/>
  <c r="AD77" i="10"/>
  <c r="AD80" i="10"/>
  <c r="Y77" i="10"/>
  <c r="AZ56" i="11" l="1"/>
  <c r="AZ57" i="11"/>
  <c r="Z76" i="12"/>
  <c r="Z34" i="12"/>
  <c r="Y76" i="12"/>
  <c r="Y52" i="12"/>
  <c r="Y53" i="12" s="1"/>
  <c r="AD34" i="12"/>
  <c r="AD52" i="12"/>
  <c r="AD53" i="12" s="1"/>
  <c r="AC34" i="12"/>
  <c r="AC76" i="12"/>
  <c r="AC82" i="10"/>
  <c r="AC52" i="12"/>
  <c r="AB27" i="11"/>
  <c r="AA32" i="11"/>
  <c r="AA39" i="11" s="1"/>
  <c r="Z8" i="11"/>
  <c r="Y14" i="11"/>
  <c r="Y20" i="11" s="1"/>
  <c r="Y44" i="11" s="1"/>
  <c r="Y45" i="11" s="1"/>
  <c r="AD82" i="10"/>
  <c r="AT34" i="11" l="1"/>
  <c r="AC53" i="12"/>
  <c r="AB32" i="11"/>
  <c r="AB39" i="11" s="1"/>
  <c r="AC27" i="11"/>
  <c r="AA8" i="11"/>
  <c r="Z14" i="11"/>
  <c r="Z20" i="11" s="1"/>
  <c r="Z44" i="11" s="1"/>
  <c r="Z45" i="11" s="1"/>
  <c r="AU34" i="11" l="1"/>
  <c r="AT30" i="12"/>
  <c r="AT33" i="12" s="1"/>
  <c r="AD27" i="11"/>
  <c r="AE27" i="11" s="1"/>
  <c r="AE32" i="11" s="1"/>
  <c r="AE39" i="11" s="1"/>
  <c r="AE44" i="11" s="1"/>
  <c r="AE45" i="11" s="1"/>
  <c r="AC32" i="11"/>
  <c r="AC39" i="11" s="1"/>
  <c r="AB8" i="11"/>
  <c r="AA14" i="11"/>
  <c r="AA20" i="11" s="1"/>
  <c r="AA44" i="11" s="1"/>
  <c r="AT52" i="12" l="1"/>
  <c r="AT53" i="12" s="1"/>
  <c r="AT76" i="12"/>
  <c r="AT34" i="12"/>
  <c r="AV34" i="11"/>
  <c r="AW34" i="11" s="1"/>
  <c r="AU30" i="12"/>
  <c r="AD32" i="11"/>
  <c r="AD39" i="11" s="1"/>
  <c r="AD44" i="11" s="1"/>
  <c r="AD45" i="11" s="1"/>
  <c r="AA45" i="11"/>
  <c r="AB45" i="11" s="1"/>
  <c r="AB44" i="11"/>
  <c r="AC8" i="11"/>
  <c r="AB14" i="11"/>
  <c r="AB20" i="11" s="1"/>
  <c r="AX34" i="11" l="1"/>
  <c r="AW30" i="12"/>
  <c r="AV30" i="12"/>
  <c r="AU33" i="12"/>
  <c r="AF27" i="11"/>
  <c r="AC14" i="11"/>
  <c r="AC20" i="11" s="1"/>
  <c r="AC44" i="11" s="1"/>
  <c r="AC45" i="11" s="1"/>
  <c r="AW33" i="12" l="1"/>
  <c r="AY34" i="11"/>
  <c r="AX30" i="12"/>
  <c r="AX33" i="12" s="1"/>
  <c r="AU52" i="12"/>
  <c r="AU53" i="12" s="1"/>
  <c r="AU76" i="12"/>
  <c r="AU34" i="12"/>
  <c r="AG27" i="11"/>
  <c r="AH27" i="11" s="1"/>
  <c r="AI27" i="11" s="1"/>
  <c r="AJ27" i="11" s="1"/>
  <c r="AL27" i="11" s="1"/>
  <c r="AQ27" i="11" s="1"/>
  <c r="AX34" i="12" l="1"/>
  <c r="AX52" i="12"/>
  <c r="AX53" i="12" s="1"/>
  <c r="AX76" i="12"/>
  <c r="AZ34" i="11"/>
  <c r="AY30" i="12"/>
  <c r="AY33" i="12" s="1"/>
  <c r="AW34" i="12"/>
  <c r="AW76" i="12"/>
  <c r="AW52" i="12"/>
  <c r="J65" i="3"/>
  <c r="J59" i="3"/>
  <c r="J55" i="3"/>
  <c r="J37" i="3"/>
  <c r="AW53" i="12" l="1"/>
  <c r="AY52" i="12"/>
  <c r="AY53" i="12" s="1"/>
  <c r="AY76" i="12"/>
  <c r="AY34" i="12"/>
  <c r="BA34" i="11"/>
  <c r="AZ30" i="12"/>
  <c r="AT27" i="11"/>
  <c r="AH60" i="3"/>
  <c r="AZ33" i="12" l="1"/>
  <c r="BA30" i="12"/>
  <c r="BA33" i="12" s="1"/>
  <c r="AU27" i="11"/>
  <c r="AT32" i="11"/>
  <c r="AT39" i="11" s="1"/>
  <c r="AA12" i="3"/>
  <c r="AB9" i="3"/>
  <c r="AB7" i="3"/>
  <c r="BA34" i="12" l="1"/>
  <c r="BA76" i="12"/>
  <c r="AZ34" i="12"/>
  <c r="AZ52" i="12"/>
  <c r="AZ76" i="12"/>
  <c r="AV27" i="11"/>
  <c r="AU32" i="11"/>
  <c r="AU39" i="11" s="1"/>
  <c r="AE56" i="3"/>
  <c r="AF60" i="3"/>
  <c r="AC62" i="3"/>
  <c r="AF45" i="3"/>
  <c r="AF50" i="3"/>
  <c r="AF48" i="3"/>
  <c r="AF44" i="3"/>
  <c r="AF31" i="3"/>
  <c r="AF32" i="3" s="1"/>
  <c r="AF38" i="3"/>
  <c r="AF30" i="3"/>
  <c r="AF27" i="3"/>
  <c r="AF26" i="3"/>
  <c r="AF10" i="3"/>
  <c r="AF35" i="3" s="1"/>
  <c r="AF36" i="3" s="1"/>
  <c r="AE10" i="3"/>
  <c r="AE35" i="3" s="1"/>
  <c r="AE36" i="3" s="1"/>
  <c r="AF9" i="3"/>
  <c r="AF7" i="3"/>
  <c r="AV32" i="11" l="1"/>
  <c r="AV39" i="11" s="1"/>
  <c r="AW27" i="11"/>
  <c r="AZ53" i="12"/>
  <c r="BA52" i="12"/>
  <c r="BA53" i="12" s="1"/>
  <c r="AF12" i="3"/>
  <c r="AF46" i="3"/>
  <c r="AF11" i="3"/>
  <c r="AX27" i="11" l="1"/>
  <c r="AW32" i="11"/>
  <c r="AW39" i="11" s="1"/>
  <c r="T59" i="3"/>
  <c r="T55" i="3"/>
  <c r="T37" i="3"/>
  <c r="R13" i="29" s="1"/>
  <c r="T14" i="3"/>
  <c r="R5" i="29" s="1"/>
  <c r="O59" i="3"/>
  <c r="O55" i="3"/>
  <c r="O37" i="3"/>
  <c r="M13" i="29" s="1"/>
  <c r="M17" i="29" s="1"/>
  <c r="O14" i="3"/>
  <c r="M5" i="29" s="1"/>
  <c r="M6" i="29" s="1"/>
  <c r="Y59" i="3"/>
  <c r="Y55" i="3"/>
  <c r="Y37" i="3"/>
  <c r="W13" i="29" s="1"/>
  <c r="Y14" i="3"/>
  <c r="W5" i="29" s="1"/>
  <c r="AN59" i="3"/>
  <c r="AS60" i="3" s="1"/>
  <c r="AN18" i="3"/>
  <c r="AS19" i="3" s="1"/>
  <c r="AD18" i="3"/>
  <c r="AI18" i="3"/>
  <c r="AD59" i="3"/>
  <c r="AI59" i="3"/>
  <c r="AD55" i="3"/>
  <c r="AD37" i="3"/>
  <c r="AB13" i="29" s="1"/>
  <c r="AD14" i="3"/>
  <c r="I27" i="3"/>
  <c r="H27" i="3"/>
  <c r="G27" i="3"/>
  <c r="F27" i="3"/>
  <c r="N27" i="3"/>
  <c r="M27" i="3"/>
  <c r="L27" i="3"/>
  <c r="K27" i="3"/>
  <c r="AC27" i="3"/>
  <c r="AH28" i="3" s="1"/>
  <c r="AB27" i="3"/>
  <c r="AG28" i="3" s="1"/>
  <c r="AA27" i="3"/>
  <c r="AF28" i="3" s="1"/>
  <c r="Z27" i="3"/>
  <c r="X27" i="3"/>
  <c r="W27" i="3"/>
  <c r="V27" i="3"/>
  <c r="U27" i="3"/>
  <c r="S27" i="3"/>
  <c r="R27" i="3"/>
  <c r="Q27" i="3"/>
  <c r="P27" i="3"/>
  <c r="AL19" i="3"/>
  <c r="AK19" i="3"/>
  <c r="AJ19" i="3"/>
  <c r="AH19" i="3"/>
  <c r="AY27" i="11" l="1"/>
  <c r="AX32" i="11"/>
  <c r="AX39" i="11" s="1"/>
  <c r="W6" i="29"/>
  <c r="AB15" i="29"/>
  <c r="AG16" i="29" s="1"/>
  <c r="R17" i="29"/>
  <c r="R18" i="29" s="1"/>
  <c r="R14" i="29"/>
  <c r="W14" i="29"/>
  <c r="W17" i="29"/>
  <c r="AD3" i="3"/>
  <c r="AB5" i="29"/>
  <c r="AB14" i="29"/>
  <c r="AG14" i="29"/>
  <c r="R6" i="29"/>
  <c r="R9" i="10"/>
  <c r="AN19" i="3"/>
  <c r="AI19" i="3"/>
  <c r="T38" i="3"/>
  <c r="AI60" i="3"/>
  <c r="T15" i="3"/>
  <c r="AD15" i="3"/>
  <c r="Y15" i="3"/>
  <c r="AD38" i="3"/>
  <c r="AN60" i="3"/>
  <c r="L28" i="3"/>
  <c r="Y38" i="3"/>
  <c r="M28" i="3"/>
  <c r="N28" i="3"/>
  <c r="K28" i="3"/>
  <c r="K12" i="3"/>
  <c r="AF13" i="3"/>
  <c r="Z12" i="3"/>
  <c r="X12" i="3"/>
  <c r="W12" i="3"/>
  <c r="V12" i="3"/>
  <c r="U12" i="3"/>
  <c r="S12" i="3"/>
  <c r="R12" i="3"/>
  <c r="Q12" i="3"/>
  <c r="P12" i="3"/>
  <c r="N12" i="3"/>
  <c r="M12" i="3"/>
  <c r="L12" i="3"/>
  <c r="AZ27" i="11" l="1"/>
  <c r="AY32" i="11"/>
  <c r="AY39" i="11" s="1"/>
  <c r="AB17" i="29"/>
  <c r="AB18" i="29" s="1"/>
  <c r="AB6" i="29"/>
  <c r="AG6" i="29"/>
  <c r="W18" i="29"/>
  <c r="W9" i="10"/>
  <c r="AB9" i="10"/>
  <c r="AB11" i="10"/>
  <c r="P13" i="3"/>
  <c r="AB10" i="3"/>
  <c r="AE9" i="3"/>
  <c r="AC9" i="3"/>
  <c r="AE7" i="3"/>
  <c r="AC7" i="3"/>
  <c r="I77" i="3"/>
  <c r="X77" i="3"/>
  <c r="U77" i="3"/>
  <c r="W77" i="3"/>
  <c r="AA77" i="3"/>
  <c r="N77" i="3"/>
  <c r="M77" i="3"/>
  <c r="R77" i="3"/>
  <c r="AB77" i="3"/>
  <c r="L77" i="3"/>
  <c r="Q77" i="3"/>
  <c r="V77" i="3"/>
  <c r="S77" i="3"/>
  <c r="AE77" i="3"/>
  <c r="P77" i="3"/>
  <c r="H77" i="3"/>
  <c r="F77" i="3"/>
  <c r="K77" i="3"/>
  <c r="G77" i="3"/>
  <c r="Z77" i="3"/>
  <c r="AC77" i="3"/>
  <c r="BA27" i="11" l="1"/>
  <c r="BA32" i="11" s="1"/>
  <c r="BA39" i="11" s="1"/>
  <c r="AZ32" i="11"/>
  <c r="AZ39" i="11" s="1"/>
  <c r="AG18" i="29"/>
  <c r="AB20" i="29"/>
  <c r="AG21" i="29" s="1"/>
  <c r="AA2" i="29"/>
  <c r="Z2" i="29"/>
  <c r="AC2" i="29"/>
  <c r="X2" i="29"/>
  <c r="T2" i="29"/>
  <c r="V2" i="29"/>
  <c r="Y2" i="29"/>
  <c r="U2" i="29"/>
  <c r="AB12" i="3"/>
  <c r="AB35" i="3"/>
  <c r="AB12" i="10"/>
  <c r="J77" i="3"/>
  <c r="T77" i="3"/>
  <c r="O77" i="3"/>
  <c r="Y77" i="3"/>
  <c r="W2" i="29" s="1"/>
  <c r="AD77" i="3"/>
  <c r="AB2" i="29" s="1"/>
  <c r="AL60" i="3"/>
  <c r="AK60" i="3"/>
  <c r="AJ60" i="3"/>
  <c r="AG60" i="3"/>
  <c r="Z62" i="3"/>
  <c r="X62" i="3"/>
  <c r="W62" i="3"/>
  <c r="V62" i="3"/>
  <c r="U62" i="3"/>
  <c r="S62" i="3"/>
  <c r="R62" i="3"/>
  <c r="Q62" i="3"/>
  <c r="P62" i="3"/>
  <c r="N62" i="3"/>
  <c r="M62" i="3"/>
  <c r="L62" i="3"/>
  <c r="K62" i="3"/>
  <c r="AE62" i="3"/>
  <c r="AE60" i="3"/>
  <c r="AB21" i="29" l="1"/>
  <c r="AB36" i="3"/>
  <c r="AD78" i="3"/>
  <c r="Y78" i="3"/>
  <c r="T78" i="3"/>
  <c r="O78" i="3"/>
  <c r="AB51" i="10"/>
  <c r="AB33" i="10"/>
  <c r="AB27" i="10"/>
  <c r="AB39" i="10"/>
  <c r="AB22" i="10"/>
  <c r="T62" i="3"/>
  <c r="AD62" i="3"/>
  <c r="Y62" i="3"/>
  <c r="O62" i="3"/>
  <c r="O63" i="3" s="1"/>
  <c r="AE78" i="3"/>
  <c r="AC78" i="3"/>
  <c r="K78" i="3"/>
  <c r="U78" i="3"/>
  <c r="L78" i="3"/>
  <c r="M78" i="3"/>
  <c r="W78" i="3"/>
  <c r="S78" i="3"/>
  <c r="V78" i="3"/>
  <c r="N78" i="3"/>
  <c r="R78" i="3"/>
  <c r="P78" i="3"/>
  <c r="Z78" i="3"/>
  <c r="AB78" i="3"/>
  <c r="Q78" i="3"/>
  <c r="AA78" i="3"/>
  <c r="X78" i="3"/>
  <c r="AB42" i="10" l="1"/>
  <c r="AB66" i="10" s="1"/>
  <c r="AB23" i="10"/>
  <c r="T63" i="3"/>
  <c r="Y63" i="3"/>
  <c r="AD63" i="3"/>
  <c r="AG50" i="3"/>
  <c r="AE50" i="3"/>
  <c r="AE48" i="3"/>
  <c r="AE46" i="3"/>
  <c r="AE44" i="3"/>
  <c r="AG32" i="3"/>
  <c r="AR27" i="3"/>
  <c r="N30" i="3"/>
  <c r="M30" i="3"/>
  <c r="L30" i="3"/>
  <c r="K30" i="3"/>
  <c r="AC30" i="3"/>
  <c r="AB30" i="3"/>
  <c r="AA30" i="3"/>
  <c r="Z30" i="3"/>
  <c r="X30" i="3"/>
  <c r="W30" i="3"/>
  <c r="V30" i="3"/>
  <c r="U30" i="3"/>
  <c r="S30" i="3"/>
  <c r="R30" i="3"/>
  <c r="Q30" i="3"/>
  <c r="P30" i="3"/>
  <c r="V28" i="3"/>
  <c r="X28" i="3"/>
  <c r="AE38" i="3"/>
  <c r="AC38" i="3"/>
  <c r="AB38" i="3"/>
  <c r="AA38" i="3"/>
  <c r="Z38" i="3"/>
  <c r="X38" i="3"/>
  <c r="W38" i="3"/>
  <c r="V38" i="3"/>
  <c r="U38" i="3"/>
  <c r="S38" i="3"/>
  <c r="R38" i="3"/>
  <c r="Q38" i="3"/>
  <c r="P38" i="3"/>
  <c r="AE26" i="3"/>
  <c r="AC26" i="3"/>
  <c r="AB26" i="3"/>
  <c r="AA26" i="3"/>
  <c r="Z26" i="3"/>
  <c r="X26" i="3"/>
  <c r="W26" i="3"/>
  <c r="V26" i="3"/>
  <c r="U26" i="3"/>
  <c r="S26" i="3"/>
  <c r="R26" i="3"/>
  <c r="Q26" i="3"/>
  <c r="P26" i="3"/>
  <c r="N26" i="3"/>
  <c r="N53" i="3" s="1"/>
  <c r="M26" i="3"/>
  <c r="M53" i="3" s="1"/>
  <c r="L26" i="3"/>
  <c r="L53" i="3" s="1"/>
  <c r="K26" i="3"/>
  <c r="K53" i="3" s="1"/>
  <c r="AR25" i="3" l="1"/>
  <c r="AR29" i="3" s="1"/>
  <c r="AG30" i="3"/>
  <c r="AB54" i="10"/>
  <c r="AB43" i="10"/>
  <c r="H31" i="26" s="1"/>
  <c r="AP25" i="3"/>
  <c r="AQ25" i="3"/>
  <c r="AC63" i="3"/>
  <c r="S63" i="3"/>
  <c r="U63" i="3"/>
  <c r="V63" i="3"/>
  <c r="AE63" i="3"/>
  <c r="W63" i="3"/>
  <c r="X63" i="3"/>
  <c r="P63" i="3"/>
  <c r="Z63" i="3"/>
  <c r="Q63" i="3"/>
  <c r="AA63" i="3"/>
  <c r="R63" i="3"/>
  <c r="AB63" i="3"/>
  <c r="AR48" i="3"/>
  <c r="AG48" i="3"/>
  <c r="W32" i="3"/>
  <c r="W28" i="3"/>
  <c r="U28" i="3"/>
  <c r="Z32" i="3"/>
  <c r="S28" i="3"/>
  <c r="AC28" i="3"/>
  <c r="R28" i="3"/>
  <c r="AB28" i="3"/>
  <c r="S32" i="3"/>
  <c r="P32" i="3"/>
  <c r="Q28" i="3"/>
  <c r="AA28" i="3"/>
  <c r="Q32" i="3"/>
  <c r="AA32" i="3"/>
  <c r="Z28" i="3"/>
  <c r="P28" i="3"/>
  <c r="R32" i="3"/>
  <c r="AB32" i="3"/>
  <c r="AC32" i="3"/>
  <c r="U32" i="3"/>
  <c r="V32" i="3"/>
  <c r="X32" i="3"/>
  <c r="AE32" i="3"/>
  <c r="AR37" i="3" l="1"/>
  <c r="AP13" i="29" s="1"/>
  <c r="AH48" i="3"/>
  <c r="AH53" i="3"/>
  <c r="AH31" i="3"/>
  <c r="AR54" i="3"/>
  <c r="AR56" i="3"/>
  <c r="AH30" i="3"/>
  <c r="AH34" i="3"/>
  <c r="AB69" i="10"/>
  <c r="AB68" i="10"/>
  <c r="AB72" i="10"/>
  <c r="AB55" i="10"/>
  <c r="AG56" i="3"/>
  <c r="AF56" i="3"/>
  <c r="AF62" i="3"/>
  <c r="AG62" i="3"/>
  <c r="AG38" i="3"/>
  <c r="AB70" i="10" l="1"/>
  <c r="AB79" i="10"/>
  <c r="AP14" i="29"/>
  <c r="AP17" i="29"/>
  <c r="AH32" i="3"/>
  <c r="AM32" i="3"/>
  <c r="AH54" i="3"/>
  <c r="AM54" i="3"/>
  <c r="AQ48" i="3"/>
  <c r="AR30" i="3"/>
  <c r="AR31" i="3"/>
  <c r="AR62" i="3"/>
  <c r="AI37" i="3"/>
  <c r="AI38" i="3" s="1"/>
  <c r="AH38" i="3"/>
  <c r="AL53" i="3"/>
  <c r="AR50" i="3"/>
  <c r="AO50" i="3"/>
  <c r="AJ56" i="3"/>
  <c r="AL52" i="3"/>
  <c r="AL48" i="3"/>
  <c r="AL30" i="3"/>
  <c r="AB74" i="10"/>
  <c r="AB76" i="10"/>
  <c r="N11" i="3"/>
  <c r="M11" i="3"/>
  <c r="L11" i="3"/>
  <c r="K11" i="3"/>
  <c r="I11" i="3"/>
  <c r="H11" i="3"/>
  <c r="G11" i="3"/>
  <c r="AA11" i="3"/>
  <c r="Z11" i="3"/>
  <c r="X11" i="3"/>
  <c r="W11" i="3"/>
  <c r="V11" i="3"/>
  <c r="U11" i="3"/>
  <c r="S11" i="3"/>
  <c r="R11" i="3"/>
  <c r="Q11" i="3"/>
  <c r="P11" i="3"/>
  <c r="AB81" i="10" l="1"/>
  <c r="AB63" i="10"/>
  <c r="H23" i="26"/>
  <c r="AP18" i="29"/>
  <c r="AQ56" i="3"/>
  <c r="AR63" i="3"/>
  <c r="AR38" i="3"/>
  <c r="AL54" i="3"/>
  <c r="AQ54" i="3"/>
  <c r="AE16" i="10"/>
  <c r="AG13" i="11"/>
  <c r="AR32" i="3"/>
  <c r="AL49" i="3"/>
  <c r="AQ50" i="3" s="1"/>
  <c r="AL56" i="3"/>
  <c r="AL31" i="3"/>
  <c r="AL38" i="3"/>
  <c r="AL62" i="3"/>
  <c r="AE15" i="10"/>
  <c r="AB7" i="12"/>
  <c r="AB77" i="10"/>
  <c r="AE9" i="10"/>
  <c r="AE10" i="10"/>
  <c r="AR68" i="3" l="1"/>
  <c r="AR70" i="3" s="1"/>
  <c r="AP23" i="29" s="1"/>
  <c r="AL50" i="3"/>
  <c r="AL32" i="3"/>
  <c r="AP24" i="29" l="1"/>
  <c r="AK10" i="10"/>
  <c r="AL13" i="11"/>
  <c r="AJ9" i="10"/>
  <c r="X21" i="3"/>
  <c r="S21" i="3"/>
  <c r="R21" i="3"/>
  <c r="Q21" i="3"/>
  <c r="P21" i="3"/>
  <c r="N21" i="3"/>
  <c r="N65" i="3" s="1"/>
  <c r="M21" i="3"/>
  <c r="M65" i="3" s="1"/>
  <c r="L21" i="3"/>
  <c r="L65" i="3" s="1"/>
  <c r="K21" i="3"/>
  <c r="AA13" i="3"/>
  <c r="Z13" i="3"/>
  <c r="X13" i="3"/>
  <c r="W13" i="3"/>
  <c r="V13" i="3"/>
  <c r="U13" i="3"/>
  <c r="S13" i="3"/>
  <c r="R13" i="3"/>
  <c r="Q13" i="3"/>
  <c r="AC10" i="3"/>
  <c r="AQ13" i="11" l="1"/>
  <c r="AR71" i="3"/>
  <c r="AE12" i="3"/>
  <c r="AC35" i="3"/>
  <c r="AC36" i="3" s="1"/>
  <c r="N66" i="3"/>
  <c r="L66" i="3"/>
  <c r="M66" i="3"/>
  <c r="T21" i="3"/>
  <c r="K65" i="3"/>
  <c r="K66" i="3" s="1"/>
  <c r="O21" i="3"/>
  <c r="O22" i="3" s="1"/>
  <c r="P65" i="3"/>
  <c r="P22" i="3"/>
  <c r="X65" i="3"/>
  <c r="X22" i="3"/>
  <c r="Q65" i="3"/>
  <c r="Q22" i="3"/>
  <c r="Z65" i="3"/>
  <c r="AA65" i="3"/>
  <c r="R65" i="3"/>
  <c r="R22" i="3"/>
  <c r="S65" i="3"/>
  <c r="S22" i="3"/>
  <c r="AC12" i="3"/>
  <c r="AC11" i="3"/>
  <c r="AB11" i="3"/>
  <c r="AE11" i="3"/>
  <c r="AC15" i="3"/>
  <c r="AC22" i="3"/>
  <c r="AE15" i="3"/>
  <c r="U15" i="3"/>
  <c r="U21" i="3"/>
  <c r="AB15" i="3"/>
  <c r="V15" i="3"/>
  <c r="V21" i="3"/>
  <c r="V22" i="3" s="1"/>
  <c r="W15" i="3"/>
  <c r="W21" i="3"/>
  <c r="W22" i="3" s="1"/>
  <c r="P15" i="3"/>
  <c r="Z15" i="3"/>
  <c r="Q15" i="3"/>
  <c r="AA15" i="3"/>
  <c r="R15" i="3"/>
  <c r="S15" i="3"/>
  <c r="X15" i="3"/>
  <c r="Q71" i="3" l="1"/>
  <c r="K17" i="10"/>
  <c r="X16" i="10"/>
  <c r="AA15" i="10"/>
  <c r="V17" i="10"/>
  <c r="R71" i="3"/>
  <c r="J17" i="10"/>
  <c r="L17" i="10"/>
  <c r="T22" i="3"/>
  <c r="Q66" i="3"/>
  <c r="U22" i="3"/>
  <c r="Y21" i="3"/>
  <c r="Y22" i="3" s="1"/>
  <c r="I17" i="10"/>
  <c r="O65" i="3"/>
  <c r="O66" i="3" s="1"/>
  <c r="T65" i="3"/>
  <c r="X71" i="3"/>
  <c r="Z22" i="3"/>
  <c r="AB65" i="3"/>
  <c r="AB22" i="3"/>
  <c r="X66" i="3"/>
  <c r="S71" i="3"/>
  <c r="S66" i="3"/>
  <c r="AE65" i="3"/>
  <c r="AE22" i="3"/>
  <c r="AA22" i="3"/>
  <c r="P66" i="3"/>
  <c r="R66" i="3"/>
  <c r="V65" i="3"/>
  <c r="AG10" i="3"/>
  <c r="U65" i="3"/>
  <c r="W65" i="3"/>
  <c r="AB13" i="3"/>
  <c r="AC13" i="3"/>
  <c r="AE13" i="3"/>
  <c r="L53" i="11" l="1"/>
  <c r="J53" i="11"/>
  <c r="K53" i="11"/>
  <c r="I53" i="11"/>
  <c r="V53" i="11"/>
  <c r="AG12" i="3"/>
  <c r="AG13" i="3" s="1"/>
  <c r="AG35" i="3"/>
  <c r="AG36" i="3" s="1"/>
  <c r="L51" i="11"/>
  <c r="L62" i="11"/>
  <c r="L71" i="11"/>
  <c r="L69" i="11"/>
  <c r="L67" i="11"/>
  <c r="L60" i="11"/>
  <c r="L73" i="11"/>
  <c r="L63" i="11"/>
  <c r="L72" i="11"/>
  <c r="L68" i="11"/>
  <c r="L61" i="11"/>
  <c r="L51" i="10"/>
  <c r="L70" i="11"/>
  <c r="L64" i="11"/>
  <c r="K72" i="11"/>
  <c r="K70" i="11"/>
  <c r="K68" i="11"/>
  <c r="K64" i="11"/>
  <c r="K51" i="11"/>
  <c r="K51" i="10"/>
  <c r="K62" i="11"/>
  <c r="K71" i="11"/>
  <c r="K69" i="11"/>
  <c r="K67" i="11"/>
  <c r="K60" i="11"/>
  <c r="K73" i="11"/>
  <c r="K63" i="11"/>
  <c r="K61" i="11"/>
  <c r="J61" i="11"/>
  <c r="J51" i="10"/>
  <c r="J72" i="11"/>
  <c r="J70" i="11"/>
  <c r="J68" i="11"/>
  <c r="J64" i="11"/>
  <c r="J51" i="11"/>
  <c r="J62" i="11"/>
  <c r="J71" i="11"/>
  <c r="J69" i="11"/>
  <c r="J67" i="11"/>
  <c r="J60" i="11"/>
  <c r="J73" i="11"/>
  <c r="J63" i="11"/>
  <c r="V51" i="11"/>
  <c r="V62" i="11"/>
  <c r="V71" i="11"/>
  <c r="V69" i="11"/>
  <c r="V67" i="11"/>
  <c r="V60" i="11"/>
  <c r="V73" i="11"/>
  <c r="V63" i="11"/>
  <c r="V70" i="11"/>
  <c r="V61" i="11"/>
  <c r="V51" i="10"/>
  <c r="V68" i="11"/>
  <c r="V64" i="11"/>
  <c r="I61" i="11"/>
  <c r="I51" i="10"/>
  <c r="I72" i="11"/>
  <c r="I70" i="11"/>
  <c r="I68" i="11"/>
  <c r="I64" i="11"/>
  <c r="I51" i="11"/>
  <c r="I62" i="11"/>
  <c r="I73" i="11"/>
  <c r="I63" i="11"/>
  <c r="I71" i="11"/>
  <c r="I69" i="11"/>
  <c r="I67" i="11"/>
  <c r="I60" i="11"/>
  <c r="V33" i="10"/>
  <c r="X19" i="10"/>
  <c r="V27" i="10"/>
  <c r="V22" i="10"/>
  <c r="V39" i="10"/>
  <c r="AA18" i="10"/>
  <c r="I16" i="10"/>
  <c r="I15" i="10"/>
  <c r="P17" i="10"/>
  <c r="P15" i="10"/>
  <c r="P16" i="10"/>
  <c r="J15" i="10"/>
  <c r="J16" i="10"/>
  <c r="T15" i="10"/>
  <c r="Y15" i="10"/>
  <c r="T17" i="10"/>
  <c r="K16" i="10"/>
  <c r="K15" i="10"/>
  <c r="Q16" i="10"/>
  <c r="Q17" i="10"/>
  <c r="Q15" i="10"/>
  <c r="O17" i="10"/>
  <c r="O15" i="10"/>
  <c r="O16" i="10"/>
  <c r="L15" i="10"/>
  <c r="L16" i="10"/>
  <c r="V15" i="10"/>
  <c r="AD22" i="3"/>
  <c r="Y65" i="3"/>
  <c r="T66" i="3"/>
  <c r="P71" i="3"/>
  <c r="AD65" i="3"/>
  <c r="AE66" i="3"/>
  <c r="AG11" i="3"/>
  <c r="V71" i="3"/>
  <c r="AA71" i="3"/>
  <c r="AC66" i="3"/>
  <c r="W66" i="3"/>
  <c r="AB66" i="3"/>
  <c r="U66" i="3"/>
  <c r="Z66" i="3"/>
  <c r="V66" i="3"/>
  <c r="AA66" i="3"/>
  <c r="AF63" i="3"/>
  <c r="AF15" i="3"/>
  <c r="P53" i="11" l="1"/>
  <c r="Q53" i="11"/>
  <c r="O53" i="11"/>
  <c r="T53" i="11"/>
  <c r="P71" i="11"/>
  <c r="P69" i="11"/>
  <c r="P67" i="11"/>
  <c r="P60" i="11"/>
  <c r="P73" i="11"/>
  <c r="P63" i="11"/>
  <c r="P61" i="11"/>
  <c r="P51" i="10"/>
  <c r="P72" i="11"/>
  <c r="P70" i="11"/>
  <c r="P68" i="11"/>
  <c r="P64" i="11"/>
  <c r="P51" i="11"/>
  <c r="P62" i="11"/>
  <c r="T61" i="11"/>
  <c r="T51" i="10"/>
  <c r="T72" i="11"/>
  <c r="T70" i="11"/>
  <c r="T68" i="11"/>
  <c r="T64" i="11"/>
  <c r="T51" i="11"/>
  <c r="T62" i="11"/>
  <c r="T71" i="11"/>
  <c r="T69" i="11"/>
  <c r="T67" i="11"/>
  <c r="T60" i="11"/>
  <c r="T73" i="11"/>
  <c r="T63" i="11"/>
  <c r="O71" i="11"/>
  <c r="O69" i="11"/>
  <c r="O67" i="11"/>
  <c r="O60" i="11"/>
  <c r="O73" i="11"/>
  <c r="O63" i="11"/>
  <c r="O61" i="11"/>
  <c r="O51" i="10"/>
  <c r="O72" i="11"/>
  <c r="O70" i="11"/>
  <c r="O68" i="11"/>
  <c r="O64" i="11"/>
  <c r="O51" i="11"/>
  <c r="O62" i="11"/>
  <c r="Q73" i="11"/>
  <c r="Q63" i="11"/>
  <c r="Q61" i="11"/>
  <c r="Q51" i="10"/>
  <c r="Q72" i="11"/>
  <c r="Q70" i="11"/>
  <c r="Q68" i="11"/>
  <c r="Q64" i="11"/>
  <c r="Q51" i="11"/>
  <c r="Q71" i="11"/>
  <c r="Q62" i="11"/>
  <c r="Q69" i="11"/>
  <c r="Q67" i="11"/>
  <c r="Q60" i="11"/>
  <c r="L27" i="10"/>
  <c r="L33" i="10"/>
  <c r="L119" i="10"/>
  <c r="L121" i="10" s="1"/>
  <c r="L39" i="10"/>
  <c r="L18" i="10"/>
  <c r="L22" i="10"/>
  <c r="L19" i="10"/>
  <c r="I22" i="10"/>
  <c r="I18" i="10"/>
  <c r="I19" i="10"/>
  <c r="I39" i="10"/>
  <c r="I33" i="10"/>
  <c r="I27" i="10"/>
  <c r="V42" i="10"/>
  <c r="V66" i="10" s="1"/>
  <c r="V136" i="10"/>
  <c r="V137" i="10" s="1"/>
  <c r="V23" i="10"/>
  <c r="Q22" i="10"/>
  <c r="Q27" i="10"/>
  <c r="Q33" i="10"/>
  <c r="Q19" i="10"/>
  <c r="Q18" i="10"/>
  <c r="Q39" i="10"/>
  <c r="R17" i="10"/>
  <c r="V18" i="10"/>
  <c r="U15" i="10"/>
  <c r="U17" i="10"/>
  <c r="U16" i="10"/>
  <c r="Z15" i="10"/>
  <c r="V16" i="10"/>
  <c r="N15" i="10"/>
  <c r="N16" i="10"/>
  <c r="N17" i="10"/>
  <c r="J33" i="10"/>
  <c r="J22" i="10"/>
  <c r="J39" i="10"/>
  <c r="J19" i="10"/>
  <c r="J18" i="10"/>
  <c r="J27" i="10"/>
  <c r="R15" i="10"/>
  <c r="P18" i="10"/>
  <c r="K18" i="10"/>
  <c r="K19" i="10"/>
  <c r="K22" i="10"/>
  <c r="K27" i="10"/>
  <c r="K33" i="10"/>
  <c r="K39" i="10"/>
  <c r="Z71" i="3"/>
  <c r="T128" i="10"/>
  <c r="T109" i="10"/>
  <c r="T18" i="10"/>
  <c r="T22" i="10"/>
  <c r="T39" i="10"/>
  <c r="T33" i="10"/>
  <c r="T27" i="10"/>
  <c r="Y18" i="10"/>
  <c r="O22" i="10"/>
  <c r="O33" i="10"/>
  <c r="O39" i="10"/>
  <c r="O27" i="10"/>
  <c r="O18" i="10"/>
  <c r="P22" i="10"/>
  <c r="P33" i="10"/>
  <c r="P39" i="10"/>
  <c r="P27" i="10"/>
  <c r="P19" i="10"/>
  <c r="U71" i="3"/>
  <c r="AD66" i="3"/>
  <c r="Y66" i="3"/>
  <c r="AE71" i="3"/>
  <c r="T71" i="3"/>
  <c r="AF22" i="3"/>
  <c r="M8" i="18"/>
  <c r="AC71" i="3"/>
  <c r="W71" i="3"/>
  <c r="AB71" i="3"/>
  <c r="AF65" i="3"/>
  <c r="AG63" i="3"/>
  <c r="AG15" i="3"/>
  <c r="R51" i="10" l="1"/>
  <c r="O119" i="10"/>
  <c r="O121" i="10" s="1"/>
  <c r="M9" i="18"/>
  <c r="M14" i="18"/>
  <c r="M15" i="18" s="1"/>
  <c r="M11" i="18"/>
  <c r="U53" i="11"/>
  <c r="O19" i="10"/>
  <c r="N53" i="11"/>
  <c r="P119" i="10"/>
  <c r="P121" i="10" s="1"/>
  <c r="U72" i="11"/>
  <c r="U70" i="11"/>
  <c r="U68" i="11"/>
  <c r="U64" i="11"/>
  <c r="U51" i="10"/>
  <c r="U51" i="11"/>
  <c r="U62" i="11"/>
  <c r="U71" i="11"/>
  <c r="U69" i="11"/>
  <c r="U67" i="11"/>
  <c r="U60" i="11"/>
  <c r="U73" i="11"/>
  <c r="U63" i="11"/>
  <c r="U61" i="11"/>
  <c r="Q119" i="10"/>
  <c r="Q121" i="10" s="1"/>
  <c r="N62" i="11"/>
  <c r="N71" i="11"/>
  <c r="N69" i="11"/>
  <c r="N67" i="11"/>
  <c r="N60" i="11"/>
  <c r="N73" i="11"/>
  <c r="N63" i="11"/>
  <c r="N61" i="11"/>
  <c r="N51" i="10"/>
  <c r="N72" i="11"/>
  <c r="N70" i="11"/>
  <c r="N68" i="11"/>
  <c r="N64" i="11"/>
  <c r="N51" i="11"/>
  <c r="I136" i="10"/>
  <c r="I137" i="10" s="1"/>
  <c r="I42" i="10"/>
  <c r="I23" i="10"/>
  <c r="K136" i="10"/>
  <c r="K137" i="10" s="1"/>
  <c r="K42" i="10"/>
  <c r="K23" i="10"/>
  <c r="V54" i="10"/>
  <c r="V43" i="10"/>
  <c r="L136" i="10"/>
  <c r="L137" i="10" s="1"/>
  <c r="L42" i="10"/>
  <c r="L23" i="10"/>
  <c r="P23" i="10"/>
  <c r="P136" i="10"/>
  <c r="P137" i="10" s="1"/>
  <c r="P42" i="10"/>
  <c r="O136" i="10"/>
  <c r="O137" i="10" s="1"/>
  <c r="O23" i="10"/>
  <c r="O42" i="10"/>
  <c r="J136" i="10"/>
  <c r="J137" i="10" s="1"/>
  <c r="J42" i="10"/>
  <c r="J23" i="10"/>
  <c r="U33" i="10"/>
  <c r="U18" i="10"/>
  <c r="U22" i="10"/>
  <c r="U39" i="10"/>
  <c r="U27" i="10"/>
  <c r="U19" i="10"/>
  <c r="Z18" i="10"/>
  <c r="V19" i="10"/>
  <c r="W17" i="10"/>
  <c r="W15" i="10"/>
  <c r="AB15" i="10"/>
  <c r="S17" i="10"/>
  <c r="X15" i="10"/>
  <c r="S15" i="10"/>
  <c r="S16" i="10"/>
  <c r="T16" i="10"/>
  <c r="M17" i="10"/>
  <c r="M15" i="10"/>
  <c r="N33" i="10"/>
  <c r="N22" i="10"/>
  <c r="N27" i="10"/>
  <c r="N19" i="10"/>
  <c r="N18" i="10"/>
  <c r="N39" i="10"/>
  <c r="N119" i="10"/>
  <c r="N121" i="10" s="1"/>
  <c r="T42" i="10"/>
  <c r="T66" i="10" s="1"/>
  <c r="T136" i="10"/>
  <c r="T137" i="10" s="1"/>
  <c r="T23" i="10"/>
  <c r="R27" i="10"/>
  <c r="R33" i="10"/>
  <c r="R22" i="10"/>
  <c r="R39" i="10"/>
  <c r="Q42" i="10"/>
  <c r="Q23" i="10"/>
  <c r="Q136" i="10"/>
  <c r="Q137" i="10" s="1"/>
  <c r="AE6" i="10"/>
  <c r="AE7" i="10"/>
  <c r="AE11" i="10"/>
  <c r="AD71" i="3"/>
  <c r="Y71" i="3"/>
  <c r="AG22" i="3"/>
  <c r="AF66" i="3"/>
  <c r="AG65" i="3"/>
  <c r="S53" i="11" l="1"/>
  <c r="W51" i="10"/>
  <c r="R18" i="10"/>
  <c r="M51" i="10"/>
  <c r="Z119" i="10"/>
  <c r="Z121" i="10" s="1"/>
  <c r="S61" i="11"/>
  <c r="S51" i="10"/>
  <c r="S72" i="11"/>
  <c r="S70" i="11"/>
  <c r="S68" i="11"/>
  <c r="S64" i="11"/>
  <c r="S51" i="11"/>
  <c r="S62" i="11"/>
  <c r="S71" i="11"/>
  <c r="S69" i="11"/>
  <c r="S67" i="11"/>
  <c r="S60" i="11"/>
  <c r="S73" i="11"/>
  <c r="S63" i="11"/>
  <c r="X119" i="10"/>
  <c r="X121" i="10" s="1"/>
  <c r="U42" i="10"/>
  <c r="U66" i="10" s="1"/>
  <c r="U136" i="10"/>
  <c r="U137" i="10" s="1"/>
  <c r="U23" i="10"/>
  <c r="P66" i="10"/>
  <c r="P54" i="10"/>
  <c r="P43" i="10"/>
  <c r="V55" i="10"/>
  <c r="V72" i="10"/>
  <c r="S33" i="10"/>
  <c r="S22" i="10"/>
  <c r="S27" i="10"/>
  <c r="S39" i="10"/>
  <c r="X18" i="10"/>
  <c r="S19" i="10"/>
  <c r="S18" i="10"/>
  <c r="S119" i="10"/>
  <c r="S121" i="10" s="1"/>
  <c r="T19" i="10"/>
  <c r="T119" i="10"/>
  <c r="T121" i="10" s="1"/>
  <c r="Q66" i="10"/>
  <c r="Q54" i="10"/>
  <c r="Q43" i="10"/>
  <c r="T54" i="10"/>
  <c r="T43" i="10"/>
  <c r="K54" i="10"/>
  <c r="K43" i="10"/>
  <c r="K66" i="10"/>
  <c r="M22" i="10"/>
  <c r="M18" i="10"/>
  <c r="M27" i="10"/>
  <c r="M33" i="10"/>
  <c r="M39" i="10"/>
  <c r="W39" i="10"/>
  <c r="W22" i="10"/>
  <c r="W27" i="10"/>
  <c r="W18" i="10"/>
  <c r="W33" i="10"/>
  <c r="AB18" i="10"/>
  <c r="J43" i="10"/>
  <c r="J54" i="10"/>
  <c r="J66" i="10"/>
  <c r="U119" i="10"/>
  <c r="U121" i="10" s="1"/>
  <c r="L54" i="10"/>
  <c r="L43" i="10"/>
  <c r="L66" i="10"/>
  <c r="N42" i="10"/>
  <c r="N136" i="10"/>
  <c r="N137" i="10" s="1"/>
  <c r="N23" i="10"/>
  <c r="Y119" i="10"/>
  <c r="Y121" i="10" s="1"/>
  <c r="V119" i="10"/>
  <c r="V121" i="10" s="1"/>
  <c r="O54" i="10"/>
  <c r="O66" i="10"/>
  <c r="O43" i="10"/>
  <c r="I43" i="10"/>
  <c r="I66" i="10"/>
  <c r="I54" i="10"/>
  <c r="R23" i="10"/>
  <c r="R42" i="10"/>
  <c r="AA119" i="10"/>
  <c r="AA121" i="10" s="1"/>
  <c r="V68" i="10"/>
  <c r="V69" i="10"/>
  <c r="V65" i="10"/>
  <c r="AE13" i="10"/>
  <c r="AE12" i="10"/>
  <c r="AO6" i="3"/>
  <c r="AG66" i="3"/>
  <c r="AL63" i="3"/>
  <c r="AP6" i="3" l="1"/>
  <c r="AE68" i="11"/>
  <c r="AE67" i="11"/>
  <c r="AE64" i="11"/>
  <c r="AE73" i="11"/>
  <c r="AE63" i="11"/>
  <c r="AE72" i="11"/>
  <c r="AE62" i="11"/>
  <c r="AE71" i="11"/>
  <c r="AE61" i="11"/>
  <c r="AE70" i="11"/>
  <c r="AE60" i="11"/>
  <c r="AE69" i="11"/>
  <c r="AE51" i="10"/>
  <c r="AE33" i="10"/>
  <c r="AE22" i="10"/>
  <c r="AE27" i="10"/>
  <c r="AE39" i="10"/>
  <c r="AE53" i="11"/>
  <c r="I68" i="10"/>
  <c r="I69" i="10"/>
  <c r="N66" i="10"/>
  <c r="N54" i="10"/>
  <c r="N43" i="10"/>
  <c r="V79" i="10"/>
  <c r="V70" i="10"/>
  <c r="L69" i="10"/>
  <c r="L68" i="10"/>
  <c r="P72" i="10"/>
  <c r="P55" i="10"/>
  <c r="O68" i="10"/>
  <c r="O69" i="10"/>
  <c r="M23" i="10"/>
  <c r="M42" i="10"/>
  <c r="Q72" i="10"/>
  <c r="Q55" i="10"/>
  <c r="P68" i="10"/>
  <c r="P69" i="10"/>
  <c r="T55" i="10"/>
  <c r="T72" i="10"/>
  <c r="O72" i="10"/>
  <c r="O55" i="10"/>
  <c r="L72" i="10"/>
  <c r="L55" i="10"/>
  <c r="K69" i="10"/>
  <c r="K68" i="10"/>
  <c r="Q69" i="10"/>
  <c r="Q68" i="10"/>
  <c r="R66" i="10"/>
  <c r="R43" i="10"/>
  <c r="R54" i="10"/>
  <c r="W42" i="10"/>
  <c r="W66" i="10" s="1"/>
  <c r="W23" i="10"/>
  <c r="S42" i="10"/>
  <c r="S66" i="10" s="1"/>
  <c r="S136" i="10"/>
  <c r="S137" i="10" s="1"/>
  <c r="S23" i="10"/>
  <c r="J69" i="10"/>
  <c r="J68" i="10"/>
  <c r="K72" i="10"/>
  <c r="K55" i="10"/>
  <c r="U54" i="10"/>
  <c r="U43" i="10"/>
  <c r="I72" i="10"/>
  <c r="I55" i="10"/>
  <c r="J55" i="10"/>
  <c r="J72" i="10"/>
  <c r="T69" i="10"/>
  <c r="T68" i="10"/>
  <c r="V74" i="10"/>
  <c r="V76" i="10"/>
  <c r="AE18" i="10"/>
  <c r="AE19" i="10"/>
  <c r="V81" i="10" l="1"/>
  <c r="V63" i="10"/>
  <c r="V64" i="10" s="1"/>
  <c r="V7" i="12"/>
  <c r="V33" i="12" s="1"/>
  <c r="V34" i="12" s="1"/>
  <c r="AQ6" i="3"/>
  <c r="AE23" i="10"/>
  <c r="AE42" i="10"/>
  <c r="AE66" i="10" s="1"/>
  <c r="AE55" i="11"/>
  <c r="J76" i="10"/>
  <c r="J63" i="10" s="1"/>
  <c r="J74" i="10"/>
  <c r="K76" i="10"/>
  <c r="K63" i="10" s="1"/>
  <c r="K74" i="10"/>
  <c r="R55" i="10"/>
  <c r="R72" i="10"/>
  <c r="L76" i="10"/>
  <c r="L63" i="10" s="1"/>
  <c r="L74" i="10"/>
  <c r="Q74" i="10"/>
  <c r="Q76" i="10"/>
  <c r="Q63" i="10" s="1"/>
  <c r="L70" i="10"/>
  <c r="L79" i="10"/>
  <c r="L80" i="10" s="1"/>
  <c r="M54" i="10"/>
  <c r="M66" i="10"/>
  <c r="M43" i="10"/>
  <c r="O76" i="10"/>
  <c r="O63" i="10" s="1"/>
  <c r="O74" i="10"/>
  <c r="R68" i="10"/>
  <c r="R69" i="10"/>
  <c r="I76" i="10"/>
  <c r="I63" i="10" s="1"/>
  <c r="I74" i="10"/>
  <c r="T76" i="10"/>
  <c r="T74" i="10"/>
  <c r="O70" i="10"/>
  <c r="O79" i="10"/>
  <c r="J79" i="10"/>
  <c r="J80" i="10" s="1"/>
  <c r="J70" i="10"/>
  <c r="V77" i="10"/>
  <c r="Q70" i="10"/>
  <c r="Q79" i="10"/>
  <c r="N72" i="10"/>
  <c r="N55" i="10"/>
  <c r="AA80" i="10"/>
  <c r="U69" i="10"/>
  <c r="U68" i="10"/>
  <c r="S43" i="10"/>
  <c r="S54" i="10"/>
  <c r="P70" i="10"/>
  <c r="P79" i="10"/>
  <c r="N69" i="10"/>
  <c r="N68" i="10"/>
  <c r="U72" i="10"/>
  <c r="U55" i="10"/>
  <c r="K70" i="10"/>
  <c r="K79" i="10"/>
  <c r="K80" i="10" s="1"/>
  <c r="P76" i="10"/>
  <c r="P63" i="10" s="1"/>
  <c r="P74" i="10"/>
  <c r="I79" i="10"/>
  <c r="I70" i="10"/>
  <c r="T79" i="10"/>
  <c r="T70" i="10"/>
  <c r="W43" i="10"/>
  <c r="W54" i="10"/>
  <c r="R70" i="10" l="1"/>
  <c r="T81" i="10"/>
  <c r="T63" i="10"/>
  <c r="T64" i="10" s="1"/>
  <c r="T7" i="12"/>
  <c r="L7" i="12"/>
  <c r="L33" i="12" s="1"/>
  <c r="L34" i="12" s="1"/>
  <c r="L64" i="10"/>
  <c r="O7" i="12"/>
  <c r="O33" i="12" s="1"/>
  <c r="O34" i="12" s="1"/>
  <c r="O64" i="10"/>
  <c r="K7" i="12"/>
  <c r="K33" i="12" s="1"/>
  <c r="K34" i="12" s="1"/>
  <c r="K64" i="10"/>
  <c r="V52" i="12"/>
  <c r="V53" i="12" s="1"/>
  <c r="Q7" i="12"/>
  <c r="Q33" i="12" s="1"/>
  <c r="Q34" i="12" s="1"/>
  <c r="Q64" i="10"/>
  <c r="V76" i="12"/>
  <c r="I7" i="12"/>
  <c r="I33" i="12" s="1"/>
  <c r="I34" i="12" s="1"/>
  <c r="I64" i="10"/>
  <c r="P7" i="12"/>
  <c r="P33" i="12" s="1"/>
  <c r="P34" i="12" s="1"/>
  <c r="P64" i="10"/>
  <c r="J7" i="12"/>
  <c r="J33" i="12" s="1"/>
  <c r="J34" i="12" s="1"/>
  <c r="J64" i="10"/>
  <c r="AR6" i="3"/>
  <c r="AE43" i="10"/>
  <c r="K31" i="26" s="1"/>
  <c r="AE54" i="10"/>
  <c r="AE72" i="10" s="1"/>
  <c r="AE56" i="11"/>
  <c r="AE57" i="11"/>
  <c r="Q80" i="10"/>
  <c r="O78" i="10"/>
  <c r="O81" i="10"/>
  <c r="O77" i="10"/>
  <c r="T77" i="10"/>
  <c r="M69" i="10"/>
  <c r="M68" i="10"/>
  <c r="R76" i="10"/>
  <c r="R63" i="10" s="1"/>
  <c r="R74" i="10"/>
  <c r="S69" i="10"/>
  <c r="S68" i="10"/>
  <c r="L81" i="10"/>
  <c r="L82" i="10" s="1"/>
  <c r="L77" i="10"/>
  <c r="U79" i="10"/>
  <c r="U70" i="10"/>
  <c r="M55" i="10"/>
  <c r="M72" i="10"/>
  <c r="M74" i="10" s="1"/>
  <c r="T80" i="10"/>
  <c r="Y80" i="10"/>
  <c r="U74" i="10"/>
  <c r="U76" i="10"/>
  <c r="I80" i="10"/>
  <c r="N79" i="10"/>
  <c r="N70" i="10"/>
  <c r="AA82" i="10"/>
  <c r="I77" i="10"/>
  <c r="I81" i="10"/>
  <c r="M76" i="10"/>
  <c r="P81" i="10"/>
  <c r="P77" i="10"/>
  <c r="P80" i="10"/>
  <c r="V80" i="10"/>
  <c r="K81" i="10"/>
  <c r="K82" i="10" s="1"/>
  <c r="K77" i="10"/>
  <c r="W72" i="10"/>
  <c r="W55" i="10"/>
  <c r="Q77" i="10"/>
  <c r="Q81" i="10"/>
  <c r="W68" i="10"/>
  <c r="W69" i="10"/>
  <c r="S55" i="10"/>
  <c r="S72" i="10"/>
  <c r="N74" i="10"/>
  <c r="N76" i="10"/>
  <c r="N63" i="10" s="1"/>
  <c r="O80" i="10"/>
  <c r="J81" i="10"/>
  <c r="J82" i="10" s="1"/>
  <c r="J77" i="10"/>
  <c r="U81" i="10" l="1"/>
  <c r="Z82" i="10" s="1"/>
  <c r="U63" i="10"/>
  <c r="U64" i="10" s="1"/>
  <c r="M81" i="10"/>
  <c r="M82" i="10" s="1"/>
  <c r="M63" i="10"/>
  <c r="M70" i="10"/>
  <c r="M79" i="10"/>
  <c r="M80" i="10" s="1"/>
  <c r="W70" i="10"/>
  <c r="W79" i="10"/>
  <c r="I52" i="12"/>
  <c r="I53" i="12" s="1"/>
  <c r="P76" i="12"/>
  <c r="L52" i="12"/>
  <c r="L53" i="12" s="1"/>
  <c r="L76" i="12"/>
  <c r="Q52" i="12"/>
  <c r="Q53" i="12" s="1"/>
  <c r="Q76" i="12"/>
  <c r="J52" i="12"/>
  <c r="J53" i="12" s="1"/>
  <c r="P52" i="12"/>
  <c r="P53" i="12" s="1"/>
  <c r="O52" i="12"/>
  <c r="O53" i="12" s="1"/>
  <c r="R7" i="12"/>
  <c r="R33" i="12" s="1"/>
  <c r="R34" i="12" s="1"/>
  <c r="O76" i="12"/>
  <c r="K52" i="12"/>
  <c r="K53" i="12" s="1"/>
  <c r="O35" i="12"/>
  <c r="K76" i="12"/>
  <c r="N7" i="12"/>
  <c r="N33" i="12" s="1"/>
  <c r="N34" i="12" s="1"/>
  <c r="N64" i="10"/>
  <c r="M7" i="12"/>
  <c r="M33" i="12" s="1"/>
  <c r="M34" i="12" s="1"/>
  <c r="U7" i="12"/>
  <c r="I76" i="12"/>
  <c r="I79" i="12" s="1"/>
  <c r="J78" i="12" s="1"/>
  <c r="J76" i="12"/>
  <c r="Z80" i="10"/>
  <c r="AE68" i="10"/>
  <c r="AE69" i="10"/>
  <c r="U80" i="10"/>
  <c r="Q82" i="10"/>
  <c r="O82" i="10"/>
  <c r="U77" i="10"/>
  <c r="T82" i="10"/>
  <c r="Y82" i="10"/>
  <c r="N81" i="10"/>
  <c r="N82" i="10" s="1"/>
  <c r="N77" i="10"/>
  <c r="V82" i="10"/>
  <c r="S76" i="10"/>
  <c r="S63" i="10" s="1"/>
  <c r="S74" i="10"/>
  <c r="W74" i="10"/>
  <c r="W76" i="10"/>
  <c r="S70" i="10"/>
  <c r="S79" i="10"/>
  <c r="P82" i="10"/>
  <c r="M77" i="10"/>
  <c r="R81" i="10"/>
  <c r="R77" i="10"/>
  <c r="N80" i="10"/>
  <c r="R79" i="10"/>
  <c r="I82" i="10"/>
  <c r="AE70" i="10" l="1"/>
  <c r="W81" i="10"/>
  <c r="W82" i="10" s="1"/>
  <c r="W63" i="10"/>
  <c r="S7" i="12"/>
  <c r="S33" i="12" s="1"/>
  <c r="S52" i="12" s="1"/>
  <c r="S81" i="10"/>
  <c r="R80" i="10"/>
  <c r="W80" i="10"/>
  <c r="AB80" i="10"/>
  <c r="J79" i="12"/>
  <c r="K78" i="12" s="1"/>
  <c r="K79" i="12" s="1"/>
  <c r="L78" i="12" s="1"/>
  <c r="L79" i="12" s="1"/>
  <c r="N78" i="12" s="1"/>
  <c r="M52" i="12"/>
  <c r="M53" i="12" s="1"/>
  <c r="N76" i="12"/>
  <c r="N52" i="12"/>
  <c r="N53" i="12" s="1"/>
  <c r="M76" i="12"/>
  <c r="M79" i="12" s="1"/>
  <c r="R78" i="12" s="1"/>
  <c r="W7" i="12"/>
  <c r="W33" i="12" s="1"/>
  <c r="R76" i="12"/>
  <c r="S64" i="10"/>
  <c r="U82" i="10"/>
  <c r="W77" i="10"/>
  <c r="R82" i="10"/>
  <c r="S80" i="10"/>
  <c r="X80" i="10"/>
  <c r="S77" i="10"/>
  <c r="AE79" i="10"/>
  <c r="AB82" i="10" l="1"/>
  <c r="K23" i="26"/>
  <c r="S34" i="12"/>
  <c r="N79" i="12"/>
  <c r="O78" i="12" s="1"/>
  <c r="O79" i="12" s="1"/>
  <c r="P78" i="12" s="1"/>
  <c r="P79" i="12" s="1"/>
  <c r="Q78" i="12" s="1"/>
  <c r="R52" i="12"/>
  <c r="R53" i="12" s="1"/>
  <c r="S76" i="12"/>
  <c r="S79" i="12" s="1"/>
  <c r="T78" i="12" s="1"/>
  <c r="S53" i="12"/>
  <c r="S82" i="10"/>
  <c r="X82" i="10"/>
  <c r="AE80" i="10"/>
  <c r="AE30" i="3" l="1"/>
  <c r="AE27" i="3"/>
  <c r="AE28" i="3" l="1"/>
  <c r="AJ28" i="3"/>
  <c r="AJ34" i="3"/>
  <c r="AJ30" i="3" l="1"/>
  <c r="AO32" i="3" l="1"/>
  <c r="AJ62" i="3"/>
  <c r="AO63" i="3" s="1"/>
  <c r="AJ63" i="3" l="1"/>
  <c r="AJ32" i="3"/>
  <c r="AJ71" i="3" l="1"/>
  <c r="AJ73" i="3"/>
  <c r="AH9" i="10"/>
  <c r="AH15" i="10" l="1"/>
  <c r="AG71" i="3" l="1"/>
  <c r="AF71" i="3"/>
  <c r="AG78" i="3" l="1"/>
  <c r="AF78" i="3"/>
  <c r="AJ15" i="10" l="1"/>
  <c r="AI15" i="10"/>
  <c r="AK71" i="3"/>
  <c r="AJ16" i="10"/>
  <c r="AI16" i="10"/>
  <c r="AL14" i="10"/>
  <c r="AE55" i="10" l="1"/>
  <c r="AE74" i="10" l="1"/>
  <c r="AE76" i="10"/>
  <c r="AE81" i="10" l="1"/>
  <c r="AE63" i="10"/>
  <c r="AE64" i="10" s="1"/>
  <c r="AE7" i="12"/>
  <c r="AE77" i="10"/>
  <c r="W33" i="11"/>
  <c r="W39" i="11" s="1"/>
  <c r="V72" i="11"/>
  <c r="V39" i="11"/>
  <c r="V44" i="11" s="1"/>
  <c r="V45" i="11" s="1"/>
  <c r="W45" i="11" s="1"/>
  <c r="AE82" i="10" l="1"/>
  <c r="W44" i="11"/>
  <c r="AB33" i="12" l="1"/>
  <c r="AB76" i="12" s="1"/>
  <c r="X33" i="12"/>
  <c r="X52" i="12" l="1"/>
  <c r="X76" i="12"/>
  <c r="X34" i="12"/>
  <c r="AB34" i="12"/>
  <c r="X53" i="12" l="1"/>
  <c r="AB52" i="12"/>
  <c r="AB53" i="12" s="1"/>
  <c r="U33" i="12" l="1"/>
  <c r="U34" i="12" l="1"/>
  <c r="U76" i="12"/>
  <c r="U52" i="12"/>
  <c r="U53" i="12" l="1"/>
  <c r="T33" i="12"/>
  <c r="T34" i="12" l="1"/>
  <c r="T76" i="12"/>
  <c r="T79" i="12" s="1"/>
  <c r="U78" i="12" s="1"/>
  <c r="U79" i="12" s="1"/>
  <c r="V78" i="12" s="1"/>
  <c r="V79" i="12" s="1"/>
  <c r="X78" i="12" s="1"/>
  <c r="X79" i="12" s="1"/>
  <c r="Y78" i="12" s="1"/>
  <c r="Y79" i="12" s="1"/>
  <c r="Z78" i="12" s="1"/>
  <c r="Z79" i="12" s="1"/>
  <c r="AA78" i="12" s="1"/>
  <c r="AC78" i="12" s="1"/>
  <c r="AC79" i="12" s="1"/>
  <c r="AD78" i="12" s="1"/>
  <c r="AD79" i="12" s="1"/>
  <c r="AE78" i="12" s="1"/>
  <c r="T52" i="12"/>
  <c r="T2" i="12" s="1"/>
  <c r="W34" i="12"/>
  <c r="W76" i="12"/>
  <c r="W79" i="12" s="1"/>
  <c r="AB78" i="12" s="1"/>
  <c r="AG78" i="12" s="1"/>
  <c r="T53" i="12" l="1"/>
  <c r="W52" i="12"/>
  <c r="W53" i="12" s="1"/>
  <c r="AB64" i="10" l="1"/>
  <c r="M64" i="10" l="1"/>
  <c r="W64" i="10" l="1"/>
  <c r="H64" i="10" l="1"/>
  <c r="H92" i="10" l="1"/>
  <c r="R64" i="10" l="1"/>
  <c r="M92" i="10" l="1"/>
  <c r="AE33" i="12" l="1"/>
  <c r="AE76" i="12" s="1"/>
  <c r="AE34" i="12" l="1"/>
  <c r="AE52" i="12"/>
  <c r="AE79" i="12"/>
  <c r="AE53" i="12" l="1"/>
  <c r="AF78" i="12"/>
  <c r="AH52" i="3" l="1"/>
  <c r="AH49" i="3" l="1"/>
  <c r="AM50" i="3" s="1"/>
  <c r="AH56" i="3"/>
  <c r="AI55" i="3"/>
  <c r="AK9" i="10" l="1"/>
  <c r="AG8" i="10"/>
  <c r="AH50" i="3"/>
  <c r="AF10" i="10"/>
  <c r="AF13" i="10"/>
  <c r="AF9" i="10"/>
  <c r="AH10" i="10"/>
  <c r="AI62" i="3"/>
  <c r="AH63" i="3"/>
  <c r="AI56" i="3"/>
  <c r="AG9" i="10" l="1"/>
  <c r="AF12" i="10"/>
  <c r="AI63" i="3"/>
  <c r="AG12" i="10" l="1"/>
  <c r="AI68" i="3" l="1"/>
  <c r="AH73" i="3"/>
  <c r="AH71" i="3" l="1"/>
  <c r="AI70" i="3"/>
  <c r="AI74" i="3" s="1"/>
  <c r="AI73" i="3" l="1"/>
  <c r="AI71" i="3"/>
  <c r="AF15" i="10"/>
  <c r="AF16" i="10"/>
  <c r="AH16" i="10"/>
  <c r="AF51" i="10"/>
  <c r="AL15" i="10" l="1"/>
  <c r="AG25" i="11"/>
  <c r="AF18" i="10"/>
  <c r="AG31" i="11"/>
  <c r="AG17" i="10"/>
  <c r="AF19" i="10"/>
  <c r="AG24" i="11"/>
  <c r="AG29" i="10" l="1"/>
  <c r="AG31" i="10"/>
  <c r="AG37" i="10"/>
  <c r="AG35" i="10"/>
  <c r="M21" i="26"/>
  <c r="AG38" i="10"/>
  <c r="AG39" i="10" s="1"/>
  <c r="AG32" i="10"/>
  <c r="AG33" i="10" s="1"/>
  <c r="AG21" i="10"/>
  <c r="AG22" i="10" s="1"/>
  <c r="AG9" i="11"/>
  <c r="AF53" i="11"/>
  <c r="AF52" i="10"/>
  <c r="AG50" i="10"/>
  <c r="AG26" i="10"/>
  <c r="AG38" i="11"/>
  <c r="AF55" i="11"/>
  <c r="AK56" i="11" s="1"/>
  <c r="AG23" i="11"/>
  <c r="AF32" i="11"/>
  <c r="AF39" i="11" s="1"/>
  <c r="AF22" i="10"/>
  <c r="AF23" i="10" s="1"/>
  <c r="AG12" i="11"/>
  <c r="AG19" i="11"/>
  <c r="AG26" i="11"/>
  <c r="AG18" i="10"/>
  <c r="AG33" i="11"/>
  <c r="AG52" i="10" l="1"/>
  <c r="AG51" i="10"/>
  <c r="AF42" i="10"/>
  <c r="AF66" i="10" s="1"/>
  <c r="AG27" i="10"/>
  <c r="AG40" i="10"/>
  <c r="AG42" i="10" s="1"/>
  <c r="AG66" i="10" s="1"/>
  <c r="AG32" i="11"/>
  <c r="AG39" i="11" s="1"/>
  <c r="AF57" i="11"/>
  <c r="AF56" i="11"/>
  <c r="AG23" i="10"/>
  <c r="AF54" i="10" l="1"/>
  <c r="AF72" i="10" s="1"/>
  <c r="AF43" i="10"/>
  <c r="L31" i="26" s="1"/>
  <c r="AG54" i="10"/>
  <c r="AG43" i="10"/>
  <c r="M31" i="26" s="1"/>
  <c r="AF68" i="10" l="1"/>
  <c r="AF69" i="10"/>
  <c r="AF55" i="10"/>
  <c r="AF76" i="10"/>
  <c r="AF74" i="10"/>
  <c r="AG69" i="10"/>
  <c r="AG68" i="10"/>
  <c r="AG72" i="10"/>
  <c r="AG55" i="10"/>
  <c r="AF70" i="10" l="1"/>
  <c r="AF81" i="10"/>
  <c r="AF63" i="10"/>
  <c r="AF64" i="10" s="1"/>
  <c r="AG70" i="10"/>
  <c r="AG79" i="10"/>
  <c r="AG80" i="10" s="1"/>
  <c r="AF79" i="10"/>
  <c r="AK80" i="10" s="1"/>
  <c r="AF7" i="12"/>
  <c r="AF33" i="12" s="1"/>
  <c r="AF76" i="12" s="1"/>
  <c r="AG74" i="10"/>
  <c r="AG76" i="10"/>
  <c r="AF77" i="10"/>
  <c r="AF14" i="11"/>
  <c r="AF20" i="11" s="1"/>
  <c r="AF44" i="11" s="1"/>
  <c r="AG6" i="11"/>
  <c r="AG81" i="10" l="1"/>
  <c r="AG82" i="10" s="1"/>
  <c r="AG63" i="10"/>
  <c r="AG64" i="10" s="1"/>
  <c r="M23" i="26"/>
  <c r="AF80" i="10"/>
  <c r="AK82" i="10"/>
  <c r="L23" i="26"/>
  <c r="AG7" i="12"/>
  <c r="AF79" i="12"/>
  <c r="AH78" i="12" s="1"/>
  <c r="AF34" i="12"/>
  <c r="AF52" i="12"/>
  <c r="AG52" i="12" s="1"/>
  <c r="AG14" i="11"/>
  <c r="AG20" i="11" s="1"/>
  <c r="AF45" i="11"/>
  <c r="AG45" i="11" s="1"/>
  <c r="AG44" i="11"/>
  <c r="AF82" i="10"/>
  <c r="AG77" i="10"/>
  <c r="AG33" i="12" l="1"/>
  <c r="AG76" i="12" s="1"/>
  <c r="AG79" i="12" s="1"/>
  <c r="AL78" i="12" s="1"/>
  <c r="AG53" i="12"/>
  <c r="AF53" i="12"/>
  <c r="AH52" i="10"/>
  <c r="AG34" i="12" l="1"/>
  <c r="AJ52" i="10"/>
  <c r="AL50" i="10" l="1"/>
  <c r="AL52" i="10" l="1"/>
  <c r="AH10" i="3"/>
  <c r="AH9" i="3"/>
  <c r="AJ10" i="3"/>
  <c r="AJ12" i="3" l="1"/>
  <c r="AO12" i="3" s="1"/>
  <c r="AJ35" i="3"/>
  <c r="AH11" i="3"/>
  <c r="AH12" i="3"/>
  <c r="AH35" i="3"/>
  <c r="AJ11" i="3"/>
  <c r="AJ21" i="3"/>
  <c r="AJ22" i="3" s="1"/>
  <c r="M20" i="18"/>
  <c r="AH36" i="3" l="1"/>
  <c r="AM36" i="3"/>
  <c r="M26" i="18"/>
  <c r="M27" i="18" s="1"/>
  <c r="M23" i="18"/>
  <c r="M21" i="18"/>
  <c r="AJ36" i="3"/>
  <c r="AH13" i="3"/>
  <c r="AK10" i="3"/>
  <c r="AJ65" i="3"/>
  <c r="AJ66" i="3" s="1"/>
  <c r="AJ15" i="3"/>
  <c r="AH15" i="3"/>
  <c r="AH21" i="3"/>
  <c r="AM22" i="3" s="1"/>
  <c r="AI14" i="3"/>
  <c r="AI15" i="3" l="1"/>
  <c r="AI3" i="3"/>
  <c r="AL10" i="3"/>
  <c r="AK11" i="3"/>
  <c r="AH22" i="3"/>
  <c r="AI21" i="3"/>
  <c r="AI22" i="3" s="1"/>
  <c r="AK6" i="10" l="1"/>
  <c r="AL12" i="3"/>
  <c r="AM11" i="3"/>
  <c r="AM12" i="3"/>
  <c r="AO8" i="3"/>
  <c r="AH6" i="10"/>
  <c r="AL35" i="3"/>
  <c r="AL11" i="3"/>
  <c r="AH66" i="3"/>
  <c r="AI65" i="3"/>
  <c r="AI66" i="3" s="1"/>
  <c r="AF7" i="10"/>
  <c r="AF6" i="10"/>
  <c r="AG5" i="10"/>
  <c r="AH7" i="10"/>
  <c r="AH13" i="10"/>
  <c r="AG6" i="10" l="1"/>
  <c r="AM13" i="3"/>
  <c r="AR12" i="3"/>
  <c r="AP8" i="3"/>
  <c r="AO10" i="3"/>
  <c r="AO14" i="3" s="1"/>
  <c r="AM5" i="29" s="1"/>
  <c r="AL36" i="3"/>
  <c r="AH12" i="10"/>
  <c r="AH17" i="10"/>
  <c r="AL15" i="3"/>
  <c r="AH78" i="3"/>
  <c r="AI77" i="3"/>
  <c r="AH29" i="10" l="1"/>
  <c r="AH31" i="10"/>
  <c r="AH37" i="10"/>
  <c r="AH35" i="10"/>
  <c r="AM18" i="10"/>
  <c r="N21" i="26"/>
  <c r="AM9" i="29"/>
  <c r="AM6" i="29"/>
  <c r="AJ77" i="3"/>
  <c r="AH71" i="11"/>
  <c r="AH61" i="11"/>
  <c r="AH73" i="11"/>
  <c r="AH70" i="11"/>
  <c r="AH60" i="11"/>
  <c r="AH72" i="11"/>
  <c r="AH69" i="11"/>
  <c r="AH63" i="11"/>
  <c r="AH68" i="11"/>
  <c r="AH67" i="11"/>
  <c r="AH62" i="11"/>
  <c r="AH64" i="11"/>
  <c r="AH27" i="10"/>
  <c r="AH39" i="10"/>
  <c r="AH33" i="10"/>
  <c r="AH53" i="11"/>
  <c r="AO35" i="3"/>
  <c r="AO36" i="3" s="1"/>
  <c r="AO11" i="3"/>
  <c r="AQ8" i="3"/>
  <c r="AP10" i="3"/>
  <c r="AH51" i="11"/>
  <c r="AH51" i="10"/>
  <c r="AH18" i="10"/>
  <c r="AH19" i="10"/>
  <c r="AH22" i="10"/>
  <c r="AL22" i="3"/>
  <c r="AL65" i="3"/>
  <c r="AH55" i="11"/>
  <c r="AM56" i="11" s="1"/>
  <c r="AI78" i="3"/>
  <c r="AI80" i="3"/>
  <c r="AM11" i="29" l="1"/>
  <c r="AM10" i="29"/>
  <c r="AM20" i="29"/>
  <c r="AH2" i="29"/>
  <c r="AK7" i="10"/>
  <c r="AJ80" i="3"/>
  <c r="AJ78" i="3"/>
  <c r="AH23" i="10"/>
  <c r="AP11" i="3"/>
  <c r="AR8" i="3"/>
  <c r="AR10" i="3" s="1"/>
  <c r="AQ10" i="3"/>
  <c r="AH32" i="11"/>
  <c r="AH39" i="11" s="1"/>
  <c r="AH42" i="10"/>
  <c r="AL66" i="3"/>
  <c r="AJ6" i="10"/>
  <c r="AJ11" i="10"/>
  <c r="AI12" i="10"/>
  <c r="AI13" i="10"/>
  <c r="AH57" i="11"/>
  <c r="AH56" i="11"/>
  <c r="AH54" i="10" l="1"/>
  <c r="AH72" i="10" s="1"/>
  <c r="AH66" i="10"/>
  <c r="AK13" i="10"/>
  <c r="AO12" i="10"/>
  <c r="AM26" i="29"/>
  <c r="AM21" i="29"/>
  <c r="AM22" i="29"/>
  <c r="O21" i="26"/>
  <c r="AQ11" i="3"/>
  <c r="AR11" i="3"/>
  <c r="AR14" i="3"/>
  <c r="AP5" i="29" s="1"/>
  <c r="AR35" i="3"/>
  <c r="AR36" i="3" s="1"/>
  <c r="AH43" i="10"/>
  <c r="N31" i="26" s="1"/>
  <c r="AI53" i="11"/>
  <c r="AI19" i="10"/>
  <c r="AI18" i="10"/>
  <c r="AI51" i="11"/>
  <c r="AI51" i="10"/>
  <c r="AJ17" i="10"/>
  <c r="AJ12" i="10"/>
  <c r="AJ13" i="10"/>
  <c r="AL11" i="10"/>
  <c r="AJ29" i="10" l="1"/>
  <c r="AJ31" i="10"/>
  <c r="AJ35" i="10"/>
  <c r="AJ37" i="10"/>
  <c r="AH55" i="10"/>
  <c r="AO18" i="10"/>
  <c r="AJ70" i="11"/>
  <c r="AJ68" i="11"/>
  <c r="AJ73" i="11"/>
  <c r="AJ69" i="11"/>
  <c r="AJ67" i="11"/>
  <c r="AJ64" i="11"/>
  <c r="AJ62" i="11"/>
  <c r="AJ61" i="11"/>
  <c r="AJ72" i="11"/>
  <c r="AJ63" i="11"/>
  <c r="AJ60" i="11"/>
  <c r="AJ71" i="11"/>
  <c r="AP6" i="29"/>
  <c r="AP9" i="29"/>
  <c r="AM37" i="29"/>
  <c r="AM39" i="29"/>
  <c r="AM27" i="29"/>
  <c r="AM30" i="29"/>
  <c r="AM31" i="29" s="1"/>
  <c r="AM35" i="29"/>
  <c r="AM57" i="29"/>
  <c r="AM28" i="29"/>
  <c r="AK19" i="10"/>
  <c r="Q21" i="26"/>
  <c r="P21" i="26"/>
  <c r="AJ33" i="10"/>
  <c r="AJ39" i="10"/>
  <c r="AJ27" i="10"/>
  <c r="AI23" i="10"/>
  <c r="AR21" i="3"/>
  <c r="AR15" i="3"/>
  <c r="AH68" i="10"/>
  <c r="AH69" i="10"/>
  <c r="AL12" i="10"/>
  <c r="AL17" i="10"/>
  <c r="AJ51" i="10"/>
  <c r="AJ18" i="10"/>
  <c r="AJ19" i="10"/>
  <c r="AI55" i="11"/>
  <c r="AN56" i="11" s="1"/>
  <c r="AI32" i="11"/>
  <c r="AI39" i="11" s="1"/>
  <c r="AL19" i="11"/>
  <c r="AL12" i="11"/>
  <c r="AL24" i="11"/>
  <c r="AL25" i="11"/>
  <c r="AL31" i="11"/>
  <c r="AH76" i="10"/>
  <c r="AH63" i="10" s="1"/>
  <c r="AH74" i="10"/>
  <c r="AL29" i="10" l="1"/>
  <c r="AL31" i="10"/>
  <c r="AL37" i="10"/>
  <c r="AL35" i="10"/>
  <c r="AH7" i="12"/>
  <c r="AH33" i="12" s="1"/>
  <c r="AH81" i="10"/>
  <c r="AP10" i="29"/>
  <c r="AP20" i="29"/>
  <c r="AM41" i="29"/>
  <c r="AM43" i="29" s="1"/>
  <c r="AI42" i="10"/>
  <c r="AI66" i="10" s="1"/>
  <c r="AH64" i="10"/>
  <c r="R21" i="26"/>
  <c r="AR65" i="3"/>
  <c r="AR22" i="3"/>
  <c r="AH70" i="10"/>
  <c r="AH79" i="10"/>
  <c r="AM80" i="10" s="1"/>
  <c r="AL38" i="10"/>
  <c r="AL39" i="10" s="1"/>
  <c r="AL23" i="11"/>
  <c r="AI56" i="11"/>
  <c r="AI57" i="11"/>
  <c r="AL38" i="11"/>
  <c r="AL18" i="10"/>
  <c r="AL51" i="10"/>
  <c r="AL26" i="11"/>
  <c r="AJ32" i="11"/>
  <c r="AJ39" i="11" s="1"/>
  <c r="AL32" i="10"/>
  <c r="AL33" i="10" s="1"/>
  <c r="AL33" i="11"/>
  <c r="AJ40" i="10"/>
  <c r="AL26" i="10"/>
  <c r="AJ22" i="10"/>
  <c r="AJ23" i="10" s="1"/>
  <c r="AL21" i="10"/>
  <c r="AL22" i="10" s="1"/>
  <c r="AL23" i="10" s="1"/>
  <c r="AL9" i="11"/>
  <c r="AM53" i="11" s="1"/>
  <c r="AJ55" i="11"/>
  <c r="AJ53" i="11"/>
  <c r="AH77" i="10"/>
  <c r="AK57" i="11" l="1"/>
  <c r="AO56" i="11"/>
  <c r="AM82" i="10"/>
  <c r="AM60" i="29"/>
  <c r="AM73" i="29"/>
  <c r="AM44" i="29"/>
  <c r="AP26" i="29"/>
  <c r="AP21" i="29"/>
  <c r="Q31" i="26"/>
  <c r="AI54" i="10"/>
  <c r="AI55" i="10" s="1"/>
  <c r="AI43" i="10"/>
  <c r="O31" i="26" s="1"/>
  <c r="N23" i="26"/>
  <c r="AR77" i="3"/>
  <c r="AR78" i="3" s="1"/>
  <c r="AR66" i="3"/>
  <c r="AH80" i="10"/>
  <c r="AH82" i="10"/>
  <c r="AL32" i="11"/>
  <c r="AL39" i="11" s="1"/>
  <c r="AJ42" i="10"/>
  <c r="AJ66" i="10" s="1"/>
  <c r="AJ57" i="11"/>
  <c r="AJ56" i="11"/>
  <c r="AL27" i="10"/>
  <c r="AL40" i="10"/>
  <c r="AL42" i="10" s="1"/>
  <c r="AL66" i="10" s="1"/>
  <c r="AH76" i="12"/>
  <c r="AU12" i="10" l="1"/>
  <c r="AP57" i="29"/>
  <c r="AP39" i="29"/>
  <c r="AP30" i="29"/>
  <c r="AP31" i="29" s="1"/>
  <c r="AP37" i="29"/>
  <c r="AP35" i="29"/>
  <c r="AP27" i="29"/>
  <c r="AM74" i="29"/>
  <c r="AM76" i="29" s="1"/>
  <c r="AM61" i="29"/>
  <c r="AM79" i="29"/>
  <c r="AI72" i="10"/>
  <c r="AI76" i="10" s="1"/>
  <c r="AI63" i="10" s="1"/>
  <c r="AI69" i="10"/>
  <c r="AI68" i="10"/>
  <c r="AL43" i="10"/>
  <c r="R31" i="26" s="1"/>
  <c r="AL54" i="10"/>
  <c r="AJ54" i="10"/>
  <c r="AJ43" i="10"/>
  <c r="P31" i="26" s="1"/>
  <c r="AH52" i="12"/>
  <c r="AH34" i="12"/>
  <c r="AI64" i="10" l="1"/>
  <c r="AI81" i="10"/>
  <c r="V21" i="26"/>
  <c r="AU18" i="10"/>
  <c r="AP41" i="29"/>
  <c r="AP43" i="29" s="1"/>
  <c r="AP73" i="29" s="1"/>
  <c r="AP74" i="29" s="1"/>
  <c r="AP76" i="29" s="1"/>
  <c r="AM86" i="29"/>
  <c r="AM77" i="29"/>
  <c r="AM83" i="29"/>
  <c r="AM81" i="29"/>
  <c r="AJ69" i="10"/>
  <c r="AI74" i="10"/>
  <c r="AI70" i="10"/>
  <c r="AI79" i="10"/>
  <c r="AN80" i="10" s="1"/>
  <c r="AQ24" i="11"/>
  <c r="AQ31" i="11"/>
  <c r="AQ19" i="11"/>
  <c r="AV27" i="12" s="1"/>
  <c r="AQ25" i="11"/>
  <c r="AQ12" i="11"/>
  <c r="AJ55" i="10"/>
  <c r="AJ72" i="10"/>
  <c r="AI7" i="12"/>
  <c r="AI33" i="12" s="1"/>
  <c r="AI77" i="10"/>
  <c r="AL72" i="10"/>
  <c r="AL55" i="10"/>
  <c r="AJ68" i="10"/>
  <c r="AH79" i="12"/>
  <c r="AI78" i="12" s="1"/>
  <c r="AH53" i="12"/>
  <c r="AN82" i="10" l="1"/>
  <c r="O23" i="26"/>
  <c r="AV26" i="12"/>
  <c r="AP60" i="29"/>
  <c r="AP61" i="29" s="1"/>
  <c r="AP44" i="29"/>
  <c r="AM70" i="29"/>
  <c r="AM71" i="29" s="1"/>
  <c r="AM84" i="29"/>
  <c r="AM88" i="29"/>
  <c r="AM89" i="29" s="1"/>
  <c r="AP86" i="29"/>
  <c r="AP87" i="29" s="1"/>
  <c r="AP77" i="29"/>
  <c r="AM87" i="29"/>
  <c r="AL67" i="10"/>
  <c r="AL69" i="10" s="1"/>
  <c r="AI80" i="10"/>
  <c r="AQ33" i="11"/>
  <c r="AV32" i="12" s="1"/>
  <c r="AQ38" i="11"/>
  <c r="AV31" i="12" s="1"/>
  <c r="AQ23" i="11"/>
  <c r="AV28" i="12" s="1"/>
  <c r="AQ9" i="11"/>
  <c r="AR53" i="11" s="1"/>
  <c r="AQ26" i="11"/>
  <c r="AV29" i="12" s="1"/>
  <c r="AI82" i="10"/>
  <c r="AL76" i="10"/>
  <c r="AL74" i="10"/>
  <c r="AJ76" i="10"/>
  <c r="AJ74" i="10"/>
  <c r="AJ79" i="10"/>
  <c r="AJ70" i="10"/>
  <c r="AH14" i="11"/>
  <c r="AH20" i="11" s="1"/>
  <c r="AH44" i="11" s="1"/>
  <c r="AH45" i="11" s="1"/>
  <c r="AL81" i="10" l="1"/>
  <c r="AL82" i="10" s="1"/>
  <c r="AL63" i="10"/>
  <c r="AL64" i="10" s="1"/>
  <c r="AJ81" i="10"/>
  <c r="AJ63" i="10"/>
  <c r="AJ64" i="10" s="1"/>
  <c r="AO80" i="10"/>
  <c r="AJ7" i="12"/>
  <c r="AU56" i="11"/>
  <c r="AV33" i="12"/>
  <c r="AP79" i="29"/>
  <c r="AP81" i="29" s="1"/>
  <c r="AL79" i="10"/>
  <c r="AL80" i="10" s="1"/>
  <c r="AL68" i="10"/>
  <c r="P23" i="26"/>
  <c r="AQ32" i="11"/>
  <c r="AQ39" i="11" s="1"/>
  <c r="AJ80" i="10"/>
  <c r="AI76" i="12"/>
  <c r="AI34" i="12"/>
  <c r="AI52" i="12"/>
  <c r="AJ77" i="10"/>
  <c r="AL77" i="10"/>
  <c r="AO82" i="10" l="1"/>
  <c r="R23" i="26"/>
  <c r="AP83" i="29"/>
  <c r="AP88" i="29" s="1"/>
  <c r="AP89" i="29" s="1"/>
  <c r="AV76" i="12"/>
  <c r="AV34" i="12"/>
  <c r="AL70" i="10"/>
  <c r="Q23" i="26"/>
  <c r="V31" i="26"/>
  <c r="AJ82" i="10"/>
  <c r="AI53" i="12"/>
  <c r="AJ33" i="12"/>
  <c r="AL7" i="12"/>
  <c r="AL33" i="12" s="1"/>
  <c r="AI79" i="12"/>
  <c r="AJ78" i="12" s="1"/>
  <c r="AP70" i="29" l="1"/>
  <c r="AP71" i="29" s="1"/>
  <c r="AP84" i="29"/>
  <c r="AV52" i="12"/>
  <c r="AV53" i="12" s="1"/>
  <c r="AJ52" i="12"/>
  <c r="AL34" i="12"/>
  <c r="AL76" i="12"/>
  <c r="AL79" i="12" s="1"/>
  <c r="AQ78" i="12" s="1"/>
  <c r="AI14" i="11"/>
  <c r="AI20" i="11" s="1"/>
  <c r="AI44" i="11" s="1"/>
  <c r="AI45" i="11" s="1"/>
  <c r="AJ76" i="12"/>
  <c r="AJ79" i="12" s="1"/>
  <c r="AJ34" i="12"/>
  <c r="AK78" i="12" l="1"/>
  <c r="AK79" i="12" s="1"/>
  <c r="AM78" i="12" s="1"/>
  <c r="AM79" i="12" s="1"/>
  <c r="AN78" i="12" s="1"/>
  <c r="AN79" i="12" s="1"/>
  <c r="AO78" i="12" s="1"/>
  <c r="AO79" i="12" s="1"/>
  <c r="AP78" i="12" s="1"/>
  <c r="AP79" i="12" s="1"/>
  <c r="AR78" i="12" s="1"/>
  <c r="AR79" i="12" s="1"/>
  <c r="AS78" i="12" s="1"/>
  <c r="AS79" i="12" s="1"/>
  <c r="AJ53" i="12"/>
  <c r="AL52" i="12"/>
  <c r="AL53" i="12" s="1"/>
  <c r="V23" i="26" l="1"/>
  <c r="AU80" i="10"/>
  <c r="AU82" i="10"/>
  <c r="AJ14" i="11"/>
  <c r="AJ20" i="11" s="1"/>
  <c r="AJ44" i="11" s="1"/>
  <c r="AJ45" i="11" s="1"/>
  <c r="AL6" i="11" l="1"/>
  <c r="AL14" i="11" l="1"/>
  <c r="AL20" i="11" s="1"/>
  <c r="AL44" i="11"/>
  <c r="AL45" i="11"/>
  <c r="AJ13" i="3"/>
  <c r="AO15" i="3" l="1"/>
  <c r="AO21" i="3"/>
  <c r="AO65" i="3" s="1"/>
  <c r="AO22" i="3" l="1"/>
  <c r="AO66" i="3" l="1"/>
  <c r="AO77" i="3"/>
  <c r="AO78" i="3" l="1"/>
  <c r="S21" i="26" l="1"/>
  <c r="S31" i="26" l="1"/>
  <c r="S23" i="26" l="1"/>
  <c r="AK15" i="3" l="1"/>
  <c r="AN14" i="3"/>
  <c r="AN15" i="3" s="1"/>
  <c r="AK21" i="3"/>
  <c r="AK22" i="3" s="1"/>
  <c r="AN21" i="3" l="1"/>
  <c r="AN22" i="3" s="1"/>
  <c r="AI6" i="10" l="1"/>
  <c r="AL5" i="10"/>
  <c r="AI7" i="10"/>
  <c r="AJ7" i="10"/>
  <c r="AL6" i="10" l="1"/>
  <c r="AK12" i="3"/>
  <c r="AK13" i="3" s="1"/>
  <c r="AP12" i="3" l="1"/>
  <c r="AP14" i="3" s="1"/>
  <c r="AP15" i="3" l="1"/>
  <c r="AN5" i="29"/>
  <c r="AP21" i="3"/>
  <c r="AP22" i="3" s="1"/>
  <c r="AN6" i="29" l="1"/>
  <c r="AN9" i="29"/>
  <c r="AK30" i="3"/>
  <c r="AN29" i="3"/>
  <c r="AN30" i="3" s="1"/>
  <c r="AK35" i="3"/>
  <c r="AK36" i="3" s="1"/>
  <c r="AN10" i="29" l="1"/>
  <c r="AN11" i="29"/>
  <c r="AK27" i="3"/>
  <c r="AK28" i="3" s="1"/>
  <c r="AP27" i="3" l="1"/>
  <c r="AP29" i="3" s="1"/>
  <c r="AP30" i="3" s="1"/>
  <c r="AP37" i="3" l="1"/>
  <c r="AN13" i="29" s="1"/>
  <c r="AP35" i="3"/>
  <c r="AP36" i="3" s="1"/>
  <c r="AN14" i="29" l="1"/>
  <c r="AP31" i="3"/>
  <c r="AK38" i="3" l="1"/>
  <c r="AP38" i="3"/>
  <c r="AN37" i="3"/>
  <c r="AN38" i="3" s="1"/>
  <c r="AK31" i="3"/>
  <c r="AK32" i="3" s="1"/>
  <c r="AK33" i="3"/>
  <c r="AP34" i="3" s="1"/>
  <c r="AP32" i="3" l="1"/>
  <c r="AK34" i="3"/>
  <c r="AK48" i="3" l="1"/>
  <c r="AK53" i="3"/>
  <c r="AK54" i="3" s="1"/>
  <c r="AN47" i="3"/>
  <c r="AN48" i="3" s="1"/>
  <c r="AK45" i="3"/>
  <c r="AP45" i="3" l="1"/>
  <c r="AP47" i="3" s="1"/>
  <c r="AS47" i="3" s="1"/>
  <c r="AS48" i="3" s="1"/>
  <c r="AK46" i="3"/>
  <c r="AP55" i="3" l="1"/>
  <c r="AP53" i="3"/>
  <c r="AP54" i="3" s="1"/>
  <c r="AP48" i="3"/>
  <c r="AS55" i="3" l="1"/>
  <c r="AN15" i="29"/>
  <c r="AP62" i="3"/>
  <c r="AP65" i="3" s="1"/>
  <c r="AP49" i="3"/>
  <c r="AN16" i="29" l="1"/>
  <c r="AN17" i="29"/>
  <c r="AQ15" i="29"/>
  <c r="AQ16" i="29" s="1"/>
  <c r="AN19" i="29" l="1"/>
  <c r="AN20" i="29"/>
  <c r="AN18" i="29"/>
  <c r="AN21" i="29" l="1"/>
  <c r="AN22" i="29"/>
  <c r="AK56" i="3"/>
  <c r="AP56" i="3"/>
  <c r="AK49" i="3"/>
  <c r="AK50" i="3" s="1"/>
  <c r="AN55" i="3"/>
  <c r="AN56" i="3" s="1"/>
  <c r="AK62" i="3"/>
  <c r="AN62" i="3" s="1"/>
  <c r="AK51" i="3"/>
  <c r="AP52" i="3" s="1"/>
  <c r="AK52" i="3" l="1"/>
  <c r="AP50" i="3"/>
  <c r="AS56" i="3"/>
  <c r="AK65" i="3"/>
  <c r="AK66" i="3" s="1"/>
  <c r="AN63" i="3"/>
  <c r="AP63" i="3"/>
  <c r="AK63" i="3"/>
  <c r="AN65" i="3" l="1"/>
  <c r="AN66" i="3" s="1"/>
  <c r="AP66" i="3"/>
  <c r="AI9" i="10"/>
  <c r="AJ10" i="10"/>
  <c r="AL8" i="10"/>
  <c r="AI10" i="10"/>
  <c r="AK78" i="3"/>
  <c r="AL9" i="10" l="1"/>
  <c r="AK69" i="3" l="1"/>
  <c r="AP68" i="3"/>
  <c r="AP70" i="3" l="1"/>
  <c r="AN23" i="29" s="1"/>
  <c r="AN25" i="29" l="1"/>
  <c r="AN24" i="29"/>
  <c r="AN26" i="29"/>
  <c r="AP71" i="3"/>
  <c r="AP77" i="3"/>
  <c r="AN28" i="29" l="1"/>
  <c r="AN39" i="29"/>
  <c r="AN37" i="29"/>
  <c r="AN27" i="29"/>
  <c r="AN57" i="29"/>
  <c r="AN30" i="29"/>
  <c r="AN31" i="29" s="1"/>
  <c r="AN35" i="29"/>
  <c r="AP78" i="3"/>
  <c r="AN41" i="29" l="1"/>
  <c r="AN43" i="29" s="1"/>
  <c r="T21" i="26"/>
  <c r="AN44" i="29" l="1"/>
  <c r="AN73" i="29"/>
  <c r="AN74" i="29" s="1"/>
  <c r="AN60" i="29"/>
  <c r="AN79" i="29" l="1"/>
  <c r="AN61" i="29"/>
  <c r="AN76" i="29"/>
  <c r="AN86" i="29" l="1"/>
  <c r="AN77" i="29"/>
  <c r="AN81" i="29"/>
  <c r="AN83" i="29"/>
  <c r="T31" i="26"/>
  <c r="AN84" i="29" l="1"/>
  <c r="AN88" i="29"/>
  <c r="AN89" i="29" s="1"/>
  <c r="AN70" i="29"/>
  <c r="AN71" i="29" s="1"/>
  <c r="AN87" i="29"/>
  <c r="T23" i="26" l="1"/>
  <c r="AL28" i="3" l="1"/>
  <c r="AQ27" i="3"/>
  <c r="AQ29" i="3" s="1"/>
  <c r="AQ37" i="3" s="1"/>
  <c r="AO13" i="29" s="1"/>
  <c r="AO14" i="29" l="1"/>
  <c r="AO17" i="29"/>
  <c r="AQ13" i="29"/>
  <c r="AQ14" i="29" s="1"/>
  <c r="AQ38" i="3"/>
  <c r="AQ31" i="3"/>
  <c r="AQ32" i="3" s="1"/>
  <c r="AQ62" i="3"/>
  <c r="AS37" i="3"/>
  <c r="AS38" i="3" s="1"/>
  <c r="AQ30" i="3"/>
  <c r="AQ35" i="3"/>
  <c r="AQ36" i="3" s="1"/>
  <c r="AO18" i="29" l="1"/>
  <c r="AO19" i="29"/>
  <c r="AP19" i="29"/>
  <c r="AQ17" i="29"/>
  <c r="AQ18" i="29" s="1"/>
  <c r="AQ63" i="3"/>
  <c r="AS62" i="3"/>
  <c r="AS63" i="3" s="1"/>
  <c r="AQ8" i="10" l="1"/>
  <c r="AL13" i="3"/>
  <c r="AQ12" i="3"/>
  <c r="AQ14" i="3" s="1"/>
  <c r="AO5" i="29" s="1"/>
  <c r="AQ9" i="10" l="1"/>
  <c r="AV9" i="10"/>
  <c r="AO9" i="29"/>
  <c r="AO6" i="29"/>
  <c r="AQ5" i="29"/>
  <c r="AQ6" i="29" s="1"/>
  <c r="AQ15" i="3"/>
  <c r="AS14" i="3"/>
  <c r="AQ21" i="3"/>
  <c r="AO11" i="29" l="1"/>
  <c r="AO10" i="29"/>
  <c r="AP11" i="29"/>
  <c r="AQ9" i="29"/>
  <c r="AQ10" i="29" s="1"/>
  <c r="AO20" i="29"/>
  <c r="AQ22" i="3"/>
  <c r="AQ65" i="3"/>
  <c r="AS15" i="3"/>
  <c r="AS21" i="3"/>
  <c r="AS22" i="3" s="1"/>
  <c r="AO22" i="29" l="1"/>
  <c r="AO21" i="29"/>
  <c r="AP22" i="29"/>
  <c r="AQ20" i="29"/>
  <c r="AQ21" i="29" s="1"/>
  <c r="AQ5" i="10"/>
  <c r="AT12" i="10"/>
  <c r="AS65" i="3"/>
  <c r="AS66" i="3" s="1"/>
  <c r="AQ66" i="3"/>
  <c r="AQ6" i="10" l="1"/>
  <c r="AV6" i="10"/>
  <c r="AQ11" i="10"/>
  <c r="AQ12" i="10" l="1"/>
  <c r="AV12" i="10"/>
  <c r="AL46" i="3"/>
  <c r="AL71" i="3"/>
  <c r="AL77" i="3"/>
  <c r="AL78" i="3" s="1"/>
  <c r="AN70" i="3"/>
  <c r="AN71" i="3" s="1"/>
  <c r="AN77" i="3" l="1"/>
  <c r="AN80" i="3" s="1"/>
  <c r="AN73" i="3"/>
  <c r="AL68" i="3"/>
  <c r="AQ68" i="3" s="1"/>
  <c r="AN78" i="3" l="1"/>
  <c r="AL69" i="3"/>
  <c r="AN68" i="3"/>
  <c r="AS68" i="3"/>
  <c r="AQ70" i="3"/>
  <c r="AO23" i="29" s="1"/>
  <c r="AO25" i="29" l="1"/>
  <c r="AO24" i="29"/>
  <c r="AP25" i="29"/>
  <c r="AQ23" i="29"/>
  <c r="AQ24" i="29" s="1"/>
  <c r="AO26" i="29"/>
  <c r="AS69" i="3"/>
  <c r="AS70" i="3"/>
  <c r="AQ77" i="3"/>
  <c r="AQ71" i="3"/>
  <c r="AN69" i="3"/>
  <c r="AN74" i="3"/>
  <c r="AO28" i="29" l="1"/>
  <c r="AO37" i="29"/>
  <c r="AQ37" i="29" s="1"/>
  <c r="AO57" i="29"/>
  <c r="AO35" i="29"/>
  <c r="AO30" i="29"/>
  <c r="AO27" i="29"/>
  <c r="AO39" i="29"/>
  <c r="AQ39" i="29" s="1"/>
  <c r="AP28" i="29"/>
  <c r="AQ26" i="29"/>
  <c r="AQ14" i="10"/>
  <c r="AQ78" i="3"/>
  <c r="AS77" i="3"/>
  <c r="AS78" i="3" s="1"/>
  <c r="AS71" i="3"/>
  <c r="AS73" i="3"/>
  <c r="AS74" i="3"/>
  <c r="G5" i="25" l="1"/>
  <c r="I5" i="25" s="1"/>
  <c r="J5" i="25" s="1"/>
  <c r="AQ15" i="10"/>
  <c r="AV15" i="10"/>
  <c r="AT18" i="10"/>
  <c r="AQ40" i="29"/>
  <c r="AQ57" i="29"/>
  <c r="AQ27" i="29"/>
  <c r="AO31" i="29"/>
  <c r="AQ30" i="29"/>
  <c r="AQ31" i="29" s="1"/>
  <c r="AQ32" i="29" s="1"/>
  <c r="AO41" i="29"/>
  <c r="AQ35" i="29"/>
  <c r="AQ38" i="29"/>
  <c r="U21" i="26"/>
  <c r="AQ17" i="10"/>
  <c r="AQ29" i="10" l="1"/>
  <c r="AQ31" i="10"/>
  <c r="AQ37" i="10"/>
  <c r="AQ35" i="10"/>
  <c r="E6" i="25"/>
  <c r="D6" i="25"/>
  <c r="AV18" i="10"/>
  <c r="E19" i="25"/>
  <c r="D19" i="25"/>
  <c r="AQ21" i="10"/>
  <c r="AQ22" i="10" s="1"/>
  <c r="AQ38" i="10"/>
  <c r="AQ39" i="10" s="1"/>
  <c r="AQ32" i="10"/>
  <c r="AQ33" i="10" s="1"/>
  <c r="AO43" i="29"/>
  <c r="AO60" i="29" s="1"/>
  <c r="AQ41" i="29"/>
  <c r="AQ43" i="29" s="1"/>
  <c r="AQ36" i="29"/>
  <c r="W21" i="26"/>
  <c r="AQ18" i="10"/>
  <c r="AQ51" i="10"/>
  <c r="AT56" i="11"/>
  <c r="AQ26" i="10"/>
  <c r="AO73" i="29" l="1"/>
  <c r="AO74" i="29" s="1"/>
  <c r="AQ74" i="29" s="1"/>
  <c r="AO44" i="29"/>
  <c r="AQ32" i="12"/>
  <c r="AQ26" i="12"/>
  <c r="AQ29" i="12"/>
  <c r="AQ28" i="12"/>
  <c r="AQ24" i="12"/>
  <c r="AQ31" i="12"/>
  <c r="AQ27" i="12"/>
  <c r="AO79" i="29"/>
  <c r="AO61" i="29"/>
  <c r="AQ44" i="29"/>
  <c r="AQ73" i="29"/>
  <c r="AQ60" i="29"/>
  <c r="AQ27" i="10"/>
  <c r="AQ40" i="10"/>
  <c r="AQ42" i="10" s="1"/>
  <c r="AQ66" i="10" s="1"/>
  <c r="AQ23" i="10"/>
  <c r="G7" i="25" l="1"/>
  <c r="AQ76" i="29"/>
  <c r="AQ77" i="29" s="1"/>
  <c r="AQ61" i="29"/>
  <c r="AQ79" i="29"/>
  <c r="AO83" i="29"/>
  <c r="AO81" i="29"/>
  <c r="AO76" i="29"/>
  <c r="AQ75" i="29"/>
  <c r="U31" i="26"/>
  <c r="AQ43" i="10"/>
  <c r="W31" i="26" s="1"/>
  <c r="AQ54" i="10"/>
  <c r="AO86" i="29" l="1"/>
  <c r="AO77" i="29"/>
  <c r="AO88" i="29"/>
  <c r="AO89" i="29" s="1"/>
  <c r="AO84" i="29"/>
  <c r="AO70" i="29"/>
  <c r="AO71" i="29" s="1"/>
  <c r="AQ83" i="29"/>
  <c r="AQ81" i="29"/>
  <c r="AQ55" i="10"/>
  <c r="AQ72" i="10"/>
  <c r="AQ67" i="10" l="1"/>
  <c r="AQ70" i="29"/>
  <c r="AQ71" i="29" s="1"/>
  <c r="AQ84" i="29"/>
  <c r="AQ88" i="29"/>
  <c r="AQ89" i="29" s="1"/>
  <c r="AO87" i="29"/>
  <c r="AQ86" i="29"/>
  <c r="AQ87" i="29" s="1"/>
  <c r="AQ74" i="10"/>
  <c r="AQ76" i="10"/>
  <c r="AQ81" i="10" l="1"/>
  <c r="AQ82" i="10" s="1"/>
  <c r="AQ63" i="10"/>
  <c r="AQ64" i="10" s="1"/>
  <c r="AQ69" i="10"/>
  <c r="AQ68" i="10"/>
  <c r="I7" i="25"/>
  <c r="J7" i="25" s="1"/>
  <c r="AT82" i="10"/>
  <c r="U23" i="26"/>
  <c r="AT80" i="10"/>
  <c r="AQ7" i="12"/>
  <c r="AQ33" i="12" s="1"/>
  <c r="AQ77" i="10"/>
  <c r="AV82" i="10" l="1"/>
  <c r="G9" i="25"/>
  <c r="I9" i="25" s="1"/>
  <c r="J9" i="25" s="1"/>
  <c r="AQ70" i="10"/>
  <c r="AQ79" i="10"/>
  <c r="AQ34" i="12"/>
  <c r="AQ76" i="12"/>
  <c r="AQ79" i="12" s="1"/>
  <c r="AV78" i="12" s="1"/>
  <c r="AV79" i="12" s="1"/>
  <c r="BA78" i="12" s="1"/>
  <c r="BA79" i="12" s="1"/>
  <c r="AV80" i="10" l="1"/>
  <c r="AQ80" i="10"/>
  <c r="W23" i="26"/>
  <c r="AT78" i="12"/>
  <c r="AT79" i="12" s="1"/>
  <c r="AU78" i="12" s="1"/>
  <c r="AU79" i="12" s="1"/>
  <c r="AW78" i="12" s="1"/>
  <c r="AW79" i="12" s="1"/>
  <c r="AX78" i="12" s="1"/>
  <c r="AX79" i="12" s="1"/>
  <c r="AY78" i="12" s="1"/>
  <c r="AY79" i="12" s="1"/>
  <c r="AZ78" i="12" s="1"/>
  <c r="AZ79" i="12" s="1"/>
  <c r="AQ52" i="12"/>
  <c r="AQ53" i="12" s="1"/>
  <c r="AQ44" i="11" l="1"/>
  <c r="AQ6" i="11"/>
  <c r="AQ14" i="11" l="1"/>
  <c r="AQ20" i="11" s="1"/>
  <c r="AQ45" i="11"/>
  <c r="AK97" i="28"/>
  <c r="AJ97" i="28"/>
  <c r="AI97" i="28"/>
  <c r="V97" i="28"/>
  <c r="AI96" i="28"/>
  <c r="AD97" i="28"/>
  <c r="V96" i="28"/>
  <c r="AJ96" i="28"/>
  <c r="U97" i="28"/>
  <c r="AK96" i="28"/>
  <c r="AE97" i="28"/>
  <c r="AC97" i="28"/>
  <c r="U96" i="28"/>
  <c r="AF97" i="28"/>
  <c r="S97" i="28"/>
  <c r="P96" i="28"/>
  <c r="L97" i="28"/>
  <c r="K97" i="28"/>
  <c r="T97" i="28"/>
  <c r="K96" i="28"/>
  <c r="S96" i="28"/>
  <c r="AH97" i="28"/>
  <c r="T96" i="28"/>
  <c r="AF96" i="28"/>
  <c r="AA96" i="28"/>
  <c r="Q97" i="28"/>
  <c r="AG96" i="28"/>
  <c r="R96" i="28"/>
  <c r="Q96" i="28"/>
  <c r="AH96" i="28"/>
  <c r="M96" i="28"/>
  <c r="AT6" i="11" l="1"/>
  <c r="AT14" i="11" l="1"/>
  <c r="AT20" i="11" s="1"/>
  <c r="AT44" i="11" s="1"/>
  <c r="AT45" i="11" s="1"/>
  <c r="AU6" i="11"/>
  <c r="AV6" i="11" l="1"/>
  <c r="AU14" i="11"/>
  <c r="AU20" i="11" s="1"/>
  <c r="AU44" i="11" s="1"/>
  <c r="AV14" i="11" l="1"/>
  <c r="AV20" i="11" s="1"/>
  <c r="AW6" i="11"/>
  <c r="AV44" i="11"/>
  <c r="AU45" i="11"/>
  <c r="AV45" i="11" s="1"/>
  <c r="AW14" i="11" l="1"/>
  <c r="AW20" i="11" s="1"/>
  <c r="AW44" i="11" s="1"/>
  <c r="AW45" i="11" s="1"/>
  <c r="AX6" i="11"/>
  <c r="AY6" i="11" l="1"/>
  <c r="AX14" i="11"/>
  <c r="AX20" i="11" s="1"/>
  <c r="AX44" i="11" s="1"/>
  <c r="AX45" i="11" s="1"/>
  <c r="AZ6" i="11" l="1"/>
  <c r="AY14" i="11"/>
  <c r="AY20" i="11" s="1"/>
  <c r="AY44" i="11" s="1"/>
  <c r="AY45" i="11" s="1"/>
  <c r="BA6" i="11" l="1"/>
  <c r="BA14" i="11" s="1"/>
  <c r="BA20" i="11" s="1"/>
  <c r="AZ14" i="11"/>
  <c r="AZ20" i="11" s="1"/>
  <c r="AZ44" i="11" s="1"/>
  <c r="AZ45" i="11" l="1"/>
  <c r="BA45" i="11" s="1"/>
  <c r="BA4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Rackers, Michael</author>
  </authors>
  <commentList>
    <comment ref="A1" authorId="0" shapeId="0" xr:uid="{91D41FB8-1BDD-4C1B-96F8-E32E21CECCF7}">
      <text>
        <r>
          <rPr>
            <b/>
            <sz val="9"/>
            <color indexed="81"/>
            <rFont val="Tahoma"/>
            <family val="2"/>
          </rPr>
          <t>&lt;?xml version="1.0" encoding="utf-8"?&gt;&lt;Schema xmlns:xsd="http://www.w3.org/2001/XMLSchema" xmlns:xsi="http://www.w3.org/2001/XMLSchema-instance" Version="2" Timestamp="1684768121"&gt;&lt;FQL&gt;&lt;Q&gt;BILL-US^FF_SALES(ANN_R,0)&lt;/Q&gt;&lt;R&gt;1&lt;/R&gt;&lt;C&gt;1&lt;/C&gt;&lt;D xsi:type="xsd:double"&gt;641.959&lt;/D&gt;&lt;/FQL&gt;&lt;FQL&gt;&lt;Q&gt;BILL-US^FE_ESTIMATE(SALES,MEAN,ANN_ROLL,+1,NOW,,,'')&lt;/Q&gt;&lt;R&gt;1&lt;/R&gt;&lt;C&gt;1&lt;/C&gt;&lt;D xsi:type="xsd:double"&gt;1000.32794&lt;/D&gt;&lt;/FQL&gt;&lt;FQL&gt;&lt;Q&gt;BILL-US^FE_ESTIMATE(SALES,MEAN,QTR_ROLL,+1,NOW,,,'')&lt;/Q&gt;&lt;R&gt;1&lt;/R&gt;&lt;C&gt;1&lt;/C&gt;&lt;D xsi:type="xsd:double"&gt;243.96075&lt;/D&gt;&lt;/FQL&gt;&lt;FQL&gt;&lt;Q&gt;BILL-US^FE_ESTIMATE(SALES,MEAN,QTR_ROLL,2022/2F,NOW,,,'')&lt;/Q&gt;&lt;R&gt;1&lt;/R&gt;&lt;C&gt;1&lt;/C&gt;&lt;D xsi:type="xsd:double"&gt;156.5&lt;/D&gt;&lt;/FQL&gt;&lt;FQL&gt;&lt;Q&gt;BILL-US^FE_ESTIMATE(SALES,MEAN,QTR_ROLL,2024/4F,NOW,,,'')&lt;/Q&gt;&lt;R&gt;1&lt;/R&gt;&lt;C&gt;1&lt;/C&gt;&lt;D xsi:type="xsd:double"&gt;339.35516&lt;/D&gt;&lt;/FQL&gt;&lt;FQL&gt;&lt;Q&gt;BILL-US^FE_ESTIMATE(PRODLINE_SALES_1,MEAN,QTR_ROLL,2023/4F,NOW,,,'')&lt;/Q&gt;&lt;R&gt;1&lt;/R&gt;&lt;C&gt;1&lt;/C&gt;&lt;D xsi:type="xsd:double"&gt;70.10817&lt;/D&gt;&lt;/FQL&gt;&lt;FQL&gt;&lt;Q&gt;BILL-US^FE_ESTIMATE(PRODLINE_SALES_1,MEAN,QTR_ROLL,2023/3F,NOW,,,'')&lt;/Q&gt;&lt;R&gt;1&lt;/R&gt;&lt;C&gt;1&lt;/C&gt;&lt;D xsi:type="xsd:double"&gt;66.46088&lt;/D&gt;&lt;/FQL&gt;&lt;FQL&gt;&lt;Q&gt;BILL-US^FE_ESTIMATE(PRODLINE_SALES_4,MEDIAN,QTR_ROLL,2024/4F,NOW,,,'')&lt;/Q&gt;&lt;R&gt;1&lt;/R&gt;&lt;C&gt;1&lt;/C&gt;&lt;D xsi:type="xsd:double"&gt;29.35&lt;/D&gt;&lt;/FQL&gt;&lt;FQL&gt;&lt;Q&gt;BILL-US^FE_ESTIMATE(PRODLINE_SALES_4,MEDIAN,QTR_ROLL,2024/3F,NOW,,,'')&lt;/Q&gt;&lt;R&gt;1&lt;/R&gt;&lt;C&gt;1&lt;/C&gt;&lt;D xsi:type="xsd:double"&gt;28.9&lt;/D&gt;&lt;/FQL&gt;&lt;FQL&gt;&lt;Q&gt;BILL-US^FE_ESTIMATE(PRODLINE_SALES_4,MEDIAN,QTR_ROLL,2024/1F,NOW,,,'')&lt;/Q&gt;&lt;R&gt;1&lt;/R&gt;&lt;C&gt;1&lt;/C&gt;&lt;D xsi:type="xsd:double"&gt;29.45&lt;/D&gt;&lt;/FQL&gt;&lt;FQL&gt;&lt;Q&gt;BILL-US^FE_ESTIMATE(SALES_P,MEAN,QTR_ROLL,2023/2F,NOW,,,'')&lt;/Q&gt;&lt;R&gt;0&lt;/R&gt;&lt;C&gt;0&lt;/C&gt;&lt;/FQL&gt;&lt;FQL&gt;&lt;Q&gt;BILL-US^FE_ESTIMATE(SALES_C,MEAN,QTR_ROLL,2023/2F,NOW,,,'')&lt;/Q&gt;&lt;R&gt;0&lt;/R&gt;&lt;C&gt;0&lt;/C&gt;&lt;/FQL&gt;&lt;FQL&gt;&lt;Q&gt;BILL-US^FE_ESTIMATE(PRODLINE_SALES_3,MEAN,QTR_ROLL,2024/4F,NOW,,,'')&lt;/Q&gt;&lt;R&gt;1&lt;/R&gt;&lt;C&gt;1&lt;/C&gt;&lt;D xsi:type="xsd:double"&gt;308.8644&lt;/D&gt;&lt;/FQL&gt;&lt;FQL&gt;&lt;Q&gt;BILL-US^FE_ESTIMATE(SALES_PRODLINE_3,MEAN,QTR_ROLL,2023/3F,NOW,,,'')&lt;/Q&gt;&lt;R&gt;1&lt;/R&gt;&lt;C&gt;1&lt;/C&gt;&lt;D xsi:type="xsd:string"&gt;#NUM&lt;/D&gt;&lt;/FQL&gt;&lt;FQL&gt;&lt;Q&gt;BILL-US^FE_ESTIMATE(SALES_PRODLINE_3,MEAN,QTR_ROLL,2023/2F,NOW,,,'')&lt;/Q&gt;&lt;R&gt;1&lt;/R&gt;&lt;C&gt;1&lt;/C&gt;&lt;D xsi:type="xsd:string"&gt;#NUM&lt;/D&gt;&lt;/FQL&gt;&lt;FQL&gt;&lt;Q&gt;BILL-US^FE_ESTIMATE(PRODLINE_SALES_3,MEAN,QTR_ROLL,2024/3F,NOW,,,'')&lt;/Q&gt;&lt;R&gt;1&lt;/R&gt;&lt;C&gt;1&lt;/C&gt;&lt;D xsi:type="xsd:double"&gt;281.4784&lt;/D&gt;&lt;/FQL&gt;&lt;FQL&gt;&lt;Q&gt;BILL-US^FE_ESTIMATE(PRODLINE_SALES_3,MEAN,QTR_ROLL,2024/1F,NOW,,,'')&lt;/Q&gt;&lt;R&gt;1&lt;/R&gt;&lt;C&gt;1&lt;/C&gt;&lt;D xsi:type="xsd:double"&gt;251.735&lt;/D&gt;&lt;/FQL&gt;&lt;FQL&gt;&lt;Q&gt;BILL-US^FE_ESTIMATE(PRODLINE_SALES_3,MEAN,QTR_ROLL,2023/4F,NOW,,,'')&lt;/Q&gt;&lt;R&gt;1&lt;/R&gt;&lt;C&gt;1&lt;/C&gt;&lt;D xsi:type="xsd:double"&gt;244.5267&lt;/D&gt;&lt;/FQL&gt;&lt;FQL&gt;&lt;Q&gt;BILL-US^FE_ESTIMATE(PRODLINE_SALES_3,MEAN,QTR_ROLL,2023/3F,NOW,,,'')&lt;/Q&gt;&lt;R&gt;1&lt;/R&gt;&lt;C&gt;1&lt;/C&gt;&lt;D xsi:type="xsd:double"&gt;222.4404&lt;/D&gt;&lt;/FQL&gt;&lt;FQL&gt;&lt;Q&gt;BILL-US^FE_ESTIMATE(PRODLINE_SALES_3,MEAN,QTR_ROLL,2023/2F,NOW,,,'')&lt;/Q&gt;&lt;R&gt;1&lt;/R&gt;&lt;C&gt;1&lt;/C&gt;&lt;D xsi:type="xsd:double"&gt;216.3358&lt;/D&gt;&lt;/FQL&gt;&lt;FQL&gt;&lt;Q&gt;BILL-US^FE_ESTIMATE(PRODLINE_SALES_1,MEAN,QTR_ROLL,2024/4F,NOW,,,'')&lt;/Q&gt;&lt;R&gt;1&lt;/R&gt;&lt;C&gt;1&lt;/C&gt;&lt;D xsi:type="xsd:double"&gt;85.12075&lt;/D&gt;&lt;/FQL&gt;&lt;FQL&gt;&lt;Q&gt;BILL-US^FE_ESTIMATE(PRODLINE_SALES_1,MEAN,QTR_ROLL,2024/3F,NOW,,,'')&lt;/Q&gt;&lt;R&gt;1&lt;/R&gt;&lt;C&gt;1&lt;/C&gt;&lt;D xsi:type="xsd:double"&gt;80.7045&lt;/D&gt;&lt;/FQL&gt;&lt;FQL&gt;&lt;Q&gt;BILL-US^FE_ESTIMATE(PRODLINE_SALES_1,MEAN,QTR_ROLL,2024/1F,NOW,,,'')&lt;/Q&gt;&lt;R&gt;1&lt;/R&gt;&lt;C&gt;1&lt;/C&gt;&lt;D xsi:type="xsd:double"&gt;71.887&lt;/D&gt;&lt;/FQL&gt;&lt;FQL&gt;&lt;Q&gt;BILL-US^FE_ESTIMATE(SALES,MEAN,QTR_ROLL,2023/3F,NOW,,,'')&lt;/Q&gt;&lt;R&gt;1&lt;/R&gt;&lt;C&gt;1&lt;/C&gt;&lt;D xsi:type="xsd:double"&gt;247.91658&lt;/D&gt;&lt;/FQL&gt;&lt;FQL&gt;&lt;Q&gt;BILL-US^FE_ESTIMATE(SALES,MEAN,QTR_ROLL,2023/2F,NOW,,,'')&lt;/Q&gt;&lt;R&gt;1&lt;/R&gt;&lt;C&gt;1&lt;/C&gt;&lt;D xsi:type="xsd:double"&gt;260.006&lt;/D&gt;&lt;/FQL&gt;&lt;FQL&gt;&lt;Q&gt;BILL-US^FE_ESTIMATE(PRODLINE_SALES_1,MEAN,QTR_ROLL,2023/2F,NOW,,,'')&lt;/Q&gt;&lt;R&gt;1&lt;/R&gt;&lt;C&gt;1&lt;/C&gt;&lt;D xsi:type="xsd:double"&gt;63.1846&lt;/D&gt;&lt;/FQL&gt;&lt;FQL&gt;&lt;Q&gt;BILL-US^FE_ESTIMATE(PRODLINE_SALES_2,MEAN,QTR_ROLL,2024/4F,NOW,,,'')&lt;/Q&gt;&lt;R&gt;1&lt;/R&gt;&lt;C&gt;1&lt;/C&gt;&lt;D xsi:type="xsd:double"&gt;248.601&lt;/D&gt;&lt;/FQL&gt;&lt;FQL&gt;&lt;Q&gt;BILL-US^FE_ESTIMATE(PRODLINE_SALES_2,MEAN,QTR_ROLL,2024/3F,NOW,,,'')&lt;/Q&gt;&lt;R&gt;1&lt;/R&gt;&lt;C&gt;1&lt;/C&gt;&lt;D xsi:type="xsd:double"&gt;219.792&lt;/D&gt;&lt;/FQL&gt;&lt;FQL&gt;&lt;Q&gt;BILL-US^FE_ESTIMATE(PRODLINE_SALES_2,MEAN,QTR_ROLL,2024/1F,NOW,,,'')&lt;/Q&gt;&lt;R&gt;1&lt;/R&gt;&lt;C&gt;1&lt;/C&gt;&lt;D xsi:type="xsd:double"&gt;195.553&lt;/D&gt;&lt;/FQL&gt;&lt;FQL&gt;&lt;Q&gt;BILL-US^FE_ESTIMATE(PRODLINE_SALES_2,MEAN,QTR_ROLL,2023/4F,NOW,,,'')&lt;/Q&gt;&lt;R&gt;1&lt;/R&gt;&lt;C&gt;1&lt;/C&gt;&lt;D xsi:type="xsd:double"&gt;155.03633&lt;/D&gt;&lt;/FQL&gt;&lt;FQL&gt;&lt;Q&gt;BILL-US^FE_ESTIMATE(PRODLINE_SALES_2,MEAN,QTR_ROLL,2023/3F,NOW,,,'')&lt;/Q&gt;&lt;R&gt;1&lt;/R&gt;&lt;C&gt;1&lt;/C&gt;&lt;D xsi:type="xsd:double"&gt;145&lt;/D&gt;&lt;/FQL&gt;&lt;FQL&gt;&lt;Q&gt;BILL-US^FE_ESTIMATE(PRODLINE_SALES_2,MEAN,QTR_ROLL,2023/2F,NOW,,,'')&lt;/Q&gt;&lt;R&gt;1&lt;/R&gt;&lt;C&gt;1&lt;/C&gt;&lt;D xsi:type="xsd:double"&gt;162.53275&lt;/D&gt;&lt;/FQL&gt;&lt;FQL&gt;&lt;Q&gt;BILL-US^FE_ESTIMATE(SALES_C,MEDIAN,QTR_ROLL,2023/2F,NOW,,,'')&lt;/Q&gt;&lt;R&gt;0&lt;/R&gt;&lt;C&gt;0&lt;/C&gt;&lt;/FQL&gt;&lt;FQL&gt;&lt;Q&gt;BILL-US^FE_ESTIMATE(PRODLINE_SALES_2,MEDIAN,QTR_ROLL,2024/4F,NOW,,,'')&lt;/Q&gt;&lt;R&gt;1&lt;/R&gt;&lt;C&gt;1&lt;/C&gt;&lt;D xsi:type="xsd:double"&gt;248.601&lt;/D&gt;&lt;/FQL&gt;&lt;FQL&gt;&lt;Q&gt;BILL-US^FE_ESTIMATE(SALES,MEDIAN,QTR_ROLL,2024/4F,NOW,,,'')&lt;/Q&gt;&lt;R&gt;1&lt;/R&gt;&lt;C&gt;1&lt;/C&gt;&lt;D xsi:type="xsd:double"&gt;357.90198&lt;/D&gt;&lt;/FQL&gt;&lt;FQL&gt;&lt;Q&gt;BILL-US^FE_ESTIMATE(PRODLINE_SALES_2,MEDIAN,QTR_ROLL,2024/3F,NOW,,,'')&lt;/Q&gt;&lt;R&gt;1&lt;/R&gt;&lt;C&gt;1&lt;/C&gt;&lt;D xsi:type="xsd:double"&gt;219.792&lt;/D&gt;&lt;/FQL&gt;&lt;FQL&gt;&lt;Q&gt;BILL-US^FE_ESTIMATE(PRODLINE_SALES_2,MEDIAN,QTR_ROLL,2024/1F,NOW,,,'')&lt;/Q&gt;&lt;R&gt;1&lt;/R&gt;&lt;C&gt;1&lt;/C&gt;&lt;D xsi:type="xsd:double"&gt;195.553&lt;/D&gt;&lt;/FQL&gt;&lt;FQL&gt;&lt;Q&gt;BILL-US^FE_ESTIMATE(PRODLINE_SALES_2,MEDIAN,QTR_ROLL,2023/4F,NOW,,,'')&lt;/Q&gt;&lt;R&gt;1&lt;/R&gt;&lt;C&gt;1&lt;/C&gt;&lt;D xsi:type="xsd:double"&gt;177.454&lt;/D&gt;&lt;/FQL&gt;&lt;FQL&gt;&lt;Q&gt;BILL-US^FE_ESTIMATE(PRODLINE_SALES_2,MEDIAN,QTR_ROLL,2023/3F,NOW,,,'')&lt;/Q&gt;&lt;R&gt;1&lt;/R&gt;&lt;C&gt;1&lt;/C&gt;&lt;D xsi:type="xsd:double"&gt;165.3165&lt;/D&gt;&lt;/FQL&gt;&lt;FQL&gt;&lt;Q&gt;BILL-US^FE_ESTIMATE(PRODLINE_SALES_2,MEDIAN,QTR_ROLL,2023/2F,NOW,,,'')&lt;/Q&gt;&lt;R&gt;1&lt;/R&gt;&lt;C&gt;1&lt;/C&gt;&lt;D xsi:type="xsd:double"&gt;163.1155&lt;/D&gt;&lt;/FQL&gt;&lt;FQL&gt;&lt;Q&gt;BILL-US^FE_ESTIMATE(PRODLINE_SALES_2,MEDIAN,QTR_ROLL,2024/2F,NOW,,,'')&lt;/Q&gt;&lt;R&gt;1&lt;/R&gt;&lt;C&gt;1&lt;/C&gt;&lt;D xsi:type="xsd:double"&gt;212.619&lt;/D&gt;&lt;/FQL&gt;&lt;FQL&gt;&lt;Q&gt;BILL-US^FE_ESTIMATE(PRODLINE_SALES_3,MEDIAN,QTR_ROLL,2024/2F,NOW,,,'')&lt;/Q&gt;&lt;R&gt;1&lt;/R&gt;&lt;C&gt;1&lt;/C&gt;&lt;D xsi:type="xsd:double"&gt;282.4595&lt;/D&gt;&lt;/FQL&gt;&lt;FQL&gt;&lt;Q&gt;BILL-US^FE_ESTIMATE(PRODLINE_SALES_3,MEDIAN,QTR_ROLL,2024/1F,NOW,,,'')&lt;/Q&gt;&lt;R&gt;1&lt;/R&gt;&lt;C&gt;1&lt;/C&gt;&lt;D xsi:type="xsd:double"&gt;261.1215&lt;/D&gt;&lt;/FQL&gt;&lt;FQL&gt;&lt;Q&gt;BILL-US^FE_ESTIMATE(PRODLINE_SALES_3,MEDIAN,QTR_ROLL,2023/4F,NOW,,,'')&lt;/Q&gt;&lt;R&gt;1&lt;/R&gt;&lt;C&gt;1&lt;/C&gt;&lt;D xsi:type="xsd:double"&gt;238.0075&lt;/D&gt;&lt;/FQL&gt;&lt;FQL&gt;&lt;Q&gt;BILL-US^FE_ESTIMATE(PRODLINE_SALES_3,MEDIAN,QTR_ROLL,2023/3F,NOW,,,'')&lt;/Q&gt;&lt;R&gt;1&lt;/R&gt;&lt;C&gt;1&lt;/C&gt;&lt;D xsi:type="xsd:double"&gt;219.2915&lt;/D&gt;&lt;/FQL&gt;&lt;FQL&gt;&lt;Q&gt;BILL-US^FE_ESTIMATE(SALES,MEAN,QTR_ROLL,2024/1F,NOW,,,'')&lt;/Q&gt;&lt;R&gt;1&lt;/R&gt;&lt;C&gt;1&lt;/C&gt;&lt;D xsi:type="xsd:double"&gt;291.88538&lt;/D&gt;&lt;/FQL&gt;&lt;FQL&gt;&lt;Q&gt;BILL-US^FE_ESTIMATE(SALES,MEAN,QTR_ROLL,2023/4F,NOW,,,'')&lt;/Q&gt;&lt;R&gt;1&lt;/R&gt;&lt;C&gt;1&lt;/C&gt;&lt;D xsi:type="xsd:double"&gt;268.2991&lt;/D&gt;&lt;/FQL&gt;&lt;FQL&gt;&lt;Q&gt;BILL-US^FE_ESTIMATE(PRODLINE_SALES_3,MEDIAN,QTR_ROLL,2023/2F,NOW,,,'')&lt;/Q&gt;&lt;R&gt;1&lt;/R&gt;&lt;C&gt;1&lt;/C&gt;&lt;D xsi:type="xsd:double"&gt;225.35&lt;/D&gt;&lt;/FQL&gt;&lt;FQL&gt;&lt;Q&gt;BILL-US^FE_ESTIMATE(SALES,MEDIAN,QTR_ROLL,2024/3F,NOW,,,'')&lt;/Q&gt;&lt;R&gt;1&lt;/R&gt;&lt;C&gt;1&lt;/C&gt;&lt;D xsi:type="xsd:double"&gt;325.922&lt;/D&gt;&lt;/FQL&gt;&lt;FQL&gt;&lt;Q&gt;BILL-US^FE_ESTIMATE(SALES,MEDIAN,QTR_ROLL,2024/2F,NOW,,,'')&lt;/Q&gt;&lt;R&gt;1&lt;/R&gt;&lt;C&gt;1&lt;/C&gt;&lt;D xsi:type="xsd:double"&gt;314.45&lt;/D&gt;&lt;/FQL&gt;&lt;FQL&gt;&lt;Q&gt;BILL-US^FE_ESTIMATE(SALES,MEDIAN,QTR_ROLL,2024/1F,NOW,,,'')&lt;/Q&gt;&lt;R&gt;1&lt;/R&gt;&lt;C&gt;1&lt;/C&gt;&lt;D xsi:type="xsd:double"&gt;295.516&lt;/D&gt;&lt;/FQL&gt;&lt;FQL&gt;&lt;Q&gt;BILL-US^FE_ESTIMATE(SALES,MEDIAN,QTR_ROLL,2023/4F,NOW,,,'')&lt;/Q&gt;&lt;R&gt;1&lt;/R&gt;&lt;C&gt;1&lt;/C&gt;&lt;D xsi:type="xsd:double"&gt;278.344&lt;/D&gt;&lt;/FQL&gt;&lt;FQL&gt;&lt;Q&gt;BILL-US^FE_ESTIMATE(SALES,MEDIAN,QTR_ROLL,2023/3F,NOW,,,'')&lt;/Q&gt;&lt;R&gt;1&lt;/R&gt;&lt;C&gt;1&lt;/C&gt;&lt;D xsi:type="xsd:double"&gt;251.4505&lt;/D&gt;&lt;/FQL&gt;&lt;FQL&gt;&lt;Q&gt;BILL-US^FE_ESTIMATE(SALES,MEDIAN,QTR_ROLL,2023/2F,NOW,,,'')&lt;/Q&gt;&lt;R&gt;1&lt;/R&gt;&lt;C&gt;1&lt;/C&gt;&lt;D xsi:type="xsd:double"&gt;243.76093&lt;/D&gt;&lt;/FQL&gt;&lt;FQL&gt;&lt;Q&gt;BILL-US^FE_ESTIMATE(PRODLINE_SALES_1,MEAN,QTR_ROLL,2024/2F,NOW,,,'')&lt;/Q&gt;&lt;R&gt;1&lt;/R&gt;&lt;C&gt;1&lt;/C&gt;&lt;D xsi:type="xsd:double"&gt;73.433&lt;/D&gt;&lt;/FQL&gt;&lt;FQL&gt;&lt;Q&gt;BILL-US^FE_ESTIMATE(PRODLINE_SALES_4,MEDIAN,QTR_ROLL,2023/4F,NOW,,,'')&lt;/Q&gt;&lt;R&gt;1&lt;/R&gt;&lt;C&gt;1&lt;/C&gt;&lt;D xsi:type="xsd:double"&gt;28.876&lt;/D&gt;&lt;/FQL&gt;&lt;FQL&gt;&lt;Q&gt;BILL-US^FE_ESTIMATE(PRODLINE_SALES_4,MEDIAN,QTR_ROLL,2023/3F,NOW,,,'')&lt;/Q&gt;&lt;R&gt;1&lt;/R&gt;&lt;C&gt;1&lt;/C&gt;&lt;D xsi:type="xsd:double"&gt;27.0455&lt;/D&gt;&lt;/FQL&gt;&lt;FQL&gt;&lt;Q&gt;BILL-US^FE_ESTIMATE(PRODLINE_SALES_3,MEDIAN,QTR_ROLL,2024/4F,NOW,,,'')&lt;/Q&gt;&lt;R&gt;1&lt;/R&gt;&lt;C&gt;1&lt;/C&gt;&lt;D xsi:type="xsd:double"&gt;307.0875&lt;/D&gt;&lt;/FQL&gt;&lt;FQL&gt;&lt;Q&gt;BILL-US^FE_ESTIMATE(PRODLINE_SALES_3,MEDIAN,QTR_ROLL,2024/3F,NOW,,,'')&lt;/Q&gt;&lt;R&gt;1&lt;/R&gt;&lt;C&gt;1&lt;/C&gt;&lt;D xsi:type="xsd:double"&gt;285.3445&lt;/D&gt;&lt;/FQL&gt;&lt;FQL&gt;&lt;Q&gt;BILL-US^FE_ESTIMATE(SALES,MEAN,QTR_ROLL,2024/3F,NOW,,,'')&lt;/Q&gt;&lt;R&gt;1&lt;/R&gt;&lt;C&gt;1&lt;/C&gt;&lt;D xsi:type="xsd:double"&gt;314.69113&lt;/D&gt;&lt;/FQL&gt;&lt;FQL&gt;&lt;Q&gt;BILL-US^FE_ESTIMATE(SALES,MEAN,QTR_ROLL,2024/2F,NOW,,,'')&lt;/Q&gt;&lt;R&gt;1&lt;/R&gt;&lt;C&gt;1&lt;/C&gt;&lt;D xsi:type="xsd:double"&gt;314.32797&lt;/D&gt;&lt;/FQL&gt;&lt;FQL&gt;&lt;Q&gt;BILL-US^FE_ESTIMATE(PRODLINE_SALES_4,MEDIAN,QTR_ROLL,2023/2F,NOW,,,'')&lt;/Q&gt;&lt;R&gt;1&lt;/R&gt;&lt;C&gt;1&lt;/C&gt;&lt;D xsi:type="xsd:double"&gt;18&lt;/D&gt;&lt;/FQL&gt;&lt;FQL&gt;&lt;Q&gt;BILL-US^FE_ESTIMATE(PRODLINE_SALES_4,MEDIAN,QTR_ROLL,2024/2F,NOW,,,'')&lt;/Q&gt;&lt;R&gt;1&lt;/R&gt;&lt;C&gt;1&lt;/C&gt;&lt;D xsi:type="xsd:double"&gt;30.05&lt;/D&gt;&lt;/FQL&gt;&lt;/Schema&gt;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V4" authorId="0" shapeId="0" xr:uid="{49538BEC-69B3-4CFD-BD29-FE7C14A61F64}">
      <text>
        <r>
          <rPr>
            <b/>
            <sz val="9"/>
            <color indexed="81"/>
            <rFont val="Tahoma"/>
            <family val="2"/>
          </rPr>
          <t>Black, Ian:</t>
        </r>
        <r>
          <rPr>
            <sz val="9"/>
            <color indexed="81"/>
            <rFont val="Tahoma"/>
            <family val="2"/>
          </rPr>
          <t xml:space="preserve">
Divvy acquisition in June 2021</t>
        </r>
      </text>
    </comment>
    <comment ref="C28" authorId="0" shapeId="0" xr:uid="{DBC15F3C-70C4-49EF-A88A-E21920FDF757}">
      <text>
        <r>
          <rPr>
            <b/>
            <sz val="9"/>
            <color indexed="81"/>
            <rFont val="Tahoma"/>
            <family val="2"/>
          </rPr>
          <t>Black, Ian:</t>
        </r>
        <r>
          <rPr>
            <sz val="9"/>
            <color indexed="81"/>
            <rFont val="Tahoma"/>
            <family val="2"/>
          </rPr>
          <t xml:space="preserve">
Numbers are rounded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AV14" authorId="0" shapeId="0" xr:uid="{6F48F430-C69F-4E81-9F76-6BC34AF30A24}">
      <text>
        <r>
          <rPr>
            <b/>
            <sz val="9"/>
            <color indexed="81"/>
            <rFont val="Tahoma"/>
            <family val="2"/>
          </rPr>
          <t>Black, Ian:</t>
        </r>
        <r>
          <rPr>
            <sz val="9"/>
            <color indexed="81"/>
            <rFont val="Tahoma"/>
            <family val="2"/>
          </rPr>
          <t xml:space="preserve">
1Q guide: flat volume per customer</t>
        </r>
      </text>
    </comment>
    <comment ref="C26" authorId="0" shapeId="0" xr:uid="{C7BAFF26-410A-479A-94A6-7B6C402610F0}">
      <text>
        <r>
          <rPr>
            <b/>
            <sz val="9"/>
            <color indexed="81"/>
            <rFont val="Tahoma"/>
            <family val="2"/>
          </rPr>
          <t>Black, Ian:</t>
        </r>
        <r>
          <rPr>
            <sz val="9"/>
            <color indexed="81"/>
            <rFont val="Tahoma"/>
            <family val="2"/>
          </rPr>
          <t xml:space="preserve">
Adjusted to undo rounding impact</t>
        </r>
      </text>
    </comment>
    <comment ref="AV45" authorId="0" shapeId="0" xr:uid="{DF105D66-BA21-4348-87D2-9359FF003C2D}">
      <text>
        <r>
          <rPr>
            <b/>
            <sz val="9"/>
            <color indexed="81"/>
            <rFont val="Tahoma"/>
            <family val="2"/>
          </rPr>
          <t>Black, Ian:</t>
        </r>
        <r>
          <rPr>
            <sz val="9"/>
            <color indexed="81"/>
            <rFont val="Tahoma"/>
            <family val="2"/>
          </rPr>
          <t xml:space="preserve">
1Q guide: hgih teens growth</t>
        </r>
      </text>
    </comment>
    <comment ref="AV48" authorId="0" shapeId="0" xr:uid="{FA281FD8-D7E5-4111-8B26-70F300D59D15}">
      <text>
        <r>
          <rPr>
            <b/>
            <sz val="9"/>
            <color indexed="81"/>
            <rFont val="Tahoma"/>
            <family val="2"/>
          </rPr>
          <t>Black, Ian:</t>
        </r>
        <r>
          <rPr>
            <sz val="9"/>
            <color indexed="81"/>
            <rFont val="Tahoma"/>
            <family val="2"/>
          </rPr>
          <t xml:space="preserve">
1Q guide: take rate slightly above 250bps</t>
        </r>
      </text>
    </comment>
    <comment ref="AU98" authorId="0" shapeId="0" xr:uid="{B185A591-9746-4E93-B669-6766A8B0EF22}">
      <text>
        <r>
          <rPr>
            <b/>
            <sz val="9"/>
            <color indexed="81"/>
            <rFont val="Tahoma"/>
            <family val="2"/>
          </rPr>
          <t>Black, Ian:</t>
        </r>
        <r>
          <rPr>
            <sz val="9"/>
            <color indexed="81"/>
            <rFont val="Tahoma"/>
            <family val="2"/>
          </rPr>
          <t xml:space="preserve">
Assumes federal funds rate exiting 1Q at 325bps</t>
        </r>
      </text>
    </comment>
    <comment ref="B104" authorId="0" shapeId="0" xr:uid="{28F4C331-438F-48C0-AB1D-4A5A8ADE37A9}">
      <text>
        <r>
          <rPr>
            <b/>
            <sz val="9"/>
            <color indexed="81"/>
            <rFont val="Tahoma"/>
            <family val="2"/>
          </rPr>
          <t>Black, Ian:</t>
        </r>
        <r>
          <rPr>
            <sz val="9"/>
            <color indexed="81"/>
            <rFont val="Tahoma"/>
            <family val="2"/>
          </rPr>
          <t xml:space="preserve">
Consists of AP/AR and Divvy revenue</t>
        </r>
      </text>
    </comment>
    <comment ref="X139" authorId="0" shapeId="0" xr:uid="{1F6B2E82-713D-4777-BAE1-82F9DB1EA7AC}">
      <text>
        <r>
          <rPr>
            <b/>
            <sz val="9"/>
            <color indexed="81"/>
            <rFont val="Tahoma"/>
            <family val="2"/>
          </rPr>
          <t>Black, Ian:</t>
        </r>
        <r>
          <rPr>
            <sz val="9"/>
            <color indexed="81"/>
            <rFont val="Tahoma"/>
            <family val="2"/>
          </rPr>
          <t xml:space="preserve">
Divvy acquisition (purely transaction revenue)</t>
        </r>
      </text>
    </comment>
    <comment ref="AQ147" authorId="0" shapeId="0" xr:uid="{5F061FF7-22F6-4D2C-B204-2834A065816D}">
      <text>
        <r>
          <rPr>
            <b/>
            <sz val="9"/>
            <color indexed="81"/>
            <rFont val="Tahoma"/>
            <family val="2"/>
          </rPr>
          <t>Black, Ian:</t>
        </r>
        <r>
          <rPr>
            <sz val="9"/>
            <color indexed="81"/>
            <rFont val="Tahoma"/>
            <family val="2"/>
          </rPr>
          <t xml:space="preserve">
2Q guide: $1,304.5 at midpoint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C8" authorId="0" shapeId="0" xr:uid="{4334243D-7E35-41E7-99C6-B1F1F1FCF6B5}">
      <text>
        <r>
          <rPr>
            <b/>
            <sz val="9"/>
            <color indexed="81"/>
            <rFont val="Tahoma"/>
            <family val="2"/>
          </rPr>
          <t>Black, Ian:</t>
        </r>
        <r>
          <rPr>
            <sz val="9"/>
            <color indexed="81"/>
            <rFont val="Tahoma"/>
            <family val="2"/>
          </rPr>
          <t xml:space="preserve">
Defined as customers plus their suppliers and clients, who pay and receive funds electronically via our platform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AR74" authorId="0" shapeId="0" xr:uid="{821CD9F2-14D0-4383-A6B6-F7EA348290A3}">
      <text>
        <r>
          <rPr>
            <b/>
            <sz val="9"/>
            <color indexed="81"/>
            <rFont val="Tahoma"/>
            <family val="2"/>
          </rPr>
          <t>Black, Ian:</t>
        </r>
        <r>
          <rPr>
            <sz val="9"/>
            <color indexed="81"/>
            <rFont val="Tahoma"/>
            <family val="2"/>
          </rPr>
          <t xml:space="preserve">
3.50 bps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V4" authorId="0" shapeId="0" xr:uid="{E35C6D27-5922-4D29-937F-A65E4F33B49C}">
      <text>
        <r>
          <rPr>
            <b/>
            <sz val="9"/>
            <color indexed="81"/>
            <rFont val="Tahoma"/>
            <family val="2"/>
          </rPr>
          <t>Black, Ian:</t>
        </r>
        <r>
          <rPr>
            <sz val="9"/>
            <color indexed="81"/>
            <rFont val="Tahoma"/>
            <family val="2"/>
          </rPr>
          <t xml:space="preserve">
Divvy acquisition in June 2021</t>
        </r>
      </text>
    </comment>
    <comment ref="C26" authorId="0" shapeId="0" xr:uid="{9974A8CC-32F3-4A2C-ACAE-69D707356664}">
      <text>
        <r>
          <rPr>
            <b/>
            <sz val="9"/>
            <color indexed="81"/>
            <rFont val="Tahoma"/>
            <family val="2"/>
          </rPr>
          <t>Black, Ian:</t>
        </r>
        <r>
          <rPr>
            <sz val="9"/>
            <color indexed="81"/>
            <rFont val="Tahoma"/>
            <family val="2"/>
          </rPr>
          <t xml:space="preserve">
Numbers are rounded</t>
        </r>
      </text>
    </comment>
  </commentList>
</comments>
</file>

<file path=xl/sharedStrings.xml><?xml version="1.0" encoding="utf-8"?>
<sst xmlns="http://schemas.openxmlformats.org/spreadsheetml/2006/main" count="1191" uniqueCount="518">
  <si>
    <t>4Q21</t>
  </si>
  <si>
    <t>1Q22</t>
  </si>
  <si>
    <t>2Q22</t>
  </si>
  <si>
    <t>3Q22</t>
  </si>
  <si>
    <t>4Q22</t>
  </si>
  <si>
    <t>1Q23</t>
  </si>
  <si>
    <t>1Q21</t>
  </si>
  <si>
    <t>2Q21</t>
  </si>
  <si>
    <t>3Q21</t>
  </si>
  <si>
    <t xml:space="preserve">Y/Y Growth </t>
  </si>
  <si>
    <t>3Q19</t>
  </si>
  <si>
    <t>4Q19</t>
  </si>
  <si>
    <t>1Q20</t>
  </si>
  <si>
    <t>2Q20</t>
  </si>
  <si>
    <t>3Q20</t>
  </si>
  <si>
    <t>4Q20</t>
  </si>
  <si>
    <t>BILL Customers</t>
  </si>
  <si>
    <t>1Q18</t>
  </si>
  <si>
    <t>2Q18</t>
  </si>
  <si>
    <t>3Q18</t>
  </si>
  <si>
    <t>4Q18</t>
  </si>
  <si>
    <t>1Q19</t>
  </si>
  <si>
    <t>2Q19</t>
  </si>
  <si>
    <t>Divvy TPV</t>
  </si>
  <si>
    <t>BILL Subscription Revenue</t>
  </si>
  <si>
    <t>BILL Transaction Fee Revenue</t>
  </si>
  <si>
    <t>Divvy Revenue/Transaction</t>
  </si>
  <si>
    <t>Divvy Transaction Fee Revenue</t>
  </si>
  <si>
    <t>Quarterly Adds</t>
  </si>
  <si>
    <t>Y/Y Growth</t>
  </si>
  <si>
    <t>Financial Institution Partners</t>
  </si>
  <si>
    <t>Core BILL Customers</t>
  </si>
  <si>
    <t>Total Subscription Revenue</t>
  </si>
  <si>
    <t>Total Transaction Fee Revenue</t>
  </si>
  <si>
    <t>Total Revenue</t>
  </si>
  <si>
    <t>Difference</t>
  </si>
  <si>
    <t>2QFY-2023</t>
  </si>
  <si>
    <t>3QFY-2023</t>
  </si>
  <si>
    <t>Divvy Transaction Count</t>
  </si>
  <si>
    <t>Divvy Avg Transaction Size</t>
  </si>
  <si>
    <t>2QFY-2022</t>
  </si>
  <si>
    <t>1QFY-2022</t>
  </si>
  <si>
    <t>1QFY-2023</t>
  </si>
  <si>
    <t>3QFY-2022</t>
  </si>
  <si>
    <t>4QFY-2022</t>
  </si>
  <si>
    <t>1QFY-2021</t>
  </si>
  <si>
    <t>2QFY-2021</t>
  </si>
  <si>
    <t>3QFY-2021</t>
  </si>
  <si>
    <t>4QFY-2021</t>
  </si>
  <si>
    <t>1QFY-2020</t>
  </si>
  <si>
    <t>2QFY-2020</t>
  </si>
  <si>
    <t>3QFY-2020</t>
  </si>
  <si>
    <t>4QFY-2020</t>
  </si>
  <si>
    <t>1QFY-2019</t>
  </si>
  <si>
    <t>2QFY-2019</t>
  </si>
  <si>
    <t>3QFY-2019</t>
  </si>
  <si>
    <t>4QFY-2019</t>
  </si>
  <si>
    <t>1QFY-2018</t>
  </si>
  <si>
    <t>2QFY-2018</t>
  </si>
  <si>
    <t>3QFY-2018</t>
  </si>
  <si>
    <t>4QFY-2018</t>
  </si>
  <si>
    <t>Interest on Client Funds Held</t>
  </si>
  <si>
    <t>Avg Client Funds Held</t>
  </si>
  <si>
    <t>BILL Subs Revenue/Avg Customer</t>
  </si>
  <si>
    <t>This sheet contains FactSet XML data for use with this workbook's =FDS codes.  Modifying the worksheet's contents may damage the workbook's =FDS functionality.</t>
  </si>
  <si>
    <t>Guidance</t>
  </si>
  <si>
    <t>Yield on Customer Funds</t>
  </si>
  <si>
    <t>Invoice2go Transaction Fee Revenue</t>
  </si>
  <si>
    <t>2Q23</t>
  </si>
  <si>
    <t>Core BILL Transaction Count</t>
  </si>
  <si>
    <t>Core BILL Avg Transaction Size</t>
  </si>
  <si>
    <t>Core BILL TPV</t>
  </si>
  <si>
    <t>Core BILL Revenue/Transaction</t>
  </si>
  <si>
    <t/>
  </si>
  <si>
    <t>Bill.com, Inc. (BILL)</t>
  </si>
  <si>
    <t>Income Statement</t>
  </si>
  <si>
    <t>Q/Q Growth</t>
  </si>
  <si>
    <t>Total Revenues</t>
  </si>
  <si>
    <t>Cost of Revenue</t>
  </si>
  <si>
    <t>Gross Profit</t>
  </si>
  <si>
    <t xml:space="preserve"> Gross Margin</t>
  </si>
  <si>
    <t>Operating Expenses</t>
  </si>
  <si>
    <t>Research &amp; Development</t>
  </si>
  <si>
    <t>% of Revenue</t>
  </si>
  <si>
    <t xml:space="preserve">Sales &amp; Marketing </t>
  </si>
  <si>
    <t>G&amp;A</t>
  </si>
  <si>
    <t>Total Operating Expense</t>
  </si>
  <si>
    <t>Non-GAAP Operating Income</t>
  </si>
  <si>
    <t>Non-GAAP Operating Margin</t>
  </si>
  <si>
    <t>GAAP Adjustments</t>
  </si>
  <si>
    <t>Amortization of intangibles</t>
  </si>
  <si>
    <t>Depreciation</t>
  </si>
  <si>
    <t xml:space="preserve">Deferred revenue adjustment </t>
  </si>
  <si>
    <t xml:space="preserve">Amortization of debt discount </t>
  </si>
  <si>
    <t>Payroll taxes</t>
  </si>
  <si>
    <t>Acquisition and integration expense</t>
  </si>
  <si>
    <t>Change in fair value contingent liability</t>
  </si>
  <si>
    <t>Restricted stock expense</t>
  </si>
  <si>
    <t>Other</t>
  </si>
  <si>
    <t>Total GAAP and non-cash adjustments</t>
  </si>
  <si>
    <t>GAAP Operating Income</t>
  </si>
  <si>
    <t>GAAP Operating Margin</t>
  </si>
  <si>
    <t>Interest expense</t>
  </si>
  <si>
    <t>Amortization of debt discount</t>
  </si>
  <si>
    <t>Interest income</t>
  </si>
  <si>
    <t>Other Income (Expense)</t>
  </si>
  <si>
    <t>G/L NG adjustment</t>
  </si>
  <si>
    <t>Total Other Income (Expense)</t>
  </si>
  <si>
    <t>Adjusted EBITDA</t>
  </si>
  <si>
    <t>EBITDA Margins</t>
  </si>
  <si>
    <t>Non-GAAP Pre-Tax Income</t>
  </si>
  <si>
    <t>Income Tax</t>
  </si>
  <si>
    <t>Tax Rate %</t>
  </si>
  <si>
    <t>Non-GAAP Net Income (Loss)</t>
  </si>
  <si>
    <t>Non-GAAP Net Margin</t>
  </si>
  <si>
    <t>GAAP Pre-Tax Income</t>
  </si>
  <si>
    <t>GAAP Net Income</t>
  </si>
  <si>
    <t>GAAP Net Margin</t>
  </si>
  <si>
    <t>Non-GAAP EPS</t>
  </si>
  <si>
    <t>Y/Y Growth %</t>
  </si>
  <si>
    <t>GAAP EPS</t>
  </si>
  <si>
    <t>Basic Shares Outstanding</t>
  </si>
  <si>
    <t>Diluted Shares Outstanding</t>
  </si>
  <si>
    <t>Historical GAAP Shares</t>
  </si>
  <si>
    <t>Deferred revenue</t>
  </si>
  <si>
    <t>Cash Flow - Operating</t>
  </si>
  <si>
    <t>Net Cash</t>
  </si>
  <si>
    <t>Cash/share</t>
  </si>
  <si>
    <t>Scott Berg, sberg@needhamco.com</t>
  </si>
  <si>
    <t>Source: Company Reports and Needham &amp; Company, LLC Estimates</t>
  </si>
  <si>
    <t>763.350.4027</t>
  </si>
  <si>
    <t>$ in thousands, except per share data</t>
  </si>
  <si>
    <t>switched</t>
  </si>
  <si>
    <t>Total RPO</t>
  </si>
  <si>
    <t>Y/Y Change in Total RPO</t>
  </si>
  <si>
    <t>Total RPO Bookings</t>
  </si>
  <si>
    <t>% change y/y</t>
  </si>
  <si>
    <t>% change q/q</t>
  </si>
  <si>
    <t>Short-term RPO (24 months)</t>
  </si>
  <si>
    <t>Y/Y Change in Short-term RPO</t>
  </si>
  <si>
    <t>Short-term RPO Bookings</t>
  </si>
  <si>
    <t>Change in TTM Rev</t>
  </si>
  <si>
    <t>TTM S&amp;M</t>
  </si>
  <si>
    <t>CAC Total Revenues</t>
  </si>
  <si>
    <t>Change in TTM Subs Revs</t>
  </si>
  <si>
    <t>CAC Subs Revs</t>
  </si>
  <si>
    <t>Y/Y Change</t>
  </si>
  <si>
    <t>Total RPO Billings</t>
  </si>
  <si>
    <t>ST RPO</t>
  </si>
  <si>
    <t>ST RPO Billings</t>
  </si>
  <si>
    <t>Interest Gross Profit</t>
  </si>
  <si>
    <t>Subscription and Transaction GP</t>
  </si>
  <si>
    <t>Subscription and Transaction GM</t>
  </si>
  <si>
    <t>2Q20E</t>
  </si>
  <si>
    <t>3Q20E</t>
  </si>
  <si>
    <t>4Q20E</t>
  </si>
  <si>
    <t>1Q21E</t>
  </si>
  <si>
    <t>2Q21E</t>
  </si>
  <si>
    <t>3Q21E</t>
  </si>
  <si>
    <t>4Q21E</t>
  </si>
  <si>
    <t>1Q22E</t>
  </si>
  <si>
    <t>2Q22E</t>
  </si>
  <si>
    <t>3Q22E</t>
  </si>
  <si>
    <t>4Q22E</t>
  </si>
  <si>
    <t>2022E</t>
  </si>
  <si>
    <t>CAC</t>
  </si>
  <si>
    <t>Total Subscription/Transaction Fee Revenue</t>
  </si>
  <si>
    <t>Core BILL Subscription Revenue</t>
  </si>
  <si>
    <t>Core BILL Transaction Fee Revenue</t>
  </si>
  <si>
    <t>Subscription &amp; Transaction Fee Revenue</t>
  </si>
  <si>
    <t xml:space="preserve">Stock based compensation </t>
  </si>
  <si>
    <t>Balance Sheet</t>
  </si>
  <si>
    <t>Assets:</t>
  </si>
  <si>
    <t>Cash and Cash Equivalents</t>
  </si>
  <si>
    <t>Short Term Investments</t>
  </si>
  <si>
    <t>Restricted Cash</t>
  </si>
  <si>
    <t>Accounts Receivable, net</t>
  </si>
  <si>
    <t>Acquired card receivables</t>
  </si>
  <si>
    <t>Unbilled Revenue</t>
  </si>
  <si>
    <t>Prepaid Expenses and Other Current Assets</t>
  </si>
  <si>
    <t>Funds Held for Customers</t>
  </si>
  <si>
    <t>Total Current Assets</t>
  </si>
  <si>
    <t>Operating lease right of use</t>
  </si>
  <si>
    <t>PP&amp;E</t>
  </si>
  <si>
    <t>Intangible assets</t>
  </si>
  <si>
    <t>Goodwill</t>
  </si>
  <si>
    <t>Other assets</t>
  </si>
  <si>
    <t>Total Assets</t>
  </si>
  <si>
    <t>Liabilities:</t>
  </si>
  <si>
    <t>Accounts Payable</t>
  </si>
  <si>
    <t>Accrued Compensation and Benefits</t>
  </si>
  <si>
    <t>Other Accrued Liabilities</t>
  </si>
  <si>
    <t>Convertible Preferred Stock Warrant Liabilities</t>
  </si>
  <si>
    <t>Deferred Revenue, current portion</t>
  </si>
  <si>
    <t>Bank Borrowings, current portion</t>
  </si>
  <si>
    <t>Operating lease liabilities</t>
  </si>
  <si>
    <t>Convertible notes</t>
  </si>
  <si>
    <t>Customer Fund Deposits</t>
  </si>
  <si>
    <t>Total Current Liabilities</t>
  </si>
  <si>
    <t>Deferred Revenue, long-term portion</t>
  </si>
  <si>
    <t>Borrowings from credit facilities</t>
  </si>
  <si>
    <t>Convertible senior notes</t>
  </si>
  <si>
    <t>Deferred income tax liability</t>
  </si>
  <si>
    <t>Other Long-term Liabilities</t>
  </si>
  <si>
    <t>Total Liabilities</t>
  </si>
  <si>
    <t>Convertible preferred stock</t>
  </si>
  <si>
    <t>Shareholders Equity:</t>
  </si>
  <si>
    <t>Total Shareholder Equity</t>
  </si>
  <si>
    <t>Total Liabilities &amp; Shareholders Equity</t>
  </si>
  <si>
    <t>Client funds/customer</t>
  </si>
  <si>
    <t>DSO</t>
  </si>
  <si>
    <t>Deferred Revs</t>
  </si>
  <si>
    <t>% y/y change</t>
  </si>
  <si>
    <t>% q/q change</t>
  </si>
  <si>
    <t xml:space="preserve">Drivers of Revenue % - Assets </t>
  </si>
  <si>
    <t>Accounts Receivable</t>
  </si>
  <si>
    <t>Prepaid expenses &amp; other CA</t>
  </si>
  <si>
    <t>Other Assets</t>
  </si>
  <si>
    <t xml:space="preserve">Drivers of Revenue % - Liabilities </t>
  </si>
  <si>
    <t>Accounts payable</t>
  </si>
  <si>
    <t>Customer Funds Deposits</t>
  </si>
  <si>
    <t>Def Rev, Long-Term</t>
  </si>
  <si>
    <t>Other Long-Term Liabilities</t>
  </si>
  <si>
    <t>Client funds held / revenue</t>
  </si>
  <si>
    <t>Statement of Cash Flows</t>
  </si>
  <si>
    <t>Operating Activities</t>
  </si>
  <si>
    <t>Net Income</t>
  </si>
  <si>
    <t>Depreciation and amortization</t>
  </si>
  <si>
    <t>Stock-based compensation expense</t>
  </si>
  <si>
    <t>Amortization of debt discount and issuance costs</t>
  </si>
  <si>
    <t>Amortization of acquired intangibles</t>
  </si>
  <si>
    <t>Amortization of capitalized internal-use software costs</t>
  </si>
  <si>
    <t>Accretion of discount on investment in marketable debt securities</t>
  </si>
  <si>
    <t>Non-cash operating lease</t>
  </si>
  <si>
    <t>Revaluation of warrant liabilities</t>
  </si>
  <si>
    <t>Issuance of warrants</t>
  </si>
  <si>
    <t>Deferred income taxes</t>
  </si>
  <si>
    <t>Accounts receivable</t>
  </si>
  <si>
    <t>Unbilled revenue</t>
  </si>
  <si>
    <t>Prepaid expenses and other current assets</t>
  </si>
  <si>
    <t>Accrued liabilities</t>
  </si>
  <si>
    <t>Other long-term liabilities</t>
  </si>
  <si>
    <t>Cash Flow from Operating Activites</t>
  </si>
  <si>
    <t>OCF Margins</t>
  </si>
  <si>
    <t>Investing Activites</t>
  </si>
  <si>
    <t>Cash paid for acquisition</t>
  </si>
  <si>
    <t>Purchases of corporate and customer fund short-term investments</t>
  </si>
  <si>
    <t>Proceeds from maturities of corporate and customer fund short-term investments</t>
  </si>
  <si>
    <t>Proceeds from sale of corporate and customer fund short-term investments</t>
  </si>
  <si>
    <t>Decrease (increase) in restricted cash and cash equivalents and other receivables included in funds held for customers</t>
  </si>
  <si>
    <t>Increase in card receivable acquired</t>
  </si>
  <si>
    <t xml:space="preserve">Purchase of property and equipment </t>
  </si>
  <si>
    <t>Capitalization of internal-use software costs</t>
  </si>
  <si>
    <t>Proceeds from beneficial interest</t>
  </si>
  <si>
    <t>Net decrease (increase) in restricted cash</t>
  </si>
  <si>
    <t>Cash Used in Investing Activites</t>
  </si>
  <si>
    <t>Free Cash Flow</t>
  </si>
  <si>
    <t xml:space="preserve">FCF Margin </t>
  </si>
  <si>
    <t>Financing Activities</t>
  </si>
  <si>
    <t>Net proceeds from issuance of convertible preferred stock</t>
  </si>
  <si>
    <t>Purchase of capped calls</t>
  </si>
  <si>
    <t>Net proceeds from issuance of common stock (including exercise of stock options)</t>
  </si>
  <si>
    <t>Exercise of stock warrants</t>
  </si>
  <si>
    <t>Proceeds from issuance of common stock under ESPP</t>
  </si>
  <si>
    <t>Proceed from line of credit offerings</t>
  </si>
  <si>
    <t>Payments on LOC and bank bo</t>
  </si>
  <si>
    <t>Net proceeds from (payments on) bank borrowings</t>
  </si>
  <si>
    <t>Payment of deferred offering and debt issuance costs</t>
  </si>
  <si>
    <t>Cash used in Financing Activites</t>
  </si>
  <si>
    <t>Net change in cash &amp; cash equivalents</t>
  </si>
  <si>
    <t>Beginning cash &amp; cash equivalents</t>
  </si>
  <si>
    <t>Ending cash &amp; cash equivalents</t>
  </si>
  <si>
    <t>Depreciation as a % of PPE</t>
  </si>
  <si>
    <t>Provisions for loses on acquired card receivables</t>
  </si>
  <si>
    <t>3Q23</t>
  </si>
  <si>
    <t>Core BILL Customers (ex-FI)</t>
  </si>
  <si>
    <t>Core BILL Transaction Count / Customer</t>
  </si>
  <si>
    <t>Financial Institution Partner Customers</t>
  </si>
  <si>
    <t>FI Transaction Count</t>
  </si>
  <si>
    <t>FI Transaction Count / Customer</t>
  </si>
  <si>
    <t>FI TPV</t>
  </si>
  <si>
    <t>FI Avg Transaction Size</t>
  </si>
  <si>
    <t xml:space="preserve">Other Subscription Revenue </t>
  </si>
  <si>
    <t xml:space="preserve">Invoice2go Subscription Revenue </t>
  </si>
  <si>
    <t>Core BILL</t>
  </si>
  <si>
    <t>Transaction Count</t>
  </si>
  <si>
    <t>Avg Transaction Size</t>
  </si>
  <si>
    <t>Revenue/Transaction</t>
  </si>
  <si>
    <t>TPV/Customer</t>
  </si>
  <si>
    <t>Divvy</t>
  </si>
  <si>
    <t>Customers</t>
  </si>
  <si>
    <t>Invoice2go</t>
  </si>
  <si>
    <t>Take Rate (bps)</t>
  </si>
  <si>
    <t>Other Subscription Revenue</t>
  </si>
  <si>
    <t>Other Transaction Fee Revenue</t>
  </si>
  <si>
    <t>.</t>
  </si>
  <si>
    <t>Variance Analysis</t>
  </si>
  <si>
    <t>Q/Q Change</t>
  </si>
  <si>
    <t>% Difference</t>
  </si>
  <si>
    <t>Total Operating Expenses</t>
  </si>
  <si>
    <t xml:space="preserve">Non-GAAP Income before Taxes </t>
  </si>
  <si>
    <t>Non-GAAP Net Income</t>
  </si>
  <si>
    <t xml:space="preserve">GAAP Income before Taxes </t>
  </si>
  <si>
    <t>Non- GAAP EPS</t>
  </si>
  <si>
    <t>Subscription Revenue</t>
  </si>
  <si>
    <t>Transaction Revenue</t>
  </si>
  <si>
    <t>4Q23</t>
  </si>
  <si>
    <t>Upside/Downside</t>
  </si>
  <si>
    <t>Rest of Year Raise / (Reduce)</t>
  </si>
  <si>
    <t>Growth</t>
  </si>
  <si>
    <t>Margin</t>
  </si>
  <si>
    <t>Repurchase of common stock</t>
  </si>
  <si>
    <t>Increase in prepaid card deposits</t>
  </si>
  <si>
    <t>Effect of exchange rates</t>
  </si>
  <si>
    <t>Core BILL TPV / Customer</t>
  </si>
  <si>
    <t>FI TPV / Customer</t>
  </si>
  <si>
    <t>ALL FISCAL DATA MUST BE ENTERED IN MILLION (INCLUDING NUMBER OF SHARE)</t>
  </si>
  <si>
    <t>NULL:FISCAL</t>
  </si>
  <si>
    <t xml:space="preserve">ALL PER SHARE DATA MUST BE IN UNIT </t>
  </si>
  <si>
    <t>ADJUSTED:FISCAL</t>
  </si>
  <si>
    <t>DATA MUST BE ENTERED IN THE CURRENCY OF THE COMPANY</t>
  </si>
  <si>
    <t>BASIC:FISCAL</t>
  </si>
  <si>
    <t>Click here to find a list of BlueMatrix Client Codes</t>
  </si>
  <si>
    <t>DILUTED:FISCAL</t>
  </si>
  <si>
    <t>Strong Buy</t>
  </si>
  <si>
    <t>GAAP:FISCAL</t>
  </si>
  <si>
    <t>Buy</t>
  </si>
  <si>
    <t>INDICATED:FISCAL</t>
  </si>
  <si>
    <t>Hold</t>
  </si>
  <si>
    <t>MANAGED:FISCAL</t>
  </si>
  <si>
    <t>Under Perform</t>
  </si>
  <si>
    <t>NON-GAAP:FISCAL</t>
  </si>
  <si>
    <t>Company name</t>
  </si>
  <si>
    <t>Rating Suspended</t>
  </si>
  <si>
    <t>OPERATING:FISCAL</t>
  </si>
  <si>
    <t>Rating</t>
  </si>
  <si>
    <t>RATING</t>
  </si>
  <si>
    <t>Restricted</t>
  </si>
  <si>
    <t>PRIMARY:FISCAL</t>
  </si>
  <si>
    <t>Currency</t>
  </si>
  <si>
    <t>USD</t>
  </si>
  <si>
    <t>Under Review</t>
  </si>
  <si>
    <t>PROFORMA:FISCAL</t>
  </si>
  <si>
    <t>Sell</t>
  </si>
  <si>
    <t>RESTATED:FISCAL</t>
  </si>
  <si>
    <t>12-Month Price Target</t>
  </si>
  <si>
    <t>TARGET_PRICE</t>
  </si>
  <si>
    <t>REVENUE:FISCAL</t>
  </si>
  <si>
    <t>Ticker</t>
  </si>
  <si>
    <t>E</t>
  </si>
  <si>
    <t>A</t>
  </si>
  <si>
    <t>NULL:CALENDAR</t>
  </si>
  <si>
    <t>ADJUSTED:CALENDAR</t>
  </si>
  <si>
    <t>BASIC:CALENDAR</t>
  </si>
  <si>
    <r>
      <t xml:space="preserve">Current  Year </t>
    </r>
    <r>
      <rPr>
        <i/>
        <sz val="12"/>
        <rFont val="Arial"/>
        <family val="2"/>
      </rPr>
      <t>(Matching What Selected From Drop-down Bars - ie. Fiscal or Calendar)</t>
    </r>
  </si>
  <si>
    <t>DILUTED:CALENDAR</t>
  </si>
  <si>
    <r>
      <t xml:space="preserve">Current Base Quarter </t>
    </r>
    <r>
      <rPr>
        <i/>
        <sz val="12"/>
        <rFont val="Arial"/>
        <family val="2"/>
      </rPr>
      <t>(NOT one just reported - One After That)</t>
    </r>
  </si>
  <si>
    <t>Q2</t>
  </si>
  <si>
    <t>GAAP:CALENDAR</t>
  </si>
  <si>
    <t>Q1</t>
  </si>
  <si>
    <t>Q3</t>
  </si>
  <si>
    <t>Q4</t>
  </si>
  <si>
    <t>AN</t>
  </si>
  <si>
    <t>INDICATED:CALENDAR</t>
  </si>
  <si>
    <t>BlueMatrix Time Series Grids</t>
  </si>
  <si>
    <t>MANAGED:CALENDAR</t>
  </si>
  <si>
    <t>Revenue ($M)</t>
  </si>
  <si>
    <t>REVENUE</t>
  </si>
  <si>
    <t>NON-GAAP:CALENDAR</t>
  </si>
  <si>
    <t>OPERATING:CALENDAR</t>
  </si>
  <si>
    <t>EPS</t>
  </si>
  <si>
    <t>PRIMARY:CALENDAR</t>
  </si>
  <si>
    <t>PROFORMA:CALENDAR</t>
  </si>
  <si>
    <t>FCF</t>
  </si>
  <si>
    <t>RESTATED:CALENDAR</t>
  </si>
  <si>
    <t>REVENUE:CALENDAR</t>
  </si>
  <si>
    <t>FFO</t>
  </si>
  <si>
    <t>Net Cash/Debt ($M)</t>
  </si>
  <si>
    <t>NET_CASH_DEBT</t>
  </si>
  <si>
    <t>Operating Margin</t>
  </si>
  <si>
    <t>OP_MARGIN</t>
  </si>
  <si>
    <t>ROIC</t>
  </si>
  <si>
    <t>Calendar Year = Fiscal Year (If yes =0, if less= -1, if more = 1)</t>
  </si>
  <si>
    <t>Fiscal 1Q Ending Month Number</t>
  </si>
  <si>
    <t>Fiscal 2Q Ending Month Number</t>
  </si>
  <si>
    <t>Fiscal 3Q Ending Month Number</t>
  </si>
  <si>
    <t>Fiscal 4Q Ending Month Number</t>
  </si>
  <si>
    <t>Bill.com</t>
  </si>
  <si>
    <t>BILL</t>
  </si>
  <si>
    <t>1Q24</t>
  </si>
  <si>
    <t>1Q25E</t>
  </si>
  <si>
    <t>2Q25E</t>
  </si>
  <si>
    <t>3Q25E</t>
  </si>
  <si>
    <t>2025E</t>
  </si>
  <si>
    <t xml:space="preserve">Purchases of loans held for investment </t>
  </si>
  <si>
    <t>Principal repayments of loans held</t>
  </si>
  <si>
    <t>2Q24</t>
  </si>
  <si>
    <t>3Q24</t>
  </si>
  <si>
    <t>Gain on debt extingishment</t>
  </si>
  <si>
    <t>Payments for repurchase of convertible senior note</t>
  </si>
  <si>
    <t>Total NG Other Income (expense)</t>
  </si>
  <si>
    <t>4Q24</t>
  </si>
  <si>
    <t>Subscription and transaction fees</t>
  </si>
  <si>
    <t>4Q25E</t>
  </si>
  <si>
    <t>Financial Metrics</t>
  </si>
  <si>
    <t>Bill AP/AR</t>
  </si>
  <si>
    <t>Average Transaction Size</t>
  </si>
  <si>
    <t>Transactions (M)</t>
  </si>
  <si>
    <t>Average Transaction Size ($)</t>
  </si>
  <si>
    <t>Take Rate (BPs)</t>
  </si>
  <si>
    <t>Subscription Revenue/Customer</t>
  </si>
  <si>
    <t>Bill Spend &amp; Expense (Divvy)</t>
  </si>
  <si>
    <t>Embedded &amp; Other Solutions</t>
  </si>
  <si>
    <t>Float Revenue</t>
  </si>
  <si>
    <t>All revenue in thousands of USD</t>
  </si>
  <si>
    <t>Total Payment Volume (B)</t>
  </si>
  <si>
    <t>Average Client Funds Held (M)</t>
  </si>
  <si>
    <t>% of Integrated TPV</t>
  </si>
  <si>
    <t>Rewards Expense</t>
  </si>
  <si>
    <t>% of Transaction Revenue</t>
  </si>
  <si>
    <t>x</t>
  </si>
  <si>
    <t>2Q26E</t>
  </si>
  <si>
    <t>3Q26E</t>
  </si>
  <si>
    <t>4Q26E</t>
  </si>
  <si>
    <t>2026E</t>
  </si>
  <si>
    <t>Integrated Platform</t>
  </si>
  <si>
    <t>Core Revenue</t>
  </si>
  <si>
    <t>1Q25</t>
  </si>
  <si>
    <t>Tax withholdings relate to net share settlement</t>
  </si>
  <si>
    <t>Spend &amp; Expense</t>
  </si>
  <si>
    <t>AP/AR</t>
  </si>
  <si>
    <t>Customer Adds</t>
  </si>
  <si>
    <t>2Q25</t>
  </si>
  <si>
    <t>Initial public offering</t>
  </si>
  <si>
    <t>3Q25</t>
  </si>
  <si>
    <t>Accretion of discount on loans held in investment</t>
  </si>
  <si>
    <t>FY26 Guide</t>
  </si>
  <si>
    <t>4Q25</t>
  </si>
  <si>
    <t>General &amp; Administrative</t>
  </si>
  <si>
    <t xml:space="preserve">FY26 Guide Midpoint </t>
  </si>
  <si>
    <t>FY26E Street</t>
  </si>
  <si>
    <t>Take Rate</t>
  </si>
  <si>
    <t>TPV</t>
  </si>
  <si>
    <t>FY26 Updated Guidance</t>
  </si>
  <si>
    <t>Upside/ Downside</t>
  </si>
  <si>
    <t>1Q27E</t>
  </si>
  <si>
    <t>2Q27E</t>
  </si>
  <si>
    <t>3Q27E</t>
  </si>
  <si>
    <t>4Q27E</t>
  </si>
  <si>
    <t>2027E</t>
  </si>
  <si>
    <t>1Q26</t>
  </si>
  <si>
    <t>Total Core Revenue</t>
  </si>
  <si>
    <t>Price</t>
  </si>
  <si>
    <t>S/O</t>
  </si>
  <si>
    <t>Market cap</t>
  </si>
  <si>
    <t>Net cash</t>
  </si>
  <si>
    <t>EV</t>
  </si>
  <si>
    <t>FY26 Revenue</t>
  </si>
  <si>
    <t>EV/Rev</t>
  </si>
  <si>
    <t>N/A</t>
  </si>
  <si>
    <t>Total Other Income</t>
  </si>
  <si>
    <t>Other income, net</t>
  </si>
  <si>
    <t>Gross Margin</t>
  </si>
  <si>
    <t xml:space="preserve">   Income Tax</t>
  </si>
  <si>
    <t>AP/AR Variance Analysis</t>
  </si>
  <si>
    <t>Customer Count</t>
  </si>
  <si>
    <t>Sub. Revenue/Customer</t>
  </si>
  <si>
    <t>Total Payment Volume</t>
  </si>
  <si>
    <t>Transactions</t>
  </si>
  <si>
    <t>Segment Revenue</t>
  </si>
  <si>
    <t>S&amp;E Variance Analysis</t>
  </si>
  <si>
    <t>Rewards - % of Revenue</t>
  </si>
  <si>
    <t>Embedded Variance Analysis</t>
  </si>
  <si>
    <t>Provision for expected credit losses</t>
  </si>
  <si>
    <t>Other G&amp;A</t>
  </si>
  <si>
    <t>Other S&amp;M</t>
  </si>
  <si>
    <t>Reported Revenue</t>
  </si>
  <si>
    <t>Provision for Expected Credit Losses</t>
  </si>
  <si>
    <t>Contribution Margin</t>
  </si>
  <si>
    <t>% of Contribution Margin</t>
  </si>
  <si>
    <t>Gross Profit on Contribution Margin</t>
  </si>
  <si>
    <t>S&amp;M, excluding rewards expense</t>
  </si>
  <si>
    <t>R&amp;D</t>
  </si>
  <si>
    <t>G&amp;A, excluding provision for credit losses</t>
  </si>
  <si>
    <t>Total OpEx, excluding rewards &amp; credit losses</t>
  </si>
  <si>
    <t>2Q Results</t>
  </si>
  <si>
    <t>2Q Guide</t>
  </si>
  <si>
    <t>2Q Beat</t>
  </si>
  <si>
    <t>FY26 Prior Guide</t>
  </si>
  <si>
    <t>2Q26</t>
  </si>
  <si>
    <t>FY25</t>
  </si>
  <si>
    <t>FY24</t>
  </si>
  <si>
    <t>FY23</t>
  </si>
  <si>
    <t>Network Members (mm)</t>
  </si>
  <si>
    <t>FY22</t>
  </si>
  <si>
    <t>FY20</t>
  </si>
  <si>
    <t>FY21</t>
  </si>
  <si>
    <t>Accounting Firm Partners</t>
  </si>
  <si>
    <t>&gt;9,000</t>
  </si>
  <si>
    <t>&gt;8,000</t>
  </si>
  <si>
    <t>&gt;7,000</t>
  </si>
  <si>
    <t>&gt;6,000</t>
  </si>
  <si>
    <t>&gt;5,400</t>
  </si>
  <si>
    <t>~5,000</t>
  </si>
  <si>
    <t>% of customers from accounting</t>
  </si>
  <si>
    <t>% of revenue from accounting</t>
  </si>
  <si>
    <t>Annual Metrics</t>
  </si>
  <si>
    <t>AP/AR Revenue from Existing Customers</t>
  </si>
  <si>
    <t>Customer Retention Rate Ex. FI</t>
  </si>
  <si>
    <t>Dollar-Based Net Retention</t>
  </si>
  <si>
    <t>FY18</t>
  </si>
  <si>
    <t>FY19</t>
  </si>
  <si>
    <t>% of TPV (in BPs)</t>
  </si>
  <si>
    <t>Net Change in Working Capital</t>
  </si>
  <si>
    <t>Customer funds deposit liability</t>
  </si>
  <si>
    <t>Non-GAAP adjustments</t>
  </si>
  <si>
    <t>Total Non-GAAP Other Income</t>
  </si>
  <si>
    <t>Non-GAAP Other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</si>
</sst>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_(* #,##0.0_);_(* \(#,##0.0\);_(* &quot;-&quot;??_);_(@_)"/>
    <numFmt numFmtId="167" formatCode="_(* #,##0.000_);_(* \(#,##0.000\);_(* &quot;-&quot;??_);_(@_)"/>
    <numFmt numFmtId="168" formatCode="_(* #,##0.000_);_(* \(#,##0.000\);_(* &quot;-&quot;???_);_(@_)"/>
    <numFmt numFmtId="169" formatCode="0.0%_);\(0.0%\);0.0%_);@_)"/>
    <numFmt numFmtId="170" formatCode="_(&quot;$&quot;* #,##0.0_);_(&quot;$&quot;* \(#,##0.0\);_(&quot;$&quot;* &quot;-&quot;??_);_(@_)"/>
    <numFmt numFmtId="171" formatCode="0.00000"/>
    <numFmt numFmtId="172" formatCode="0.0"/>
    <numFmt numFmtId="173" formatCode="0.000%"/>
    <numFmt numFmtId="174" formatCode="_(&quot;$&quot;* #,##0_);_(&quot;$&quot;* \(#,##0\);_(&quot;$&quot;* &quot;-&quot;??_);_(@_)"/>
    <numFmt numFmtId="175" formatCode="0_)"/>
    <numFmt numFmtId="176" formatCode="General_)"/>
    <numFmt numFmtId="177" formatCode="#,##0.0"/>
    <numFmt numFmtId="178" formatCode="[$-409]mmm\-yy;@"/>
    <numFmt numFmtId="179" formatCode="&quot;$&quot;#,##0.00"/>
    <numFmt numFmtId="180" formatCode="[$-409]mmmmm;@"/>
    <numFmt numFmtId="181" formatCode="#,##0.000"/>
  </numFmts>
  <fonts count="110" x14ac:knownFonts="1">
    <font>
      <sz val="11"/>
      <color theme="1"/>
      <name val="Calibri"/>
      <family val="2"/>
      <scheme val="minor"/>
    </font>
    <font>
      <sz val="11"/>
      <color theme="1"/>
      <name val="Calibri"/>
      <family val="2"/>
      <scheme val="minor"/>
    </font>
    <font>
      <b/>
      <sz val="10"/>
      <color theme="0"/>
      <name val="Arial"/>
      <family val="2"/>
    </font>
    <font>
      <b/>
      <sz val="10"/>
      <color theme="1"/>
      <name val="Arial"/>
      <family val="2"/>
    </font>
    <font>
      <i/>
      <sz val="9"/>
      <color theme="1"/>
      <name val="Arial"/>
      <family val="2"/>
    </font>
    <font>
      <sz val="10"/>
      <color theme="1"/>
      <name val="Arial"/>
      <family val="2"/>
    </font>
    <font>
      <sz val="10"/>
      <name val="Arial"/>
      <family val="2"/>
    </font>
    <font>
      <i/>
      <sz val="8.5"/>
      <name val="Arial"/>
      <family val="2"/>
    </font>
    <font>
      <b/>
      <sz val="10"/>
      <name val="Arial"/>
      <family val="2"/>
    </font>
    <font>
      <i/>
      <sz val="10"/>
      <color theme="1"/>
      <name val="Arial"/>
      <family val="2"/>
    </font>
    <font>
      <b/>
      <i/>
      <sz val="9"/>
      <color theme="1"/>
      <name val="Arial"/>
      <family val="2"/>
    </font>
    <font>
      <i/>
      <sz val="10"/>
      <color rgb="FF0000FF"/>
      <name val="Arial"/>
      <family val="2"/>
    </font>
    <font>
      <i/>
      <sz val="10"/>
      <color rgb="FF000000"/>
      <name val="Arial"/>
      <family val="2"/>
    </font>
    <font>
      <i/>
      <sz val="8.5"/>
      <color rgb="FF0000FF"/>
      <name val="Arial"/>
      <family val="2"/>
    </font>
    <font>
      <sz val="10"/>
      <color rgb="FF0000FF"/>
      <name val="Arial"/>
      <family val="2"/>
    </font>
    <font>
      <sz val="11"/>
      <color theme="1"/>
      <name val="Arial"/>
      <family val="2"/>
    </font>
    <font>
      <b/>
      <sz val="11"/>
      <color theme="1"/>
      <name val="Arial"/>
      <family val="2"/>
    </font>
    <font>
      <sz val="9"/>
      <color theme="1"/>
      <name val="Arial"/>
      <family val="2"/>
    </font>
    <font>
      <b/>
      <i/>
      <sz val="10"/>
      <name val="Arial"/>
      <family val="2"/>
    </font>
    <font>
      <b/>
      <i/>
      <sz val="10"/>
      <color rgb="FF0000FF"/>
      <name val="Arial"/>
      <family val="2"/>
    </font>
    <font>
      <sz val="10"/>
      <color rgb="FF000000"/>
      <name val="Arial"/>
      <family val="2"/>
    </font>
    <font>
      <i/>
      <u/>
      <sz val="9"/>
      <color theme="1"/>
      <name val="Arial"/>
      <family val="2"/>
    </font>
    <font>
      <u/>
      <sz val="11"/>
      <color theme="1"/>
      <name val="Arial"/>
      <family val="2"/>
    </font>
    <font>
      <u/>
      <sz val="10"/>
      <name val="Arial"/>
      <family val="2"/>
    </font>
    <font>
      <u/>
      <sz val="10"/>
      <color theme="1"/>
      <name val="Arial"/>
      <family val="2"/>
    </font>
    <font>
      <b/>
      <i/>
      <sz val="10"/>
      <color rgb="FF7030A0"/>
      <name val="Arial"/>
      <family val="2"/>
    </font>
    <font>
      <b/>
      <i/>
      <sz val="9"/>
      <color rgb="FF7030A0"/>
      <name val="Arial"/>
      <family val="2"/>
    </font>
    <font>
      <i/>
      <sz val="8.5"/>
      <color rgb="FF000000"/>
      <name val="Arial"/>
      <family val="2"/>
    </font>
    <font>
      <sz val="11"/>
      <color theme="0"/>
      <name val="Arial"/>
      <family val="2"/>
    </font>
    <font>
      <sz val="10"/>
      <color theme="1"/>
      <name val="Calibri"/>
      <family val="2"/>
      <scheme val="minor"/>
    </font>
    <font>
      <b/>
      <sz val="12"/>
      <color theme="1"/>
      <name val="Arial"/>
      <family val="2"/>
    </font>
    <font>
      <sz val="8.5"/>
      <color theme="1"/>
      <name val="Arial"/>
      <family val="2"/>
    </font>
    <font>
      <i/>
      <sz val="8.5"/>
      <color theme="1"/>
      <name val="Arial"/>
      <family val="2"/>
    </font>
    <font>
      <sz val="8.5"/>
      <color theme="1"/>
      <name val="Calibri"/>
      <family val="2"/>
      <scheme val="minor"/>
    </font>
    <font>
      <i/>
      <sz val="8"/>
      <color theme="1"/>
      <name val="Arial"/>
      <family val="2"/>
    </font>
    <font>
      <i/>
      <sz val="8.5"/>
      <color theme="1"/>
      <name val="Calibri"/>
      <family val="2"/>
      <scheme val="minor"/>
    </font>
    <font>
      <b/>
      <sz val="10"/>
      <color theme="1"/>
      <name val="Calibri"/>
      <family val="2"/>
      <scheme val="minor"/>
    </font>
    <font>
      <b/>
      <i/>
      <sz val="8.5"/>
      <color theme="1"/>
      <name val="Arial"/>
      <family val="2"/>
    </font>
    <font>
      <i/>
      <sz val="8"/>
      <color theme="1"/>
      <name val="Calibri"/>
      <family val="2"/>
      <scheme val="minor"/>
    </font>
    <font>
      <i/>
      <sz val="8"/>
      <name val="Arial"/>
      <family val="2"/>
    </font>
    <font>
      <sz val="10"/>
      <color rgb="FF005BE2"/>
      <name val="Arial"/>
      <family val="2"/>
    </font>
    <font>
      <sz val="10"/>
      <color rgb="FF0070C0"/>
      <name val="Arial"/>
      <family val="2"/>
    </font>
    <font>
      <sz val="10"/>
      <color rgb="FF0156FF"/>
      <name val="Arial"/>
      <family val="2"/>
    </font>
    <font>
      <sz val="8"/>
      <color theme="1"/>
      <name val="Calibri"/>
      <family val="2"/>
      <scheme val="minor"/>
    </font>
    <font>
      <sz val="8"/>
      <name val="Arial"/>
      <family val="2"/>
    </font>
    <font>
      <sz val="9"/>
      <name val="Arial"/>
      <family val="2"/>
    </font>
    <font>
      <b/>
      <sz val="8"/>
      <name val="Arial"/>
      <family val="2"/>
    </font>
    <font>
      <b/>
      <sz val="9"/>
      <name val="Arial"/>
      <family val="2"/>
    </font>
    <font>
      <b/>
      <sz val="9"/>
      <color theme="1"/>
      <name val="Arial"/>
      <family val="2"/>
    </font>
    <font>
      <sz val="9"/>
      <color theme="1"/>
      <name val="Calibri"/>
      <family val="2"/>
      <scheme val="minor"/>
    </font>
    <font>
      <i/>
      <sz val="9"/>
      <name val="Arial"/>
      <family val="2"/>
    </font>
    <font>
      <b/>
      <sz val="10"/>
      <color rgb="FF000000"/>
      <name val="Arial"/>
      <family val="2"/>
    </font>
    <font>
      <sz val="10"/>
      <color rgb="FFFF0000"/>
      <name val="Arial"/>
      <family val="2"/>
    </font>
    <font>
      <b/>
      <u/>
      <sz val="10"/>
      <color theme="1"/>
      <name val="Arial"/>
      <family val="2"/>
    </font>
    <font>
      <b/>
      <i/>
      <sz val="10"/>
      <color theme="1"/>
      <name val="Arial"/>
      <family val="2"/>
    </font>
    <font>
      <b/>
      <sz val="9"/>
      <color indexed="81"/>
      <name val="Tahoma"/>
      <family val="2"/>
    </font>
    <font>
      <i/>
      <sz val="9"/>
      <color rgb="FF000000"/>
      <name val="Arial"/>
      <family val="2"/>
    </font>
    <font>
      <u val="singleAccounting"/>
      <sz val="10"/>
      <name val="Arial"/>
      <family val="2"/>
    </font>
    <font>
      <u val="singleAccounting"/>
      <sz val="10"/>
      <color theme="1"/>
      <name val="Arial"/>
      <family val="2"/>
    </font>
    <font>
      <i/>
      <sz val="10"/>
      <name val="Arial"/>
      <family val="2"/>
    </font>
    <font>
      <b/>
      <i/>
      <sz val="8.5"/>
      <name val="Arial"/>
      <family val="2"/>
    </font>
    <font>
      <b/>
      <sz val="10"/>
      <color rgb="FF0000FF"/>
      <name val="Arial"/>
      <family val="2"/>
    </font>
    <font>
      <b/>
      <i/>
      <sz val="10"/>
      <color rgb="FF008000"/>
      <name val="Arial"/>
      <family val="2"/>
    </font>
    <font>
      <b/>
      <sz val="12"/>
      <name val="Arial"/>
      <family val="2"/>
    </font>
    <font>
      <sz val="12"/>
      <name val="Arial"/>
      <family val="2"/>
    </font>
    <font>
      <b/>
      <sz val="9"/>
      <color theme="0"/>
      <name val="Arial"/>
      <family val="2"/>
    </font>
    <font>
      <i/>
      <sz val="8.5"/>
      <color theme="0"/>
      <name val="Arial"/>
      <family val="2"/>
    </font>
    <font>
      <sz val="9"/>
      <color indexed="8"/>
      <name val="Arial"/>
      <family val="2"/>
    </font>
    <font>
      <b/>
      <sz val="9"/>
      <color indexed="8"/>
      <name val="Arial"/>
      <family val="2"/>
    </font>
    <font>
      <i/>
      <sz val="9"/>
      <color indexed="8"/>
      <name val="Arial"/>
      <family val="2"/>
    </font>
    <font>
      <i/>
      <sz val="9.5"/>
      <color indexed="8"/>
      <name val="Arial"/>
      <family val="2"/>
    </font>
    <font>
      <i/>
      <sz val="9.5"/>
      <name val="Arial"/>
      <family val="2"/>
    </font>
    <font>
      <sz val="9.5"/>
      <name val="Arial"/>
      <family val="2"/>
    </font>
    <font>
      <b/>
      <i/>
      <sz val="8.5"/>
      <color indexed="8"/>
      <name val="Arial"/>
      <family val="2"/>
    </font>
    <font>
      <i/>
      <sz val="8.5"/>
      <color indexed="8"/>
      <name val="Arial"/>
      <family val="2"/>
    </font>
    <font>
      <sz val="8.5"/>
      <name val="Arial"/>
      <family val="2"/>
    </font>
    <font>
      <b/>
      <i/>
      <sz val="8"/>
      <color indexed="8"/>
      <name val="Arial"/>
      <family val="2"/>
    </font>
    <font>
      <i/>
      <sz val="8"/>
      <color indexed="8"/>
      <name val="Arial"/>
      <family val="2"/>
    </font>
    <font>
      <b/>
      <i/>
      <sz val="8"/>
      <name val="Arial"/>
      <family val="2"/>
    </font>
    <font>
      <sz val="10"/>
      <color indexed="8"/>
      <name val="Arial"/>
      <family val="2"/>
    </font>
    <font>
      <b/>
      <i/>
      <sz val="9"/>
      <name val="Arial"/>
      <family val="2"/>
    </font>
    <font>
      <b/>
      <sz val="9"/>
      <color rgb="FFFFFFFF"/>
      <name val="Arial"/>
      <family val="2"/>
    </font>
    <font>
      <b/>
      <sz val="9"/>
      <color rgb="FF000000"/>
      <name val="Arial"/>
      <family val="2"/>
    </font>
    <font>
      <b/>
      <i/>
      <sz val="9.5"/>
      <color rgb="FF000000"/>
      <name val="Arial"/>
      <family val="2"/>
    </font>
    <font>
      <sz val="9.5"/>
      <color rgb="FF000000"/>
      <name val="Arial"/>
      <family val="2"/>
    </font>
    <font>
      <i/>
      <sz val="9.5"/>
      <color rgb="FF000000"/>
      <name val="Arial"/>
      <family val="2"/>
    </font>
    <font>
      <b/>
      <i/>
      <sz val="10"/>
      <color rgb="FF000000"/>
      <name val="Arial"/>
      <family val="2"/>
    </font>
    <font>
      <sz val="10"/>
      <name val="Courier"/>
      <family val="3"/>
    </font>
    <font>
      <sz val="8"/>
      <name val="Calibri"/>
      <family val="2"/>
    </font>
    <font>
      <sz val="12"/>
      <name val="Helv"/>
    </font>
    <font>
      <u/>
      <sz val="10"/>
      <color indexed="12"/>
      <name val="Arial"/>
      <family val="2"/>
    </font>
    <font>
      <u/>
      <sz val="16"/>
      <color indexed="12"/>
      <name val="Calibri"/>
      <family val="2"/>
    </font>
    <font>
      <b/>
      <sz val="14"/>
      <name val="Arial"/>
      <family val="2"/>
    </font>
    <font>
      <b/>
      <sz val="12"/>
      <color indexed="9"/>
      <name val="Arial"/>
      <family val="2"/>
    </font>
    <font>
      <sz val="10"/>
      <color indexed="18"/>
      <name val="Arial"/>
      <family val="2"/>
    </font>
    <font>
      <sz val="10"/>
      <name val="MS Sans Serif"/>
      <family val="2"/>
    </font>
    <font>
      <sz val="8"/>
      <name val="Helvetica"/>
      <family val="2"/>
    </font>
    <font>
      <sz val="10"/>
      <color indexed="9"/>
      <name val="Arial"/>
      <family val="2"/>
    </font>
    <font>
      <i/>
      <sz val="12"/>
      <name val="Arial"/>
      <family val="2"/>
    </font>
    <font>
      <sz val="12"/>
      <color indexed="9"/>
      <name val="Arial"/>
      <family val="2"/>
    </font>
    <font>
      <b/>
      <sz val="14"/>
      <color indexed="9"/>
      <name val="Arial"/>
      <family val="2"/>
    </font>
    <font>
      <sz val="12"/>
      <color indexed="8"/>
      <name val="Arial"/>
      <family val="2"/>
    </font>
    <font>
      <sz val="11"/>
      <color indexed="8"/>
      <name val="Arial"/>
      <family val="2"/>
    </font>
    <font>
      <b/>
      <sz val="12"/>
      <color indexed="10"/>
      <name val="Arial"/>
      <family val="2"/>
    </font>
    <font>
      <sz val="9"/>
      <color indexed="81"/>
      <name val="Tahoma"/>
      <family val="2"/>
    </font>
    <font>
      <sz val="10"/>
      <name val="Arial"/>
      <family val="2"/>
    </font>
    <font>
      <b/>
      <sz val="10"/>
      <color indexed="9"/>
      <name val="Arial"/>
      <family val="2"/>
    </font>
    <font>
      <i/>
      <sz val="10"/>
      <color indexed="8"/>
      <name val="Arial"/>
      <family val="2"/>
    </font>
    <font>
      <b/>
      <sz val="11"/>
      <color theme="1"/>
      <name val="Calibri"/>
      <family val="2"/>
      <scheme val="minor"/>
    </font>
    <font>
      <b/>
      <i/>
      <sz val="9"/>
      <color indexed="8"/>
      <name val="Arial"/>
      <family val="2"/>
    </font>
  </fonts>
  <fills count="26">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indexed="9"/>
        <bgColor indexed="64"/>
      </patternFill>
    </fill>
    <fill>
      <patternFill patternType="solid">
        <fgColor rgb="FFB3110D"/>
        <bgColor indexed="64"/>
      </patternFill>
    </fill>
    <fill>
      <patternFill patternType="solid">
        <fgColor rgb="FFFFFFFF"/>
        <bgColor rgb="FF000000"/>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47"/>
        <bgColor indexed="8"/>
      </patternFill>
    </fill>
    <fill>
      <patternFill patternType="solid">
        <fgColor indexed="44"/>
        <bgColor indexed="64"/>
      </patternFill>
    </fill>
    <fill>
      <patternFill patternType="solid">
        <fgColor indexed="57"/>
        <bgColor indexed="8"/>
      </patternFill>
    </fill>
    <fill>
      <patternFill patternType="solid">
        <fgColor indexed="22"/>
        <bgColor indexed="64"/>
      </patternFill>
    </fill>
    <fill>
      <patternFill patternType="solid">
        <fgColor indexed="23"/>
        <bgColor indexed="8"/>
      </patternFill>
    </fill>
    <fill>
      <patternFill patternType="solid">
        <fgColor indexed="45"/>
        <bgColor indexed="8"/>
      </patternFill>
    </fill>
    <fill>
      <patternFill patternType="solid">
        <fgColor indexed="17"/>
        <bgColor indexed="64"/>
      </patternFill>
    </fill>
    <fill>
      <patternFill patternType="solid">
        <fgColor indexed="57"/>
        <bgColor indexed="64"/>
      </patternFill>
    </fill>
    <fill>
      <patternFill patternType="solid">
        <fgColor theme="5" tint="0.79998168889431442"/>
        <bgColor indexed="64"/>
      </patternFill>
    </fill>
    <fill>
      <patternFill patternType="solid">
        <fgColor theme="9" tint="0.39997558519241921"/>
        <bgColor indexed="64"/>
      </patternFill>
    </fill>
  </fills>
  <borders count="40">
    <border>
      <left/>
      <right/>
      <top/>
      <bottom/>
      <diagonal/>
    </border>
    <border>
      <left style="medium">
        <color indexed="64"/>
      </left>
      <right/>
      <top style="medium">
        <color indexed="64"/>
      </top>
      <bottom style="medium">
        <color indexed="64"/>
      </bottom>
      <diagonal/>
    </border>
    <border>
      <left/>
      <right/>
      <top style="medium">
        <color auto="1"/>
      </top>
      <bottom style="medium">
        <color auto="1"/>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right style="thin">
        <color indexed="64"/>
      </right>
      <top style="medium">
        <color indexed="64"/>
      </top>
      <bottom style="medium">
        <color auto="1"/>
      </bottom>
      <diagonal/>
    </border>
  </borders>
  <cellStyleXfs count="2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4" fontId="6"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4" fillId="0" borderId="0"/>
    <xf numFmtId="44" fontId="6" fillId="0" borderId="0" applyFont="0" applyFill="0" applyBorder="0" applyAlignment="0" applyProtection="0"/>
    <xf numFmtId="43" fontId="6" fillId="0" borderId="0" applyFont="0" applyFill="0" applyBorder="0" applyAlignment="0" applyProtection="0"/>
    <xf numFmtId="175" fontId="87" fillId="0" borderId="0"/>
    <xf numFmtId="0" fontId="6" fillId="0" borderId="0"/>
    <xf numFmtId="176" fontId="89" fillId="0" borderId="0"/>
    <xf numFmtId="0" fontId="90" fillId="0" borderId="0" applyNumberFormat="0" applyFill="0" applyBorder="0" applyAlignment="0" applyProtection="0">
      <alignment vertical="top"/>
      <protection locked="0"/>
    </xf>
    <xf numFmtId="43" fontId="6" fillId="0" borderId="0" applyFont="0" applyFill="0" applyBorder="0" applyAlignment="0" applyProtection="0"/>
    <xf numFmtId="8" fontId="95" fillId="0" borderId="0" applyFont="0" applyFill="0" applyBorder="0" applyAlignment="0" applyProtection="0"/>
    <xf numFmtId="0" fontId="96" fillId="0" borderId="0"/>
    <xf numFmtId="0" fontId="1" fillId="0" borderId="0"/>
    <xf numFmtId="0" fontId="105" fillId="0" borderId="0"/>
  </cellStyleXfs>
  <cellXfs count="871">
    <xf numFmtId="0" fontId="0" fillId="0" borderId="0" xfId="0"/>
    <xf numFmtId="0" fontId="3" fillId="3" borderId="0" xfId="0" applyFont="1" applyFill="1"/>
    <xf numFmtId="0" fontId="4" fillId="3" borderId="0" xfId="0" applyFont="1" applyFill="1" applyAlignment="1">
      <alignment horizontal="left"/>
    </xf>
    <xf numFmtId="0" fontId="5" fillId="3" borderId="0" xfId="0" applyFont="1" applyFill="1"/>
    <xf numFmtId="164" fontId="6" fillId="0" borderId="0" xfId="1" applyNumberFormat="1" applyFont="1" applyFill="1" applyBorder="1"/>
    <xf numFmtId="165" fontId="7" fillId="0" borderId="0" xfId="3" applyNumberFormat="1" applyFont="1" applyFill="1" applyBorder="1"/>
    <xf numFmtId="164" fontId="8" fillId="0" borderId="0" xfId="1" applyNumberFormat="1" applyFont="1" applyFill="1" applyBorder="1"/>
    <xf numFmtId="164" fontId="5" fillId="3" borderId="0" xfId="1" applyNumberFormat="1" applyFont="1" applyFill="1" applyBorder="1"/>
    <xf numFmtId="166" fontId="5" fillId="3" borderId="0" xfId="1" applyNumberFormat="1" applyFont="1" applyFill="1" applyBorder="1"/>
    <xf numFmtId="166" fontId="6" fillId="0" borderId="0" xfId="1" applyNumberFormat="1" applyFont="1" applyFill="1" applyBorder="1"/>
    <xf numFmtId="43" fontId="6" fillId="0" borderId="0" xfId="1" applyFont="1" applyFill="1" applyBorder="1"/>
    <xf numFmtId="0" fontId="3" fillId="4" borderId="4" xfId="0" applyFont="1" applyFill="1" applyBorder="1"/>
    <xf numFmtId="164" fontId="8" fillId="4" borderId="5" xfId="1" applyNumberFormat="1" applyFont="1" applyFill="1" applyBorder="1"/>
    <xf numFmtId="164" fontId="3" fillId="4" borderId="5" xfId="1" applyNumberFormat="1" applyFont="1" applyFill="1" applyBorder="1"/>
    <xf numFmtId="164" fontId="3" fillId="3" borderId="0" xfId="1" applyNumberFormat="1" applyFont="1" applyFill="1" applyBorder="1"/>
    <xf numFmtId="164" fontId="11" fillId="3" borderId="0" xfId="1" applyNumberFormat="1" applyFont="1" applyFill="1" applyBorder="1"/>
    <xf numFmtId="164" fontId="12" fillId="3" borderId="0" xfId="1" applyNumberFormat="1" applyFont="1" applyFill="1" applyBorder="1"/>
    <xf numFmtId="164" fontId="11" fillId="6" borderId="0" xfId="1" applyNumberFormat="1" applyFont="1" applyFill="1" applyBorder="1" applyAlignment="1"/>
    <xf numFmtId="165" fontId="13" fillId="0" borderId="0" xfId="3" applyNumberFormat="1" applyFont="1" applyFill="1" applyBorder="1"/>
    <xf numFmtId="164" fontId="3" fillId="0" borderId="0" xfId="1" applyNumberFormat="1" applyFont="1" applyFill="1" applyBorder="1"/>
    <xf numFmtId="0" fontId="3" fillId="0" borderId="0" xfId="0" applyFont="1"/>
    <xf numFmtId="164" fontId="14" fillId="0" borderId="0" xfId="1" applyNumberFormat="1" applyFont="1" applyFill="1" applyBorder="1"/>
    <xf numFmtId="0" fontId="15" fillId="0" borderId="0" xfId="0" applyFont="1"/>
    <xf numFmtId="0" fontId="16" fillId="0" borderId="0" xfId="0" applyFont="1"/>
    <xf numFmtId="0" fontId="17" fillId="0" borderId="0" xfId="0" applyFont="1"/>
    <xf numFmtId="0" fontId="4" fillId="0" borderId="0" xfId="0" applyFont="1"/>
    <xf numFmtId="164" fontId="4" fillId="3" borderId="0" xfId="1" applyNumberFormat="1" applyFont="1" applyFill="1" applyBorder="1"/>
    <xf numFmtId="0" fontId="9" fillId="3" borderId="0" xfId="0" applyFont="1" applyFill="1" applyAlignment="1">
      <alignment horizontal="left" indent="1"/>
    </xf>
    <xf numFmtId="0" fontId="5" fillId="0" borderId="0" xfId="0" applyFont="1"/>
    <xf numFmtId="0" fontId="4" fillId="0" borderId="0" xfId="0" applyFont="1" applyAlignment="1">
      <alignment horizontal="left"/>
    </xf>
    <xf numFmtId="164" fontId="4" fillId="0" borderId="0" xfId="1" applyNumberFormat="1" applyFont="1" applyFill="1" applyBorder="1"/>
    <xf numFmtId="0" fontId="3" fillId="3" borderId="3" xfId="0" applyFont="1" applyFill="1" applyBorder="1"/>
    <xf numFmtId="0" fontId="10" fillId="3" borderId="3" xfId="0" applyFont="1" applyFill="1" applyBorder="1" applyAlignment="1">
      <alignment horizontal="left"/>
    </xf>
    <xf numFmtId="0" fontId="16" fillId="0" borderId="3" xfId="0" applyFont="1" applyBorder="1"/>
    <xf numFmtId="164" fontId="8" fillId="0" borderId="3" xfId="1" applyNumberFormat="1" applyFont="1" applyFill="1" applyBorder="1"/>
    <xf numFmtId="164" fontId="12" fillId="0" borderId="0" xfId="1" applyNumberFormat="1" applyFont="1" applyFill="1" applyBorder="1"/>
    <xf numFmtId="10" fontId="18" fillId="0" borderId="0" xfId="3" applyNumberFormat="1" applyFont="1" applyFill="1" applyBorder="1"/>
    <xf numFmtId="10" fontId="19" fillId="0" borderId="0" xfId="3" applyNumberFormat="1" applyFont="1" applyFill="1" applyBorder="1"/>
    <xf numFmtId="0" fontId="21" fillId="3" borderId="0" xfId="0" applyFont="1" applyFill="1" applyAlignment="1">
      <alignment horizontal="left"/>
    </xf>
    <xf numFmtId="0" fontId="22" fillId="0" borderId="0" xfId="0" applyFont="1"/>
    <xf numFmtId="164" fontId="23" fillId="0" borderId="0" xfId="1" applyNumberFormat="1" applyFont="1" applyFill="1" applyBorder="1"/>
    <xf numFmtId="0" fontId="24" fillId="3" borderId="0" xfId="0" applyFont="1" applyFill="1"/>
    <xf numFmtId="0" fontId="3" fillId="7" borderId="1" xfId="0" applyFont="1" applyFill="1" applyBorder="1"/>
    <xf numFmtId="0" fontId="10" fillId="7" borderId="2" xfId="0" applyFont="1" applyFill="1" applyBorder="1" applyAlignment="1">
      <alignment horizontal="left"/>
    </xf>
    <xf numFmtId="0" fontId="16" fillId="7" borderId="2" xfId="0" applyFont="1" applyFill="1" applyBorder="1"/>
    <xf numFmtId="164" fontId="8" fillId="7" borderId="2" xfId="1" applyNumberFormat="1" applyFont="1" applyFill="1" applyBorder="1"/>
    <xf numFmtId="0" fontId="3" fillId="8" borderId="4" xfId="0" applyFont="1" applyFill="1" applyBorder="1"/>
    <xf numFmtId="0" fontId="10" fillId="8" borderId="5" xfId="0" applyFont="1" applyFill="1" applyBorder="1" applyAlignment="1">
      <alignment horizontal="left"/>
    </xf>
    <xf numFmtId="0" fontId="16" fillId="8" borderId="5" xfId="0" applyFont="1" applyFill="1" applyBorder="1"/>
    <xf numFmtId="164" fontId="8" fillId="8" borderId="5" xfId="1" applyNumberFormat="1" applyFont="1" applyFill="1" applyBorder="1"/>
    <xf numFmtId="0" fontId="25" fillId="0" borderId="0" xfId="0" applyFont="1"/>
    <xf numFmtId="164" fontId="25" fillId="0" borderId="0" xfId="1" applyNumberFormat="1" applyFont="1" applyFill="1" applyBorder="1"/>
    <xf numFmtId="164" fontId="5" fillId="3" borderId="7" xfId="1" applyNumberFormat="1" applyFont="1" applyFill="1" applyBorder="1"/>
    <xf numFmtId="164" fontId="11" fillId="3" borderId="7" xfId="1" applyNumberFormat="1" applyFont="1" applyFill="1" applyBorder="1"/>
    <xf numFmtId="164" fontId="11" fillId="6" borderId="7" xfId="1" applyNumberFormat="1" applyFont="1" applyFill="1" applyBorder="1" applyAlignment="1"/>
    <xf numFmtId="164" fontId="3" fillId="3" borderId="7" xfId="1" applyNumberFormat="1" applyFont="1" applyFill="1" applyBorder="1"/>
    <xf numFmtId="164" fontId="4" fillId="3" borderId="7" xfId="1" applyNumberFormat="1" applyFont="1" applyFill="1" applyBorder="1"/>
    <xf numFmtId="166" fontId="6" fillId="0" borderId="7" xfId="1" applyNumberFormat="1" applyFont="1" applyFill="1" applyBorder="1"/>
    <xf numFmtId="165" fontId="13" fillId="0" borderId="7" xfId="3" applyNumberFormat="1" applyFont="1" applyFill="1" applyBorder="1"/>
    <xf numFmtId="164" fontId="3" fillId="0" borderId="7" xfId="1" applyNumberFormat="1" applyFont="1" applyFill="1" applyBorder="1"/>
    <xf numFmtId="165" fontId="7" fillId="0" borderId="7" xfId="3" applyNumberFormat="1" applyFont="1" applyFill="1" applyBorder="1"/>
    <xf numFmtId="0" fontId="15" fillId="0" borderId="7" xfId="0" applyFont="1" applyBorder="1"/>
    <xf numFmtId="164" fontId="6" fillId="0" borderId="7" xfId="1" applyNumberFormat="1" applyFont="1" applyFill="1" applyBorder="1"/>
    <xf numFmtId="164" fontId="23" fillId="0" borderId="7" xfId="1" applyNumberFormat="1" applyFont="1" applyFill="1" applyBorder="1"/>
    <xf numFmtId="43" fontId="14" fillId="0" borderId="7" xfId="1" applyFont="1" applyFill="1" applyBorder="1"/>
    <xf numFmtId="164" fontId="8" fillId="0" borderId="8" xfId="1" applyNumberFormat="1" applyFont="1" applyFill="1" applyBorder="1"/>
    <xf numFmtId="164" fontId="4" fillId="0" borderId="7" xfId="1" applyNumberFormat="1" applyFont="1" applyFill="1" applyBorder="1"/>
    <xf numFmtId="164" fontId="8" fillId="8" borderId="9" xfId="1" applyNumberFormat="1" applyFont="1" applyFill="1" applyBorder="1"/>
    <xf numFmtId="164" fontId="8" fillId="0" borderId="7" xfId="1" applyNumberFormat="1" applyFont="1" applyFill="1" applyBorder="1"/>
    <xf numFmtId="164" fontId="8" fillId="7" borderId="6" xfId="1" applyNumberFormat="1" applyFont="1" applyFill="1" applyBorder="1"/>
    <xf numFmtId="0" fontId="2" fillId="2" borderId="1" xfId="2" applyNumberFormat="1" applyFont="1" applyFill="1" applyBorder="1" applyAlignment="1">
      <alignment horizontal="center"/>
    </xf>
    <xf numFmtId="0" fontId="2" fillId="2" borderId="2" xfId="2" applyNumberFormat="1" applyFont="1" applyFill="1" applyBorder="1" applyAlignment="1">
      <alignment horizontal="center"/>
    </xf>
    <xf numFmtId="0" fontId="2" fillId="2" borderId="6" xfId="2" applyNumberFormat="1" applyFont="1" applyFill="1" applyBorder="1" applyAlignment="1">
      <alignment horizontal="center"/>
    </xf>
    <xf numFmtId="164" fontId="12" fillId="3" borderId="7" xfId="1" applyNumberFormat="1" applyFont="1" applyFill="1" applyBorder="1"/>
    <xf numFmtId="166" fontId="5" fillId="3" borderId="7" xfId="1" applyNumberFormat="1" applyFont="1" applyFill="1" applyBorder="1"/>
    <xf numFmtId="43" fontId="6" fillId="0" borderId="7" xfId="1" applyFont="1" applyFill="1" applyBorder="1"/>
    <xf numFmtId="10" fontId="18" fillId="0" borderId="7" xfId="3" applyNumberFormat="1" applyFont="1" applyFill="1" applyBorder="1"/>
    <xf numFmtId="164" fontId="20" fillId="0" borderId="7" xfId="1" applyNumberFormat="1" applyFont="1" applyFill="1" applyBorder="1"/>
    <xf numFmtId="0" fontId="26" fillId="0" borderId="0" xfId="0" applyFont="1"/>
    <xf numFmtId="0" fontId="26" fillId="0" borderId="0" xfId="0" applyFont="1" applyAlignment="1">
      <alignment horizontal="left"/>
    </xf>
    <xf numFmtId="165" fontId="26" fillId="0" borderId="0" xfId="3" applyNumberFormat="1" applyFont="1" applyFill="1" applyBorder="1"/>
    <xf numFmtId="164" fontId="26" fillId="0" borderId="0" xfId="1" applyNumberFormat="1" applyFont="1" applyFill="1" applyBorder="1"/>
    <xf numFmtId="164" fontId="25" fillId="0" borderId="7" xfId="1" applyNumberFormat="1" applyFont="1" applyFill="1" applyBorder="1"/>
    <xf numFmtId="164" fontId="26" fillId="0" borderId="7" xfId="1" applyNumberFormat="1" applyFont="1" applyFill="1" applyBorder="1"/>
    <xf numFmtId="165" fontId="26" fillId="0" borderId="7" xfId="3" applyNumberFormat="1" applyFont="1" applyFill="1" applyBorder="1"/>
    <xf numFmtId="0" fontId="16" fillId="4" borderId="5" xfId="0" applyFont="1" applyFill="1" applyBorder="1"/>
    <xf numFmtId="164" fontId="3" fillId="4" borderId="9" xfId="1" applyNumberFormat="1" applyFont="1" applyFill="1" applyBorder="1"/>
    <xf numFmtId="0" fontId="10" fillId="4" borderId="5" xfId="0" applyFont="1" applyFill="1" applyBorder="1" applyAlignment="1">
      <alignment horizontal="left"/>
    </xf>
    <xf numFmtId="10" fontId="25" fillId="0" borderId="0" xfId="3" applyNumberFormat="1" applyFont="1" applyFill="1" applyBorder="1"/>
    <xf numFmtId="10" fontId="25" fillId="0" borderId="7" xfId="3" applyNumberFormat="1" applyFont="1" applyFill="1" applyBorder="1"/>
    <xf numFmtId="165" fontId="27" fillId="0" borderId="7" xfId="3" applyNumberFormat="1" applyFont="1" applyFill="1" applyBorder="1"/>
    <xf numFmtId="0" fontId="28" fillId="0" borderId="0" xfId="0" applyFont="1"/>
    <xf numFmtId="164" fontId="20" fillId="0" borderId="0" xfId="1" applyNumberFormat="1" applyFont="1" applyFill="1" applyBorder="1"/>
    <xf numFmtId="0" fontId="29" fillId="0" borderId="0" xfId="0" applyFont="1"/>
    <xf numFmtId="0" fontId="29" fillId="0" borderId="0" xfId="0" quotePrefix="1" applyFont="1"/>
    <xf numFmtId="43" fontId="29" fillId="0" borderId="0" xfId="0" applyNumberFormat="1" applyFont="1"/>
    <xf numFmtId="0" fontId="30" fillId="0" borderId="0" xfId="0" applyFont="1"/>
    <xf numFmtId="0" fontId="17" fillId="0" borderId="0" xfId="0" applyFont="1" applyAlignment="1">
      <alignment horizontal="center"/>
    </xf>
    <xf numFmtId="165" fontId="17" fillId="0" borderId="0" xfId="3" applyNumberFormat="1" applyFont="1" applyAlignment="1">
      <alignment horizontal="center"/>
    </xf>
    <xf numFmtId="164" fontId="17" fillId="0" borderId="0" xfId="1" applyNumberFormat="1" applyFont="1" applyAlignment="1">
      <alignment horizontal="center"/>
    </xf>
    <xf numFmtId="164" fontId="17" fillId="0" borderId="0" xfId="0" applyNumberFormat="1" applyFont="1" applyAlignment="1">
      <alignment horizontal="center"/>
    </xf>
    <xf numFmtId="164" fontId="29" fillId="0" borderId="0" xfId="0" applyNumberFormat="1" applyFont="1"/>
    <xf numFmtId="16" fontId="17" fillId="0" borderId="11" xfId="0" quotePrefix="1" applyNumberFormat="1" applyFont="1" applyBorder="1" applyAlignment="1">
      <alignment horizontal="center"/>
    </xf>
    <xf numFmtId="0" fontId="17" fillId="0" borderId="11" xfId="0" quotePrefix="1" applyFont="1" applyBorder="1" applyAlignment="1">
      <alignment horizontal="center"/>
    </xf>
    <xf numFmtId="0" fontId="2" fillId="2" borderId="1" xfId="0" applyFont="1" applyFill="1" applyBorder="1"/>
    <xf numFmtId="164" fontId="5" fillId="0" borderId="0" xfId="1" applyNumberFormat="1" applyFont="1"/>
    <xf numFmtId="164" fontId="5" fillId="0" borderId="12" xfId="1" applyNumberFormat="1" applyFont="1" applyBorder="1"/>
    <xf numFmtId="164" fontId="5" fillId="0" borderId="13" xfId="1" applyNumberFormat="1" applyFont="1" applyBorder="1"/>
    <xf numFmtId="164" fontId="6" fillId="0" borderId="0" xfId="1" applyNumberFormat="1" applyFont="1" applyBorder="1"/>
    <xf numFmtId="164" fontId="5" fillId="0" borderId="0" xfId="1" applyNumberFormat="1" applyFont="1" applyBorder="1"/>
    <xf numFmtId="164" fontId="5" fillId="0" borderId="7" xfId="1" applyNumberFormat="1" applyFont="1" applyBorder="1"/>
    <xf numFmtId="164" fontId="5" fillId="0" borderId="0" xfId="1" applyNumberFormat="1" applyFont="1" applyFill="1" applyBorder="1"/>
    <xf numFmtId="165" fontId="32" fillId="0" borderId="15" xfId="3" applyNumberFormat="1" applyFont="1" applyBorder="1"/>
    <xf numFmtId="9" fontId="31" fillId="0" borderId="7" xfId="3" applyFont="1" applyBorder="1"/>
    <xf numFmtId="165" fontId="7" fillId="0" borderId="0" xfId="3" applyNumberFormat="1" applyFont="1" applyBorder="1"/>
    <xf numFmtId="165" fontId="32" fillId="0" borderId="0" xfId="3" applyNumberFormat="1" applyFont="1" applyBorder="1"/>
    <xf numFmtId="165" fontId="32" fillId="0" borderId="7" xfId="3" applyNumberFormat="1" applyFont="1" applyBorder="1"/>
    <xf numFmtId="165" fontId="32" fillId="0" borderId="0" xfId="3" applyNumberFormat="1" applyFont="1" applyFill="1" applyBorder="1"/>
    <xf numFmtId="0" fontId="33" fillId="0" borderId="0" xfId="0" applyFont="1"/>
    <xf numFmtId="164" fontId="5" fillId="0" borderId="14" xfId="1" applyNumberFormat="1" applyFont="1" applyBorder="1"/>
    <xf numFmtId="164" fontId="5" fillId="0" borderId="15" xfId="1" applyNumberFormat="1" applyFont="1" applyBorder="1"/>
    <xf numFmtId="164" fontId="29" fillId="0" borderId="0" xfId="1" applyNumberFormat="1" applyFont="1"/>
    <xf numFmtId="165" fontId="34" fillId="0" borderId="15" xfId="3" applyNumberFormat="1" applyFont="1" applyBorder="1"/>
    <xf numFmtId="165" fontId="32" fillId="0" borderId="0" xfId="3" applyNumberFormat="1" applyFont="1"/>
    <xf numFmtId="165" fontId="32" fillId="0" borderId="14" xfId="3" applyNumberFormat="1" applyFont="1" applyBorder="1"/>
    <xf numFmtId="165" fontId="35" fillId="0" borderId="0" xfId="3" applyNumberFormat="1" applyFont="1"/>
    <xf numFmtId="0" fontId="5" fillId="0" borderId="15" xfId="0" applyFont="1" applyBorder="1"/>
    <xf numFmtId="165" fontId="32" fillId="0" borderId="16" xfId="3" applyNumberFormat="1" applyFont="1" applyBorder="1"/>
    <xf numFmtId="165" fontId="32" fillId="0" borderId="17" xfId="3" applyNumberFormat="1" applyFont="1" applyBorder="1"/>
    <xf numFmtId="0" fontId="3" fillId="0" borderId="1" xfId="0" applyFont="1" applyBorder="1"/>
    <xf numFmtId="0" fontId="3" fillId="0" borderId="18" xfId="0" applyFont="1" applyBorder="1"/>
    <xf numFmtId="164" fontId="8" fillId="0" borderId="2" xfId="1" applyNumberFormat="1" applyFont="1" applyBorder="1"/>
    <xf numFmtId="164" fontId="3" fillId="0" borderId="6" xfId="0" applyNumberFormat="1" applyFont="1" applyBorder="1"/>
    <xf numFmtId="0" fontId="36" fillId="0" borderId="0" xfId="0" applyFont="1"/>
    <xf numFmtId="165" fontId="37" fillId="0" borderId="12" xfId="3" applyNumberFormat="1" applyFont="1" applyBorder="1"/>
    <xf numFmtId="165" fontId="32" fillId="0" borderId="13" xfId="3" applyNumberFormat="1" applyFont="1" applyBorder="1"/>
    <xf numFmtId="165" fontId="32" fillId="0" borderId="19" xfId="3" applyNumberFormat="1" applyFont="1" applyBorder="1"/>
    <xf numFmtId="165" fontId="37" fillId="0" borderId="14" xfId="3" applyNumberFormat="1" applyFont="1" applyBorder="1"/>
    <xf numFmtId="0" fontId="5" fillId="0" borderId="14" xfId="0" applyFont="1" applyBorder="1"/>
    <xf numFmtId="167" fontId="6" fillId="0" borderId="0" xfId="0" applyNumberFormat="1" applyFont="1"/>
    <xf numFmtId="167" fontId="5" fillId="0" borderId="0" xfId="0" applyNumberFormat="1" applyFont="1"/>
    <xf numFmtId="167" fontId="5" fillId="0" borderId="7" xfId="0" applyNumberFormat="1" applyFont="1" applyBorder="1"/>
    <xf numFmtId="164" fontId="5" fillId="0" borderId="0" xfId="0" applyNumberFormat="1" applyFont="1"/>
    <xf numFmtId="164" fontId="5" fillId="0" borderId="7" xfId="0" applyNumberFormat="1" applyFont="1" applyBorder="1"/>
    <xf numFmtId="168" fontId="6" fillId="0" borderId="14" xfId="2" applyNumberFormat="1" applyFont="1" applyFill="1" applyBorder="1"/>
    <xf numFmtId="168" fontId="6" fillId="0" borderId="15" xfId="2" applyNumberFormat="1" applyFont="1" applyFill="1" applyBorder="1"/>
    <xf numFmtId="164" fontId="6" fillId="0" borderId="0" xfId="0" applyNumberFormat="1" applyFont="1"/>
    <xf numFmtId="164" fontId="5" fillId="0" borderId="11" xfId="0" applyNumberFormat="1" applyFont="1" applyBorder="1"/>
    <xf numFmtId="164" fontId="6" fillId="0" borderId="11" xfId="0" applyNumberFormat="1" applyFont="1" applyBorder="1"/>
    <xf numFmtId="0" fontId="8" fillId="0" borderId="1" xfId="2" applyNumberFormat="1" applyFont="1" applyFill="1" applyBorder="1" applyAlignment="1">
      <alignment horizontal="left"/>
    </xf>
    <xf numFmtId="168" fontId="8" fillId="0" borderId="18" xfId="2" applyNumberFormat="1" applyFont="1" applyFill="1" applyBorder="1"/>
    <xf numFmtId="164" fontId="8" fillId="0" borderId="2" xfId="0" applyNumberFormat="1" applyFont="1" applyBorder="1"/>
    <xf numFmtId="164" fontId="3" fillId="0" borderId="19" xfId="0" applyNumberFormat="1" applyFont="1" applyBorder="1"/>
    <xf numFmtId="164" fontId="3" fillId="0" borderId="2" xfId="0" applyNumberFormat="1" applyFont="1" applyBorder="1"/>
    <xf numFmtId="165" fontId="7" fillId="0" borderId="12" xfId="3" applyNumberFormat="1" applyFont="1" applyFill="1" applyBorder="1"/>
    <xf numFmtId="165" fontId="7" fillId="0" borderId="13" xfId="3" applyNumberFormat="1" applyFont="1" applyFill="1" applyBorder="1" applyAlignment="1">
      <alignment horizontal="left"/>
    </xf>
    <xf numFmtId="169" fontId="7" fillId="0" borderId="0" xfId="3" applyNumberFormat="1" applyFont="1" applyBorder="1"/>
    <xf numFmtId="169" fontId="32" fillId="0" borderId="0" xfId="3" applyNumberFormat="1" applyFont="1" applyBorder="1"/>
    <xf numFmtId="169" fontId="13" fillId="0" borderId="0" xfId="3" applyNumberFormat="1" applyFont="1" applyBorder="1"/>
    <xf numFmtId="0" fontId="3" fillId="0" borderId="14" xfId="0" applyFont="1" applyBorder="1"/>
    <xf numFmtId="0" fontId="35" fillId="0" borderId="0" xfId="0" applyFont="1"/>
    <xf numFmtId="165" fontId="34" fillId="0" borderId="0" xfId="3" applyNumberFormat="1" applyFont="1"/>
    <xf numFmtId="165" fontId="34" fillId="0" borderId="14" xfId="3" applyNumberFormat="1" applyFont="1" applyBorder="1"/>
    <xf numFmtId="0" fontId="38" fillId="0" borderId="0" xfId="0" applyFont="1"/>
    <xf numFmtId="167" fontId="39" fillId="0" borderId="0" xfId="1" applyNumberFormat="1" applyFont="1" applyBorder="1"/>
    <xf numFmtId="167" fontId="34" fillId="0" borderId="0" xfId="3" applyNumberFormat="1" applyFont="1" applyBorder="1"/>
    <xf numFmtId="167" fontId="39" fillId="0" borderId="0" xfId="3" applyNumberFormat="1" applyFont="1" applyBorder="1"/>
    <xf numFmtId="167" fontId="34" fillId="0" borderId="7" xfId="3" applyNumberFormat="1" applyFont="1" applyBorder="1"/>
    <xf numFmtId="167" fontId="34" fillId="0" borderId="0" xfId="1" applyNumberFormat="1" applyFont="1" applyBorder="1"/>
    <xf numFmtId="167" fontId="34" fillId="0" borderId="0" xfId="3" applyNumberFormat="1" applyFont="1" applyFill="1" applyBorder="1"/>
    <xf numFmtId="167" fontId="6" fillId="0" borderId="0" xfId="1" applyNumberFormat="1" applyFont="1" applyBorder="1"/>
    <xf numFmtId="167" fontId="5" fillId="0" borderId="0" xfId="1" applyNumberFormat="1" applyFont="1" applyBorder="1"/>
    <xf numFmtId="167" fontId="5" fillId="0" borderId="7" xfId="1" applyNumberFormat="1" applyFont="1" applyBorder="1"/>
    <xf numFmtId="167" fontId="5" fillId="0" borderId="0" xfId="1" applyNumberFormat="1" applyFont="1" applyFill="1" applyBorder="1"/>
    <xf numFmtId="164" fontId="40" fillId="0" borderId="0" xfId="1" applyNumberFormat="1" applyFont="1" applyBorder="1"/>
    <xf numFmtId="164" fontId="14" fillId="0" borderId="0" xfId="1" applyNumberFormat="1" applyFont="1" applyBorder="1"/>
    <xf numFmtId="164" fontId="41" fillId="0" borderId="0" xfId="1" applyNumberFormat="1" applyFont="1" applyBorder="1"/>
    <xf numFmtId="164" fontId="41" fillId="0" borderId="0" xfId="1" applyNumberFormat="1" applyFont="1" applyFill="1" applyBorder="1"/>
    <xf numFmtId="164" fontId="5" fillId="0" borderId="15" xfId="1" applyNumberFormat="1" applyFont="1" applyFill="1" applyBorder="1"/>
    <xf numFmtId="164" fontId="20" fillId="0" borderId="0" xfId="1" applyNumberFormat="1" applyFont="1" applyBorder="1"/>
    <xf numFmtId="164" fontId="3" fillId="0" borderId="0" xfId="1" applyNumberFormat="1" applyFont="1"/>
    <xf numFmtId="164" fontId="3" fillId="0" borderId="15" xfId="1" applyNumberFormat="1" applyFont="1" applyBorder="1"/>
    <xf numFmtId="164" fontId="8" fillId="0" borderId="0" xfId="1" applyNumberFormat="1" applyFont="1" applyBorder="1"/>
    <xf numFmtId="164" fontId="3" fillId="0" borderId="0" xfId="1" applyNumberFormat="1" applyFont="1" applyBorder="1"/>
    <xf numFmtId="164" fontId="3" fillId="0" borderId="7" xfId="1" applyNumberFormat="1" applyFont="1" applyBorder="1"/>
    <xf numFmtId="164" fontId="36" fillId="0" borderId="0" xfId="1" applyNumberFormat="1" applyFont="1"/>
    <xf numFmtId="164" fontId="42" fillId="0" borderId="0" xfId="1" applyNumberFormat="1" applyFont="1" applyBorder="1"/>
    <xf numFmtId="165" fontId="32" fillId="0" borderId="15" xfId="3" applyNumberFormat="1" applyFont="1" applyFill="1" applyBorder="1"/>
    <xf numFmtId="165" fontId="32" fillId="0" borderId="7" xfId="3" applyNumberFormat="1" applyFont="1" applyFill="1" applyBorder="1"/>
    <xf numFmtId="165" fontId="32" fillId="0" borderId="10" xfId="3" applyNumberFormat="1" applyFont="1" applyBorder="1"/>
    <xf numFmtId="0" fontId="5" fillId="0" borderId="1" xfId="0" applyFont="1" applyBorder="1"/>
    <xf numFmtId="0" fontId="5" fillId="0" borderId="18" xfId="0" applyFont="1" applyBorder="1"/>
    <xf numFmtId="164" fontId="6" fillId="0" borderId="2" xfId="0" applyNumberFormat="1" applyFont="1" applyBorder="1"/>
    <xf numFmtId="164" fontId="5" fillId="0" borderId="2" xfId="0" applyNumberFormat="1" applyFont="1" applyBorder="1"/>
    <xf numFmtId="164" fontId="5" fillId="0" borderId="10" xfId="0" applyNumberFormat="1" applyFont="1" applyBorder="1"/>
    <xf numFmtId="165" fontId="39" fillId="0" borderId="0" xfId="3" applyNumberFormat="1" applyFont="1" applyBorder="1"/>
    <xf numFmtId="43" fontId="34" fillId="0" borderId="0" xfId="1" applyFont="1" applyBorder="1"/>
    <xf numFmtId="165" fontId="34" fillId="0" borderId="0" xfId="3" applyNumberFormat="1" applyFont="1" applyBorder="1"/>
    <xf numFmtId="165" fontId="34" fillId="0" borderId="7" xfId="3" applyNumberFormat="1" applyFont="1" applyBorder="1"/>
    <xf numFmtId="165" fontId="34" fillId="0" borderId="0" xfId="3" applyNumberFormat="1" applyFont="1" applyFill="1" applyBorder="1"/>
    <xf numFmtId="0" fontId="43" fillId="0" borderId="0" xfId="0" applyFont="1"/>
    <xf numFmtId="0" fontId="5" fillId="0" borderId="20" xfId="0" applyFont="1" applyBorder="1"/>
    <xf numFmtId="0" fontId="5" fillId="0" borderId="21" xfId="0" applyFont="1" applyBorder="1"/>
    <xf numFmtId="164" fontId="6" fillId="0" borderId="5" xfId="0" applyNumberFormat="1" applyFont="1" applyBorder="1"/>
    <xf numFmtId="164" fontId="5" fillId="0" borderId="5" xfId="0" applyNumberFormat="1" applyFont="1" applyBorder="1"/>
    <xf numFmtId="164" fontId="5" fillId="0" borderId="9" xfId="0" applyNumberFormat="1" applyFont="1" applyBorder="1"/>
    <xf numFmtId="43" fontId="3" fillId="0" borderId="0" xfId="1" applyFont="1"/>
    <xf numFmtId="0" fontId="3" fillId="0" borderId="12" xfId="0" applyFont="1" applyBorder="1"/>
    <xf numFmtId="43" fontId="3" fillId="0" borderId="13" xfId="1" applyFont="1" applyBorder="1"/>
    <xf numFmtId="43" fontId="8" fillId="0" borderId="22" xfId="1" applyFont="1" applyBorder="1"/>
    <xf numFmtId="43" fontId="3" fillId="0" borderId="22" xfId="1" applyFont="1" applyBorder="1"/>
    <xf numFmtId="43" fontId="3" fillId="0" borderId="19" xfId="1" applyFont="1" applyBorder="1"/>
    <xf numFmtId="43" fontId="5" fillId="0" borderId="0" xfId="1" applyFont="1"/>
    <xf numFmtId="43" fontId="5" fillId="0" borderId="15" xfId="1" applyFont="1" applyBorder="1"/>
    <xf numFmtId="43" fontId="6" fillId="0" borderId="0" xfId="1" applyFont="1" applyBorder="1"/>
    <xf numFmtId="43" fontId="5" fillId="0" borderId="0" xfId="1" applyFont="1" applyBorder="1"/>
    <xf numFmtId="43" fontId="5" fillId="0" borderId="7" xfId="1" applyFont="1" applyBorder="1"/>
    <xf numFmtId="165" fontId="7" fillId="0" borderId="11" xfId="3" applyNumberFormat="1" applyFont="1" applyBorder="1"/>
    <xf numFmtId="165" fontId="32" fillId="0" borderId="11" xfId="3" applyNumberFormat="1" applyFont="1" applyBorder="1"/>
    <xf numFmtId="0" fontId="5" fillId="0" borderId="12" xfId="0" applyFont="1" applyBorder="1"/>
    <xf numFmtId="0" fontId="5" fillId="0" borderId="13" xfId="0" applyFont="1" applyBorder="1"/>
    <xf numFmtId="167" fontId="6" fillId="0" borderId="22" xfId="0" applyNumberFormat="1" applyFont="1" applyBorder="1"/>
    <xf numFmtId="167" fontId="5" fillId="0" borderId="22" xfId="0" applyNumberFormat="1" applyFont="1" applyBorder="1"/>
    <xf numFmtId="167" fontId="5" fillId="0" borderId="19" xfId="0" applyNumberFormat="1" applyFont="1" applyBorder="1"/>
    <xf numFmtId="0" fontId="5" fillId="0" borderId="16" xfId="0" applyFont="1" applyBorder="1"/>
    <xf numFmtId="0" fontId="5" fillId="0" borderId="17" xfId="0" applyFont="1" applyBorder="1"/>
    <xf numFmtId="0" fontId="5" fillId="0" borderId="22" xfId="0" applyFont="1" applyBorder="1"/>
    <xf numFmtId="0" fontId="5" fillId="0" borderId="19" xfId="0" applyFont="1" applyBorder="1"/>
    <xf numFmtId="164" fontId="5" fillId="0" borderId="16" xfId="1" applyNumberFormat="1" applyFont="1" applyBorder="1"/>
    <xf numFmtId="164" fontId="5" fillId="0" borderId="11" xfId="1" applyNumberFormat="1" applyFont="1" applyBorder="1"/>
    <xf numFmtId="164" fontId="5" fillId="0" borderId="10" xfId="1" applyNumberFormat="1" applyFont="1" applyBorder="1"/>
    <xf numFmtId="164" fontId="5" fillId="0" borderId="1" xfId="1" applyNumberFormat="1" applyFont="1" applyBorder="1"/>
    <xf numFmtId="164" fontId="5" fillId="0" borderId="18" xfId="1" applyNumberFormat="1" applyFont="1" applyBorder="1"/>
    <xf numFmtId="164" fontId="6" fillId="0" borderId="2" xfId="1" applyNumberFormat="1" applyFont="1" applyBorder="1"/>
    <xf numFmtId="164" fontId="5" fillId="0" borderId="2" xfId="1" applyNumberFormat="1" applyFont="1" applyBorder="1"/>
    <xf numFmtId="164" fontId="5" fillId="0" borderId="6" xfId="1" applyNumberFormat="1" applyFont="1" applyBorder="1"/>
    <xf numFmtId="164" fontId="5" fillId="0" borderId="22" xfId="1" applyNumberFormat="1" applyFont="1" applyBorder="1"/>
    <xf numFmtId="164" fontId="5" fillId="0" borderId="19" xfId="1" applyNumberFormat="1" applyFont="1" applyBorder="1"/>
    <xf numFmtId="43" fontId="5" fillId="0" borderId="16" xfId="1" applyFont="1" applyBorder="1"/>
    <xf numFmtId="43" fontId="5" fillId="0" borderId="17" xfId="1" applyFont="1" applyBorder="1"/>
    <xf numFmtId="166" fontId="6" fillId="0" borderId="11" xfId="1" applyNumberFormat="1" applyFont="1" applyBorder="1"/>
    <xf numFmtId="166" fontId="5" fillId="0" borderId="11" xfId="1" applyNumberFormat="1" applyFont="1" applyBorder="1"/>
    <xf numFmtId="43" fontId="5" fillId="0" borderId="10" xfId="1" applyFont="1" applyBorder="1"/>
    <xf numFmtId="43" fontId="6" fillId="0" borderId="11" xfId="1" applyFont="1" applyBorder="1"/>
    <xf numFmtId="43" fontId="5" fillId="0" borderId="11" xfId="1" applyFont="1" applyBorder="1"/>
    <xf numFmtId="170" fontId="44" fillId="0" borderId="0" xfId="4" applyNumberFormat="1" applyFont="1" applyFill="1" applyBorder="1"/>
    <xf numFmtId="170" fontId="39" fillId="0" borderId="0" xfId="4" applyNumberFormat="1" applyFont="1" applyFill="1" applyBorder="1" applyAlignment="1">
      <alignment horizontal="right"/>
    </xf>
    <xf numFmtId="37" fontId="44" fillId="9" borderId="0" xfId="0" applyNumberFormat="1" applyFont="1" applyFill="1" applyAlignment="1">
      <alignment horizontal="right"/>
    </xf>
    <xf numFmtId="37" fontId="44" fillId="0" borderId="0" xfId="0" applyNumberFormat="1" applyFont="1" applyAlignment="1">
      <alignment horizontal="right"/>
    </xf>
    <xf numFmtId="43" fontId="17" fillId="0" borderId="0" xfId="1" applyFont="1" applyBorder="1"/>
    <xf numFmtId="0" fontId="45" fillId="0" borderId="0" xfId="5" applyFont="1" applyAlignment="1">
      <alignment horizontal="right"/>
    </xf>
    <xf numFmtId="164" fontId="17" fillId="0" borderId="0" xfId="6" applyNumberFormat="1" applyFont="1" applyBorder="1"/>
    <xf numFmtId="164" fontId="17" fillId="0" borderId="0" xfId="6" applyNumberFormat="1" applyFont="1" applyFill="1" applyBorder="1"/>
    <xf numFmtId="170" fontId="46" fillId="0" borderId="0" xfId="4" applyNumberFormat="1" applyFont="1" applyFill="1" applyBorder="1"/>
    <xf numFmtId="0" fontId="47" fillId="0" borderId="0" xfId="5" applyFont="1" applyAlignment="1">
      <alignment horizontal="right"/>
    </xf>
    <xf numFmtId="37" fontId="46" fillId="9" borderId="0" xfId="0" applyNumberFormat="1" applyFont="1" applyFill="1" applyAlignment="1">
      <alignment horizontal="right"/>
    </xf>
    <xf numFmtId="164" fontId="48" fillId="0" borderId="0" xfId="6" applyNumberFormat="1" applyFont="1" applyBorder="1"/>
    <xf numFmtId="164" fontId="48" fillId="0" borderId="0" xfId="6" applyNumberFormat="1" applyFont="1" applyFill="1" applyBorder="1"/>
    <xf numFmtId="165" fontId="39" fillId="9" borderId="0" xfId="0" applyNumberFormat="1" applyFont="1" applyFill="1" applyAlignment="1">
      <alignment horizontal="right"/>
    </xf>
    <xf numFmtId="0" fontId="47" fillId="9" borderId="0" xfId="0" applyFont="1" applyFill="1" applyAlignment="1">
      <alignment horizontal="center"/>
    </xf>
    <xf numFmtId="0" fontId="39" fillId="9" borderId="0" xfId="0" applyFont="1" applyFill="1" applyAlignment="1">
      <alignment horizontal="right"/>
    </xf>
    <xf numFmtId="0" fontId="49" fillId="0" borderId="0" xfId="0" applyFont="1"/>
    <xf numFmtId="0" fontId="45" fillId="9" borderId="0" xfId="0" applyFont="1" applyFill="1" applyAlignment="1">
      <alignment horizontal="right"/>
    </xf>
    <xf numFmtId="0" fontId="47" fillId="9" borderId="0" xfId="0" applyFont="1" applyFill="1" applyAlignment="1">
      <alignment horizontal="right"/>
    </xf>
    <xf numFmtId="43" fontId="45" fillId="0" borderId="0" xfId="1" applyFont="1" applyBorder="1"/>
    <xf numFmtId="0" fontId="50" fillId="9" borderId="0" xfId="0" applyFont="1" applyFill="1" applyAlignment="1">
      <alignment horizontal="right"/>
    </xf>
    <xf numFmtId="165" fontId="50" fillId="0" borderId="0" xfId="6" applyNumberFormat="1" applyFont="1" applyBorder="1"/>
    <xf numFmtId="169" fontId="50" fillId="0" borderId="0" xfId="7" applyNumberFormat="1" applyFont="1" applyBorder="1"/>
    <xf numFmtId="43" fontId="50" fillId="0" borderId="0" xfId="1" applyFont="1" applyBorder="1"/>
    <xf numFmtId="165" fontId="39" fillId="0" borderId="0" xfId="7" applyNumberFormat="1" applyFont="1" applyBorder="1"/>
    <xf numFmtId="165" fontId="39" fillId="0" borderId="0" xfId="6" applyNumberFormat="1" applyFont="1" applyBorder="1"/>
    <xf numFmtId="164" fontId="50" fillId="0" borderId="0" xfId="6" applyNumberFormat="1" applyFont="1" applyBorder="1"/>
    <xf numFmtId="2" fontId="29" fillId="0" borderId="0" xfId="0" applyNumberFormat="1" applyFont="1"/>
    <xf numFmtId="164" fontId="0" fillId="0" borderId="0" xfId="1" applyNumberFormat="1" applyFont="1" applyBorder="1" applyAlignment="1">
      <alignment horizontal="right"/>
    </xf>
    <xf numFmtId="0" fontId="29" fillId="0" borderId="0" xfId="0" applyFont="1" applyAlignment="1">
      <alignment horizontal="right"/>
    </xf>
    <xf numFmtId="0" fontId="6" fillId="0" borderId="0" xfId="5" applyAlignment="1">
      <alignment horizontal="right"/>
    </xf>
    <xf numFmtId="169" fontId="5" fillId="0" borderId="0" xfId="0" applyNumberFormat="1" applyFont="1"/>
    <xf numFmtId="43" fontId="5" fillId="0" borderId="0" xfId="0" applyNumberFormat="1" applyFont="1"/>
    <xf numFmtId="0" fontId="2" fillId="10" borderId="2" xfId="2" applyNumberFormat="1" applyFont="1" applyFill="1" applyBorder="1" applyAlignment="1">
      <alignment horizontal="center"/>
    </xf>
    <xf numFmtId="0" fontId="2" fillId="10" borderId="6" xfId="2" applyNumberFormat="1" applyFont="1" applyFill="1" applyBorder="1" applyAlignment="1">
      <alignment horizontal="center"/>
    </xf>
    <xf numFmtId="0" fontId="6" fillId="0" borderId="0" xfId="8" applyAlignment="1">
      <alignment horizontal="right"/>
    </xf>
    <xf numFmtId="0" fontId="6" fillId="0" borderId="0" xfId="9" applyAlignment="1">
      <alignment horizontal="right"/>
    </xf>
    <xf numFmtId="2" fontId="5" fillId="0" borderId="0" xfId="0" applyNumberFormat="1" applyFont="1"/>
    <xf numFmtId="164" fontId="51" fillId="0" borderId="0" xfId="1" applyNumberFormat="1" applyFont="1" applyFill="1" applyBorder="1"/>
    <xf numFmtId="164" fontId="3" fillId="0" borderId="14" xfId="1" applyNumberFormat="1" applyFont="1" applyBorder="1"/>
    <xf numFmtId="165" fontId="31" fillId="0" borderId="7" xfId="3" applyNumberFormat="1" applyFont="1" applyBorder="1"/>
    <xf numFmtId="164" fontId="6" fillId="0" borderId="7" xfId="1" applyNumberFormat="1" applyFont="1" applyBorder="1"/>
    <xf numFmtId="164" fontId="8" fillId="0" borderId="7" xfId="1" applyNumberFormat="1" applyFont="1" applyBorder="1"/>
    <xf numFmtId="0" fontId="2" fillId="2" borderId="6" xfId="0" applyFont="1" applyFill="1" applyBorder="1"/>
    <xf numFmtId="164" fontId="51" fillId="0" borderId="7" xfId="1" applyNumberFormat="1" applyFont="1" applyFill="1" applyBorder="1"/>
    <xf numFmtId="164" fontId="29" fillId="0" borderId="7" xfId="1" applyNumberFormat="1" applyFont="1" applyBorder="1"/>
    <xf numFmtId="0" fontId="3" fillId="0" borderId="16" xfId="0" applyFont="1" applyBorder="1"/>
    <xf numFmtId="0" fontId="3" fillId="0" borderId="11" xfId="0" applyFont="1" applyBorder="1"/>
    <xf numFmtId="164" fontId="3" fillId="0" borderId="11" xfId="1" applyNumberFormat="1" applyFont="1" applyBorder="1"/>
    <xf numFmtId="164" fontId="3" fillId="0" borderId="10" xfId="1" applyNumberFormat="1" applyFont="1" applyBorder="1"/>
    <xf numFmtId="164" fontId="3" fillId="0" borderId="0" xfId="0" applyNumberFormat="1" applyFont="1"/>
    <xf numFmtId="171" fontId="52" fillId="0" borderId="0" xfId="0" applyNumberFormat="1" applyFont="1"/>
    <xf numFmtId="164" fontId="52" fillId="0" borderId="0" xfId="1" applyNumberFormat="1" applyFont="1"/>
    <xf numFmtId="0" fontId="52" fillId="0" borderId="0" xfId="1" applyNumberFormat="1" applyFont="1"/>
    <xf numFmtId="0" fontId="39" fillId="0" borderId="0" xfId="10" applyFont="1"/>
    <xf numFmtId="165" fontId="4" fillId="0" borderId="0" xfId="3" applyNumberFormat="1" applyFont="1"/>
    <xf numFmtId="165" fontId="5" fillId="0" borderId="0" xfId="0" applyNumberFormat="1" applyFont="1"/>
    <xf numFmtId="165" fontId="5" fillId="0" borderId="0" xfId="3" applyNumberFormat="1" applyFont="1"/>
    <xf numFmtId="165" fontId="14" fillId="0" borderId="0" xfId="0" applyNumberFormat="1" applyFont="1"/>
    <xf numFmtId="165" fontId="41" fillId="0" borderId="0" xfId="3" applyNumberFormat="1" applyFont="1"/>
    <xf numFmtId="165" fontId="41" fillId="0" borderId="0" xfId="0" applyNumberFormat="1" applyFont="1"/>
    <xf numFmtId="43" fontId="52" fillId="0" borderId="0" xfId="1" applyFont="1"/>
    <xf numFmtId="164" fontId="5" fillId="5" borderId="0" xfId="1" applyNumberFormat="1" applyFont="1" applyFill="1" applyBorder="1"/>
    <xf numFmtId="172" fontId="52" fillId="0" borderId="0" xfId="0" applyNumberFormat="1" applyFont="1"/>
    <xf numFmtId="0" fontId="53" fillId="0" borderId="12" xfId="0" applyFont="1" applyBorder="1"/>
    <xf numFmtId="0" fontId="5" fillId="0" borderId="7" xfId="0" applyFont="1" applyBorder="1"/>
    <xf numFmtId="164" fontId="5" fillId="0" borderId="7" xfId="1" applyNumberFormat="1" applyFont="1" applyFill="1" applyBorder="1"/>
    <xf numFmtId="0" fontId="3" fillId="0" borderId="15" xfId="0" applyFont="1" applyBorder="1"/>
    <xf numFmtId="165" fontId="38" fillId="0" borderId="0" xfId="3" applyNumberFormat="1" applyFont="1"/>
    <xf numFmtId="0" fontId="53" fillId="0" borderId="14" xfId="0" applyFont="1" applyBorder="1"/>
    <xf numFmtId="41" fontId="6" fillId="0" borderId="0" xfId="0" applyNumberFormat="1" applyFont="1"/>
    <xf numFmtId="0" fontId="5" fillId="0" borderId="15" xfId="0" applyFont="1" applyBorder="1" applyAlignment="1">
      <alignment horizontal="left" vertical="top" wrapText="1"/>
    </xf>
    <xf numFmtId="41" fontId="5" fillId="0" borderId="0" xfId="0" applyNumberFormat="1" applyFont="1"/>
    <xf numFmtId="41" fontId="20" fillId="0" borderId="0" xfId="0" applyNumberFormat="1" applyFont="1"/>
    <xf numFmtId="41" fontId="14" fillId="0" borderId="0" xfId="0" applyNumberFormat="1" applyFont="1"/>
    <xf numFmtId="0" fontId="34" fillId="0" borderId="14" xfId="0" applyFont="1" applyBorder="1"/>
    <xf numFmtId="0" fontId="54" fillId="0" borderId="15" xfId="0" applyFont="1" applyBorder="1"/>
    <xf numFmtId="165" fontId="34" fillId="0" borderId="0" xfId="0" applyNumberFormat="1" applyFont="1"/>
    <xf numFmtId="165" fontId="34" fillId="0" borderId="7" xfId="0" applyNumberFormat="1" applyFont="1" applyBorder="1"/>
    <xf numFmtId="0" fontId="34" fillId="0" borderId="15" xfId="0" applyFont="1" applyBorder="1"/>
    <xf numFmtId="166" fontId="5" fillId="0" borderId="7" xfId="1" applyNumberFormat="1" applyFont="1" applyBorder="1"/>
    <xf numFmtId="41" fontId="3" fillId="0" borderId="0" xfId="0" applyNumberFormat="1" applyFont="1"/>
    <xf numFmtId="0" fontId="5" fillId="0" borderId="10" xfId="0" applyFont="1" applyBorder="1"/>
    <xf numFmtId="0" fontId="5" fillId="0" borderId="2" xfId="0" applyFont="1" applyBorder="1"/>
    <xf numFmtId="164" fontId="5" fillId="0" borderId="6" xfId="0" applyNumberFormat="1" applyFont="1" applyBorder="1"/>
    <xf numFmtId="164" fontId="34" fillId="0" borderId="0" xfId="0" applyNumberFormat="1" applyFont="1"/>
    <xf numFmtId="165" fontId="29" fillId="0" borderId="0" xfId="3" applyNumberFormat="1" applyFont="1"/>
    <xf numFmtId="0" fontId="6" fillId="0" borderId="0" xfId="0" applyFont="1"/>
    <xf numFmtId="169" fontId="5" fillId="0" borderId="0" xfId="1" applyNumberFormat="1" applyFont="1"/>
    <xf numFmtId="169" fontId="14" fillId="0" borderId="0" xfId="0" applyNumberFormat="1" applyFont="1"/>
    <xf numFmtId="0" fontId="26" fillId="0" borderId="7" xfId="0" applyFont="1" applyBorder="1"/>
    <xf numFmtId="165" fontId="7" fillId="0" borderId="7" xfId="3" applyNumberFormat="1" applyFont="1" applyBorder="1"/>
    <xf numFmtId="0" fontId="0" fillId="2" borderId="0" xfId="0" applyFill="1"/>
    <xf numFmtId="0" fontId="2" fillId="2" borderId="0" xfId="2" applyNumberFormat="1" applyFont="1" applyFill="1" applyBorder="1" applyAlignment="1">
      <alignment horizontal="center"/>
    </xf>
    <xf numFmtId="164" fontId="20" fillId="11" borderId="0" xfId="1" applyNumberFormat="1" applyFont="1" applyFill="1" applyBorder="1"/>
    <xf numFmtId="0" fontId="4" fillId="3" borderId="0" xfId="0" applyFont="1" applyFill="1"/>
    <xf numFmtId="164" fontId="56" fillId="11" borderId="0" xfId="1" applyNumberFormat="1" applyFont="1" applyFill="1" applyBorder="1"/>
    <xf numFmtId="164" fontId="57" fillId="0" borderId="0" xfId="1" applyNumberFormat="1" applyFont="1" applyFill="1" applyBorder="1"/>
    <xf numFmtId="0" fontId="58" fillId="3" borderId="0" xfId="0" applyFont="1" applyFill="1"/>
    <xf numFmtId="0" fontId="3" fillId="12" borderId="4" xfId="0" applyFont="1" applyFill="1" applyBorder="1"/>
    <xf numFmtId="164" fontId="8" fillId="12" borderId="5" xfId="1" applyNumberFormat="1" applyFont="1" applyFill="1" applyBorder="1"/>
    <xf numFmtId="0" fontId="3" fillId="4" borderId="0" xfId="0" applyFont="1" applyFill="1"/>
    <xf numFmtId="164" fontId="8" fillId="4" borderId="0" xfId="1" applyNumberFormat="1" applyFont="1" applyFill="1" applyBorder="1"/>
    <xf numFmtId="0" fontId="3" fillId="4" borderId="5" xfId="0" applyFont="1" applyFill="1" applyBorder="1"/>
    <xf numFmtId="0" fontId="3" fillId="13" borderId="3" xfId="0" applyFont="1" applyFill="1" applyBorder="1"/>
    <xf numFmtId="0" fontId="10" fillId="13" borderId="3" xfId="0" applyFont="1" applyFill="1" applyBorder="1" applyAlignment="1">
      <alignment horizontal="left"/>
    </xf>
    <xf numFmtId="0" fontId="16" fillId="13" borderId="3" xfId="0" applyFont="1" applyFill="1" applyBorder="1"/>
    <xf numFmtId="164" fontId="8" fillId="13" borderId="3" xfId="1" applyNumberFormat="1" applyFont="1" applyFill="1" applyBorder="1"/>
    <xf numFmtId="164" fontId="8" fillId="13" borderId="8" xfId="1" applyNumberFormat="1" applyFont="1" applyFill="1" applyBorder="1"/>
    <xf numFmtId="164" fontId="25" fillId="0" borderId="15" xfId="1" applyNumberFormat="1" applyFont="1" applyFill="1" applyBorder="1"/>
    <xf numFmtId="164" fontId="26" fillId="0" borderId="15" xfId="1" applyNumberFormat="1" applyFont="1" applyFill="1" applyBorder="1"/>
    <xf numFmtId="164" fontId="15" fillId="0" borderId="0" xfId="0" applyNumberFormat="1" applyFont="1"/>
    <xf numFmtId="43" fontId="8" fillId="0" borderId="0" xfId="1" applyFont="1" applyFill="1" applyBorder="1"/>
    <xf numFmtId="0" fontId="54" fillId="14" borderId="0" xfId="0" applyFont="1" applyFill="1"/>
    <xf numFmtId="0" fontId="4" fillId="14" borderId="0" xfId="0" applyFont="1" applyFill="1" applyAlignment="1">
      <alignment horizontal="left"/>
    </xf>
    <xf numFmtId="0" fontId="15" fillId="14" borderId="0" xfId="0" applyFont="1" applyFill="1"/>
    <xf numFmtId="0" fontId="9" fillId="3" borderId="0" xfId="0" applyFont="1" applyFill="1" applyAlignment="1">
      <alignment horizontal="left"/>
    </xf>
    <xf numFmtId="165" fontId="59" fillId="0" borderId="7" xfId="3" applyNumberFormat="1" applyFont="1" applyFill="1" applyBorder="1"/>
    <xf numFmtId="165" fontId="59" fillId="0" borderId="0" xfId="3" applyNumberFormat="1" applyFont="1" applyFill="1" applyBorder="1"/>
    <xf numFmtId="164" fontId="9" fillId="3" borderId="0" xfId="1" applyNumberFormat="1" applyFont="1" applyFill="1" applyBorder="1"/>
    <xf numFmtId="164" fontId="9" fillId="3" borderId="7" xfId="1" applyNumberFormat="1" applyFont="1" applyFill="1" applyBorder="1"/>
    <xf numFmtId="165" fontId="60" fillId="0" borderId="7" xfId="3" applyNumberFormat="1" applyFont="1" applyFill="1" applyBorder="1"/>
    <xf numFmtId="165" fontId="60" fillId="0" borderId="0" xfId="3" applyNumberFormat="1" applyFont="1" applyFill="1" applyBorder="1"/>
    <xf numFmtId="43" fontId="20" fillId="0" borderId="7" xfId="1" applyFont="1" applyFill="1" applyBorder="1"/>
    <xf numFmtId="0" fontId="10" fillId="3" borderId="0" xfId="0" applyFont="1" applyFill="1" applyAlignment="1">
      <alignment horizontal="left"/>
    </xf>
    <xf numFmtId="164" fontId="61" fillId="0" borderId="3" xfId="1" applyNumberFormat="1" applyFont="1" applyFill="1" applyBorder="1"/>
    <xf numFmtId="165" fontId="13" fillId="0" borderId="0" xfId="3" applyNumberFormat="1" applyFont="1" applyFill="1" applyBorder="1" applyAlignment="1"/>
    <xf numFmtId="43" fontId="8" fillId="0" borderId="7" xfId="1" applyFont="1" applyFill="1" applyBorder="1"/>
    <xf numFmtId="173" fontId="8" fillId="0" borderId="0" xfId="3" applyNumberFormat="1" applyFont="1" applyFill="1" applyBorder="1"/>
    <xf numFmtId="173" fontId="8" fillId="0" borderId="7" xfId="1" applyNumberFormat="1" applyFont="1" applyFill="1" applyBorder="1"/>
    <xf numFmtId="10" fontId="8" fillId="0" borderId="7" xfId="1" applyNumberFormat="1" applyFont="1" applyFill="1" applyBorder="1"/>
    <xf numFmtId="43" fontId="61" fillId="0" borderId="0" xfId="1" applyFont="1" applyFill="1" applyBorder="1"/>
    <xf numFmtId="10" fontId="61" fillId="0" borderId="7" xfId="1" applyNumberFormat="1" applyFont="1" applyFill="1" applyBorder="1"/>
    <xf numFmtId="43" fontId="61" fillId="0" borderId="7" xfId="1" applyFont="1" applyFill="1" applyBorder="1"/>
    <xf numFmtId="10" fontId="62" fillId="0" borderId="0" xfId="3" applyNumberFormat="1" applyFont="1" applyFill="1" applyBorder="1"/>
    <xf numFmtId="10" fontId="19" fillId="0" borderId="7" xfId="3" applyNumberFormat="1" applyFont="1" applyFill="1" applyBorder="1"/>
    <xf numFmtId="0" fontId="6" fillId="0" borderId="0" xfId="11"/>
    <xf numFmtId="0" fontId="6" fillId="0" borderId="0" xfId="11" applyAlignment="1">
      <alignment horizontal="center"/>
    </xf>
    <xf numFmtId="43" fontId="6" fillId="0" borderId="0" xfId="1" applyFont="1" applyAlignment="1">
      <alignment horizontal="left"/>
    </xf>
    <xf numFmtId="0" fontId="63" fillId="0" borderId="0" xfId="11" applyFont="1" applyAlignment="1">
      <alignment horizontal="left"/>
    </xf>
    <xf numFmtId="0" fontId="47" fillId="0" borderId="0" xfId="11" applyFont="1" applyAlignment="1">
      <alignment horizontal="left"/>
    </xf>
    <xf numFmtId="0" fontId="45" fillId="0" borderId="0" xfId="12" applyFont="1"/>
    <xf numFmtId="0" fontId="45" fillId="0" borderId="0" xfId="12" applyFont="1" applyAlignment="1">
      <alignment horizontal="center"/>
    </xf>
    <xf numFmtId="0" fontId="45" fillId="0" borderId="0" xfId="12" applyFont="1" applyAlignment="1">
      <alignment horizontal="left"/>
    </xf>
    <xf numFmtId="164" fontId="45" fillId="0" borderId="0" xfId="12" applyNumberFormat="1" applyFont="1" applyAlignment="1">
      <alignment horizontal="center"/>
    </xf>
    <xf numFmtId="0" fontId="65" fillId="2" borderId="4" xfId="0" applyFont="1" applyFill="1" applyBorder="1"/>
    <xf numFmtId="0" fontId="65" fillId="2" borderId="5" xfId="0" applyFont="1" applyFill="1" applyBorder="1"/>
    <xf numFmtId="0" fontId="65" fillId="2" borderId="5" xfId="0" applyFont="1" applyFill="1" applyBorder="1" applyAlignment="1">
      <alignment horizontal="center"/>
    </xf>
    <xf numFmtId="0" fontId="66" fillId="2" borderId="5" xfId="0" applyFont="1" applyFill="1" applyBorder="1" applyAlignment="1">
      <alignment horizontal="center"/>
    </xf>
    <xf numFmtId="0" fontId="66" fillId="2" borderId="23" xfId="0" applyFont="1" applyFill="1" applyBorder="1" applyAlignment="1">
      <alignment horizontal="center"/>
    </xf>
    <xf numFmtId="0" fontId="67" fillId="0" borderId="24" xfId="12" applyFont="1" applyBorder="1" applyAlignment="1">
      <alignment horizontal="left" indent="1"/>
    </xf>
    <xf numFmtId="0" fontId="68" fillId="0" borderId="0" xfId="12" applyFont="1" applyAlignment="1">
      <alignment horizontal="left"/>
    </xf>
    <xf numFmtId="164" fontId="67" fillId="0" borderId="0" xfId="6" applyNumberFormat="1" applyFont="1" applyBorder="1" applyAlignment="1" applyProtection="1">
      <alignment horizontal="right"/>
    </xf>
    <xf numFmtId="164" fontId="67" fillId="0" borderId="0" xfId="12" applyNumberFormat="1" applyFont="1" applyAlignment="1">
      <alignment horizontal="right"/>
    </xf>
    <xf numFmtId="165" fontId="69" fillId="15" borderId="0" xfId="7" applyNumberFormat="1" applyFont="1" applyFill="1" applyBorder="1" applyAlignment="1" applyProtection="1">
      <alignment horizontal="center"/>
    </xf>
    <xf numFmtId="164" fontId="45" fillId="0" borderId="0" xfId="12" applyNumberFormat="1" applyFont="1" applyAlignment="1">
      <alignment horizontal="right"/>
    </xf>
    <xf numFmtId="165" fontId="69" fillId="15" borderId="0" xfId="12" applyNumberFormat="1" applyFont="1" applyFill="1" applyAlignment="1">
      <alignment horizontal="center"/>
    </xf>
    <xf numFmtId="165" fontId="69" fillId="15" borderId="25" xfId="7" applyNumberFormat="1" applyFont="1" applyFill="1" applyBorder="1" applyAlignment="1" applyProtection="1">
      <alignment horizontal="center"/>
    </xf>
    <xf numFmtId="166" fontId="67" fillId="0" borderId="0" xfId="6" applyNumberFormat="1" applyFont="1" applyBorder="1" applyAlignment="1" applyProtection="1">
      <alignment horizontal="right"/>
    </xf>
    <xf numFmtId="0" fontId="8" fillId="0" borderId="0" xfId="11" applyFont="1"/>
    <xf numFmtId="0" fontId="68" fillId="0" borderId="4" xfId="12" applyFont="1" applyBorder="1" applyAlignment="1">
      <alignment horizontal="left"/>
    </xf>
    <xf numFmtId="0" fontId="68" fillId="0" borderId="5" xfId="12" applyFont="1" applyBorder="1" applyAlignment="1">
      <alignment horizontal="left"/>
    </xf>
    <xf numFmtId="164" fontId="68" fillId="0" borderId="5" xfId="6" quotePrefix="1" applyNumberFormat="1" applyFont="1" applyBorder="1" applyAlignment="1" applyProtection="1">
      <alignment horizontal="right"/>
    </xf>
    <xf numFmtId="165" fontId="69" fillId="15" borderId="5" xfId="7" quotePrefix="1" applyNumberFormat="1" applyFont="1" applyFill="1" applyBorder="1" applyAlignment="1" applyProtection="1">
      <alignment horizontal="center"/>
    </xf>
    <xf numFmtId="165" fontId="69" fillId="15" borderId="5" xfId="6" quotePrefix="1" applyNumberFormat="1" applyFont="1" applyFill="1" applyBorder="1" applyAlignment="1" applyProtection="1">
      <alignment horizontal="center"/>
    </xf>
    <xf numFmtId="165" fontId="50" fillId="15" borderId="23" xfId="7" applyNumberFormat="1" applyFont="1" applyFill="1" applyBorder="1" applyAlignment="1">
      <alignment horizontal="center"/>
    </xf>
    <xf numFmtId="164" fontId="45" fillId="0" borderId="0" xfId="12" applyNumberFormat="1" applyFont="1" applyAlignment="1">
      <alignment horizontal="left"/>
    </xf>
    <xf numFmtId="0" fontId="68" fillId="0" borderId="24" xfId="12" applyFont="1" applyBorder="1" applyAlignment="1">
      <alignment horizontal="left"/>
    </xf>
    <xf numFmtId="164" fontId="68" fillId="0" borderId="0" xfId="6" quotePrefix="1" applyNumberFormat="1" applyFont="1" applyBorder="1" applyAlignment="1" applyProtection="1">
      <alignment horizontal="right"/>
    </xf>
    <xf numFmtId="165" fontId="69" fillId="15" borderId="0" xfId="7" quotePrefix="1" applyNumberFormat="1" applyFont="1" applyFill="1" applyBorder="1" applyAlignment="1" applyProtection="1">
      <alignment horizontal="center"/>
    </xf>
    <xf numFmtId="165" fontId="69" fillId="15" borderId="0" xfId="6" quotePrefix="1" applyNumberFormat="1" applyFont="1" applyFill="1" applyBorder="1" applyAlignment="1" applyProtection="1">
      <alignment horizontal="center"/>
    </xf>
    <xf numFmtId="165" fontId="50" fillId="15" borderId="25" xfId="7" applyNumberFormat="1" applyFont="1" applyFill="1" applyBorder="1" applyAlignment="1">
      <alignment horizontal="center"/>
    </xf>
    <xf numFmtId="164" fontId="67" fillId="0" borderId="0" xfId="6" quotePrefix="1" applyNumberFormat="1" applyFont="1" applyBorder="1" applyAlignment="1" applyProtection="1">
      <alignment horizontal="right"/>
    </xf>
    <xf numFmtId="0" fontId="67" fillId="0" borderId="0" xfId="12" applyFont="1" applyAlignment="1">
      <alignment horizontal="left"/>
    </xf>
    <xf numFmtId="164" fontId="47" fillId="0" borderId="5" xfId="6" applyNumberFormat="1" applyFont="1" applyBorder="1" applyAlignment="1">
      <alignment horizontal="right"/>
    </xf>
    <xf numFmtId="165" fontId="50" fillId="15" borderId="5" xfId="7" applyNumberFormat="1" applyFont="1" applyFill="1" applyBorder="1" applyAlignment="1">
      <alignment horizontal="center"/>
    </xf>
    <xf numFmtId="165" fontId="50" fillId="15" borderId="5" xfId="6" applyNumberFormat="1" applyFont="1" applyFill="1" applyBorder="1" applyAlignment="1">
      <alignment horizontal="center"/>
    </xf>
    <xf numFmtId="0" fontId="70" fillId="0" borderId="24" xfId="12" applyFont="1" applyBorder="1" applyAlignment="1">
      <alignment horizontal="left"/>
    </xf>
    <xf numFmtId="0" fontId="69" fillId="0" borderId="0" xfId="12" applyFont="1" applyAlignment="1">
      <alignment horizontal="left"/>
    </xf>
    <xf numFmtId="165" fontId="50" fillId="0" borderId="0" xfId="7" applyNumberFormat="1" applyFont="1" applyBorder="1" applyAlignment="1">
      <alignment horizontal="right"/>
    </xf>
    <xf numFmtId="165" fontId="50" fillId="15" borderId="0" xfId="7" applyNumberFormat="1" applyFont="1" applyFill="1" applyBorder="1" applyAlignment="1">
      <alignment horizontal="center"/>
    </xf>
    <xf numFmtId="165" fontId="50" fillId="15" borderId="0" xfId="6" applyNumberFormat="1" applyFont="1" applyFill="1" applyBorder="1" applyAlignment="1">
      <alignment horizontal="center"/>
    </xf>
    <xf numFmtId="165" fontId="71" fillId="15" borderId="25" xfId="7" applyNumberFormat="1" applyFont="1" applyFill="1" applyBorder="1" applyAlignment="1">
      <alignment horizontal="center"/>
    </xf>
    <xf numFmtId="165" fontId="72" fillId="0" borderId="0" xfId="12" applyNumberFormat="1" applyFont="1" applyAlignment="1">
      <alignment horizontal="left"/>
    </xf>
    <xf numFmtId="0" fontId="72" fillId="0" borderId="0" xfId="11" applyFont="1"/>
    <xf numFmtId="0" fontId="67" fillId="0" borderId="24" xfId="12" applyFont="1" applyBorder="1" applyAlignment="1">
      <alignment horizontal="left"/>
    </xf>
    <xf numFmtId="10" fontId="67" fillId="0" borderId="0" xfId="7" applyNumberFormat="1" applyFont="1" applyBorder="1" applyAlignment="1" applyProtection="1">
      <alignment horizontal="right"/>
    </xf>
    <xf numFmtId="164" fontId="67" fillId="0" borderId="0" xfId="1" applyNumberFormat="1" applyFont="1" applyBorder="1" applyAlignment="1" applyProtection="1">
      <alignment horizontal="right"/>
    </xf>
    <xf numFmtId="165" fontId="67" fillId="0" borderId="0" xfId="7" applyNumberFormat="1" applyFont="1" applyBorder="1" applyAlignment="1" applyProtection="1">
      <alignment horizontal="right"/>
    </xf>
    <xf numFmtId="164" fontId="45" fillId="0" borderId="0" xfId="6" applyNumberFormat="1" applyFont="1" applyBorder="1" applyAlignment="1" applyProtection="1">
      <alignment horizontal="right"/>
    </xf>
    <xf numFmtId="165" fontId="50" fillId="15" borderId="0" xfId="7" applyNumberFormat="1" applyFont="1" applyFill="1" applyBorder="1" applyAlignment="1" applyProtection="1">
      <alignment horizontal="center"/>
    </xf>
    <xf numFmtId="165" fontId="50" fillId="15" borderId="0" xfId="6" applyNumberFormat="1" applyFont="1" applyFill="1" applyBorder="1" applyAlignment="1" applyProtection="1">
      <alignment horizontal="center"/>
    </xf>
    <xf numFmtId="0" fontId="45" fillId="0" borderId="24" xfId="12" applyFont="1" applyBorder="1" applyAlignment="1">
      <alignment horizontal="left" indent="1"/>
    </xf>
    <xf numFmtId="165" fontId="50" fillId="15" borderId="27" xfId="7" applyNumberFormat="1" applyFont="1" applyFill="1" applyBorder="1" applyAlignment="1">
      <alignment horizontal="center"/>
    </xf>
    <xf numFmtId="0" fontId="67" fillId="0" borderId="28" xfId="12" applyFont="1" applyBorder="1" applyAlignment="1">
      <alignment horizontal="left"/>
    </xf>
    <xf numFmtId="0" fontId="67" fillId="0" borderId="3" xfId="12" applyFont="1" applyBorder="1" applyAlignment="1">
      <alignment horizontal="left"/>
    </xf>
    <xf numFmtId="164" fontId="45" fillId="0" borderId="3" xfId="6" applyNumberFormat="1" applyFont="1" applyBorder="1" applyAlignment="1" applyProtection="1">
      <alignment horizontal="right"/>
    </xf>
    <xf numFmtId="165" fontId="50" fillId="15" borderId="3" xfId="7" applyNumberFormat="1" applyFont="1" applyFill="1" applyBorder="1" applyAlignment="1" applyProtection="1">
      <alignment horizontal="center"/>
    </xf>
    <xf numFmtId="165" fontId="50" fillId="15" borderId="3" xfId="6" applyNumberFormat="1" applyFont="1" applyFill="1" applyBorder="1" applyAlignment="1" applyProtection="1">
      <alignment horizontal="center"/>
    </xf>
    <xf numFmtId="0" fontId="73" fillId="0" borderId="24" xfId="12" applyFont="1" applyBorder="1" applyAlignment="1">
      <alignment horizontal="left"/>
    </xf>
    <xf numFmtId="0" fontId="74" fillId="0" borderId="0" xfId="12" applyFont="1" applyAlignment="1">
      <alignment horizontal="left"/>
    </xf>
    <xf numFmtId="165" fontId="7" fillId="0" borderId="0" xfId="7" applyNumberFormat="1" applyFont="1" applyBorder="1" applyAlignment="1" applyProtection="1">
      <alignment horizontal="right"/>
    </xf>
    <xf numFmtId="165" fontId="7" fillId="15" borderId="0" xfId="7" applyNumberFormat="1" applyFont="1" applyFill="1" applyBorder="1" applyAlignment="1" applyProtection="1">
      <alignment horizontal="center"/>
    </xf>
    <xf numFmtId="165" fontId="7" fillId="15" borderId="0" xfId="6" applyNumberFormat="1" applyFont="1" applyFill="1" applyBorder="1" applyAlignment="1" applyProtection="1">
      <alignment horizontal="center"/>
    </xf>
    <xf numFmtId="165" fontId="7" fillId="15" borderId="25" xfId="7" applyNumberFormat="1" applyFont="1" applyFill="1" applyBorder="1" applyAlignment="1">
      <alignment horizontal="center"/>
    </xf>
    <xf numFmtId="165" fontId="75" fillId="0" borderId="0" xfId="12" applyNumberFormat="1" applyFont="1" applyAlignment="1">
      <alignment horizontal="left"/>
    </xf>
    <xf numFmtId="0" fontId="7" fillId="0" borderId="0" xfId="11" applyFont="1"/>
    <xf numFmtId="0" fontId="76" fillId="0" borderId="24" xfId="12" applyFont="1" applyBorder="1" applyAlignment="1">
      <alignment horizontal="left"/>
    </xf>
    <xf numFmtId="0" fontId="77" fillId="0" borderId="0" xfId="12" applyFont="1" applyAlignment="1">
      <alignment horizontal="left"/>
    </xf>
    <xf numFmtId="165" fontId="78" fillId="0" borderId="0" xfId="7" applyNumberFormat="1" applyFont="1" applyBorder="1" applyAlignment="1" applyProtection="1">
      <alignment horizontal="right"/>
    </xf>
    <xf numFmtId="173" fontId="78" fillId="0" borderId="0" xfId="7" applyNumberFormat="1" applyFont="1" applyBorder="1" applyAlignment="1" applyProtection="1">
      <alignment horizontal="right"/>
    </xf>
    <xf numFmtId="165" fontId="39" fillId="15" borderId="0" xfId="7" applyNumberFormat="1" applyFont="1" applyFill="1" applyBorder="1" applyAlignment="1" applyProtection="1">
      <alignment horizontal="center"/>
    </xf>
    <xf numFmtId="165" fontId="39" fillId="15" borderId="0" xfId="6" applyNumberFormat="1" applyFont="1" applyFill="1" applyBorder="1" applyAlignment="1" applyProtection="1">
      <alignment horizontal="center"/>
    </xf>
    <xf numFmtId="165" fontId="39" fillId="15" borderId="25" xfId="7" applyNumberFormat="1" applyFont="1" applyFill="1" applyBorder="1" applyAlignment="1">
      <alignment horizontal="center"/>
    </xf>
    <xf numFmtId="0" fontId="39" fillId="0" borderId="0" xfId="11" applyFont="1"/>
    <xf numFmtId="0" fontId="79" fillId="0" borderId="24" xfId="12" applyFont="1" applyBorder="1" applyAlignment="1">
      <alignment horizontal="left"/>
    </xf>
    <xf numFmtId="0" fontId="79" fillId="0" borderId="0" xfId="12" applyFont="1" applyAlignment="1">
      <alignment horizontal="left"/>
    </xf>
    <xf numFmtId="165" fontId="8" fillId="0" borderId="0" xfId="7" applyNumberFormat="1" applyFont="1" applyBorder="1" applyAlignment="1" applyProtection="1">
      <alignment horizontal="right"/>
    </xf>
    <xf numFmtId="165" fontId="6" fillId="15" borderId="0" xfId="7" applyNumberFormat="1" applyFont="1" applyFill="1" applyBorder="1" applyAlignment="1" applyProtection="1">
      <alignment horizontal="center"/>
    </xf>
    <xf numFmtId="164" fontId="6" fillId="0" borderId="0" xfId="1" applyNumberFormat="1" applyFont="1" applyBorder="1" applyAlignment="1" applyProtection="1">
      <alignment horizontal="right"/>
    </xf>
    <xf numFmtId="165" fontId="6" fillId="15" borderId="0" xfId="6" applyNumberFormat="1" applyFont="1" applyFill="1" applyBorder="1" applyAlignment="1" applyProtection="1">
      <alignment horizontal="center"/>
    </xf>
    <xf numFmtId="165" fontId="6" fillId="15" borderId="25" xfId="7" applyNumberFormat="1" applyFont="1" applyFill="1" applyBorder="1" applyAlignment="1">
      <alignment horizontal="center"/>
    </xf>
    <xf numFmtId="164" fontId="47" fillId="0" borderId="0" xfId="1" applyNumberFormat="1" applyFont="1" applyBorder="1" applyAlignment="1" applyProtection="1">
      <alignment horizontal="right"/>
    </xf>
    <xf numFmtId="0" fontId="75" fillId="0" borderId="0" xfId="12" applyFont="1" applyAlignment="1">
      <alignment horizontal="left"/>
    </xf>
    <xf numFmtId="41" fontId="45" fillId="0" borderId="0" xfId="11" applyNumberFormat="1" applyFont="1" applyAlignment="1">
      <alignment horizontal="right"/>
    </xf>
    <xf numFmtId="165" fontId="50" fillId="15" borderId="0" xfId="11" applyNumberFormat="1" applyFont="1" applyFill="1" applyAlignment="1">
      <alignment horizontal="center"/>
    </xf>
    <xf numFmtId="0" fontId="45" fillId="0" borderId="24" xfId="11" applyFont="1" applyBorder="1"/>
    <xf numFmtId="0" fontId="45" fillId="0" borderId="0" xfId="11" applyFont="1"/>
    <xf numFmtId="0" fontId="45" fillId="0" borderId="0" xfId="11" applyFont="1" applyAlignment="1">
      <alignment horizontal="right"/>
    </xf>
    <xf numFmtId="164" fontId="45" fillId="0" borderId="0" xfId="11" applyNumberFormat="1" applyFont="1" applyAlignment="1">
      <alignment horizontal="right"/>
    </xf>
    <xf numFmtId="165" fontId="50" fillId="15" borderId="25" xfId="12" applyNumberFormat="1" applyFont="1" applyFill="1" applyBorder="1" applyAlignment="1">
      <alignment horizontal="center"/>
    </xf>
    <xf numFmtId="165" fontId="50" fillId="15" borderId="0" xfId="12" applyNumberFormat="1" applyFont="1" applyFill="1" applyAlignment="1">
      <alignment horizontal="center"/>
    </xf>
    <xf numFmtId="0" fontId="45" fillId="0" borderId="29" xfId="11" applyFont="1" applyBorder="1"/>
    <xf numFmtId="0" fontId="45" fillId="0" borderId="30" xfId="11" applyFont="1" applyBorder="1" applyAlignment="1">
      <alignment horizontal="left" indent="1"/>
    </xf>
    <xf numFmtId="41" fontId="45" fillId="0" borderId="30" xfId="12" applyNumberFormat="1" applyFont="1" applyBorder="1" applyAlignment="1">
      <alignment horizontal="right"/>
    </xf>
    <xf numFmtId="165" fontId="50" fillId="15" borderId="30" xfId="7" applyNumberFormat="1" applyFont="1" applyFill="1" applyBorder="1" applyAlignment="1">
      <alignment horizontal="center"/>
    </xf>
    <xf numFmtId="165" fontId="50" fillId="15" borderId="30" xfId="12" applyNumberFormat="1" applyFont="1" applyFill="1" applyBorder="1" applyAlignment="1">
      <alignment horizontal="center"/>
    </xf>
    <xf numFmtId="0" fontId="47" fillId="0" borderId="28" xfId="11" applyFont="1" applyBorder="1"/>
    <xf numFmtId="0" fontId="47" fillId="0" borderId="3" xfId="11" applyFont="1" applyBorder="1"/>
    <xf numFmtId="164" fontId="47" fillId="0" borderId="3" xfId="11" applyNumberFormat="1" applyFont="1" applyBorder="1" applyAlignment="1">
      <alignment horizontal="right"/>
    </xf>
    <xf numFmtId="165" fontId="50" fillId="15" borderId="3" xfId="7" applyNumberFormat="1" applyFont="1" applyFill="1" applyBorder="1" applyAlignment="1">
      <alignment horizontal="center"/>
    </xf>
    <xf numFmtId="165" fontId="50" fillId="15" borderId="3" xfId="11" applyNumberFormat="1" applyFont="1" applyFill="1" applyBorder="1" applyAlignment="1">
      <alignment horizontal="center"/>
    </xf>
    <xf numFmtId="0" fontId="67" fillId="0" borderId="24" xfId="12" applyFont="1" applyBorder="1"/>
    <xf numFmtId="0" fontId="67" fillId="0" borderId="0" xfId="12" applyFont="1"/>
    <xf numFmtId="165" fontId="67" fillId="0" borderId="0" xfId="12" applyNumberFormat="1" applyFont="1" applyAlignment="1">
      <alignment horizontal="right"/>
    </xf>
    <xf numFmtId="0" fontId="47" fillId="0" borderId="24" xfId="11" applyFont="1" applyBorder="1"/>
    <xf numFmtId="0" fontId="47" fillId="0" borderId="0" xfId="11" applyFont="1"/>
    <xf numFmtId="164" fontId="47" fillId="0" borderId="0" xfId="11" applyNumberFormat="1" applyFont="1" applyAlignment="1">
      <alignment horizontal="right"/>
    </xf>
    <xf numFmtId="0" fontId="47" fillId="0" borderId="31" xfId="11" applyFont="1" applyBorder="1"/>
    <xf numFmtId="0" fontId="47" fillId="0" borderId="22" xfId="11" applyFont="1" applyBorder="1"/>
    <xf numFmtId="7" fontId="47" fillId="0" borderId="22" xfId="13" applyNumberFormat="1" applyFont="1" applyFill="1" applyBorder="1" applyAlignment="1">
      <alignment horizontal="right"/>
    </xf>
    <xf numFmtId="165" fontId="50" fillId="15" borderId="22" xfId="7" applyNumberFormat="1" applyFont="1" applyFill="1" applyBorder="1" applyAlignment="1">
      <alignment horizontal="center"/>
    </xf>
    <xf numFmtId="165" fontId="50" fillId="15" borderId="22" xfId="13" applyNumberFormat="1" applyFont="1" applyFill="1" applyBorder="1" applyAlignment="1">
      <alignment horizontal="center"/>
    </xf>
    <xf numFmtId="165" fontId="50" fillId="15" borderId="32" xfId="7" applyNumberFormat="1" applyFont="1" applyFill="1" applyBorder="1" applyAlignment="1">
      <alignment horizontal="center"/>
    </xf>
    <xf numFmtId="0" fontId="45" fillId="0" borderId="33" xfId="11" applyFont="1" applyBorder="1"/>
    <xf numFmtId="0" fontId="45" fillId="0" borderId="11" xfId="11" applyFont="1" applyBorder="1"/>
    <xf numFmtId="43" fontId="45" fillId="0" borderId="11" xfId="13" applyNumberFormat="1" applyFont="1" applyFill="1" applyBorder="1" applyAlignment="1">
      <alignment horizontal="right"/>
    </xf>
    <xf numFmtId="7" fontId="45" fillId="0" borderId="11" xfId="13" applyNumberFormat="1" applyFont="1" applyFill="1" applyBorder="1" applyAlignment="1">
      <alignment horizontal="right"/>
    </xf>
    <xf numFmtId="165" fontId="50" fillId="15" borderId="11" xfId="7" applyNumberFormat="1" applyFont="1" applyFill="1" applyBorder="1" applyAlignment="1">
      <alignment horizontal="center"/>
    </xf>
    <xf numFmtId="165" fontId="50" fillId="15" borderId="11" xfId="13" applyNumberFormat="1" applyFont="1" applyFill="1" applyBorder="1" applyAlignment="1">
      <alignment horizontal="center"/>
    </xf>
    <xf numFmtId="165" fontId="50" fillId="15" borderId="34" xfId="7" applyNumberFormat="1" applyFont="1" applyFill="1" applyBorder="1" applyAlignment="1">
      <alignment horizontal="center"/>
    </xf>
    <xf numFmtId="166" fontId="45" fillId="0" borderId="0" xfId="12" applyNumberFormat="1" applyFont="1" applyAlignment="1">
      <alignment horizontal="right"/>
    </xf>
    <xf numFmtId="0" fontId="50" fillId="15" borderId="0" xfId="11" applyFont="1" applyFill="1" applyAlignment="1">
      <alignment horizontal="center"/>
    </xf>
    <xf numFmtId="0" fontId="45" fillId="15" borderId="25" xfId="12" applyFont="1" applyFill="1" applyBorder="1" applyAlignment="1">
      <alignment horizontal="center"/>
    </xf>
    <xf numFmtId="164" fontId="45" fillId="0" borderId="0" xfId="6" applyNumberFormat="1" applyFont="1" applyFill="1" applyBorder="1" applyAlignment="1">
      <alignment horizontal="right"/>
    </xf>
    <xf numFmtId="166" fontId="67" fillId="0" borderId="0" xfId="12" applyNumberFormat="1" applyFont="1" applyAlignment="1">
      <alignment horizontal="right"/>
    </xf>
    <xf numFmtId="0" fontId="45" fillId="0" borderId="30" xfId="11" applyFont="1" applyBorder="1"/>
    <xf numFmtId="164" fontId="45" fillId="0" borderId="30" xfId="6" applyNumberFormat="1" applyFont="1" applyFill="1" applyBorder="1" applyAlignment="1">
      <alignment horizontal="right"/>
    </xf>
    <xf numFmtId="164" fontId="50" fillId="15" borderId="30" xfId="7" applyNumberFormat="1" applyFont="1" applyFill="1" applyBorder="1" applyAlignment="1">
      <alignment horizontal="center"/>
    </xf>
    <xf numFmtId="164" fontId="50" fillId="15" borderId="30" xfId="6" applyNumberFormat="1" applyFont="1" applyFill="1" applyBorder="1" applyAlignment="1">
      <alignment horizontal="center"/>
    </xf>
    <xf numFmtId="0" fontId="45" fillId="15" borderId="27" xfId="12" applyFont="1" applyFill="1" applyBorder="1" applyAlignment="1">
      <alignment horizontal="center"/>
    </xf>
    <xf numFmtId="164" fontId="45" fillId="0" borderId="0" xfId="6" applyNumberFormat="1" applyFont="1" applyFill="1" applyBorder="1"/>
    <xf numFmtId="164" fontId="50" fillId="0" borderId="0" xfId="7" applyNumberFormat="1" applyFont="1" applyFill="1" applyBorder="1" applyAlignment="1">
      <alignment horizontal="center"/>
    </xf>
    <xf numFmtId="164" fontId="50" fillId="0" borderId="0" xfId="6" applyNumberFormat="1" applyFont="1" applyFill="1" applyBorder="1" applyAlignment="1">
      <alignment horizontal="center"/>
    </xf>
    <xf numFmtId="43" fontId="45" fillId="0" borderId="0" xfId="1" applyFont="1" applyBorder="1" applyAlignment="1">
      <alignment horizontal="left"/>
    </xf>
    <xf numFmtId="43" fontId="45" fillId="0" borderId="0" xfId="1" applyFont="1" applyAlignment="1">
      <alignment horizontal="left"/>
    </xf>
    <xf numFmtId="166" fontId="29" fillId="0" borderId="0" xfId="0" applyNumberFormat="1" applyFont="1"/>
    <xf numFmtId="166" fontId="36" fillId="0" borderId="0" xfId="1" applyNumberFormat="1" applyFont="1"/>
    <xf numFmtId="43" fontId="47" fillId="0" borderId="22" xfId="13" applyNumberFormat="1" applyFont="1" applyFill="1" applyBorder="1" applyAlignment="1">
      <alignment horizontal="right"/>
    </xf>
    <xf numFmtId="0" fontId="20" fillId="0" borderId="0" xfId="0" applyFont="1"/>
    <xf numFmtId="0" fontId="81" fillId="2" borderId="4" xfId="0" applyFont="1" applyFill="1" applyBorder="1"/>
    <xf numFmtId="0" fontId="82" fillId="0" borderId="28" xfId="0" applyFont="1" applyBorder="1"/>
    <xf numFmtId="164" fontId="47" fillId="0" borderId="0" xfId="14" applyNumberFormat="1" applyFont="1" applyFill="1" applyBorder="1" applyAlignment="1" applyProtection="1">
      <alignment horizontal="right"/>
    </xf>
    <xf numFmtId="0" fontId="56" fillId="0" borderId="0" xfId="0" applyFont="1"/>
    <xf numFmtId="0" fontId="56" fillId="0" borderId="24" xfId="0" applyFont="1" applyBorder="1" applyAlignment="1">
      <alignment horizontal="left" indent="1"/>
    </xf>
    <xf numFmtId="165" fontId="56" fillId="0" borderId="0" xfId="3" applyNumberFormat="1" applyFont="1" applyFill="1" applyBorder="1"/>
    <xf numFmtId="165" fontId="56" fillId="0" borderId="0" xfId="0" applyNumberFormat="1" applyFont="1"/>
    <xf numFmtId="164" fontId="82" fillId="0" borderId="0" xfId="14" applyNumberFormat="1" applyFont="1" applyFill="1" applyBorder="1" applyAlignment="1" applyProtection="1"/>
    <xf numFmtId="0" fontId="83" fillId="0" borderId="0" xfId="0" applyFont="1"/>
    <xf numFmtId="0" fontId="84" fillId="0" borderId="0" xfId="0" applyFont="1"/>
    <xf numFmtId="0" fontId="56" fillId="0" borderId="0" xfId="0" applyFont="1" applyAlignment="1">
      <alignment horizontal="left" indent="1"/>
    </xf>
    <xf numFmtId="1" fontId="56" fillId="0" borderId="0" xfId="0" applyNumberFormat="1" applyFont="1"/>
    <xf numFmtId="0" fontId="68" fillId="0" borderId="29" xfId="12" applyFont="1" applyBorder="1" applyAlignment="1">
      <alignment horizontal="left"/>
    </xf>
    <xf numFmtId="164" fontId="51" fillId="0" borderId="3" xfId="1" applyNumberFormat="1" applyFont="1" applyFill="1" applyBorder="1"/>
    <xf numFmtId="10" fontId="86" fillId="0" borderId="0" xfId="3" applyNumberFormat="1" applyFont="1" applyFill="1" applyBorder="1"/>
    <xf numFmtId="164" fontId="25" fillId="0" borderId="14" xfId="1" applyNumberFormat="1" applyFont="1" applyFill="1" applyBorder="1"/>
    <xf numFmtId="164" fontId="26" fillId="0" borderId="14" xfId="1" applyNumberFormat="1" applyFont="1" applyFill="1" applyBorder="1"/>
    <xf numFmtId="9" fontId="56" fillId="11" borderId="0" xfId="3" applyFont="1" applyFill="1" applyBorder="1"/>
    <xf numFmtId="164" fontId="33" fillId="0" borderId="0" xfId="0" applyNumberFormat="1" applyFont="1"/>
    <xf numFmtId="175" fontId="63" fillId="0" borderId="0" xfId="15" applyFont="1" applyAlignment="1" applyProtection="1">
      <alignment horizontal="left"/>
      <protection locked="0"/>
    </xf>
    <xf numFmtId="175" fontId="8" fillId="0" borderId="0" xfId="15" applyFont="1" applyProtection="1">
      <protection locked="0"/>
    </xf>
    <xf numFmtId="175" fontId="6" fillId="0" borderId="0" xfId="15" applyFont="1" applyProtection="1">
      <protection locked="0"/>
    </xf>
    <xf numFmtId="0" fontId="88" fillId="0" borderId="0" xfId="16" applyFont="1" applyAlignment="1">
      <alignment horizontal="left" vertical="center"/>
    </xf>
    <xf numFmtId="176" fontId="64" fillId="0" borderId="0" xfId="17" applyFont="1"/>
    <xf numFmtId="175" fontId="91" fillId="0" borderId="0" xfId="18" applyNumberFormat="1" applyFont="1" applyFill="1" applyBorder="1" applyAlignment="1" applyProtection="1">
      <protection locked="0"/>
    </xf>
    <xf numFmtId="175" fontId="6" fillId="0" borderId="0" xfId="15" applyFont="1" applyAlignment="1" applyProtection="1">
      <alignment horizontal="right"/>
      <protection locked="0"/>
    </xf>
    <xf numFmtId="175" fontId="87" fillId="0" borderId="0" xfId="15"/>
    <xf numFmtId="175" fontId="92" fillId="0" borderId="0" xfId="15" applyFont="1" applyProtection="1">
      <protection locked="0"/>
    </xf>
    <xf numFmtId="175" fontId="93" fillId="0" borderId="37" xfId="15" applyFont="1" applyBorder="1"/>
    <xf numFmtId="38" fontId="94" fillId="16" borderId="0" xfId="15" applyNumberFormat="1" applyFont="1" applyFill="1" applyAlignment="1" applyProtection="1">
      <alignment horizontal="left"/>
      <protection locked="0"/>
    </xf>
    <xf numFmtId="175" fontId="8" fillId="0" borderId="26" xfId="15" applyFont="1" applyBorder="1"/>
    <xf numFmtId="166" fontId="64" fillId="17" borderId="25" xfId="19" applyNumberFormat="1" applyFont="1" applyFill="1" applyBorder="1" applyProtection="1"/>
    <xf numFmtId="175" fontId="94" fillId="0" borderId="0" xfId="15" applyFont="1" applyAlignment="1" applyProtection="1">
      <alignment horizontal="right"/>
      <protection locked="0"/>
    </xf>
    <xf numFmtId="176" fontId="63" fillId="0" borderId="0" xfId="17" applyFont="1"/>
    <xf numFmtId="8" fontId="94" fillId="16" borderId="0" xfId="20" applyFont="1" applyFill="1" applyBorder="1" applyAlignment="1" applyProtection="1">
      <alignment horizontal="right"/>
      <protection locked="0"/>
    </xf>
    <xf numFmtId="175" fontId="6" fillId="0" borderId="26" xfId="15" applyFont="1" applyBorder="1"/>
    <xf numFmtId="38" fontId="94" fillId="16" borderId="0" xfId="15" applyNumberFormat="1" applyFont="1" applyFill="1" applyAlignment="1" applyProtection="1">
      <alignment horizontal="right"/>
      <protection locked="0"/>
    </xf>
    <xf numFmtId="0" fontId="88" fillId="0" borderId="0" xfId="21" applyFont="1" applyAlignment="1">
      <alignment horizontal="center"/>
    </xf>
    <xf numFmtId="0" fontId="63" fillId="0" borderId="0" xfId="17" applyNumberFormat="1" applyFont="1"/>
    <xf numFmtId="0" fontId="97" fillId="0" borderId="26" xfId="15" applyNumberFormat="1" applyFont="1" applyBorder="1"/>
    <xf numFmtId="0" fontId="64" fillId="0" borderId="0" xfId="17" applyNumberFormat="1" applyFont="1" applyAlignment="1">
      <alignment horizontal="right"/>
    </xf>
    <xf numFmtId="175" fontId="97" fillId="0" borderId="26" xfId="15" applyFont="1" applyBorder="1"/>
    <xf numFmtId="176" fontId="64" fillId="0" borderId="0" xfId="17" applyFont="1" applyAlignment="1">
      <alignment horizontal="right"/>
    </xf>
    <xf numFmtId="175" fontId="88" fillId="0" borderId="26" xfId="22" applyNumberFormat="1" applyFont="1" applyBorder="1" applyAlignment="1">
      <alignment horizontal="center"/>
    </xf>
    <xf numFmtId="175" fontId="88" fillId="0" borderId="25" xfId="22" applyNumberFormat="1" applyFont="1" applyBorder="1" applyAlignment="1">
      <alignment horizontal="center"/>
    </xf>
    <xf numFmtId="176" fontId="63" fillId="0" borderId="0" xfId="17" quotePrefix="1" applyFont="1" applyAlignment="1">
      <alignment horizontal="left" wrapText="1"/>
    </xf>
    <xf numFmtId="175" fontId="97" fillId="18" borderId="38" xfId="15" applyFont="1" applyFill="1" applyBorder="1" applyAlignment="1">
      <alignment horizontal="center"/>
    </xf>
    <xf numFmtId="0" fontId="88" fillId="0" borderId="26" xfId="22" applyFont="1" applyBorder="1" applyAlignment="1">
      <alignment horizontal="center"/>
    </xf>
    <xf numFmtId="175" fontId="97" fillId="18" borderId="26" xfId="15" applyFont="1" applyFill="1" applyBorder="1" applyAlignment="1">
      <alignment horizontal="center"/>
    </xf>
    <xf numFmtId="176" fontId="63" fillId="19" borderId="26" xfId="17" applyFont="1" applyFill="1" applyBorder="1" applyAlignment="1">
      <alignment horizontal="center"/>
    </xf>
    <xf numFmtId="176" fontId="63" fillId="19" borderId="25" xfId="17" applyFont="1" applyFill="1" applyBorder="1" applyAlignment="1">
      <alignment horizontal="center"/>
    </xf>
    <xf numFmtId="17" fontId="64" fillId="0" borderId="0" xfId="17" applyNumberFormat="1" applyFont="1"/>
    <xf numFmtId="17" fontId="63" fillId="0" borderId="0" xfId="17" applyNumberFormat="1" applyFont="1" applyAlignment="1">
      <alignment horizontal="left" wrapText="1"/>
    </xf>
    <xf numFmtId="17" fontId="97" fillId="0" borderId="26" xfId="15" applyNumberFormat="1" applyFont="1" applyBorder="1"/>
    <xf numFmtId="17" fontId="64" fillId="0" borderId="0" xfId="19" applyNumberFormat="1" applyFont="1" applyFill="1" applyBorder="1" applyAlignment="1" applyProtection="1">
      <alignment horizontal="right"/>
    </xf>
    <xf numFmtId="1" fontId="88" fillId="0" borderId="35" xfId="22" applyNumberFormat="1" applyFont="1" applyBorder="1" applyAlignment="1">
      <alignment horizontal="center"/>
    </xf>
    <xf numFmtId="1" fontId="88" fillId="0" borderId="27" xfId="22" applyNumberFormat="1" applyFont="1" applyBorder="1" applyAlignment="1">
      <alignment horizontal="center"/>
    </xf>
    <xf numFmtId="176" fontId="99" fillId="0" borderId="0" xfId="17" applyFont="1"/>
    <xf numFmtId="175" fontId="93" fillId="20" borderId="0" xfId="15" applyFont="1" applyFill="1" applyAlignment="1">
      <alignment horizontal="left"/>
    </xf>
    <xf numFmtId="175" fontId="97" fillId="20" borderId="26" xfId="15" applyFont="1" applyFill="1" applyBorder="1"/>
    <xf numFmtId="172" fontId="99" fillId="20" borderId="0" xfId="17" applyNumberFormat="1" applyFont="1" applyFill="1" applyAlignment="1">
      <alignment horizontal="right"/>
    </xf>
    <xf numFmtId="177" fontId="64" fillId="21" borderId="36" xfId="19" applyNumberFormat="1" applyFont="1" applyFill="1" applyBorder="1" applyProtection="1"/>
    <xf numFmtId="177" fontId="64" fillId="21" borderId="37" xfId="19" applyNumberFormat="1" applyFont="1" applyFill="1" applyBorder="1" applyAlignment="1" applyProtection="1">
      <alignment horizontal="center"/>
    </xf>
    <xf numFmtId="177" fontId="64" fillId="16" borderId="37" xfId="19" applyNumberFormat="1" applyFont="1" applyFill="1" applyBorder="1" applyProtection="1"/>
    <xf numFmtId="178" fontId="64" fillId="21" borderId="36" xfId="19" applyNumberFormat="1" applyFont="1" applyFill="1" applyBorder="1" applyProtection="1"/>
    <xf numFmtId="178" fontId="64" fillId="21" borderId="37" xfId="19" applyNumberFormat="1" applyFont="1" applyFill="1" applyBorder="1" applyAlignment="1" applyProtection="1">
      <alignment horizontal="center"/>
    </xf>
    <xf numFmtId="178" fontId="64" fillId="16" borderId="37" xfId="19" applyNumberFormat="1" applyFont="1" applyFill="1" applyBorder="1" applyProtection="1"/>
    <xf numFmtId="0" fontId="100" fillId="22" borderId="28" xfId="0" applyFont="1" applyFill="1" applyBorder="1" applyAlignment="1">
      <alignment horizontal="left" indent="1"/>
    </xf>
    <xf numFmtId="175" fontId="64" fillId="0" borderId="37" xfId="15" applyFont="1" applyBorder="1"/>
    <xf numFmtId="0" fontId="101" fillId="0" borderId="3" xfId="0" applyFont="1" applyBorder="1"/>
    <xf numFmtId="177" fontId="102" fillId="0" borderId="28" xfId="0" applyNumberFormat="1" applyFont="1" applyBorder="1" applyAlignment="1">
      <alignment horizontal="center"/>
    </xf>
    <xf numFmtId="176" fontId="100" fillId="22" borderId="29" xfId="17" applyFont="1" applyFill="1" applyBorder="1" applyAlignment="1">
      <alignment horizontal="left" indent="2"/>
    </xf>
    <xf numFmtId="175" fontId="99" fillId="23" borderId="35" xfId="15" applyFont="1" applyFill="1" applyBorder="1"/>
    <xf numFmtId="166" fontId="64" fillId="0" borderId="30" xfId="19" applyNumberFormat="1" applyFont="1" applyFill="1" applyBorder="1" applyAlignment="1" applyProtection="1">
      <alignment horizontal="right"/>
    </xf>
    <xf numFmtId="166" fontId="64" fillId="17" borderId="29" xfId="19" applyNumberFormat="1" applyFont="1" applyFill="1" applyBorder="1" applyProtection="1"/>
    <xf numFmtId="166" fontId="64" fillId="17" borderId="30" xfId="19" applyNumberFormat="1" applyFont="1" applyFill="1" applyBorder="1" applyProtection="1"/>
    <xf numFmtId="166" fontId="64" fillId="17" borderId="27" xfId="19" applyNumberFormat="1" applyFont="1" applyFill="1" applyBorder="1" applyProtection="1"/>
    <xf numFmtId="0" fontId="102" fillId="0" borderId="0" xfId="0" applyFont="1"/>
    <xf numFmtId="0" fontId="100" fillId="22" borderId="0" xfId="0" applyFont="1" applyFill="1" applyAlignment="1">
      <alignment horizontal="left" indent="1"/>
    </xf>
    <xf numFmtId="175" fontId="64" fillId="19" borderId="26" xfId="15" applyFont="1" applyFill="1" applyBorder="1"/>
    <xf numFmtId="0" fontId="101" fillId="19" borderId="0" xfId="0" applyFont="1" applyFill="1"/>
    <xf numFmtId="179" fontId="102" fillId="0" borderId="24" xfId="0" applyNumberFormat="1" applyFont="1" applyBorder="1"/>
    <xf numFmtId="176" fontId="100" fillId="22" borderId="0" xfId="17" applyFont="1" applyFill="1" applyAlignment="1">
      <alignment horizontal="left" indent="2"/>
    </xf>
    <xf numFmtId="175" fontId="99" fillId="23" borderId="26" xfId="15" applyFont="1" applyFill="1" applyBorder="1"/>
    <xf numFmtId="166" fontId="64" fillId="19" borderId="0" xfId="19" applyNumberFormat="1" applyFont="1" applyFill="1" applyBorder="1" applyAlignment="1" applyProtection="1">
      <alignment horizontal="right"/>
    </xf>
    <xf numFmtId="0" fontId="101" fillId="0" borderId="28" xfId="0" applyFont="1" applyBorder="1" applyAlignment="1">
      <alignment horizontal="left" indent="1"/>
    </xf>
    <xf numFmtId="0" fontId="102" fillId="0" borderId="28" xfId="0" applyFont="1" applyBorder="1"/>
    <xf numFmtId="0" fontId="102" fillId="0" borderId="3" xfId="0" applyFont="1" applyBorder="1"/>
    <xf numFmtId="0" fontId="102" fillId="0" borderId="36" xfId="0" applyFont="1" applyBorder="1"/>
    <xf numFmtId="176" fontId="64" fillId="0" borderId="29" xfId="17" applyFont="1" applyBorder="1" applyAlignment="1">
      <alignment horizontal="left" indent="2"/>
    </xf>
    <xf numFmtId="0" fontId="101" fillId="19" borderId="0" xfId="0" applyFont="1" applyFill="1" applyAlignment="1">
      <alignment horizontal="left" indent="1"/>
    </xf>
    <xf numFmtId="0" fontId="102" fillId="0" borderId="24" xfId="0" applyFont="1" applyBorder="1"/>
    <xf numFmtId="0" fontId="102" fillId="0" borderId="25" xfId="0" applyFont="1" applyBorder="1"/>
    <xf numFmtId="176" fontId="64" fillId="19" borderId="0" xfId="17" applyFont="1" applyFill="1" applyAlignment="1">
      <alignment horizontal="left" indent="2"/>
    </xf>
    <xf numFmtId="166" fontId="64" fillId="17" borderId="24" xfId="19" applyNumberFormat="1" applyFont="1" applyFill="1" applyBorder="1" applyProtection="1"/>
    <xf numFmtId="166" fontId="64" fillId="17" borderId="0" xfId="19" applyNumberFormat="1" applyFont="1" applyFill="1" applyBorder="1" applyProtection="1"/>
    <xf numFmtId="0" fontId="101" fillId="19" borderId="28" xfId="0" applyFont="1" applyFill="1" applyBorder="1" applyAlignment="1">
      <alignment horizontal="left" indent="1"/>
    </xf>
    <xf numFmtId="175" fontId="64" fillId="19" borderId="37" xfId="15" applyFont="1" applyFill="1" applyBorder="1"/>
    <xf numFmtId="0" fontId="101" fillId="19" borderId="3" xfId="0" applyFont="1" applyFill="1" applyBorder="1"/>
    <xf numFmtId="176" fontId="64" fillId="19" borderId="29" xfId="17" applyFont="1" applyFill="1" applyBorder="1" applyAlignment="1">
      <alignment horizontal="left" indent="1"/>
    </xf>
    <xf numFmtId="166" fontId="64" fillId="19" borderId="30" xfId="19" applyNumberFormat="1" applyFont="1" applyFill="1" applyBorder="1" applyAlignment="1" applyProtection="1">
      <alignment horizontal="right"/>
    </xf>
    <xf numFmtId="176" fontId="103" fillId="0" borderId="0" xfId="17" applyFont="1"/>
    <xf numFmtId="180" fontId="64" fillId="0" borderId="0" xfId="17" applyNumberFormat="1" applyFont="1" applyAlignment="1">
      <alignment horizontal="right"/>
    </xf>
    <xf numFmtId="165" fontId="27" fillId="0" borderId="0" xfId="3" applyNumberFormat="1" applyFont="1" applyFill="1" applyBorder="1"/>
    <xf numFmtId="43" fontId="29" fillId="0" borderId="0" xfId="1" applyFont="1"/>
    <xf numFmtId="43" fontId="35" fillId="0" borderId="0" xfId="1" applyFont="1"/>
    <xf numFmtId="43" fontId="38" fillId="0" borderId="0" xfId="1" applyFont="1"/>
    <xf numFmtId="43" fontId="29" fillId="0" borderId="0" xfId="1" applyFont="1" applyFill="1"/>
    <xf numFmtId="43" fontId="20" fillId="0" borderId="0" xfId="1" applyFont="1" applyFill="1" applyBorder="1"/>
    <xf numFmtId="43" fontId="36" fillId="0" borderId="0" xfId="1" applyFont="1"/>
    <xf numFmtId="164" fontId="33" fillId="0" borderId="0" xfId="1" applyNumberFormat="1" applyFont="1"/>
    <xf numFmtId="41" fontId="3" fillId="0" borderId="7" xfId="1" applyNumberFormat="1" applyFont="1" applyBorder="1"/>
    <xf numFmtId="166" fontId="5" fillId="0" borderId="0" xfId="1" applyNumberFormat="1" applyFont="1" applyFill="1" applyBorder="1"/>
    <xf numFmtId="164" fontId="24" fillId="0" borderId="0" xfId="1" applyNumberFormat="1" applyFont="1" applyFill="1" applyBorder="1"/>
    <xf numFmtId="43" fontId="5" fillId="0" borderId="0" xfId="1" applyFont="1" applyFill="1" applyBorder="1"/>
    <xf numFmtId="43" fontId="3" fillId="0" borderId="0" xfId="1" applyFont="1" applyFill="1" applyBorder="1"/>
    <xf numFmtId="164" fontId="3" fillId="0" borderId="3" xfId="1" applyNumberFormat="1" applyFont="1" applyFill="1" applyBorder="1"/>
    <xf numFmtId="164" fontId="3" fillId="8" borderId="5" xfId="1" applyNumberFormat="1" applyFont="1" applyFill="1" applyBorder="1"/>
    <xf numFmtId="164" fontId="54" fillId="0" borderId="0" xfId="1" applyNumberFormat="1" applyFont="1" applyFill="1" applyBorder="1"/>
    <xf numFmtId="164" fontId="10" fillId="0" borderId="0" xfId="1" applyNumberFormat="1" applyFont="1" applyFill="1" applyBorder="1"/>
    <xf numFmtId="10" fontId="54" fillId="0" borderId="0" xfId="3" applyNumberFormat="1" applyFont="1" applyFill="1" applyBorder="1"/>
    <xf numFmtId="43" fontId="39" fillId="0" borderId="0" xfId="1" applyFont="1" applyBorder="1"/>
    <xf numFmtId="0" fontId="16" fillId="0" borderId="0" xfId="0" applyFont="1" applyAlignment="1">
      <alignment horizontal="center"/>
    </xf>
    <xf numFmtId="164" fontId="9" fillId="0" borderId="0" xfId="1" applyNumberFormat="1" applyFont="1" applyFill="1" applyBorder="1"/>
    <xf numFmtId="10" fontId="86" fillId="5" borderId="0" xfId="3" applyNumberFormat="1" applyFont="1" applyFill="1" applyBorder="1"/>
    <xf numFmtId="167" fontId="29" fillId="0" borderId="0" xfId="0" applyNumberFormat="1" applyFont="1"/>
    <xf numFmtId="0" fontId="2" fillId="2" borderId="1" xfId="2" applyNumberFormat="1" applyFont="1" applyFill="1" applyBorder="1" applyAlignment="1">
      <alignment horizontal="left"/>
    </xf>
    <xf numFmtId="0" fontId="105" fillId="0" borderId="0" xfId="23"/>
    <xf numFmtId="3" fontId="8" fillId="0" borderId="14" xfId="23" applyNumberFormat="1" applyFont="1" applyBorder="1"/>
    <xf numFmtId="3" fontId="8" fillId="0" borderId="0" xfId="23" applyNumberFormat="1" applyFont="1"/>
    <xf numFmtId="3" fontId="8" fillId="0" borderId="22" xfId="23" applyNumberFormat="1" applyFont="1" applyBorder="1"/>
    <xf numFmtId="3" fontId="8" fillId="0" borderId="19" xfId="23" applyNumberFormat="1" applyFont="1" applyBorder="1"/>
    <xf numFmtId="9" fontId="6" fillId="0" borderId="14" xfId="23" applyNumberFormat="1" applyFont="1" applyBorder="1"/>
    <xf numFmtId="9" fontId="59" fillId="0" borderId="0" xfId="23" applyNumberFormat="1" applyFont="1"/>
    <xf numFmtId="9" fontId="6" fillId="0" borderId="0" xfId="23" applyNumberFormat="1" applyFont="1"/>
    <xf numFmtId="9" fontId="59" fillId="0" borderId="0" xfId="7" applyFont="1" applyFill="1" applyBorder="1" applyAlignment="1">
      <alignment horizontal="right"/>
    </xf>
    <xf numFmtId="9" fontId="59" fillId="0" borderId="7" xfId="7" applyFont="1" applyFill="1" applyBorder="1" applyAlignment="1">
      <alignment horizontal="right"/>
    </xf>
    <xf numFmtId="9" fontId="107" fillId="0" borderId="0" xfId="7" applyFont="1" applyFill="1" applyBorder="1" applyAlignment="1">
      <alignment horizontal="right"/>
    </xf>
    <xf numFmtId="9" fontId="107" fillId="0" borderId="7" xfId="7" applyFont="1" applyFill="1" applyBorder="1" applyAlignment="1">
      <alignment horizontal="right"/>
    </xf>
    <xf numFmtId="3" fontId="8" fillId="0" borderId="7" xfId="23" applyNumberFormat="1" applyFont="1" applyBorder="1"/>
    <xf numFmtId="9" fontId="6" fillId="0" borderId="16" xfId="23" applyNumberFormat="1" applyFont="1" applyBorder="1"/>
    <xf numFmtId="9" fontId="59" fillId="0" borderId="11" xfId="23" applyNumberFormat="1" applyFont="1" applyBorder="1"/>
    <xf numFmtId="9" fontId="59" fillId="0" borderId="11" xfId="7" applyFont="1" applyFill="1" applyBorder="1" applyAlignment="1">
      <alignment horizontal="right"/>
    </xf>
    <xf numFmtId="9" fontId="107" fillId="0" borderId="10" xfId="7" applyFont="1" applyFill="1" applyBorder="1" applyAlignment="1">
      <alignment horizontal="right"/>
    </xf>
    <xf numFmtId="0" fontId="6" fillId="0" borderId="0" xfId="23" applyFont="1"/>
    <xf numFmtId="0" fontId="2" fillId="2" borderId="2" xfId="23" applyFont="1" applyFill="1" applyBorder="1" applyAlignment="1">
      <alignment horizontal="center"/>
    </xf>
    <xf numFmtId="0" fontId="2" fillId="2" borderId="6" xfId="23" applyFont="1" applyFill="1" applyBorder="1" applyAlignment="1">
      <alignment horizontal="center"/>
    </xf>
    <xf numFmtId="3" fontId="6" fillId="0" borderId="14" xfId="23" applyNumberFormat="1" applyFont="1" applyBorder="1"/>
    <xf numFmtId="3" fontId="6" fillId="0" borderId="0" xfId="23" applyNumberFormat="1" applyFont="1"/>
    <xf numFmtId="3" fontId="6" fillId="0" borderId="15" xfId="23" applyNumberFormat="1" applyFont="1" applyBorder="1"/>
    <xf numFmtId="3" fontId="6" fillId="0" borderId="7" xfId="23" applyNumberFormat="1" applyFont="1" applyBorder="1"/>
    <xf numFmtId="177" fontId="8" fillId="0" borderId="0" xfId="23" applyNumberFormat="1" applyFont="1"/>
    <xf numFmtId="177" fontId="6" fillId="0" borderId="0" xfId="23" applyNumberFormat="1" applyFont="1"/>
    <xf numFmtId="177" fontId="8" fillId="13" borderId="14" xfId="23" applyNumberFormat="1" applyFont="1" applyFill="1" applyBorder="1"/>
    <xf numFmtId="177" fontId="8" fillId="13" borderId="0" xfId="23" applyNumberFormat="1" applyFont="1" applyFill="1"/>
    <xf numFmtId="177" fontId="8" fillId="13" borderId="15" xfId="23" applyNumberFormat="1" applyFont="1" applyFill="1" applyBorder="1"/>
    <xf numFmtId="177" fontId="8" fillId="13" borderId="7" xfId="23" applyNumberFormat="1" applyFont="1" applyFill="1" applyBorder="1"/>
    <xf numFmtId="9" fontId="6" fillId="13" borderId="14" xfId="23" applyNumberFormat="1" applyFont="1" applyFill="1" applyBorder="1"/>
    <xf numFmtId="9" fontId="59" fillId="13" borderId="0" xfId="23" applyNumberFormat="1" applyFont="1" applyFill="1"/>
    <xf numFmtId="9" fontId="59" fillId="13" borderId="0" xfId="7" applyFont="1" applyFill="1" applyBorder="1" applyAlignment="1">
      <alignment horizontal="right"/>
    </xf>
    <xf numFmtId="9" fontId="59" fillId="13" borderId="7" xfId="7" applyFont="1" applyFill="1" applyBorder="1" applyAlignment="1">
      <alignment horizontal="right"/>
    </xf>
    <xf numFmtId="9" fontId="107" fillId="13" borderId="7" xfId="7" applyFont="1" applyFill="1" applyBorder="1" applyAlignment="1">
      <alignment horizontal="right"/>
    </xf>
    <xf numFmtId="3" fontId="8" fillId="13" borderId="14" xfId="23" applyNumberFormat="1" applyFont="1" applyFill="1" applyBorder="1"/>
    <xf numFmtId="3" fontId="8" fillId="13" borderId="0" xfId="23" applyNumberFormat="1" applyFont="1" applyFill="1"/>
    <xf numFmtId="3" fontId="8" fillId="13" borderId="15" xfId="23" applyNumberFormat="1" applyFont="1" applyFill="1" applyBorder="1"/>
    <xf numFmtId="3" fontId="8" fillId="13" borderId="7" xfId="23" applyNumberFormat="1" applyFont="1" applyFill="1" applyBorder="1"/>
    <xf numFmtId="3" fontId="8" fillId="24" borderId="14" xfId="23" applyNumberFormat="1" applyFont="1" applyFill="1" applyBorder="1"/>
    <xf numFmtId="3" fontId="8" fillId="24" borderId="0" xfId="23" applyNumberFormat="1" applyFont="1" applyFill="1"/>
    <xf numFmtId="3" fontId="8" fillId="24" borderId="22" xfId="23" applyNumberFormat="1" applyFont="1" applyFill="1" applyBorder="1"/>
    <xf numFmtId="3" fontId="8" fillId="24" borderId="19" xfId="23" applyNumberFormat="1" applyFont="1" applyFill="1" applyBorder="1"/>
    <xf numFmtId="3" fontId="6" fillId="24" borderId="14" xfId="23" applyNumberFormat="1" applyFont="1" applyFill="1" applyBorder="1"/>
    <xf numFmtId="3" fontId="6" fillId="24" borderId="0" xfId="23" applyNumberFormat="1" applyFont="1" applyFill="1"/>
    <xf numFmtId="3" fontId="6" fillId="24" borderId="15" xfId="23" applyNumberFormat="1" applyFont="1" applyFill="1" applyBorder="1"/>
    <xf numFmtId="3" fontId="6" fillId="24" borderId="7" xfId="23" applyNumberFormat="1" applyFont="1" applyFill="1" applyBorder="1"/>
    <xf numFmtId="9" fontId="6" fillId="24" borderId="14" xfId="23" applyNumberFormat="1" applyFont="1" applyFill="1" applyBorder="1"/>
    <xf numFmtId="9" fontId="59" fillId="24" borderId="0" xfId="23" applyNumberFormat="1" applyFont="1" applyFill="1"/>
    <xf numFmtId="9" fontId="59" fillId="24" borderId="0" xfId="7" applyFont="1" applyFill="1" applyBorder="1" applyAlignment="1">
      <alignment horizontal="right"/>
    </xf>
    <xf numFmtId="9" fontId="59" fillId="24" borderId="7" xfId="7" applyFont="1" applyFill="1" applyBorder="1" applyAlignment="1">
      <alignment horizontal="right"/>
    </xf>
    <xf numFmtId="9" fontId="107" fillId="24" borderId="7" xfId="7" applyFont="1" applyFill="1" applyBorder="1" applyAlignment="1">
      <alignment horizontal="right"/>
    </xf>
    <xf numFmtId="177" fontId="6" fillId="24" borderId="14" xfId="23" applyNumberFormat="1" applyFont="1" applyFill="1" applyBorder="1"/>
    <xf numFmtId="177" fontId="6" fillId="24" borderId="0" xfId="23" applyNumberFormat="1" applyFont="1" applyFill="1"/>
    <xf numFmtId="177" fontId="6" fillId="24" borderId="15" xfId="23" applyNumberFormat="1" applyFont="1" applyFill="1" applyBorder="1"/>
    <xf numFmtId="177" fontId="6" fillId="24" borderId="7" xfId="23" applyNumberFormat="1" applyFont="1" applyFill="1" applyBorder="1"/>
    <xf numFmtId="3" fontId="8" fillId="24" borderId="15" xfId="23" applyNumberFormat="1" applyFont="1" applyFill="1" applyBorder="1"/>
    <xf numFmtId="3" fontId="8" fillId="24" borderId="7" xfId="23" applyNumberFormat="1" applyFont="1" applyFill="1" applyBorder="1"/>
    <xf numFmtId="3" fontId="8" fillId="25" borderId="14" xfId="23" applyNumberFormat="1" applyFont="1" applyFill="1" applyBorder="1"/>
    <xf numFmtId="3" fontId="8" fillId="25" borderId="0" xfId="23" applyNumberFormat="1" applyFont="1" applyFill="1"/>
    <xf numFmtId="3" fontId="8" fillId="25" borderId="7" xfId="23" applyNumberFormat="1" applyFont="1" applyFill="1" applyBorder="1"/>
    <xf numFmtId="9" fontId="6" fillId="25" borderId="14" xfId="23" applyNumberFormat="1" applyFont="1" applyFill="1" applyBorder="1"/>
    <xf numFmtId="9" fontId="59" fillId="25" borderId="0" xfId="23" applyNumberFormat="1" applyFont="1" applyFill="1"/>
    <xf numFmtId="9" fontId="59" fillId="25" borderId="0" xfId="7" applyFont="1" applyFill="1" applyBorder="1" applyAlignment="1">
      <alignment horizontal="right"/>
    </xf>
    <xf numFmtId="9" fontId="59" fillId="25" borderId="7" xfId="7" applyFont="1" applyFill="1" applyBorder="1" applyAlignment="1">
      <alignment horizontal="right"/>
    </xf>
    <xf numFmtId="9" fontId="6" fillId="25" borderId="16" xfId="23" applyNumberFormat="1" applyFont="1" applyFill="1" applyBorder="1"/>
    <xf numFmtId="9" fontId="59" fillId="25" borderId="11" xfId="23" applyNumberFormat="1" applyFont="1" applyFill="1" applyBorder="1"/>
    <xf numFmtId="9" fontId="59" fillId="25" borderId="11" xfId="7" applyFont="1" applyFill="1" applyBorder="1" applyAlignment="1">
      <alignment horizontal="right"/>
    </xf>
    <xf numFmtId="9" fontId="107" fillId="25" borderId="10" xfId="7" applyFont="1" applyFill="1" applyBorder="1" applyAlignment="1">
      <alignment horizontal="right"/>
    </xf>
    <xf numFmtId="3" fontId="14" fillId="24" borderId="0" xfId="23" applyNumberFormat="1" applyFont="1" applyFill="1"/>
    <xf numFmtId="9" fontId="11" fillId="24" borderId="0" xfId="7" applyFont="1" applyFill="1" applyBorder="1" applyAlignment="1">
      <alignment horizontal="right"/>
    </xf>
    <xf numFmtId="9" fontId="11" fillId="13" borderId="0" xfId="7" applyFont="1" applyFill="1" applyBorder="1" applyAlignment="1">
      <alignment horizontal="right"/>
    </xf>
    <xf numFmtId="3" fontId="6" fillId="13" borderId="14" xfId="23" applyNumberFormat="1" applyFont="1" applyFill="1" applyBorder="1"/>
    <xf numFmtId="3" fontId="6" fillId="13" borderId="0" xfId="23" applyNumberFormat="1" applyFont="1" applyFill="1"/>
    <xf numFmtId="3" fontId="6" fillId="13" borderId="15" xfId="23" applyNumberFormat="1" applyFont="1" applyFill="1" applyBorder="1"/>
    <xf numFmtId="3" fontId="6" fillId="13" borderId="7" xfId="23" applyNumberFormat="1" applyFont="1" applyFill="1" applyBorder="1"/>
    <xf numFmtId="177" fontId="6" fillId="13" borderId="14" xfId="23" applyNumberFormat="1" applyFont="1" applyFill="1" applyBorder="1"/>
    <xf numFmtId="177" fontId="6" fillId="13" borderId="0" xfId="23" applyNumberFormat="1" applyFont="1" applyFill="1"/>
    <xf numFmtId="177" fontId="6" fillId="13" borderId="15" xfId="23" applyNumberFormat="1" applyFont="1" applyFill="1" applyBorder="1"/>
    <xf numFmtId="177" fontId="6" fillId="13" borderId="7" xfId="23" applyNumberFormat="1" applyFont="1" applyFill="1" applyBorder="1"/>
    <xf numFmtId="177" fontId="61" fillId="13" borderId="0" xfId="23" applyNumberFormat="1" applyFont="1" applyFill="1"/>
    <xf numFmtId="10" fontId="6" fillId="0" borderId="14" xfId="3" applyNumberFormat="1" applyFont="1" applyBorder="1"/>
    <xf numFmtId="10" fontId="6" fillId="0" borderId="0" xfId="3" applyNumberFormat="1" applyFont="1" applyBorder="1"/>
    <xf numFmtId="10" fontId="6" fillId="0" borderId="15" xfId="3" applyNumberFormat="1" applyFont="1" applyBorder="1"/>
    <xf numFmtId="10" fontId="6" fillId="0" borderId="7" xfId="3" applyNumberFormat="1" applyFont="1" applyBorder="1"/>
    <xf numFmtId="10" fontId="6" fillId="0" borderId="0" xfId="3" applyNumberFormat="1" applyFont="1"/>
    <xf numFmtId="165" fontId="6" fillId="0" borderId="14" xfId="23" applyNumberFormat="1" applyFont="1" applyBorder="1"/>
    <xf numFmtId="165" fontId="59" fillId="0" borderId="0" xfId="23" applyNumberFormat="1" applyFont="1"/>
    <xf numFmtId="165" fontId="59" fillId="0" borderId="0" xfId="7" applyNumberFormat="1" applyFont="1" applyFill="1" applyBorder="1" applyAlignment="1">
      <alignment horizontal="right"/>
    </xf>
    <xf numFmtId="165" fontId="59" fillId="0" borderId="7" xfId="7" applyNumberFormat="1" applyFont="1" applyFill="1" applyBorder="1" applyAlignment="1">
      <alignment horizontal="right"/>
    </xf>
    <xf numFmtId="165" fontId="6" fillId="0" borderId="0" xfId="23" applyNumberFormat="1" applyFont="1"/>
    <xf numFmtId="165" fontId="11" fillId="0" borderId="0" xfId="7" applyNumberFormat="1" applyFont="1" applyFill="1" applyBorder="1" applyAlignment="1">
      <alignment horizontal="right"/>
    </xf>
    <xf numFmtId="3" fontId="61" fillId="24" borderId="22" xfId="23" applyNumberFormat="1" applyFont="1" applyFill="1" applyBorder="1"/>
    <xf numFmtId="9" fontId="6" fillId="13" borderId="16" xfId="23" applyNumberFormat="1" applyFont="1" applyFill="1" applyBorder="1"/>
    <xf numFmtId="9" fontId="59" fillId="13" borderId="11" xfId="23" applyNumberFormat="1" applyFont="1" applyFill="1" applyBorder="1"/>
    <xf numFmtId="9" fontId="59" fillId="13" borderId="11" xfId="7" applyFont="1" applyFill="1" applyBorder="1" applyAlignment="1">
      <alignment horizontal="right"/>
    </xf>
    <xf numFmtId="9" fontId="107" fillId="13" borderId="10" xfId="7" applyFont="1" applyFill="1" applyBorder="1" applyAlignment="1">
      <alignment horizontal="right"/>
    </xf>
    <xf numFmtId="9" fontId="107" fillId="25" borderId="7" xfId="7" applyFont="1" applyFill="1" applyBorder="1" applyAlignment="1">
      <alignment horizontal="right"/>
    </xf>
    <xf numFmtId="3" fontId="8" fillId="25" borderId="15" xfId="23" applyNumberFormat="1" applyFont="1" applyFill="1" applyBorder="1"/>
    <xf numFmtId="164" fontId="20" fillId="0" borderId="7" xfId="1" applyNumberFormat="1" applyFont="1" applyBorder="1"/>
    <xf numFmtId="165" fontId="13" fillId="0" borderId="0" xfId="3" applyNumberFormat="1" applyFont="1" applyBorder="1"/>
    <xf numFmtId="164" fontId="45" fillId="0" borderId="0" xfId="12" applyNumberFormat="1" applyFont="1"/>
    <xf numFmtId="164" fontId="47" fillId="0" borderId="0" xfId="6" applyNumberFormat="1" applyFont="1" applyBorder="1" applyAlignment="1" applyProtection="1">
      <alignment horizontal="right"/>
    </xf>
    <xf numFmtId="165" fontId="80" fillId="15" borderId="0" xfId="7" applyNumberFormat="1" applyFont="1" applyFill="1" applyBorder="1" applyAlignment="1" applyProtection="1">
      <alignment horizontal="center"/>
    </xf>
    <xf numFmtId="165" fontId="80" fillId="15" borderId="0" xfId="6" applyNumberFormat="1" applyFont="1" applyFill="1" applyBorder="1" applyAlignment="1" applyProtection="1">
      <alignment horizontal="center"/>
    </xf>
    <xf numFmtId="165" fontId="80" fillId="15" borderId="25" xfId="7" applyNumberFormat="1" applyFont="1" applyFill="1" applyBorder="1" applyAlignment="1">
      <alignment horizontal="center"/>
    </xf>
    <xf numFmtId="0" fontId="47" fillId="0" borderId="0" xfId="12" applyFont="1" applyAlignment="1">
      <alignment horizontal="left"/>
    </xf>
    <xf numFmtId="0" fontId="81" fillId="2" borderId="5" xfId="0" applyFont="1" applyFill="1" applyBorder="1" applyAlignment="1">
      <alignment horizontal="center" vertical="center" wrapText="1"/>
    </xf>
    <xf numFmtId="0" fontId="81" fillId="2" borderId="23" xfId="0" applyFont="1" applyFill="1" applyBorder="1" applyAlignment="1">
      <alignment horizontal="center" vertical="center" wrapText="1"/>
    </xf>
    <xf numFmtId="10" fontId="14" fillId="0" borderId="0" xfId="3" applyNumberFormat="1" applyFont="1" applyBorder="1"/>
    <xf numFmtId="3" fontId="105" fillId="0" borderId="0" xfId="23" applyNumberFormat="1"/>
    <xf numFmtId="0" fontId="0" fillId="0" borderId="0" xfId="0" applyAlignment="1">
      <alignment horizontal="right"/>
    </xf>
    <xf numFmtId="3" fontId="0" fillId="0" borderId="0" xfId="0" applyNumberFormat="1" applyAlignment="1">
      <alignment horizontal="right"/>
    </xf>
    <xf numFmtId="0" fontId="108" fillId="0" borderId="0" xfId="0" applyFont="1" applyAlignment="1">
      <alignment horizontal="right"/>
    </xf>
    <xf numFmtId="44" fontId="47" fillId="0" borderId="30" xfId="2" applyFont="1" applyFill="1" applyBorder="1" applyAlignment="1" applyProtection="1">
      <alignment horizontal="right"/>
    </xf>
    <xf numFmtId="44" fontId="47" fillId="0" borderId="27" xfId="2" applyFont="1" applyFill="1" applyBorder="1" applyAlignment="1" applyProtection="1">
      <alignment horizontal="right"/>
    </xf>
    <xf numFmtId="174" fontId="56" fillId="0" borderId="25" xfId="0" applyNumberFormat="1" applyFont="1" applyBorder="1"/>
    <xf numFmtId="174" fontId="56" fillId="0" borderId="0" xfId="0" applyNumberFormat="1" applyFont="1"/>
    <xf numFmtId="174" fontId="82" fillId="0" borderId="25" xfId="14" applyNumberFormat="1" applyFont="1" applyFill="1" applyBorder="1" applyAlignment="1" applyProtection="1"/>
    <xf numFmtId="37" fontId="47" fillId="0" borderId="3" xfId="14" applyNumberFormat="1" applyFont="1" applyFill="1" applyBorder="1" applyAlignment="1" applyProtection="1">
      <alignment horizontal="right"/>
    </xf>
    <xf numFmtId="37" fontId="47" fillId="0" borderId="36" xfId="14" applyNumberFormat="1" applyFont="1" applyFill="1" applyBorder="1" applyAlignment="1" applyProtection="1"/>
    <xf numFmtId="37" fontId="47" fillId="0" borderId="0" xfId="14" applyNumberFormat="1" applyFont="1" applyFill="1" applyBorder="1" applyAlignment="1" applyProtection="1">
      <alignment horizontal="right"/>
    </xf>
    <xf numFmtId="37" fontId="47" fillId="0" borderId="25" xfId="14" applyNumberFormat="1" applyFont="1" applyFill="1" applyBorder="1" applyAlignment="1" applyProtection="1"/>
    <xf numFmtId="164" fontId="8" fillId="0" borderId="0" xfId="0" applyNumberFormat="1" applyFont="1"/>
    <xf numFmtId="164" fontId="3" fillId="0" borderId="7" xfId="0" applyNumberFormat="1" applyFont="1" applyBorder="1"/>
    <xf numFmtId="10" fontId="14" fillId="0" borderId="15" xfId="3" applyNumberFormat="1" applyFont="1" applyBorder="1"/>
    <xf numFmtId="10" fontId="20" fillId="0" borderId="0" xfId="3" applyNumberFormat="1" applyFont="1" applyBorder="1"/>
    <xf numFmtId="0" fontId="105" fillId="3" borderId="0" xfId="23" applyFill="1"/>
    <xf numFmtId="9" fontId="6" fillId="3" borderId="14" xfId="23" applyNumberFormat="1" applyFont="1" applyFill="1" applyBorder="1"/>
    <xf numFmtId="9" fontId="59" fillId="3" borderId="0" xfId="23" applyNumberFormat="1" applyFont="1" applyFill="1"/>
    <xf numFmtId="9" fontId="59" fillId="3" borderId="0" xfId="7" applyFont="1" applyFill="1" applyBorder="1" applyAlignment="1">
      <alignment horizontal="right"/>
    </xf>
    <xf numFmtId="9" fontId="59" fillId="3" borderId="7" xfId="7" applyFont="1" applyFill="1" applyBorder="1" applyAlignment="1">
      <alignment horizontal="right"/>
    </xf>
    <xf numFmtId="9" fontId="6" fillId="3" borderId="16" xfId="23" applyNumberFormat="1" applyFont="1" applyFill="1" applyBorder="1"/>
    <xf numFmtId="9" fontId="59" fillId="3" borderId="11" xfId="23" applyNumberFormat="1" applyFont="1" applyFill="1" applyBorder="1"/>
    <xf numFmtId="9" fontId="59" fillId="3" borderId="11" xfId="7" applyFont="1" applyFill="1" applyBorder="1" applyAlignment="1">
      <alignment horizontal="right"/>
    </xf>
    <xf numFmtId="9" fontId="107" fillId="3" borderId="10" xfId="7" applyFont="1" applyFill="1" applyBorder="1" applyAlignment="1">
      <alignment horizontal="right"/>
    </xf>
    <xf numFmtId="37" fontId="48" fillId="0" borderId="0" xfId="1" applyNumberFormat="1" applyFont="1" applyFill="1"/>
    <xf numFmtId="0" fontId="81" fillId="2" borderId="5" xfId="0" applyFont="1" applyFill="1" applyBorder="1" applyAlignment="1">
      <alignment horizontal="center" wrapText="1"/>
    </xf>
    <xf numFmtId="41" fontId="3" fillId="0" borderId="0" xfId="0" applyNumberFormat="1" applyFont="1" applyAlignment="1">
      <alignment horizontal="right"/>
    </xf>
    <xf numFmtId="41" fontId="3" fillId="0" borderId="7" xfId="1" applyNumberFormat="1" applyFont="1" applyBorder="1" applyAlignment="1">
      <alignment horizontal="right"/>
    </xf>
    <xf numFmtId="0" fontId="8" fillId="0" borderId="0" xfId="23" applyFont="1"/>
    <xf numFmtId="0" fontId="8" fillId="0" borderId="12" xfId="23" applyFont="1" applyBorder="1"/>
    <xf numFmtId="0" fontId="8" fillId="0" borderId="22" xfId="23" applyFont="1" applyBorder="1"/>
    <xf numFmtId="37" fontId="0" fillId="0" borderId="0" xfId="0" applyNumberFormat="1"/>
    <xf numFmtId="177" fontId="0" fillId="0" borderId="0" xfId="0" applyNumberFormat="1" applyAlignment="1">
      <alignment horizontal="right"/>
    </xf>
    <xf numFmtId="0" fontId="81" fillId="2" borderId="5" xfId="0" applyFont="1" applyFill="1" applyBorder="1" applyAlignment="1">
      <alignment horizontal="right" vertical="center" wrapText="1"/>
    </xf>
    <xf numFmtId="164" fontId="3" fillId="0" borderId="10" xfId="0" applyNumberFormat="1" applyFont="1" applyBorder="1"/>
    <xf numFmtId="3" fontId="8" fillId="0" borderId="22" xfId="23" applyNumberFormat="1" applyFont="1" applyBorder="1" applyAlignment="1">
      <alignment horizontal="right"/>
    </xf>
    <xf numFmtId="10" fontId="20" fillId="0" borderId="0" xfId="3" applyNumberFormat="1" applyFont="1" applyBorder="1" applyAlignment="1">
      <alignment horizontal="right"/>
    </xf>
    <xf numFmtId="164" fontId="5" fillId="0" borderId="0" xfId="1" applyNumberFormat="1" applyFont="1" applyFill="1"/>
    <xf numFmtId="164" fontId="5" fillId="0" borderId="14" xfId="1" applyNumberFormat="1" applyFont="1" applyFill="1" applyBorder="1"/>
    <xf numFmtId="164" fontId="68" fillId="0" borderId="0" xfId="6" applyNumberFormat="1" applyFont="1" applyBorder="1" applyAlignment="1" applyProtection="1">
      <alignment horizontal="right"/>
    </xf>
    <xf numFmtId="164" fontId="68" fillId="0" borderId="0" xfId="12" applyNumberFormat="1" applyFont="1" applyAlignment="1">
      <alignment horizontal="right"/>
    </xf>
    <xf numFmtId="165" fontId="109" fillId="15" borderId="0" xfId="7" applyNumberFormat="1" applyFont="1" applyFill="1" applyBorder="1" applyAlignment="1" applyProtection="1">
      <alignment horizontal="center"/>
    </xf>
    <xf numFmtId="164" fontId="47" fillId="0" borderId="0" xfId="12" applyNumberFormat="1" applyFont="1" applyAlignment="1">
      <alignment horizontal="right"/>
    </xf>
    <xf numFmtId="165" fontId="109" fillId="15" borderId="0" xfId="12" applyNumberFormat="1" applyFont="1" applyFill="1" applyAlignment="1">
      <alignment horizontal="center"/>
    </xf>
    <xf numFmtId="165" fontId="109" fillId="15" borderId="25" xfId="7" applyNumberFormat="1" applyFont="1" applyFill="1" applyBorder="1" applyAlignment="1" applyProtection="1">
      <alignment horizontal="center"/>
    </xf>
    <xf numFmtId="166" fontId="68" fillId="0" borderId="0" xfId="6" applyNumberFormat="1" applyFont="1" applyBorder="1" applyAlignment="1" applyProtection="1">
      <alignment horizontal="right"/>
    </xf>
    <xf numFmtId="166" fontId="68" fillId="0" borderId="0" xfId="12" applyNumberFormat="1" applyFont="1" applyAlignment="1">
      <alignment horizontal="right"/>
    </xf>
    <xf numFmtId="166" fontId="47" fillId="0" borderId="0" xfId="12" applyNumberFormat="1" applyFont="1" applyAlignment="1">
      <alignment horizontal="right"/>
    </xf>
    <xf numFmtId="0" fontId="67" fillId="0" borderId="29" xfId="12" applyFont="1" applyBorder="1" applyAlignment="1">
      <alignment horizontal="left"/>
    </xf>
    <xf numFmtId="0" fontId="67" fillId="0" borderId="30" xfId="12" applyFont="1" applyBorder="1" applyAlignment="1">
      <alignment horizontal="left"/>
    </xf>
    <xf numFmtId="164" fontId="67" fillId="0" borderId="30" xfId="6" applyNumberFormat="1" applyFont="1" applyBorder="1" applyAlignment="1" applyProtection="1">
      <alignment horizontal="right"/>
    </xf>
    <xf numFmtId="164" fontId="67" fillId="0" borderId="30" xfId="12" applyNumberFormat="1" applyFont="1" applyBorder="1" applyAlignment="1">
      <alignment horizontal="right"/>
    </xf>
    <xf numFmtId="165" fontId="69" fillId="15" borderId="30" xfId="7" applyNumberFormat="1" applyFont="1" applyFill="1" applyBorder="1" applyAlignment="1" applyProtection="1">
      <alignment horizontal="center"/>
    </xf>
    <xf numFmtId="164" fontId="45" fillId="0" borderId="30" xfId="12" applyNumberFormat="1" applyFont="1" applyBorder="1" applyAlignment="1">
      <alignment horizontal="right"/>
    </xf>
    <xf numFmtId="165" fontId="69" fillId="15" borderId="30" xfId="12" applyNumberFormat="1" applyFont="1" applyFill="1" applyBorder="1" applyAlignment="1">
      <alignment horizontal="center"/>
    </xf>
    <xf numFmtId="165" fontId="69" fillId="15" borderId="27" xfId="7" applyNumberFormat="1" applyFont="1" applyFill="1" applyBorder="1" applyAlignment="1" applyProtection="1">
      <alignment horizontal="center"/>
    </xf>
    <xf numFmtId="9" fontId="67" fillId="0" borderId="30" xfId="3" applyFont="1" applyBorder="1" applyAlignment="1" applyProtection="1">
      <alignment horizontal="right"/>
    </xf>
    <xf numFmtId="9" fontId="45" fillId="0" borderId="30" xfId="3" applyFont="1" applyBorder="1" applyAlignment="1">
      <alignment horizontal="right"/>
    </xf>
    <xf numFmtId="165" fontId="32" fillId="0" borderId="0" xfId="3" applyNumberFormat="1" applyFont="1" applyAlignment="1">
      <alignment horizontal="centerContinuous"/>
    </xf>
    <xf numFmtId="165" fontId="32" fillId="0" borderId="14" xfId="3" applyNumberFormat="1" applyFont="1" applyBorder="1" applyAlignment="1">
      <alignment horizontal="centerContinuous"/>
    </xf>
    <xf numFmtId="0" fontId="35" fillId="0" borderId="0" xfId="0" applyFont="1" applyAlignment="1">
      <alignment horizontal="centerContinuous"/>
    </xf>
    <xf numFmtId="0" fontId="32" fillId="0" borderId="15" xfId="3" applyNumberFormat="1" applyFont="1" applyBorder="1" applyAlignment="1">
      <alignment horizontal="left" indent="1"/>
    </xf>
    <xf numFmtId="165" fontId="32" fillId="0" borderId="0" xfId="3" applyNumberFormat="1" applyFont="1" applyBorder="1" applyAlignment="1">
      <alignment horizontal="right"/>
    </xf>
    <xf numFmtId="165" fontId="32" fillId="0" borderId="7" xfId="3" applyNumberFormat="1" applyFont="1" applyBorder="1" applyAlignment="1">
      <alignment horizontal="right"/>
    </xf>
    <xf numFmtId="169" fontId="7" fillId="0" borderId="0" xfId="3" applyNumberFormat="1" applyFont="1" applyBorder="1" applyAlignment="1">
      <alignment horizontal="right"/>
    </xf>
    <xf numFmtId="169" fontId="32" fillId="0" borderId="0" xfId="3" applyNumberFormat="1" applyFont="1" applyBorder="1" applyAlignment="1">
      <alignment horizontal="right"/>
    </xf>
    <xf numFmtId="169" fontId="13" fillId="0" borderId="0" xfId="3" applyNumberFormat="1" applyFont="1" applyBorder="1" applyAlignment="1">
      <alignment horizontal="right"/>
    </xf>
    <xf numFmtId="164" fontId="29" fillId="0" borderId="0" xfId="0" applyNumberFormat="1" applyFont="1" applyAlignment="1">
      <alignment horizontal="center"/>
    </xf>
    <xf numFmtId="165" fontId="34" fillId="0" borderId="16" xfId="3" applyNumberFormat="1" applyFont="1" applyBorder="1"/>
    <xf numFmtId="165" fontId="34" fillId="0" borderId="17" xfId="3" applyNumberFormat="1" applyFont="1" applyBorder="1"/>
    <xf numFmtId="167" fontId="39" fillId="0" borderId="11" xfId="1" applyNumberFormat="1" applyFont="1" applyBorder="1"/>
    <xf numFmtId="167" fontId="34" fillId="0" borderId="11" xfId="3" applyNumberFormat="1" applyFont="1" applyBorder="1"/>
    <xf numFmtId="167" fontId="39" fillId="0" borderId="11" xfId="3" applyNumberFormat="1" applyFont="1" applyBorder="1"/>
    <xf numFmtId="167" fontId="34" fillId="0" borderId="10" xfId="3" applyNumberFormat="1" applyFont="1" applyBorder="1"/>
    <xf numFmtId="167" fontId="34" fillId="0" borderId="11" xfId="1" applyNumberFormat="1" applyFont="1" applyBorder="1"/>
    <xf numFmtId="167" fontId="34" fillId="0" borderId="11" xfId="3" applyNumberFormat="1" applyFont="1" applyFill="1" applyBorder="1"/>
    <xf numFmtId="0" fontId="38" fillId="0" borderId="11" xfId="0" applyFont="1" applyBorder="1"/>
    <xf numFmtId="37" fontId="108" fillId="0" borderId="0" xfId="1" applyNumberFormat="1" applyFont="1" applyFill="1" applyBorder="1"/>
    <xf numFmtId="177" fontId="6" fillId="0" borderId="14" xfId="23" applyNumberFormat="1" applyFont="1" applyBorder="1"/>
    <xf numFmtId="177" fontId="6" fillId="0" borderId="15" xfId="23" applyNumberFormat="1" applyFont="1" applyBorder="1"/>
    <xf numFmtId="3" fontId="8" fillId="0" borderId="15" xfId="23" applyNumberFormat="1" applyFont="1" applyBorder="1"/>
    <xf numFmtId="177" fontId="8" fillId="0" borderId="14" xfId="23" applyNumberFormat="1" applyFont="1" applyBorder="1"/>
    <xf numFmtId="177" fontId="8" fillId="0" borderId="15" xfId="23" applyNumberFormat="1" applyFont="1" applyBorder="1"/>
    <xf numFmtId="9" fontId="59" fillId="0" borderId="14" xfId="7" applyFont="1" applyFill="1" applyBorder="1" applyAlignment="1">
      <alignment horizontal="right"/>
    </xf>
    <xf numFmtId="9" fontId="59" fillId="0" borderId="15" xfId="7" applyFont="1" applyFill="1" applyBorder="1" applyAlignment="1">
      <alignment horizontal="right"/>
    </xf>
    <xf numFmtId="9" fontId="107" fillId="0" borderId="15" xfId="7" applyFont="1" applyFill="1" applyBorder="1" applyAlignment="1">
      <alignment horizontal="right"/>
    </xf>
    <xf numFmtId="9" fontId="107" fillId="0" borderId="11" xfId="7" applyFont="1" applyFill="1" applyBorder="1" applyAlignment="1">
      <alignment horizontal="right"/>
    </xf>
    <xf numFmtId="9" fontId="107" fillId="0" borderId="17" xfId="7" applyFont="1" applyFill="1" applyBorder="1" applyAlignment="1">
      <alignment horizontal="right"/>
    </xf>
    <xf numFmtId="9" fontId="59" fillId="0" borderId="15" xfId="23" applyNumberFormat="1" applyFont="1" applyBorder="1"/>
    <xf numFmtId="9" fontId="59" fillId="0" borderId="17" xfId="23" applyNumberFormat="1" applyFont="1" applyBorder="1"/>
    <xf numFmtId="9" fontId="6" fillId="0" borderId="0" xfId="3" applyFont="1" applyFill="1" applyBorder="1"/>
    <xf numFmtId="9" fontId="6" fillId="0" borderId="15" xfId="3" applyFont="1" applyFill="1" applyBorder="1"/>
    <xf numFmtId="177" fontId="8" fillId="0" borderId="0" xfId="23" applyNumberFormat="1" applyFont="1" applyAlignment="1">
      <alignment horizontal="right"/>
    </xf>
    <xf numFmtId="177" fontId="8" fillId="0" borderId="15" xfId="23" applyNumberFormat="1" applyFont="1" applyBorder="1" applyAlignment="1">
      <alignment horizontal="right"/>
    </xf>
    <xf numFmtId="9" fontId="18" fillId="0" borderId="0" xfId="7" applyFont="1" applyFill="1" applyBorder="1" applyAlignment="1">
      <alignment horizontal="right"/>
    </xf>
    <xf numFmtId="9" fontId="18" fillId="0" borderId="15" xfId="7" applyFont="1" applyFill="1" applyBorder="1" applyAlignment="1">
      <alignment horizontal="right"/>
    </xf>
    <xf numFmtId="0" fontId="2" fillId="2" borderId="2" xfId="23" applyFont="1" applyFill="1" applyBorder="1" applyAlignment="1">
      <alignment horizontal="right"/>
    </xf>
    <xf numFmtId="0" fontId="2" fillId="2" borderId="18" xfId="23" applyFont="1" applyFill="1" applyBorder="1" applyAlignment="1">
      <alignment horizontal="right"/>
    </xf>
    <xf numFmtId="172" fontId="59" fillId="13" borderId="11" xfId="7" applyNumberFormat="1" applyFont="1" applyFill="1" applyBorder="1" applyAlignment="1">
      <alignment horizontal="right"/>
    </xf>
    <xf numFmtId="165" fontId="32" fillId="0" borderId="15" xfId="3" applyNumberFormat="1" applyFont="1" applyBorder="1" applyAlignment="1">
      <alignment horizontal="left" indent="1"/>
    </xf>
    <xf numFmtId="164" fontId="6" fillId="0" borderId="22" xfId="1" applyNumberFormat="1" applyFont="1" applyBorder="1"/>
    <xf numFmtId="181" fontId="8" fillId="0" borderId="0" xfId="23" applyNumberFormat="1" applyFont="1"/>
    <xf numFmtId="0" fontId="85" fillId="0" borderId="0" xfId="0" applyFont="1" applyAlignment="1">
      <alignment wrapText="1"/>
    </xf>
    <xf numFmtId="0" fontId="47" fillId="9" borderId="0" xfId="0" applyFont="1" applyFill="1" applyAlignment="1">
      <alignment horizontal="center"/>
    </xf>
    <xf numFmtId="0" fontId="106" fillId="2" borderId="1" xfId="23" applyFont="1" applyFill="1" applyBorder="1" applyAlignment="1">
      <alignment horizontal="left"/>
    </xf>
    <xf numFmtId="0" fontId="106" fillId="2" borderId="39" xfId="23" applyFont="1" applyFill="1" applyBorder="1" applyAlignment="1">
      <alignment horizontal="left"/>
    </xf>
    <xf numFmtId="0" fontId="106" fillId="2" borderId="18" xfId="23" applyFont="1" applyFill="1" applyBorder="1" applyAlignment="1">
      <alignment horizontal="left"/>
    </xf>
  </cellXfs>
  <cellStyles count="24">
    <cellStyle name="Comma" xfId="1" builtinId="3"/>
    <cellStyle name="Comma 2 2 2" xfId="14" xr:uid="{BF62419C-17A4-4B62-A84C-A4F71E602622}"/>
    <cellStyle name="Comma 2 3" xfId="6" xr:uid="{CC473FB2-3F99-49B7-8775-DE1DE9998FE5}"/>
    <cellStyle name="Comma_EMC072000" xfId="19" xr:uid="{082ABC2C-97EC-47CA-989C-CF53ADFFD40F}"/>
    <cellStyle name="Currency" xfId="2" builtinId="4"/>
    <cellStyle name="Currency 2" xfId="13" xr:uid="{DA16F2C4-8FB5-4697-AC79-FE96B21E374A}"/>
    <cellStyle name="Currency 3" xfId="4" xr:uid="{BD2B3B58-B2BF-4C56-9921-0116FF9469DC}"/>
    <cellStyle name="Currency_Cognex 4.17.07" xfId="20" xr:uid="{FFA55337-51D6-480A-903E-F09DE36E6611}"/>
    <cellStyle name="Hyperlink 2" xfId="18" xr:uid="{022BAAF1-E6D4-4621-BE80-815133058749}"/>
    <cellStyle name="Normal" xfId="0" builtinId="0"/>
    <cellStyle name="Normal 10 2 4" xfId="9" xr:uid="{224A7B97-DED1-4064-BBDB-F19571BA0505}"/>
    <cellStyle name="Normal 11" xfId="10" xr:uid="{DC645A74-32C7-46A9-A871-5174E433611B}"/>
    <cellStyle name="Normal 16" xfId="5" xr:uid="{4A79833F-B725-40A6-A170-387A48C1712A}"/>
    <cellStyle name="Normal 17" xfId="8" xr:uid="{0C7773FD-C841-450A-815E-35CEA4B80A60}"/>
    <cellStyle name="Normal 2" xfId="23" xr:uid="{93EAC72B-14A5-4851-94F8-022EB38EBE30}"/>
    <cellStyle name="Normal 2 2" xfId="11" xr:uid="{F25C62C0-A1F3-4B39-891A-553CA66AFC02}"/>
    <cellStyle name="Normal 2 2 3" xfId="16" xr:uid="{78CF5B30-7A78-41FF-9C0C-D731EF3C3A82}"/>
    <cellStyle name="Normal 3 2" xfId="21" xr:uid="{26D85526-68AD-4490-B770-F10AC7BA9FCB}"/>
    <cellStyle name="Normal 7" xfId="22" xr:uid="{DA7074E6-3EB5-49D4-8055-539F2339881C}"/>
    <cellStyle name="Normal_Cognex 4.17.07" xfId="15" xr:uid="{AAF1D4D2-E7A0-449F-845F-4A248BEA6A91}"/>
    <cellStyle name="Normal_EMC072000" xfId="17" xr:uid="{8A6B1682-FEE0-4066-B55F-C1D23FE6A935}"/>
    <cellStyle name="Normal_GIGM test" xfId="12" xr:uid="{70E2C1E0-8529-413B-9DB4-E6740D729FA3}"/>
    <cellStyle name="Percent" xfId="3" builtinId="5"/>
    <cellStyle name="Percent 2 2" xfId="7" xr:uid="{2F9E19EF-9544-4934-9F0C-A6077EDEBD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IS!$J$141:$V$141</c:f>
              <c:strCache>
                <c:ptCount val="2"/>
                <c:pt idx="0">
                  <c:v>3Q20E</c:v>
                </c:pt>
                <c:pt idx="1">
                  <c:v>4Q21E</c:v>
                </c:pt>
              </c:strCache>
            </c:strRef>
          </c:cat>
          <c:val>
            <c:numRef>
              <c:f>IS!$J$143:$V$143</c:f>
              <c:numCache>
                <c:formatCode>_(* #,##0.00_);_(* \(#,##0.00\);_(* "-"??_);_(@_)</c:formatCode>
                <c:ptCount val="2"/>
                <c:pt idx="0">
                  <c:v>0</c:v>
                </c:pt>
                <c:pt idx="1">
                  <c:v>0</c:v>
                </c:pt>
              </c:numCache>
            </c:numRef>
          </c:val>
          <c:extLst>
            <c:ext xmlns:c16="http://schemas.microsoft.com/office/drawing/2014/chart" uri="{C3380CC4-5D6E-409C-BE32-E72D297353CC}">
              <c16:uniqueId val="{00000000-C4E5-4AE2-B48C-2E7022C42E1F}"/>
            </c:ext>
          </c:extLst>
        </c:ser>
        <c:dLbls>
          <c:showLegendKey val="0"/>
          <c:showVal val="0"/>
          <c:showCatName val="0"/>
          <c:showSerName val="0"/>
          <c:showPercent val="0"/>
          <c:showBubbleSize val="0"/>
        </c:dLbls>
        <c:gapWidth val="219"/>
        <c:overlap val="-27"/>
        <c:axId val="-673297840"/>
        <c:axId val="-673295120"/>
      </c:barChart>
      <c:catAx>
        <c:axId val="-67329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95120"/>
        <c:crosses val="autoZero"/>
        <c:auto val="1"/>
        <c:lblAlgn val="ctr"/>
        <c:lblOffset val="100"/>
        <c:noMultiLvlLbl val="0"/>
      </c:catAx>
      <c:valAx>
        <c:axId val="-673295120"/>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978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Graph!$B$4</c:f>
              <c:strCache>
                <c:ptCount val="1"/>
                <c:pt idx="0">
                  <c:v>AP/AR</c:v>
                </c:pt>
              </c:strCache>
            </c:strRef>
          </c:tx>
          <c:spPr>
            <a:solidFill>
              <a:srgbClr val="002060"/>
            </a:solidFill>
            <a:ln>
              <a:noFill/>
            </a:ln>
            <a:effectLst/>
          </c:spPr>
          <c:invertIfNegative val="0"/>
          <c:cat>
            <c:strRef>
              <c:f>Graph!$C$3:$P$3</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Graph!$C$4:$P$4</c:f>
              <c:numCache>
                <c:formatCode>#,##0</c:formatCode>
                <c:ptCount val="14"/>
                <c:pt idx="0">
                  <c:v>5100</c:v>
                </c:pt>
                <c:pt idx="1">
                  <c:v>3500</c:v>
                </c:pt>
                <c:pt idx="2">
                  <c:v>3700</c:v>
                </c:pt>
                <c:pt idx="3">
                  <c:v>5300</c:v>
                </c:pt>
                <c:pt idx="4">
                  <c:v>3700</c:v>
                </c:pt>
                <c:pt idx="5">
                  <c:v>100</c:v>
                </c:pt>
                <c:pt idx="6">
                  <c:v>3500</c:v>
                </c:pt>
                <c:pt idx="7">
                  <c:v>4500</c:v>
                </c:pt>
                <c:pt idx="8">
                  <c:v>4900</c:v>
                </c:pt>
                <c:pt idx="9">
                  <c:v>4500</c:v>
                </c:pt>
                <c:pt idx="10">
                  <c:v>4200</c:v>
                </c:pt>
                <c:pt idx="11">
                  <c:v>4700</c:v>
                </c:pt>
                <c:pt idx="12">
                  <c:v>4000</c:v>
                </c:pt>
                <c:pt idx="13">
                  <c:v>4000</c:v>
                </c:pt>
              </c:numCache>
            </c:numRef>
          </c:val>
          <c:extLst>
            <c:ext xmlns:c16="http://schemas.microsoft.com/office/drawing/2014/chart" uri="{C3380CC4-5D6E-409C-BE32-E72D297353CC}">
              <c16:uniqueId val="{00000000-6EEE-4DB0-9DCB-562518A288A1}"/>
            </c:ext>
          </c:extLst>
        </c:ser>
        <c:ser>
          <c:idx val="1"/>
          <c:order val="1"/>
          <c:tx>
            <c:strRef>
              <c:f>Graph!$B$5</c:f>
              <c:strCache>
                <c:ptCount val="1"/>
                <c:pt idx="0">
                  <c:v>Spend &amp; Expense</c:v>
                </c:pt>
              </c:strCache>
            </c:strRef>
          </c:tx>
          <c:spPr>
            <a:solidFill>
              <a:srgbClr val="0070C0"/>
            </a:solidFill>
            <a:ln>
              <a:noFill/>
            </a:ln>
            <a:effectLst/>
          </c:spPr>
          <c:invertIfNegative val="0"/>
          <c:cat>
            <c:strRef>
              <c:f>Graph!$C$3:$P$3</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Graph!$C$5:$P$5</c:f>
              <c:numCache>
                <c:formatCode>#,##0</c:formatCode>
                <c:ptCount val="14"/>
                <c:pt idx="0">
                  <c:v>2100</c:v>
                </c:pt>
                <c:pt idx="1">
                  <c:v>1900</c:v>
                </c:pt>
                <c:pt idx="2">
                  <c:v>2400</c:v>
                </c:pt>
                <c:pt idx="3">
                  <c:v>2100</c:v>
                </c:pt>
                <c:pt idx="4">
                  <c:v>1500</c:v>
                </c:pt>
                <c:pt idx="5">
                  <c:v>900</c:v>
                </c:pt>
                <c:pt idx="6">
                  <c:v>1900</c:v>
                </c:pt>
                <c:pt idx="7">
                  <c:v>1300</c:v>
                </c:pt>
                <c:pt idx="8">
                  <c:v>1600</c:v>
                </c:pt>
                <c:pt idx="9">
                  <c:v>1400</c:v>
                </c:pt>
                <c:pt idx="10">
                  <c:v>1700</c:v>
                </c:pt>
                <c:pt idx="11">
                  <c:v>1600</c:v>
                </c:pt>
                <c:pt idx="12">
                  <c:v>1400</c:v>
                </c:pt>
                <c:pt idx="13">
                  <c:v>1500</c:v>
                </c:pt>
              </c:numCache>
            </c:numRef>
          </c:val>
          <c:extLst>
            <c:ext xmlns:c16="http://schemas.microsoft.com/office/drawing/2014/chart" uri="{C3380CC4-5D6E-409C-BE32-E72D297353CC}">
              <c16:uniqueId val="{00000001-6EEE-4DB0-9DCB-562518A288A1}"/>
            </c:ext>
          </c:extLst>
        </c:ser>
        <c:dLbls>
          <c:showLegendKey val="0"/>
          <c:showVal val="0"/>
          <c:showCatName val="0"/>
          <c:showSerName val="0"/>
          <c:showPercent val="0"/>
          <c:showBubbleSize val="0"/>
        </c:dLbls>
        <c:gapWidth val="219"/>
        <c:overlap val="-27"/>
        <c:axId val="731121615"/>
        <c:axId val="1022924639"/>
      </c:barChart>
      <c:catAx>
        <c:axId val="73112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924639"/>
        <c:crosses val="autoZero"/>
        <c:auto val="1"/>
        <c:lblAlgn val="ctr"/>
        <c:lblOffset val="100"/>
        <c:noMultiLvlLbl val="0"/>
      </c:catAx>
      <c:valAx>
        <c:axId val="1022924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21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Graph!$B$25</c:f>
              <c:strCache>
                <c:ptCount val="1"/>
                <c:pt idx="0">
                  <c:v>AP/AR</c:v>
                </c:pt>
              </c:strCache>
            </c:strRef>
          </c:tx>
          <c:spPr>
            <a:ln w="28575" cap="rnd">
              <a:solidFill>
                <a:srgbClr val="002060"/>
              </a:solidFill>
              <a:round/>
            </a:ln>
            <a:effectLst/>
          </c:spPr>
          <c:marker>
            <c:symbol val="none"/>
          </c:marker>
          <c:cat>
            <c:strRef>
              <c:f>Graph!$C$24:$P$24</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Graph!$C$25:$P$25</c:f>
              <c:numCache>
                <c:formatCode>#,##0.0</c:formatCode>
                <c:ptCount val="14"/>
                <c:pt idx="0">
                  <c:v>13.572710951526032</c:v>
                </c:pt>
                <c:pt idx="1">
                  <c:v>13.843478260869565</c:v>
                </c:pt>
                <c:pt idx="2">
                  <c:v>14.981818181818182</c:v>
                </c:pt>
                <c:pt idx="3">
                  <c:v>15.209380234505861</c:v>
                </c:pt>
                <c:pt idx="4">
                  <c:v>15.553719008264464</c:v>
                </c:pt>
                <c:pt idx="5">
                  <c:v>15.232198142414861</c:v>
                </c:pt>
                <c:pt idx="6">
                  <c:v>16.157635467980295</c:v>
                </c:pt>
                <c:pt idx="7">
                  <c:v>16.086956521739129</c:v>
                </c:pt>
                <c:pt idx="8">
                  <c:v>16.12348596750369</c:v>
                </c:pt>
                <c:pt idx="9">
                  <c:v>15.624756606397773</c:v>
                </c:pt>
                <c:pt idx="10">
                  <c:v>16.229446935724962</c:v>
                </c:pt>
                <c:pt idx="11">
                  <c:v>16.484000000000002</c:v>
                </c:pt>
                <c:pt idx="12">
                  <c:v>16.398393574297188</c:v>
                </c:pt>
                <c:pt idx="13">
                  <c:v>16.0360450563204</c:v>
                </c:pt>
              </c:numCache>
            </c:numRef>
          </c:val>
          <c:smooth val="0"/>
          <c:extLst>
            <c:ext xmlns:c16="http://schemas.microsoft.com/office/drawing/2014/chart" uri="{C3380CC4-5D6E-409C-BE32-E72D297353CC}">
              <c16:uniqueId val="{00000000-9B17-4A53-8138-8697BCC55862}"/>
            </c:ext>
          </c:extLst>
        </c:ser>
        <c:dLbls>
          <c:showLegendKey val="0"/>
          <c:showVal val="0"/>
          <c:showCatName val="0"/>
          <c:showSerName val="0"/>
          <c:showPercent val="0"/>
          <c:showBubbleSize val="0"/>
        </c:dLbls>
        <c:marker val="1"/>
        <c:smooth val="0"/>
        <c:axId val="1780252815"/>
        <c:axId val="1435928895"/>
      </c:lineChart>
      <c:lineChart>
        <c:grouping val="standard"/>
        <c:varyColors val="0"/>
        <c:ser>
          <c:idx val="1"/>
          <c:order val="1"/>
          <c:tx>
            <c:strRef>
              <c:f>Graph!$B$26</c:f>
              <c:strCache>
                <c:ptCount val="1"/>
                <c:pt idx="0">
                  <c:v>Spend &amp; Expense</c:v>
                </c:pt>
              </c:strCache>
            </c:strRef>
          </c:tx>
          <c:spPr>
            <a:ln w="28575" cap="rnd">
              <a:solidFill>
                <a:srgbClr val="0070C0"/>
              </a:solidFill>
              <a:round/>
            </a:ln>
            <a:effectLst/>
          </c:spPr>
          <c:marker>
            <c:symbol val="none"/>
          </c:marker>
          <c:cat>
            <c:strRef>
              <c:f>Graph!$C$24:$P$24</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Graph!$C$26:$P$26</c:f>
              <c:numCache>
                <c:formatCode>#,##0.0</c:formatCode>
                <c:ptCount val="14"/>
                <c:pt idx="0">
                  <c:v>260</c:v>
                </c:pt>
                <c:pt idx="1">
                  <c:v>262.42424242424244</c:v>
                </c:pt>
                <c:pt idx="2">
                  <c:v>260.58823529411768</c:v>
                </c:pt>
                <c:pt idx="3">
                  <c:v>262.89473684210526</c:v>
                </c:pt>
                <c:pt idx="4">
                  <c:v>265.25</c:v>
                </c:pt>
                <c:pt idx="5">
                  <c:v>263.33333333333331</c:v>
                </c:pt>
                <c:pt idx="6">
                  <c:v>259.77272727272725</c:v>
                </c:pt>
                <c:pt idx="7">
                  <c:v>263.33333333333337</c:v>
                </c:pt>
                <c:pt idx="8">
                  <c:v>260.00784313725495</c:v>
                </c:pt>
                <c:pt idx="9">
                  <c:v>257.40961538461539</c:v>
                </c:pt>
                <c:pt idx="10">
                  <c:v>260.20377358490566</c:v>
                </c:pt>
                <c:pt idx="11">
                  <c:v>255.34067796610168</c:v>
                </c:pt>
                <c:pt idx="12">
                  <c:v>253.68709677419352</c:v>
                </c:pt>
                <c:pt idx="13">
                  <c:v>256.15384615384619</c:v>
                </c:pt>
              </c:numCache>
            </c:numRef>
          </c:val>
          <c:smooth val="0"/>
          <c:extLst>
            <c:ext xmlns:c16="http://schemas.microsoft.com/office/drawing/2014/chart" uri="{C3380CC4-5D6E-409C-BE32-E72D297353CC}">
              <c16:uniqueId val="{00000001-9B17-4A53-8138-8697BCC55862}"/>
            </c:ext>
          </c:extLst>
        </c:ser>
        <c:dLbls>
          <c:showLegendKey val="0"/>
          <c:showVal val="0"/>
          <c:showCatName val="0"/>
          <c:showSerName val="0"/>
          <c:showPercent val="0"/>
          <c:showBubbleSize val="0"/>
        </c:dLbls>
        <c:marker val="1"/>
        <c:smooth val="0"/>
        <c:axId val="1759216879"/>
        <c:axId val="1778852943"/>
      </c:lineChart>
      <c:catAx>
        <c:axId val="178025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928895"/>
        <c:crosses val="autoZero"/>
        <c:auto val="1"/>
        <c:lblAlgn val="ctr"/>
        <c:lblOffset val="100"/>
        <c:noMultiLvlLbl val="0"/>
      </c:catAx>
      <c:valAx>
        <c:axId val="1435928895"/>
        <c:scaling>
          <c:orientation val="minMax"/>
          <c:min val="1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AP/AR</a:t>
                </a:r>
                <a:r>
                  <a:rPr lang="en-US" baseline="0"/>
                  <a:t> Take Rate (bps)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252815"/>
        <c:crosses val="autoZero"/>
        <c:crossBetween val="between"/>
      </c:valAx>
      <c:valAx>
        <c:axId val="177885294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Spend &amp; Expense Take</a:t>
                </a:r>
                <a:r>
                  <a:rPr lang="en-US" baseline="0"/>
                  <a:t> Rate (bps)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216879"/>
        <c:crosses val="max"/>
        <c:crossBetween val="between"/>
      </c:valAx>
      <c:catAx>
        <c:axId val="1759216879"/>
        <c:scaling>
          <c:orientation val="minMax"/>
        </c:scaling>
        <c:delete val="1"/>
        <c:axPos val="b"/>
        <c:numFmt formatCode="General" sourceLinked="1"/>
        <c:majorTickMark val="out"/>
        <c:minorTickMark val="none"/>
        <c:tickLblPos val="nextTo"/>
        <c:crossAx val="1778852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Graph!$B$49</c:f>
              <c:strCache>
                <c:ptCount val="1"/>
                <c:pt idx="0">
                  <c:v>AP/AR</c:v>
                </c:pt>
              </c:strCache>
            </c:strRef>
          </c:tx>
          <c:spPr>
            <a:ln w="28575" cap="rnd">
              <a:solidFill>
                <a:srgbClr val="002060"/>
              </a:solidFill>
              <a:round/>
            </a:ln>
            <a:effectLst/>
          </c:spPr>
          <c:marker>
            <c:symbol val="none"/>
          </c:marker>
          <c:cat>
            <c:strRef>
              <c:f>Graph!$C$24:$P$24</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Graph!$C$49:$P$49</c:f>
              <c:numCache>
                <c:formatCode>#,##0.0</c:formatCode>
                <c:ptCount val="14"/>
                <c:pt idx="0">
                  <c:v>55.7</c:v>
                </c:pt>
                <c:pt idx="1">
                  <c:v>57.5</c:v>
                </c:pt>
                <c:pt idx="2">
                  <c:v>55</c:v>
                </c:pt>
                <c:pt idx="3">
                  <c:v>59.7</c:v>
                </c:pt>
                <c:pt idx="4">
                  <c:v>60.5</c:v>
                </c:pt>
                <c:pt idx="5">
                  <c:v>64.599999999999994</c:v>
                </c:pt>
                <c:pt idx="6">
                  <c:v>60.9</c:v>
                </c:pt>
                <c:pt idx="7">
                  <c:v>64.400000000000006</c:v>
                </c:pt>
                <c:pt idx="8">
                  <c:v>67.7</c:v>
                </c:pt>
                <c:pt idx="9">
                  <c:v>71.900000000000006</c:v>
                </c:pt>
                <c:pt idx="10">
                  <c:v>66.900000000000006</c:v>
                </c:pt>
                <c:pt idx="11">
                  <c:v>72.5</c:v>
                </c:pt>
                <c:pt idx="12">
                  <c:v>74.7</c:v>
                </c:pt>
                <c:pt idx="13">
                  <c:v>79.900000000000006</c:v>
                </c:pt>
              </c:numCache>
            </c:numRef>
          </c:val>
          <c:smooth val="0"/>
          <c:extLst>
            <c:ext xmlns:c16="http://schemas.microsoft.com/office/drawing/2014/chart" uri="{C3380CC4-5D6E-409C-BE32-E72D297353CC}">
              <c16:uniqueId val="{00000000-E7AA-41F9-A138-292DB3254AB0}"/>
            </c:ext>
          </c:extLst>
        </c:ser>
        <c:dLbls>
          <c:showLegendKey val="0"/>
          <c:showVal val="0"/>
          <c:showCatName val="0"/>
          <c:showSerName val="0"/>
          <c:showPercent val="0"/>
          <c:showBubbleSize val="0"/>
        </c:dLbls>
        <c:marker val="1"/>
        <c:smooth val="0"/>
        <c:axId val="1780252815"/>
        <c:axId val="1435928895"/>
      </c:lineChart>
      <c:lineChart>
        <c:grouping val="standard"/>
        <c:varyColors val="0"/>
        <c:ser>
          <c:idx val="1"/>
          <c:order val="1"/>
          <c:tx>
            <c:strRef>
              <c:f>Graph!$B$50</c:f>
              <c:strCache>
                <c:ptCount val="1"/>
                <c:pt idx="0">
                  <c:v>Spend &amp; Expense</c:v>
                </c:pt>
              </c:strCache>
            </c:strRef>
          </c:tx>
          <c:spPr>
            <a:ln w="28575" cap="rnd">
              <a:solidFill>
                <a:srgbClr val="0070C0"/>
              </a:solidFill>
              <a:round/>
            </a:ln>
            <a:effectLst/>
          </c:spPr>
          <c:marker>
            <c:symbol val="none"/>
          </c:marker>
          <c:cat>
            <c:strRef>
              <c:f>Graph!$C$24:$P$24</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Graph!$C$50:$P$50</c:f>
              <c:numCache>
                <c:formatCode>#,##0.0</c:formatCode>
                <c:ptCount val="14"/>
                <c:pt idx="0">
                  <c:v>3</c:v>
                </c:pt>
                <c:pt idx="1">
                  <c:v>3.3</c:v>
                </c:pt>
                <c:pt idx="2">
                  <c:v>3.4</c:v>
                </c:pt>
                <c:pt idx="3">
                  <c:v>3.8</c:v>
                </c:pt>
                <c:pt idx="4">
                  <c:v>4</c:v>
                </c:pt>
                <c:pt idx="5">
                  <c:v>4.2</c:v>
                </c:pt>
                <c:pt idx="6">
                  <c:v>4.4000000000000004</c:v>
                </c:pt>
                <c:pt idx="7">
                  <c:v>4.8</c:v>
                </c:pt>
                <c:pt idx="8">
                  <c:v>5.0999999999999996</c:v>
                </c:pt>
                <c:pt idx="9">
                  <c:v>5.2</c:v>
                </c:pt>
                <c:pt idx="10">
                  <c:v>5.3</c:v>
                </c:pt>
                <c:pt idx="11">
                  <c:v>5.9</c:v>
                </c:pt>
                <c:pt idx="12">
                  <c:v>6.2</c:v>
                </c:pt>
                <c:pt idx="13">
                  <c:v>6.5</c:v>
                </c:pt>
              </c:numCache>
            </c:numRef>
          </c:val>
          <c:smooth val="0"/>
          <c:extLst>
            <c:ext xmlns:c16="http://schemas.microsoft.com/office/drawing/2014/chart" uri="{C3380CC4-5D6E-409C-BE32-E72D297353CC}">
              <c16:uniqueId val="{00000001-E7AA-41F9-A138-292DB3254AB0}"/>
            </c:ext>
          </c:extLst>
        </c:ser>
        <c:dLbls>
          <c:showLegendKey val="0"/>
          <c:showVal val="0"/>
          <c:showCatName val="0"/>
          <c:showSerName val="0"/>
          <c:showPercent val="0"/>
          <c:showBubbleSize val="0"/>
        </c:dLbls>
        <c:marker val="1"/>
        <c:smooth val="0"/>
        <c:axId val="1759216879"/>
        <c:axId val="1778852943"/>
      </c:lineChart>
      <c:catAx>
        <c:axId val="178025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928895"/>
        <c:crosses val="autoZero"/>
        <c:auto val="1"/>
        <c:lblAlgn val="ctr"/>
        <c:lblOffset val="100"/>
        <c:noMultiLvlLbl val="0"/>
      </c:catAx>
      <c:valAx>
        <c:axId val="143592889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AP/AR</a:t>
                </a:r>
                <a:r>
                  <a:rPr lang="en-US" baseline="0"/>
                  <a:t> TPV ($bb)</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252815"/>
        <c:crosses val="autoZero"/>
        <c:crossBetween val="between"/>
      </c:valAx>
      <c:valAx>
        <c:axId val="177885294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Spend &amp; Expense TPV</a:t>
                </a:r>
                <a:r>
                  <a:rPr lang="en-US" baseline="0"/>
                  <a:t> ($bb)</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216879"/>
        <c:crosses val="max"/>
        <c:crossBetween val="between"/>
      </c:valAx>
      <c:catAx>
        <c:axId val="1759216879"/>
        <c:scaling>
          <c:orientation val="minMax"/>
        </c:scaling>
        <c:delete val="1"/>
        <c:axPos val="b"/>
        <c:numFmt formatCode="General" sourceLinked="1"/>
        <c:majorTickMark val="out"/>
        <c:minorTickMark val="none"/>
        <c:tickLblPos val="nextTo"/>
        <c:crossAx val="1778852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'Old IS'!$J$148:$V$148</c:f>
              <c:strCache>
                <c:ptCount val="13"/>
                <c:pt idx="0">
                  <c:v>4Q19</c:v>
                </c:pt>
                <c:pt idx="1">
                  <c:v>1Q20</c:v>
                </c:pt>
                <c:pt idx="2">
                  <c:v>2Q20E</c:v>
                </c:pt>
                <c:pt idx="3">
                  <c:v>3Q20E</c:v>
                </c:pt>
                <c:pt idx="4">
                  <c:v>4Q20E</c:v>
                </c:pt>
                <c:pt idx="5">
                  <c:v>1Q21E</c:v>
                </c:pt>
                <c:pt idx="6">
                  <c:v>2Q21E</c:v>
                </c:pt>
                <c:pt idx="7">
                  <c:v>3Q21E</c:v>
                </c:pt>
                <c:pt idx="8">
                  <c:v>4Q21E</c:v>
                </c:pt>
                <c:pt idx="9">
                  <c:v>1Q22E</c:v>
                </c:pt>
                <c:pt idx="10">
                  <c:v>2Q22E</c:v>
                </c:pt>
                <c:pt idx="11">
                  <c:v>3Q22E</c:v>
                </c:pt>
                <c:pt idx="12">
                  <c:v>4Q22E</c:v>
                </c:pt>
              </c:strCache>
            </c:strRef>
          </c:cat>
          <c:val>
            <c:numRef>
              <c:f>'Old IS'!$J$150:$V$150</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8BAF-46A0-85B8-2E383B06ECF3}"/>
            </c:ext>
          </c:extLst>
        </c:ser>
        <c:dLbls>
          <c:showLegendKey val="0"/>
          <c:showVal val="0"/>
          <c:showCatName val="0"/>
          <c:showSerName val="0"/>
          <c:showPercent val="0"/>
          <c:showBubbleSize val="0"/>
        </c:dLbls>
        <c:gapWidth val="219"/>
        <c:overlap val="-27"/>
        <c:axId val="-673297840"/>
        <c:axId val="-673295120"/>
      </c:barChart>
      <c:catAx>
        <c:axId val="-67329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95120"/>
        <c:crosses val="autoZero"/>
        <c:auto val="1"/>
        <c:lblAlgn val="ctr"/>
        <c:lblOffset val="100"/>
        <c:noMultiLvlLbl val="0"/>
      </c:catAx>
      <c:valAx>
        <c:axId val="-673295120"/>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978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195262</xdr:colOff>
      <xdr:row>144</xdr:row>
      <xdr:rowOff>138112</xdr:rowOff>
    </xdr:from>
    <xdr:to>
      <xdr:col>19</xdr:col>
      <xdr:colOff>71437</xdr:colOff>
      <xdr:row>161</xdr:row>
      <xdr:rowOff>128587</xdr:rowOff>
    </xdr:to>
    <xdr:graphicFrame macro="">
      <xdr:nvGraphicFramePr>
        <xdr:cNvPr id="2" name="Chart 1">
          <a:extLst>
            <a:ext uri="{FF2B5EF4-FFF2-40B4-BE49-F238E27FC236}">
              <a16:creationId xmlns:a16="http://schemas.microsoft.com/office/drawing/2014/main" id="{EA647664-162A-48A6-8E6F-156C17161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63500</xdr:colOff>
      <xdr:row>7</xdr:row>
      <xdr:rowOff>73025</xdr:rowOff>
    </xdr:from>
    <xdr:to>
      <xdr:col>11</xdr:col>
      <xdr:colOff>368300</xdr:colOff>
      <xdr:row>22</xdr:row>
      <xdr:rowOff>53975</xdr:rowOff>
    </xdr:to>
    <xdr:graphicFrame macro="">
      <xdr:nvGraphicFramePr>
        <xdr:cNvPr id="2" name="Chart 1">
          <a:extLst>
            <a:ext uri="{FF2B5EF4-FFF2-40B4-BE49-F238E27FC236}">
              <a16:creationId xmlns:a16="http://schemas.microsoft.com/office/drawing/2014/main" id="{5E93810A-371C-4761-91FB-E887E7E31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26</xdr:row>
      <xdr:rowOff>133350</xdr:rowOff>
    </xdr:from>
    <xdr:to>
      <xdr:col>11</xdr:col>
      <xdr:colOff>260350</xdr:colOff>
      <xdr:row>46</xdr:row>
      <xdr:rowOff>120650</xdr:rowOff>
    </xdr:to>
    <xdr:graphicFrame macro="">
      <xdr:nvGraphicFramePr>
        <xdr:cNvPr id="4" name="Chart 3">
          <a:extLst>
            <a:ext uri="{FF2B5EF4-FFF2-40B4-BE49-F238E27FC236}">
              <a16:creationId xmlns:a16="http://schemas.microsoft.com/office/drawing/2014/main" id="{366BFCBA-8AE3-432C-A2EA-170BB85F4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54</xdr:row>
      <xdr:rowOff>0</xdr:rowOff>
    </xdr:from>
    <xdr:to>
      <xdr:col>11</xdr:col>
      <xdr:colOff>565150</xdr:colOff>
      <xdr:row>73</xdr:row>
      <xdr:rowOff>171450</xdr:rowOff>
    </xdr:to>
    <xdr:graphicFrame macro="">
      <xdr:nvGraphicFramePr>
        <xdr:cNvPr id="6" name="Chart 5">
          <a:extLst>
            <a:ext uri="{FF2B5EF4-FFF2-40B4-BE49-F238E27FC236}">
              <a16:creationId xmlns:a16="http://schemas.microsoft.com/office/drawing/2014/main" id="{00381811-07EB-4DCC-A5FA-5CD5B175B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195262</xdr:colOff>
      <xdr:row>151</xdr:row>
      <xdr:rowOff>138112</xdr:rowOff>
    </xdr:from>
    <xdr:to>
      <xdr:col>19</xdr:col>
      <xdr:colOff>71437</xdr:colOff>
      <xdr:row>168</xdr:row>
      <xdr:rowOff>128587</xdr:rowOff>
    </xdr:to>
    <xdr:graphicFrame macro="">
      <xdr:nvGraphicFramePr>
        <xdr:cNvPr id="2" name="Chart 1">
          <a:extLst>
            <a:ext uri="{FF2B5EF4-FFF2-40B4-BE49-F238E27FC236}">
              <a16:creationId xmlns:a16="http://schemas.microsoft.com/office/drawing/2014/main" id="{B8835576-4483-43AB-98ED-9A532AECE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123\Plan2001\FSSEP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123\FORECAST\2001\WeeklyCashFlo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zetacorporate-my.sharepoint.com/Accounting/Corporate%20Accountant/CSF's/AgriStats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zetacorporate-my.sharepoint.com/Accounting/Finance/FY%202004/Month%20End/1004%20Oct/0410FI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123\Plan2001\BUDG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24604640\Shipping%20data%20by%20country_MM_updated%20by%20K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TERRACO\SYS\EXCEL\YEAR\ACCO197.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Monthly%20Telco%20Expense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yc01fs01\Finance\Users\rbarnette\Library\Caches\TemporaryItems\Outlook%20Temp\Reuibd01\ibdshare2\corpfin\EMPLOYEE\Frazzo\Projects\French%20M&amp;A\Decaux\Update%20Valo%2019%2006%2000\Valuation%20Model%20Decaux%2019%2006%2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SSBexempt2001%20%20%20%20%20%20%20%20%20%20%20%20%20%20%20%20%20%20%20%20%20%20%20%20%20%20%20%20note%20asked%20need%20mgmt%20reoprt%20&amp;%201099%20may%20be.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U"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Documents%20and%20Settings\bbukhar\Local%20Settings\Temporary%20Internet%20Files\OLK1B5\Res\Transfer\Schneider\PVF\Economic%20&amp;%20Industry%20Dat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Documents%20and%20Settings\jkaplan\Local%20Settings\Temporary%20Internet%20Files\OLKC7\CB%20Consumer%20Confidence.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2010CommissionPlans-Final2xl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K:\HOME\research\GOLDRES\MODELS\GLG\GLAMIS_Q2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EARNING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zetacorporate-my.sharepoint.com/Volumes/dept/Finance/Accounting/Close_Process/Journal%20Entries/2013/2013-05%20May/FB-US-640-Accrual%20-%20Partnerships%20and%20Platform%20Marketing.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Defer%20Revenue%20Dec-01V2.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7131%20Nonemployee%20Stock%20Option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C)%207115%20Stock%20Options%20Testing%20&amp;%20Disclosure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51228;&#54408;&#483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MENU"/>
      <sheetName val="TECH AID"/>
      <sheetName val="TAC STAFFING SERVICES"/>
      <sheetName val="TAC AUTO"/>
      <sheetName val="EDP TEMPS"/>
      <sheetName val="TAC ENGIN. RES."/>
      <sheetName val="THIRD PARTY"/>
      <sheetName val="TAC NATIONWIDE"/>
      <sheetName val="TAC ENTERT."/>
      <sheetName val="INTL"/>
      <sheetName val="SMD"/>
      <sheetName val="TOTAL CORP."/>
      <sheetName val="PAV"/>
      <sheetName val="AREA SALES"/>
      <sheetName val="TOTAL FEE (2)"/>
      <sheetName val="SMD FEE (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 (2)"/>
      <sheetName val="Sheet1"/>
      <sheetName val="Fleet Debits"/>
      <sheetName val="wells fargo"/>
      <sheetName val="Wires"/>
      <sheetName val="Interrest"/>
      <sheetName val="ORIG"/>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put"/>
      <sheetName val="Jan-00 New"/>
      <sheetName val="Graphs"/>
      <sheetName val="History Graphs"/>
      <sheetName val="History"/>
      <sheetName val="Sheet1"/>
      <sheetName val="Variance Sum "/>
      <sheetName val="Avg Var Sum"/>
      <sheetName val="Avg Co Report"/>
      <sheetName val="Input New"/>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BS"/>
      <sheetName val="Notes"/>
      <sheetName val="CFmthlynew"/>
      <sheetName val="CFYTD"/>
      <sheetName val="EQUITY"/>
      <sheetName val="8"/>
      <sheetName val="9&amp;10"/>
      <sheetName val="GM Analysis Draft"/>
      <sheetName val="13"/>
      <sheetName val="13a"/>
      <sheetName val="14"/>
      <sheetName val="14a"/>
      <sheetName val="15"/>
      <sheetName val="16"/>
      <sheetName val="Page 18A"/>
      <sheetName val="Page 18B"/>
      <sheetName val="Page 18C"/>
      <sheetName val="19"/>
      <sheetName val="Agri Stats"/>
      <sheetName val="12"/>
      <sheetName val="12a"/>
      <sheetName val="12b"/>
      <sheetName val="12c"/>
      <sheetName val="12d"/>
      <sheetName val="17"/>
      <sheetName val="17a"/>
      <sheetName val="17b"/>
      <sheetName val="17c"/>
      <sheetName val="CFAA"/>
      <sheetName val="icr"/>
      <sheetName val="icrdet"/>
      <sheetName val="ICRNEW"/>
      <sheetName val="BANKIS"/>
      <sheetName val="02 BANK IS SALES bud"/>
      <sheetName val="FCSinterim"/>
      <sheetName val="EBITDA AgStar"/>
      <sheetName val="EBITDA"/>
      <sheetName val="USBank-oLD"/>
      <sheetName val="USBank2004"/>
      <sheetName val="JF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MENU"/>
      <sheetName val="SALARY INPUT"/>
      <sheetName val="AUTOMATION"/>
      <sheetName val="OPERATING EXPS."/>
      <sheetName val="SUMMARY"/>
      <sheetName val="MONTHLY SALARY"/>
      <sheetName val="Oracle"/>
      <sheetName val="Module1"/>
      <sheetName val="Module2"/>
      <sheetName val="Module3"/>
      <sheetName val="Module4"/>
      <sheetName val="Module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y resul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고용BS"/>
      <sheetName val="대차대조"/>
      <sheetName val="손익계산"/>
      <sheetName val="잉 여 금"/>
      <sheetName val="제조원가"/>
      <sheetName val="시 산 표"/>
      <sheetName val="시산표(2)"/>
      <sheetName val="현금예금"/>
      <sheetName val="유가증권"/>
      <sheetName val="외상매출"/>
      <sheetName val="받을어음"/>
      <sheetName val="받을어음(2)"/>
      <sheetName val="받을어음(3)"/>
      <sheetName val="당좌자산"/>
      <sheetName val="상품수불"/>
      <sheetName val="원 재 료"/>
      <sheetName val="미 착 품"/>
      <sheetName val="기타유동"/>
      <sheetName val="투자기타"/>
      <sheetName val="유형고정"/>
      <sheetName val="지급어음"/>
      <sheetName val="유동부채"/>
      <sheetName val="고정부채"/>
      <sheetName val="자 본 금"/>
      <sheetName val="매 출 액"/>
      <sheetName val="매출원가"/>
      <sheetName val="영업외수"/>
      <sheetName val="영업외비"/>
      <sheetName val="특별이익"/>
      <sheetName val="특별손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taCom wan order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 Comps"/>
      <sheetName val="Model"/>
      <sheetName val="Graph Valo Theoretical"/>
      <sheetName val="Graph Full Value"/>
      <sheetName val="Graph Strategique"/>
      <sheetName val="Graphs EBITDA"/>
      <sheetName val="Graphs EBITDA-Capex"/>
      <sheetName val="Summary Valuation"/>
      <sheetName val="__FDSCACHE__"/>
      <sheetName val="EU Notes"/>
      <sheetName val="US Comps"/>
      <sheetName val="Notes US"/>
      <sheetName val="Historical Multiples"/>
      <sheetName val="US Deals"/>
      <sheetName val="EU Deals"/>
      <sheetName val="Assumptions"/>
      <sheetName val="Sales"/>
      <sheetName val="EBITDA"/>
      <sheetName val="Capex &amp; Depr."/>
      <sheetName val="DCF"/>
      <sheetName val="WACC"/>
      <sheetName val="Debt capacity "/>
      <sheetName val="Implied Multiples"/>
      <sheetName val="Summary Valuation ALL"/>
      <sheetName val="PV Data"/>
      <sheetName val="EU_Comps"/>
      <sheetName val="Graph_Valo_Theoretical"/>
      <sheetName val="Graph_Full_Value"/>
      <sheetName val="Graph_Strategique"/>
      <sheetName val="Graphs_EBITDA"/>
      <sheetName val="Graphs_EBITDA-Capex"/>
      <sheetName val="Summary_Valuation"/>
      <sheetName val="EU_Notes"/>
      <sheetName val="US_Comps"/>
      <sheetName val="Notes_US"/>
      <sheetName val="Historical_Multiples"/>
      <sheetName val="US_Deals"/>
      <sheetName val="EU_Deals"/>
      <sheetName val="Capex_&amp;_Depr_"/>
      <sheetName val="Debt_capacity_"/>
      <sheetName val="Implied_Multiples"/>
      <sheetName val="Summary_Valuation_ALL"/>
      <sheetName val="3. Contribution Analysis"/>
      <sheetName val="Valuation Model Decaux 19 06 00"/>
      <sheetName val="CW"/>
      <sheetName val="Master"/>
      <sheetName val="Reserves"/>
      <sheetName val="Gross Sales"/>
      <sheetName val="Interest Cover"/>
      <sheetName val="COMBINED"/>
      <sheetName val="VALSTAT"/>
      <sheetName val="MC CHRZ"/>
      <sheetName val="PPT Output"/>
      <sheetName val="Brokers"/>
      <sheetName val="Target Prices"/>
      <sheetName val="Goodwill"/>
      <sheetName val="Input"/>
      <sheetName val="#REF"/>
      <sheetName val="SVB Warrant Amort 10-23-01"/>
      <sheetName val="Details"/>
      <sheetName val="OH"/>
      <sheetName val="K1DB"/>
      <sheetName val=".2 PPV Summary"/>
      <sheetName val="SVB_Warrant_Amort_10-23-01"/>
      <sheetName val="_2_PPV_Summary"/>
      <sheetName val="Binning Q208"/>
      <sheetName val="Sheet2"/>
      <sheetName val="Cash Flow"/>
      <sheetName val="Sheet1"/>
    </sheetNames>
    <sheetDataSet>
      <sheetData sheetId="0" refreshError="1">
        <row r="326">
          <cell r="DK326" t="str">
            <v>Comparable Company Analysis</v>
          </cell>
          <cell r="FQ326" t="str">
            <v>Comparable Company Analysis</v>
          </cell>
        </row>
        <row r="328">
          <cell r="DK328" t="str">
            <v>Selected European Companies in the Outdoor Advertising Industry</v>
          </cell>
          <cell r="FQ328" t="str">
            <v>Selected European Companies in the Outdoor Advertising Industry</v>
          </cell>
        </row>
        <row r="329">
          <cell r="DK329" t="str">
            <v>(figures in Local Currency Millions except per share data)</v>
          </cell>
          <cell r="FQ329" t="str">
            <v>(figures in Local Currency Millions except per share data)</v>
          </cell>
        </row>
        <row r="330">
          <cell r="GF330" t="str">
            <v>Market Value +</v>
          </cell>
          <cell r="GV330" t="str">
            <v>Market Value as</v>
          </cell>
        </row>
        <row r="331">
          <cell r="DS331" t="str">
            <v>Latest Twelve Months</v>
          </cell>
          <cell r="FB331" t="str">
            <v>Assets</v>
          </cell>
          <cell r="FL331" t="str">
            <v>Stock</v>
          </cell>
          <cell r="FY331" t="str">
            <v>5 YR</v>
          </cell>
          <cell r="GC331" t="str">
            <v>Market</v>
          </cell>
          <cell r="GF331" t="str">
            <v>Net Debt</v>
          </cell>
          <cell r="GV331" t="str">
            <v>a Multiple of:</v>
          </cell>
        </row>
        <row r="332">
          <cell r="DO332" t="str">
            <v>LTM</v>
          </cell>
          <cell r="DQ332" t="str">
            <v>Order</v>
          </cell>
          <cell r="DU332" t="str">
            <v>EBITDA -</v>
          </cell>
          <cell r="DY332" t="str">
            <v>Free</v>
          </cell>
          <cell r="EA332" t="str">
            <v>FCF</v>
          </cell>
          <cell r="EC332" t="str">
            <v>Gross</v>
          </cell>
          <cell r="EE332" t="str">
            <v xml:space="preserve">Gross </v>
          </cell>
          <cell r="EI332" t="str">
            <v>EBITDA</v>
          </cell>
          <cell r="EM332" t="str">
            <v>EBITA</v>
          </cell>
          <cell r="EQ332" t="str">
            <v>EBIT</v>
          </cell>
          <cell r="ET332" t="str">
            <v>Net</v>
          </cell>
          <cell r="EX332" t="str">
            <v>Consensus</v>
          </cell>
          <cell r="EZ332" t="str">
            <v>Cash</v>
          </cell>
          <cell r="FB332" t="str">
            <v>Less</v>
          </cell>
          <cell r="FD332" t="str">
            <v>Net</v>
          </cell>
          <cell r="FF332" t="str">
            <v>Book</v>
          </cell>
          <cell r="FH332" t="str">
            <v>EPS (a)</v>
          </cell>
          <cell r="FL332" t="str">
            <v>Price</v>
          </cell>
          <cell r="FN332" t="str">
            <v xml:space="preserve">Shares </v>
          </cell>
          <cell r="FS332" t="str">
            <v>Net</v>
          </cell>
          <cell r="FU332" t="str">
            <v>Net</v>
          </cell>
          <cell r="FW332" t="str">
            <v>Div.</v>
          </cell>
          <cell r="FY332" t="str">
            <v>Rev</v>
          </cell>
          <cell r="GA332" t="str">
            <v>Market</v>
          </cell>
          <cell r="GC332" t="str">
            <v xml:space="preserve"> Value +</v>
          </cell>
          <cell r="GM332" t="str">
            <v>as a Multiple of:</v>
          </cell>
          <cell r="GV332" t="str">
            <v>Consensus</v>
          </cell>
          <cell r="GX332" t="str">
            <v>Cash</v>
          </cell>
          <cell r="HA332" t="str">
            <v>FY1</v>
          </cell>
          <cell r="HD332" t="str">
            <v>FY2</v>
          </cell>
          <cell r="HG332" t="str">
            <v>Book</v>
          </cell>
          <cell r="HJ332" t="str">
            <v>Net Inc.</v>
          </cell>
        </row>
        <row r="333">
          <cell r="DN333" t="str">
            <v>LC</v>
          </cell>
          <cell r="DO333" t="str">
            <v>as of</v>
          </cell>
          <cell r="DQ333" t="str">
            <v>Backlog</v>
          </cell>
          <cell r="DS333" t="str">
            <v>Revenue</v>
          </cell>
          <cell r="DU333" t="str">
            <v>Capex</v>
          </cell>
          <cell r="DW333" t="str">
            <v>Marg.</v>
          </cell>
          <cell r="DY333" t="str">
            <v>Cash Flow</v>
          </cell>
          <cell r="EA333" t="str">
            <v>Marg.</v>
          </cell>
          <cell r="EC333" t="str">
            <v>Profit</v>
          </cell>
          <cell r="EE333" t="str">
            <v>Marg.</v>
          </cell>
          <cell r="EG333" t="str">
            <v xml:space="preserve">EBITDA </v>
          </cell>
          <cell r="EI333" t="str">
            <v>Marg.</v>
          </cell>
          <cell r="EK333" t="str">
            <v xml:space="preserve">EBITA </v>
          </cell>
          <cell r="EM333" t="str">
            <v>Marg.</v>
          </cell>
          <cell r="EO333" t="str">
            <v>EBIT</v>
          </cell>
          <cell r="EQ333" t="str">
            <v>Marg.</v>
          </cell>
          <cell r="ET333" t="str">
            <v>Inc.</v>
          </cell>
          <cell r="EV333" t="str">
            <v>EPS</v>
          </cell>
          <cell r="EX333" t="str">
            <v>EPS</v>
          </cell>
          <cell r="EZ333" t="str">
            <v>EPS</v>
          </cell>
          <cell r="FB333" t="str">
            <v>Cash</v>
          </cell>
          <cell r="FD333" t="str">
            <v>Cap</v>
          </cell>
          <cell r="FF333" t="str">
            <v>Value</v>
          </cell>
          <cell r="FH333" t="str">
            <v>FY1</v>
          </cell>
          <cell r="FJ333" t="str">
            <v>FY2</v>
          </cell>
          <cell r="FL333">
            <v>36696</v>
          </cell>
          <cell r="FN333" t="str">
            <v>Outs. (m)</v>
          </cell>
          <cell r="FS333" t="str">
            <v xml:space="preserve">Debt </v>
          </cell>
          <cell r="FU333" t="str">
            <v>Gearing</v>
          </cell>
          <cell r="FW333" t="str">
            <v>Yield</v>
          </cell>
          <cell r="FY333" t="str">
            <v>Grwth</v>
          </cell>
          <cell r="GA333" t="str">
            <v>Value</v>
          </cell>
          <cell r="GC333" t="str">
            <v>Net Debt</v>
          </cell>
          <cell r="GF333" t="str">
            <v>Rev.</v>
          </cell>
          <cell r="GH333" t="str">
            <v>EBITDA - Capex</v>
          </cell>
          <cell r="GJ333" t="str">
            <v>FCF</v>
          </cell>
          <cell r="GL333" t="str">
            <v>EBITDA</v>
          </cell>
          <cell r="GN333" t="str">
            <v>EBITA</v>
          </cell>
          <cell r="GP333" t="str">
            <v>EBIT</v>
          </cell>
          <cell r="GT333" t="str">
            <v>EPS</v>
          </cell>
          <cell r="GV333" t="str">
            <v>EPS</v>
          </cell>
          <cell r="GX333" t="str">
            <v>EPS</v>
          </cell>
          <cell r="HA333" t="str">
            <v>EPS</v>
          </cell>
          <cell r="HD333" t="str">
            <v>EPS</v>
          </cell>
          <cell r="HG333" t="str">
            <v>Value</v>
          </cell>
          <cell r="HJ333" t="str">
            <v>+ DA</v>
          </cell>
        </row>
        <row r="335">
          <cell r="DK335" t="str">
            <v>Giraudy</v>
          </cell>
          <cell r="DM335" t="str">
            <v>option</v>
          </cell>
          <cell r="DN335" t="str">
            <v>FRF</v>
          </cell>
          <cell r="DO335">
            <v>35338</v>
          </cell>
          <cell r="DQ335">
            <v>0</v>
          </cell>
          <cell r="DS335">
            <v>1221.7639999999999</v>
          </cell>
          <cell r="EC335" t="e">
            <v>#VALUE!</v>
          </cell>
          <cell r="EE335" t="e">
            <v>#VALUE!</v>
          </cell>
          <cell r="EG335">
            <v>136.42500000000001</v>
          </cell>
          <cell r="EI335">
            <v>0.11166231776349608</v>
          </cell>
          <cell r="EK335">
            <v>0</v>
          </cell>
          <cell r="EM335">
            <v>0</v>
          </cell>
          <cell r="EO335">
            <v>71.548000000000002</v>
          </cell>
          <cell r="EQ335">
            <v>5.8561227863973733E-2</v>
          </cell>
          <cell r="ET335">
            <v>35.148492506459945</v>
          </cell>
          <cell r="EV335">
            <v>18.394339484821241</v>
          </cell>
          <cell r="EX335">
            <v>0</v>
          </cell>
          <cell r="EZ335">
            <v>0</v>
          </cell>
          <cell r="FB335">
            <v>1124.452</v>
          </cell>
          <cell r="FD335">
            <v>596.90899999999999</v>
          </cell>
          <cell r="FF335">
            <v>510.41</v>
          </cell>
          <cell r="FH335" t="str">
            <v>NA</v>
          </cell>
          <cell r="FJ335">
            <v>28.2</v>
          </cell>
          <cell r="FL335">
            <v>390</v>
          </cell>
          <cell r="FN335">
            <v>1.910852</v>
          </cell>
          <cell r="FQ335" t="str">
            <v>Giraudy</v>
          </cell>
          <cell r="FS335">
            <v>86.498999999999995</v>
          </cell>
          <cell r="FU335">
            <v>0.14491153592926223</v>
          </cell>
          <cell r="FW335" t="e">
            <v>#VALUE!</v>
          </cell>
          <cell r="FY335" t="e">
            <v>#VALUE!</v>
          </cell>
          <cell r="GA335">
            <v>745.23227999999995</v>
          </cell>
          <cell r="GC335">
            <v>831.73127999999997</v>
          </cell>
          <cell r="GF335">
            <v>0.68076263500970735</v>
          </cell>
          <cell r="GG335" t="str">
            <v>x</v>
          </cell>
          <cell r="GL335">
            <v>6.0966192413413953</v>
          </cell>
          <cell r="GM335" t="str">
            <v>x</v>
          </cell>
          <cell r="GN335" t="e">
            <v>#DIV/0!</v>
          </cell>
          <cell r="GO335" t="str">
            <v>x</v>
          </cell>
          <cell r="GP335">
            <v>11.624801252306144</v>
          </cell>
          <cell r="GQ335" t="str">
            <v>x</v>
          </cell>
          <cell r="GT335">
            <v>21.202174740866486</v>
          </cell>
          <cell r="GU335" t="str">
            <v>x</v>
          </cell>
          <cell r="GV335" t="e">
            <v>#DIV/0!</v>
          </cell>
          <cell r="GW335" t="str">
            <v>x</v>
          </cell>
          <cell r="HA335" t="str">
            <v>NA</v>
          </cell>
          <cell r="HD335">
            <v>13.829787234042554</v>
          </cell>
          <cell r="HE335" t="str">
            <v>x</v>
          </cell>
          <cell r="HG335">
            <v>1.4600659861679823</v>
          </cell>
          <cell r="HH335" t="str">
            <v>x</v>
          </cell>
          <cell r="HJ335">
            <v>7.2416985406060537</v>
          </cell>
          <cell r="HK335" t="str">
            <v>x</v>
          </cell>
        </row>
        <row r="336">
          <cell r="DK336" t="str">
            <v xml:space="preserve"> -</v>
          </cell>
          <cell r="DL336" t="str">
            <v>French second largest outdoor advertising operator</v>
          </cell>
          <cell r="ET336" t="str">
            <v xml:space="preserve"> </v>
          </cell>
          <cell r="EW336">
            <v>0</v>
          </cell>
          <cell r="EY336">
            <v>0</v>
          </cell>
          <cell r="FA336">
            <v>0</v>
          </cell>
          <cell r="FL336">
            <v>0</v>
          </cell>
          <cell r="FN336">
            <v>0</v>
          </cell>
          <cell r="FQ336" t="str">
            <v xml:space="preserve"> -</v>
          </cell>
          <cell r="FR336" t="str">
            <v>French second largest outdoor advertising operator</v>
          </cell>
        </row>
        <row r="337">
          <cell r="DL337">
            <v>0</v>
          </cell>
          <cell r="EW337">
            <v>0</v>
          </cell>
          <cell r="EY337">
            <v>0</v>
          </cell>
          <cell r="FA337">
            <v>0</v>
          </cell>
          <cell r="FL337">
            <v>0</v>
          </cell>
          <cell r="FN337">
            <v>0</v>
          </cell>
          <cell r="FR337">
            <v>0</v>
          </cell>
        </row>
        <row r="338">
          <cell r="EW338">
            <v>0</v>
          </cell>
          <cell r="EY338">
            <v>0</v>
          </cell>
          <cell r="FA338">
            <v>0</v>
          </cell>
          <cell r="FL338">
            <v>0</v>
          </cell>
          <cell r="FN338">
            <v>0</v>
          </cell>
        </row>
        <row r="339">
          <cell r="DO339" t="str">
            <v>FY1</v>
          </cell>
          <cell r="DS339">
            <v>1270</v>
          </cell>
          <cell r="EG339">
            <v>143.87700000000001</v>
          </cell>
          <cell r="EI339">
            <v>0.11328897637795277</v>
          </cell>
          <cell r="EK339">
            <v>0</v>
          </cell>
          <cell r="EM339">
            <v>0</v>
          </cell>
          <cell r="EO339">
            <v>79</v>
          </cell>
          <cell r="EQ339">
            <v>6.2204724409448818E-2</v>
          </cell>
          <cell r="ET339">
            <v>44</v>
          </cell>
          <cell r="FH339" t="str">
            <v>NA</v>
          </cell>
          <cell r="GF339">
            <v>0.65490651968503932</v>
          </cell>
          <cell r="GL339">
            <v>5.7808494755937359</v>
          </cell>
          <cell r="GN339">
            <v>0</v>
          </cell>
          <cell r="GP339">
            <v>10.52824405063291</v>
          </cell>
          <cell r="GT339" t="str">
            <v>NA</v>
          </cell>
          <cell r="GV339" t="str">
            <v>NA</v>
          </cell>
        </row>
        <row r="340">
          <cell r="DO340" t="str">
            <v>FY2</v>
          </cell>
          <cell r="DS340">
            <v>1320</v>
          </cell>
          <cell r="EG340">
            <v>156.87700000000001</v>
          </cell>
          <cell r="EI340">
            <v>0.11884621212121213</v>
          </cell>
          <cell r="EK340">
            <v>0</v>
          </cell>
          <cell r="EM340">
            <v>0</v>
          </cell>
          <cell r="EO340">
            <v>92</v>
          </cell>
          <cell r="EQ340">
            <v>6.9696969696969702E-2</v>
          </cell>
          <cell r="ET340">
            <v>52</v>
          </cell>
          <cell r="FJ340">
            <v>28.2</v>
          </cell>
          <cell r="GF340">
            <v>0.63009945454545457</v>
          </cell>
          <cell r="GL340">
            <v>5.3018051084607682</v>
          </cell>
          <cell r="GN340">
            <v>1.3697098451389276</v>
          </cell>
          <cell r="GP340">
            <v>9.0405573913043469</v>
          </cell>
          <cell r="GT340">
            <v>13.829787234042554</v>
          </cell>
          <cell r="GV340">
            <v>0</v>
          </cell>
        </row>
        <row r="342">
          <cell r="DK342" t="str">
            <v>Dauphin  O.T.A.</v>
          </cell>
          <cell r="DM342" t="str">
            <v>option</v>
          </cell>
          <cell r="DN342" t="str">
            <v>FRF</v>
          </cell>
          <cell r="DO342">
            <v>35611</v>
          </cell>
          <cell r="DQ342">
            <v>0</v>
          </cell>
          <cell r="DS342">
            <v>1410.9905429999999</v>
          </cell>
          <cell r="EC342" t="e">
            <v>#VALUE!</v>
          </cell>
          <cell r="EE342" t="e">
            <v>#VALUE!</v>
          </cell>
          <cell r="EG342">
            <v>250.51607800000005</v>
          </cell>
          <cell r="EI342">
            <v>0.1775462487986357</v>
          </cell>
          <cell r="EK342">
            <v>0</v>
          </cell>
          <cell r="EM342">
            <v>0</v>
          </cell>
          <cell r="EO342">
            <v>187.85408400000006</v>
          </cell>
          <cell r="EQ342">
            <v>0.13313631684631361</v>
          </cell>
          <cell r="ET342">
            <v>69.937694433668995</v>
          </cell>
          <cell r="EV342">
            <v>21.979162298450341</v>
          </cell>
          <cell r="EX342">
            <v>0</v>
          </cell>
          <cell r="EZ342">
            <v>0</v>
          </cell>
          <cell r="FB342" t="e">
            <v>#VALUE!</v>
          </cell>
          <cell r="FD342">
            <v>750.73310500000002</v>
          </cell>
          <cell r="FF342">
            <v>567.54972199999997</v>
          </cell>
          <cell r="FH342">
            <v>20.73</v>
          </cell>
          <cell r="FJ342">
            <v>24.03</v>
          </cell>
          <cell r="FL342">
            <v>610</v>
          </cell>
          <cell r="FN342">
            <v>3.1819999999999999</v>
          </cell>
          <cell r="FQ342" t="str">
            <v>Dauphin  O.T.A.</v>
          </cell>
          <cell r="FS342">
            <v>183.18338299999999</v>
          </cell>
          <cell r="FU342">
            <v>0.24400600130721556</v>
          </cell>
          <cell r="FW342" t="e">
            <v>#VALUE!</v>
          </cell>
          <cell r="FY342">
            <v>0.40790857019100812</v>
          </cell>
          <cell r="GA342">
            <v>1941.02</v>
          </cell>
          <cell r="GC342">
            <v>2124.203383</v>
          </cell>
          <cell r="GF342">
            <v>1.5054696103657728</v>
          </cell>
          <cell r="GL342">
            <v>8.4793095914586356</v>
          </cell>
          <cell r="GN342" t="e">
            <v>#DIV/0!</v>
          </cell>
          <cell r="GP342">
            <v>11.307730648006563</v>
          </cell>
          <cell r="GT342">
            <v>27.75356001820909</v>
          </cell>
          <cell r="GV342" t="e">
            <v>#DIV/0!</v>
          </cell>
          <cell r="HA342">
            <v>29.42595272551857</v>
          </cell>
          <cell r="HD342">
            <v>25.384935497295047</v>
          </cell>
          <cell r="HG342">
            <v>3.4199999132410817</v>
          </cell>
          <cell r="HJ342">
            <v>12.871822021776817</v>
          </cell>
        </row>
        <row r="343">
          <cell r="DK343" t="str">
            <v xml:space="preserve"> -</v>
          </cell>
          <cell r="DL343" t="str">
            <v>French largest outdoor advertising operator</v>
          </cell>
          <cell r="FL343">
            <v>0</v>
          </cell>
          <cell r="FN343">
            <v>0</v>
          </cell>
          <cell r="FQ343" t="str">
            <v xml:space="preserve"> -</v>
          </cell>
          <cell r="FR343" t="str">
            <v>French largest outdoor advertising operator</v>
          </cell>
        </row>
        <row r="344">
          <cell r="DL344">
            <v>0</v>
          </cell>
          <cell r="EV344" t="str">
            <v xml:space="preserve"> </v>
          </cell>
          <cell r="EX344" t="str">
            <v xml:space="preserve"> </v>
          </cell>
          <cell r="EZ344" t="str">
            <v xml:space="preserve"> </v>
          </cell>
          <cell r="FL344">
            <v>0</v>
          </cell>
          <cell r="FN344">
            <v>0</v>
          </cell>
          <cell r="FR344">
            <v>0</v>
          </cell>
        </row>
        <row r="345">
          <cell r="FL345">
            <v>0</v>
          </cell>
          <cell r="FN345">
            <v>0</v>
          </cell>
        </row>
        <row r="346">
          <cell r="DO346" t="str">
            <v>FY1</v>
          </cell>
          <cell r="DS346">
            <v>1419</v>
          </cell>
          <cell r="EG346">
            <v>217</v>
          </cell>
          <cell r="EI346">
            <v>0.1529245947850599</v>
          </cell>
          <cell r="EK346">
            <v>0</v>
          </cell>
          <cell r="EM346">
            <v>0</v>
          </cell>
          <cell r="EO346">
            <v>148</v>
          </cell>
          <cell r="EQ346">
            <v>0.10429880197322058</v>
          </cell>
          <cell r="ET346">
            <v>76</v>
          </cell>
          <cell r="FH346">
            <v>20.73</v>
          </cell>
          <cell r="GF346">
            <v>1.4969720810429881</v>
          </cell>
          <cell r="GL346">
            <v>9.78895568202765</v>
          </cell>
          <cell r="GN346">
            <v>0</v>
          </cell>
          <cell r="GP346">
            <v>14.352725560810811</v>
          </cell>
          <cell r="GT346">
            <v>29.42595272551857</v>
          </cell>
          <cell r="GV346">
            <v>0</v>
          </cell>
        </row>
        <row r="347">
          <cell r="DO347" t="str">
            <v>FY2</v>
          </cell>
          <cell r="DS347">
            <v>1569</v>
          </cell>
          <cell r="EG347">
            <v>255</v>
          </cell>
          <cell r="EI347">
            <v>0.16252390057361377</v>
          </cell>
          <cell r="EK347">
            <v>0</v>
          </cell>
          <cell r="EM347">
            <v>0</v>
          </cell>
          <cell r="EO347">
            <v>178</v>
          </cell>
          <cell r="EQ347">
            <v>0.11344805608667942</v>
          </cell>
          <cell r="ET347">
            <v>86</v>
          </cell>
          <cell r="FJ347">
            <v>24.03</v>
          </cell>
          <cell r="GF347">
            <v>1.3538581153601019</v>
          </cell>
          <cell r="GL347">
            <v>8.330209345098039</v>
          </cell>
          <cell r="GN347" t="str">
            <v>NM</v>
          </cell>
          <cell r="GP347">
            <v>11.933726870786517</v>
          </cell>
          <cell r="GT347">
            <v>25.384935497295047</v>
          </cell>
          <cell r="GV347">
            <v>0</v>
          </cell>
        </row>
        <row r="349">
          <cell r="DK349" t="str">
            <v>Affichage Holding</v>
          </cell>
          <cell r="DN349" t="str">
            <v>CHF</v>
          </cell>
          <cell r="DO349">
            <v>36160</v>
          </cell>
          <cell r="DQ349" t="e">
            <v>#VALUE!</v>
          </cell>
          <cell r="DS349">
            <v>246.7</v>
          </cell>
          <cell r="DU349" t="str">
            <v>n.a.</v>
          </cell>
          <cell r="DW349" t="str">
            <v>n.a.</v>
          </cell>
          <cell r="DY349" t="str">
            <v>n.a.</v>
          </cell>
          <cell r="EA349" t="str">
            <v>n.a.</v>
          </cell>
          <cell r="EC349" t="e">
            <v>#VALUE!</v>
          </cell>
          <cell r="EE349" t="e">
            <v>#VALUE!</v>
          </cell>
          <cell r="EG349">
            <v>49.108850000000004</v>
          </cell>
          <cell r="EI349">
            <v>0.19906303202269965</v>
          </cell>
          <cell r="EK349">
            <v>29.208850000000002</v>
          </cell>
          <cell r="EM349">
            <v>0.11839825699229835</v>
          </cell>
          <cell r="EO349">
            <v>29.05</v>
          </cell>
          <cell r="EQ349">
            <v>0.11775435751925416</v>
          </cell>
          <cell r="ET349">
            <v>22.8</v>
          </cell>
          <cell r="EV349">
            <v>30</v>
          </cell>
          <cell r="EZ349">
            <v>75.199999999999989</v>
          </cell>
          <cell r="FB349">
            <v>0</v>
          </cell>
          <cell r="FD349">
            <v>46.300000000000011</v>
          </cell>
          <cell r="FF349">
            <v>186.3</v>
          </cell>
          <cell r="FH349">
            <v>0</v>
          </cell>
          <cell r="FJ349">
            <v>0</v>
          </cell>
          <cell r="FL349">
            <v>780</v>
          </cell>
          <cell r="FN349">
            <v>0.75</v>
          </cell>
          <cell r="FQ349" t="str">
            <v>Affichage Holding</v>
          </cell>
          <cell r="FS349">
            <v>-140</v>
          </cell>
          <cell r="FU349">
            <v>-3.023758099352051</v>
          </cell>
          <cell r="FW349" t="e">
            <v>#VALUE!</v>
          </cell>
          <cell r="FY349">
            <v>-0.20704938559910802</v>
          </cell>
          <cell r="GA349">
            <v>585</v>
          </cell>
          <cell r="GC349">
            <v>445</v>
          </cell>
          <cell r="GE349" t="str">
            <v>LTM</v>
          </cell>
          <cell r="GF349">
            <v>1.8038102959059588</v>
          </cell>
          <cell r="GH349" t="str">
            <v>n.m.</v>
          </cell>
          <cell r="GJ349" t="str">
            <v>n.m.</v>
          </cell>
          <cell r="GL349">
            <v>9.0615031710170353</v>
          </cell>
          <cell r="GN349">
            <v>15.235108537309753</v>
          </cell>
          <cell r="GP349">
            <v>15.3184165232358</v>
          </cell>
          <cell r="GT349">
            <v>26</v>
          </cell>
          <cell r="GX349">
            <v>10.372340425531917</v>
          </cell>
          <cell r="HA349" t="e">
            <v>#DIV/0!</v>
          </cell>
          <cell r="HB349" t="str">
            <v>x (a)</v>
          </cell>
          <cell r="HD349" t="e">
            <v>#DIV/0!</v>
          </cell>
          <cell r="HE349" t="str">
            <v>x (a)</v>
          </cell>
          <cell r="HG349">
            <v>3.1400966183574877</v>
          </cell>
          <cell r="HH349" t="str">
            <v>x</v>
          </cell>
          <cell r="HJ349">
            <v>13.649456296657515</v>
          </cell>
        </row>
        <row r="350">
          <cell r="DK350" t="str">
            <v xml:space="preserve"> -</v>
          </cell>
          <cell r="DL350" t="str">
            <v>Swiss outdoor advertising operator</v>
          </cell>
          <cell r="FL350">
            <v>0</v>
          </cell>
          <cell r="FN350">
            <v>0</v>
          </cell>
        </row>
        <row r="351">
          <cell r="DL351">
            <v>0</v>
          </cell>
          <cell r="FL351">
            <v>0</v>
          </cell>
          <cell r="FN351">
            <v>0</v>
          </cell>
          <cell r="FR351">
            <v>0</v>
          </cell>
        </row>
        <row r="352">
          <cell r="FL352">
            <v>0</v>
          </cell>
          <cell r="FN352">
            <v>0</v>
          </cell>
        </row>
        <row r="353">
          <cell r="DO353" t="str">
            <v>FY1</v>
          </cell>
          <cell r="DS353">
            <v>268.66000000000003</v>
          </cell>
          <cell r="DU353" t="str">
            <v>n.a.</v>
          </cell>
          <cell r="DW353" t="str">
            <v>n.a.</v>
          </cell>
          <cell r="DY353" t="str">
            <v>n.a.</v>
          </cell>
          <cell r="EA353" t="str">
            <v>n.a.</v>
          </cell>
          <cell r="EG353">
            <v>53.856898459667612</v>
          </cell>
          <cell r="EI353">
            <v>0.20046489414005661</v>
          </cell>
          <cell r="EK353">
            <v>32.185499999999998</v>
          </cell>
          <cell r="EM353">
            <v>0.11980011910965531</v>
          </cell>
          <cell r="EO353">
            <v>32.01</v>
          </cell>
          <cell r="EQ353">
            <v>0.11914687709372439</v>
          </cell>
          <cell r="ET353">
            <v>25.4</v>
          </cell>
          <cell r="EV353">
            <v>33.200000000000003</v>
          </cell>
          <cell r="EX353">
            <v>32.6</v>
          </cell>
          <cell r="EZ353">
            <v>62.329197946223488</v>
          </cell>
          <cell r="GE353" t="str">
            <v>FY1</v>
          </cell>
          <cell r="GF353">
            <v>1.6563686443832351</v>
          </cell>
          <cell r="GH353" t="str">
            <v>n.m.</v>
          </cell>
          <cell r="GJ353" t="str">
            <v>n.m.</v>
          </cell>
          <cell r="GL353">
            <v>8.2626369643853863</v>
          </cell>
          <cell r="GN353">
            <v>13.826101816035171</v>
          </cell>
          <cell r="GP353">
            <v>13.901905654482976</v>
          </cell>
          <cell r="GT353">
            <v>23.493975903614455</v>
          </cell>
          <cell r="GV353">
            <v>23.926380368098158</v>
          </cell>
          <cell r="GX353">
            <v>12.514199214836198</v>
          </cell>
        </row>
        <row r="354">
          <cell r="DO354" t="str">
            <v>FY2</v>
          </cell>
          <cell r="DS354">
            <v>293.14999999999998</v>
          </cell>
          <cell r="DU354" t="str">
            <v>n.a.</v>
          </cell>
          <cell r="DW354" t="str">
            <v>n.a.</v>
          </cell>
          <cell r="DY354" t="str">
            <v>n.a.</v>
          </cell>
          <cell r="EA354" t="str">
            <v>n.a.</v>
          </cell>
          <cell r="EG354">
            <v>59.872378800162139</v>
          </cell>
          <cell r="EI354">
            <v>0.20423803104268171</v>
          </cell>
          <cell r="EK354">
            <v>36.225499999999997</v>
          </cell>
          <cell r="EM354">
            <v>0.12357325601228041</v>
          </cell>
          <cell r="EO354">
            <v>36.049999999999997</v>
          </cell>
          <cell r="EQ354">
            <v>0.12297458638922054</v>
          </cell>
          <cell r="ET354">
            <v>27.1</v>
          </cell>
          <cell r="EV354">
            <v>35.299999999999997</v>
          </cell>
          <cell r="EX354">
            <v>36.1</v>
          </cell>
          <cell r="EZ354">
            <v>67.06317173354951</v>
          </cell>
          <cell r="GE354" t="str">
            <v>FY2</v>
          </cell>
          <cell r="GF354">
            <v>1.5179942009210303</v>
          </cell>
          <cell r="GH354" t="str">
            <v>n.m.</v>
          </cell>
          <cell r="GJ354" t="str">
            <v>n.m.</v>
          </cell>
          <cell r="GL354">
            <v>7.4324756910910459</v>
          </cell>
          <cell r="GN354">
            <v>12.284164469779576</v>
          </cell>
          <cell r="GP354">
            <v>12.343966712898753</v>
          </cell>
          <cell r="GT354">
            <v>22.09631728045326</v>
          </cell>
          <cell r="GV354">
            <v>21.606648199445981</v>
          </cell>
          <cell r="GX354">
            <v>11.630824785607203</v>
          </cell>
        </row>
        <row r="355">
          <cell r="DO355" t="str">
            <v>FY3</v>
          </cell>
          <cell r="DS355">
            <v>280.2</v>
          </cell>
          <cell r="DW355">
            <v>0</v>
          </cell>
          <cell r="EG355">
            <v>58.775500000000001</v>
          </cell>
          <cell r="EI355">
            <v>0.20976266952177017</v>
          </cell>
          <cell r="EK355">
            <v>36.775500000000001</v>
          </cell>
          <cell r="EM355">
            <v>0.13124732334047109</v>
          </cell>
          <cell r="EO355">
            <v>36.6</v>
          </cell>
          <cell r="EQ355">
            <v>0.13062098501070665</v>
          </cell>
          <cell r="ET355">
            <v>28.8</v>
          </cell>
          <cell r="EV355">
            <v>37.5</v>
          </cell>
          <cell r="EX355">
            <v>34.799999999999997</v>
          </cell>
          <cell r="EZ355">
            <v>67.067333333333337</v>
          </cell>
          <cell r="GE355" t="str">
            <v>FY3</v>
          </cell>
          <cell r="GF355">
            <v>1.5881513204853677</v>
          </cell>
          <cell r="GL355">
            <v>7.5711818699968525</v>
          </cell>
          <cell r="GN355">
            <v>12.100447308670175</v>
          </cell>
          <cell r="GP355">
            <v>12.158469945355192</v>
          </cell>
          <cell r="GT355">
            <v>20.8</v>
          </cell>
          <cell r="GV355">
            <v>22.413793103448278</v>
          </cell>
          <cell r="GX355">
            <v>11.630103080486277</v>
          </cell>
        </row>
        <row r="357">
          <cell r="DK357" t="str">
            <v>Primesight Plc</v>
          </cell>
          <cell r="DM357" t="str">
            <v>option</v>
          </cell>
          <cell r="DN357" t="str">
            <v>GBP</v>
          </cell>
          <cell r="DO357">
            <v>35611</v>
          </cell>
          <cell r="DQ357" t="e">
            <v>#VALUE!</v>
          </cell>
          <cell r="DS357">
            <v>12.302000000000001</v>
          </cell>
          <cell r="EC357" t="e">
            <v>#VALUE!</v>
          </cell>
          <cell r="EE357" t="e">
            <v>#VALUE!</v>
          </cell>
          <cell r="EG357">
            <v>1.1850000000000001</v>
          </cell>
          <cell r="EI357">
            <v>9.6325800682815793E-2</v>
          </cell>
          <cell r="EK357">
            <v>0</v>
          </cell>
          <cell r="EM357">
            <v>0</v>
          </cell>
          <cell r="EO357">
            <v>0.80700000000000016</v>
          </cell>
          <cell r="EQ357">
            <v>6.5599089578930264E-2</v>
          </cell>
          <cell r="ET357">
            <v>0.48000000000000009</v>
          </cell>
          <cell r="EV357">
            <v>8.8764605155419798E-2</v>
          </cell>
          <cell r="EX357">
            <v>0</v>
          </cell>
          <cell r="FB357" t="e">
            <v>#VALUE!</v>
          </cell>
          <cell r="FD357">
            <v>0.95799999999999985</v>
          </cell>
          <cell r="FF357">
            <v>-0.78700000000000003</v>
          </cell>
          <cell r="FH357">
            <v>9.2999999999999999E-2</v>
          </cell>
          <cell r="FJ357">
            <v>0.1673</v>
          </cell>
          <cell r="FL357">
            <v>2.2999999999999998</v>
          </cell>
          <cell r="FN357">
            <v>6.0750000000000002</v>
          </cell>
          <cell r="FQ357" t="str">
            <v>Primesight Plc</v>
          </cell>
          <cell r="FS357">
            <v>1.7449999999999999</v>
          </cell>
          <cell r="FU357">
            <v>1.8215031315240084</v>
          </cell>
          <cell r="FW357" t="e">
            <v>#VALUE!</v>
          </cell>
          <cell r="FY357">
            <v>-0.59886822486581148</v>
          </cell>
          <cell r="GA357">
            <v>13.9725</v>
          </cell>
          <cell r="GC357">
            <v>15.717499999999999</v>
          </cell>
          <cell r="GF357">
            <v>1.2776377824743943</v>
          </cell>
          <cell r="GL357">
            <v>13.263713080168776</v>
          </cell>
          <cell r="GN357" t="e">
            <v>#DIV/0!</v>
          </cell>
          <cell r="GP357">
            <v>19.476456009913253</v>
          </cell>
          <cell r="GT357">
            <v>25.911228872959914</v>
          </cell>
          <cell r="GV357" t="e">
            <v>#DIV/0!</v>
          </cell>
          <cell r="HA357">
            <v>24.731182795698924</v>
          </cell>
          <cell r="HD357">
            <v>13.747758517632994</v>
          </cell>
          <cell r="HG357" t="str">
            <v>NM</v>
          </cell>
          <cell r="HJ357">
            <v>15.80599547511312</v>
          </cell>
        </row>
        <row r="358">
          <cell r="DK358" t="str">
            <v xml:space="preserve"> -</v>
          </cell>
          <cell r="DL358" t="str">
            <v>UK illuminated advertising panel operator</v>
          </cell>
          <cell r="FL358">
            <v>0</v>
          </cell>
          <cell r="FN358">
            <v>0</v>
          </cell>
          <cell r="FQ358" t="str">
            <v xml:space="preserve"> -</v>
          </cell>
          <cell r="FR358" t="str">
            <v>UK illuminated advertising panel operator</v>
          </cell>
        </row>
        <row r="359">
          <cell r="DL359">
            <v>0</v>
          </cell>
          <cell r="FL359">
            <v>0</v>
          </cell>
          <cell r="FN359">
            <v>0</v>
          </cell>
          <cell r="FR359">
            <v>0</v>
          </cell>
        </row>
        <row r="360">
          <cell r="FL360">
            <v>0</v>
          </cell>
          <cell r="FN360">
            <v>0</v>
          </cell>
        </row>
        <row r="361">
          <cell r="DO361" t="str">
            <v>FY1</v>
          </cell>
          <cell r="DS361">
            <v>0</v>
          </cell>
          <cell r="EG361">
            <v>0</v>
          </cell>
          <cell r="EI361">
            <v>0</v>
          </cell>
          <cell r="EK361">
            <v>0</v>
          </cell>
          <cell r="EM361" t="str">
            <v>n.a.</v>
          </cell>
          <cell r="EO361">
            <v>0</v>
          </cell>
          <cell r="EQ361">
            <v>0</v>
          </cell>
          <cell r="ET361">
            <v>0</v>
          </cell>
          <cell r="FH361">
            <v>9.2999999999999999E-2</v>
          </cell>
          <cell r="GF361">
            <v>0</v>
          </cell>
          <cell r="GL361">
            <v>0</v>
          </cell>
          <cell r="GN361">
            <v>0</v>
          </cell>
          <cell r="GP361">
            <v>0</v>
          </cell>
          <cell r="GT361">
            <v>24.731182795698924</v>
          </cell>
          <cell r="GV361" t="str">
            <v>NM</v>
          </cell>
        </row>
        <row r="362">
          <cell r="DO362" t="str">
            <v>FY2</v>
          </cell>
          <cell r="DS362">
            <v>0</v>
          </cell>
          <cell r="EG362">
            <v>0</v>
          </cell>
          <cell r="EI362">
            <v>0</v>
          </cell>
          <cell r="EK362">
            <v>0</v>
          </cell>
          <cell r="EM362" t="str">
            <v>n.a.</v>
          </cell>
          <cell r="EO362">
            <v>0</v>
          </cell>
          <cell r="EQ362">
            <v>0</v>
          </cell>
          <cell r="ET362">
            <v>0</v>
          </cell>
          <cell r="FJ362">
            <v>0.1673</v>
          </cell>
          <cell r="GF362">
            <v>0</v>
          </cell>
          <cell r="GL362">
            <v>0</v>
          </cell>
          <cell r="GN362" t="str">
            <v>NM</v>
          </cell>
          <cell r="GP362">
            <v>0</v>
          </cell>
          <cell r="GT362">
            <v>13.747758517632994</v>
          </cell>
          <cell r="GV362">
            <v>0</v>
          </cell>
        </row>
        <row r="364">
          <cell r="DK364" t="str">
            <v>Maiden Group Plc</v>
          </cell>
          <cell r="DN364" t="str">
            <v>GBP</v>
          </cell>
          <cell r="DO364">
            <v>36160</v>
          </cell>
          <cell r="DQ364" t="e">
            <v>#VALUE!</v>
          </cell>
          <cell r="DS364">
            <v>65.323999999999998</v>
          </cell>
          <cell r="DU364">
            <v>6.8250000000000002</v>
          </cell>
          <cell r="DW364">
            <v>0.10447921131590228</v>
          </cell>
          <cell r="DY364">
            <v>6.3410000000000002</v>
          </cell>
          <cell r="EA364">
            <v>9.7069989590349653E-2</v>
          </cell>
          <cell r="EC364" t="e">
            <v>#VALUE!</v>
          </cell>
          <cell r="EE364" t="e">
            <v>#VALUE!</v>
          </cell>
          <cell r="EG364">
            <v>12.022</v>
          </cell>
          <cell r="EI364">
            <v>0.18403649500949115</v>
          </cell>
          <cell r="EK364">
            <v>8.875</v>
          </cell>
          <cell r="EM364">
            <v>0.13586124548404874</v>
          </cell>
          <cell r="EO364">
            <v>6.8390000000000004</v>
          </cell>
          <cell r="EQ364">
            <v>0.1046935276468067</v>
          </cell>
          <cell r="ET364">
            <v>2.39</v>
          </cell>
          <cell r="EV364">
            <v>6.0804166393069126E-2</v>
          </cell>
          <cell r="EZ364">
            <v>0.18404396302719361</v>
          </cell>
          <cell r="FB364" t="e">
            <v>#VALUE!</v>
          </cell>
          <cell r="FD364">
            <v>13.186999999999998</v>
          </cell>
          <cell r="FF364">
            <v>-10.111000000000001</v>
          </cell>
          <cell r="FH364">
            <v>0.11334</v>
          </cell>
          <cell r="FJ364">
            <v>0.14530000000000001</v>
          </cell>
          <cell r="FL364">
            <v>4.5</v>
          </cell>
          <cell r="FN364">
            <v>42.056220000000003</v>
          </cell>
          <cell r="FQ364" t="str">
            <v>Maiden Group Plc</v>
          </cell>
          <cell r="FS364">
            <v>23.297999999999998</v>
          </cell>
          <cell r="FU364">
            <v>1.7667399711837417</v>
          </cell>
          <cell r="FW364" t="e">
            <v>#VALUE!</v>
          </cell>
          <cell r="FY364">
            <v>-0.47474394807597475</v>
          </cell>
          <cell r="GA364">
            <v>189.25299000000001</v>
          </cell>
          <cell r="GC364">
            <v>212.55099000000001</v>
          </cell>
          <cell r="GE364" t="str">
            <v>LTM</v>
          </cell>
          <cell r="GF364">
            <v>3.2537963076357852</v>
          </cell>
          <cell r="GH364">
            <v>31.1430021978022</v>
          </cell>
          <cell r="GJ364">
            <v>33.520105661567577</v>
          </cell>
          <cell r="GL364">
            <v>17.680168857095325</v>
          </cell>
          <cell r="GN364">
            <v>23.949407323943664</v>
          </cell>
          <cell r="GP364">
            <v>31.079249890334843</v>
          </cell>
          <cell r="GT364">
            <v>74.008086401673637</v>
          </cell>
          <cell r="GX364">
            <v>24.450679750550133</v>
          </cell>
          <cell r="HA364">
            <v>39.703546850185283</v>
          </cell>
          <cell r="HB364" t="str">
            <v>(a)</v>
          </cell>
          <cell r="HD364">
            <v>30.97040605643496</v>
          </cell>
          <cell r="HE364" t="str">
            <v>(a)</v>
          </cell>
          <cell r="HG364" t="str">
            <v>NM</v>
          </cell>
          <cell r="HJ364">
            <v>24.990491218803644</v>
          </cell>
        </row>
        <row r="365">
          <cell r="DK365" t="str">
            <v xml:space="preserve"> -</v>
          </cell>
          <cell r="DL365" t="str">
            <v>UK main large advertising panel operator</v>
          </cell>
          <cell r="FL365">
            <v>0</v>
          </cell>
          <cell r="FN365">
            <v>0</v>
          </cell>
        </row>
        <row r="366">
          <cell r="DL366">
            <v>0</v>
          </cell>
          <cell r="FL366">
            <v>0</v>
          </cell>
          <cell r="FN366">
            <v>0</v>
          </cell>
          <cell r="FR366">
            <v>0</v>
          </cell>
        </row>
        <row r="367">
          <cell r="FL367">
            <v>0</v>
          </cell>
          <cell r="FN367">
            <v>0</v>
          </cell>
        </row>
        <row r="368">
          <cell r="DO368" t="str">
            <v>FY1</v>
          </cell>
          <cell r="DS368">
            <v>67</v>
          </cell>
          <cell r="DU368">
            <v>5.2696619925295458</v>
          </cell>
          <cell r="DW368">
            <v>7.8651671530291734E-2</v>
          </cell>
          <cell r="DY368">
            <v>5.2696619925295458</v>
          </cell>
          <cell r="EA368">
            <v>7.8651671530291734E-2</v>
          </cell>
          <cell r="EG368">
            <v>10.600000000000001</v>
          </cell>
          <cell r="EI368">
            <v>0.15820895522388062</v>
          </cell>
          <cell r="EK368">
            <v>6.9</v>
          </cell>
          <cell r="EM368">
            <v>0.10298507462686568</v>
          </cell>
          <cell r="EO368">
            <v>3.4</v>
          </cell>
          <cell r="EQ368">
            <v>5.0746268656716415E-2</v>
          </cell>
          <cell r="ET368">
            <v>5.0999999999999996</v>
          </cell>
          <cell r="EV368">
            <v>8.1097829930434143E-2</v>
          </cell>
          <cell r="EX368">
            <v>8.6959999999999996E-2</v>
          </cell>
          <cell r="EZ368">
            <v>0.25229723872180909</v>
          </cell>
          <cell r="GE368" t="str">
            <v>FY1</v>
          </cell>
          <cell r="GF368">
            <v>3.1724028358208956</v>
          </cell>
          <cell r="GH368">
            <v>40.334843164764571</v>
          </cell>
          <cell r="GJ368">
            <v>40.334843164764571</v>
          </cell>
          <cell r="GL368">
            <v>20.051980188679245</v>
          </cell>
          <cell r="GN368">
            <v>30.804491304347827</v>
          </cell>
          <cell r="GP368">
            <v>62.514997058823532</v>
          </cell>
          <cell r="GT368">
            <v>55.488537780358705</v>
          </cell>
          <cell r="GV368">
            <v>51.747930082796692</v>
          </cell>
          <cell r="GX368">
            <v>17.836104837286157</v>
          </cell>
        </row>
        <row r="369">
          <cell r="DO369" t="str">
            <v>FY2</v>
          </cell>
          <cell r="DS369">
            <v>79.599999999999994</v>
          </cell>
          <cell r="DU369">
            <v>5.6024640985873395</v>
          </cell>
          <cell r="DW369">
            <v>7.038271480637362E-2</v>
          </cell>
          <cell r="DY369">
            <v>5.6024640985873395</v>
          </cell>
          <cell r="EA369">
            <v>7.038271480637362E-2</v>
          </cell>
          <cell r="EG369">
            <v>11.935223880597015</v>
          </cell>
          <cell r="EI369">
            <v>0.15820895522388062</v>
          </cell>
          <cell r="EK369">
            <v>7.5394029850746263</v>
          </cell>
          <cell r="EM369">
            <v>9.4716117902947566E-2</v>
          </cell>
          <cell r="EO369">
            <v>4.0394029850746263</v>
          </cell>
          <cell r="EQ369">
            <v>5.0746268656716415E-2</v>
          </cell>
          <cell r="ET369">
            <v>5.9</v>
          </cell>
          <cell r="EV369">
            <v>0.10015582364001235</v>
          </cell>
          <cell r="EX369">
            <v>0.1273</v>
          </cell>
          <cell r="EZ369">
            <v>0.28790024992279256</v>
          </cell>
          <cell r="GE369" t="str">
            <v>FY2</v>
          </cell>
          <cell r="GF369">
            <v>2.6702385678391964</v>
          </cell>
          <cell r="GH369">
            <v>37.93884017098739</v>
          </cell>
          <cell r="GJ369">
            <v>37.93884017098739</v>
          </cell>
          <cell r="GL369">
            <v>17.808714115999301</v>
          </cell>
          <cell r="GN369">
            <v>28.192018707685001</v>
          </cell>
          <cell r="GP369">
            <v>52.619407072125341</v>
          </cell>
          <cell r="GT369">
            <v>44.929988456529905</v>
          </cell>
          <cell r="GV369">
            <v>35.349567949725056</v>
          </cell>
          <cell r="GX369">
            <v>15.630413663089158</v>
          </cell>
        </row>
        <row r="370">
          <cell r="DO370" t="str">
            <v>FY3</v>
          </cell>
          <cell r="DS370" t="e">
            <v>#REF!</v>
          </cell>
          <cell r="EG370">
            <v>11.935223880597015</v>
          </cell>
          <cell r="EI370">
            <v>0</v>
          </cell>
          <cell r="EK370" t="e">
            <v>#REF!</v>
          </cell>
          <cell r="EM370">
            <v>9.4716117902947566E-2</v>
          </cell>
          <cell r="EO370" t="e">
            <v>#REF!</v>
          </cell>
          <cell r="EQ370" t="e">
            <v>#REF!</v>
          </cell>
          <cell r="ET370">
            <v>5.9</v>
          </cell>
          <cell r="EV370">
            <v>0.10015582364001235</v>
          </cell>
          <cell r="EX370">
            <v>0.1182</v>
          </cell>
          <cell r="EZ370" t="e">
            <v>#REF!</v>
          </cell>
          <cell r="GE370" t="str">
            <v>FY3</v>
          </cell>
          <cell r="GF370" t="e">
            <v>#REF!</v>
          </cell>
          <cell r="GL370">
            <v>17.808714115999301</v>
          </cell>
          <cell r="GN370" t="e">
            <v>#REF!</v>
          </cell>
          <cell r="GP370" t="e">
            <v>#REF!</v>
          </cell>
          <cell r="GT370">
            <v>44.929988456529905</v>
          </cell>
          <cell r="GV370">
            <v>38.071065989847718</v>
          </cell>
          <cell r="GX370" t="e">
            <v>#REF!</v>
          </cell>
        </row>
        <row r="372">
          <cell r="DK372" t="str">
            <v>More Group Plc</v>
          </cell>
          <cell r="DM372" t="str">
            <v>option</v>
          </cell>
          <cell r="DN372" t="str">
            <v>GBP</v>
          </cell>
          <cell r="DO372">
            <v>35795</v>
          </cell>
          <cell r="DQ372" t="e">
            <v>#VALUE!</v>
          </cell>
          <cell r="DS372">
            <v>145.649</v>
          </cell>
          <cell r="EC372" t="e">
            <v>#VALUE!</v>
          </cell>
          <cell r="EE372" t="e">
            <v>#VALUE!</v>
          </cell>
          <cell r="EG372">
            <v>39.027000000000001</v>
          </cell>
          <cell r="EI372">
            <v>0.2679524061270589</v>
          </cell>
          <cell r="EK372">
            <v>0</v>
          </cell>
          <cell r="EM372">
            <v>0</v>
          </cell>
          <cell r="EO372">
            <v>28.427</v>
          </cell>
          <cell r="EQ372">
            <v>0.1951747008218388</v>
          </cell>
          <cell r="ET372">
            <v>18.015000000000001</v>
          </cell>
          <cell r="EV372">
            <v>0.4330203976764147</v>
          </cell>
          <cell r="EX372">
            <v>0</v>
          </cell>
          <cell r="EZ372">
            <v>0</v>
          </cell>
          <cell r="FB372" t="e">
            <v>#VALUE!</v>
          </cell>
          <cell r="FD372">
            <v>60.052999999999997</v>
          </cell>
          <cell r="FF372">
            <v>23.481999999999999</v>
          </cell>
          <cell r="FH372">
            <v>0.50749999999999995</v>
          </cell>
          <cell r="FJ372">
            <v>0.58650000000000002</v>
          </cell>
          <cell r="FL372">
            <v>11.1</v>
          </cell>
          <cell r="FN372">
            <v>42.352004000000001</v>
          </cell>
          <cell r="FQ372" t="str">
            <v>More Group Plc</v>
          </cell>
          <cell r="FS372">
            <v>36.570999999999998</v>
          </cell>
          <cell r="FU372">
            <v>0.60897873545035219</v>
          </cell>
          <cell r="FW372" t="e">
            <v>#VALUE!</v>
          </cell>
          <cell r="FY372" t="e">
            <v>#VALUE!</v>
          </cell>
          <cell r="GA372">
            <v>470.10724440000001</v>
          </cell>
          <cell r="GC372">
            <v>506.67824440000004</v>
          </cell>
          <cell r="GF372">
            <v>3.4787622599537245</v>
          </cell>
          <cell r="GL372">
            <v>12.982761790555257</v>
          </cell>
          <cell r="GN372" t="e">
            <v>#DIV/0!</v>
          </cell>
          <cell r="GP372">
            <v>17.823838055369897</v>
          </cell>
          <cell r="GT372">
            <v>25.633896369691922</v>
          </cell>
          <cell r="GV372" t="e">
            <v>#DIV/0!</v>
          </cell>
          <cell r="HA372">
            <v>21.871921182266011</v>
          </cell>
          <cell r="HD372">
            <v>18.925831202046034</v>
          </cell>
          <cell r="HG372">
            <v>20.019897981432589</v>
          </cell>
          <cell r="HJ372">
            <v>16.428699786825092</v>
          </cell>
        </row>
        <row r="373">
          <cell r="DK373" t="str">
            <v xml:space="preserve"> -</v>
          </cell>
          <cell r="DL373" t="str">
            <v>UK  andd international outdoor advertising operator</v>
          </cell>
          <cell r="FL373">
            <v>0</v>
          </cell>
          <cell r="FN373">
            <v>0</v>
          </cell>
          <cell r="FQ373" t="str">
            <v xml:space="preserve"> -</v>
          </cell>
          <cell r="FR373" t="str">
            <v>UK  andd international outdoor advertising operator</v>
          </cell>
        </row>
        <row r="374">
          <cell r="DL374">
            <v>0</v>
          </cell>
          <cell r="FL374">
            <v>0</v>
          </cell>
          <cell r="FN374">
            <v>0</v>
          </cell>
          <cell r="FR374">
            <v>0</v>
          </cell>
        </row>
        <row r="375">
          <cell r="FL375">
            <v>0</v>
          </cell>
          <cell r="FN375">
            <v>0</v>
          </cell>
        </row>
        <row r="376">
          <cell r="DO376" t="str">
            <v>FY1</v>
          </cell>
          <cell r="DS376">
            <v>172.6</v>
          </cell>
          <cell r="EG376">
            <v>48.400000000000006</v>
          </cell>
          <cell r="EI376">
            <v>0.28041714947856322</v>
          </cell>
          <cell r="EK376">
            <v>0</v>
          </cell>
          <cell r="EM376">
            <v>0</v>
          </cell>
          <cell r="EO376">
            <v>35.200000000000003</v>
          </cell>
          <cell r="EQ376">
            <v>0.20393974507531867</v>
          </cell>
          <cell r="ET376">
            <v>23.9</v>
          </cell>
          <cell r="FH376">
            <v>0.50749999999999995</v>
          </cell>
          <cell r="GF376">
            <v>2.935563409038239</v>
          </cell>
          <cell r="GL376">
            <v>10.468558768595042</v>
          </cell>
          <cell r="GN376">
            <v>0</v>
          </cell>
          <cell r="GP376">
            <v>14.394268306818182</v>
          </cell>
          <cell r="GT376">
            <v>21.871921182266011</v>
          </cell>
          <cell r="GV376">
            <v>0</v>
          </cell>
        </row>
        <row r="377">
          <cell r="DO377" t="str">
            <v>FY2</v>
          </cell>
          <cell r="DS377">
            <v>199</v>
          </cell>
          <cell r="EG377">
            <v>54.7</v>
          </cell>
          <cell r="EI377">
            <v>0.27487437185929647</v>
          </cell>
          <cell r="EK377">
            <v>0</v>
          </cell>
          <cell r="EM377">
            <v>0</v>
          </cell>
          <cell r="EO377">
            <v>40.200000000000003</v>
          </cell>
          <cell r="EQ377">
            <v>0.20201005025125629</v>
          </cell>
          <cell r="ET377">
            <v>27.1</v>
          </cell>
          <cell r="FJ377">
            <v>0.58650000000000002</v>
          </cell>
          <cell r="GF377">
            <v>2.5461218311557792</v>
          </cell>
          <cell r="GL377">
            <v>9.2628563875685561</v>
          </cell>
          <cell r="GN377" t="str">
            <v>NM</v>
          </cell>
          <cell r="GP377">
            <v>12.603936427860697</v>
          </cell>
          <cell r="GT377">
            <v>18.925831202046034</v>
          </cell>
          <cell r="GV377">
            <v>0</v>
          </cell>
        </row>
        <row r="379">
          <cell r="DK379">
            <v>0</v>
          </cell>
          <cell r="DM379" t="str">
            <v>option</v>
          </cell>
          <cell r="DO379">
            <v>0</v>
          </cell>
          <cell r="DQ379">
            <v>0</v>
          </cell>
          <cell r="DS379">
            <v>0</v>
          </cell>
          <cell r="EC379" t="e">
            <v>#VALUE!</v>
          </cell>
          <cell r="EE379" t="e">
            <v>#VALUE!</v>
          </cell>
          <cell r="EG379">
            <v>0</v>
          </cell>
          <cell r="EI379" t="e">
            <v>#DIV/0!</v>
          </cell>
          <cell r="EK379">
            <v>0</v>
          </cell>
          <cell r="EM379">
            <v>0</v>
          </cell>
          <cell r="EO379">
            <v>0</v>
          </cell>
          <cell r="EQ379" t="e">
            <v>#DIV/0!</v>
          </cell>
          <cell r="ET379">
            <v>0</v>
          </cell>
          <cell r="FB379">
            <v>0</v>
          </cell>
          <cell r="FD379">
            <v>0</v>
          </cell>
          <cell r="FF379">
            <v>0</v>
          </cell>
          <cell r="FJ379">
            <v>0</v>
          </cell>
          <cell r="FL379">
            <v>0</v>
          </cell>
          <cell r="FN379">
            <v>0</v>
          </cell>
          <cell r="FQ379">
            <v>0</v>
          </cell>
          <cell r="FS379">
            <v>0</v>
          </cell>
          <cell r="FU379" t="e">
            <v>#DIV/0!</v>
          </cell>
          <cell r="FW379" t="e">
            <v>#DIV/0!</v>
          </cell>
          <cell r="FY379" t="e">
            <v>#DIV/0!</v>
          </cell>
          <cell r="GA379">
            <v>0</v>
          </cell>
          <cell r="GC379">
            <v>0</v>
          </cell>
          <cell r="GF379" t="e">
            <v>#DIV/0!</v>
          </cell>
          <cell r="GL379" t="e">
            <v>#DIV/0!</v>
          </cell>
          <cell r="GN379" t="e">
            <v>#DIV/0!</v>
          </cell>
          <cell r="GP379" t="e">
            <v>#DIV/0!</v>
          </cell>
          <cell r="GT379" t="e">
            <v>#DIV/0!</v>
          </cell>
          <cell r="GV379" t="e">
            <v>#DIV/0!</v>
          </cell>
          <cell r="HA379" t="e">
            <v>#DIV/0!</v>
          </cell>
          <cell r="HD379" t="e">
            <v>#DIV/0!</v>
          </cell>
          <cell r="HG379" t="e">
            <v>#DIV/0!</v>
          </cell>
          <cell r="HJ379" t="e">
            <v>#DIV/0!</v>
          </cell>
        </row>
        <row r="380">
          <cell r="DK380" t="str">
            <v xml:space="preserve"> -</v>
          </cell>
          <cell r="DL380">
            <v>0</v>
          </cell>
          <cell r="FL380">
            <v>0</v>
          </cell>
          <cell r="FN380">
            <v>0</v>
          </cell>
          <cell r="FQ380" t="str">
            <v xml:space="preserve"> -</v>
          </cell>
          <cell r="FR380">
            <v>0</v>
          </cell>
        </row>
        <row r="381">
          <cell r="DL381">
            <v>0</v>
          </cell>
          <cell r="FL381">
            <v>0</v>
          </cell>
          <cell r="FN381">
            <v>0</v>
          </cell>
          <cell r="FR381">
            <v>0</v>
          </cell>
        </row>
        <row r="382">
          <cell r="FL382">
            <v>0</v>
          </cell>
          <cell r="FN382">
            <v>0</v>
          </cell>
        </row>
        <row r="383">
          <cell r="DO383" t="str">
            <v>FY1</v>
          </cell>
          <cell r="DS383">
            <v>0</v>
          </cell>
          <cell r="EG383">
            <v>0</v>
          </cell>
          <cell r="EI383">
            <v>0</v>
          </cell>
          <cell r="EK383">
            <v>0</v>
          </cell>
          <cell r="EM383">
            <v>0</v>
          </cell>
          <cell r="EO383">
            <v>0</v>
          </cell>
          <cell r="EQ383">
            <v>0</v>
          </cell>
          <cell r="ET383">
            <v>0</v>
          </cell>
          <cell r="GF383">
            <v>0</v>
          </cell>
          <cell r="GL383">
            <v>0</v>
          </cell>
          <cell r="GN383">
            <v>0</v>
          </cell>
          <cell r="GP383">
            <v>0</v>
          </cell>
          <cell r="GT383">
            <v>0</v>
          </cell>
          <cell r="GV383">
            <v>0</v>
          </cell>
        </row>
        <row r="384">
          <cell r="DO384" t="str">
            <v>FY2</v>
          </cell>
          <cell r="DS384">
            <v>0</v>
          </cell>
          <cell r="EG384">
            <v>0</v>
          </cell>
          <cell r="EI384">
            <v>0</v>
          </cell>
          <cell r="EK384">
            <v>0</v>
          </cell>
          <cell r="EM384">
            <v>0</v>
          </cell>
          <cell r="EO384">
            <v>0</v>
          </cell>
          <cell r="EQ384">
            <v>0</v>
          </cell>
          <cell r="ET384">
            <v>0</v>
          </cell>
          <cell r="FJ384">
            <v>0</v>
          </cell>
          <cell r="GF384">
            <v>0</v>
          </cell>
          <cell r="GL384">
            <v>0</v>
          </cell>
          <cell r="GN384">
            <v>0</v>
          </cell>
          <cell r="GP384">
            <v>0</v>
          </cell>
          <cell r="GT384">
            <v>0</v>
          </cell>
          <cell r="GV384">
            <v>0</v>
          </cell>
        </row>
        <row r="386">
          <cell r="DK386">
            <v>0</v>
          </cell>
          <cell r="DM386" t="str">
            <v>option</v>
          </cell>
          <cell r="DO386">
            <v>0</v>
          </cell>
          <cell r="DQ386" t="e">
            <v>#VALUE!</v>
          </cell>
          <cell r="DS386">
            <v>0</v>
          </cell>
          <cell r="EC386" t="e">
            <v>#VALUE!</v>
          </cell>
          <cell r="EE386" t="e">
            <v>#VALUE!</v>
          </cell>
          <cell r="EG386">
            <v>0</v>
          </cell>
          <cell r="EI386" t="e">
            <v>#DIV/0!</v>
          </cell>
          <cell r="EK386">
            <v>0</v>
          </cell>
          <cell r="EM386">
            <v>0</v>
          </cell>
          <cell r="EO386">
            <v>0</v>
          </cell>
          <cell r="EQ386" t="e">
            <v>#DIV/0!</v>
          </cell>
          <cell r="ET386">
            <v>0</v>
          </cell>
          <cell r="FB386" t="e">
            <v>#VALUE!</v>
          </cell>
          <cell r="FD386">
            <v>0</v>
          </cell>
          <cell r="FF386">
            <v>0</v>
          </cell>
          <cell r="FJ386">
            <v>0</v>
          </cell>
          <cell r="FL386">
            <v>0</v>
          </cell>
          <cell r="FN386">
            <v>0</v>
          </cell>
          <cell r="FQ386">
            <v>0</v>
          </cell>
          <cell r="FS386">
            <v>0</v>
          </cell>
          <cell r="FU386" t="e">
            <v>#DIV/0!</v>
          </cell>
          <cell r="FW386" t="e">
            <v>#DIV/0!</v>
          </cell>
          <cell r="FY386" t="e">
            <v>#VALUE!</v>
          </cell>
          <cell r="GA386">
            <v>0</v>
          </cell>
          <cell r="GC386">
            <v>0</v>
          </cell>
          <cell r="GF386" t="e">
            <v>#DIV/0!</v>
          </cell>
          <cell r="GL386" t="e">
            <v>#DIV/0!</v>
          </cell>
          <cell r="GN386" t="e">
            <v>#DIV/0!</v>
          </cell>
          <cell r="GP386" t="e">
            <v>#DIV/0!</v>
          </cell>
          <cell r="GT386" t="e">
            <v>#DIV/0!</v>
          </cell>
          <cell r="GV386" t="e">
            <v>#DIV/0!</v>
          </cell>
          <cell r="HA386" t="e">
            <v>#DIV/0!</v>
          </cell>
          <cell r="HB386" t="str">
            <v>x</v>
          </cell>
          <cell r="HD386" t="e">
            <v>#DIV/0!</v>
          </cell>
          <cell r="HE386" t="str">
            <v>x</v>
          </cell>
          <cell r="HG386" t="e">
            <v>#DIV/0!</v>
          </cell>
          <cell r="HH386" t="str">
            <v>x</v>
          </cell>
          <cell r="HJ386" t="e">
            <v>#DIV/0!</v>
          </cell>
          <cell r="HK386" t="str">
            <v>x</v>
          </cell>
        </row>
        <row r="387">
          <cell r="DK387" t="str">
            <v xml:space="preserve"> -</v>
          </cell>
          <cell r="DL387">
            <v>0</v>
          </cell>
          <cell r="FL387">
            <v>0</v>
          </cell>
          <cell r="FN387">
            <v>0</v>
          </cell>
          <cell r="FQ387" t="str">
            <v xml:space="preserve"> -</v>
          </cell>
          <cell r="FR387">
            <v>0</v>
          </cell>
        </row>
        <row r="388">
          <cell r="DL388">
            <v>0</v>
          </cell>
          <cell r="FL388">
            <v>0</v>
          </cell>
          <cell r="FN388">
            <v>0</v>
          </cell>
          <cell r="FR388">
            <v>0</v>
          </cell>
        </row>
        <row r="389">
          <cell r="FL389">
            <v>0</v>
          </cell>
          <cell r="FN389">
            <v>0</v>
          </cell>
        </row>
        <row r="390">
          <cell r="DO390" t="str">
            <v>FY1</v>
          </cell>
          <cell r="DS390">
            <v>0</v>
          </cell>
          <cell r="EG390">
            <v>0</v>
          </cell>
          <cell r="EI390">
            <v>0</v>
          </cell>
          <cell r="EK390">
            <v>0</v>
          </cell>
          <cell r="EM390">
            <v>0</v>
          </cell>
          <cell r="EO390">
            <v>0</v>
          </cell>
          <cell r="EQ390">
            <v>0</v>
          </cell>
          <cell r="ET390">
            <v>0</v>
          </cell>
          <cell r="GF390">
            <v>0</v>
          </cell>
          <cell r="GL390">
            <v>0</v>
          </cell>
          <cell r="GN390">
            <v>0</v>
          </cell>
          <cell r="GP390">
            <v>0</v>
          </cell>
          <cell r="GT390">
            <v>0</v>
          </cell>
          <cell r="GV390">
            <v>0</v>
          </cell>
        </row>
        <row r="391">
          <cell r="DO391" t="str">
            <v>FY2</v>
          </cell>
          <cell r="DS391">
            <v>0</v>
          </cell>
          <cell r="EG391">
            <v>0</v>
          </cell>
          <cell r="EI391">
            <v>0</v>
          </cell>
          <cell r="EK391">
            <v>0</v>
          </cell>
          <cell r="EM391">
            <v>0</v>
          </cell>
          <cell r="EO391">
            <v>0</v>
          </cell>
          <cell r="EQ391">
            <v>0</v>
          </cell>
          <cell r="ET391">
            <v>0</v>
          </cell>
          <cell r="FJ391">
            <v>0</v>
          </cell>
          <cell r="GF391">
            <v>0</v>
          </cell>
          <cell r="GL391">
            <v>0</v>
          </cell>
          <cell r="GN391">
            <v>0</v>
          </cell>
          <cell r="GP391">
            <v>0</v>
          </cell>
          <cell r="GT391">
            <v>0</v>
          </cell>
          <cell r="GV391">
            <v>0</v>
          </cell>
        </row>
        <row r="393">
          <cell r="DK393">
            <v>0</v>
          </cell>
          <cell r="DM393" t="str">
            <v>option</v>
          </cell>
          <cell r="DO393">
            <v>0</v>
          </cell>
          <cell r="DQ393" t="e">
            <v>#VALUE!</v>
          </cell>
          <cell r="DS393">
            <v>0</v>
          </cell>
          <cell r="EC393">
            <v>0</v>
          </cell>
          <cell r="EE393" t="e">
            <v>#DIV/0!</v>
          </cell>
          <cell r="EG393">
            <v>0</v>
          </cell>
          <cell r="EI393" t="e">
            <v>#DIV/0!</v>
          </cell>
          <cell r="EK393">
            <v>0</v>
          </cell>
          <cell r="EM393">
            <v>0</v>
          </cell>
          <cell r="EO393">
            <v>0</v>
          </cell>
          <cell r="EQ393" t="e">
            <v>#DIV/0!</v>
          </cell>
          <cell r="ET393">
            <v>0</v>
          </cell>
          <cell r="FB393" t="e">
            <v>#VALUE!</v>
          </cell>
          <cell r="FD393">
            <v>0</v>
          </cell>
          <cell r="FF393">
            <v>0</v>
          </cell>
          <cell r="FJ393">
            <v>0</v>
          </cell>
          <cell r="FL393">
            <v>0</v>
          </cell>
          <cell r="FN393">
            <v>0</v>
          </cell>
          <cell r="FQ393">
            <v>0</v>
          </cell>
          <cell r="FS393">
            <v>0</v>
          </cell>
          <cell r="FU393" t="e">
            <v>#DIV/0!</v>
          </cell>
          <cell r="FW393" t="e">
            <v>#VALUE!</v>
          </cell>
          <cell r="FY393" t="e">
            <v>#VALUE!</v>
          </cell>
          <cell r="GA393">
            <v>0</v>
          </cell>
          <cell r="GC393">
            <v>0</v>
          </cell>
          <cell r="GF393" t="e">
            <v>#DIV/0!</v>
          </cell>
          <cell r="GL393" t="e">
            <v>#DIV/0!</v>
          </cell>
          <cell r="GN393" t="e">
            <v>#DIV/0!</v>
          </cell>
          <cell r="GP393" t="e">
            <v>#DIV/0!</v>
          </cell>
          <cell r="GT393" t="e">
            <v>#DIV/0!</v>
          </cell>
          <cell r="GV393" t="e">
            <v>#DIV/0!</v>
          </cell>
          <cell r="HA393" t="e">
            <v>#DIV/0!</v>
          </cell>
          <cell r="HD393" t="e">
            <v>#DIV/0!</v>
          </cell>
          <cell r="HG393" t="e">
            <v>#DIV/0!</v>
          </cell>
          <cell r="HJ393" t="e">
            <v>#DIV/0!</v>
          </cell>
        </row>
        <row r="394">
          <cell r="DK394" t="str">
            <v xml:space="preserve"> -</v>
          </cell>
          <cell r="DL394">
            <v>0</v>
          </cell>
          <cell r="FL394">
            <v>0</v>
          </cell>
          <cell r="FN394">
            <v>0</v>
          </cell>
          <cell r="FQ394" t="str">
            <v xml:space="preserve"> -</v>
          </cell>
          <cell r="FR394">
            <v>0</v>
          </cell>
        </row>
        <row r="395">
          <cell r="DL395">
            <v>0</v>
          </cell>
          <cell r="FL395">
            <v>0</v>
          </cell>
          <cell r="FN395">
            <v>0</v>
          </cell>
          <cell r="FR395">
            <v>0</v>
          </cell>
        </row>
        <row r="396">
          <cell r="FL396">
            <v>0</v>
          </cell>
          <cell r="FN396">
            <v>0</v>
          </cell>
        </row>
        <row r="397">
          <cell r="DO397" t="str">
            <v>FY1</v>
          </cell>
          <cell r="DS397">
            <v>0</v>
          </cell>
          <cell r="EG397">
            <v>0</v>
          </cell>
          <cell r="EI397">
            <v>0</v>
          </cell>
          <cell r="EK397">
            <v>0</v>
          </cell>
          <cell r="EM397">
            <v>0</v>
          </cell>
          <cell r="EO397">
            <v>0</v>
          </cell>
          <cell r="EQ397">
            <v>0</v>
          </cell>
          <cell r="ET397">
            <v>0</v>
          </cell>
          <cell r="GF397">
            <v>0</v>
          </cell>
          <cell r="GL397">
            <v>0</v>
          </cell>
          <cell r="GN397">
            <v>0</v>
          </cell>
          <cell r="GP397">
            <v>0</v>
          </cell>
          <cell r="GT397">
            <v>0</v>
          </cell>
          <cell r="GV397">
            <v>0</v>
          </cell>
        </row>
        <row r="398">
          <cell r="DO398" t="str">
            <v>FY2</v>
          </cell>
          <cell r="DS398">
            <v>0</v>
          </cell>
          <cell r="EG398">
            <v>0</v>
          </cell>
          <cell r="EI398">
            <v>0</v>
          </cell>
          <cell r="EK398">
            <v>0</v>
          </cell>
          <cell r="EM398">
            <v>0</v>
          </cell>
          <cell r="EO398">
            <v>0</v>
          </cell>
          <cell r="EQ398">
            <v>0</v>
          </cell>
          <cell r="ET398">
            <v>0</v>
          </cell>
          <cell r="FJ398">
            <v>0</v>
          </cell>
          <cell r="GF398">
            <v>0</v>
          </cell>
          <cell r="GL398">
            <v>0</v>
          </cell>
          <cell r="GN398">
            <v>0</v>
          </cell>
          <cell r="GP398">
            <v>0</v>
          </cell>
          <cell r="GT398">
            <v>0</v>
          </cell>
          <cell r="GV398">
            <v>0</v>
          </cell>
        </row>
        <row r="400">
          <cell r="DK400">
            <v>0</v>
          </cell>
          <cell r="DM400" t="str">
            <v>option</v>
          </cell>
          <cell r="DO400">
            <v>0</v>
          </cell>
          <cell r="DQ400" t="e">
            <v>#VALUE!</v>
          </cell>
          <cell r="DS400">
            <v>0</v>
          </cell>
          <cell r="EC400" t="e">
            <v>#VALUE!</v>
          </cell>
          <cell r="EE400" t="e">
            <v>#VALUE!</v>
          </cell>
          <cell r="EG400">
            <v>0</v>
          </cell>
          <cell r="EI400" t="e">
            <v>#DIV/0!</v>
          </cell>
          <cell r="EK400">
            <v>0</v>
          </cell>
          <cell r="EM400">
            <v>0</v>
          </cell>
          <cell r="EO400">
            <v>0</v>
          </cell>
          <cell r="EQ400" t="e">
            <v>#DIV/0!</v>
          </cell>
          <cell r="ET400">
            <v>0</v>
          </cell>
          <cell r="FB400" t="e">
            <v>#VALUE!</v>
          </cell>
          <cell r="FD400">
            <v>0</v>
          </cell>
          <cell r="FF400">
            <v>0</v>
          </cell>
          <cell r="FJ400">
            <v>0</v>
          </cell>
          <cell r="FL400">
            <v>0</v>
          </cell>
          <cell r="FN400">
            <v>0</v>
          </cell>
          <cell r="FQ400">
            <v>0</v>
          </cell>
          <cell r="FS400">
            <v>0</v>
          </cell>
          <cell r="FU400" t="e">
            <v>#DIV/0!</v>
          </cell>
          <cell r="FW400" t="e">
            <v>#VALUE!</v>
          </cell>
          <cell r="FY400" t="e">
            <v>#VALUE!</v>
          </cell>
          <cell r="GA400">
            <v>0</v>
          </cell>
          <cell r="GC400">
            <v>0</v>
          </cell>
          <cell r="GF400" t="e">
            <v>#DIV/0!</v>
          </cell>
          <cell r="GL400" t="e">
            <v>#DIV/0!</v>
          </cell>
          <cell r="GN400" t="e">
            <v>#DIV/0!</v>
          </cell>
          <cell r="GP400" t="e">
            <v>#DIV/0!</v>
          </cell>
          <cell r="GT400" t="e">
            <v>#DIV/0!</v>
          </cell>
          <cell r="GV400" t="e">
            <v>#DIV/0!</v>
          </cell>
          <cell r="HA400" t="e">
            <v>#DIV/0!</v>
          </cell>
          <cell r="HD400" t="e">
            <v>#DIV/0!</v>
          </cell>
          <cell r="HG400" t="e">
            <v>#DIV/0!</v>
          </cell>
          <cell r="HJ400" t="e">
            <v>#DIV/0!</v>
          </cell>
        </row>
        <row r="401">
          <cell r="DK401" t="str">
            <v xml:space="preserve"> -</v>
          </cell>
          <cell r="DL401">
            <v>0</v>
          </cell>
          <cell r="FL401">
            <v>0</v>
          </cell>
          <cell r="FN401">
            <v>0</v>
          </cell>
          <cell r="FQ401" t="str">
            <v xml:space="preserve"> -</v>
          </cell>
          <cell r="FR401">
            <v>0</v>
          </cell>
        </row>
        <row r="402">
          <cell r="DL402">
            <v>0</v>
          </cell>
          <cell r="FL402">
            <v>0</v>
          </cell>
          <cell r="FN402">
            <v>0</v>
          </cell>
          <cell r="FR402">
            <v>0</v>
          </cell>
        </row>
        <row r="403">
          <cell r="FL403">
            <v>0</v>
          </cell>
          <cell r="FN403">
            <v>0</v>
          </cell>
        </row>
        <row r="404">
          <cell r="DO404" t="str">
            <v>FY1</v>
          </cell>
          <cell r="DS404">
            <v>0</v>
          </cell>
          <cell r="EG404">
            <v>0</v>
          </cell>
          <cell r="EI404">
            <v>0</v>
          </cell>
          <cell r="EK404">
            <v>0</v>
          </cell>
          <cell r="EM404">
            <v>0</v>
          </cell>
          <cell r="EO404">
            <v>0</v>
          </cell>
          <cell r="EQ404">
            <v>0</v>
          </cell>
          <cell r="ET404">
            <v>0</v>
          </cell>
          <cell r="GF404">
            <v>0</v>
          </cell>
          <cell r="GL404">
            <v>0</v>
          </cell>
          <cell r="GN404">
            <v>0</v>
          </cell>
          <cell r="GP404">
            <v>0</v>
          </cell>
          <cell r="GT404">
            <v>0</v>
          </cell>
          <cell r="GV404">
            <v>0</v>
          </cell>
        </row>
        <row r="405">
          <cell r="DO405" t="str">
            <v>FY2</v>
          </cell>
          <cell r="DS405">
            <v>0</v>
          </cell>
          <cell r="EG405">
            <v>0</v>
          </cell>
          <cell r="EI405">
            <v>0</v>
          </cell>
          <cell r="EK405">
            <v>0</v>
          </cell>
          <cell r="EM405">
            <v>0</v>
          </cell>
          <cell r="EO405">
            <v>0</v>
          </cell>
          <cell r="EQ405">
            <v>0</v>
          </cell>
          <cell r="ET405">
            <v>0</v>
          </cell>
          <cell r="FJ405">
            <v>0</v>
          </cell>
          <cell r="GF405">
            <v>0</v>
          </cell>
          <cell r="GL405">
            <v>0</v>
          </cell>
          <cell r="GN405">
            <v>0</v>
          </cell>
          <cell r="GP405">
            <v>0</v>
          </cell>
          <cell r="GT405">
            <v>0</v>
          </cell>
          <cell r="GV405">
            <v>0</v>
          </cell>
        </row>
        <row r="407">
          <cell r="DK407">
            <v>0</v>
          </cell>
          <cell r="DM407" t="str">
            <v>option</v>
          </cell>
          <cell r="DO407">
            <v>0</v>
          </cell>
          <cell r="DQ407" t="e">
            <v>#VALUE!</v>
          </cell>
          <cell r="DS407">
            <v>0</v>
          </cell>
          <cell r="EC407" t="e">
            <v>#VALUE!</v>
          </cell>
          <cell r="EE407" t="e">
            <v>#VALUE!</v>
          </cell>
          <cell r="EG407">
            <v>0</v>
          </cell>
          <cell r="EI407" t="e">
            <v>#DIV/0!</v>
          </cell>
          <cell r="EK407">
            <v>0</v>
          </cell>
          <cell r="EM407">
            <v>0</v>
          </cell>
          <cell r="EO407">
            <v>0</v>
          </cell>
          <cell r="EQ407" t="e">
            <v>#DIV/0!</v>
          </cell>
          <cell r="ET407">
            <v>0</v>
          </cell>
          <cell r="FB407" t="e">
            <v>#VALUE!</v>
          </cell>
          <cell r="FD407">
            <v>0</v>
          </cell>
          <cell r="FF407">
            <v>0</v>
          </cell>
          <cell r="FJ407">
            <v>0</v>
          </cell>
          <cell r="FL407">
            <v>0</v>
          </cell>
          <cell r="FN407">
            <v>0</v>
          </cell>
          <cell r="FQ407">
            <v>0</v>
          </cell>
          <cell r="FS407">
            <v>0</v>
          </cell>
          <cell r="FU407" t="e">
            <v>#DIV/0!</v>
          </cell>
          <cell r="FW407" t="e">
            <v>#VALUE!</v>
          </cell>
          <cell r="FY407" t="e">
            <v>#VALUE!</v>
          </cell>
          <cell r="GA407">
            <v>0</v>
          </cell>
          <cell r="GC407">
            <v>0</v>
          </cell>
          <cell r="GF407" t="e">
            <v>#DIV/0!</v>
          </cell>
          <cell r="GL407" t="e">
            <v>#DIV/0!</v>
          </cell>
          <cell r="GN407" t="e">
            <v>#DIV/0!</v>
          </cell>
          <cell r="GP407" t="e">
            <v>#DIV/0!</v>
          </cell>
          <cell r="GT407" t="e">
            <v>#DIV/0!</v>
          </cell>
          <cell r="GV407" t="e">
            <v>#DIV/0!</v>
          </cell>
          <cell r="HA407" t="e">
            <v>#DIV/0!</v>
          </cell>
          <cell r="HD407" t="e">
            <v>#DIV/0!</v>
          </cell>
          <cell r="HG407" t="e">
            <v>#DIV/0!</v>
          </cell>
          <cell r="HJ407" t="e">
            <v>#DIV/0!</v>
          </cell>
        </row>
        <row r="408">
          <cell r="DK408" t="str">
            <v xml:space="preserve"> -</v>
          </cell>
          <cell r="DL408">
            <v>0</v>
          </cell>
          <cell r="FL408">
            <v>0</v>
          </cell>
          <cell r="FN408">
            <v>0</v>
          </cell>
          <cell r="FQ408" t="str">
            <v xml:space="preserve"> -</v>
          </cell>
          <cell r="FR408">
            <v>0</v>
          </cell>
        </row>
        <row r="409">
          <cell r="DL409">
            <v>0</v>
          </cell>
          <cell r="FL409">
            <v>0</v>
          </cell>
          <cell r="FN409">
            <v>0</v>
          </cell>
          <cell r="FR409">
            <v>0</v>
          </cell>
        </row>
        <row r="410">
          <cell r="FL410">
            <v>0</v>
          </cell>
          <cell r="FN410">
            <v>0</v>
          </cell>
        </row>
        <row r="411">
          <cell r="DO411" t="str">
            <v>FY1</v>
          </cell>
          <cell r="DS411">
            <v>0</v>
          </cell>
          <cell r="EG411">
            <v>0</v>
          </cell>
          <cell r="EI411">
            <v>0</v>
          </cell>
          <cell r="EK411">
            <v>0</v>
          </cell>
          <cell r="EM411">
            <v>0</v>
          </cell>
          <cell r="EO411">
            <v>0</v>
          </cell>
          <cell r="EQ411">
            <v>0</v>
          </cell>
          <cell r="ET411">
            <v>0</v>
          </cell>
          <cell r="GF411">
            <v>0</v>
          </cell>
          <cell r="GL411">
            <v>0</v>
          </cell>
          <cell r="GN411">
            <v>0</v>
          </cell>
          <cell r="GP411">
            <v>0</v>
          </cell>
          <cell r="GT411">
            <v>0</v>
          </cell>
          <cell r="GV411">
            <v>0</v>
          </cell>
        </row>
        <row r="412">
          <cell r="DO412" t="str">
            <v>FY2</v>
          </cell>
          <cell r="DS412">
            <v>0</v>
          </cell>
          <cell r="EG412">
            <v>0</v>
          </cell>
          <cell r="EI412">
            <v>0</v>
          </cell>
          <cell r="EK412">
            <v>0</v>
          </cell>
          <cell r="EM412">
            <v>0</v>
          </cell>
          <cell r="EO412">
            <v>0</v>
          </cell>
          <cell r="EQ412">
            <v>0</v>
          </cell>
          <cell r="ET412">
            <v>0</v>
          </cell>
          <cell r="FJ412">
            <v>0</v>
          </cell>
          <cell r="GF412">
            <v>0</v>
          </cell>
          <cell r="GL412">
            <v>0</v>
          </cell>
          <cell r="GN412">
            <v>0</v>
          </cell>
          <cell r="GP412">
            <v>0</v>
          </cell>
          <cell r="GT412">
            <v>0</v>
          </cell>
          <cell r="GV412">
            <v>0</v>
          </cell>
        </row>
        <row r="414">
          <cell r="DK414">
            <v>0</v>
          </cell>
          <cell r="DM414" t="str">
            <v>option</v>
          </cell>
          <cell r="DO414">
            <v>0</v>
          </cell>
          <cell r="DQ414" t="e">
            <v>#VALUE!</v>
          </cell>
          <cell r="DS414">
            <v>0</v>
          </cell>
          <cell r="EC414" t="e">
            <v>#VALUE!</v>
          </cell>
          <cell r="EE414" t="e">
            <v>#VALUE!</v>
          </cell>
          <cell r="EG414">
            <v>0</v>
          </cell>
          <cell r="EI414" t="e">
            <v>#DIV/0!</v>
          </cell>
          <cell r="EK414">
            <v>0</v>
          </cell>
          <cell r="EM414">
            <v>0</v>
          </cell>
          <cell r="EO414">
            <v>0</v>
          </cell>
          <cell r="EQ414" t="e">
            <v>#DIV/0!</v>
          </cell>
          <cell r="ET414">
            <v>0</v>
          </cell>
          <cell r="FB414" t="e">
            <v>#VALUE!</v>
          </cell>
          <cell r="FD414">
            <v>0</v>
          </cell>
          <cell r="FF414">
            <v>0</v>
          </cell>
          <cell r="FJ414">
            <v>0</v>
          </cell>
          <cell r="FL414">
            <v>0</v>
          </cell>
          <cell r="FN414">
            <v>0</v>
          </cell>
          <cell r="FQ414">
            <v>0</v>
          </cell>
          <cell r="FS414">
            <v>0</v>
          </cell>
          <cell r="FU414" t="e">
            <v>#DIV/0!</v>
          </cell>
          <cell r="FW414" t="e">
            <v>#VALUE!</v>
          </cell>
          <cell r="FY414" t="e">
            <v>#VALUE!</v>
          </cell>
          <cell r="GA414">
            <v>0</v>
          </cell>
          <cell r="GC414">
            <v>0</v>
          </cell>
          <cell r="GF414" t="e">
            <v>#DIV/0!</v>
          </cell>
          <cell r="GL414" t="e">
            <v>#DIV/0!</v>
          </cell>
          <cell r="GN414" t="e">
            <v>#DIV/0!</v>
          </cell>
          <cell r="GP414" t="e">
            <v>#DIV/0!</v>
          </cell>
          <cell r="GT414" t="e">
            <v>#DIV/0!</v>
          </cell>
          <cell r="GV414" t="e">
            <v>#DIV/0!</v>
          </cell>
          <cell r="HA414" t="e">
            <v>#DIV/0!</v>
          </cell>
          <cell r="HD414" t="e">
            <v>#DIV/0!</v>
          </cell>
          <cell r="HG414" t="e">
            <v>#DIV/0!</v>
          </cell>
          <cell r="HJ414" t="e">
            <v>#DIV/0!</v>
          </cell>
        </row>
        <row r="415">
          <cell r="DK415" t="str">
            <v xml:space="preserve"> -</v>
          </cell>
          <cell r="DL415">
            <v>0</v>
          </cell>
          <cell r="FL415">
            <v>0</v>
          </cell>
          <cell r="FN415">
            <v>0</v>
          </cell>
          <cell r="FQ415" t="str">
            <v xml:space="preserve"> -</v>
          </cell>
          <cell r="FR415">
            <v>0</v>
          </cell>
        </row>
        <row r="416">
          <cell r="DL416">
            <v>0</v>
          </cell>
          <cell r="FL416">
            <v>0</v>
          </cell>
          <cell r="FN416">
            <v>0</v>
          </cell>
          <cell r="FR416">
            <v>0</v>
          </cell>
        </row>
        <row r="417">
          <cell r="FL417">
            <v>0</v>
          </cell>
          <cell r="FN417">
            <v>0</v>
          </cell>
        </row>
        <row r="418">
          <cell r="DO418" t="str">
            <v>FY1</v>
          </cell>
          <cell r="DS418">
            <v>0</v>
          </cell>
          <cell r="EG418">
            <v>0</v>
          </cell>
          <cell r="EI418">
            <v>0</v>
          </cell>
          <cell r="EK418">
            <v>0</v>
          </cell>
          <cell r="EM418">
            <v>0</v>
          </cell>
          <cell r="EO418">
            <v>0</v>
          </cell>
          <cell r="EQ418">
            <v>0</v>
          </cell>
          <cell r="ET418">
            <v>0</v>
          </cell>
          <cell r="GF418">
            <v>0</v>
          </cell>
          <cell r="GL418">
            <v>0</v>
          </cell>
          <cell r="GN418">
            <v>0</v>
          </cell>
          <cell r="GP418">
            <v>0</v>
          </cell>
          <cell r="GT418">
            <v>0</v>
          </cell>
          <cell r="GV418">
            <v>0</v>
          </cell>
        </row>
        <row r="419">
          <cell r="DO419" t="str">
            <v>FY2</v>
          </cell>
          <cell r="DS419">
            <v>0</v>
          </cell>
          <cell r="EG419">
            <v>0</v>
          </cell>
          <cell r="EI419">
            <v>0</v>
          </cell>
          <cell r="EK419">
            <v>0</v>
          </cell>
          <cell r="EM419">
            <v>0</v>
          </cell>
          <cell r="EO419">
            <v>0</v>
          </cell>
          <cell r="EQ419">
            <v>0</v>
          </cell>
          <cell r="ET419">
            <v>0</v>
          </cell>
          <cell r="FJ419">
            <v>0</v>
          </cell>
          <cell r="GF419">
            <v>0</v>
          </cell>
          <cell r="GL419">
            <v>0</v>
          </cell>
          <cell r="GN419">
            <v>0</v>
          </cell>
          <cell r="GP419">
            <v>0</v>
          </cell>
          <cell r="GT419">
            <v>0</v>
          </cell>
          <cell r="GV419">
            <v>0</v>
          </cell>
        </row>
        <row r="421">
          <cell r="DK421">
            <v>0</v>
          </cell>
          <cell r="DM421" t="str">
            <v>option</v>
          </cell>
          <cell r="DO421">
            <v>0</v>
          </cell>
          <cell r="DQ421" t="e">
            <v>#VALUE!</v>
          </cell>
          <cell r="DS421">
            <v>0</v>
          </cell>
          <cell r="EC421" t="e">
            <v>#VALUE!</v>
          </cell>
          <cell r="EE421" t="e">
            <v>#VALUE!</v>
          </cell>
          <cell r="EG421">
            <v>0</v>
          </cell>
          <cell r="EI421" t="e">
            <v>#DIV/0!</v>
          </cell>
          <cell r="EK421">
            <v>0</v>
          </cell>
          <cell r="EM421">
            <v>0</v>
          </cell>
          <cell r="EO421">
            <v>0</v>
          </cell>
          <cell r="EQ421" t="e">
            <v>#DIV/0!</v>
          </cell>
          <cell r="ET421">
            <v>0</v>
          </cell>
          <cell r="FB421" t="e">
            <v>#VALUE!</v>
          </cell>
          <cell r="FD421">
            <v>0</v>
          </cell>
          <cell r="FF421">
            <v>0</v>
          </cell>
          <cell r="FJ421">
            <v>0</v>
          </cell>
          <cell r="FL421">
            <v>0</v>
          </cell>
          <cell r="FN421">
            <v>0</v>
          </cell>
          <cell r="FQ421">
            <v>0</v>
          </cell>
          <cell r="FS421">
            <v>0</v>
          </cell>
          <cell r="FU421" t="e">
            <v>#DIV/0!</v>
          </cell>
          <cell r="FW421" t="e">
            <v>#VALUE!</v>
          </cell>
          <cell r="FY421" t="e">
            <v>#VALUE!</v>
          </cell>
          <cell r="GA421">
            <v>0</v>
          </cell>
          <cell r="GC421">
            <v>0</v>
          </cell>
          <cell r="GF421" t="e">
            <v>#DIV/0!</v>
          </cell>
          <cell r="GL421" t="e">
            <v>#DIV/0!</v>
          </cell>
          <cell r="GN421" t="e">
            <v>#DIV/0!</v>
          </cell>
          <cell r="GP421" t="e">
            <v>#DIV/0!</v>
          </cell>
          <cell r="GT421" t="e">
            <v>#DIV/0!</v>
          </cell>
          <cell r="GV421" t="e">
            <v>#DIV/0!</v>
          </cell>
          <cell r="HA421" t="e">
            <v>#DIV/0!</v>
          </cell>
          <cell r="HD421" t="e">
            <v>#DIV/0!</v>
          </cell>
          <cell r="HG421" t="e">
            <v>#DIV/0!</v>
          </cell>
          <cell r="HJ421" t="e">
            <v>#DIV/0!</v>
          </cell>
        </row>
        <row r="422">
          <cell r="DK422" t="str">
            <v xml:space="preserve"> -</v>
          </cell>
          <cell r="DL422">
            <v>0</v>
          </cell>
          <cell r="FL422">
            <v>0</v>
          </cell>
          <cell r="FN422">
            <v>0</v>
          </cell>
          <cell r="FQ422" t="str">
            <v xml:space="preserve"> -</v>
          </cell>
          <cell r="FR422">
            <v>0</v>
          </cell>
        </row>
        <row r="423">
          <cell r="DL423">
            <v>0</v>
          </cell>
          <cell r="FL423">
            <v>0</v>
          </cell>
          <cell r="FN423">
            <v>0</v>
          </cell>
          <cell r="FR423">
            <v>0</v>
          </cell>
        </row>
        <row r="424">
          <cell r="FL424">
            <v>0</v>
          </cell>
          <cell r="FN424">
            <v>0</v>
          </cell>
        </row>
        <row r="425">
          <cell r="DO425" t="str">
            <v>FY1</v>
          </cell>
          <cell r="DS425">
            <v>0</v>
          </cell>
          <cell r="EG425">
            <v>0</v>
          </cell>
          <cell r="EI425">
            <v>0</v>
          </cell>
          <cell r="EK425">
            <v>0</v>
          </cell>
          <cell r="EM425">
            <v>0</v>
          </cell>
          <cell r="EO425">
            <v>0</v>
          </cell>
          <cell r="EQ425">
            <v>0</v>
          </cell>
          <cell r="ET425">
            <v>0</v>
          </cell>
          <cell r="GF425">
            <v>0</v>
          </cell>
          <cell r="GL425">
            <v>0</v>
          </cell>
          <cell r="GN425">
            <v>0</v>
          </cell>
          <cell r="GP425">
            <v>0</v>
          </cell>
          <cell r="GT425">
            <v>0</v>
          </cell>
          <cell r="GV425">
            <v>0</v>
          </cell>
        </row>
        <row r="426">
          <cell r="DO426" t="str">
            <v>FY2</v>
          </cell>
          <cell r="DS426">
            <v>0</v>
          </cell>
          <cell r="EG426">
            <v>0</v>
          </cell>
          <cell r="EI426">
            <v>0</v>
          </cell>
          <cell r="EK426">
            <v>0</v>
          </cell>
          <cell r="EM426">
            <v>0</v>
          </cell>
          <cell r="EO426">
            <v>0</v>
          </cell>
          <cell r="EQ426">
            <v>0</v>
          </cell>
          <cell r="ET426">
            <v>0</v>
          </cell>
          <cell r="FJ426">
            <v>0</v>
          </cell>
          <cell r="GF426">
            <v>0</v>
          </cell>
          <cell r="GL426">
            <v>0</v>
          </cell>
          <cell r="GN426">
            <v>0</v>
          </cell>
          <cell r="GP426">
            <v>0</v>
          </cell>
          <cell r="GT426">
            <v>0</v>
          </cell>
          <cell r="GV426">
            <v>0</v>
          </cell>
        </row>
        <row r="428">
          <cell r="DK428">
            <v>0</v>
          </cell>
          <cell r="DM428" t="str">
            <v>option</v>
          </cell>
          <cell r="DO428">
            <v>0</v>
          </cell>
          <cell r="DQ428" t="e">
            <v>#VALUE!</v>
          </cell>
          <cell r="DS428">
            <v>0</v>
          </cell>
          <cell r="EC428" t="e">
            <v>#VALUE!</v>
          </cell>
          <cell r="EE428" t="e">
            <v>#VALUE!</v>
          </cell>
          <cell r="EG428">
            <v>0</v>
          </cell>
          <cell r="EI428" t="e">
            <v>#DIV/0!</v>
          </cell>
          <cell r="EK428">
            <v>0</v>
          </cell>
          <cell r="EM428">
            <v>0</v>
          </cell>
          <cell r="EO428">
            <v>0</v>
          </cell>
          <cell r="EQ428" t="e">
            <v>#DIV/0!</v>
          </cell>
          <cell r="ET428">
            <v>0</v>
          </cell>
          <cell r="FB428" t="e">
            <v>#VALUE!</v>
          </cell>
          <cell r="FD428">
            <v>0</v>
          </cell>
          <cell r="FF428">
            <v>0</v>
          </cell>
          <cell r="FJ428">
            <v>0</v>
          </cell>
          <cell r="FL428">
            <v>0</v>
          </cell>
          <cell r="FN428">
            <v>0</v>
          </cell>
          <cell r="FQ428">
            <v>0</v>
          </cell>
          <cell r="FS428">
            <v>0</v>
          </cell>
          <cell r="FU428" t="e">
            <v>#DIV/0!</v>
          </cell>
          <cell r="FW428" t="e">
            <v>#VALUE!</v>
          </cell>
          <cell r="FY428" t="e">
            <v>#VALUE!</v>
          </cell>
          <cell r="GA428">
            <v>0</v>
          </cell>
          <cell r="GC428">
            <v>0</v>
          </cell>
          <cell r="GF428" t="e">
            <v>#DIV/0!</v>
          </cell>
          <cell r="GL428" t="e">
            <v>#DIV/0!</v>
          </cell>
          <cell r="GN428" t="e">
            <v>#DIV/0!</v>
          </cell>
          <cell r="GP428" t="e">
            <v>#DIV/0!</v>
          </cell>
          <cell r="GT428" t="e">
            <v>#DIV/0!</v>
          </cell>
          <cell r="GV428" t="e">
            <v>#DIV/0!</v>
          </cell>
          <cell r="HA428" t="e">
            <v>#DIV/0!</v>
          </cell>
          <cell r="HD428" t="e">
            <v>#DIV/0!</v>
          </cell>
          <cell r="HG428" t="e">
            <v>#DIV/0!</v>
          </cell>
          <cell r="HJ428" t="e">
            <v>#DIV/0!</v>
          </cell>
        </row>
        <row r="429">
          <cell r="DK429" t="str">
            <v xml:space="preserve"> -</v>
          </cell>
          <cell r="DL429">
            <v>0</v>
          </cell>
          <cell r="FL429">
            <v>0</v>
          </cell>
          <cell r="FN429">
            <v>0</v>
          </cell>
          <cell r="FQ429" t="str">
            <v xml:space="preserve"> -</v>
          </cell>
          <cell r="FR429">
            <v>0</v>
          </cell>
        </row>
        <row r="430">
          <cell r="DL430">
            <v>0</v>
          </cell>
          <cell r="FL430">
            <v>0</v>
          </cell>
          <cell r="FN430">
            <v>0</v>
          </cell>
          <cell r="FR430">
            <v>0</v>
          </cell>
        </row>
        <row r="431">
          <cell r="FL431">
            <v>0</v>
          </cell>
          <cell r="FN431">
            <v>0</v>
          </cell>
        </row>
        <row r="432">
          <cell r="DO432" t="str">
            <v>FY1</v>
          </cell>
          <cell r="DS432">
            <v>0</v>
          </cell>
          <cell r="EG432">
            <v>0</v>
          </cell>
          <cell r="EI432">
            <v>0</v>
          </cell>
          <cell r="EK432">
            <v>0</v>
          </cell>
          <cell r="EM432">
            <v>0</v>
          </cell>
          <cell r="EO432">
            <v>0</v>
          </cell>
          <cell r="EQ432">
            <v>0</v>
          </cell>
          <cell r="ET432">
            <v>0</v>
          </cell>
          <cell r="GF432">
            <v>0</v>
          </cell>
          <cell r="GL432">
            <v>0</v>
          </cell>
          <cell r="GN432">
            <v>0</v>
          </cell>
          <cell r="GP432">
            <v>0</v>
          </cell>
          <cell r="GT432">
            <v>0</v>
          </cell>
          <cell r="GV432">
            <v>0</v>
          </cell>
        </row>
        <row r="433">
          <cell r="DO433" t="str">
            <v>FY2</v>
          </cell>
          <cell r="DS433">
            <v>0</v>
          </cell>
          <cell r="EG433">
            <v>0</v>
          </cell>
          <cell r="EI433">
            <v>0</v>
          </cell>
          <cell r="EK433">
            <v>0</v>
          </cell>
          <cell r="EM433">
            <v>0</v>
          </cell>
          <cell r="EO433">
            <v>0</v>
          </cell>
          <cell r="EQ433">
            <v>0</v>
          </cell>
          <cell r="ET433">
            <v>0</v>
          </cell>
          <cell r="FJ433">
            <v>0</v>
          </cell>
          <cell r="GF433">
            <v>0</v>
          </cell>
          <cell r="GL433">
            <v>0</v>
          </cell>
          <cell r="GN433">
            <v>0</v>
          </cell>
          <cell r="GP433">
            <v>0</v>
          </cell>
          <cell r="GT433">
            <v>0</v>
          </cell>
          <cell r="GV433">
            <v>0</v>
          </cell>
        </row>
        <row r="435">
          <cell r="DK435">
            <v>0</v>
          </cell>
          <cell r="DM435" t="str">
            <v>option</v>
          </cell>
          <cell r="DO435">
            <v>0</v>
          </cell>
          <cell r="DQ435" t="e">
            <v>#VALUE!</v>
          </cell>
          <cell r="DS435">
            <v>0</v>
          </cell>
          <cell r="EC435" t="e">
            <v>#VALUE!</v>
          </cell>
          <cell r="EE435" t="e">
            <v>#VALUE!</v>
          </cell>
          <cell r="EG435">
            <v>0</v>
          </cell>
          <cell r="EI435" t="e">
            <v>#DIV/0!</v>
          </cell>
          <cell r="EK435">
            <v>0</v>
          </cell>
          <cell r="EM435">
            <v>0</v>
          </cell>
          <cell r="EO435">
            <v>0</v>
          </cell>
          <cell r="EQ435" t="e">
            <v>#DIV/0!</v>
          </cell>
          <cell r="ET435">
            <v>0</v>
          </cell>
          <cell r="FB435" t="e">
            <v>#VALUE!</v>
          </cell>
          <cell r="FD435">
            <v>0</v>
          </cell>
          <cell r="FF435">
            <v>0</v>
          </cell>
          <cell r="FJ435">
            <v>0</v>
          </cell>
          <cell r="FL435">
            <v>0</v>
          </cell>
          <cell r="FN435">
            <v>0</v>
          </cell>
          <cell r="FQ435">
            <v>0</v>
          </cell>
          <cell r="FS435">
            <v>0</v>
          </cell>
          <cell r="FU435" t="e">
            <v>#DIV/0!</v>
          </cell>
          <cell r="FW435" t="e">
            <v>#VALUE!</v>
          </cell>
          <cell r="FY435" t="e">
            <v>#VALUE!</v>
          </cell>
          <cell r="GA435">
            <v>0</v>
          </cell>
          <cell r="GC435">
            <v>0</v>
          </cell>
          <cell r="GF435" t="e">
            <v>#DIV/0!</v>
          </cell>
          <cell r="GL435" t="e">
            <v>#DIV/0!</v>
          </cell>
          <cell r="GN435" t="e">
            <v>#DIV/0!</v>
          </cell>
          <cell r="GP435" t="e">
            <v>#DIV/0!</v>
          </cell>
          <cell r="GT435" t="e">
            <v>#DIV/0!</v>
          </cell>
          <cell r="GV435" t="e">
            <v>#DIV/0!</v>
          </cell>
          <cell r="HA435" t="e">
            <v>#DIV/0!</v>
          </cell>
          <cell r="HD435" t="e">
            <v>#DIV/0!</v>
          </cell>
          <cell r="HG435" t="e">
            <v>#DIV/0!</v>
          </cell>
          <cell r="HJ435" t="e">
            <v>#DIV/0!</v>
          </cell>
        </row>
        <row r="436">
          <cell r="DK436" t="str">
            <v xml:space="preserve"> -</v>
          </cell>
          <cell r="DL436">
            <v>0</v>
          </cell>
          <cell r="FL436">
            <v>0</v>
          </cell>
          <cell r="FN436">
            <v>0</v>
          </cell>
          <cell r="FQ436" t="str">
            <v xml:space="preserve"> -</v>
          </cell>
          <cell r="FR436">
            <v>0</v>
          </cell>
        </row>
        <row r="437">
          <cell r="DL437">
            <v>0</v>
          </cell>
          <cell r="FL437">
            <v>0</v>
          </cell>
          <cell r="FN437">
            <v>0</v>
          </cell>
          <cell r="FR437">
            <v>0</v>
          </cell>
        </row>
        <row r="438">
          <cell r="FL438">
            <v>0</v>
          </cell>
          <cell r="FN438">
            <v>0</v>
          </cell>
        </row>
        <row r="439">
          <cell r="DO439" t="str">
            <v>FY1</v>
          </cell>
          <cell r="DS439">
            <v>0</v>
          </cell>
          <cell r="EG439">
            <v>0</v>
          </cell>
          <cell r="EI439">
            <v>0</v>
          </cell>
          <cell r="EK439">
            <v>0</v>
          </cell>
          <cell r="EM439">
            <v>0</v>
          </cell>
          <cell r="EO439">
            <v>0</v>
          </cell>
          <cell r="EQ439">
            <v>0</v>
          </cell>
          <cell r="ET439">
            <v>0</v>
          </cell>
          <cell r="GF439">
            <v>0</v>
          </cell>
          <cell r="GL439">
            <v>0</v>
          </cell>
          <cell r="GN439">
            <v>0</v>
          </cell>
          <cell r="GP439">
            <v>0</v>
          </cell>
          <cell r="GT439">
            <v>0</v>
          </cell>
          <cell r="GV439">
            <v>0</v>
          </cell>
        </row>
        <row r="440">
          <cell r="DO440" t="str">
            <v>FY2</v>
          </cell>
          <cell r="DS440">
            <v>0</v>
          </cell>
          <cell r="EG440">
            <v>0</v>
          </cell>
          <cell r="EI440">
            <v>0</v>
          </cell>
          <cell r="EK440">
            <v>0</v>
          </cell>
          <cell r="EM440">
            <v>0</v>
          </cell>
          <cell r="EO440">
            <v>0</v>
          </cell>
          <cell r="EQ440">
            <v>0</v>
          </cell>
          <cell r="ET440">
            <v>0</v>
          </cell>
          <cell r="FJ440">
            <v>0</v>
          </cell>
          <cell r="GF440">
            <v>0</v>
          </cell>
          <cell r="GL440">
            <v>0</v>
          </cell>
          <cell r="GN440">
            <v>0</v>
          </cell>
          <cell r="GP440">
            <v>0</v>
          </cell>
          <cell r="GT440">
            <v>0</v>
          </cell>
          <cell r="GV440">
            <v>0</v>
          </cell>
        </row>
        <row r="443">
          <cell r="GC443" t="e">
            <v>#REF!</v>
          </cell>
        </row>
        <row r="444">
          <cell r="EB444" t="str">
            <v xml:space="preserve">     Mean:</v>
          </cell>
          <cell r="EE444" t="e">
            <v>#NAME?</v>
          </cell>
          <cell r="EI444">
            <v>0.1915497635160954</v>
          </cell>
          <cell r="EM444">
            <v>0.12712975123817355</v>
          </cell>
          <cell r="EQ444">
            <v>0.11122394258303042</v>
          </cell>
          <cell r="GC444" t="str">
            <v xml:space="preserve">     Mean:</v>
          </cell>
          <cell r="GF444">
            <v>2.5288033017708722</v>
          </cell>
          <cell r="GH444">
            <v>31.1430021978022</v>
          </cell>
          <cell r="GJ444">
            <v>33.520105661567577</v>
          </cell>
          <cell r="GL444">
            <v>13.370836014056181</v>
          </cell>
          <cell r="GN444">
            <v>19.592257930626708</v>
          </cell>
          <cell r="GP444">
            <v>23.198833206785324</v>
          </cell>
          <cell r="GT444">
            <v>50.004043200836819</v>
          </cell>
          <cell r="GX444">
            <v>17.411510088041027</v>
          </cell>
          <cell r="HA444" t="e">
            <v>#DIV/0!</v>
          </cell>
          <cell r="HB444" t="str">
            <v>x</v>
          </cell>
          <cell r="HD444" t="e">
            <v>#DIV/0!</v>
          </cell>
          <cell r="HE444" t="str">
            <v>x</v>
          </cell>
          <cell r="HG444">
            <v>3.1400966183574877</v>
          </cell>
          <cell r="HH444" t="str">
            <v>x</v>
          </cell>
          <cell r="HJ444" t="e">
            <v>#NAME?</v>
          </cell>
          <cell r="HK444" t="str">
            <v>x</v>
          </cell>
        </row>
        <row r="445">
          <cell r="EI445">
            <v>0.1793369246819686</v>
          </cell>
          <cell r="EM445">
            <v>0.1113925968682605</v>
          </cell>
          <cell r="EQ445">
            <v>8.4946572875220394E-2</v>
          </cell>
          <cell r="GF445">
            <v>2.4143857401020652</v>
          </cell>
          <cell r="GH445">
            <v>40.334843164764571</v>
          </cell>
          <cell r="GJ445">
            <v>40.334843164764571</v>
          </cell>
          <cell r="GL445">
            <v>14.157308576532316</v>
          </cell>
          <cell r="GN445">
            <v>22.315296560191499</v>
          </cell>
          <cell r="GP445">
            <v>38.208451356653256</v>
          </cell>
          <cell r="GT445">
            <v>39.491256841986583</v>
          </cell>
          <cell r="GV445">
            <v>37.837155225447425</v>
          </cell>
          <cell r="GX445">
            <v>15.175152026061177</v>
          </cell>
          <cell r="HA445">
            <v>39.491256841986583</v>
          </cell>
        </row>
        <row r="446">
          <cell r="EI446">
            <v>0.18122349313328118</v>
          </cell>
          <cell r="EM446">
            <v>0.10914468695761398</v>
          </cell>
          <cell r="EQ446">
            <v>8.6860427522968478E-2</v>
          </cell>
          <cell r="GF446">
            <v>2.0941163843801132</v>
          </cell>
          <cell r="GH446">
            <v>37.93884017098739</v>
          </cell>
          <cell r="GJ446">
            <v>37.93884017098739</v>
          </cell>
          <cell r="GL446">
            <v>12.620594903545173</v>
          </cell>
          <cell r="GN446">
            <v>20.238091588732289</v>
          </cell>
          <cell r="GP446">
            <v>32.481686892512045</v>
          </cell>
          <cell r="GT446">
            <v>33.513152868491581</v>
          </cell>
          <cell r="GV446">
            <v>28.478108074585521</v>
          </cell>
          <cell r="GX446">
            <v>13.63061922434818</v>
          </cell>
          <cell r="HD446">
            <v>33.513152868491581</v>
          </cell>
        </row>
        <row r="447">
          <cell r="EI447">
            <v>0.20976266952177017</v>
          </cell>
          <cell r="EM447">
            <v>0.11298172062170933</v>
          </cell>
          <cell r="EQ447" t="e">
            <v>#REF!</v>
          </cell>
          <cell r="GF447" t="e">
            <v>#REF!</v>
          </cell>
          <cell r="GL447">
            <v>12.689947992998077</v>
          </cell>
          <cell r="GN447" t="e">
            <v>#REF!</v>
          </cell>
          <cell r="GP447" t="e">
            <v>#REF!</v>
          </cell>
          <cell r="GT447">
            <v>32.864994228264955</v>
          </cell>
          <cell r="GV447">
            <v>30.242429546647998</v>
          </cell>
          <cell r="GX447" t="e">
            <v>#REF!</v>
          </cell>
        </row>
        <row r="449">
          <cell r="EE449" t="e">
            <v>#NAME?</v>
          </cell>
          <cell r="EI449" t="e">
            <v>#NAME?</v>
          </cell>
          <cell r="EM449" t="e">
            <v>#NAME?</v>
          </cell>
          <cell r="EO449" t="str">
            <v xml:space="preserve">     Median:</v>
          </cell>
          <cell r="EQ449" t="e">
            <v>#NAME?</v>
          </cell>
          <cell r="GC449" t="str">
            <v xml:space="preserve">     Median:</v>
          </cell>
          <cell r="GF449" t="e">
            <v>#NAME?</v>
          </cell>
          <cell r="GL449" t="e">
            <v>#NAME?</v>
          </cell>
          <cell r="GN449" t="e">
            <v>#NAME?</v>
          </cell>
          <cell r="GP449" t="e">
            <v>#NAME?</v>
          </cell>
          <cell r="GT449" t="e">
            <v>#NAME?</v>
          </cell>
          <cell r="GV449" t="e">
            <v>#NAME?</v>
          </cell>
          <cell r="HA449" t="e">
            <v>#NAME?</v>
          </cell>
          <cell r="HD449" t="e">
            <v>#NAME?</v>
          </cell>
          <cell r="HG449" t="e">
            <v>#NAME?</v>
          </cell>
          <cell r="HJ449" t="e">
            <v>#NAME?</v>
          </cell>
        </row>
        <row r="450">
          <cell r="EI450" t="e">
            <v>#NAME?</v>
          </cell>
          <cell r="EM450" t="e">
            <v>#NAME?</v>
          </cell>
          <cell r="EQ450" t="e">
            <v>#NAME?</v>
          </cell>
          <cell r="GF450" t="e">
            <v>#NAME?</v>
          </cell>
          <cell r="GL450" t="e">
            <v>#NAME?</v>
          </cell>
          <cell r="GN450" t="e">
            <v>#NAME?</v>
          </cell>
          <cell r="GP450" t="e">
            <v>#NAME?</v>
          </cell>
          <cell r="GT450" t="e">
            <v>#NAME?</v>
          </cell>
          <cell r="GV450" t="e">
            <v>#NAME?</v>
          </cell>
        </row>
        <row r="451">
          <cell r="EI451" t="e">
            <v>#NAME?</v>
          </cell>
          <cell r="EM451" t="e">
            <v>#NAME?</v>
          </cell>
          <cell r="EQ451" t="e">
            <v>#NAME?</v>
          </cell>
          <cell r="GF451" t="e">
            <v>#NAME?</v>
          </cell>
          <cell r="GL451" t="e">
            <v>#NAME?</v>
          </cell>
          <cell r="GN451" t="e">
            <v>#NAME?</v>
          </cell>
          <cell r="GP451" t="e">
            <v>#NAME?</v>
          </cell>
          <cell r="GT451" t="e">
            <v>#NAME?</v>
          </cell>
          <cell r="GV451" t="e">
            <v>#NAME?</v>
          </cell>
        </row>
        <row r="453">
          <cell r="EE453" t="e">
            <v>#NAME?</v>
          </cell>
          <cell r="EI453" t="e">
            <v>#NAME?</v>
          </cell>
          <cell r="EM453" t="e">
            <v>#NAME?</v>
          </cell>
          <cell r="EO453" t="str">
            <v xml:space="preserve">     High:</v>
          </cell>
          <cell r="EQ453" t="e">
            <v>#NAME?</v>
          </cell>
          <cell r="GC453" t="str">
            <v xml:space="preserve">     High:</v>
          </cell>
          <cell r="GF453" t="e">
            <v>#NAME?</v>
          </cell>
          <cell r="GL453" t="e">
            <v>#NAME?</v>
          </cell>
          <cell r="GN453" t="e">
            <v>#NAME?</v>
          </cell>
          <cell r="GP453" t="e">
            <v>#NAME?</v>
          </cell>
          <cell r="GT453" t="e">
            <v>#NAME?</v>
          </cell>
          <cell r="GV453" t="e">
            <v>#NAME?</v>
          </cell>
          <cell r="HA453" t="e">
            <v>#NAME?</v>
          </cell>
          <cell r="HD453" t="e">
            <v>#NAME?</v>
          </cell>
          <cell r="HG453" t="e">
            <v>#NAME?</v>
          </cell>
          <cell r="HJ453" t="e">
            <v>#NAME?</v>
          </cell>
        </row>
        <row r="455">
          <cell r="EE455" t="e">
            <v>#NAME?</v>
          </cell>
          <cell r="EI455" t="e">
            <v>#NAME?</v>
          </cell>
          <cell r="EM455" t="e">
            <v>#NAME?</v>
          </cell>
          <cell r="EO455" t="str">
            <v xml:space="preserve">     Low:</v>
          </cell>
          <cell r="EQ455" t="e">
            <v>#NAME?</v>
          </cell>
          <cell r="GC455" t="str">
            <v xml:space="preserve">     Low:</v>
          </cell>
          <cell r="GF455" t="e">
            <v>#NAME?</v>
          </cell>
          <cell r="GL455" t="e">
            <v>#NAME?</v>
          </cell>
          <cell r="GN455" t="e">
            <v>#NAME?</v>
          </cell>
          <cell r="GP455" t="e">
            <v>#NAME?</v>
          </cell>
          <cell r="GT455" t="e">
            <v>#NAME?</v>
          </cell>
          <cell r="GV455" t="e">
            <v>#NAME?</v>
          </cell>
          <cell r="HA455" t="e">
            <v>#NAME?</v>
          </cell>
          <cell r="HD455" t="e">
            <v>#NAME?</v>
          </cell>
          <cell r="HG455" t="e">
            <v>#NAME?</v>
          </cell>
          <cell r="HJ455" t="e">
            <v>#NAME?</v>
          </cell>
        </row>
        <row r="459">
          <cell r="GA459" t="str">
            <v>JCDecaux</v>
          </cell>
          <cell r="GM459" t="str">
            <v>Derived from</v>
          </cell>
        </row>
        <row r="460">
          <cell r="GA460" t="str">
            <v>Implied Firm Value</v>
          </cell>
          <cell r="GM460" t="str">
            <v>multiples of:</v>
          </cell>
          <cell r="HA460" t="str">
            <v>FY1</v>
          </cell>
          <cell r="HD460" t="str">
            <v>FY2</v>
          </cell>
          <cell r="HG460" t="str">
            <v>Book</v>
          </cell>
          <cell r="HJ460" t="str">
            <v>Net Inc.</v>
          </cell>
        </row>
        <row r="461">
          <cell r="GF461" t="str">
            <v>Rev.</v>
          </cell>
          <cell r="GH461" t="str">
            <v>EBITDA - Capex</v>
          </cell>
          <cell r="GJ461" t="str">
            <v>FCF</v>
          </cell>
          <cell r="GL461" t="str">
            <v>EBITDA</v>
          </cell>
          <cell r="GN461" t="str">
            <v>EBITA</v>
          </cell>
          <cell r="GP461" t="str">
            <v>EBIT</v>
          </cell>
          <cell r="HA461" t="str">
            <v>EPS</v>
          </cell>
          <cell r="HD461" t="str">
            <v>EPS</v>
          </cell>
          <cell r="HG461" t="str">
            <v>Value</v>
          </cell>
          <cell r="HJ461" t="str">
            <v>+ DA</v>
          </cell>
        </row>
        <row r="463">
          <cell r="DK463" t="str">
            <v>JCDecaux</v>
          </cell>
          <cell r="DM463">
            <v>0</v>
          </cell>
          <cell r="DN463" t="str">
            <v>FRF</v>
          </cell>
          <cell r="DO463">
            <v>36160</v>
          </cell>
          <cell r="DQ463">
            <v>0</v>
          </cell>
          <cell r="DS463">
            <v>7056</v>
          </cell>
          <cell r="DU463">
            <v>843</v>
          </cell>
          <cell r="DW463">
            <v>0.11947278911564625</v>
          </cell>
          <cell r="DY463">
            <v>432</v>
          </cell>
          <cell r="EA463">
            <v>6.1224489795918366E-2</v>
          </cell>
          <cell r="EC463">
            <v>0</v>
          </cell>
          <cell r="EE463">
            <v>0</v>
          </cell>
          <cell r="EG463">
            <v>1894</v>
          </cell>
          <cell r="EI463">
            <v>0.26842403628117911</v>
          </cell>
          <cell r="EK463">
            <v>1185.9000000000001</v>
          </cell>
          <cell r="EM463">
            <v>0.16806972789115648</v>
          </cell>
          <cell r="EO463">
            <v>1162.9000000000001</v>
          </cell>
          <cell r="EQ463">
            <v>0.16481009070294786</v>
          </cell>
          <cell r="ET463">
            <v>758.9362900000001</v>
          </cell>
          <cell r="FB463">
            <v>0</v>
          </cell>
          <cell r="FD463">
            <v>0</v>
          </cell>
          <cell r="FF463">
            <v>2528</v>
          </cell>
          <cell r="GE463" t="str">
            <v>LTM</v>
          </cell>
          <cell r="GF463">
            <v>17843.236097295274</v>
          </cell>
          <cell r="GH463">
            <v>26253.550852747256</v>
          </cell>
          <cell r="GJ463">
            <v>14480.685645797194</v>
          </cell>
          <cell r="GL463">
            <v>25324.363410622405</v>
          </cell>
          <cell r="GN463">
            <v>23234.458679930216</v>
          </cell>
          <cell r="GP463">
            <v>26977.923136170655</v>
          </cell>
          <cell r="HA463" t="e">
            <v>#DIV/0!</v>
          </cell>
          <cell r="HD463" t="e">
            <v>#DIV/0!</v>
          </cell>
          <cell r="HG463">
            <v>7938.1642512077287</v>
          </cell>
          <cell r="HJ463" t="e">
            <v>#DIV/0!</v>
          </cell>
        </row>
        <row r="464">
          <cell r="FL464">
            <v>0</v>
          </cell>
          <cell r="FN464">
            <v>0</v>
          </cell>
        </row>
        <row r="465">
          <cell r="DL465">
            <v>0</v>
          </cell>
          <cell r="FL465">
            <v>0</v>
          </cell>
          <cell r="FN465">
            <v>0</v>
          </cell>
        </row>
        <row r="466">
          <cell r="DK466" t="str">
            <v xml:space="preserve"> -  Pro forma financials</v>
          </cell>
          <cell r="FL466">
            <v>0</v>
          </cell>
          <cell r="FN466">
            <v>0</v>
          </cell>
        </row>
        <row r="467">
          <cell r="DO467" t="str">
            <v>FY1</v>
          </cell>
          <cell r="DS467">
            <v>7714</v>
          </cell>
          <cell r="DU467">
            <v>906.17324448301497</v>
          </cell>
          <cell r="DW467">
            <v>0.11747125284975564</v>
          </cell>
          <cell r="DY467">
            <v>867.17324448301497</v>
          </cell>
          <cell r="EA467">
            <v>0.11241551004446655</v>
          </cell>
          <cell r="EG467">
            <v>2031.415</v>
          </cell>
          <cell r="EI467">
            <v>0.26334132745657246</v>
          </cell>
          <cell r="EK467">
            <v>1203.237067939499</v>
          </cell>
          <cell r="EM467">
            <v>0.15598095254595526</v>
          </cell>
          <cell r="EO467">
            <v>1056.237067939499</v>
          </cell>
          <cell r="EQ467">
            <v>0.13692469120294257</v>
          </cell>
          <cell r="ET467">
            <v>471.00223330401769</v>
          </cell>
          <cell r="FF467">
            <v>2905.135500826229</v>
          </cell>
          <cell r="FH467">
            <v>0</v>
          </cell>
          <cell r="GE467" t="str">
            <v>FY1</v>
          </cell>
          <cell r="GF467">
            <v>18624.57159914733</v>
          </cell>
          <cell r="GH467">
            <v>36550.355696328268</v>
          </cell>
          <cell r="GJ467">
            <v>34977.296812902452</v>
          </cell>
          <cell r="GL467">
            <v>28759.369001996394</v>
          </cell>
          <cell r="GN467">
            <v>26850.592003285205</v>
          </cell>
          <cell r="GP467">
            <v>40357.182631460404</v>
          </cell>
          <cell r="HA467">
            <v>0</v>
          </cell>
        </row>
        <row r="468">
          <cell r="DO468" t="str">
            <v>FY2</v>
          </cell>
          <cell r="DS468">
            <v>8695</v>
          </cell>
          <cell r="DU468">
            <v>1641.2567281348788</v>
          </cell>
          <cell r="DW468">
            <v>0.18875868063655882</v>
          </cell>
          <cell r="DY468">
            <v>1574.2567281348788</v>
          </cell>
          <cell r="EA468">
            <v>0.18105310271821493</v>
          </cell>
          <cell r="EG468">
            <v>2592.415</v>
          </cell>
          <cell r="EI468">
            <v>0.29815008625646922</v>
          </cell>
          <cell r="EK468">
            <v>1715.2690437163919</v>
          </cell>
          <cell r="EM468">
            <v>0.197270735332535</v>
          </cell>
          <cell r="EO468">
            <v>1457.2690437163919</v>
          </cell>
          <cell r="EQ468">
            <v>0.16759850991562875</v>
          </cell>
          <cell r="ET468">
            <v>621.53240208059606</v>
          </cell>
          <cell r="FF468">
            <v>3337.4983764826657</v>
          </cell>
          <cell r="FJ468">
            <v>0</v>
          </cell>
          <cell r="GE468" t="str">
            <v>FY2</v>
          </cell>
          <cell r="GF468">
            <v>18208.341962185084</v>
          </cell>
          <cell r="GH468">
            <v>62267.376688266871</v>
          </cell>
          <cell r="GJ468">
            <v>59725.474396810714</v>
          </cell>
          <cell r="GL468">
            <v>32717.81953687406</v>
          </cell>
          <cell r="GN468">
            <v>34713.772006049585</v>
          </cell>
          <cell r="GP468">
            <v>47334.556796146288</v>
          </cell>
          <cell r="HD468">
            <v>0</v>
          </cell>
        </row>
        <row r="469">
          <cell r="DO469" t="str">
            <v>FY3</v>
          </cell>
          <cell r="DS469">
            <v>9543.7000000000007</v>
          </cell>
          <cell r="EG469">
            <v>3053.9155000000001</v>
          </cell>
          <cell r="EI469">
            <v>0.31999282249022915</v>
          </cell>
          <cell r="EK469">
            <v>1883.9997532181274</v>
          </cell>
          <cell r="EM469">
            <v>0.19740768813124127</v>
          </cell>
          <cell r="EO469">
            <v>1736.9997532181274</v>
          </cell>
          <cell r="EQ469">
            <v>0.18200485694417545</v>
          </cell>
          <cell r="ET469">
            <v>879.0676753320173</v>
          </cell>
          <cell r="GE469" t="str">
            <v>FY3</v>
          </cell>
          <cell r="GF469" t="e">
            <v>#REF!</v>
          </cell>
          <cell r="GL469">
            <v>38754.028870010719</v>
          </cell>
          <cell r="GN469" t="e">
            <v>#REF!</v>
          </cell>
          <cell r="GP469" t="e">
            <v>#REF!</v>
          </cell>
        </row>
        <row r="473">
          <cell r="GA473" t="str">
            <v>JCDecaux</v>
          </cell>
          <cell r="GP473" t="str">
            <v>Derived from</v>
          </cell>
        </row>
        <row r="474">
          <cell r="GA474" t="str">
            <v>Implied Equity Value</v>
          </cell>
          <cell r="GP474" t="str">
            <v>multiple of:</v>
          </cell>
          <cell r="HA474" t="str">
            <v>FY1</v>
          </cell>
          <cell r="HD474" t="str">
            <v>FY2</v>
          </cell>
          <cell r="HG474" t="str">
            <v>Book</v>
          </cell>
          <cell r="HJ474" t="str">
            <v>Net Inc.</v>
          </cell>
        </row>
        <row r="475">
          <cell r="GF475" t="str">
            <v>Rev.</v>
          </cell>
          <cell r="GH475" t="str">
            <v>EBITDA - Capex</v>
          </cell>
          <cell r="GJ475" t="str">
            <v>FCF</v>
          </cell>
          <cell r="GL475" t="str">
            <v>EBITDA</v>
          </cell>
          <cell r="GN475" t="str">
            <v>EBITA</v>
          </cell>
          <cell r="GP475" t="str">
            <v>EBIT</v>
          </cell>
          <cell r="GT475" t="str">
            <v>EPS</v>
          </cell>
          <cell r="GV475" t="str">
            <v>Consensus EPS</v>
          </cell>
          <cell r="HA475" t="str">
            <v>EPS</v>
          </cell>
          <cell r="HD475" t="str">
            <v>EPS</v>
          </cell>
          <cell r="HG475" t="str">
            <v>Value</v>
          </cell>
          <cell r="HJ475" t="str">
            <v>+ DA</v>
          </cell>
        </row>
        <row r="477">
          <cell r="FW477" t="e">
            <v>#DIV/0!</v>
          </cell>
          <cell r="FY477" t="e">
            <v>#DIV/0!</v>
          </cell>
          <cell r="GE477" t="str">
            <v>LTM</v>
          </cell>
          <cell r="GF477">
            <v>12081.207097295273</v>
          </cell>
          <cell r="GH477">
            <v>20491.521852747253</v>
          </cell>
          <cell r="GJ477">
            <v>8718.6566457971931</v>
          </cell>
          <cell r="GL477">
            <v>19562.334410622403</v>
          </cell>
          <cell r="GN477">
            <v>17472.429679930217</v>
          </cell>
          <cell r="GP477">
            <v>21215.894136170653</v>
          </cell>
          <cell r="GT477">
            <v>37949.883031842823</v>
          </cell>
          <cell r="HA477">
            <v>0</v>
          </cell>
          <cell r="HD477">
            <v>0</v>
          </cell>
          <cell r="HG477">
            <v>0</v>
          </cell>
          <cell r="HJ477" t="e">
            <v>#DIV/0!</v>
          </cell>
        </row>
        <row r="478">
          <cell r="GE478" t="str">
            <v>LTM</v>
          </cell>
        </row>
        <row r="481">
          <cell r="GE481" t="str">
            <v>FY1</v>
          </cell>
          <cell r="GF481">
            <v>12862.542599147329</v>
          </cell>
          <cell r="GH481">
            <v>30788.326696328266</v>
          </cell>
          <cell r="GJ481">
            <v>29215.26781290245</v>
          </cell>
          <cell r="GL481">
            <v>22997.340001996396</v>
          </cell>
          <cell r="GN481">
            <v>21088.563003285206</v>
          </cell>
          <cell r="GP481">
            <v>34595.153631460402</v>
          </cell>
          <cell r="GT481">
            <v>18600.470168558251</v>
          </cell>
          <cell r="GV481">
            <v>17821.384613056522</v>
          </cell>
          <cell r="HA481">
            <v>0</v>
          </cell>
        </row>
        <row r="482">
          <cell r="GE482" t="str">
            <v>FY2</v>
          </cell>
          <cell r="GF482">
            <v>12446.312962185084</v>
          </cell>
          <cell r="GH482">
            <v>56505.347688266869</v>
          </cell>
          <cell r="GJ482">
            <v>53963.445396810712</v>
          </cell>
          <cell r="GL482">
            <v>26955.790536874061</v>
          </cell>
          <cell r="GN482">
            <v>28951.743006049583</v>
          </cell>
          <cell r="GP482">
            <v>41572.527796146285</v>
          </cell>
          <cell r="GT482">
            <v>20829.51040364779</v>
          </cell>
          <cell r="GV482">
            <v>17700.066918307955</v>
          </cell>
          <cell r="HD482">
            <v>0</v>
          </cell>
        </row>
        <row r="483">
          <cell r="GE483" t="str">
            <v>FY3</v>
          </cell>
          <cell r="GF483" t="e">
            <v>#REF!</v>
          </cell>
          <cell r="GK483">
            <v>-5762.0290000000005</v>
          </cell>
          <cell r="GL483">
            <v>32991.999870010717</v>
          </cell>
          <cell r="GN483" t="e">
            <v>#REF!</v>
          </cell>
          <cell r="GP483" t="e">
            <v>#REF!</v>
          </cell>
          <cell r="GT483">
            <v>28890.55407604104</v>
          </cell>
          <cell r="GV483">
            <v>26585.14223796417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ow r="326">
          <cell r="DK326" t="str">
            <v>Comparable Company Analysis</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dNot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Detail-budget run1_ Updated"/>
      <sheetName val="BBD Aggregate FY"/>
      <sheetName val="BBD Aggregate Q4"/>
      <sheetName val="BBD Aggregate Q3"/>
      <sheetName val="BBD Aggregate Q2"/>
      <sheetName val="BBD Aggregate Q1"/>
      <sheetName val="Product Metrics &amp; LTV Tmpl-July"/>
      <sheetName val="F03_09 Variance Analysis-Unit"/>
      <sheetName val="F03_09 Variance Analysis_Agg"/>
      <sheetName val="LTV Table"/>
      <sheetName val="Allocations"/>
      <sheetName val="Executive Summary-Unit"/>
      <sheetName val="Executive Summary-2002,2003 UN"/>
      <sheetName val="Executive Summary-Aggregate"/>
      <sheetName val="Fcst Product P&amp;Ls"/>
      <sheetName val="Prod Profit - Unit"/>
      <sheetName val="Access Input-V.1_Updated"/>
      <sheetName val="Revenue Discount"/>
      <sheetName val="BD &amp; PP"/>
      <sheetName val="Variance Analysis"/>
      <sheetName val="Prod Profit - Aggregate-2002 "/>
      <sheetName val="Prod Profit - Aggregate-2003"/>
      <sheetName val="MAC Analysis Reconciliation"/>
      <sheetName val="MAC Analysis"/>
      <sheetName val="Fcst Product P&amp;Ls-2002 a"/>
      <sheetName val="BBD Aggregate FY OLD"/>
      <sheetName val="SAM Package"/>
      <sheetName val="Cust Supp-Version One"/>
      <sheetName val="SAM Calculations"/>
      <sheetName val="Pre-Post-Install"/>
      <sheetName val="Contigency to take out"/>
    </sheetNames>
    <sheetDataSet>
      <sheetData sheetId="0" refreshError="1">
        <row r="4">
          <cell r="E4" t="str">
            <v>B04_r1</v>
          </cell>
          <cell r="F4" t="str">
            <v>B04_r1</v>
          </cell>
          <cell r="G4" t="str">
            <v>B04_r1</v>
          </cell>
          <cell r="H4" t="str">
            <v>B04_r1</v>
          </cell>
          <cell r="I4" t="str">
            <v>B04_r1</v>
          </cell>
          <cell r="J4" t="str">
            <v>B04_r1</v>
          </cell>
          <cell r="K4" t="str">
            <v>B04_r1</v>
          </cell>
          <cell r="L4" t="str">
            <v>B04_r1</v>
          </cell>
          <cell r="M4" t="str">
            <v>B04_r1</v>
          </cell>
          <cell r="N4" t="str">
            <v>B04_r1</v>
          </cell>
        </row>
        <row r="5">
          <cell r="E5" t="str">
            <v>Jan 04</v>
          </cell>
          <cell r="F5" t="str">
            <v>Feb 04</v>
          </cell>
          <cell r="G5" t="str">
            <v>Mar 04</v>
          </cell>
          <cell r="H5" t="str">
            <v>Apr 04</v>
          </cell>
          <cell r="I5" t="str">
            <v>May 04</v>
          </cell>
          <cell r="J5" t="str">
            <v>Jun 04</v>
          </cell>
          <cell r="K5" t="str">
            <v>Jul 04</v>
          </cell>
          <cell r="L5" t="str">
            <v>Aug 04</v>
          </cell>
          <cell r="M5" t="str">
            <v>Sep 04</v>
          </cell>
          <cell r="N5" t="str">
            <v>Oct 04</v>
          </cell>
        </row>
        <row r="8">
          <cell r="E8">
            <v>3238319.7459</v>
          </cell>
          <cell r="F8">
            <v>3251494.9308000002</v>
          </cell>
          <cell r="G8">
            <v>3261293.3023000001</v>
          </cell>
          <cell r="H8">
            <v>3248902.8442000002</v>
          </cell>
          <cell r="I8">
            <v>3236867.3968000002</v>
          </cell>
          <cell r="J8">
            <v>3222754.9015000002</v>
          </cell>
          <cell r="K8">
            <v>3199583.8627999998</v>
          </cell>
          <cell r="L8">
            <v>3171520.3147999998</v>
          </cell>
          <cell r="M8">
            <v>3150878.1420999998</v>
          </cell>
          <cell r="N8">
            <v>3151436.7601000001</v>
          </cell>
        </row>
        <row r="9">
          <cell r="E9">
            <v>182047.962</v>
          </cell>
          <cell r="F9">
            <v>181360.7292</v>
          </cell>
          <cell r="G9">
            <v>180703.0901</v>
          </cell>
          <cell r="H9">
            <v>178881.74489999999</v>
          </cell>
          <cell r="I9">
            <v>177138.8309</v>
          </cell>
          <cell r="J9">
            <v>175470.9705</v>
          </cell>
          <cell r="K9">
            <v>172682.90640000001</v>
          </cell>
          <cell r="L9">
            <v>170014.9025</v>
          </cell>
          <cell r="M9">
            <v>167461.7886</v>
          </cell>
          <cell r="N9">
            <v>166210.64300000001</v>
          </cell>
        </row>
        <row r="10">
          <cell r="E10">
            <v>486303.27929999999</v>
          </cell>
          <cell r="F10">
            <v>549964.52110000001</v>
          </cell>
          <cell r="G10">
            <v>614099.79709999997</v>
          </cell>
          <cell r="H10">
            <v>693559.34950000001</v>
          </cell>
          <cell r="I10">
            <v>726454.06700000004</v>
          </cell>
          <cell r="J10">
            <v>768586.69700000004</v>
          </cell>
          <cell r="K10">
            <v>800443.82209999999</v>
          </cell>
          <cell r="L10">
            <v>833174.44180000003</v>
          </cell>
          <cell r="M10">
            <v>870459.47979999997</v>
          </cell>
          <cell r="N10">
            <v>914905.69720000005</v>
          </cell>
        </row>
        <row r="11">
          <cell r="E11">
            <v>138881.4639</v>
          </cell>
          <cell r="F11">
            <v>133539.86919999999</v>
          </cell>
          <cell r="G11">
            <v>128403.7203</v>
          </cell>
          <cell r="H11">
            <v>123465.11569999999</v>
          </cell>
          <cell r="I11">
            <v>118716.4574</v>
          </cell>
          <cell r="J11">
            <v>114150.43979999999</v>
          </cell>
          <cell r="K11">
            <v>109760.0383</v>
          </cell>
          <cell r="L11">
            <v>105538.4984</v>
          </cell>
          <cell r="M11">
            <v>101479.3253</v>
          </cell>
          <cell r="N11">
            <v>97576.274399999995</v>
          </cell>
        </row>
        <row r="12">
          <cell r="E12">
            <v>4045552.4511000002</v>
          </cell>
          <cell r="F12">
            <v>4116360.0502999998</v>
          </cell>
          <cell r="G12">
            <v>4184499.9098</v>
          </cell>
          <cell r="H12">
            <v>4244809.0543</v>
          </cell>
          <cell r="I12">
            <v>4259176.7521000002</v>
          </cell>
          <cell r="J12">
            <v>4280963.0088</v>
          </cell>
          <cell r="K12">
            <v>4282470.6295999996</v>
          </cell>
          <cell r="L12">
            <v>4280248.1574999997</v>
          </cell>
          <cell r="M12">
            <v>4290278.7357999999</v>
          </cell>
          <cell r="N12">
            <v>4330129.3746999996</v>
          </cell>
        </row>
        <row r="14">
          <cell r="E14">
            <v>342553.74959999998</v>
          </cell>
          <cell r="F14">
            <v>345579.06829999998</v>
          </cell>
          <cell r="G14">
            <v>348643.2475</v>
          </cell>
          <cell r="H14">
            <v>351580.88650000002</v>
          </cell>
          <cell r="I14">
            <v>354177.0808</v>
          </cell>
          <cell r="J14">
            <v>356670.07010000001</v>
          </cell>
          <cell r="K14">
            <v>359255.99560000002</v>
          </cell>
          <cell r="L14">
            <v>361637.77990000002</v>
          </cell>
          <cell r="M14">
            <v>364016.48859999998</v>
          </cell>
          <cell r="N14">
            <v>366592.71879999997</v>
          </cell>
        </row>
        <row r="15">
          <cell r="E15">
            <v>3343.0853000000002</v>
          </cell>
          <cell r="F15">
            <v>3357.9985999999999</v>
          </cell>
          <cell r="G15">
            <v>3372.7375000000002</v>
          </cell>
          <cell r="H15">
            <v>3386.9576999999999</v>
          </cell>
          <cell r="I15">
            <v>3399.2892000000002</v>
          </cell>
          <cell r="J15">
            <v>3410.8984</v>
          </cell>
          <cell r="K15">
            <v>3421.8220000000001</v>
          </cell>
          <cell r="L15">
            <v>3431.9184</v>
          </cell>
          <cell r="M15">
            <v>3441.0998</v>
          </cell>
          <cell r="N15">
            <v>3449.6100999999999</v>
          </cell>
        </row>
        <row r="16">
          <cell r="E16">
            <v>358323.91249999998</v>
          </cell>
          <cell r="F16">
            <v>378075.92969999998</v>
          </cell>
          <cell r="G16">
            <v>397511.1</v>
          </cell>
          <cell r="H16">
            <v>416638.04359999998</v>
          </cell>
          <cell r="I16">
            <v>435458.77169999998</v>
          </cell>
          <cell r="J16">
            <v>453978.25309999997</v>
          </cell>
          <cell r="K16">
            <v>472201.79399999999</v>
          </cell>
          <cell r="L16">
            <v>490134.4339</v>
          </cell>
          <cell r="M16">
            <v>507780.25</v>
          </cell>
          <cell r="N16">
            <v>525143.94709999999</v>
          </cell>
        </row>
        <row r="17">
          <cell r="E17">
            <v>2901.7420000000002</v>
          </cell>
          <cell r="F17">
            <v>3133.4331999999999</v>
          </cell>
          <cell r="G17">
            <v>3311.248</v>
          </cell>
          <cell r="H17">
            <v>3436.3359</v>
          </cell>
          <cell r="I17">
            <v>3632.1549</v>
          </cell>
          <cell r="J17">
            <v>3774.8629000000001</v>
          </cell>
          <cell r="K17">
            <v>3890.0596</v>
          </cell>
          <cell r="L17">
            <v>4051.7318</v>
          </cell>
          <cell r="M17">
            <v>4185.4881999999998</v>
          </cell>
          <cell r="N17">
            <v>4291.9242000000004</v>
          </cell>
        </row>
        <row r="18">
          <cell r="E18">
            <v>13337.3068</v>
          </cell>
          <cell r="F18">
            <v>13371.9535</v>
          </cell>
          <cell r="G18">
            <v>13327.077600000001</v>
          </cell>
          <cell r="H18">
            <v>13307.304899999999</v>
          </cell>
          <cell r="I18">
            <v>13311.4401</v>
          </cell>
          <cell r="J18">
            <v>13207.407499999999</v>
          </cell>
          <cell r="K18">
            <v>13081.174999999999</v>
          </cell>
          <cell r="L18">
            <v>13065.433999999999</v>
          </cell>
          <cell r="M18">
            <v>13024.9743</v>
          </cell>
          <cell r="N18">
            <v>12936.2343</v>
          </cell>
        </row>
        <row r="19">
          <cell r="E19">
            <v>14631.593500000001</v>
          </cell>
          <cell r="F19">
            <v>14342.266799999999</v>
          </cell>
          <cell r="G19">
            <v>14063.290999999999</v>
          </cell>
          <cell r="H19">
            <v>13794.0005</v>
          </cell>
          <cell r="I19">
            <v>13533.4133</v>
          </cell>
          <cell r="J19">
            <v>13281.7628</v>
          </cell>
          <cell r="K19">
            <v>13038.7341</v>
          </cell>
          <cell r="L19">
            <v>12803.933800000001</v>
          </cell>
          <cell r="M19">
            <v>12577.029399999999</v>
          </cell>
          <cell r="N19">
            <v>12357.8349</v>
          </cell>
        </row>
        <row r="20">
          <cell r="E20">
            <v>664.93629999999996</v>
          </cell>
          <cell r="F20">
            <v>650.74990000000003</v>
          </cell>
          <cell r="G20">
            <v>636.86620000000005</v>
          </cell>
          <cell r="H20">
            <v>623.27880000000005</v>
          </cell>
          <cell r="I20">
            <v>609.98119999999994</v>
          </cell>
          <cell r="J20">
            <v>596.96730000000002</v>
          </cell>
          <cell r="K20">
            <v>584.23099999999999</v>
          </cell>
          <cell r="L20">
            <v>571.76649999999995</v>
          </cell>
          <cell r="M20">
            <v>559.56799999999998</v>
          </cell>
          <cell r="N20">
            <v>547.62959999999998</v>
          </cell>
        </row>
        <row r="21">
          <cell r="E21">
            <v>269138.1202</v>
          </cell>
          <cell r="F21">
            <v>280402.51429999998</v>
          </cell>
          <cell r="G21">
            <v>291221.11979999999</v>
          </cell>
          <cell r="H21">
            <v>301208.29330000002</v>
          </cell>
          <cell r="I21">
            <v>311676.1925</v>
          </cell>
          <cell r="J21">
            <v>322194.34240000002</v>
          </cell>
          <cell r="K21">
            <v>330945.3455</v>
          </cell>
          <cell r="L21">
            <v>339430.01150000002</v>
          </cell>
          <cell r="M21">
            <v>347697.9987</v>
          </cell>
          <cell r="N21">
            <v>358186.50290000002</v>
          </cell>
        </row>
        <row r="22">
          <cell r="E22">
            <v>80572.687699999995</v>
          </cell>
          <cell r="F22">
            <v>85824.884300000005</v>
          </cell>
          <cell r="G22">
            <v>90932.165299999993</v>
          </cell>
          <cell r="H22">
            <v>95915.188099999999</v>
          </cell>
          <cell r="I22">
            <v>100709.31510000001</v>
          </cell>
          <cell r="J22">
            <v>105364.2395</v>
          </cell>
          <cell r="K22">
            <v>106616.7475</v>
          </cell>
          <cell r="L22">
            <v>107809.4985</v>
          </cell>
          <cell r="M22">
            <v>108954.886</v>
          </cell>
          <cell r="N22">
            <v>113524.1032</v>
          </cell>
        </row>
        <row r="23">
          <cell r="E23">
            <v>5147.2707</v>
          </cell>
          <cell r="F23">
            <v>4999.6801999999998</v>
          </cell>
          <cell r="G23">
            <v>4859.4050999999999</v>
          </cell>
          <cell r="H23">
            <v>4739.8586999999998</v>
          </cell>
          <cell r="I23">
            <v>4627.8558999999996</v>
          </cell>
          <cell r="J23">
            <v>4522.87</v>
          </cell>
          <cell r="K23">
            <v>4429.8562000000002</v>
          </cell>
          <cell r="L23">
            <v>4344.4767000000002</v>
          </cell>
          <cell r="M23">
            <v>4265.0117</v>
          </cell>
          <cell r="N23">
            <v>4195.3032000000003</v>
          </cell>
        </row>
        <row r="24">
          <cell r="E24">
            <v>32948.555</v>
          </cell>
          <cell r="F24">
            <v>35027.940300000002</v>
          </cell>
          <cell r="G24">
            <v>37062.563900000001</v>
          </cell>
          <cell r="H24">
            <v>40252.8387</v>
          </cell>
          <cell r="I24">
            <v>43377.495699999999</v>
          </cell>
          <cell r="J24">
            <v>46437.8845</v>
          </cell>
          <cell r="K24">
            <v>49483.792999999998</v>
          </cell>
          <cell r="L24">
            <v>52469.977899999998</v>
          </cell>
          <cell r="M24">
            <v>55397.610099999998</v>
          </cell>
          <cell r="N24">
            <v>58325.019099999998</v>
          </cell>
        </row>
        <row r="25">
          <cell r="E25">
            <v>1123562.9595999999</v>
          </cell>
          <cell r="F25">
            <v>1164766.4191000001</v>
          </cell>
          <cell r="G25">
            <v>1204940.8219000001</v>
          </cell>
          <cell r="H25">
            <v>1244882.9867</v>
          </cell>
          <cell r="I25">
            <v>1284512.9904</v>
          </cell>
          <cell r="J25">
            <v>1323439.5585</v>
          </cell>
          <cell r="K25">
            <v>1356949.5534999999</v>
          </cell>
          <cell r="L25">
            <v>1389750.9628999999</v>
          </cell>
          <cell r="M25">
            <v>1421900.4047999999</v>
          </cell>
          <cell r="N25">
            <v>1459550.8274000001</v>
          </cell>
        </row>
        <row r="26">
          <cell r="E26">
            <v>161128.58960000001</v>
          </cell>
          <cell r="F26">
            <v>160913.8149</v>
          </cell>
          <cell r="G26">
            <v>160909.07879999999</v>
          </cell>
          <cell r="H26">
            <v>160521.84109999999</v>
          </cell>
          <cell r="I26">
            <v>160121.54209999999</v>
          </cell>
          <cell r="J26">
            <v>159465.1594</v>
          </cell>
          <cell r="K26">
            <v>158960.05129999999</v>
          </cell>
          <cell r="L26">
            <v>158157.66329999999</v>
          </cell>
          <cell r="M26">
            <v>157377.9645</v>
          </cell>
          <cell r="N26">
            <v>156814.658</v>
          </cell>
        </row>
        <row r="28">
          <cell r="E28">
            <v>19312.955359193918</v>
          </cell>
          <cell r="F28">
            <v>18821.581785993189</v>
          </cell>
          <cell r="G28">
            <v>18346.824710436929</v>
          </cell>
          <cell r="H28">
            <v>17948.393783192176</v>
          </cell>
          <cell r="I28">
            <v>17564.363973799642</v>
          </cell>
          <cell r="J28">
            <v>17194.214759927319</v>
          </cell>
          <cell r="K28">
            <v>16743.624435009617</v>
          </cell>
          <cell r="L28">
            <v>16310.364507204133</v>
          </cell>
          <cell r="M28">
            <v>15893.768422775782</v>
          </cell>
          <cell r="N28">
            <v>15434.003293032711</v>
          </cell>
        </row>
        <row r="29">
          <cell r="E29">
            <v>7750.4609630945279</v>
          </cell>
          <cell r="F29">
            <v>7750.4609630945279</v>
          </cell>
          <cell r="G29">
            <v>7750.4609630945279</v>
          </cell>
          <cell r="H29">
            <v>7750.4609630945279</v>
          </cell>
          <cell r="I29">
            <v>7750.4609630945279</v>
          </cell>
          <cell r="J29">
            <v>7750.4609630945279</v>
          </cell>
          <cell r="K29">
            <v>7750.4609630945279</v>
          </cell>
          <cell r="L29">
            <v>7750.4609630945279</v>
          </cell>
          <cell r="M29">
            <v>7750.4609630945279</v>
          </cell>
          <cell r="N29">
            <v>7750.4609630945279</v>
          </cell>
        </row>
        <row r="30">
          <cell r="E30">
            <v>530.56784204257087</v>
          </cell>
          <cell r="F30">
            <v>491.80559809443315</v>
          </cell>
          <cell r="G30">
            <v>455.91463147578713</v>
          </cell>
          <cell r="H30">
            <v>422.68225497704077</v>
          </cell>
          <cell r="I30">
            <v>391.91153599672009</v>
          </cell>
          <cell r="J30">
            <v>363.42012953346023</v>
          </cell>
          <cell r="K30">
            <v>337.0391976230344</v>
          </cell>
          <cell r="L30">
            <v>312.61240881708454</v>
          </cell>
          <cell r="M30">
            <v>289.9950117745384</v>
          </cell>
          <cell r="N30">
            <v>269.05297747588457</v>
          </cell>
        </row>
        <row r="31">
          <cell r="E31">
            <v>20241.172003654294</v>
          </cell>
          <cell r="F31">
            <v>19279.35129205916</v>
          </cell>
          <cell r="G31">
            <v>18363.33156673046</v>
          </cell>
          <cell r="H31">
            <v>17490.931828322173</v>
          </cell>
          <cell r="I31">
            <v>16660.074934599998</v>
          </cell>
          <cell r="J31">
            <v>15868.782654864592</v>
          </cell>
          <cell r="K31">
            <v>15115.170959878491</v>
          </cell>
          <cell r="L31">
            <v>14397.445536082205</v>
          </cell>
          <cell r="M31">
            <v>13713.897513419075</v>
          </cell>
          <cell r="N31">
            <v>13062.899396597046</v>
          </cell>
        </row>
        <row r="32">
          <cell r="E32">
            <v>1991.1977032491354</v>
          </cell>
          <cell r="F32">
            <v>1818.7433865605065</v>
          </cell>
          <cell r="G32">
            <v>1661.9667350253892</v>
          </cell>
          <cell r="H32">
            <v>1519.4425063571007</v>
          </cell>
          <cell r="I32">
            <v>1389.8750257495658</v>
          </cell>
          <cell r="J32">
            <v>1272.0864070154432</v>
          </cell>
          <cell r="K32">
            <v>1272.0864070154432</v>
          </cell>
          <cell r="L32">
            <v>1272.0864070154432</v>
          </cell>
          <cell r="M32">
            <v>1272.0864070154432</v>
          </cell>
          <cell r="N32">
            <v>1272.0864070154432</v>
          </cell>
        </row>
        <row r="33">
          <cell r="B33" t="str">
            <v>E3</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row>
        <row r="34">
          <cell r="B34" t="str">
            <v>Verizon</v>
          </cell>
          <cell r="E34">
            <v>4721.0471095700914</v>
          </cell>
          <cell r="F34">
            <v>4584.0596195481394</v>
          </cell>
          <cell r="G34">
            <v>4451.0620564200308</v>
          </cell>
          <cell r="H34">
            <v>4321.9382087228387</v>
          </cell>
          <cell r="I34">
            <v>4196.5752497935255</v>
          </cell>
          <cell r="J34">
            <v>4074.8636391825416</v>
          </cell>
          <cell r="K34">
            <v>4074.8636391825416</v>
          </cell>
          <cell r="L34">
            <v>4074.8636391825416</v>
          </cell>
          <cell r="M34">
            <v>4074.8636391825416</v>
          </cell>
          <cell r="N34">
            <v>4074.8636391825416</v>
          </cell>
          <cell r="O34">
            <v>4074.8636391825416</v>
          </cell>
          <cell r="P34">
            <v>4074.8636391825416</v>
          </cell>
          <cell r="Q34">
            <v>4451.0620564200308</v>
          </cell>
          <cell r="R34">
            <v>4074.8636391825416</v>
          </cell>
          <cell r="S34">
            <v>4074.8636391825416</v>
          </cell>
          <cell r="T34">
            <v>4074.8636391825416</v>
          </cell>
          <cell r="U34">
            <v>4074.8636391825416</v>
          </cell>
        </row>
        <row r="35">
          <cell r="B35" t="str">
            <v>Palm OS - GA</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row>
        <row r="36">
          <cell r="B36" t="str">
            <v>Pocket PC (Jornada &amp; Ipaq)</v>
          </cell>
          <cell r="E36">
            <v>995.39445827922168</v>
          </cell>
          <cell r="F36">
            <v>893.16958363523463</v>
          </cell>
          <cell r="G36">
            <v>800.23787941342823</v>
          </cell>
          <cell r="H36">
            <v>715.75451193905883</v>
          </cell>
          <cell r="I36">
            <v>638.951450598723</v>
          </cell>
          <cell r="J36">
            <v>569.13048574387221</v>
          </cell>
          <cell r="K36">
            <v>569.13048574387221</v>
          </cell>
          <cell r="L36">
            <v>569.13048574387221</v>
          </cell>
          <cell r="M36">
            <v>569.13048574387221</v>
          </cell>
          <cell r="N36">
            <v>569.13048574387221</v>
          </cell>
          <cell r="O36">
            <v>569.13048574387221</v>
          </cell>
          <cell r="P36">
            <v>569.13048574387221</v>
          </cell>
          <cell r="Q36">
            <v>800.23787941342823</v>
          </cell>
          <cell r="R36">
            <v>569.13048574387221</v>
          </cell>
          <cell r="S36">
            <v>569.13048574387221</v>
          </cell>
          <cell r="T36">
            <v>569.13048574387221</v>
          </cell>
          <cell r="U36">
            <v>569.13048574387221</v>
          </cell>
        </row>
        <row r="37">
          <cell r="B37" t="str">
            <v>Jornada - Go America</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row>
        <row r="38">
          <cell r="B38" t="str">
            <v>1x Laptop Card</v>
          </cell>
          <cell r="E38">
            <v>2232.8543568398882</v>
          </cell>
          <cell r="F38">
            <v>2448.4808826599547</v>
          </cell>
          <cell r="G38">
            <v>2657.8270242328349</v>
          </cell>
          <cell r="H38">
            <v>2918.3572587696117</v>
          </cell>
          <cell r="I38">
            <v>3344.1147680286181</v>
          </cell>
          <cell r="J38">
            <v>3933.1997284742556</v>
          </cell>
          <cell r="K38">
            <v>4608.0394958972047</v>
          </cell>
          <cell r="L38">
            <v>5266.136357472883</v>
          </cell>
          <cell r="M38">
            <v>5907.9779706531535</v>
          </cell>
          <cell r="N38">
            <v>6559.280507721377</v>
          </cell>
          <cell r="O38">
            <v>7194.5256893410115</v>
          </cell>
          <cell r="P38">
            <v>7814.1812054765796</v>
          </cell>
          <cell r="Q38">
            <v>2657.8270242328349</v>
          </cell>
          <cell r="R38">
            <v>3933.1997284742556</v>
          </cell>
          <cell r="S38">
            <v>5907.9779706531535</v>
          </cell>
          <cell r="T38">
            <v>7814.1812054765796</v>
          </cell>
          <cell r="U38">
            <v>7814.1812054765796</v>
          </cell>
        </row>
        <row r="39">
          <cell r="B39" t="str">
            <v>1x Laptop Card - Go America</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row>
        <row r="40">
          <cell r="B40" t="str">
            <v>Boingo</v>
          </cell>
          <cell r="E40">
            <v>468.82415414959792</v>
          </cell>
          <cell r="F40">
            <v>606.68989181051086</v>
          </cell>
          <cell r="G40">
            <v>739.25310109985014</v>
          </cell>
          <cell r="H40">
            <v>921.28182798062517</v>
          </cell>
          <cell r="I40">
            <v>1096.3094499813706</v>
          </cell>
          <cell r="J40">
            <v>1264.6052403667027</v>
          </cell>
          <cell r="K40">
            <v>1410.8383721474706</v>
          </cell>
          <cell r="L40">
            <v>1551.4471527059013</v>
          </cell>
          <cell r="M40">
            <v>1686.647903242854</v>
          </cell>
          <cell r="N40">
            <v>1840.033240297616</v>
          </cell>
          <cell r="O40">
            <v>1987.5191413118102</v>
          </cell>
          <cell r="P40">
            <v>2129.3325076716128</v>
          </cell>
          <cell r="Q40">
            <v>739.25310109985014</v>
          </cell>
          <cell r="R40">
            <v>1264.6052403667027</v>
          </cell>
          <cell r="S40">
            <v>1686.647903242854</v>
          </cell>
          <cell r="T40">
            <v>2129.3325076716128</v>
          </cell>
          <cell r="U40">
            <v>2129.3325076716128</v>
          </cell>
        </row>
        <row r="41">
          <cell r="B41" t="str">
            <v xml:space="preserve">Laptop CDPD </v>
          </cell>
          <cell r="E41">
            <v>713.46225081113323</v>
          </cell>
          <cell r="F41">
            <v>713.46225081113323</v>
          </cell>
          <cell r="G41">
            <v>713.46225081113323</v>
          </cell>
          <cell r="H41">
            <v>713.46225081113323</v>
          </cell>
          <cell r="I41">
            <v>713.46225081113323</v>
          </cell>
          <cell r="J41">
            <v>713.46225081113323</v>
          </cell>
          <cell r="K41">
            <v>713.46225081113323</v>
          </cell>
          <cell r="L41">
            <v>713.46225081113323</v>
          </cell>
          <cell r="M41">
            <v>713.46225081113323</v>
          </cell>
          <cell r="N41">
            <v>713.46225081113323</v>
          </cell>
          <cell r="O41">
            <v>713.46225081113323</v>
          </cell>
          <cell r="P41">
            <v>713.46225081113323</v>
          </cell>
          <cell r="Q41">
            <v>713.46225081113323</v>
          </cell>
          <cell r="R41">
            <v>713.46225081113323</v>
          </cell>
          <cell r="S41">
            <v>713.46225081113323</v>
          </cell>
          <cell r="T41">
            <v>713.46225081113323</v>
          </cell>
          <cell r="U41">
            <v>713.46225081113323</v>
          </cell>
        </row>
        <row r="42">
          <cell r="B42" t="str">
            <v>Go America</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row>
        <row r="43">
          <cell r="B43" t="str">
            <v>Handspring</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row>
        <row r="44">
          <cell r="E44">
            <v>0</v>
          </cell>
          <cell r="F44">
            <v>0</v>
          </cell>
          <cell r="G44">
            <v>0</v>
          </cell>
          <cell r="H44">
            <v>0</v>
          </cell>
          <cell r="I44">
            <v>0</v>
          </cell>
          <cell r="J44">
            <v>0</v>
          </cell>
          <cell r="K44">
            <v>0</v>
          </cell>
          <cell r="L44">
            <v>0</v>
          </cell>
          <cell r="M44">
            <v>0</v>
          </cell>
          <cell r="N44">
            <v>130.53033400315252</v>
          </cell>
        </row>
        <row r="45">
          <cell r="E45">
            <v>0</v>
          </cell>
          <cell r="F45">
            <v>0</v>
          </cell>
          <cell r="G45">
            <v>0</v>
          </cell>
          <cell r="H45">
            <v>0</v>
          </cell>
          <cell r="I45">
            <v>0</v>
          </cell>
          <cell r="J45">
            <v>0</v>
          </cell>
          <cell r="K45">
            <v>0</v>
          </cell>
          <cell r="L45">
            <v>0</v>
          </cell>
          <cell r="M45">
            <v>0</v>
          </cell>
          <cell r="N45">
            <v>242.71844660194174</v>
          </cell>
        </row>
        <row r="46">
          <cell r="E46">
            <v>0</v>
          </cell>
          <cell r="F46">
            <v>0</v>
          </cell>
          <cell r="G46">
            <v>121.35922330097087</v>
          </cell>
          <cell r="H46">
            <v>481.9021585446319</v>
          </cell>
          <cell r="I46">
            <v>886.79821217925428</v>
          </cell>
          <cell r="J46">
            <v>1342.5225360963634</v>
          </cell>
          <cell r="K46">
            <v>1857.3034331032654</v>
          </cell>
          <cell r="L46">
            <v>2440.1004204886071</v>
          </cell>
          <cell r="M46">
            <v>3101.5538062996184</v>
          </cell>
          <cell r="N46">
            <v>3853.4502973782701</v>
          </cell>
        </row>
        <row r="47">
          <cell r="B47" t="str">
            <v>ELNK Wireless</v>
          </cell>
          <cell r="E47">
            <v>58957.936399999999</v>
          </cell>
          <cell r="F47">
            <v>57407.805399999997</v>
          </cell>
          <cell r="G47">
            <v>56061.700199999999</v>
          </cell>
          <cell r="H47">
            <v>55204.6077</v>
          </cell>
          <cell r="I47">
            <v>54632.897799999999</v>
          </cell>
          <cell r="J47">
            <v>54346.748800000001</v>
          </cell>
          <cell r="K47">
            <v>54452.019699999997</v>
          </cell>
          <cell r="L47">
            <v>54658.110200000003</v>
          </cell>
          <cell r="M47">
            <v>54973.844400000002</v>
          </cell>
          <cell r="N47">
            <v>55771.972199999997</v>
          </cell>
          <cell r="O47">
            <v>56935.656600000002</v>
          </cell>
          <cell r="P47">
            <v>58627.779000000002</v>
          </cell>
          <cell r="Q47">
            <v>56061.700199999999</v>
          </cell>
          <cell r="R47">
            <v>54346.748800000001</v>
          </cell>
          <cell r="S47">
            <v>54973.844400000002</v>
          </cell>
          <cell r="T47">
            <v>58627.779000000002</v>
          </cell>
          <cell r="U47">
            <v>58627.779000000002</v>
          </cell>
        </row>
        <row r="48">
          <cell r="B48" t="str">
            <v>ACC</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row>
        <row r="49">
          <cell r="C49" t="str">
            <v>Total Ending Subscribers</v>
          </cell>
          <cell r="E49">
            <v>5389201.9367000004</v>
          </cell>
          <cell r="F49">
            <v>5499448.0897000004</v>
          </cell>
          <cell r="G49">
            <v>5606411.5107000005</v>
          </cell>
          <cell r="H49">
            <v>5705418.4897999996</v>
          </cell>
          <cell r="I49">
            <v>5758444.1824000003</v>
          </cell>
          <cell r="J49">
            <v>5818214.4754999997</v>
          </cell>
          <cell r="K49">
            <v>5852832.2540999996</v>
          </cell>
          <cell r="L49">
            <v>5882814.8938999996</v>
          </cell>
          <cell r="M49">
            <v>5924530.9495000001</v>
          </cell>
          <cell r="N49">
            <v>6002266.8322999999</v>
          </cell>
          <cell r="O49">
            <v>6069043.9945999999</v>
          </cell>
          <cell r="P49">
            <v>6145967.1083000004</v>
          </cell>
          <cell r="Q49">
            <v>5606411.5107000005</v>
          </cell>
          <cell r="R49">
            <v>5818214.4754999997</v>
          </cell>
          <cell r="S49">
            <v>5924530.9495000001</v>
          </cell>
          <cell r="T49">
            <v>6145967.1083000004</v>
          </cell>
          <cell r="U49">
            <v>6145967.1083000004</v>
          </cell>
        </row>
        <row r="50">
          <cell r="E50">
            <v>93338.997300000003</v>
          </cell>
          <cell r="F50">
            <v>124471.5505</v>
          </cell>
          <cell r="G50">
            <v>122346.9479</v>
          </cell>
          <cell r="H50">
            <v>113739.2393</v>
          </cell>
          <cell r="I50">
            <v>68148.814499999993</v>
          </cell>
          <cell r="J50">
            <v>74685.985799999995</v>
          </cell>
          <cell r="K50">
            <v>48749.208100000003</v>
          </cell>
          <cell r="L50">
            <v>44108.516100000001</v>
          </cell>
          <cell r="M50">
            <v>56168.3197</v>
          </cell>
          <cell r="N50">
            <v>93159.043099999995</v>
          </cell>
        </row>
        <row r="51">
          <cell r="C51" t="str">
            <v>Gross Adds</v>
          </cell>
          <cell r="E51">
            <v>308746.75579999998</v>
          </cell>
          <cell r="F51">
            <v>344322.39140000002</v>
          </cell>
          <cell r="G51">
            <v>348415.99290000001</v>
          </cell>
          <cell r="H51">
            <v>341803.78590000002</v>
          </cell>
          <cell r="I51">
            <v>299938.13419999997</v>
          </cell>
          <cell r="J51">
            <v>305444.16560000001</v>
          </cell>
          <cell r="K51">
            <v>278156.15879999998</v>
          </cell>
          <cell r="L51">
            <v>272298.7488</v>
          </cell>
          <cell r="M51">
            <v>282819.42009999999</v>
          </cell>
          <cell r="N51">
            <v>320582.49280000001</v>
          </cell>
          <cell r="O51">
            <v>311938.48320000002</v>
          </cell>
          <cell r="P51">
            <v>323513.05949999997</v>
          </cell>
          <cell r="Q51">
            <v>1001485.1401</v>
          </cell>
          <cell r="R51">
            <v>947186.08570000005</v>
          </cell>
          <cell r="S51">
            <v>833274.32770000002</v>
          </cell>
          <cell r="T51">
            <v>956034.0355</v>
          </cell>
          <cell r="U51">
            <v>3737979.5890000002</v>
          </cell>
        </row>
        <row r="52">
          <cell r="C52" t="str">
            <v>Cannibalization</v>
          </cell>
          <cell r="E52">
            <v>-4070.5551</v>
          </cell>
          <cell r="F52">
            <v>-4296.6832000000004</v>
          </cell>
          <cell r="G52">
            <v>-5229.2214999999997</v>
          </cell>
          <cell r="H52">
            <v>-4242.6314000000002</v>
          </cell>
          <cell r="I52">
            <v>-4219.3485000000001</v>
          </cell>
          <cell r="J52">
            <v>-3748.59</v>
          </cell>
          <cell r="K52">
            <v>-2674.5749999999998</v>
          </cell>
          <cell r="L52">
            <v>-2428.8634000000002</v>
          </cell>
          <cell r="M52">
            <v>-2519.3571999999999</v>
          </cell>
          <cell r="N52">
            <v>-3278.3361</v>
          </cell>
          <cell r="O52">
            <v>-3165.1046999999999</v>
          </cell>
          <cell r="P52">
            <v>-3077.7905000000001</v>
          </cell>
          <cell r="Q52">
            <v>-13596.459800000001</v>
          </cell>
          <cell r="R52">
            <v>-12210.5699</v>
          </cell>
          <cell r="S52">
            <v>-7622.7956000000004</v>
          </cell>
          <cell r="T52">
            <v>-9521.2312999999995</v>
          </cell>
          <cell r="U52">
            <v>-42951.056600000004</v>
          </cell>
        </row>
        <row r="53">
          <cell r="C53" t="str">
            <v>Churn</v>
          </cell>
          <cell r="E53">
            <v>-215407.7585</v>
          </cell>
          <cell r="F53">
            <v>-219850.84090000001</v>
          </cell>
          <cell r="G53">
            <v>-226069.04500000001</v>
          </cell>
          <cell r="H53">
            <v>-228064.5466</v>
          </cell>
          <cell r="I53">
            <v>-231789.31969999999</v>
          </cell>
          <cell r="J53">
            <v>-230758.17980000001</v>
          </cell>
          <cell r="K53">
            <v>-229406.95069999999</v>
          </cell>
          <cell r="L53">
            <v>-228190.23269999999</v>
          </cell>
          <cell r="M53">
            <v>-226651.1004</v>
          </cell>
          <cell r="N53">
            <v>-227423.4497</v>
          </cell>
          <cell r="O53">
            <v>-229558.30590000001</v>
          </cell>
          <cell r="P53">
            <v>-230772.15900000001</v>
          </cell>
          <cell r="Q53">
            <v>-661327.64439999999</v>
          </cell>
          <cell r="R53">
            <v>-690612.04610000004</v>
          </cell>
          <cell r="S53">
            <v>-684248.28379999998</v>
          </cell>
          <cell r="T53">
            <v>-687753.91460000002</v>
          </cell>
          <cell r="U53">
            <v>-2723941.8889000001</v>
          </cell>
        </row>
        <row r="54">
          <cell r="E54">
            <v>-3.9969999999999999E-2</v>
          </cell>
          <cell r="F54">
            <v>-3.9976999999999999E-2</v>
          </cell>
          <cell r="G54">
            <v>-4.0322999999999998E-2</v>
          </cell>
          <cell r="H54">
            <v>-3.9973000000000002E-2</v>
          </cell>
          <cell r="I54">
            <v>-4.0252000000000003E-2</v>
          </cell>
          <cell r="J54">
            <v>-3.9661000000000002E-2</v>
          </cell>
          <cell r="K54">
            <v>-3.9196000000000002E-2</v>
          </cell>
          <cell r="L54">
            <v>-3.8788999999999997E-2</v>
          </cell>
          <cell r="M54">
            <v>-3.8255999999999998E-2</v>
          </cell>
          <cell r="N54">
            <v>-3.789E-2</v>
          </cell>
        </row>
        <row r="56">
          <cell r="A56" t="str">
            <v>Revenue</v>
          </cell>
        </row>
        <row r="57">
          <cell r="A57" t="str">
            <v>Narrowband</v>
          </cell>
        </row>
        <row r="58">
          <cell r="E58">
            <v>67951.23616</v>
          </cell>
          <cell r="F58">
            <v>67254.257645000005</v>
          </cell>
          <cell r="G58">
            <v>66744.948902999997</v>
          </cell>
          <cell r="H58">
            <v>66343.859945999997</v>
          </cell>
          <cell r="I58">
            <v>66040.747015000001</v>
          </cell>
          <cell r="J58">
            <v>65700.560471000004</v>
          </cell>
          <cell r="K58">
            <v>65367.411381999998</v>
          </cell>
          <cell r="L58">
            <v>65123.351995999998</v>
          </cell>
          <cell r="M58">
            <v>64817.015307000001</v>
          </cell>
          <cell r="N58">
            <v>64552.449843000002</v>
          </cell>
        </row>
        <row r="59">
          <cell r="B59" t="str">
            <v>People PC</v>
          </cell>
          <cell r="E59">
            <v>5796.0605020000003</v>
          </cell>
          <cell r="F59">
            <v>6089.9616720000004</v>
          </cell>
          <cell r="G59">
            <v>6440.3247680000004</v>
          </cell>
          <cell r="H59">
            <v>6915.3110239999996</v>
          </cell>
          <cell r="I59">
            <v>7475.9266090000001</v>
          </cell>
          <cell r="J59">
            <v>8050.3843219999999</v>
          </cell>
          <cell r="K59">
            <v>8612.2351920000001</v>
          </cell>
          <cell r="L59">
            <v>9152.8063409999995</v>
          </cell>
          <cell r="M59">
            <v>9703.9749150000007</v>
          </cell>
          <cell r="N59">
            <v>10244.339282000001</v>
          </cell>
          <cell r="O59">
            <v>10684.877251</v>
          </cell>
          <cell r="P59">
            <v>11105.889031000001</v>
          </cell>
          <cell r="Q59">
            <v>18326.346942</v>
          </cell>
          <cell r="R59">
            <v>22441.621954999999</v>
          </cell>
          <cell r="S59">
            <v>27469.016447000002</v>
          </cell>
          <cell r="T59">
            <v>32035.105564000001</v>
          </cell>
          <cell r="U59">
            <v>100272.09090700001</v>
          </cell>
        </row>
        <row r="60">
          <cell r="B60" t="str">
            <v>Mailstation</v>
          </cell>
          <cell r="E60">
            <v>1582.332062</v>
          </cell>
          <cell r="F60">
            <v>1529.1443939999999</v>
          </cell>
          <cell r="G60">
            <v>1477.5981139999999</v>
          </cell>
          <cell r="H60">
            <v>1428.5634660000001</v>
          </cell>
          <cell r="I60">
            <v>1381.1968079999999</v>
          </cell>
          <cell r="J60">
            <v>1335.620889</v>
          </cell>
          <cell r="K60">
            <v>1291.8912459999999</v>
          </cell>
          <cell r="L60">
            <v>1249.7916270000001</v>
          </cell>
          <cell r="M60">
            <v>1209.3146959999999</v>
          </cell>
          <cell r="N60">
            <v>1170.409551</v>
          </cell>
          <cell r="O60">
            <v>1132.989613</v>
          </cell>
          <cell r="P60">
            <v>1097.0113389999999</v>
          </cell>
          <cell r="Q60">
            <v>4589.0745699999998</v>
          </cell>
          <cell r="R60">
            <v>4145.381163</v>
          </cell>
          <cell r="S60">
            <v>3750.99757</v>
          </cell>
          <cell r="T60">
            <v>3400.4105030000001</v>
          </cell>
          <cell r="U60">
            <v>15885.863805000001</v>
          </cell>
        </row>
        <row r="61">
          <cell r="B61" t="str">
            <v xml:space="preserve">Narrowband &amp; People PC </v>
          </cell>
          <cell r="E61">
            <v>75329.628723000002</v>
          </cell>
          <cell r="F61">
            <v>74873.363710999998</v>
          </cell>
          <cell r="G61">
            <v>74662.871784999996</v>
          </cell>
          <cell r="H61">
            <v>74687.734435999999</v>
          </cell>
          <cell r="I61">
            <v>74897.870431999996</v>
          </cell>
          <cell r="J61">
            <v>75086.565682</v>
          </cell>
          <cell r="K61">
            <v>75271.537819999998</v>
          </cell>
          <cell r="L61">
            <v>75525.949963999999</v>
          </cell>
          <cell r="M61">
            <v>75730.304917999994</v>
          </cell>
          <cell r="N61">
            <v>75967.198676</v>
          </cell>
          <cell r="O61">
            <v>76181.905666999999</v>
          </cell>
          <cell r="P61">
            <v>76390.624863000005</v>
          </cell>
          <cell r="Q61">
            <v>224865.86421900001</v>
          </cell>
          <cell r="R61">
            <v>224672.17055099999</v>
          </cell>
          <cell r="S61">
            <v>226527.79270200001</v>
          </cell>
          <cell r="T61">
            <v>228539.72920500001</v>
          </cell>
          <cell r="U61">
            <v>904605.55667700002</v>
          </cell>
        </row>
        <row r="63">
          <cell r="B63" t="str">
            <v>Retail aDSL</v>
          </cell>
          <cell r="E63">
            <v>17802.198925000001</v>
          </cell>
          <cell r="F63">
            <v>17950.903036</v>
          </cell>
          <cell r="G63">
            <v>18113.639411</v>
          </cell>
          <cell r="H63">
            <v>18265.217332</v>
          </cell>
          <cell r="I63">
            <v>18391.695233999999</v>
          </cell>
          <cell r="J63">
            <v>18519.663324000001</v>
          </cell>
          <cell r="K63">
            <v>18655.420549999999</v>
          </cell>
          <cell r="L63">
            <v>18775.309031000001</v>
          </cell>
          <cell r="M63">
            <v>18899.203818000002</v>
          </cell>
          <cell r="N63">
            <v>19037.622614</v>
          </cell>
          <cell r="O63">
            <v>19166.247468000001</v>
          </cell>
          <cell r="P63">
            <v>19302.488215000001</v>
          </cell>
          <cell r="Q63">
            <v>53866.741370999996</v>
          </cell>
          <cell r="R63">
            <v>55176.575889</v>
          </cell>
          <cell r="S63">
            <v>56329.933399000001</v>
          </cell>
          <cell r="T63">
            <v>57506.358297999999</v>
          </cell>
          <cell r="U63">
            <v>222879.60895699999</v>
          </cell>
        </row>
        <row r="64">
          <cell r="B64" t="str">
            <v>Sprint DSL, Wireless, ION</v>
          </cell>
          <cell r="E64">
            <v>1225.6457</v>
          </cell>
          <cell r="F64">
            <v>1260.9539319999999</v>
          </cell>
          <cell r="G64">
            <v>1295.684649</v>
          </cell>
          <cell r="H64">
            <v>1329.8610619999999</v>
          </cell>
          <cell r="I64">
            <v>1363.481241</v>
          </cell>
          <cell r="J64">
            <v>1396.554132</v>
          </cell>
          <cell r="K64">
            <v>1429.0905740000001</v>
          </cell>
          <cell r="L64">
            <v>1461.10049</v>
          </cell>
          <cell r="M64">
            <v>1492.5902390000001</v>
          </cell>
          <cell r="N64">
            <v>1523.5686639999999</v>
          </cell>
          <cell r="O64">
            <v>1554.044404</v>
          </cell>
          <cell r="P64">
            <v>1584.0255529999999</v>
          </cell>
          <cell r="Q64">
            <v>3782.2842810000002</v>
          </cell>
          <cell r="R64">
            <v>4089.8964350000001</v>
          </cell>
          <cell r="S64">
            <v>4382.7813029999998</v>
          </cell>
          <cell r="T64">
            <v>4661.6386210000001</v>
          </cell>
          <cell r="U64">
            <v>16916.600639</v>
          </cell>
        </row>
        <row r="65">
          <cell r="B65" t="str">
            <v>Retail sDSL</v>
          </cell>
          <cell r="E65">
            <v>2809.867655</v>
          </cell>
          <cell r="F65">
            <v>2830.6450920000002</v>
          </cell>
          <cell r="G65">
            <v>2839.1797489999999</v>
          </cell>
          <cell r="H65">
            <v>2847.8359780000001</v>
          </cell>
          <cell r="I65">
            <v>2861.3862389999999</v>
          </cell>
          <cell r="J65">
            <v>2856.754758</v>
          </cell>
          <cell r="K65">
            <v>2845.0243099999998</v>
          </cell>
          <cell r="L65">
            <v>2853.3437610000001</v>
          </cell>
          <cell r="M65">
            <v>2858.0892610000001</v>
          </cell>
          <cell r="N65">
            <v>2852.1969429999999</v>
          </cell>
          <cell r="O65">
            <v>2854.9841839999999</v>
          </cell>
          <cell r="P65">
            <v>2843.868657</v>
          </cell>
          <cell r="Q65">
            <v>8479.6924959999997</v>
          </cell>
          <cell r="R65">
            <v>8565.9769749999996</v>
          </cell>
          <cell r="S65">
            <v>8556.457332</v>
          </cell>
          <cell r="T65">
            <v>8551.0497840000007</v>
          </cell>
          <cell r="U65">
            <v>34153.176588000002</v>
          </cell>
        </row>
        <row r="66">
          <cell r="E66">
            <v>1179.8112960000001</v>
          </cell>
          <cell r="F66">
            <v>1159.0118769999999</v>
          </cell>
          <cell r="G66">
            <v>1138.942276</v>
          </cell>
          <cell r="H66">
            <v>1119.5802510000001</v>
          </cell>
          <cell r="I66">
            <v>1100.8676190000001</v>
          </cell>
          <cell r="J66">
            <v>1082.7779419999999</v>
          </cell>
          <cell r="K66">
            <v>1065.308348</v>
          </cell>
          <cell r="L66">
            <v>1048.43382</v>
          </cell>
          <cell r="M66">
            <v>1032.1287170000001</v>
          </cell>
          <cell r="N66">
            <v>1016.374733</v>
          </cell>
        </row>
        <row r="67">
          <cell r="B67" t="str">
            <v>Frame &amp; Dedicated</v>
          </cell>
          <cell r="E67">
            <v>584.15063699999996</v>
          </cell>
          <cell r="F67">
            <v>575.437726</v>
          </cell>
          <cell r="G67">
            <v>566.51680399999998</v>
          </cell>
          <cell r="H67">
            <v>557.95002399999998</v>
          </cell>
          <cell r="I67">
            <v>549.58814800000005</v>
          </cell>
          <cell r="J67">
            <v>541.33535400000005</v>
          </cell>
          <cell r="K67">
            <v>533.29750999999999</v>
          </cell>
          <cell r="L67">
            <v>525.42838300000005</v>
          </cell>
          <cell r="M67">
            <v>517.71607200000005</v>
          </cell>
          <cell r="N67">
            <v>510.176649</v>
          </cell>
          <cell r="O67">
            <v>502.79624799999999</v>
          </cell>
          <cell r="P67">
            <v>495.57178800000003</v>
          </cell>
          <cell r="Q67">
            <v>1726.105168</v>
          </cell>
          <cell r="R67">
            <v>1648.8735260000001</v>
          </cell>
          <cell r="S67">
            <v>1576.441965</v>
          </cell>
          <cell r="T67">
            <v>1508.5446850000001</v>
          </cell>
          <cell r="U67">
            <v>6459.9653440000002</v>
          </cell>
        </row>
        <row r="68">
          <cell r="B68" t="str">
            <v>Cable - Retail</v>
          </cell>
          <cell r="E68">
            <v>10721.060202999999</v>
          </cell>
          <cell r="F68">
            <v>11204.800662</v>
          </cell>
          <cell r="G68">
            <v>11751.226333000001</v>
          </cell>
          <cell r="H68">
            <v>12233.082273</v>
          </cell>
          <cell r="I68">
            <v>12772.304136000001</v>
          </cell>
          <cell r="J68">
            <v>13305.277542</v>
          </cell>
          <cell r="K68">
            <v>13704.095973</v>
          </cell>
          <cell r="L68">
            <v>14128.367776999999</v>
          </cell>
          <cell r="M68">
            <v>14540.496851</v>
          </cell>
          <cell r="N68">
            <v>15020.672236</v>
          </cell>
          <cell r="O68">
            <v>15528.671057</v>
          </cell>
          <cell r="P68">
            <v>16042.733441</v>
          </cell>
          <cell r="Q68">
            <v>33677.087198000001</v>
          </cell>
          <cell r="R68">
            <v>38310.663951000002</v>
          </cell>
          <cell r="S68">
            <v>42372.960600999999</v>
          </cell>
          <cell r="T68">
            <v>46592.076733000002</v>
          </cell>
          <cell r="U68">
            <v>160952.78848300001</v>
          </cell>
        </row>
        <row r="69">
          <cell r="B69" t="str">
            <v>Cable - Wholesale</v>
          </cell>
          <cell r="E69">
            <v>68.102087999999995</v>
          </cell>
          <cell r="F69">
            <v>68.108461000000005</v>
          </cell>
          <cell r="G69">
            <v>68.110962000000001</v>
          </cell>
          <cell r="H69">
            <v>68.108069999999998</v>
          </cell>
          <cell r="I69">
            <v>68.107406999999995</v>
          </cell>
          <cell r="J69">
            <v>68.110142999999994</v>
          </cell>
          <cell r="K69">
            <v>68.110924999999995</v>
          </cell>
          <cell r="L69">
            <v>68.110000999999997</v>
          </cell>
          <cell r="M69">
            <v>68.110382999999999</v>
          </cell>
          <cell r="N69">
            <v>68.111683999999997</v>
          </cell>
          <cell r="O69">
            <v>68.112070000000003</v>
          </cell>
          <cell r="P69">
            <v>68.112018000000006</v>
          </cell>
          <cell r="Q69">
            <v>204.32151099999999</v>
          </cell>
          <cell r="R69">
            <v>204.32561999999999</v>
          </cell>
          <cell r="S69">
            <v>204.331309</v>
          </cell>
          <cell r="T69">
            <v>204.33577199999999</v>
          </cell>
          <cell r="U69">
            <v>817.314212</v>
          </cell>
        </row>
        <row r="70">
          <cell r="E70">
            <v>613.78571499999998</v>
          </cell>
          <cell r="F70">
            <v>636.94919600000003</v>
          </cell>
          <cell r="G70">
            <v>652.59912399999996</v>
          </cell>
          <cell r="H70">
            <v>664.40241900000001</v>
          </cell>
          <cell r="I70">
            <v>678.23878400000001</v>
          </cell>
          <cell r="J70">
            <v>692.00758199999996</v>
          </cell>
          <cell r="K70">
            <v>690.45677000000001</v>
          </cell>
          <cell r="L70">
            <v>699.44333300000005</v>
          </cell>
          <cell r="M70">
            <v>709.92529400000001</v>
          </cell>
          <cell r="N70">
            <v>738.75721499999997</v>
          </cell>
        </row>
        <row r="71">
          <cell r="B71" t="str">
            <v>BBD - Adjustments - Refunds, Chargebacks, Credits</v>
          </cell>
          <cell r="E71">
            <v>-563.95325500000001</v>
          </cell>
          <cell r="F71">
            <v>-549.59452399999998</v>
          </cell>
          <cell r="G71">
            <v>-538.61594600000001</v>
          </cell>
          <cell r="H71">
            <v>-517.13832000000002</v>
          </cell>
          <cell r="I71">
            <v>-514.01002500000004</v>
          </cell>
          <cell r="J71">
            <v>-515.22396000000003</v>
          </cell>
          <cell r="K71">
            <v>-508.32226700000001</v>
          </cell>
          <cell r="L71">
            <v>-503.39810999999997</v>
          </cell>
          <cell r="M71">
            <v>-506.085261</v>
          </cell>
          <cell r="N71">
            <v>-501.628626</v>
          </cell>
          <cell r="O71">
            <v>-502.12419999999997</v>
          </cell>
          <cell r="P71">
            <v>-509.539783</v>
          </cell>
          <cell r="Q71">
            <v>-1652.1637250000001</v>
          </cell>
          <cell r="R71">
            <v>-1546.3723050000001</v>
          </cell>
          <cell r="S71">
            <v>-1517.805638</v>
          </cell>
          <cell r="T71">
            <v>-1513.2926090000001</v>
          </cell>
          <cell r="U71">
            <v>-6229.6342780000004</v>
          </cell>
        </row>
        <row r="72">
          <cell r="B72" t="str">
            <v>BBD - Deferred Revenue</v>
          </cell>
          <cell r="E72">
            <v>71.801693</v>
          </cell>
          <cell r="F72">
            <v>-495.37101200000001</v>
          </cell>
          <cell r="G72">
            <v>-396.66274900000002</v>
          </cell>
          <cell r="H72">
            <v>-310.65059600000001</v>
          </cell>
          <cell r="I72">
            <v>-256.43716699999999</v>
          </cell>
          <cell r="J72">
            <v>-243.47508500000001</v>
          </cell>
          <cell r="K72">
            <v>-316.12303200000002</v>
          </cell>
          <cell r="L72">
            <v>-332.540412</v>
          </cell>
          <cell r="M72">
            <v>-324.104176</v>
          </cell>
          <cell r="N72">
            <v>-270.17929600000002</v>
          </cell>
          <cell r="O72">
            <v>-286.44060400000001</v>
          </cell>
          <cell r="P72">
            <v>-283.79752100000002</v>
          </cell>
          <cell r="Q72">
            <v>-820.23206700000003</v>
          </cell>
          <cell r="R72">
            <v>-810.56284800000003</v>
          </cell>
          <cell r="S72">
            <v>-972.76761999999997</v>
          </cell>
          <cell r="T72">
            <v>-840.41741999999999</v>
          </cell>
          <cell r="U72">
            <v>-3443.9799560000001</v>
          </cell>
        </row>
        <row r="73">
          <cell r="B73" t="str">
            <v>BBD - Rebates</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4">
          <cell r="E74">
            <v>33621.032469999998</v>
          </cell>
          <cell r="F74">
            <v>34080.112862000002</v>
          </cell>
          <cell r="G74">
            <v>35008.511329000001</v>
          </cell>
          <cell r="H74">
            <v>35754.020174999998</v>
          </cell>
          <cell r="I74">
            <v>36335.088905999997</v>
          </cell>
          <cell r="J74">
            <v>36851.230988000003</v>
          </cell>
          <cell r="K74">
            <v>37422.936870999998</v>
          </cell>
          <cell r="L74">
            <v>38086.475493999998</v>
          </cell>
          <cell r="M74">
            <v>38756.047353000002</v>
          </cell>
          <cell r="N74">
            <v>39393.438649999996</v>
          </cell>
        </row>
        <row r="75">
          <cell r="B75" t="str">
            <v>Web Hosting</v>
          </cell>
        </row>
        <row r="76">
          <cell r="C76" t="str">
            <v>Recurring</v>
          </cell>
          <cell r="E76">
            <v>3781.505439</v>
          </cell>
          <cell r="F76">
            <v>3773.5082830000001</v>
          </cell>
          <cell r="G76">
            <v>3767.531356</v>
          </cell>
          <cell r="H76">
            <v>3769.5958380000002</v>
          </cell>
          <cell r="I76">
            <v>3760.5872129999998</v>
          </cell>
          <cell r="J76">
            <v>3752.3693499999999</v>
          </cell>
          <cell r="K76">
            <v>3736.7608310000001</v>
          </cell>
          <cell r="L76">
            <v>3726.27241</v>
          </cell>
          <cell r="M76">
            <v>3707.3791249999999</v>
          </cell>
          <cell r="N76">
            <v>3688.1436779999999</v>
          </cell>
          <cell r="O76">
            <v>3676.1238229999999</v>
          </cell>
          <cell r="P76">
            <v>3661.9986180000001</v>
          </cell>
          <cell r="Q76">
            <v>11322.545077999999</v>
          </cell>
          <cell r="R76">
            <v>11282.552401000001</v>
          </cell>
          <cell r="S76">
            <v>11170.412366</v>
          </cell>
          <cell r="T76">
            <v>11026.266118</v>
          </cell>
          <cell r="U76">
            <v>44801.775964</v>
          </cell>
        </row>
        <row r="77">
          <cell r="C77" t="str">
            <v>Other</v>
          </cell>
          <cell r="E77">
            <v>304.54050599999999</v>
          </cell>
          <cell r="F77">
            <v>291.188241</v>
          </cell>
          <cell r="G77">
            <v>317.63293599999997</v>
          </cell>
          <cell r="H77">
            <v>273.20721700000001</v>
          </cell>
          <cell r="I77">
            <v>271.18300199999999</v>
          </cell>
          <cell r="J77">
            <v>263.37314300000003</v>
          </cell>
          <cell r="K77">
            <v>270.47942</v>
          </cell>
          <cell r="L77">
            <v>276.43138299999998</v>
          </cell>
          <cell r="M77">
            <v>275.54392200000001</v>
          </cell>
          <cell r="N77">
            <v>240.122714</v>
          </cell>
          <cell r="O77">
            <v>264.70694099999997</v>
          </cell>
          <cell r="P77">
            <v>259.14145500000001</v>
          </cell>
          <cell r="Q77">
            <v>913.36168299999997</v>
          </cell>
          <cell r="R77">
            <v>807.76336100000003</v>
          </cell>
          <cell r="S77">
            <v>822.45472500000005</v>
          </cell>
          <cell r="T77">
            <v>763.97110999999995</v>
          </cell>
          <cell r="U77">
            <v>3307.5508789999999</v>
          </cell>
        </row>
        <row r="78">
          <cell r="C78" t="str">
            <v>Adj - Ref, Chgbks, Credits</v>
          </cell>
          <cell r="E78">
            <v>-27.900845</v>
          </cell>
          <cell r="F78">
            <v>-27.190466000000001</v>
          </cell>
          <cell r="G78">
            <v>-26.647314999999999</v>
          </cell>
          <cell r="H78">
            <v>-26.276216999999999</v>
          </cell>
          <cell r="I78">
            <v>-26.117266000000001</v>
          </cell>
          <cell r="J78">
            <v>-26.178947000000001</v>
          </cell>
          <cell r="K78">
            <v>-26.545718000000001</v>
          </cell>
          <cell r="L78">
            <v>-26.288568000000001</v>
          </cell>
          <cell r="M78">
            <v>-26.428896999999999</v>
          </cell>
          <cell r="N78">
            <v>-26.944623</v>
          </cell>
          <cell r="O78">
            <v>-26.971243000000001</v>
          </cell>
          <cell r="P78">
            <v>-27.369565999999999</v>
          </cell>
          <cell r="Q78">
            <v>-81.738625999999996</v>
          </cell>
          <cell r="R78">
            <v>-78.572430999999995</v>
          </cell>
          <cell r="S78">
            <v>-79.263182999999998</v>
          </cell>
          <cell r="T78">
            <v>-81.285432</v>
          </cell>
          <cell r="U78">
            <v>-320.85967199999999</v>
          </cell>
        </row>
        <row r="79">
          <cell r="E79">
            <v>25.105844000000001</v>
          </cell>
          <cell r="F79">
            <v>3.9985780000000002</v>
          </cell>
          <cell r="G79">
            <v>2.9884629999999999</v>
          </cell>
          <cell r="H79">
            <v>-1.032241</v>
          </cell>
          <cell r="I79">
            <v>4.5043129999999998</v>
          </cell>
          <cell r="J79">
            <v>4.1089310000000001</v>
          </cell>
          <cell r="K79">
            <v>7.8042590000000001</v>
          </cell>
          <cell r="L79">
            <v>5.244211</v>
          </cell>
          <cell r="M79">
            <v>9.4466420000000006</v>
          </cell>
          <cell r="N79">
            <v>9.6177240000000008</v>
          </cell>
        </row>
        <row r="80">
          <cell r="E80">
            <v>4083.2509439999999</v>
          </cell>
          <cell r="F80">
            <v>4041.5046360000001</v>
          </cell>
          <cell r="G80">
            <v>4061.5054409999998</v>
          </cell>
          <cell r="H80">
            <v>4015.4945969999999</v>
          </cell>
          <cell r="I80">
            <v>4010.1572609999998</v>
          </cell>
          <cell r="J80">
            <v>3993.6724770000001</v>
          </cell>
          <cell r="K80">
            <v>3988.4987919999999</v>
          </cell>
          <cell r="L80">
            <v>3981.6594359999999</v>
          </cell>
          <cell r="M80">
            <v>3965.9407930000002</v>
          </cell>
          <cell r="N80">
            <v>3910.939492</v>
          </cell>
        </row>
        <row r="82">
          <cell r="C82" t="str">
            <v>Recurring</v>
          </cell>
          <cell r="E82">
            <v>1787.9954170000001</v>
          </cell>
          <cell r="F82">
            <v>1781.918797</v>
          </cell>
          <cell r="G82">
            <v>1762.3624950000001</v>
          </cell>
          <cell r="H82">
            <v>1774.1837419999999</v>
          </cell>
          <cell r="I82">
            <v>1801.8630290000001</v>
          </cell>
          <cell r="J82">
            <v>1846.3693229999999</v>
          </cell>
          <cell r="K82">
            <v>1799.013438</v>
          </cell>
          <cell r="L82">
            <v>1866.28639</v>
          </cell>
          <cell r="M82">
            <v>1941.234383</v>
          </cell>
          <cell r="N82">
            <v>2052.3962510000001</v>
          </cell>
          <cell r="O82">
            <v>2191.0356489999999</v>
          </cell>
          <cell r="P82">
            <v>2369.772348</v>
          </cell>
          <cell r="Q82">
            <v>5332.2767089999998</v>
          </cell>
          <cell r="R82">
            <v>5422.4160940000002</v>
          </cell>
          <cell r="S82">
            <v>5606.5342110000001</v>
          </cell>
          <cell r="T82">
            <v>6613.204248</v>
          </cell>
          <cell r="U82">
            <v>22974.431261999998</v>
          </cell>
        </row>
        <row r="83">
          <cell r="C83" t="str">
            <v>Other</v>
          </cell>
          <cell r="E83">
            <v>66.618802000000002</v>
          </cell>
          <cell r="F83">
            <v>65.487015999999997</v>
          </cell>
          <cell r="G83">
            <v>64.592071000000004</v>
          </cell>
          <cell r="H83">
            <v>65.888952000000003</v>
          </cell>
          <cell r="I83">
            <v>65.092094000000003</v>
          </cell>
          <cell r="J83">
            <v>65.522576000000001</v>
          </cell>
          <cell r="K83">
            <v>67.686000000000007</v>
          </cell>
          <cell r="L83">
            <v>68.346502999999998</v>
          </cell>
          <cell r="M83">
            <v>69.155052999999995</v>
          </cell>
          <cell r="N83">
            <v>73.259291000000005</v>
          </cell>
          <cell r="O83">
            <v>74.780513999999997</v>
          </cell>
          <cell r="P83">
            <v>77.069256999999993</v>
          </cell>
          <cell r="Q83">
            <v>196.697889</v>
          </cell>
          <cell r="R83">
            <v>196.50362200000001</v>
          </cell>
          <cell r="S83">
            <v>205.187556</v>
          </cell>
          <cell r="T83">
            <v>225.109061</v>
          </cell>
          <cell r="U83">
            <v>823.49812799999995</v>
          </cell>
        </row>
        <row r="84">
          <cell r="C84" t="str">
            <v>Adj - Ref, Chgbks, Credits</v>
          </cell>
          <cell r="E84">
            <v>-148.40875199999999</v>
          </cell>
          <cell r="F84">
            <v>-144.63013799999999</v>
          </cell>
          <cell r="G84">
            <v>-141.741038</v>
          </cell>
          <cell r="H84">
            <v>-153.74382499999999</v>
          </cell>
          <cell r="I84">
            <v>-152.81379100000001</v>
          </cell>
          <cell r="J84">
            <v>-153.174691</v>
          </cell>
          <cell r="K84">
            <v>-169.44075599999999</v>
          </cell>
          <cell r="L84">
            <v>-167.79937000000001</v>
          </cell>
          <cell r="M84">
            <v>-168.695087</v>
          </cell>
          <cell r="N84">
            <v>-186.31920400000001</v>
          </cell>
          <cell r="O84">
            <v>-186.503275</v>
          </cell>
          <cell r="P84">
            <v>-189.257634</v>
          </cell>
          <cell r="Q84">
            <v>-434.77992799999998</v>
          </cell>
          <cell r="R84">
            <v>-459.73230699999999</v>
          </cell>
          <cell r="S84">
            <v>-505.93521299999998</v>
          </cell>
          <cell r="T84">
            <v>-562.08011199999999</v>
          </cell>
          <cell r="U84">
            <v>-1962.5275590000001</v>
          </cell>
        </row>
        <row r="85">
          <cell r="C85" t="str">
            <v>Adj - EW - Deferred Revenue</v>
          </cell>
          <cell r="E85">
            <v>2.5</v>
          </cell>
          <cell r="F85">
            <v>3.0383100000000001</v>
          </cell>
          <cell r="G85">
            <v>9.7781509999999994</v>
          </cell>
          <cell r="H85">
            <v>-5.9106230000000002</v>
          </cell>
          <cell r="I85">
            <v>-13.839644</v>
          </cell>
          <cell r="J85">
            <v>-22.253146999999998</v>
          </cell>
          <cell r="K85">
            <v>23.677942999999999</v>
          </cell>
          <cell r="L85">
            <v>-33.636476000000002</v>
          </cell>
          <cell r="M85">
            <v>-37.473996999999997</v>
          </cell>
          <cell r="N85">
            <v>-55.580933999999999</v>
          </cell>
          <cell r="O85">
            <v>-69.319699</v>
          </cell>
          <cell r="P85">
            <v>-89.368348999999995</v>
          </cell>
          <cell r="Q85">
            <v>15.316461</v>
          </cell>
          <cell r="R85">
            <v>-42.003413999999999</v>
          </cell>
          <cell r="S85">
            <v>-47.43253</v>
          </cell>
          <cell r="T85">
            <v>-214.26898199999999</v>
          </cell>
          <cell r="U85">
            <v>-288.388465</v>
          </cell>
        </row>
        <row r="86">
          <cell r="C86" t="str">
            <v>Equipment</v>
          </cell>
          <cell r="E86">
            <v>220.60949299999999</v>
          </cell>
          <cell r="F86">
            <v>220.43701300000001</v>
          </cell>
          <cell r="G86">
            <v>278.71146399999998</v>
          </cell>
          <cell r="H86">
            <v>453.14345800000001</v>
          </cell>
          <cell r="I86">
            <v>514.59813199999996</v>
          </cell>
          <cell r="J86">
            <v>585.41935699999999</v>
          </cell>
          <cell r="K86">
            <v>631.58724400000006</v>
          </cell>
          <cell r="L86">
            <v>672.22831900000006</v>
          </cell>
          <cell r="M86">
            <v>718.94624399999998</v>
          </cell>
          <cell r="N86">
            <v>977.08907999999997</v>
          </cell>
          <cell r="O86">
            <v>1155.342476</v>
          </cell>
          <cell r="P86">
            <v>1417.6147800000001</v>
          </cell>
          <cell r="Q86">
            <v>719.75797</v>
          </cell>
          <cell r="R86">
            <v>1553.1609470000001</v>
          </cell>
          <cell r="S86">
            <v>2022.7618070000001</v>
          </cell>
          <cell r="T86">
            <v>3550.0463359999999</v>
          </cell>
          <cell r="U86">
            <v>7845.7270600000002</v>
          </cell>
        </row>
        <row r="87">
          <cell r="E87">
            <v>1929.3149599999999</v>
          </cell>
          <cell r="F87">
            <v>1926.2509990000001</v>
          </cell>
          <cell r="G87">
            <v>1973.7031420000001</v>
          </cell>
          <cell r="H87">
            <v>2133.5617040000002</v>
          </cell>
          <cell r="I87">
            <v>2214.899821</v>
          </cell>
          <cell r="J87">
            <v>2321.8834179999999</v>
          </cell>
          <cell r="K87">
            <v>2352.5238690000001</v>
          </cell>
          <cell r="L87">
            <v>2405.4253650000001</v>
          </cell>
          <cell r="M87">
            <v>2523.166596</v>
          </cell>
          <cell r="N87">
            <v>2860.8444840000002</v>
          </cell>
        </row>
        <row r="88">
          <cell r="E88">
            <v>2149.5261</v>
          </cell>
          <cell r="F88">
            <v>2125.1756919999998</v>
          </cell>
          <cell r="G88">
            <v>2159.4047890000002</v>
          </cell>
          <cell r="H88">
            <v>2188.1371410000002</v>
          </cell>
          <cell r="I88">
            <v>2337.8563600000002</v>
          </cell>
          <cell r="J88">
            <v>2339.4451829999998</v>
          </cell>
          <cell r="K88">
            <v>2842.2183799999998</v>
          </cell>
          <cell r="L88">
            <v>2951.2052779999999</v>
          </cell>
          <cell r="M88">
            <v>3047.7096350000002</v>
          </cell>
          <cell r="N88">
            <v>3305.8721799999998</v>
          </cell>
        </row>
        <row r="89">
          <cell r="E89">
            <v>0</v>
          </cell>
          <cell r="F89">
            <v>0</v>
          </cell>
          <cell r="G89">
            <v>0</v>
          </cell>
          <cell r="H89">
            <v>0</v>
          </cell>
          <cell r="I89">
            <v>0</v>
          </cell>
          <cell r="J89">
            <v>0</v>
          </cell>
          <cell r="K89">
            <v>0</v>
          </cell>
          <cell r="L89">
            <v>0</v>
          </cell>
          <cell r="M89">
            <v>0</v>
          </cell>
          <cell r="N89">
            <v>0</v>
          </cell>
        </row>
        <row r="90">
          <cell r="C90" t="str">
            <v>Total Revenue</v>
          </cell>
          <cell r="E90">
            <v>117112.753197</v>
          </cell>
          <cell r="F90">
            <v>117046.407898</v>
          </cell>
          <cell r="G90">
            <v>117865.996486</v>
          </cell>
          <cell r="H90">
            <v>118778.94805200001</v>
          </cell>
          <cell r="I90">
            <v>119795.87278000001</v>
          </cell>
          <cell r="J90">
            <v>120592.797749</v>
          </cell>
          <cell r="K90">
            <v>121877.715732</v>
          </cell>
          <cell r="L90">
            <v>122950.715537</v>
          </cell>
          <cell r="M90">
            <v>124023.16929599999</v>
          </cell>
          <cell r="N90">
            <v>125438.29348199999</v>
          </cell>
          <cell r="O90">
            <v>126735.976802</v>
          </cell>
          <cell r="P90">
            <v>128177.135195</v>
          </cell>
          <cell r="Q90">
            <v>352025.15758100001</v>
          </cell>
          <cell r="R90">
            <v>359167.61858100002</v>
          </cell>
          <cell r="S90">
            <v>368851.60056499997</v>
          </cell>
          <cell r="T90">
            <v>380351.40547900001</v>
          </cell>
          <cell r="U90">
            <v>1460395.7822070001</v>
          </cell>
        </row>
        <row r="92">
          <cell r="A92" t="str">
            <v>Cost of  Revenue</v>
          </cell>
        </row>
        <row r="93">
          <cell r="A93" t="str">
            <v>Narrowband</v>
          </cell>
        </row>
        <row r="94">
          <cell r="B94" t="str">
            <v>Organic</v>
          </cell>
          <cell r="E94">
            <v>13692.479520000001</v>
          </cell>
          <cell r="F94">
            <v>13532.368837</v>
          </cell>
          <cell r="G94">
            <v>13404.135474999999</v>
          </cell>
          <cell r="H94">
            <v>13283.011531</v>
          </cell>
          <cell r="I94">
            <v>13169.485973999999</v>
          </cell>
          <cell r="J94">
            <v>13061.398553000001</v>
          </cell>
          <cell r="K94">
            <v>12974.707809</v>
          </cell>
          <cell r="L94">
            <v>13018.530842</v>
          </cell>
          <cell r="M94">
            <v>12781.821521</v>
          </cell>
          <cell r="N94">
            <v>12633.08764</v>
          </cell>
          <cell r="O94">
            <v>12519.788869</v>
          </cell>
          <cell r="P94">
            <v>12458.010946</v>
          </cell>
          <cell r="Q94">
            <v>40628.983831999998</v>
          </cell>
          <cell r="R94">
            <v>39513.896057999998</v>
          </cell>
          <cell r="S94">
            <v>38775.060171999998</v>
          </cell>
          <cell r="T94">
            <v>37610.887454999996</v>
          </cell>
          <cell r="U94">
            <v>156528.827517</v>
          </cell>
        </row>
        <row r="95">
          <cell r="E95">
            <v>1376.069575</v>
          </cell>
          <cell r="F95">
            <v>1355.112128</v>
          </cell>
          <cell r="G95">
            <v>1528.0261</v>
          </cell>
          <cell r="H95">
            <v>1648.396103</v>
          </cell>
          <cell r="I95">
            <v>1764.257693</v>
          </cell>
          <cell r="J95">
            <v>1782.766895</v>
          </cell>
          <cell r="K95">
            <v>1791.924894</v>
          </cell>
          <cell r="L95">
            <v>1907.5705069999999</v>
          </cell>
          <cell r="M95">
            <v>2210.425299</v>
          </cell>
          <cell r="N95">
            <v>2298.351991</v>
          </cell>
        </row>
        <row r="96">
          <cell r="E96">
            <v>424.81001600000002</v>
          </cell>
          <cell r="F96">
            <v>418.39437500000003</v>
          </cell>
          <cell r="G96">
            <v>408.84527500000002</v>
          </cell>
          <cell r="H96">
            <v>370.608068</v>
          </cell>
          <cell r="I96">
            <v>346.23312499999997</v>
          </cell>
          <cell r="J96">
            <v>316.64246700000001</v>
          </cell>
          <cell r="K96">
            <v>302.98796599999997</v>
          </cell>
          <cell r="L96">
            <v>290.66842100000002</v>
          </cell>
          <cell r="M96">
            <v>277.96719100000001</v>
          </cell>
          <cell r="N96">
            <v>266.03115500000001</v>
          </cell>
        </row>
        <row r="97">
          <cell r="E97">
            <v>15493.359112</v>
          </cell>
          <cell r="F97">
            <v>15305.875339</v>
          </cell>
          <cell r="G97">
            <v>15341.00685</v>
          </cell>
          <cell r="H97">
            <v>15302.015702999999</v>
          </cell>
          <cell r="I97">
            <v>15279.976791999999</v>
          </cell>
          <cell r="J97">
            <v>15160.807916</v>
          </cell>
          <cell r="K97">
            <v>15069.620669</v>
          </cell>
          <cell r="L97">
            <v>15216.769770000001</v>
          </cell>
          <cell r="M97">
            <v>15270.214011</v>
          </cell>
          <cell r="N97">
            <v>15197.470786</v>
          </cell>
        </row>
        <row r="99">
          <cell r="E99">
            <v>11186.34657</v>
          </cell>
          <cell r="F99">
            <v>11028.48436</v>
          </cell>
          <cell r="G99">
            <v>11013.676095000001</v>
          </cell>
          <cell r="H99">
            <v>11002.944351</v>
          </cell>
          <cell r="I99">
            <v>10924.079393</v>
          </cell>
          <cell r="J99">
            <v>10861.799825</v>
          </cell>
          <cell r="K99">
            <v>10806.131824</v>
          </cell>
          <cell r="L99">
            <v>10729.648637</v>
          </cell>
          <cell r="M99">
            <v>10792.760888999999</v>
          </cell>
          <cell r="N99">
            <v>10855.139370999999</v>
          </cell>
        </row>
        <row r="100">
          <cell r="E100">
            <v>136.64778699999999</v>
          </cell>
          <cell r="F100">
            <v>157.14252500000001</v>
          </cell>
          <cell r="G100">
            <v>156.128264</v>
          </cell>
          <cell r="H100">
            <v>163.114127</v>
          </cell>
          <cell r="I100">
            <v>169.571585</v>
          </cell>
          <cell r="J100">
            <v>171.35412500000001</v>
          </cell>
          <cell r="K100">
            <v>176.11065300000001</v>
          </cell>
          <cell r="L100">
            <v>181.604535</v>
          </cell>
          <cell r="M100">
            <v>182.82699299999999</v>
          </cell>
          <cell r="N100">
            <v>186.52610300000001</v>
          </cell>
        </row>
        <row r="101">
          <cell r="B101" t="str">
            <v>Business xDSL</v>
          </cell>
          <cell r="E101">
            <v>1404.677359</v>
          </cell>
          <cell r="F101">
            <v>1460.5089439999999</v>
          </cell>
          <cell r="G101">
            <v>1446.779812</v>
          </cell>
          <cell r="H101">
            <v>1455.384671</v>
          </cell>
          <cell r="I101">
            <v>1487.8513740000001</v>
          </cell>
          <cell r="J101">
            <v>1457.4400169999999</v>
          </cell>
          <cell r="K101">
            <v>1446.7337150000001</v>
          </cell>
          <cell r="L101">
            <v>1488.7401159999999</v>
          </cell>
          <cell r="M101">
            <v>1487.7707620000001</v>
          </cell>
          <cell r="N101">
            <v>1474.9286179999999</v>
          </cell>
          <cell r="O101">
            <v>1496.786938</v>
          </cell>
          <cell r="P101">
            <v>1471.853085</v>
          </cell>
          <cell r="Q101">
            <v>4311.9661150000002</v>
          </cell>
          <cell r="R101">
            <v>4400.6760619999995</v>
          </cell>
          <cell r="S101">
            <v>4423.2445930000004</v>
          </cell>
          <cell r="T101">
            <v>4443.5686400000004</v>
          </cell>
          <cell r="U101">
            <v>17579.455409999999</v>
          </cell>
        </row>
        <row r="102">
          <cell r="B102" t="str">
            <v>Satellite</v>
          </cell>
          <cell r="E102">
            <v>596.83641799999998</v>
          </cell>
          <cell r="F102">
            <v>585.43843600000002</v>
          </cell>
          <cell r="G102">
            <v>573.63475900000003</v>
          </cell>
          <cell r="H102">
            <v>562.54623000000004</v>
          </cell>
          <cell r="I102">
            <v>551.81834300000003</v>
          </cell>
          <cell r="J102">
            <v>541.31675299999995</v>
          </cell>
          <cell r="K102">
            <v>531.27284399999996</v>
          </cell>
          <cell r="L102">
            <v>521.59749699999998</v>
          </cell>
          <cell r="M102">
            <v>512.14766499999996</v>
          </cell>
          <cell r="N102">
            <v>503.08669200000003</v>
          </cell>
          <cell r="O102">
            <v>494.26553999999999</v>
          </cell>
          <cell r="P102">
            <v>485.708304</v>
          </cell>
          <cell r="Q102">
            <v>1755.909613</v>
          </cell>
          <cell r="R102">
            <v>1655.681327</v>
          </cell>
          <cell r="S102">
            <v>1565.018006</v>
          </cell>
          <cell r="T102">
            <v>1483.0605370000001</v>
          </cell>
          <cell r="U102">
            <v>6459.6694820000002</v>
          </cell>
        </row>
        <row r="103">
          <cell r="B103" t="str">
            <v>Frame and Dedicated T-1</v>
          </cell>
          <cell r="E103">
            <v>403.56402300000002</v>
          </cell>
          <cell r="F103">
            <v>394.976336</v>
          </cell>
          <cell r="G103">
            <v>386.534989</v>
          </cell>
          <cell r="H103">
            <v>378.28751599999998</v>
          </cell>
          <cell r="I103">
            <v>370.21551399999998</v>
          </cell>
          <cell r="J103">
            <v>362.309864</v>
          </cell>
          <cell r="K103">
            <v>354.57739400000003</v>
          </cell>
          <cell r="L103">
            <v>347.01112799999999</v>
          </cell>
          <cell r="M103">
            <v>339.60182300000002</v>
          </cell>
          <cell r="N103">
            <v>332.35379</v>
          </cell>
          <cell r="O103">
            <v>325.25746299999997</v>
          </cell>
          <cell r="P103">
            <v>318.31113299999998</v>
          </cell>
          <cell r="Q103">
            <v>1185.0753480000001</v>
          </cell>
          <cell r="R103">
            <v>1110.8128939999999</v>
          </cell>
          <cell r="S103">
            <v>1041.1903440000001</v>
          </cell>
          <cell r="T103">
            <v>975.92238499999996</v>
          </cell>
          <cell r="U103">
            <v>4313.0009710000004</v>
          </cell>
        </row>
        <row r="104">
          <cell r="B104" t="str">
            <v>Cable - Retail</v>
          </cell>
          <cell r="E104">
            <v>8265.4994869999991</v>
          </cell>
          <cell r="F104">
            <v>8588.9051070000005</v>
          </cell>
          <cell r="G104">
            <v>8872.3742199999997</v>
          </cell>
          <cell r="H104">
            <v>9160.2477159999999</v>
          </cell>
          <cell r="I104">
            <v>9428.8167549999998</v>
          </cell>
          <cell r="J104">
            <v>9706.6426009999996</v>
          </cell>
          <cell r="K104">
            <v>9907.9240360000003</v>
          </cell>
          <cell r="L104">
            <v>10133.549496</v>
          </cell>
          <cell r="M104">
            <v>10348.571725</v>
          </cell>
          <cell r="N104">
            <v>10600.20169</v>
          </cell>
          <cell r="O104">
            <v>10895.52809</v>
          </cell>
          <cell r="P104">
            <v>11205.848952</v>
          </cell>
          <cell r="Q104">
            <v>25726.778815000001</v>
          </cell>
          <cell r="R104">
            <v>28295.707072000001</v>
          </cell>
          <cell r="S104">
            <v>30390.045256000001</v>
          </cell>
          <cell r="T104">
            <v>32701.578732000002</v>
          </cell>
          <cell r="U104">
            <v>117114.10987499999</v>
          </cell>
        </row>
        <row r="105">
          <cell r="B105" t="str">
            <v>Cable - Wholesale</v>
          </cell>
          <cell r="E105">
            <v>12.565124000000001</v>
          </cell>
          <cell r="F105">
            <v>14.559037</v>
          </cell>
          <cell r="G105">
            <v>14.556965999999999</v>
          </cell>
          <cell r="H105">
            <v>15.759124999999999</v>
          </cell>
          <cell r="I105">
            <v>16.891697000000001</v>
          </cell>
          <cell r="J105">
            <v>17.528088</v>
          </cell>
          <cell r="K105">
            <v>18.455399</v>
          </cell>
          <cell r="L105">
            <v>19.441272999999999</v>
          </cell>
          <cell r="M105">
            <v>19.946090000000002</v>
          </cell>
          <cell r="N105">
            <v>20.716588999999999</v>
          </cell>
          <cell r="O105">
            <v>21.098379999999999</v>
          </cell>
          <cell r="P105">
            <v>21.216653999999998</v>
          </cell>
          <cell r="Q105">
            <v>41.681125999999999</v>
          </cell>
          <cell r="R105">
            <v>50.178910000000002</v>
          </cell>
          <cell r="S105">
            <v>57.842762</v>
          </cell>
          <cell r="T105">
            <v>63.031624000000001</v>
          </cell>
          <cell r="U105">
            <v>212.734421</v>
          </cell>
        </row>
        <row r="106">
          <cell r="E106">
            <v>0</v>
          </cell>
          <cell r="F106">
            <v>0</v>
          </cell>
          <cell r="G106">
            <v>0</v>
          </cell>
          <cell r="H106">
            <v>0</v>
          </cell>
          <cell r="I106">
            <v>0</v>
          </cell>
          <cell r="J106">
            <v>0</v>
          </cell>
          <cell r="K106">
            <v>0</v>
          </cell>
          <cell r="L106">
            <v>0</v>
          </cell>
          <cell r="M106">
            <v>0</v>
          </cell>
          <cell r="N106">
            <v>0</v>
          </cell>
        </row>
        <row r="107">
          <cell r="E107">
            <v>0</v>
          </cell>
          <cell r="F107">
            <v>0</v>
          </cell>
          <cell r="G107">
            <v>0</v>
          </cell>
          <cell r="H107">
            <v>0</v>
          </cell>
          <cell r="I107">
            <v>0</v>
          </cell>
          <cell r="J107">
            <v>0</v>
          </cell>
          <cell r="K107">
            <v>0</v>
          </cell>
          <cell r="L107">
            <v>0</v>
          </cell>
          <cell r="M107">
            <v>0</v>
          </cell>
          <cell r="N107">
            <v>0</v>
          </cell>
        </row>
        <row r="108">
          <cell r="E108">
            <v>1121.7937179999999</v>
          </cell>
          <cell r="F108">
            <v>1237.743199</v>
          </cell>
          <cell r="G108">
            <v>1216.755807</v>
          </cell>
          <cell r="H108">
            <v>1194.116133</v>
          </cell>
          <cell r="I108">
            <v>1208.488644</v>
          </cell>
          <cell r="J108">
            <v>1159.0920249999999</v>
          </cell>
          <cell r="K108">
            <v>1159.01541</v>
          </cell>
          <cell r="L108">
            <v>1202.307732</v>
          </cell>
          <cell r="M108">
            <v>1200.5329300000001</v>
          </cell>
          <cell r="N108">
            <v>1216.0980609999999</v>
          </cell>
        </row>
        <row r="109">
          <cell r="E109">
            <v>23127.930486000001</v>
          </cell>
          <cell r="F109">
            <v>23467.757943000001</v>
          </cell>
          <cell r="G109">
            <v>23680.440911999998</v>
          </cell>
          <cell r="H109">
            <v>23932.399868</v>
          </cell>
          <cell r="I109">
            <v>24157.733305000002</v>
          </cell>
          <cell r="J109">
            <v>24277.483299</v>
          </cell>
          <cell r="K109">
            <v>24400.221275</v>
          </cell>
          <cell r="L109">
            <v>24623.900412999999</v>
          </cell>
          <cell r="M109">
            <v>24884.158875000001</v>
          </cell>
          <cell r="N109">
            <v>25189.050915</v>
          </cell>
        </row>
        <row r="110">
          <cell r="E110">
            <v>408.28137900000002</v>
          </cell>
          <cell r="F110">
            <v>367.790772</v>
          </cell>
          <cell r="G110">
            <v>374.50797899999998</v>
          </cell>
          <cell r="H110">
            <v>367.04583300000002</v>
          </cell>
          <cell r="I110">
            <v>363.90862800000002</v>
          </cell>
          <cell r="J110">
            <v>357.02220999999997</v>
          </cell>
          <cell r="K110">
            <v>387.49924700000003</v>
          </cell>
          <cell r="L110">
            <v>360.61831899999999</v>
          </cell>
          <cell r="M110">
            <v>315.76100700000001</v>
          </cell>
          <cell r="N110">
            <v>280.74968699999999</v>
          </cell>
        </row>
        <row r="111">
          <cell r="E111">
            <v>1561.205011</v>
          </cell>
          <cell r="F111">
            <v>1603.436543</v>
          </cell>
          <cell r="G111">
            <v>1529.186107</v>
          </cell>
          <cell r="H111">
            <v>1710.8421900000001</v>
          </cell>
          <cell r="I111">
            <v>1795.932779</v>
          </cell>
          <cell r="J111">
            <v>1894.8937940000001</v>
          </cell>
          <cell r="K111">
            <v>1985.2559240000001</v>
          </cell>
          <cell r="L111">
            <v>2072.0062189999999</v>
          </cell>
          <cell r="M111">
            <v>2154.3877670000002</v>
          </cell>
          <cell r="N111">
            <v>2488.7262179999998</v>
          </cell>
        </row>
        <row r="112">
          <cell r="E112">
            <v>341.92441700000001</v>
          </cell>
          <cell r="F112">
            <v>356.22155099999998</v>
          </cell>
          <cell r="G112">
            <v>374.72558099999998</v>
          </cell>
          <cell r="H112">
            <v>395.86662100000001</v>
          </cell>
          <cell r="I112">
            <v>425.47819500000003</v>
          </cell>
          <cell r="J112">
            <v>455.76240100000001</v>
          </cell>
          <cell r="K112">
            <v>525.42791299999999</v>
          </cell>
          <cell r="L112">
            <v>556.97265200000004</v>
          </cell>
          <cell r="M112">
            <v>585.37283100000002</v>
          </cell>
          <cell r="N112">
            <v>621.90765399999998</v>
          </cell>
        </row>
        <row r="113">
          <cell r="E113">
            <v>40932.700403000003</v>
          </cell>
          <cell r="F113">
            <v>41101.082148000001</v>
          </cell>
          <cell r="G113">
            <v>41299.867428999998</v>
          </cell>
          <cell r="H113">
            <v>41708.170213999998</v>
          </cell>
          <cell r="I113">
            <v>42023.029698999999</v>
          </cell>
          <cell r="J113">
            <v>42145.969620000003</v>
          </cell>
          <cell r="K113">
            <v>42368.025027999996</v>
          </cell>
          <cell r="L113">
            <v>42830.267373000002</v>
          </cell>
          <cell r="M113">
            <v>43209.894490999999</v>
          </cell>
          <cell r="N113">
            <v>43777.90526</v>
          </cell>
        </row>
        <row r="116">
          <cell r="E116">
            <v>59836.269611999996</v>
          </cell>
          <cell r="F116">
            <v>59567.488370999999</v>
          </cell>
          <cell r="G116">
            <v>59321.864934999998</v>
          </cell>
          <cell r="H116">
            <v>59385.718733000002</v>
          </cell>
          <cell r="I116">
            <v>59617.893640000002</v>
          </cell>
          <cell r="J116">
            <v>59925.757767000003</v>
          </cell>
          <cell r="K116">
            <v>60201.917151000001</v>
          </cell>
          <cell r="L116">
            <v>60309.180193</v>
          </cell>
          <cell r="M116">
            <v>60460.090906999998</v>
          </cell>
          <cell r="N116">
            <v>60769.727890000002</v>
          </cell>
        </row>
        <row r="117">
          <cell r="E117">
            <v>10493.101984000001</v>
          </cell>
          <cell r="F117">
            <v>10612.354918999999</v>
          </cell>
          <cell r="G117">
            <v>11328.070417000001</v>
          </cell>
          <cell r="H117">
            <v>11821.620306999999</v>
          </cell>
          <cell r="I117">
            <v>12177.355600999999</v>
          </cell>
          <cell r="J117">
            <v>12573.747689</v>
          </cell>
          <cell r="K117">
            <v>13022.715596</v>
          </cell>
          <cell r="L117">
            <v>13462.575081000001</v>
          </cell>
          <cell r="M117">
            <v>13871.888478000001</v>
          </cell>
          <cell r="N117">
            <v>14204.387735</v>
          </cell>
        </row>
        <row r="118">
          <cell r="E118">
            <v>3674.9695649999999</v>
          </cell>
          <cell r="F118">
            <v>3673.7138639999998</v>
          </cell>
          <cell r="G118">
            <v>3686.9974609999999</v>
          </cell>
          <cell r="H118">
            <v>3648.4487640000002</v>
          </cell>
          <cell r="I118">
            <v>3646.2486330000002</v>
          </cell>
          <cell r="J118">
            <v>3636.650267</v>
          </cell>
          <cell r="K118">
            <v>3600.9995450000001</v>
          </cell>
          <cell r="L118">
            <v>3621.0411170000002</v>
          </cell>
          <cell r="M118">
            <v>3650.1797860000001</v>
          </cell>
          <cell r="N118">
            <v>3630.189805</v>
          </cell>
        </row>
        <row r="119">
          <cell r="E119">
            <v>368.10995000000003</v>
          </cell>
          <cell r="F119">
            <v>322.81445600000001</v>
          </cell>
          <cell r="G119">
            <v>444.51703500000002</v>
          </cell>
          <cell r="H119">
            <v>422.719514</v>
          </cell>
          <cell r="I119">
            <v>418.96704199999999</v>
          </cell>
          <cell r="J119">
            <v>426.98962399999999</v>
          </cell>
          <cell r="K119">
            <v>367.267945</v>
          </cell>
          <cell r="L119">
            <v>333.41914700000001</v>
          </cell>
          <cell r="M119">
            <v>368.77882899999997</v>
          </cell>
          <cell r="N119">
            <v>372.11826600000001</v>
          </cell>
        </row>
        <row r="120">
          <cell r="C120" t="str">
            <v>ACC Gross Margin</v>
          </cell>
          <cell r="E120">
            <v>1807.6016830000001</v>
          </cell>
          <cell r="F120">
            <v>1768.9541409999999</v>
          </cell>
          <cell r="G120">
            <v>1784.6792069999999</v>
          </cell>
          <cell r="H120">
            <v>1792.27052</v>
          </cell>
          <cell r="I120">
            <v>1912.3781650000001</v>
          </cell>
          <cell r="J120">
            <v>1883.6827820000001</v>
          </cell>
          <cell r="K120">
            <v>2316.7904669999998</v>
          </cell>
          <cell r="L120">
            <v>2394.232626</v>
          </cell>
          <cell r="M120">
            <v>2462.336804</v>
          </cell>
          <cell r="N120">
            <v>2683.9645260000002</v>
          </cell>
          <cell r="O120">
            <v>2839.4482229999999</v>
          </cell>
          <cell r="P120">
            <v>3046.3691530000001</v>
          </cell>
          <cell r="Q120">
            <v>5361.2350310000002</v>
          </cell>
          <cell r="R120">
            <v>5588.331467</v>
          </cell>
          <cell r="S120">
            <v>7173.3598970000003</v>
          </cell>
          <cell r="T120">
            <v>8569.7819010000003</v>
          </cell>
          <cell r="U120">
            <v>26692.708297000001</v>
          </cell>
        </row>
        <row r="121">
          <cell r="E121">
            <v>76180.052794000003</v>
          </cell>
          <cell r="F121">
            <v>75945.325750000004</v>
          </cell>
          <cell r="G121">
            <v>76566.129056000005</v>
          </cell>
          <cell r="H121">
            <v>77070.777837999995</v>
          </cell>
          <cell r="I121">
            <v>77772.843080999999</v>
          </cell>
          <cell r="J121">
            <v>78446.828127999994</v>
          </cell>
          <cell r="K121">
            <v>79509.690703999993</v>
          </cell>
          <cell r="L121">
            <v>80120.448164000001</v>
          </cell>
          <cell r="M121">
            <v>80813.274804999994</v>
          </cell>
          <cell r="N121">
            <v>81660.388221000001</v>
          </cell>
        </row>
        <row r="122">
          <cell r="E122">
            <v>0.65048499999999998</v>
          </cell>
          <cell r="F122">
            <v>0.64884799999999998</v>
          </cell>
          <cell r="G122">
            <v>0.64960300000000004</v>
          </cell>
          <cell r="H122">
            <v>0.64885899999999996</v>
          </cell>
          <cell r="I122">
            <v>0.64921099999999998</v>
          </cell>
          <cell r="J122">
            <v>0.65051000000000003</v>
          </cell>
          <cell r="K122">
            <v>0.65237299999999998</v>
          </cell>
          <cell r="L122">
            <v>0.65164699999999998</v>
          </cell>
          <cell r="M122">
            <v>0.65159800000000001</v>
          </cell>
          <cell r="N122">
            <v>0.65100000000000002</v>
          </cell>
        </row>
        <row r="126">
          <cell r="E126">
            <v>13538.770732000001</v>
          </cell>
          <cell r="F126">
            <v>13072.905488</v>
          </cell>
          <cell r="G126">
            <v>18303.927587999999</v>
          </cell>
          <cell r="H126">
            <v>12424.406633000001</v>
          </cell>
          <cell r="I126">
            <v>10784.990335</v>
          </cell>
          <cell r="J126">
            <v>10878.520732000001</v>
          </cell>
          <cell r="K126">
            <v>10899.390950000001</v>
          </cell>
          <cell r="L126">
            <v>10787.168044</v>
          </cell>
          <cell r="M126">
            <v>11275.628267</v>
          </cell>
          <cell r="N126">
            <v>11400.171301</v>
          </cell>
        </row>
        <row r="127">
          <cell r="E127">
            <v>781.69081200000005</v>
          </cell>
          <cell r="F127">
            <v>797.50912000000005</v>
          </cell>
          <cell r="G127">
            <v>920.12892599999998</v>
          </cell>
          <cell r="H127">
            <v>886.882744</v>
          </cell>
          <cell r="I127">
            <v>925.89629000000002</v>
          </cell>
          <cell r="J127">
            <v>951.26733200000001</v>
          </cell>
          <cell r="K127">
            <v>970.78020700000002</v>
          </cell>
          <cell r="L127">
            <v>998.07391399999995</v>
          </cell>
          <cell r="M127">
            <v>1008.7426830000001</v>
          </cell>
          <cell r="N127">
            <v>1004.825069</v>
          </cell>
        </row>
        <row r="128">
          <cell r="E128">
            <v>259.06700000000001</v>
          </cell>
          <cell r="F128">
            <v>214.39699999999999</v>
          </cell>
          <cell r="G128">
            <v>216.90899999999999</v>
          </cell>
          <cell r="H128">
            <v>197.887</v>
          </cell>
          <cell r="I128">
            <v>174.60300000000001</v>
          </cell>
          <cell r="J128">
            <v>148.27000000000001</v>
          </cell>
          <cell r="K128">
            <v>109.807</v>
          </cell>
          <cell r="L128">
            <v>101.477</v>
          </cell>
          <cell r="M128">
            <v>90.376999999999995</v>
          </cell>
          <cell r="N128">
            <v>91.533000000000001</v>
          </cell>
        </row>
        <row r="129">
          <cell r="E129">
            <v>14579.528544999999</v>
          </cell>
          <cell r="F129">
            <v>14084.811609</v>
          </cell>
          <cell r="G129">
            <v>19440.965514</v>
          </cell>
          <cell r="H129">
            <v>13509.176377</v>
          </cell>
          <cell r="I129">
            <v>11885.489625</v>
          </cell>
          <cell r="J129">
            <v>11978.058064000001</v>
          </cell>
          <cell r="K129">
            <v>11979.978157</v>
          </cell>
          <cell r="L129">
            <v>11886.718956999999</v>
          </cell>
          <cell r="M129">
            <v>12374.747949000001</v>
          </cell>
          <cell r="N129">
            <v>12496.52937</v>
          </cell>
        </row>
        <row r="131">
          <cell r="E131">
            <v>9377.1191030000009</v>
          </cell>
          <cell r="F131">
            <v>9481.8618399999996</v>
          </cell>
          <cell r="G131">
            <v>15346.552836999999</v>
          </cell>
          <cell r="H131">
            <v>9827.2567589999999</v>
          </cell>
          <cell r="I131">
            <v>9194.4885859999995</v>
          </cell>
          <cell r="J131">
            <v>10111.02246</v>
          </cell>
          <cell r="K131">
            <v>9801.7638210000005</v>
          </cell>
          <cell r="L131">
            <v>9868.4634330000008</v>
          </cell>
          <cell r="M131">
            <v>10160.417864999999</v>
          </cell>
          <cell r="N131">
            <v>9942.6689970000007</v>
          </cell>
        </row>
        <row r="132">
          <cell r="E132">
            <v>2180.9574889999999</v>
          </cell>
          <cell r="F132">
            <v>2108.8748329999999</v>
          </cell>
          <cell r="G132">
            <v>3142.0131710000001</v>
          </cell>
          <cell r="H132">
            <v>2160.354777</v>
          </cell>
          <cell r="I132">
            <v>2044.242076</v>
          </cell>
          <cell r="J132">
            <v>2166.655546</v>
          </cell>
          <cell r="K132">
            <v>2163.4698549999998</v>
          </cell>
          <cell r="L132">
            <v>2168.5291510000002</v>
          </cell>
          <cell r="M132">
            <v>2164.6145350000002</v>
          </cell>
          <cell r="N132">
            <v>2168.5264360000001</v>
          </cell>
        </row>
        <row r="133">
          <cell r="E133">
            <v>0</v>
          </cell>
          <cell r="F133">
            <v>0</v>
          </cell>
          <cell r="G133">
            <v>0</v>
          </cell>
          <cell r="H133">
            <v>0</v>
          </cell>
          <cell r="I133">
            <v>0</v>
          </cell>
          <cell r="J133">
            <v>0</v>
          </cell>
          <cell r="K133">
            <v>0</v>
          </cell>
          <cell r="L133">
            <v>0</v>
          </cell>
          <cell r="M133">
            <v>0</v>
          </cell>
          <cell r="N133">
            <v>0</v>
          </cell>
        </row>
        <row r="134">
          <cell r="E134">
            <v>500.97159199999999</v>
          </cell>
          <cell r="F134">
            <v>505.40453200000002</v>
          </cell>
          <cell r="G134">
            <v>915.16853400000002</v>
          </cell>
          <cell r="H134">
            <v>528.67837999999995</v>
          </cell>
          <cell r="I134">
            <v>521.18605200000002</v>
          </cell>
          <cell r="J134">
            <v>552.88788399999999</v>
          </cell>
          <cell r="K134">
            <v>562.83446900000001</v>
          </cell>
          <cell r="L134">
            <v>568.98458400000004</v>
          </cell>
          <cell r="M134">
            <v>603.95771100000002</v>
          </cell>
          <cell r="N134">
            <v>582.40151700000001</v>
          </cell>
        </row>
        <row r="135">
          <cell r="E135">
            <v>450.49583799999999</v>
          </cell>
          <cell r="F135">
            <v>422.45986699999997</v>
          </cell>
          <cell r="G135">
            <v>518.38075500000002</v>
          </cell>
          <cell r="H135">
            <v>236.37836200000001</v>
          </cell>
          <cell r="I135">
            <v>229.821853</v>
          </cell>
          <cell r="J135">
            <v>237.58240900000001</v>
          </cell>
          <cell r="K135">
            <v>263.40221600000001</v>
          </cell>
          <cell r="L135">
            <v>238.06218999999999</v>
          </cell>
          <cell r="M135">
            <v>246.10002399999999</v>
          </cell>
          <cell r="N135">
            <v>246.182029</v>
          </cell>
        </row>
        <row r="136">
          <cell r="E136">
            <v>12509.544022</v>
          </cell>
          <cell r="F136">
            <v>12518.601073</v>
          </cell>
          <cell r="G136">
            <v>19922.115297</v>
          </cell>
          <cell r="H136">
            <v>12752.668277999999</v>
          </cell>
          <cell r="I136">
            <v>11989.738567</v>
          </cell>
          <cell r="J136">
            <v>13068.148299</v>
          </cell>
          <cell r="K136">
            <v>12791.470362</v>
          </cell>
          <cell r="L136">
            <v>12844.039357</v>
          </cell>
          <cell r="M136">
            <v>13175.090136000001</v>
          </cell>
          <cell r="N136">
            <v>12939.778979000001</v>
          </cell>
        </row>
        <row r="138">
          <cell r="E138">
            <v>435.64773300000002</v>
          </cell>
          <cell r="F138">
            <v>190.35574700000001</v>
          </cell>
          <cell r="G138">
            <v>248.986966</v>
          </cell>
          <cell r="H138">
            <v>245.46876599999999</v>
          </cell>
          <cell r="I138">
            <v>189.26208399999999</v>
          </cell>
          <cell r="J138">
            <v>210.744958</v>
          </cell>
          <cell r="K138">
            <v>725.91850999999997</v>
          </cell>
          <cell r="L138">
            <v>201.91047900000001</v>
          </cell>
          <cell r="M138">
            <v>221.87895900000001</v>
          </cell>
          <cell r="N138">
            <v>256.93998499999998</v>
          </cell>
        </row>
        <row r="139">
          <cell r="E139">
            <v>191.760403</v>
          </cell>
          <cell r="F139">
            <v>254.04524699999999</v>
          </cell>
          <cell r="G139">
            <v>298.34183899999999</v>
          </cell>
          <cell r="H139">
            <v>215.872105</v>
          </cell>
          <cell r="I139">
            <v>214.568535</v>
          </cell>
          <cell r="J139">
            <v>218.25205199999999</v>
          </cell>
          <cell r="K139">
            <v>221.814179</v>
          </cell>
          <cell r="L139">
            <v>216.141413</v>
          </cell>
          <cell r="M139">
            <v>223.493875</v>
          </cell>
          <cell r="N139">
            <v>215.97855899999999</v>
          </cell>
        </row>
        <row r="140">
          <cell r="E140">
            <v>165.51108300000001</v>
          </cell>
          <cell r="F140">
            <v>165.26667800000001</v>
          </cell>
          <cell r="G140">
            <v>347.20437299999998</v>
          </cell>
          <cell r="H140">
            <v>171.30421799999999</v>
          </cell>
          <cell r="I140">
            <v>162.04158200000001</v>
          </cell>
          <cell r="J140">
            <v>166.42375000000001</v>
          </cell>
          <cell r="K140">
            <v>166.238471</v>
          </cell>
          <cell r="L140">
            <v>166.432906</v>
          </cell>
          <cell r="M140">
            <v>166.268719</v>
          </cell>
          <cell r="N140">
            <v>166.32499899999999</v>
          </cell>
        </row>
        <row r="141">
          <cell r="E141">
            <v>1891.898279</v>
          </cell>
          <cell r="F141">
            <v>1993.225396</v>
          </cell>
          <cell r="G141">
            <v>2661.1367100000002</v>
          </cell>
          <cell r="H141">
            <v>2232.5312020000001</v>
          </cell>
          <cell r="I141">
            <v>1820.473491</v>
          </cell>
          <cell r="J141">
            <v>2091.7593179999999</v>
          </cell>
          <cell r="K141">
            <v>1992.59168</v>
          </cell>
          <cell r="L141">
            <v>1901.34934</v>
          </cell>
          <cell r="M141">
            <v>1931.220282</v>
          </cell>
          <cell r="N141">
            <v>1944.272684</v>
          </cell>
        </row>
        <row r="142">
          <cell r="E142">
            <v>1309.447185</v>
          </cell>
          <cell r="F142">
            <v>1308.911636</v>
          </cell>
          <cell r="G142">
            <v>1379.881228</v>
          </cell>
          <cell r="H142">
            <v>1310.016065</v>
          </cell>
          <cell r="I142">
            <v>1301.55198</v>
          </cell>
          <cell r="J142">
            <v>1312.4602199999999</v>
          </cell>
          <cell r="K142">
            <v>1323.127125</v>
          </cell>
          <cell r="L142">
            <v>1323.857088</v>
          </cell>
          <cell r="M142">
            <v>1324.49117</v>
          </cell>
          <cell r="N142">
            <v>1323.9856850000001</v>
          </cell>
        </row>
        <row r="143">
          <cell r="E143">
            <v>15.400126999999999</v>
          </cell>
          <cell r="F143">
            <v>15.370189999999999</v>
          </cell>
          <cell r="G143">
            <v>22.589967000000001</v>
          </cell>
          <cell r="H143">
            <v>16.659146</v>
          </cell>
          <cell r="I143">
            <v>16.142378000000001</v>
          </cell>
          <cell r="J143">
            <v>16.779734000000001</v>
          </cell>
          <cell r="K143">
            <v>16.774650000000001</v>
          </cell>
          <cell r="L143">
            <v>16.808403999999999</v>
          </cell>
          <cell r="M143">
            <v>16.789452000000001</v>
          </cell>
          <cell r="N143">
            <v>16.808617000000002</v>
          </cell>
        </row>
        <row r="144">
          <cell r="E144">
            <v>869.48284899999999</v>
          </cell>
          <cell r="F144">
            <v>1025.2343330000001</v>
          </cell>
          <cell r="G144">
            <v>1099.9166990000001</v>
          </cell>
          <cell r="H144">
            <v>1042.070187</v>
          </cell>
          <cell r="I144">
            <v>950.03947200000005</v>
          </cell>
          <cell r="J144">
            <v>1030.545865</v>
          </cell>
          <cell r="K144">
            <v>939.93518600000004</v>
          </cell>
          <cell r="L144">
            <v>1014.217344</v>
          </cell>
          <cell r="M144">
            <v>958.35049400000003</v>
          </cell>
          <cell r="N144">
            <v>969.47978699999999</v>
          </cell>
        </row>
        <row r="145">
          <cell r="E145">
            <v>0</v>
          </cell>
          <cell r="F145">
            <v>0</v>
          </cell>
          <cell r="G145">
            <v>0</v>
          </cell>
          <cell r="H145">
            <v>0</v>
          </cell>
          <cell r="I145">
            <v>0</v>
          </cell>
          <cell r="J145">
            <v>0</v>
          </cell>
          <cell r="K145">
            <v>0</v>
          </cell>
          <cell r="L145">
            <v>0</v>
          </cell>
          <cell r="M145">
            <v>0</v>
          </cell>
          <cell r="N145">
            <v>0</v>
          </cell>
        </row>
        <row r="146">
          <cell r="E146">
            <v>92.909616999999997</v>
          </cell>
          <cell r="F146">
            <v>92.929795999999996</v>
          </cell>
          <cell r="G146">
            <v>138.71767700000001</v>
          </cell>
          <cell r="H146">
            <v>100.582131</v>
          </cell>
          <cell r="I146">
            <v>100.387568</v>
          </cell>
          <cell r="J146">
            <v>111.50231599999999</v>
          </cell>
          <cell r="K146">
            <v>103.16591099999999</v>
          </cell>
          <cell r="L146">
            <v>103.394637</v>
          </cell>
          <cell r="M146">
            <v>113.612893</v>
          </cell>
          <cell r="N146">
            <v>101.833907</v>
          </cell>
        </row>
        <row r="147">
          <cell r="E147">
            <v>4972.0572769999999</v>
          </cell>
          <cell r="F147">
            <v>5045.3390220000001</v>
          </cell>
          <cell r="G147">
            <v>6196.7754590000004</v>
          </cell>
          <cell r="H147">
            <v>5334.5038199999999</v>
          </cell>
          <cell r="I147">
            <v>4754.4670900000001</v>
          </cell>
          <cell r="J147">
            <v>5158.4682130000001</v>
          </cell>
          <cell r="K147">
            <v>5489.5657110000002</v>
          </cell>
          <cell r="L147">
            <v>4944.1116110000003</v>
          </cell>
          <cell r="M147">
            <v>4956.105845</v>
          </cell>
          <cell r="N147">
            <v>4995.6242220000004</v>
          </cell>
        </row>
        <row r="149">
          <cell r="E149">
            <v>0</v>
          </cell>
          <cell r="F149">
            <v>0</v>
          </cell>
          <cell r="G149">
            <v>0</v>
          </cell>
          <cell r="H149">
            <v>0</v>
          </cell>
          <cell r="I149">
            <v>0</v>
          </cell>
          <cell r="J149">
            <v>0</v>
          </cell>
          <cell r="K149">
            <v>0</v>
          </cell>
          <cell r="L149">
            <v>0</v>
          </cell>
          <cell r="M149">
            <v>0</v>
          </cell>
          <cell r="N149">
            <v>0</v>
          </cell>
        </row>
        <row r="150">
          <cell r="E150">
            <v>0</v>
          </cell>
          <cell r="F150">
            <v>0</v>
          </cell>
          <cell r="G150">
            <v>0</v>
          </cell>
          <cell r="H150">
            <v>0</v>
          </cell>
          <cell r="I150">
            <v>0</v>
          </cell>
          <cell r="J150">
            <v>0</v>
          </cell>
          <cell r="K150">
            <v>0</v>
          </cell>
          <cell r="L150">
            <v>0</v>
          </cell>
          <cell r="M150">
            <v>0</v>
          </cell>
          <cell r="N150">
            <v>0</v>
          </cell>
        </row>
        <row r="151">
          <cell r="E151">
            <v>0</v>
          </cell>
          <cell r="F151">
            <v>0</v>
          </cell>
          <cell r="G151">
            <v>0</v>
          </cell>
          <cell r="H151">
            <v>0</v>
          </cell>
          <cell r="I151">
            <v>0</v>
          </cell>
          <cell r="J151">
            <v>0</v>
          </cell>
          <cell r="K151">
            <v>0</v>
          </cell>
          <cell r="L151">
            <v>0</v>
          </cell>
          <cell r="M151">
            <v>0</v>
          </cell>
          <cell r="N151">
            <v>0</v>
          </cell>
        </row>
        <row r="152">
          <cell r="E152">
            <v>35</v>
          </cell>
          <cell r="F152">
            <v>35</v>
          </cell>
          <cell r="G152">
            <v>35</v>
          </cell>
          <cell r="H152">
            <v>35</v>
          </cell>
          <cell r="I152">
            <v>35</v>
          </cell>
          <cell r="J152">
            <v>35</v>
          </cell>
          <cell r="K152">
            <v>35</v>
          </cell>
          <cell r="L152">
            <v>35</v>
          </cell>
          <cell r="M152">
            <v>35</v>
          </cell>
          <cell r="N152">
            <v>35</v>
          </cell>
        </row>
        <row r="153">
          <cell r="E153">
            <v>0</v>
          </cell>
          <cell r="F153">
            <v>0</v>
          </cell>
          <cell r="G153">
            <v>0</v>
          </cell>
          <cell r="H153">
            <v>0</v>
          </cell>
          <cell r="I153">
            <v>0</v>
          </cell>
          <cell r="J153">
            <v>0</v>
          </cell>
          <cell r="K153">
            <v>0</v>
          </cell>
          <cell r="L153">
            <v>0</v>
          </cell>
          <cell r="M153">
            <v>0</v>
          </cell>
          <cell r="N153">
            <v>0</v>
          </cell>
        </row>
        <row r="154">
          <cell r="E154">
            <v>3666.6666666666702</v>
          </cell>
          <cell r="F154">
            <v>3666.6666666666702</v>
          </cell>
          <cell r="G154">
            <v>3666.6666666666702</v>
          </cell>
          <cell r="H154">
            <v>3763.6666666666702</v>
          </cell>
          <cell r="I154">
            <v>3763.6666666666702</v>
          </cell>
          <cell r="J154">
            <v>3763.6666666666702</v>
          </cell>
          <cell r="K154">
            <v>4333.6666666666706</v>
          </cell>
          <cell r="L154">
            <v>4333.6666666666706</v>
          </cell>
          <cell r="M154">
            <v>4333.6666666666706</v>
          </cell>
          <cell r="N154">
            <v>4403.6666666666697</v>
          </cell>
        </row>
        <row r="155">
          <cell r="E155">
            <v>0</v>
          </cell>
          <cell r="F155">
            <v>0</v>
          </cell>
          <cell r="G155">
            <v>0</v>
          </cell>
          <cell r="H155">
            <v>0</v>
          </cell>
          <cell r="I155">
            <v>0</v>
          </cell>
          <cell r="J155">
            <v>0</v>
          </cell>
          <cell r="K155">
            <v>0</v>
          </cell>
          <cell r="L155">
            <v>0</v>
          </cell>
          <cell r="M155">
            <v>0</v>
          </cell>
          <cell r="N155">
            <v>0</v>
          </cell>
        </row>
        <row r="156">
          <cell r="E156">
            <v>3701.6666666666702</v>
          </cell>
          <cell r="F156">
            <v>3701.6666666666702</v>
          </cell>
          <cell r="G156">
            <v>3701.6666666666702</v>
          </cell>
          <cell r="H156">
            <v>3798.6666666666702</v>
          </cell>
          <cell r="I156">
            <v>3798.6666666666702</v>
          </cell>
          <cell r="J156">
            <v>3798.6666666666702</v>
          </cell>
          <cell r="K156">
            <v>4368.6666666666706</v>
          </cell>
          <cell r="L156">
            <v>4368.6666666666706</v>
          </cell>
          <cell r="M156">
            <v>4368.6666666666706</v>
          </cell>
          <cell r="N156">
            <v>4438.6666666666697</v>
          </cell>
        </row>
        <row r="158">
          <cell r="C158" t="str">
            <v>Earthlink - BD&amp;PP</v>
          </cell>
          <cell r="E158">
            <v>4768.4892019999998</v>
          </cell>
          <cell r="F158">
            <v>4759.3496340000002</v>
          </cell>
          <cell r="G158">
            <v>4909.1697549999999</v>
          </cell>
          <cell r="H158">
            <v>4786.3095309999999</v>
          </cell>
          <cell r="I158">
            <v>4741.9922059999999</v>
          </cell>
          <cell r="J158">
            <v>4806.9347289999996</v>
          </cell>
          <cell r="K158">
            <v>4805.7302159999999</v>
          </cell>
          <cell r="L158">
            <v>4819.3616400000001</v>
          </cell>
          <cell r="M158">
            <v>4828.5558709999996</v>
          </cell>
          <cell r="N158">
            <v>4846.391901</v>
          </cell>
          <cell r="O158">
            <v>4865.2738209999998</v>
          </cell>
          <cell r="P158">
            <v>4882.9048979999998</v>
          </cell>
          <cell r="Q158">
            <v>14437.008590999998</v>
          </cell>
          <cell r="R158">
            <v>14335.236465999998</v>
          </cell>
          <cell r="S158">
            <v>14453.647727</v>
          </cell>
          <cell r="T158">
            <v>14594.570619999999</v>
          </cell>
          <cell r="U158">
            <v>57820.463403999995</v>
          </cell>
        </row>
        <row r="159">
          <cell r="C159" t="str">
            <v>PeoplePC - BD&amp;PP</v>
          </cell>
          <cell r="E159">
            <v>244.83199999999999</v>
          </cell>
          <cell r="F159">
            <v>261.834</v>
          </cell>
          <cell r="G159">
            <v>279.26400000000001</v>
          </cell>
          <cell r="H159">
            <v>307.24299999999999</v>
          </cell>
          <cell r="I159">
            <v>330.18200000000002</v>
          </cell>
          <cell r="J159">
            <v>356.15600000000001</v>
          </cell>
          <cell r="K159">
            <v>379.05</v>
          </cell>
          <cell r="L159">
            <v>403.41300000000001</v>
          </cell>
          <cell r="M159">
            <v>428.32299999999998</v>
          </cell>
          <cell r="N159">
            <v>449.92</v>
          </cell>
          <cell r="O159">
            <v>466.96600000000001</v>
          </cell>
          <cell r="P159">
            <v>485.75799999999998</v>
          </cell>
          <cell r="Q159">
            <v>785.93</v>
          </cell>
          <cell r="R159">
            <v>993.5809999999999</v>
          </cell>
          <cell r="S159">
            <v>1210.7860000000001</v>
          </cell>
          <cell r="T159">
            <v>1402.644</v>
          </cell>
          <cell r="U159">
            <v>4392.9409999999998</v>
          </cell>
        </row>
        <row r="160">
          <cell r="C160" t="str">
            <v>PNL Bad Debt &amp; Pmt Process</v>
          </cell>
          <cell r="E160">
            <v>5013.3212020000001</v>
          </cell>
          <cell r="F160">
            <v>5021.183634</v>
          </cell>
          <cell r="G160">
            <v>5188.433755</v>
          </cell>
          <cell r="H160">
            <v>5093.5525310000003</v>
          </cell>
          <cell r="I160">
            <v>5072.1742059999997</v>
          </cell>
          <cell r="J160">
            <v>5163.0907289999996</v>
          </cell>
          <cell r="K160">
            <v>5184.7802160000001</v>
          </cell>
          <cell r="L160">
            <v>5222.7746399999996</v>
          </cell>
          <cell r="M160">
            <v>5256.8788709999999</v>
          </cell>
          <cell r="N160">
            <v>5296.311901</v>
          </cell>
          <cell r="O160">
            <v>5332.2398210000001</v>
          </cell>
          <cell r="P160">
            <v>5368.6628979999996</v>
          </cell>
          <cell r="Q160">
            <v>15222.938591</v>
          </cell>
          <cell r="R160">
            <v>15328.817466</v>
          </cell>
          <cell r="S160">
            <v>15664.433727</v>
          </cell>
          <cell r="T160">
            <v>15997.214619999999</v>
          </cell>
          <cell r="U160">
            <v>62213.404404000001</v>
          </cell>
        </row>
        <row r="161">
          <cell r="B161" t="str">
            <v>Subtotal General &amp; Admin</v>
          </cell>
          <cell r="E161">
            <v>13687.045145666671</v>
          </cell>
          <cell r="F161">
            <v>13768.189322666669</v>
          </cell>
          <cell r="G161">
            <v>15086.87588066667</v>
          </cell>
          <cell r="H161">
            <v>14226.723017666671</v>
          </cell>
          <cell r="I161">
            <v>13625.307962666669</v>
          </cell>
          <cell r="J161">
            <v>14120.225608666669</v>
          </cell>
          <cell r="K161">
            <v>15043.01259366667</v>
          </cell>
          <cell r="L161">
            <v>14535.552917666671</v>
          </cell>
          <cell r="M161">
            <v>14581.651382666671</v>
          </cell>
          <cell r="N161">
            <v>14730.602789666671</v>
          </cell>
          <cell r="O161">
            <v>14801.38101766667</v>
          </cell>
          <cell r="P161">
            <v>14687.423394666668</v>
          </cell>
          <cell r="Q161">
            <v>42542.110348000009</v>
          </cell>
          <cell r="R161">
            <v>41972.256589000011</v>
          </cell>
          <cell r="S161">
            <v>44160.216895000005</v>
          </cell>
          <cell r="T161">
            <v>44219.407202000009</v>
          </cell>
          <cell r="U161">
            <v>172893.99103400004</v>
          </cell>
        </row>
        <row r="162">
          <cell r="C162" t="str">
            <v>Operating Contribution Margin</v>
          </cell>
          <cell r="E162">
            <v>35403.935081333329</v>
          </cell>
          <cell r="F162">
            <v>35573.723745333336</v>
          </cell>
          <cell r="G162">
            <v>22116.172364333339</v>
          </cell>
          <cell r="H162">
            <v>36582.210165333323</v>
          </cell>
          <cell r="I162">
            <v>40272.306926333331</v>
          </cell>
          <cell r="J162">
            <v>39280.396156333321</v>
          </cell>
          <cell r="K162">
            <v>39695.229591333322</v>
          </cell>
          <cell r="L162">
            <v>40854.136932333335</v>
          </cell>
          <cell r="M162">
            <v>40681.78533733332</v>
          </cell>
          <cell r="N162">
            <v>41493.477082333331</v>
          </cell>
          <cell r="O162">
            <v>43113.373541333334</v>
          </cell>
          <cell r="P162">
            <v>44005.402454333336</v>
          </cell>
          <cell r="Q162">
            <v>93093.831192999991</v>
          </cell>
          <cell r="R162">
            <v>116134.91324899999</v>
          </cell>
          <cell r="S162">
            <v>121231.15186</v>
          </cell>
          <cell r="T162">
            <v>128612.25307899999</v>
          </cell>
          <cell r="U162">
            <v>459072.14938099997</v>
          </cell>
        </row>
        <row r="163">
          <cell r="C163" t="str">
            <v>% OCM</v>
          </cell>
          <cell r="E163">
            <v>0.30230640229061106</v>
          </cell>
          <cell r="F163">
            <v>0.30392836810792201</v>
          </cell>
          <cell r="G163">
            <v>0.18763827587000695</v>
          </cell>
          <cell r="H163">
            <v>0.3079856385772845</v>
          </cell>
          <cell r="I163">
            <v>0.33617441061840003</v>
          </cell>
          <cell r="J163">
            <v>0.32572754666568837</v>
          </cell>
          <cell r="K163">
            <v>0.32569719044144352</v>
          </cell>
          <cell r="L163">
            <v>0.33228059514658909</v>
          </cell>
          <cell r="M163">
            <v>0.32801762419278374</v>
          </cell>
          <cell r="N163">
            <v>0.330787959007809</v>
          </cell>
          <cell r="O163">
            <v>0.34018259557575736</v>
          </cell>
          <cell r="P163">
            <v>0.34331710088064071</v>
          </cell>
          <cell r="Q163">
            <v>0.26445221083831022</v>
          </cell>
          <cell r="R163">
            <v>0.32334460914885921</v>
          </cell>
          <cell r="S163">
            <v>0.32867188775729966</v>
          </cell>
          <cell r="T163">
            <v>0.33814060162872445</v>
          </cell>
          <cell r="U163">
            <v>0.31434776447192586</v>
          </cell>
        </row>
        <row r="165">
          <cell r="C165" t="str">
            <v>Marketing Division</v>
          </cell>
          <cell r="E165">
            <v>15267.059399</v>
          </cell>
          <cell r="F165">
            <v>16765.33337</v>
          </cell>
          <cell r="G165">
            <v>14473.187709</v>
          </cell>
          <cell r="H165">
            <v>13958.934365999999</v>
          </cell>
          <cell r="I165">
            <v>12456.673279000001</v>
          </cell>
          <cell r="J165">
            <v>12556.743418</v>
          </cell>
          <cell r="K165">
            <v>12010.829394</v>
          </cell>
          <cell r="L165">
            <v>11693.109920000001</v>
          </cell>
          <cell r="M165">
            <v>13897.389515000001</v>
          </cell>
          <cell r="N165">
            <v>13015.571667</v>
          </cell>
          <cell r="O165">
            <v>13162.314767</v>
          </cell>
          <cell r="P165">
            <v>12907.570196999999</v>
          </cell>
          <cell r="Q165">
            <v>46505.580478000003</v>
          </cell>
          <cell r="R165">
            <v>38972.351063000002</v>
          </cell>
          <cell r="S165">
            <v>37601.328828999998</v>
          </cell>
          <cell r="T165">
            <v>39085.456631000001</v>
          </cell>
          <cell r="U165">
            <v>162164.717</v>
          </cell>
        </row>
        <row r="166">
          <cell r="C166" t="str">
            <v>Sales Divison</v>
          </cell>
          <cell r="E166">
            <v>12288.748536999999</v>
          </cell>
          <cell r="F166">
            <v>13165.547074</v>
          </cell>
          <cell r="G166">
            <v>13790.407557</v>
          </cell>
          <cell r="H166">
            <v>13861.045818000001</v>
          </cell>
          <cell r="I166">
            <v>13037.769977</v>
          </cell>
          <cell r="J166">
            <v>12505.284062999999</v>
          </cell>
          <cell r="K166">
            <v>13059.779504</v>
          </cell>
          <cell r="L166">
            <v>13740.739317</v>
          </cell>
          <cell r="M166">
            <v>12865.908834</v>
          </cell>
          <cell r="N166">
            <v>13879.56187</v>
          </cell>
          <cell r="O166">
            <v>13450.457677</v>
          </cell>
          <cell r="P166">
            <v>13394.312453</v>
          </cell>
          <cell r="Q166">
            <v>39244.703169</v>
          </cell>
          <cell r="R166">
            <v>39404.099859000002</v>
          </cell>
          <cell r="S166">
            <v>39666.427655</v>
          </cell>
          <cell r="T166">
            <v>40724.331999000002</v>
          </cell>
          <cell r="U166">
            <v>159039.56268199999</v>
          </cell>
        </row>
        <row r="167">
          <cell r="C167" t="str">
            <v>Product Division</v>
          </cell>
          <cell r="E167">
            <v>1753.1026649999999</v>
          </cell>
          <cell r="F167">
            <v>1922.6962120000001</v>
          </cell>
          <cell r="G167">
            <v>2719.6903699999998</v>
          </cell>
          <cell r="H167">
            <v>1987.0553420000001</v>
          </cell>
          <cell r="I167">
            <v>2087.1389250000002</v>
          </cell>
          <cell r="J167">
            <v>2173.3462169999998</v>
          </cell>
          <cell r="K167">
            <v>2052.1080510000002</v>
          </cell>
          <cell r="L167">
            <v>2226.0382549999999</v>
          </cell>
          <cell r="M167">
            <v>2133.0136299999999</v>
          </cell>
          <cell r="N167">
            <v>2106.7366299999999</v>
          </cell>
          <cell r="O167">
            <v>2209.5825070000001</v>
          </cell>
          <cell r="P167">
            <v>2118.6647969999999</v>
          </cell>
          <cell r="Q167">
            <v>6395.4892470000004</v>
          </cell>
          <cell r="R167">
            <v>6247.5404829999998</v>
          </cell>
          <cell r="S167">
            <v>6411.159936</v>
          </cell>
          <cell r="T167">
            <v>6434.9839339999999</v>
          </cell>
          <cell r="U167">
            <v>25489.173599999998</v>
          </cell>
        </row>
        <row r="168">
          <cell r="C168" t="str">
            <v>ELNK Wireless Division</v>
          </cell>
          <cell r="E168">
            <v>940.14981</v>
          </cell>
          <cell r="F168">
            <v>1026.0636340000001</v>
          </cell>
          <cell r="G168">
            <v>1232.038282</v>
          </cell>
          <cell r="H168">
            <v>884.18301599999995</v>
          </cell>
          <cell r="I168">
            <v>909.00903900000003</v>
          </cell>
          <cell r="J168">
            <v>852.07320900000002</v>
          </cell>
          <cell r="K168">
            <v>863.20980499999996</v>
          </cell>
          <cell r="L168">
            <v>919.91319499999997</v>
          </cell>
          <cell r="M168">
            <v>880.32992300000001</v>
          </cell>
          <cell r="N168">
            <v>896.79648799999995</v>
          </cell>
          <cell r="O168">
            <v>974.53593599999999</v>
          </cell>
          <cell r="P168">
            <v>953.63784999999996</v>
          </cell>
          <cell r="Q168">
            <v>3198.251726</v>
          </cell>
          <cell r="R168">
            <v>2645.2652640000001</v>
          </cell>
          <cell r="S168">
            <v>2663.4529219999999</v>
          </cell>
          <cell r="T168">
            <v>2824.9702739999998</v>
          </cell>
          <cell r="U168">
            <v>11331.940186</v>
          </cell>
        </row>
        <row r="169">
          <cell r="E169">
            <v>61.079143999999999</v>
          </cell>
          <cell r="F169">
            <v>61.104458000000001</v>
          </cell>
          <cell r="G169">
            <v>496.57902000000001</v>
          </cell>
          <cell r="H169">
            <v>61.217477000000002</v>
          </cell>
          <cell r="I169">
            <v>60.010795999999999</v>
          </cell>
          <cell r="J169">
            <v>436.49366900000001</v>
          </cell>
          <cell r="K169">
            <v>61.349921000000002</v>
          </cell>
          <cell r="L169">
            <v>61.459190999999997</v>
          </cell>
          <cell r="M169">
            <v>436.42767099999998</v>
          </cell>
          <cell r="N169">
            <v>61.488695999999997</v>
          </cell>
        </row>
        <row r="170">
          <cell r="E170">
            <v>1308.4982520000001</v>
          </cell>
          <cell r="F170">
            <v>1308.309107</v>
          </cell>
          <cell r="G170">
            <v>1440.8501369999999</v>
          </cell>
          <cell r="H170">
            <v>1292.863576</v>
          </cell>
          <cell r="I170">
            <v>1265.420134</v>
          </cell>
          <cell r="J170">
            <v>1280.308698</v>
          </cell>
          <cell r="K170">
            <v>1357.773046</v>
          </cell>
          <cell r="L170">
            <v>1366.632683</v>
          </cell>
          <cell r="M170">
            <v>1319.7920389999999</v>
          </cell>
          <cell r="N170">
            <v>1359.0708609999999</v>
          </cell>
        </row>
        <row r="171">
          <cell r="E171">
            <v>5575.4225489999999</v>
          </cell>
          <cell r="F171">
            <v>6066.0669200000002</v>
          </cell>
          <cell r="G171">
            <v>7579.5519260000001</v>
          </cell>
          <cell r="H171">
            <v>6635.9253150000004</v>
          </cell>
          <cell r="I171">
            <v>7009.7236140000005</v>
          </cell>
          <cell r="J171">
            <v>7839.8705620000001</v>
          </cell>
          <cell r="K171">
            <v>7374.320084</v>
          </cell>
          <cell r="L171">
            <v>7466.3540210000001</v>
          </cell>
          <cell r="M171">
            <v>7775.3657949999997</v>
          </cell>
          <cell r="N171">
            <v>6965.6327410000004</v>
          </cell>
        </row>
        <row r="172">
          <cell r="E172">
            <v>673.822765</v>
          </cell>
          <cell r="F172">
            <v>669.59008800000004</v>
          </cell>
          <cell r="G172">
            <v>1418.990211</v>
          </cell>
          <cell r="H172">
            <v>738.79915000000005</v>
          </cell>
          <cell r="I172">
            <v>672.63074600000004</v>
          </cell>
          <cell r="J172">
            <v>751.56753500000002</v>
          </cell>
          <cell r="K172">
            <v>750.64751699999999</v>
          </cell>
          <cell r="L172">
            <v>776.59728199999995</v>
          </cell>
          <cell r="M172">
            <v>777.16428399999995</v>
          </cell>
          <cell r="N172">
            <v>821.68968099999995</v>
          </cell>
        </row>
        <row r="173">
          <cell r="E173">
            <v>3424.7712459999998</v>
          </cell>
          <cell r="F173">
            <v>3223.230137</v>
          </cell>
          <cell r="G173">
            <v>3933.1088840000002</v>
          </cell>
          <cell r="H173">
            <v>2847.0613239999998</v>
          </cell>
          <cell r="I173">
            <v>2451.5930170000001</v>
          </cell>
          <cell r="J173">
            <v>2328.4291370000001</v>
          </cell>
          <cell r="K173">
            <v>1979.2137760000001</v>
          </cell>
          <cell r="L173">
            <v>1967.465271</v>
          </cell>
          <cell r="M173">
            <v>2002.9965030000001</v>
          </cell>
          <cell r="N173">
            <v>2169.1859890000001</v>
          </cell>
        </row>
        <row r="174">
          <cell r="E174">
            <v>0</v>
          </cell>
          <cell r="F174">
            <v>0</v>
          </cell>
          <cell r="G174">
            <v>0</v>
          </cell>
          <cell r="H174">
            <v>0</v>
          </cell>
          <cell r="I174">
            <v>0</v>
          </cell>
          <cell r="J174">
            <v>0</v>
          </cell>
          <cell r="K174">
            <v>0</v>
          </cell>
          <cell r="L174">
            <v>0</v>
          </cell>
          <cell r="M174">
            <v>0</v>
          </cell>
          <cell r="N174">
            <v>0</v>
          </cell>
        </row>
        <row r="175">
          <cell r="E175">
            <v>47.566000000000003</v>
          </cell>
          <cell r="F175">
            <v>36.472999999999999</v>
          </cell>
          <cell r="G175">
            <v>34.549999999999997</v>
          </cell>
          <cell r="H175">
            <v>31.132000000000001</v>
          </cell>
          <cell r="I175">
            <v>27.972999999999999</v>
          </cell>
          <cell r="J175">
            <v>12.308</v>
          </cell>
          <cell r="K175">
            <v>8.8610000000000007</v>
          </cell>
          <cell r="L175">
            <v>5.6890000000000001</v>
          </cell>
          <cell r="M175">
            <v>2.7290000000000001</v>
          </cell>
          <cell r="N175">
            <v>2.722</v>
          </cell>
        </row>
        <row r="176">
          <cell r="C176" t="str">
            <v>Customer Support - Customer Retention &amp; Loyalty</v>
          </cell>
          <cell r="E176">
            <v>786.02705600000002</v>
          </cell>
          <cell r="F176">
            <v>498.39413200000001</v>
          </cell>
          <cell r="G176">
            <v>776.01769899999999</v>
          </cell>
          <cell r="H176">
            <v>748.54397400000005</v>
          </cell>
          <cell r="I176">
            <v>616.16956600000003</v>
          </cell>
          <cell r="J176">
            <v>622.47706600000004</v>
          </cell>
          <cell r="K176">
            <v>665.62022100000002</v>
          </cell>
          <cell r="L176">
            <v>616.00915299999997</v>
          </cell>
          <cell r="M176">
            <v>728.86166500000002</v>
          </cell>
          <cell r="N176">
            <v>588.93455600000004</v>
          </cell>
          <cell r="O176">
            <v>577.73401000000001</v>
          </cell>
          <cell r="P176">
            <v>537.21061399999996</v>
          </cell>
          <cell r="Q176">
            <v>2060.4388859999999</v>
          </cell>
          <cell r="R176">
            <v>1987.1906059999999</v>
          </cell>
          <cell r="S176">
            <v>2010.491039</v>
          </cell>
          <cell r="T176">
            <v>1703.8791799999999</v>
          </cell>
          <cell r="U176">
            <v>7761.9997100000001</v>
          </cell>
        </row>
        <row r="177">
          <cell r="E177">
            <v>42126.247422</v>
          </cell>
          <cell r="F177">
            <v>44742.808130999998</v>
          </cell>
          <cell r="G177">
            <v>47894.971794999998</v>
          </cell>
          <cell r="H177">
            <v>43046.761358999996</v>
          </cell>
          <cell r="I177">
            <v>40594.112093999996</v>
          </cell>
          <cell r="J177">
            <v>41358.901575000004</v>
          </cell>
          <cell r="K177">
            <v>40183.712317999998</v>
          </cell>
          <cell r="L177">
            <v>40840.007287</v>
          </cell>
          <cell r="M177">
            <v>42819.978857000002</v>
          </cell>
          <cell r="N177">
            <v>41867.391179999999</v>
          </cell>
        </row>
        <row r="178">
          <cell r="E178">
            <v>82902.365134666674</v>
          </cell>
          <cell r="F178">
            <v>85114.410135666665</v>
          </cell>
          <cell r="G178">
            <v>102344.92848666667</v>
          </cell>
          <cell r="H178">
            <v>83535.329031666668</v>
          </cell>
          <cell r="I178">
            <v>78094.648248666665</v>
          </cell>
          <cell r="J178">
            <v>80525.333546666676</v>
          </cell>
          <cell r="K178">
            <v>79998.173430666677</v>
          </cell>
          <cell r="L178">
            <v>80106.318518666667</v>
          </cell>
          <cell r="M178">
            <v>82951.468324666668</v>
          </cell>
          <cell r="N178">
            <v>82034.302318666669</v>
          </cell>
        </row>
        <row r="179">
          <cell r="E179">
            <v>-6722.3123406666709</v>
          </cell>
          <cell r="F179">
            <v>-9169.0843856666615</v>
          </cell>
          <cell r="G179">
            <v>-25778.799430666659</v>
          </cell>
          <cell r="H179">
            <v>-6464.5511936666735</v>
          </cell>
          <cell r="I179">
            <v>-321.80516766666551</v>
          </cell>
          <cell r="J179">
            <v>-2078.5054186666821</v>
          </cell>
          <cell r="K179">
            <v>-488.48272666667617</v>
          </cell>
          <cell r="L179">
            <v>14.129645333334338</v>
          </cell>
          <cell r="M179">
            <v>-2138.1935196666818</v>
          </cell>
          <cell r="N179">
            <v>-373.91409766666766</v>
          </cell>
        </row>
        <row r="181">
          <cell r="E181">
            <v>2873.9155059999998</v>
          </cell>
          <cell r="F181">
            <v>2809.557143</v>
          </cell>
          <cell r="G181">
            <v>2414.076133</v>
          </cell>
          <cell r="H181">
            <v>2385.5526610000002</v>
          </cell>
          <cell r="I181">
            <v>2342.6943270000002</v>
          </cell>
          <cell r="J181">
            <v>2255.9601080000002</v>
          </cell>
          <cell r="K181">
            <v>2203.9206290000002</v>
          </cell>
          <cell r="L181">
            <v>2237.4606749999998</v>
          </cell>
          <cell r="M181">
            <v>1966.831459</v>
          </cell>
          <cell r="N181">
            <v>1992.1026260000001</v>
          </cell>
        </row>
        <row r="183">
          <cell r="E183">
            <v>333.33333299999998</v>
          </cell>
          <cell r="F183">
            <v>333.33333299999998</v>
          </cell>
          <cell r="G183">
            <v>3233.333333</v>
          </cell>
          <cell r="H183">
            <v>266.66666700000002</v>
          </cell>
          <cell r="I183">
            <v>266.66666700000002</v>
          </cell>
          <cell r="J183">
            <v>2766.666667</v>
          </cell>
          <cell r="K183">
            <v>133.33333300000001</v>
          </cell>
          <cell r="L183">
            <v>133.33333300000001</v>
          </cell>
          <cell r="M183">
            <v>133.33333300000001</v>
          </cell>
          <cell r="N183">
            <v>133.33333300000001</v>
          </cell>
        </row>
        <row r="184">
          <cell r="E184">
            <v>1233.333333</v>
          </cell>
          <cell r="F184">
            <v>1233.333333</v>
          </cell>
          <cell r="G184">
            <v>1233.333333</v>
          </cell>
          <cell r="H184">
            <v>0</v>
          </cell>
          <cell r="I184">
            <v>0</v>
          </cell>
          <cell r="J184">
            <v>0</v>
          </cell>
          <cell r="K184">
            <v>0</v>
          </cell>
          <cell r="L184">
            <v>0</v>
          </cell>
          <cell r="M184">
            <v>0</v>
          </cell>
          <cell r="N184">
            <v>0</v>
          </cell>
        </row>
        <row r="185">
          <cell r="E185">
            <v>1566.666667</v>
          </cell>
          <cell r="F185">
            <v>1566.666667</v>
          </cell>
          <cell r="G185">
            <v>4466.6666670000004</v>
          </cell>
          <cell r="H185">
            <v>266.66666700000002</v>
          </cell>
          <cell r="I185">
            <v>266.66666700000002</v>
          </cell>
          <cell r="J185">
            <v>2766.666667</v>
          </cell>
          <cell r="K185">
            <v>133.33333300000001</v>
          </cell>
          <cell r="L185">
            <v>133.33333300000001</v>
          </cell>
          <cell r="M185">
            <v>133.33333300000001</v>
          </cell>
          <cell r="N185">
            <v>133.33333300000001</v>
          </cell>
        </row>
        <row r="186">
          <cell r="E186">
            <v>-11162.89451366667</v>
          </cell>
          <cell r="F186">
            <v>-13545.308195666661</v>
          </cell>
          <cell r="G186">
            <v>-32659.542230666659</v>
          </cell>
          <cell r="H186">
            <v>-9116.7705216666727</v>
          </cell>
          <cell r="I186">
            <v>-2931.1661616666656</v>
          </cell>
          <cell r="J186">
            <v>-7101.1321936666827</v>
          </cell>
          <cell r="K186">
            <v>-2825.7366886666764</v>
          </cell>
          <cell r="L186">
            <v>-2356.6643626666655</v>
          </cell>
          <cell r="M186">
            <v>-4238.3583116666814</v>
          </cell>
          <cell r="N186">
            <v>-2499.3500566666676</v>
          </cell>
        </row>
        <row r="188">
          <cell r="E188">
            <v>-658.29271900000003</v>
          </cell>
          <cell r="F188">
            <v>-658.29271900000003</v>
          </cell>
          <cell r="G188">
            <v>-658.29271900000003</v>
          </cell>
          <cell r="H188">
            <v>-658.29271900000003</v>
          </cell>
          <cell r="I188">
            <v>-658.29271900000003</v>
          </cell>
          <cell r="J188">
            <v>-658.29271900000003</v>
          </cell>
          <cell r="K188">
            <v>-658.29271900000003</v>
          </cell>
          <cell r="L188">
            <v>-658.29271900000003</v>
          </cell>
          <cell r="M188">
            <v>-658.29271900000003</v>
          </cell>
          <cell r="N188">
            <v>-658.29271900000003</v>
          </cell>
        </row>
        <row r="189">
          <cell r="E189">
            <v>0</v>
          </cell>
          <cell r="F189">
            <v>0</v>
          </cell>
          <cell r="G189">
            <v>0</v>
          </cell>
          <cell r="H189">
            <v>0</v>
          </cell>
          <cell r="I189">
            <v>0</v>
          </cell>
          <cell r="J189">
            <v>0</v>
          </cell>
          <cell r="K189">
            <v>0</v>
          </cell>
          <cell r="L189">
            <v>0</v>
          </cell>
          <cell r="M189">
            <v>0</v>
          </cell>
          <cell r="N189">
            <v>0</v>
          </cell>
        </row>
        <row r="190">
          <cell r="E190">
            <v>-10504.601794666669</v>
          </cell>
          <cell r="F190">
            <v>-12887.01547666666</v>
          </cell>
          <cell r="G190">
            <v>-32001.249511666658</v>
          </cell>
          <cell r="H190">
            <v>-8458.4778026666718</v>
          </cell>
          <cell r="I190">
            <v>-2272.8734426666656</v>
          </cell>
          <cell r="J190">
            <v>-6442.8394746666827</v>
          </cell>
          <cell r="K190">
            <v>-2167.4439696666764</v>
          </cell>
          <cell r="L190">
            <v>-1698.3716436666655</v>
          </cell>
          <cell r="M190">
            <v>-3580.0655926666814</v>
          </cell>
          <cell r="N190">
            <v>-1841.0573376666675</v>
          </cell>
        </row>
        <row r="191">
          <cell r="E191">
            <v>-8.9696480595896008E-2</v>
          </cell>
          <cell r="F191">
            <v>-0.11010175970455274</v>
          </cell>
          <cell r="G191">
            <v>-0.27150535748847404</v>
          </cell>
          <cell r="H191">
            <v>-7.1211927209219358E-2</v>
          </cell>
          <cell r="I191">
            <v>-1.8972886042916522E-2</v>
          </cell>
          <cell r="J191">
            <v>-5.3426403524335753E-2</v>
          </cell>
          <cell r="K191">
            <v>-1.7783759374295494E-2</v>
          </cell>
          <cell r="L191">
            <v>-1.3813434401327811E-2</v>
          </cell>
          <cell r="M191">
            <v>-2.8866103107898451E-2</v>
          </cell>
          <cell r="N191">
            <v>-1.4676996047708937E-2</v>
          </cell>
        </row>
        <row r="193">
          <cell r="E193">
            <v>-658.29271900000003</v>
          </cell>
          <cell r="F193">
            <v>-658.29271900000003</v>
          </cell>
          <cell r="G193">
            <v>-658.29271900000003</v>
          </cell>
          <cell r="H193">
            <v>-658.29271900000003</v>
          </cell>
          <cell r="I193">
            <v>-658.29271900000003</v>
          </cell>
          <cell r="J193">
            <v>-658.29271900000003</v>
          </cell>
          <cell r="K193">
            <v>-658.29271900000003</v>
          </cell>
          <cell r="L193">
            <v>-658.29271900000003</v>
          </cell>
          <cell r="M193">
            <v>-658.29271900000003</v>
          </cell>
          <cell r="N193">
            <v>-658.29271900000003</v>
          </cell>
        </row>
        <row r="194">
          <cell r="E194">
            <v>5468.4188679999997</v>
          </cell>
          <cell r="F194">
            <v>5382.9841479999995</v>
          </cell>
          <cell r="G194">
            <v>5236.4101229999997</v>
          </cell>
          <cell r="H194">
            <v>5076.963006</v>
          </cell>
          <cell r="I194">
            <v>2983.4800489999998</v>
          </cell>
          <cell r="J194">
            <v>4828.8365299999996</v>
          </cell>
          <cell r="K194">
            <v>4682.6047449999996</v>
          </cell>
          <cell r="L194">
            <v>4584.074842</v>
          </cell>
          <cell r="M194">
            <v>4462.059698</v>
          </cell>
          <cell r="N194">
            <v>4262.4685550000004</v>
          </cell>
        </row>
        <row r="195">
          <cell r="E195">
            <v>2873.9155059999998</v>
          </cell>
          <cell r="F195">
            <v>2809.557143</v>
          </cell>
          <cell r="G195">
            <v>2414.076133</v>
          </cell>
          <cell r="H195">
            <v>2385.5526610000002</v>
          </cell>
          <cell r="I195">
            <v>2342.6943270000002</v>
          </cell>
          <cell r="J195">
            <v>2255.9601080000002</v>
          </cell>
          <cell r="K195">
            <v>2203.9206290000002</v>
          </cell>
          <cell r="L195">
            <v>2237.4606749999998</v>
          </cell>
          <cell r="M195">
            <v>1966.831459</v>
          </cell>
          <cell r="N195">
            <v>1992.1026260000001</v>
          </cell>
        </row>
        <row r="196">
          <cell r="E196">
            <v>1233.333333</v>
          </cell>
          <cell r="F196">
            <v>1233.333333</v>
          </cell>
          <cell r="G196">
            <v>1233.333333</v>
          </cell>
          <cell r="H196">
            <v>0</v>
          </cell>
          <cell r="I196">
            <v>0</v>
          </cell>
          <cell r="J196">
            <v>0</v>
          </cell>
          <cell r="K196">
            <v>0</v>
          </cell>
          <cell r="L196">
            <v>0</v>
          </cell>
          <cell r="M196">
            <v>0</v>
          </cell>
          <cell r="N196">
            <v>0</v>
          </cell>
        </row>
        <row r="197">
          <cell r="E197">
            <v>-1587.2268066666702</v>
          </cell>
          <cell r="F197">
            <v>-4119.433571666661</v>
          </cell>
          <cell r="G197">
            <v>-23775.72264166666</v>
          </cell>
          <cell r="H197">
            <v>-1654.2548546666726</v>
          </cell>
          <cell r="I197">
            <v>2395.0082143333343</v>
          </cell>
          <cell r="J197">
            <v>-16.335555666682922</v>
          </cell>
          <cell r="K197">
            <v>4060.7886853333234</v>
          </cell>
          <cell r="L197">
            <v>4464.8711543333338</v>
          </cell>
          <cell r="M197">
            <v>2190.5328453333186</v>
          </cell>
          <cell r="N197">
            <v>3755.2211243333331</v>
          </cell>
        </row>
        <row r="198">
          <cell r="E198">
            <v>-1253.8934736666702</v>
          </cell>
          <cell r="F198">
            <v>-3786.100238666661</v>
          </cell>
          <cell r="G198">
            <v>-20542.389308666661</v>
          </cell>
          <cell r="H198">
            <v>-1387.5881876666726</v>
          </cell>
          <cell r="I198">
            <v>2661.6748813333343</v>
          </cell>
          <cell r="J198">
            <v>2750.331111333317</v>
          </cell>
          <cell r="K198">
            <v>4194.1220183333235</v>
          </cell>
          <cell r="L198">
            <v>4598.2044873333334</v>
          </cell>
          <cell r="M198">
            <v>2323.8661783333187</v>
          </cell>
          <cell r="N198">
            <v>3888.5544573333332</v>
          </cell>
        </row>
        <row r="202">
          <cell r="E202">
            <v>153725.80489999999</v>
          </cell>
          <cell r="F202">
            <v>163789.14000000001</v>
          </cell>
          <cell r="G202">
            <v>161785.79149999999</v>
          </cell>
          <cell r="H202">
            <v>138052.80129999999</v>
          </cell>
          <cell r="I202">
            <v>137842.9339</v>
          </cell>
          <cell r="J202">
            <v>134660.06529999999</v>
          </cell>
          <cell r="K202">
            <v>123484.81020000001</v>
          </cell>
          <cell r="L202">
            <v>117083.72960000001</v>
          </cell>
          <cell r="M202">
            <v>123666.7009</v>
          </cell>
          <cell r="N202">
            <v>145651.60829999999</v>
          </cell>
        </row>
        <row r="203">
          <cell r="E203">
            <v>7474</v>
          </cell>
          <cell r="F203">
            <v>7474</v>
          </cell>
          <cell r="G203">
            <v>7474</v>
          </cell>
          <cell r="H203">
            <v>6228.3333000000002</v>
          </cell>
          <cell r="I203">
            <v>6228.3333000000002</v>
          </cell>
          <cell r="J203">
            <v>6228.3333000000002</v>
          </cell>
          <cell r="K203">
            <v>4982.6666999999998</v>
          </cell>
          <cell r="L203">
            <v>4982.6666999999998</v>
          </cell>
          <cell r="M203">
            <v>4982.6666999999998</v>
          </cell>
          <cell r="N203">
            <v>6228.3333000000002</v>
          </cell>
        </row>
        <row r="204">
          <cell r="E204">
            <v>71079.289199999999</v>
          </cell>
          <cell r="F204">
            <v>92960.534299999999</v>
          </cell>
          <cell r="G204">
            <v>98758.284299999999</v>
          </cell>
          <cell r="H204">
            <v>116616.8676</v>
          </cell>
          <cell r="I204">
            <v>73908.333299999998</v>
          </cell>
          <cell r="J204">
            <v>82339.583299999998</v>
          </cell>
          <cell r="K204">
            <v>72226.666700000002</v>
          </cell>
          <cell r="L204">
            <v>72881.666700000002</v>
          </cell>
          <cell r="M204">
            <v>76556.666700000002</v>
          </cell>
          <cell r="N204">
            <v>84416.666700000002</v>
          </cell>
        </row>
        <row r="205">
          <cell r="E205">
            <v>0</v>
          </cell>
          <cell r="F205">
            <v>0</v>
          </cell>
          <cell r="G205">
            <v>0</v>
          </cell>
          <cell r="H205">
            <v>0</v>
          </cell>
          <cell r="I205">
            <v>0</v>
          </cell>
          <cell r="J205">
            <v>0</v>
          </cell>
          <cell r="K205">
            <v>0</v>
          </cell>
          <cell r="L205">
            <v>0</v>
          </cell>
          <cell r="M205">
            <v>0</v>
          </cell>
          <cell r="N205">
            <v>0</v>
          </cell>
        </row>
        <row r="206">
          <cell r="E206">
            <v>232279.09409999999</v>
          </cell>
          <cell r="F206">
            <v>264223.67430000001</v>
          </cell>
          <cell r="G206">
            <v>268018.07579999999</v>
          </cell>
          <cell r="H206">
            <v>260898.00219999999</v>
          </cell>
          <cell r="I206">
            <v>217979.6005</v>
          </cell>
          <cell r="J206">
            <v>223227.98190000001</v>
          </cell>
          <cell r="K206">
            <v>200694.14360000001</v>
          </cell>
          <cell r="L206">
            <v>194948.06299999999</v>
          </cell>
          <cell r="M206">
            <v>205206.0343</v>
          </cell>
          <cell r="N206">
            <v>236296.60829999999</v>
          </cell>
        </row>
        <row r="208">
          <cell r="C208" t="str">
            <v>Retail aDSL</v>
          </cell>
          <cell r="E208">
            <v>15877.716700000001</v>
          </cell>
          <cell r="F208">
            <v>15745.816699999999</v>
          </cell>
          <cell r="G208">
            <v>15886.9167</v>
          </cell>
          <cell r="H208">
            <v>15904.5167</v>
          </cell>
          <cell r="I208">
            <v>15711.316699999999</v>
          </cell>
          <cell r="J208">
            <v>15729.316699999999</v>
          </cell>
          <cell r="K208">
            <v>15937.816699999999</v>
          </cell>
          <cell r="L208">
            <v>15842.816699999999</v>
          </cell>
          <cell r="M208">
            <v>15947.816699999999</v>
          </cell>
          <cell r="N208">
            <v>16260.0167</v>
          </cell>
          <cell r="O208">
            <v>16307.2667</v>
          </cell>
          <cell r="P208">
            <v>16504.466700000001</v>
          </cell>
          <cell r="Q208">
            <v>47510.450100000002</v>
          </cell>
          <cell r="R208">
            <v>47345.150099999999</v>
          </cell>
          <cell r="S208">
            <v>47728.450100000002</v>
          </cell>
          <cell r="T208">
            <v>49071.750099999997</v>
          </cell>
          <cell r="U208">
            <v>191655.80040000001</v>
          </cell>
        </row>
        <row r="209">
          <cell r="C209" t="str">
            <v>Basic aDSL</v>
          </cell>
          <cell r="E209">
            <v>183.33330000000001</v>
          </cell>
          <cell r="F209">
            <v>183.33330000000001</v>
          </cell>
          <cell r="G209">
            <v>183.33330000000001</v>
          </cell>
          <cell r="H209">
            <v>183.33330000000001</v>
          </cell>
          <cell r="I209">
            <v>183.33330000000001</v>
          </cell>
          <cell r="J209">
            <v>183.33330000000001</v>
          </cell>
          <cell r="K209">
            <v>183.33330000000001</v>
          </cell>
          <cell r="L209">
            <v>183.33330000000001</v>
          </cell>
          <cell r="M209">
            <v>183.33330000000001</v>
          </cell>
          <cell r="N209">
            <v>183.33330000000001</v>
          </cell>
          <cell r="O209">
            <v>183.33330000000001</v>
          </cell>
          <cell r="P209">
            <v>183.33330000000001</v>
          </cell>
          <cell r="Q209">
            <v>549.99990000000003</v>
          </cell>
          <cell r="R209">
            <v>549.99990000000003</v>
          </cell>
          <cell r="S209">
            <v>549.99990000000003</v>
          </cell>
          <cell r="T209">
            <v>549.99990000000003</v>
          </cell>
          <cell r="U209">
            <v>2199.9996000000001</v>
          </cell>
        </row>
        <row r="210">
          <cell r="C210" t="str">
            <v>Sprint DSL, Wireless, ION</v>
          </cell>
          <cell r="E210">
            <v>26000</v>
          </cell>
          <cell r="F210">
            <v>26000</v>
          </cell>
          <cell r="G210">
            <v>26000</v>
          </cell>
          <cell r="H210">
            <v>26000</v>
          </cell>
          <cell r="I210">
            <v>26000</v>
          </cell>
          <cell r="J210">
            <v>26000</v>
          </cell>
          <cell r="K210">
            <v>26000</v>
          </cell>
          <cell r="L210">
            <v>26000</v>
          </cell>
          <cell r="M210">
            <v>26000</v>
          </cell>
          <cell r="N210">
            <v>26000</v>
          </cell>
          <cell r="O210">
            <v>26000</v>
          </cell>
          <cell r="P210">
            <v>26000</v>
          </cell>
          <cell r="Q210">
            <v>78000</v>
          </cell>
          <cell r="R210">
            <v>78000</v>
          </cell>
          <cell r="S210">
            <v>78000</v>
          </cell>
          <cell r="T210">
            <v>78000</v>
          </cell>
          <cell r="U210">
            <v>312000</v>
          </cell>
        </row>
        <row r="211">
          <cell r="C211" t="str">
            <v>Biz DSL</v>
          </cell>
          <cell r="E211">
            <v>200</v>
          </cell>
          <cell r="F211">
            <v>300</v>
          </cell>
          <cell r="G211">
            <v>250</v>
          </cell>
          <cell r="H211">
            <v>200</v>
          </cell>
          <cell r="I211">
            <v>275</v>
          </cell>
          <cell r="J211">
            <v>225</v>
          </cell>
          <cell r="K211">
            <v>200</v>
          </cell>
          <cell r="L211">
            <v>250</v>
          </cell>
          <cell r="M211">
            <v>225</v>
          </cell>
          <cell r="N211">
            <v>200</v>
          </cell>
          <cell r="O211">
            <v>225</v>
          </cell>
          <cell r="P211">
            <v>175</v>
          </cell>
          <cell r="Q211">
            <v>750</v>
          </cell>
          <cell r="R211">
            <v>700</v>
          </cell>
          <cell r="S211">
            <v>675</v>
          </cell>
          <cell r="T211">
            <v>600</v>
          </cell>
          <cell r="U211">
            <v>2725</v>
          </cell>
        </row>
        <row r="212">
          <cell r="E212">
            <v>300</v>
          </cell>
          <cell r="F212">
            <v>400</v>
          </cell>
          <cell r="G212">
            <v>320</v>
          </cell>
          <cell r="H212">
            <v>345</v>
          </cell>
          <cell r="I212">
            <v>370</v>
          </cell>
          <cell r="J212">
            <v>260</v>
          </cell>
          <cell r="K212">
            <v>235</v>
          </cell>
          <cell r="L212">
            <v>345</v>
          </cell>
          <cell r="M212">
            <v>320</v>
          </cell>
          <cell r="N212">
            <v>270</v>
          </cell>
        </row>
        <row r="213">
          <cell r="E213">
            <v>200</v>
          </cell>
          <cell r="F213">
            <v>200</v>
          </cell>
          <cell r="G213">
            <v>200</v>
          </cell>
          <cell r="H213">
            <v>200</v>
          </cell>
          <cell r="I213">
            <v>200</v>
          </cell>
          <cell r="J213">
            <v>200</v>
          </cell>
          <cell r="K213">
            <v>200</v>
          </cell>
          <cell r="L213">
            <v>200</v>
          </cell>
          <cell r="M213">
            <v>200</v>
          </cell>
          <cell r="N213">
            <v>200</v>
          </cell>
        </row>
        <row r="214">
          <cell r="E214">
            <v>0</v>
          </cell>
          <cell r="F214">
            <v>0</v>
          </cell>
          <cell r="G214">
            <v>0</v>
          </cell>
          <cell r="H214">
            <v>0</v>
          </cell>
          <cell r="I214">
            <v>0</v>
          </cell>
          <cell r="J214">
            <v>0</v>
          </cell>
          <cell r="K214">
            <v>0</v>
          </cell>
          <cell r="L214">
            <v>0</v>
          </cell>
          <cell r="M214">
            <v>0</v>
          </cell>
          <cell r="N214">
            <v>0</v>
          </cell>
        </row>
        <row r="215">
          <cell r="C215" t="str">
            <v>Cable: Time Warner (Gross)</v>
          </cell>
          <cell r="E215">
            <v>20971.833299999998</v>
          </cell>
          <cell r="F215">
            <v>21015.033299999999</v>
          </cell>
          <cell r="G215">
            <v>20968.2333</v>
          </cell>
          <cell r="H215">
            <v>20215.5</v>
          </cell>
          <cell r="I215">
            <v>21151.7</v>
          </cell>
          <cell r="J215">
            <v>21581.1</v>
          </cell>
          <cell r="K215">
            <v>19839.433300000001</v>
          </cell>
          <cell r="L215">
            <v>19895.2333</v>
          </cell>
          <cell r="M215">
            <v>20001.433300000001</v>
          </cell>
          <cell r="N215">
            <v>22211.966700000001</v>
          </cell>
          <cell r="O215">
            <v>23385.966700000001</v>
          </cell>
          <cell r="P215">
            <v>24042.7667</v>
          </cell>
          <cell r="Q215">
            <v>62955.099900000001</v>
          </cell>
          <cell r="R215">
            <v>62948.3</v>
          </cell>
          <cell r="S215">
            <v>59736.099900000001</v>
          </cell>
          <cell r="T215">
            <v>69640.700100000002</v>
          </cell>
          <cell r="U215">
            <v>255280.19990000001</v>
          </cell>
        </row>
        <row r="216">
          <cell r="E216">
            <v>4370.8297000000002</v>
          </cell>
          <cell r="F216">
            <v>7790.5851000000002</v>
          </cell>
          <cell r="G216">
            <v>7790.5851000000002</v>
          </cell>
          <cell r="H216">
            <v>7790.5851000000002</v>
          </cell>
          <cell r="I216">
            <v>7790.5851000000002</v>
          </cell>
          <cell r="J216">
            <v>7790.5851000000002</v>
          </cell>
          <cell r="K216">
            <v>4370.8297000000002</v>
          </cell>
          <cell r="L216">
            <v>4370.8297000000002</v>
          </cell>
          <cell r="M216">
            <v>4370.8297000000002</v>
          </cell>
          <cell r="N216">
            <v>7790.5851000000002</v>
          </cell>
        </row>
        <row r="217">
          <cell r="E217">
            <v>225</v>
          </cell>
          <cell r="F217">
            <v>225</v>
          </cell>
          <cell r="G217">
            <v>225</v>
          </cell>
          <cell r="H217">
            <v>225</v>
          </cell>
          <cell r="I217">
            <v>225</v>
          </cell>
          <cell r="J217">
            <v>225</v>
          </cell>
          <cell r="K217">
            <v>225</v>
          </cell>
          <cell r="L217">
            <v>225</v>
          </cell>
          <cell r="M217">
            <v>225</v>
          </cell>
          <cell r="N217">
            <v>225</v>
          </cell>
        </row>
        <row r="218">
          <cell r="E218">
            <v>2850</v>
          </cell>
          <cell r="F218">
            <v>2850</v>
          </cell>
          <cell r="G218">
            <v>2850</v>
          </cell>
          <cell r="H218">
            <v>4035.5844000000002</v>
          </cell>
          <cell r="I218">
            <v>4035.5844000000002</v>
          </cell>
          <cell r="J218">
            <v>4035.5844000000002</v>
          </cell>
          <cell r="K218">
            <v>4035.5844000000002</v>
          </cell>
          <cell r="L218">
            <v>4035.5844000000002</v>
          </cell>
          <cell r="M218">
            <v>4035.5844000000002</v>
          </cell>
          <cell r="N218">
            <v>4035.5844000000002</v>
          </cell>
        </row>
        <row r="219">
          <cell r="E219">
            <v>71178.713000000003</v>
          </cell>
          <cell r="F219">
            <v>74709.768400000001</v>
          </cell>
          <cell r="G219">
            <v>74674.068400000004</v>
          </cell>
          <cell r="H219">
            <v>75099.519499999995</v>
          </cell>
          <cell r="I219">
            <v>75942.519499999995</v>
          </cell>
          <cell r="J219">
            <v>76229.919500000004</v>
          </cell>
          <cell r="K219">
            <v>71226.997399999993</v>
          </cell>
          <cell r="L219">
            <v>71347.797399999996</v>
          </cell>
          <cell r="M219">
            <v>71508.997399999993</v>
          </cell>
          <cell r="N219">
            <v>77376.486199999999</v>
          </cell>
        </row>
        <row r="220">
          <cell r="E220">
            <v>4400</v>
          </cell>
          <cell r="F220">
            <v>4500</v>
          </cell>
          <cell r="G220">
            <v>4709.8999999999996</v>
          </cell>
          <cell r="H220">
            <v>4300</v>
          </cell>
          <cell r="I220">
            <v>4275.25</v>
          </cell>
          <cell r="J220">
            <v>4000</v>
          </cell>
          <cell r="K220">
            <v>4120.6293999999998</v>
          </cell>
          <cell r="L220">
            <v>3800</v>
          </cell>
          <cell r="M220">
            <v>3800</v>
          </cell>
          <cell r="N220">
            <v>4000</v>
          </cell>
        </row>
        <row r="222">
          <cell r="E222">
            <v>437.81544831979613</v>
          </cell>
          <cell r="F222">
            <v>437.81544831979613</v>
          </cell>
          <cell r="G222">
            <v>437.81544831979613</v>
          </cell>
          <cell r="H222">
            <v>564.38418856505825</v>
          </cell>
          <cell r="I222">
            <v>564.38418856505825</v>
          </cell>
          <cell r="J222">
            <v>564.38418856505825</v>
          </cell>
          <cell r="K222">
            <v>528.22169135212607</v>
          </cell>
          <cell r="L222">
            <v>528.22169135212607</v>
          </cell>
          <cell r="M222">
            <v>528.22169135212607</v>
          </cell>
          <cell r="N222">
            <v>582.46543717152417</v>
          </cell>
        </row>
        <row r="223">
          <cell r="E223">
            <v>0</v>
          </cell>
          <cell r="F223">
            <v>0</v>
          </cell>
          <cell r="G223">
            <v>0</v>
          </cell>
          <cell r="H223">
            <v>0</v>
          </cell>
          <cell r="I223">
            <v>0</v>
          </cell>
          <cell r="J223">
            <v>0</v>
          </cell>
          <cell r="K223">
            <v>0</v>
          </cell>
          <cell r="L223">
            <v>0</v>
          </cell>
          <cell r="M223">
            <v>0</v>
          </cell>
          <cell r="N223">
            <v>0</v>
          </cell>
        </row>
        <row r="224">
          <cell r="E224">
            <v>0</v>
          </cell>
          <cell r="F224">
            <v>0</v>
          </cell>
          <cell r="G224">
            <v>0</v>
          </cell>
          <cell r="H224">
            <v>0</v>
          </cell>
          <cell r="I224">
            <v>0</v>
          </cell>
          <cell r="J224">
            <v>0</v>
          </cell>
          <cell r="K224">
            <v>0</v>
          </cell>
          <cell r="L224">
            <v>0</v>
          </cell>
          <cell r="M224">
            <v>0</v>
          </cell>
          <cell r="N224">
            <v>0</v>
          </cell>
        </row>
        <row r="225">
          <cell r="E225">
            <v>0</v>
          </cell>
          <cell r="F225">
            <v>0</v>
          </cell>
          <cell r="G225">
            <v>0</v>
          </cell>
          <cell r="H225">
            <v>0</v>
          </cell>
          <cell r="I225">
            <v>0</v>
          </cell>
          <cell r="J225">
            <v>0</v>
          </cell>
          <cell r="K225">
            <v>0</v>
          </cell>
          <cell r="L225">
            <v>0</v>
          </cell>
          <cell r="M225">
            <v>0</v>
          </cell>
          <cell r="N225">
            <v>0</v>
          </cell>
        </row>
        <row r="226">
          <cell r="E226">
            <v>0</v>
          </cell>
          <cell r="F226">
            <v>0</v>
          </cell>
          <cell r="G226">
            <v>0</v>
          </cell>
          <cell r="H226">
            <v>0</v>
          </cell>
          <cell r="I226">
            <v>0</v>
          </cell>
          <cell r="J226">
            <v>0</v>
          </cell>
          <cell r="K226">
            <v>0</v>
          </cell>
          <cell r="L226">
            <v>0</v>
          </cell>
          <cell r="M226">
            <v>0</v>
          </cell>
          <cell r="N226">
            <v>0</v>
          </cell>
        </row>
        <row r="227">
          <cell r="E227">
            <v>0</v>
          </cell>
          <cell r="F227">
            <v>0</v>
          </cell>
          <cell r="G227">
            <v>0</v>
          </cell>
          <cell r="H227">
            <v>0</v>
          </cell>
          <cell r="I227">
            <v>0</v>
          </cell>
          <cell r="J227">
            <v>0</v>
          </cell>
          <cell r="K227">
            <v>0</v>
          </cell>
          <cell r="L227">
            <v>0</v>
          </cell>
          <cell r="M227">
            <v>0</v>
          </cell>
          <cell r="N227">
            <v>0</v>
          </cell>
        </row>
        <row r="228">
          <cell r="E228">
            <v>0</v>
          </cell>
          <cell r="F228">
            <v>0</v>
          </cell>
          <cell r="G228">
            <v>0</v>
          </cell>
          <cell r="H228">
            <v>0</v>
          </cell>
          <cell r="I228">
            <v>0</v>
          </cell>
          <cell r="J228">
            <v>0</v>
          </cell>
          <cell r="K228">
            <v>0</v>
          </cell>
          <cell r="L228">
            <v>0</v>
          </cell>
          <cell r="M228">
            <v>0</v>
          </cell>
          <cell r="N228">
            <v>0</v>
          </cell>
        </row>
        <row r="229">
          <cell r="E229">
            <v>0</v>
          </cell>
          <cell r="F229">
            <v>0</v>
          </cell>
          <cell r="G229">
            <v>0</v>
          </cell>
          <cell r="H229">
            <v>0</v>
          </cell>
          <cell r="I229">
            <v>0</v>
          </cell>
          <cell r="J229">
            <v>0</v>
          </cell>
          <cell r="K229">
            <v>0</v>
          </cell>
          <cell r="L229">
            <v>0</v>
          </cell>
          <cell r="M229">
            <v>0</v>
          </cell>
          <cell r="N229">
            <v>0</v>
          </cell>
        </row>
        <row r="230">
          <cell r="E230">
            <v>0</v>
          </cell>
          <cell r="F230">
            <v>0</v>
          </cell>
          <cell r="G230">
            <v>0</v>
          </cell>
          <cell r="H230">
            <v>0</v>
          </cell>
          <cell r="I230">
            <v>0</v>
          </cell>
          <cell r="J230">
            <v>0</v>
          </cell>
          <cell r="K230">
            <v>0</v>
          </cell>
          <cell r="L230">
            <v>0</v>
          </cell>
          <cell r="M230">
            <v>0</v>
          </cell>
          <cell r="N230">
            <v>0</v>
          </cell>
        </row>
        <row r="231">
          <cell r="E231">
            <v>0</v>
          </cell>
          <cell r="F231">
            <v>0</v>
          </cell>
          <cell r="G231">
            <v>0</v>
          </cell>
          <cell r="H231">
            <v>0</v>
          </cell>
          <cell r="I231">
            <v>0</v>
          </cell>
          <cell r="J231">
            <v>0</v>
          </cell>
          <cell r="K231">
            <v>0</v>
          </cell>
          <cell r="L231">
            <v>0</v>
          </cell>
          <cell r="M231">
            <v>0</v>
          </cell>
          <cell r="N231">
            <v>0</v>
          </cell>
        </row>
        <row r="232">
          <cell r="E232">
            <v>289</v>
          </cell>
          <cell r="F232">
            <v>289</v>
          </cell>
          <cell r="G232">
            <v>289</v>
          </cell>
          <cell r="H232">
            <v>348</v>
          </cell>
          <cell r="I232">
            <v>526</v>
          </cell>
          <cell r="J232">
            <v>707</v>
          </cell>
          <cell r="K232">
            <v>813</v>
          </cell>
          <cell r="L232">
            <v>816</v>
          </cell>
          <cell r="M232">
            <v>819</v>
          </cell>
          <cell r="N232">
            <v>848</v>
          </cell>
        </row>
        <row r="233">
          <cell r="E233">
            <v>0</v>
          </cell>
          <cell r="F233">
            <v>0</v>
          </cell>
          <cell r="G233">
            <v>0</v>
          </cell>
          <cell r="H233">
            <v>0</v>
          </cell>
          <cell r="I233">
            <v>0</v>
          </cell>
          <cell r="J233">
            <v>0</v>
          </cell>
          <cell r="K233">
            <v>0</v>
          </cell>
          <cell r="L233">
            <v>0</v>
          </cell>
          <cell r="M233">
            <v>0</v>
          </cell>
          <cell r="N233">
            <v>0</v>
          </cell>
        </row>
        <row r="234">
          <cell r="E234">
            <v>162.13333333333333</v>
          </cell>
          <cell r="F234">
            <v>162.13333333333333</v>
          </cell>
          <cell r="G234">
            <v>162.13333333333333</v>
          </cell>
          <cell r="H234">
            <v>218.88</v>
          </cell>
          <cell r="I234">
            <v>218.88</v>
          </cell>
          <cell r="J234">
            <v>218.88</v>
          </cell>
          <cell r="K234">
            <v>202.66666666666669</v>
          </cell>
          <cell r="L234">
            <v>202.66666666666669</v>
          </cell>
          <cell r="M234">
            <v>202.66666666666669</v>
          </cell>
          <cell r="N234">
            <v>226.98666666666674</v>
          </cell>
        </row>
        <row r="235">
          <cell r="E235">
            <v>0</v>
          </cell>
          <cell r="F235">
            <v>0</v>
          </cell>
          <cell r="G235">
            <v>0</v>
          </cell>
          <cell r="H235">
            <v>0</v>
          </cell>
          <cell r="I235">
            <v>0</v>
          </cell>
          <cell r="J235">
            <v>0</v>
          </cell>
          <cell r="K235">
            <v>0</v>
          </cell>
          <cell r="L235">
            <v>0</v>
          </cell>
          <cell r="M235">
            <v>0</v>
          </cell>
          <cell r="N235">
            <v>0</v>
          </cell>
        </row>
        <row r="236">
          <cell r="E236">
            <v>0</v>
          </cell>
          <cell r="F236">
            <v>0</v>
          </cell>
          <cell r="G236">
            <v>0</v>
          </cell>
          <cell r="H236">
            <v>0</v>
          </cell>
          <cell r="I236">
            <v>0</v>
          </cell>
          <cell r="J236">
            <v>0</v>
          </cell>
          <cell r="K236">
            <v>0</v>
          </cell>
          <cell r="L236">
            <v>0</v>
          </cell>
          <cell r="M236">
            <v>0</v>
          </cell>
          <cell r="N236">
            <v>0</v>
          </cell>
        </row>
        <row r="237">
          <cell r="E237">
            <v>0</v>
          </cell>
          <cell r="F237">
            <v>0</v>
          </cell>
          <cell r="G237">
            <v>0</v>
          </cell>
          <cell r="H237">
            <v>0</v>
          </cell>
          <cell r="I237">
            <v>0</v>
          </cell>
          <cell r="J237">
            <v>0</v>
          </cell>
          <cell r="K237">
            <v>0</v>
          </cell>
          <cell r="L237">
            <v>0</v>
          </cell>
          <cell r="M237">
            <v>0</v>
          </cell>
          <cell r="N237">
            <v>0</v>
          </cell>
        </row>
        <row r="238">
          <cell r="E238">
            <v>0</v>
          </cell>
          <cell r="F238">
            <v>0</v>
          </cell>
          <cell r="G238">
            <v>0</v>
          </cell>
          <cell r="H238">
            <v>0</v>
          </cell>
          <cell r="I238">
            <v>0</v>
          </cell>
          <cell r="J238">
            <v>0</v>
          </cell>
          <cell r="K238">
            <v>0</v>
          </cell>
          <cell r="L238">
            <v>0</v>
          </cell>
          <cell r="M238">
            <v>0</v>
          </cell>
          <cell r="N238">
            <v>134.44624402324709</v>
          </cell>
        </row>
        <row r="239">
          <cell r="E239">
            <v>0</v>
          </cell>
          <cell r="F239">
            <v>0</v>
          </cell>
          <cell r="G239">
            <v>0</v>
          </cell>
          <cell r="H239">
            <v>0</v>
          </cell>
          <cell r="I239">
            <v>0</v>
          </cell>
          <cell r="J239">
            <v>0</v>
          </cell>
          <cell r="K239">
            <v>0</v>
          </cell>
          <cell r="L239">
            <v>0</v>
          </cell>
          <cell r="M239">
            <v>0</v>
          </cell>
          <cell r="N239">
            <v>250</v>
          </cell>
        </row>
        <row r="240">
          <cell r="E240">
            <v>0</v>
          </cell>
          <cell r="F240">
            <v>0</v>
          </cell>
          <cell r="G240">
            <v>125</v>
          </cell>
          <cell r="H240">
            <v>375</v>
          </cell>
          <cell r="I240">
            <v>431.5</v>
          </cell>
          <cell r="J240">
            <v>496</v>
          </cell>
          <cell r="K240">
            <v>570.5</v>
          </cell>
          <cell r="L240">
            <v>656</v>
          </cell>
          <cell r="M240">
            <v>754.5</v>
          </cell>
          <cell r="N240">
            <v>867.5</v>
          </cell>
        </row>
        <row r="241">
          <cell r="E241">
            <v>888.94870000000003</v>
          </cell>
          <cell r="F241">
            <v>888.94870000000003</v>
          </cell>
          <cell r="G241">
            <v>1013.9487</v>
          </cell>
          <cell r="H241">
            <v>1506.2642000000001</v>
          </cell>
          <cell r="I241">
            <v>1740.7642000000001</v>
          </cell>
          <cell r="J241">
            <v>1986.2642000000001</v>
          </cell>
          <cell r="K241">
            <v>2114.3883999999998</v>
          </cell>
          <cell r="L241">
            <v>2202.8883999999998</v>
          </cell>
          <cell r="M241">
            <v>2304.3883999999998</v>
          </cell>
          <cell r="N241">
            <v>2909.3982999999998</v>
          </cell>
        </row>
        <row r="242">
          <cell r="E242">
            <v>0</v>
          </cell>
          <cell r="F242">
            <v>0</v>
          </cell>
          <cell r="G242">
            <v>0</v>
          </cell>
          <cell r="H242">
            <v>0</v>
          </cell>
          <cell r="I242">
            <v>0</v>
          </cell>
          <cell r="J242">
            <v>0</v>
          </cell>
          <cell r="K242">
            <v>0</v>
          </cell>
          <cell r="L242">
            <v>0</v>
          </cell>
          <cell r="M242">
            <v>0</v>
          </cell>
          <cell r="N242">
            <v>0</v>
          </cell>
        </row>
        <row r="243">
          <cell r="E243">
            <v>308746.75579999998</v>
          </cell>
          <cell r="F243">
            <v>344322.39140000002</v>
          </cell>
          <cell r="G243">
            <v>348415.99290000001</v>
          </cell>
          <cell r="H243">
            <v>341803.78590000002</v>
          </cell>
          <cell r="I243">
            <v>299938.13419999997</v>
          </cell>
          <cell r="J243">
            <v>305444.16560000001</v>
          </cell>
          <cell r="K243">
            <v>278156.15879999998</v>
          </cell>
          <cell r="L243">
            <v>272298.7488</v>
          </cell>
          <cell r="M243">
            <v>282819.42009999999</v>
          </cell>
          <cell r="N243">
            <v>320582.49280000001</v>
          </cell>
        </row>
        <row r="247">
          <cell r="E247">
            <v>-145724.38860000001</v>
          </cell>
          <cell r="F247">
            <v>-146317.27189999999</v>
          </cell>
          <cell r="G247">
            <v>-146758.1986</v>
          </cell>
          <cell r="H247">
            <v>-146200.628</v>
          </cell>
          <cell r="I247">
            <v>-145659.03289999999</v>
          </cell>
          <cell r="J247">
            <v>-145023.9706</v>
          </cell>
          <cell r="K247">
            <v>-143981.2738</v>
          </cell>
          <cell r="L247">
            <v>-142718.4142</v>
          </cell>
          <cell r="M247">
            <v>-141789.51639999999</v>
          </cell>
          <cell r="N247">
            <v>-141814.65419999999</v>
          </cell>
        </row>
        <row r="248">
          <cell r="E248">
            <v>-8192.1582999999991</v>
          </cell>
          <cell r="F248">
            <v>-8161.2327999999998</v>
          </cell>
          <cell r="G248">
            <v>-8131.6391000000003</v>
          </cell>
          <cell r="H248">
            <v>-8049.6785</v>
          </cell>
          <cell r="I248">
            <v>-7971.2474000000002</v>
          </cell>
          <cell r="J248">
            <v>-7896.1936999999998</v>
          </cell>
          <cell r="K248">
            <v>-7770.7308000000003</v>
          </cell>
          <cell r="L248">
            <v>-7650.6706000000004</v>
          </cell>
          <cell r="M248">
            <v>-7535.7804999999998</v>
          </cell>
          <cell r="N248">
            <v>-7479.4789000000001</v>
          </cell>
        </row>
        <row r="249">
          <cell r="E249">
            <v>-25898.648799999999</v>
          </cell>
          <cell r="F249">
            <v>-29299.2925</v>
          </cell>
          <cell r="G249">
            <v>-34623.008399999999</v>
          </cell>
          <cell r="H249">
            <v>-37157.315300000002</v>
          </cell>
          <cell r="I249">
            <v>-41013.6158</v>
          </cell>
          <cell r="J249">
            <v>-40206.953300000001</v>
          </cell>
          <cell r="K249">
            <v>-40369.541499999999</v>
          </cell>
          <cell r="L249">
            <v>-40151.046999999999</v>
          </cell>
          <cell r="M249">
            <v>-39271.628599999996</v>
          </cell>
          <cell r="N249">
            <v>-39970.4493</v>
          </cell>
        </row>
        <row r="250">
          <cell r="E250">
            <v>-5555.2586000000001</v>
          </cell>
          <cell r="F250">
            <v>-5341.5947999999999</v>
          </cell>
          <cell r="G250">
            <v>-5136.1487999999999</v>
          </cell>
          <cell r="H250">
            <v>-4938.6045999999997</v>
          </cell>
          <cell r="I250">
            <v>-4748.6583000000001</v>
          </cell>
          <cell r="J250">
            <v>-4566.0176000000001</v>
          </cell>
          <cell r="K250">
            <v>-4390.4014999999999</v>
          </cell>
          <cell r="L250">
            <v>-4221.5398999999998</v>
          </cell>
          <cell r="M250">
            <v>-4059.1729999999998</v>
          </cell>
          <cell r="N250">
            <v>-3903.0509999999999</v>
          </cell>
        </row>
        <row r="251">
          <cell r="E251">
            <v>-185370.45430000001</v>
          </cell>
          <cell r="F251">
            <v>-189119.39199999999</v>
          </cell>
          <cell r="G251">
            <v>-194648.99489999999</v>
          </cell>
          <cell r="H251">
            <v>-196346.22640000001</v>
          </cell>
          <cell r="I251">
            <v>-199392.55439999999</v>
          </cell>
          <cell r="J251">
            <v>-197693.13519999999</v>
          </cell>
          <cell r="K251">
            <v>-196511.94760000001</v>
          </cell>
          <cell r="L251">
            <v>-194741.67170000001</v>
          </cell>
          <cell r="M251">
            <v>-192656.09849999999</v>
          </cell>
          <cell r="N251">
            <v>-193167.63339999999</v>
          </cell>
        </row>
        <row r="252">
          <cell r="E252">
            <v>-4.5821000000000001E-2</v>
          </cell>
          <cell r="F252">
            <v>-4.5942999999999998E-2</v>
          </cell>
          <cell r="G252">
            <v>-4.6517000000000003E-2</v>
          </cell>
          <cell r="H252">
            <v>-4.6255999999999999E-2</v>
          </cell>
          <cell r="I252">
            <v>-4.6815000000000002E-2</v>
          </cell>
          <cell r="J252">
            <v>-4.6179999999999999E-2</v>
          </cell>
          <cell r="K252">
            <v>-4.5887999999999998E-2</v>
          </cell>
          <cell r="L252">
            <v>-4.5497999999999997E-2</v>
          </cell>
          <cell r="M252">
            <v>-4.4905E-2</v>
          </cell>
          <cell r="N252">
            <v>-4.4609999999999997E-2</v>
          </cell>
        </row>
        <row r="254">
          <cell r="E254">
            <v>-7707.4593999999997</v>
          </cell>
          <cell r="F254">
            <v>-7775.5290000000005</v>
          </cell>
          <cell r="G254">
            <v>-7844.4731000000002</v>
          </cell>
          <cell r="H254">
            <v>-7910.5699000000004</v>
          </cell>
          <cell r="I254">
            <v>-7968.9843000000001</v>
          </cell>
          <cell r="J254">
            <v>-8025.0766000000003</v>
          </cell>
          <cell r="K254">
            <v>-8083.2599</v>
          </cell>
          <cell r="L254">
            <v>-8136.85</v>
          </cell>
          <cell r="M254">
            <v>-8190.3710000000001</v>
          </cell>
          <cell r="N254">
            <v>-8248.3361999999997</v>
          </cell>
        </row>
        <row r="255">
          <cell r="E255">
            <v>-75.219399999999993</v>
          </cell>
          <cell r="F255">
            <v>-75.555000000000007</v>
          </cell>
          <cell r="G255">
            <v>-75.886600000000001</v>
          </cell>
          <cell r="H255">
            <v>-76.206500000000005</v>
          </cell>
          <cell r="I255">
            <v>-76.483999999999995</v>
          </cell>
          <cell r="J255">
            <v>-76.745199999999997</v>
          </cell>
          <cell r="K255">
            <v>-76.991</v>
          </cell>
          <cell r="L255">
            <v>-77.218199999999996</v>
          </cell>
          <cell r="M255">
            <v>-77.424700000000001</v>
          </cell>
          <cell r="N255">
            <v>-77.616200000000006</v>
          </cell>
        </row>
        <row r="256">
          <cell r="E256">
            <v>-5733.1826000000001</v>
          </cell>
          <cell r="F256">
            <v>-6049.2148999999999</v>
          </cell>
          <cell r="G256">
            <v>-6360.1776</v>
          </cell>
          <cell r="H256">
            <v>-6666.2087000000001</v>
          </cell>
          <cell r="I256">
            <v>-6967.3402999999998</v>
          </cell>
          <cell r="J256">
            <v>-7263.652</v>
          </cell>
          <cell r="K256">
            <v>-7555.2286999999997</v>
          </cell>
          <cell r="L256">
            <v>-7842.1508999999996</v>
          </cell>
          <cell r="M256">
            <v>-8124.4840000000004</v>
          </cell>
          <cell r="N256">
            <v>-8402.3032000000003</v>
          </cell>
        </row>
        <row r="257">
          <cell r="E257">
            <v>-63.258000000000003</v>
          </cell>
          <cell r="F257">
            <v>-68.308800000000005</v>
          </cell>
          <cell r="G257">
            <v>-72.185199999999995</v>
          </cell>
          <cell r="H257">
            <v>-74.912099999999995</v>
          </cell>
          <cell r="I257">
            <v>-79.180999999999997</v>
          </cell>
          <cell r="J257">
            <v>-82.292000000000002</v>
          </cell>
          <cell r="K257">
            <v>-84.803299999999993</v>
          </cell>
          <cell r="L257">
            <v>-88.327799999999996</v>
          </cell>
          <cell r="M257">
            <v>-91.243600000000001</v>
          </cell>
          <cell r="N257">
            <v>-93.563900000000004</v>
          </cell>
        </row>
        <row r="258">
          <cell r="E258">
            <v>-290.75330000000002</v>
          </cell>
          <cell r="F258">
            <v>-291.5086</v>
          </cell>
          <cell r="G258">
            <v>-290.53030000000001</v>
          </cell>
          <cell r="H258">
            <v>-290.0992</v>
          </cell>
          <cell r="I258">
            <v>-290.18939999999998</v>
          </cell>
          <cell r="J258">
            <v>-287.92149999999998</v>
          </cell>
          <cell r="K258">
            <v>-285.1696</v>
          </cell>
          <cell r="L258">
            <v>-284.82650000000001</v>
          </cell>
          <cell r="M258">
            <v>-283.94439999999997</v>
          </cell>
          <cell r="N258">
            <v>-282.00990000000002</v>
          </cell>
        </row>
        <row r="259">
          <cell r="E259">
            <v>-373.10559999999998</v>
          </cell>
          <cell r="F259">
            <v>-365.7278</v>
          </cell>
          <cell r="G259">
            <v>-358.6139</v>
          </cell>
          <cell r="H259">
            <v>-351.74700000000001</v>
          </cell>
          <cell r="I259">
            <v>-345.10199999999998</v>
          </cell>
          <cell r="J259">
            <v>-338.685</v>
          </cell>
          <cell r="K259">
            <v>-332.48770000000002</v>
          </cell>
          <cell r="L259">
            <v>-326.50029999999998</v>
          </cell>
          <cell r="M259">
            <v>-320.71420000000001</v>
          </cell>
          <cell r="N259">
            <v>-315.12479999999999</v>
          </cell>
        </row>
        <row r="260">
          <cell r="E260">
            <v>-14.4956</v>
          </cell>
          <cell r="F260">
            <v>-14.186299999999999</v>
          </cell>
          <cell r="G260">
            <v>-13.883699999999999</v>
          </cell>
          <cell r="H260">
            <v>-13.5875</v>
          </cell>
          <cell r="I260">
            <v>-13.297599999999999</v>
          </cell>
          <cell r="J260">
            <v>-13.0139</v>
          </cell>
          <cell r="K260">
            <v>-12.7362</v>
          </cell>
          <cell r="L260">
            <v>-12.464499999999999</v>
          </cell>
          <cell r="M260">
            <v>-12.198600000000001</v>
          </cell>
          <cell r="N260">
            <v>-11.9383</v>
          </cell>
        </row>
        <row r="261">
          <cell r="E261">
            <v>-5921.0385999999999</v>
          </cell>
          <cell r="F261">
            <v>-6168.8553000000002</v>
          </cell>
          <cell r="G261">
            <v>-6406.8645999999999</v>
          </cell>
          <cell r="H261">
            <v>-6325.3742000000002</v>
          </cell>
          <cell r="I261">
            <v>-6545.2</v>
          </cell>
          <cell r="J261">
            <v>-6766.0811999999996</v>
          </cell>
          <cell r="K261">
            <v>-6618.9069</v>
          </cell>
          <cell r="L261">
            <v>-6788.6001999999999</v>
          </cell>
          <cell r="M261">
            <v>-6953.96</v>
          </cell>
          <cell r="N261">
            <v>-6805.5436</v>
          </cell>
        </row>
        <row r="262">
          <cell r="E262">
            <v>-1772.5990999999999</v>
          </cell>
          <cell r="F262">
            <v>-1888.1475</v>
          </cell>
          <cell r="G262">
            <v>-2000.5075999999999</v>
          </cell>
          <cell r="H262">
            <v>-2014.2189000000001</v>
          </cell>
          <cell r="I262">
            <v>-2114.8955999999998</v>
          </cell>
          <cell r="J262">
            <v>-2212.6489999999999</v>
          </cell>
          <cell r="K262">
            <v>-2132.3348999999998</v>
          </cell>
          <cell r="L262">
            <v>-2156.19</v>
          </cell>
          <cell r="M262">
            <v>-2179.0976999999998</v>
          </cell>
          <cell r="N262">
            <v>-2156.9580000000001</v>
          </cell>
        </row>
        <row r="263">
          <cell r="E263">
            <v>-113.24</v>
          </cell>
          <cell r="F263">
            <v>-109.99299999999999</v>
          </cell>
          <cell r="G263">
            <v>-106.90689999999999</v>
          </cell>
          <cell r="H263">
            <v>-99.537000000000006</v>
          </cell>
          <cell r="I263">
            <v>-97.185000000000002</v>
          </cell>
          <cell r="J263">
            <v>-94.9803</v>
          </cell>
          <cell r="K263">
            <v>-88.597099999999998</v>
          </cell>
          <cell r="L263">
            <v>-86.889499999999998</v>
          </cell>
          <cell r="M263">
            <v>-85.300200000000004</v>
          </cell>
          <cell r="N263">
            <v>-79.710800000000006</v>
          </cell>
        </row>
        <row r="264">
          <cell r="E264">
            <v>-724.8682</v>
          </cell>
          <cell r="F264">
            <v>-770.61469999999997</v>
          </cell>
          <cell r="G264">
            <v>-815.37639999999999</v>
          </cell>
          <cell r="H264">
            <v>-845.30960000000005</v>
          </cell>
          <cell r="I264">
            <v>-910.92740000000003</v>
          </cell>
          <cell r="J264">
            <v>-975.19560000000001</v>
          </cell>
          <cell r="K264">
            <v>-989.67589999999996</v>
          </cell>
          <cell r="L264">
            <v>-1049.3996</v>
          </cell>
          <cell r="M264">
            <v>-1107.9521999999999</v>
          </cell>
          <cell r="N264">
            <v>-1108.1754000000001</v>
          </cell>
        </row>
        <row r="265">
          <cell r="E265">
            <v>-22789.172600000002</v>
          </cell>
          <cell r="F265">
            <v>-23577.594400000002</v>
          </cell>
          <cell r="G265">
            <v>-24345.360100000002</v>
          </cell>
          <cell r="H265">
            <v>-24667.725600000002</v>
          </cell>
          <cell r="I265">
            <v>-25408.742300000002</v>
          </cell>
          <cell r="J265">
            <v>-26136.2487</v>
          </cell>
          <cell r="K265">
            <v>-26260.1482</v>
          </cell>
          <cell r="L265">
            <v>-26849.375199999999</v>
          </cell>
          <cell r="M265">
            <v>-27426.649000000001</v>
          </cell>
          <cell r="N265">
            <v>-27581.239300000001</v>
          </cell>
        </row>
        <row r="266">
          <cell r="E266">
            <v>-2.0282999999999999E-2</v>
          </cell>
          <cell r="F266">
            <v>-2.0242E-2</v>
          </cell>
          <cell r="G266">
            <v>-2.0205000000000001E-2</v>
          </cell>
          <cell r="H266">
            <v>-1.9814999999999999E-2</v>
          </cell>
          <cell r="I266">
            <v>-1.9781E-2</v>
          </cell>
          <cell r="J266">
            <v>-1.9748999999999999E-2</v>
          </cell>
          <cell r="K266">
            <v>-1.9352000000000001E-2</v>
          </cell>
          <cell r="L266">
            <v>-1.932E-2</v>
          </cell>
          <cell r="M266">
            <v>-1.9289000000000001E-2</v>
          </cell>
          <cell r="N266">
            <v>-1.8897000000000001E-2</v>
          </cell>
        </row>
        <row r="267">
          <cell r="E267">
            <v>-4721.0676999999996</v>
          </cell>
          <cell r="F267">
            <v>-4714.7748000000001</v>
          </cell>
          <cell r="G267">
            <v>-4714.6360000000004</v>
          </cell>
          <cell r="H267">
            <v>-4687.2377999999999</v>
          </cell>
          <cell r="I267">
            <v>-4675.549</v>
          </cell>
          <cell r="J267">
            <v>-4656.3827000000001</v>
          </cell>
          <cell r="K267">
            <v>-4625.7375000000002</v>
          </cell>
          <cell r="L267">
            <v>-4602.3879999999999</v>
          </cell>
          <cell r="M267">
            <v>-4579.6988000000001</v>
          </cell>
          <cell r="N267">
            <v>-4563.3064999999997</v>
          </cell>
        </row>
        <row r="268">
          <cell r="E268">
            <v>-2.93E-2</v>
          </cell>
          <cell r="F268">
            <v>-2.93E-2</v>
          </cell>
          <cell r="G268">
            <v>-2.93E-2</v>
          </cell>
          <cell r="H268">
            <v>-2.92E-2</v>
          </cell>
          <cell r="I268">
            <v>-2.92E-2</v>
          </cell>
          <cell r="J268">
            <v>-2.92E-2</v>
          </cell>
          <cell r="K268">
            <v>-2.9100000000000001E-2</v>
          </cell>
          <cell r="L268">
            <v>-2.9100000000000001E-2</v>
          </cell>
          <cell r="M268">
            <v>-2.9100000000000001E-2</v>
          </cell>
          <cell r="N268">
            <v>-2.9100000000000001E-2</v>
          </cell>
        </row>
        <row r="270">
          <cell r="E270">
            <v>-946.38709658255175</v>
          </cell>
          <cell r="F270">
            <v>-929.18902152052624</v>
          </cell>
          <cell r="G270">
            <v>-912.57252387605729</v>
          </cell>
          <cell r="H270">
            <v>-962.81511580981146</v>
          </cell>
          <cell r="I270">
            <v>-948.41399795759139</v>
          </cell>
          <cell r="J270">
            <v>-934.53340243737932</v>
          </cell>
          <cell r="K270">
            <v>-978.81201626982977</v>
          </cell>
          <cell r="L270">
            <v>-961.48161915761045</v>
          </cell>
          <cell r="M270">
            <v>-944.81777578047638</v>
          </cell>
          <cell r="N270">
            <v>-1042.2305669145976</v>
          </cell>
        </row>
        <row r="271">
          <cell r="E271">
            <v>0</v>
          </cell>
          <cell r="F271">
            <v>0</v>
          </cell>
          <cell r="G271">
            <v>0</v>
          </cell>
          <cell r="H271">
            <v>0</v>
          </cell>
          <cell r="I271">
            <v>0</v>
          </cell>
          <cell r="J271">
            <v>0</v>
          </cell>
          <cell r="K271">
            <v>0</v>
          </cell>
          <cell r="L271">
            <v>0</v>
          </cell>
          <cell r="M271">
            <v>0</v>
          </cell>
          <cell r="N271">
            <v>0</v>
          </cell>
        </row>
        <row r="272">
          <cell r="E272">
            <v>-41.863223463988753</v>
          </cell>
          <cell r="F272">
            <v>-38.76224394813773</v>
          </cell>
          <cell r="G272">
            <v>-35.890966618646047</v>
          </cell>
          <cell r="H272">
            <v>-33.232376498746333</v>
          </cell>
          <cell r="I272">
            <v>-30.77071898032068</v>
          </cell>
          <cell r="J272">
            <v>-28.491406463259889</v>
          </cell>
          <cell r="K272">
            <v>-26.380931910425822</v>
          </cell>
          <cell r="L272">
            <v>-24.426788805949833</v>
          </cell>
          <cell r="M272">
            <v>-22.617397042546141</v>
          </cell>
          <cell r="N272">
            <v>-20.942034298653834</v>
          </cell>
        </row>
        <row r="273">
          <cell r="E273">
            <v>-1009.9117471748916</v>
          </cell>
          <cell r="F273">
            <v>-961.82071159513475</v>
          </cell>
          <cell r="G273">
            <v>-916.01972532869968</v>
          </cell>
          <cell r="H273">
            <v>-872.39973840828543</v>
          </cell>
          <cell r="I273">
            <v>-830.85689372217644</v>
          </cell>
          <cell r="J273">
            <v>-791.29227973540605</v>
          </cell>
          <cell r="K273">
            <v>-753.61169498610104</v>
          </cell>
          <cell r="L273">
            <v>-717.72542379628658</v>
          </cell>
          <cell r="M273">
            <v>-683.54802266313015</v>
          </cell>
          <cell r="N273">
            <v>-650.99811682202869</v>
          </cell>
        </row>
        <row r="274">
          <cell r="E274">
            <v>-189.69974835749193</v>
          </cell>
          <cell r="F274">
            <v>-172.45431668862901</v>
          </cell>
          <cell r="G274">
            <v>-156.77665153511725</v>
          </cell>
          <cell r="H274">
            <v>-142.5242286682884</v>
          </cell>
          <cell r="I274">
            <v>-129.56748060753489</v>
          </cell>
          <cell r="J274">
            <v>-117.78861873412262</v>
          </cell>
          <cell r="K274">
            <v>0</v>
          </cell>
          <cell r="L274">
            <v>0</v>
          </cell>
          <cell r="M274">
            <v>0</v>
          </cell>
          <cell r="N274">
            <v>0</v>
          </cell>
        </row>
        <row r="275">
          <cell r="E275">
            <v>0</v>
          </cell>
          <cell r="F275">
            <v>0</v>
          </cell>
          <cell r="G275">
            <v>0</v>
          </cell>
          <cell r="H275">
            <v>0</v>
          </cell>
          <cell r="I275">
            <v>0</v>
          </cell>
          <cell r="J275">
            <v>0</v>
          </cell>
          <cell r="K275">
            <v>0</v>
          </cell>
          <cell r="L275">
            <v>0</v>
          </cell>
          <cell r="M275">
            <v>0</v>
          </cell>
          <cell r="N275">
            <v>0</v>
          </cell>
        </row>
        <row r="276">
          <cell r="E276">
            <v>-141.09711472261017</v>
          </cell>
          <cell r="F276">
            <v>-136.9874900219516</v>
          </cell>
          <cell r="G276">
            <v>-132.99756312810834</v>
          </cell>
          <cell r="H276">
            <v>-129.12384769719256</v>
          </cell>
          <cell r="I276">
            <v>-125.36295892931315</v>
          </cell>
          <cell r="J276">
            <v>-121.71161061098364</v>
          </cell>
          <cell r="K276">
            <v>0</v>
          </cell>
          <cell r="L276">
            <v>0</v>
          </cell>
          <cell r="M276">
            <v>0</v>
          </cell>
          <cell r="N276">
            <v>0</v>
          </cell>
        </row>
        <row r="277">
          <cell r="E277">
            <v>0</v>
          </cell>
          <cell r="F277">
            <v>0</v>
          </cell>
          <cell r="G277">
            <v>0</v>
          </cell>
          <cell r="H277">
            <v>0</v>
          </cell>
          <cell r="I277">
            <v>0</v>
          </cell>
          <cell r="J277">
            <v>0</v>
          </cell>
          <cell r="K277">
            <v>0</v>
          </cell>
          <cell r="L277">
            <v>0</v>
          </cell>
          <cell r="M277">
            <v>0</v>
          </cell>
          <cell r="N277">
            <v>0</v>
          </cell>
        </row>
        <row r="278">
          <cell r="E278">
            <v>-112.44736210838579</v>
          </cell>
          <cell r="F278">
            <v>-102.22487464398706</v>
          </cell>
          <cell r="G278">
            <v>-92.931704221806413</v>
          </cell>
          <cell r="H278">
            <v>-84.483367474369459</v>
          </cell>
          <cell r="I278">
            <v>-76.803061340335873</v>
          </cell>
          <cell r="J278">
            <v>-69.820964854850786</v>
          </cell>
          <cell r="K278">
            <v>0</v>
          </cell>
          <cell r="L278">
            <v>0</v>
          </cell>
          <cell r="M278">
            <v>0</v>
          </cell>
          <cell r="N278">
            <v>0</v>
          </cell>
        </row>
        <row r="279">
          <cell r="E279">
            <v>0</v>
          </cell>
          <cell r="F279">
            <v>0</v>
          </cell>
          <cell r="G279">
            <v>0</v>
          </cell>
          <cell r="H279">
            <v>0</v>
          </cell>
          <cell r="I279">
            <v>0</v>
          </cell>
          <cell r="J279">
            <v>0</v>
          </cell>
          <cell r="K279">
            <v>0</v>
          </cell>
          <cell r="L279">
            <v>0</v>
          </cell>
          <cell r="M279">
            <v>0</v>
          </cell>
          <cell r="N279">
            <v>0</v>
          </cell>
        </row>
        <row r="280">
          <cell r="E280">
            <v>-66.904678405331509</v>
          </cell>
          <cell r="F280">
            <v>-73.37347417993351</v>
          </cell>
          <cell r="G280">
            <v>-79.653858427119914</v>
          </cell>
          <cell r="H280">
            <v>-87.469765463223212</v>
          </cell>
          <cell r="I280">
            <v>-100.2424907409934</v>
          </cell>
          <cell r="J280">
            <v>-117.91503955436254</v>
          </cell>
          <cell r="K280">
            <v>-138.160232577051</v>
          </cell>
          <cell r="L280">
            <v>-157.90313842432136</v>
          </cell>
          <cell r="M280">
            <v>-177.15838681972946</v>
          </cell>
          <cell r="N280">
            <v>-196.69746293177619</v>
          </cell>
        </row>
        <row r="281">
          <cell r="E281">
            <v>0</v>
          </cell>
          <cell r="F281">
            <v>0</v>
          </cell>
          <cell r="G281">
            <v>0</v>
          </cell>
          <cell r="H281">
            <v>0</v>
          </cell>
          <cell r="I281">
            <v>0</v>
          </cell>
          <cell r="J281">
            <v>0</v>
          </cell>
          <cell r="K281">
            <v>0</v>
          </cell>
          <cell r="L281">
            <v>0</v>
          </cell>
          <cell r="M281">
            <v>0</v>
          </cell>
          <cell r="N281">
            <v>0</v>
          </cell>
        </row>
        <row r="282">
          <cell r="E282">
            <v>-18.752966165983917</v>
          </cell>
          <cell r="F282">
            <v>-24.26759567242043</v>
          </cell>
          <cell r="G282">
            <v>-29.570124043994003</v>
          </cell>
          <cell r="H282">
            <v>-36.851273119224999</v>
          </cell>
          <cell r="I282">
            <v>-43.852377999254799</v>
          </cell>
          <cell r="J282">
            <v>-50.584209614668069</v>
          </cell>
          <cell r="K282">
            <v>-56.433534885898787</v>
          </cell>
          <cell r="L282">
            <v>-62.057886108236019</v>
          </cell>
          <cell r="M282">
            <v>-67.465916129714117</v>
          </cell>
          <cell r="N282">
            <v>-73.601329611904589</v>
          </cell>
        </row>
        <row r="283">
          <cell r="E283">
            <v>0</v>
          </cell>
          <cell r="F283">
            <v>0</v>
          </cell>
          <cell r="G283">
            <v>0</v>
          </cell>
          <cell r="H283">
            <v>0</v>
          </cell>
          <cell r="I283">
            <v>0</v>
          </cell>
          <cell r="J283">
            <v>0</v>
          </cell>
          <cell r="K283">
            <v>0</v>
          </cell>
          <cell r="L283">
            <v>0</v>
          </cell>
          <cell r="M283">
            <v>0</v>
          </cell>
          <cell r="N283">
            <v>0</v>
          </cell>
        </row>
        <row r="284">
          <cell r="E284">
            <v>0</v>
          </cell>
          <cell r="F284">
            <v>0</v>
          </cell>
          <cell r="G284">
            <v>0</v>
          </cell>
          <cell r="H284">
            <v>0</v>
          </cell>
          <cell r="I284">
            <v>0</v>
          </cell>
          <cell r="J284">
            <v>0</v>
          </cell>
          <cell r="K284">
            <v>0</v>
          </cell>
          <cell r="L284">
            <v>0</v>
          </cell>
          <cell r="M284">
            <v>0</v>
          </cell>
          <cell r="N284">
            <v>0</v>
          </cell>
        </row>
        <row r="285">
          <cell r="E285">
            <v>0</v>
          </cell>
          <cell r="F285">
            <v>0</v>
          </cell>
          <cell r="G285">
            <v>0</v>
          </cell>
          <cell r="H285">
            <v>0</v>
          </cell>
          <cell r="I285">
            <v>0</v>
          </cell>
          <cell r="J285">
            <v>0</v>
          </cell>
          <cell r="K285">
            <v>0</v>
          </cell>
          <cell r="L285">
            <v>0</v>
          </cell>
          <cell r="M285">
            <v>0</v>
          </cell>
          <cell r="N285">
            <v>0</v>
          </cell>
        </row>
        <row r="286">
          <cell r="E286">
            <v>0</v>
          </cell>
          <cell r="F286">
            <v>0</v>
          </cell>
          <cell r="G286">
            <v>0</v>
          </cell>
          <cell r="H286">
            <v>0</v>
          </cell>
          <cell r="I286">
            <v>0</v>
          </cell>
          <cell r="J286">
            <v>0</v>
          </cell>
          <cell r="K286">
            <v>0</v>
          </cell>
          <cell r="L286">
            <v>0</v>
          </cell>
          <cell r="M286">
            <v>0</v>
          </cell>
          <cell r="N286">
            <v>-3.9159100200945756</v>
          </cell>
        </row>
        <row r="287">
          <cell r="E287">
            <v>0</v>
          </cell>
          <cell r="F287">
            <v>0</v>
          </cell>
          <cell r="G287">
            <v>0</v>
          </cell>
          <cell r="H287">
            <v>0</v>
          </cell>
          <cell r="I287">
            <v>0</v>
          </cell>
          <cell r="J287">
            <v>0</v>
          </cell>
          <cell r="K287">
            <v>0</v>
          </cell>
          <cell r="L287">
            <v>0</v>
          </cell>
          <cell r="M287">
            <v>0</v>
          </cell>
          <cell r="N287">
            <v>-7.2815533980582519</v>
          </cell>
        </row>
        <row r="288">
          <cell r="E288">
            <v>0</v>
          </cell>
          <cell r="F288">
            <v>0</v>
          </cell>
          <cell r="G288">
            <v>-3.6407766990291259</v>
          </cell>
          <cell r="H288">
            <v>-14.457064756338957</v>
          </cell>
          <cell r="I288">
            <v>-26.603946365377627</v>
          </cell>
          <cell r="J288">
            <v>-40.275676082890904</v>
          </cell>
          <cell r="K288">
            <v>-55.719102993097962</v>
          </cell>
          <cell r="L288">
            <v>-73.203012614658206</v>
          </cell>
          <cell r="M288">
            <v>-93.046614188988542</v>
          </cell>
          <cell r="N288">
            <v>-115.60350892134809</v>
          </cell>
        </row>
        <row r="289">
          <cell r="E289">
            <v>-2527.0639000000001</v>
          </cell>
          <cell r="F289">
            <v>-2439.0796999999998</v>
          </cell>
          <cell r="G289">
            <v>-2360.0540000000001</v>
          </cell>
          <cell r="H289">
            <v>-2363.3568</v>
          </cell>
          <cell r="I289">
            <v>-2312.4740000000002</v>
          </cell>
          <cell r="J289">
            <v>-2272.4132</v>
          </cell>
          <cell r="K289">
            <v>-2009.1174000000001</v>
          </cell>
          <cell r="L289">
            <v>-1996.7978000000001</v>
          </cell>
          <cell r="M289">
            <v>-1988.6541</v>
          </cell>
          <cell r="N289">
            <v>-2111.2705000000001</v>
          </cell>
        </row>
        <row r="290">
          <cell r="E290">
            <v>-4.2861999999999997E-2</v>
          </cell>
          <cell r="F290">
            <v>-4.2486999999999997E-2</v>
          </cell>
          <cell r="G290">
            <v>-4.2097000000000002E-2</v>
          </cell>
          <cell r="H290">
            <v>-4.2811000000000002E-2</v>
          </cell>
          <cell r="I290">
            <v>-4.2327999999999998E-2</v>
          </cell>
          <cell r="J290">
            <v>-4.1813000000000003E-2</v>
          </cell>
          <cell r="K290">
            <v>-3.6896999999999999E-2</v>
          </cell>
          <cell r="L290">
            <v>-3.6533000000000003E-2</v>
          </cell>
          <cell r="M290">
            <v>-3.6174999999999999E-2</v>
          </cell>
          <cell r="N290">
            <v>-3.7855E-2</v>
          </cell>
        </row>
        <row r="291">
          <cell r="E291">
            <v>-215407.7585</v>
          </cell>
          <cell r="F291">
            <v>-219850.84090000001</v>
          </cell>
          <cell r="G291">
            <v>-226069.04500000001</v>
          </cell>
          <cell r="H291">
            <v>-228064.5466</v>
          </cell>
          <cell r="I291">
            <v>-231789.31969999999</v>
          </cell>
          <cell r="J291">
            <v>-230758.17980000001</v>
          </cell>
          <cell r="K291">
            <v>-229406.95069999999</v>
          </cell>
          <cell r="L291">
            <v>-228190.23269999999</v>
          </cell>
          <cell r="M291">
            <v>-226651.1004</v>
          </cell>
          <cell r="N291">
            <v>-227423.4497</v>
          </cell>
        </row>
        <row r="292">
          <cell r="E292">
            <v>-3.9969999999999999E-2</v>
          </cell>
          <cell r="F292">
            <v>-3.9976999999999999E-2</v>
          </cell>
          <cell r="G292">
            <v>-4.0322999999999998E-2</v>
          </cell>
          <cell r="H292">
            <v>-3.9973000000000002E-2</v>
          </cell>
          <cell r="I292">
            <v>-4.0252000000000003E-2</v>
          </cell>
          <cell r="J292">
            <v>-3.9661000000000002E-2</v>
          </cell>
          <cell r="K292">
            <v>-3.9196000000000002E-2</v>
          </cell>
          <cell r="L292">
            <v>-3.8788999999999997E-2</v>
          </cell>
          <cell r="M292">
            <v>-3.8255999999999998E-2</v>
          </cell>
          <cell r="N292">
            <v>-3.789E-2</v>
          </cell>
        </row>
        <row r="293">
          <cell r="E293">
            <v>-4070.5551</v>
          </cell>
          <cell r="F293">
            <v>-4296.6832000000004</v>
          </cell>
          <cell r="G293">
            <v>-5229.2214999999997</v>
          </cell>
          <cell r="H293">
            <v>-4242.6314000000002</v>
          </cell>
          <cell r="I293">
            <v>-4219.3485000000001</v>
          </cell>
          <cell r="J293">
            <v>-3748.59</v>
          </cell>
          <cell r="K293">
            <v>-2674.5749999999998</v>
          </cell>
          <cell r="L293">
            <v>-2428.8634000000002</v>
          </cell>
          <cell r="M293">
            <v>-2519.3571999999999</v>
          </cell>
          <cell r="N293">
            <v>-3278.3361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I data"/>
      <sheetName val="commercial construction"/>
      <sheetName val="crack spreads"/>
      <sheetName val="pump valve vs interest rates"/>
      <sheetName val="new orders"/>
      <sheetName val="Process Control Inventory level"/>
      <sheetName val="NAHB"/>
      <sheetName val="oil majors huge 1st quarter"/>
      <sheetName val="New Housing Starts Actual"/>
      <sheetName val="NAPM and EIC"/>
      <sheetName val="Capacity Utilization"/>
      <sheetName val="Crack Spread"/>
      <sheetName val="Euro 11 Industrial Confidence"/>
      <sheetName val="Worldwide oil Capex spending"/>
      <sheetName val="Rig Counts"/>
      <sheetName val="NAPM"/>
      <sheetName val="Parker Hannifin vs NAPM"/>
      <sheetName val="IFO Manufacturing Business Clim"/>
      <sheetName val="Leading Economic Indicators"/>
      <sheetName val="Confidence Indicators"/>
      <sheetName val="Japan Tankan Manufacturing surv"/>
      <sheetName val="Industrial Production"/>
      <sheetName val="real industrial production"/>
      <sheetName val="New Orders-Capital Goods"/>
      <sheetName val="Chemical Industry Cap-ex"/>
      <sheetName val="Major Oil companies cap-ex"/>
      <sheetName val="Chemical-Specialty Index"/>
      <sheetName val="Chemical-Major Diversified Inde"/>
      <sheetName val="Chemical-Agriculture Index"/>
      <sheetName val="PC Index vs. FactSet F1250 inde"/>
      <sheetName val="S&amp;P 400 and 600"/>
    </sheetNames>
    <sheetDataSet>
      <sheetData sheetId="0"/>
      <sheetData sheetId="1">
        <row r="3">
          <cell r="A3">
            <v>31078</v>
          </cell>
        </row>
      </sheetData>
      <sheetData sheetId="2">
        <row r="3">
          <cell r="A3">
            <v>33606</v>
          </cell>
        </row>
      </sheetData>
      <sheetData sheetId="3"/>
      <sheetData sheetId="4">
        <row r="7">
          <cell r="D7">
            <v>31077</v>
          </cell>
          <cell r="G7">
            <v>31077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sheetName val="Data"/>
      <sheetName val="Recent Data"/>
      <sheetName val="Confidence 1970"/>
      <sheetName val="Confidence 1984"/>
      <sheetName val="Expectations 1970"/>
      <sheetName val="Expectations 1984"/>
      <sheetName val="Present Sit 1970"/>
      <sheetName val="Present Sit 1984"/>
      <sheetName val="Current Bus 1970"/>
      <sheetName val="Current Empl 1970"/>
      <sheetName val="Future Bus 1970"/>
      <sheetName val="Future Empl 1970"/>
      <sheetName val="ES1 (5)"/>
      <sheetName val="ES1 (4)"/>
      <sheetName val="Chart1 (3)"/>
      <sheetName val="ES1 (3)"/>
      <sheetName val="ES2 (2)"/>
      <sheetName val="ES1 (2)"/>
      <sheetName val="ES Sum"/>
      <sheetName val="EFS"/>
      <sheetName val="ES1"/>
      <sheetName val="ES2"/>
      <sheetName val="Pres Sit"/>
      <sheetName val="Chart1 (2)"/>
      <sheetName val="Chart3"/>
      <sheetName val="Chart1"/>
      <sheetName val="Char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GTNSalesReview"/>
      <sheetName val="RCherichella"/>
      <sheetName val="CWright"/>
      <sheetName val="MGreenberg"/>
      <sheetName val="MLeslie"/>
      <sheetName val="SGodwin"/>
      <sheetName val="SGoldman"/>
      <sheetName val="JKepko"/>
      <sheetName val="KQuigley"/>
      <sheetName val="MBustos"/>
      <sheetName val="TDesai"/>
      <sheetName val="AFinnegan"/>
      <sheetName val="EOpeka"/>
      <sheetName val="SBruder"/>
      <sheetName val="GBenedict"/>
      <sheetName val="CJordan2"/>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pg1"/>
      <sheetName val="Quarterly"/>
      <sheetName val="NAV-Prod Tables"/>
      <sheetName val="Rand"/>
      <sheetName val="MarigoldMillenium"/>
      <sheetName val="San Martin"/>
      <sheetName val="ElSauzal"/>
      <sheetName val="Cerro San Pedro"/>
      <sheetName val="Dee"/>
      <sheetName val="Daisy"/>
      <sheetName val="Picacho"/>
      <sheetName val="Imperial"/>
      <sheetName val="Template"/>
      <sheetName val="Tables"/>
      <sheetName val="Tables2"/>
      <sheetName val="Pub Fin"/>
      <sheetName val="DS_Key_Information"/>
      <sheetName val="DS_Cash_Flow"/>
      <sheetName val="DS_Income_Statement"/>
      <sheetName val="DS_Valuation_Measures"/>
      <sheetName val="DS_Quarterly_Estimates_Data"/>
      <sheetName val="DS_Balance_Sheet"/>
      <sheetName val="DS_Industry_Specif"/>
      <sheetName val="RBCGold"/>
      <sheetName val="Sheet1"/>
      <sheetName val="NAV table"/>
      <sheetName val="Prod CF contribution chart"/>
      <sheetName val="production data for 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9'96_oh"/>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BneLog"/>
      <sheetName val="ADI"/>
      <sheetName val="Accruals"/>
      <sheetName val="A. Cybersource Jan"/>
      <sheetName val="B. Cybersource Feb"/>
      <sheetName val="C. Cybersource Mar"/>
      <sheetName val="D. Cybersource Apr"/>
      <sheetName val="E. Cybersource May"/>
      <sheetName val="F. GMG May"/>
      <sheetName val="G. GMG Card Prod"/>
      <sheetName val="H. Accenture"/>
      <sheetName val="email support"/>
    </sheetNames>
    <sheetDataSet>
      <sheetData sheetId="0">
        <row r="1">
          <cell r="A1" t="str">
            <v>No</v>
          </cell>
        </row>
        <row r="2">
          <cell r="A2" t="str">
            <v>Yes</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l def"/>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piegel FV"/>
      <sheetName val="Barrens FV"/>
      <sheetName val="Exp-vested over periods"/>
      <sheetName val="1-24"/>
      <sheetName val="1-12"/>
      <sheetName val="1-48"/>
      <sheetName val="SO97"/>
      <sheetName val="Tickmarks"/>
      <sheetName val="FAS 123"/>
      <sheetName val="XREF"/>
      <sheetName val="Summary-Final"/>
      <sheetName val="Repairs &amp; Maintenance"/>
      <sheetName val="Rollforwar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Summary"/>
      <sheetName val="Option Activity"/>
      <sheetName val="Grants"/>
      <sheetName val="Cheap Stock"/>
      <sheetName val="FAS123"/>
      <sheetName val="Warrants"/>
      <sheetName val="Nonemployee"/>
      <sheetName val="BCF"/>
      <sheetName val="Volatility"/>
      <sheetName val="Tickmarks"/>
      <sheetName val="Weighted Avg Calc"/>
      <sheetName val="Cheap Stock Detail"/>
      <sheetName val="Cheap Stock Summary"/>
      <sheetName val="FAS 123"/>
      <sheetName val="Warrants and Franchise"/>
      <sheetName val="BCF - Series B"/>
      <sheetName val="BCF - Series C"/>
      <sheetName val="Accel Amort 4yr "/>
      <sheetName val="Comp stock prices"/>
      <sheetName val="Tickmarks "/>
      <sheetName val="Lead"/>
      <sheetName val="Exp-vested over periods"/>
    </sheetNames>
    <sheetDataSet>
      <sheetData sheetId="0"/>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별"/>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통계자료"/>
      <sheetName val="6월인원"/>
      <sheetName val="ASP"/>
      <sheetName val="CHIP_O"/>
      <sheetName val="FAB_I"/>
      <sheetName val="FAB_O"/>
      <sheetName val="FRT_O"/>
      <sheetName val="PKG_I"/>
      <sheetName val="FT_금액"/>
      <sheetName val="YIELD"/>
      <sheetName val="Credit Calc"/>
      <sheetName val="256D OUT TA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needham.bluematrix.com/sellside/Preference.action?exceltoolkit&amp;from=3"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A6936-38B4-47B2-ABCC-49574365AE83}">
  <dimension ref="A1:B1"/>
  <sheetViews>
    <sheetView workbookViewId="0"/>
  </sheetViews>
  <sheetFormatPr defaultRowHeight="15" x14ac:dyDescent="0.25"/>
  <sheetData>
    <row r="1" spans="1:2" x14ac:dyDescent="0.25">
      <c r="B1" t="s">
        <v>64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F7BC-0104-4247-8D98-70ACADEA25E8}">
  <sheetPr>
    <pageSetUpPr fitToPage="1"/>
  </sheetPr>
  <dimension ref="B1:M85"/>
  <sheetViews>
    <sheetView showGridLines="0" workbookViewId="0">
      <selection activeCell="K5" sqref="K5"/>
    </sheetView>
  </sheetViews>
  <sheetFormatPr defaultColWidth="8.7109375" defaultRowHeight="12.75" x14ac:dyDescent="0.2"/>
  <cols>
    <col min="1" max="2" width="1.85546875" style="381" customWidth="1"/>
    <col min="3" max="3" width="27.42578125" style="381" customWidth="1"/>
    <col min="4" max="5" width="8.7109375" style="381" customWidth="1"/>
    <col min="6" max="6" width="9.85546875" style="382" customWidth="1"/>
    <col min="7" max="7" width="8.7109375" style="381"/>
    <col min="8" max="8" width="8.7109375" style="381" customWidth="1"/>
    <col min="9" max="9" width="9.85546875" style="382" customWidth="1"/>
    <col min="10" max="11" width="8.7109375" style="381"/>
    <col min="12" max="12" width="9.85546875" style="382" customWidth="1"/>
    <col min="13" max="13" width="1.85546875" style="383" customWidth="1"/>
    <col min="14" max="251" width="8.7109375" style="381"/>
    <col min="252" max="252" width="4.140625" style="381" customWidth="1"/>
    <col min="253" max="253" width="27.42578125" style="381" customWidth="1"/>
    <col min="254" max="254" width="11.5703125" style="381" bestFit="1" customWidth="1"/>
    <col min="255" max="255" width="7.5703125" style="381" bestFit="1" customWidth="1"/>
    <col min="256" max="257" width="8.7109375" style="381"/>
    <col min="258" max="258" width="7.5703125" style="381" bestFit="1" customWidth="1"/>
    <col min="259" max="262" width="8.7109375" style="381"/>
    <col min="263" max="263" width="2.85546875" style="381" customWidth="1"/>
    <col min="264" max="507" width="8.7109375" style="381"/>
    <col min="508" max="508" width="4.140625" style="381" customWidth="1"/>
    <col min="509" max="509" width="27.42578125" style="381" customWidth="1"/>
    <col min="510" max="510" width="11.5703125" style="381" bestFit="1" customWidth="1"/>
    <col min="511" max="511" width="7.5703125" style="381" bestFit="1" customWidth="1"/>
    <col min="512" max="513" width="8.7109375" style="381"/>
    <col min="514" max="514" width="7.5703125" style="381" bestFit="1" customWidth="1"/>
    <col min="515" max="518" width="8.7109375" style="381"/>
    <col min="519" max="519" width="2.85546875" style="381" customWidth="1"/>
    <col min="520" max="763" width="8.7109375" style="381"/>
    <col min="764" max="764" width="4.140625" style="381" customWidth="1"/>
    <col min="765" max="765" width="27.42578125" style="381" customWidth="1"/>
    <col min="766" max="766" width="11.5703125" style="381" bestFit="1" customWidth="1"/>
    <col min="767" max="767" width="7.5703125" style="381" bestFit="1" customWidth="1"/>
    <col min="768" max="769" width="8.7109375" style="381"/>
    <col min="770" max="770" width="7.5703125" style="381" bestFit="1" customWidth="1"/>
    <col min="771" max="774" width="8.7109375" style="381"/>
    <col min="775" max="775" width="2.85546875" style="381" customWidth="1"/>
    <col min="776" max="1019" width="8.7109375" style="381"/>
    <col min="1020" max="1020" width="4.140625" style="381" customWidth="1"/>
    <col min="1021" max="1021" width="27.42578125" style="381" customWidth="1"/>
    <col min="1022" max="1022" width="11.5703125" style="381" bestFit="1" customWidth="1"/>
    <col min="1023" max="1023" width="7.5703125" style="381" bestFit="1" customWidth="1"/>
    <col min="1024" max="1025" width="8.7109375" style="381"/>
    <col min="1026" max="1026" width="7.5703125" style="381" bestFit="1" customWidth="1"/>
    <col min="1027" max="1030" width="8.7109375" style="381"/>
    <col min="1031" max="1031" width="2.85546875" style="381" customWidth="1"/>
    <col min="1032" max="1275" width="8.7109375" style="381"/>
    <col min="1276" max="1276" width="4.140625" style="381" customWidth="1"/>
    <col min="1277" max="1277" width="27.42578125" style="381" customWidth="1"/>
    <col min="1278" max="1278" width="11.5703125" style="381" bestFit="1" customWidth="1"/>
    <col min="1279" max="1279" width="7.5703125" style="381" bestFit="1" customWidth="1"/>
    <col min="1280" max="1281" width="8.7109375" style="381"/>
    <col min="1282" max="1282" width="7.5703125" style="381" bestFit="1" customWidth="1"/>
    <col min="1283" max="1286" width="8.7109375" style="381"/>
    <col min="1287" max="1287" width="2.85546875" style="381" customWidth="1"/>
    <col min="1288" max="1531" width="8.7109375" style="381"/>
    <col min="1532" max="1532" width="4.140625" style="381" customWidth="1"/>
    <col min="1533" max="1533" width="27.42578125" style="381" customWidth="1"/>
    <col min="1534" max="1534" width="11.5703125" style="381" bestFit="1" customWidth="1"/>
    <col min="1535" max="1535" width="7.5703125" style="381" bestFit="1" customWidth="1"/>
    <col min="1536" max="1537" width="8.7109375" style="381"/>
    <col min="1538" max="1538" width="7.5703125" style="381" bestFit="1" customWidth="1"/>
    <col min="1539" max="1542" width="8.7109375" style="381"/>
    <col min="1543" max="1543" width="2.85546875" style="381" customWidth="1"/>
    <col min="1544" max="1787" width="8.7109375" style="381"/>
    <col min="1788" max="1788" width="4.140625" style="381" customWidth="1"/>
    <col min="1789" max="1789" width="27.42578125" style="381" customWidth="1"/>
    <col min="1790" max="1790" width="11.5703125" style="381" bestFit="1" customWidth="1"/>
    <col min="1791" max="1791" width="7.5703125" style="381" bestFit="1" customWidth="1"/>
    <col min="1792" max="1793" width="8.7109375" style="381"/>
    <col min="1794" max="1794" width="7.5703125" style="381" bestFit="1" customWidth="1"/>
    <col min="1795" max="1798" width="8.7109375" style="381"/>
    <col min="1799" max="1799" width="2.85546875" style="381" customWidth="1"/>
    <col min="1800" max="2043" width="8.7109375" style="381"/>
    <col min="2044" max="2044" width="4.140625" style="381" customWidth="1"/>
    <col min="2045" max="2045" width="27.42578125" style="381" customWidth="1"/>
    <col min="2046" max="2046" width="11.5703125" style="381" bestFit="1" customWidth="1"/>
    <col min="2047" max="2047" width="7.5703125" style="381" bestFit="1" customWidth="1"/>
    <col min="2048" max="2049" width="8.7109375" style="381"/>
    <col min="2050" max="2050" width="7.5703125" style="381" bestFit="1" customWidth="1"/>
    <col min="2051" max="2054" width="8.7109375" style="381"/>
    <col min="2055" max="2055" width="2.85546875" style="381" customWidth="1"/>
    <col min="2056" max="2299" width="8.7109375" style="381"/>
    <col min="2300" max="2300" width="4.140625" style="381" customWidth="1"/>
    <col min="2301" max="2301" width="27.42578125" style="381" customWidth="1"/>
    <col min="2302" max="2302" width="11.5703125" style="381" bestFit="1" customWidth="1"/>
    <col min="2303" max="2303" width="7.5703125" style="381" bestFit="1" customWidth="1"/>
    <col min="2304" max="2305" width="8.7109375" style="381"/>
    <col min="2306" max="2306" width="7.5703125" style="381" bestFit="1" customWidth="1"/>
    <col min="2307" max="2310" width="8.7109375" style="381"/>
    <col min="2311" max="2311" width="2.85546875" style="381" customWidth="1"/>
    <col min="2312" max="2555" width="8.7109375" style="381"/>
    <col min="2556" max="2556" width="4.140625" style="381" customWidth="1"/>
    <col min="2557" max="2557" width="27.42578125" style="381" customWidth="1"/>
    <col min="2558" max="2558" width="11.5703125" style="381" bestFit="1" customWidth="1"/>
    <col min="2559" max="2559" width="7.5703125" style="381" bestFit="1" customWidth="1"/>
    <col min="2560" max="2561" width="8.7109375" style="381"/>
    <col min="2562" max="2562" width="7.5703125" style="381" bestFit="1" customWidth="1"/>
    <col min="2563" max="2566" width="8.7109375" style="381"/>
    <col min="2567" max="2567" width="2.85546875" style="381" customWidth="1"/>
    <col min="2568" max="2811" width="8.7109375" style="381"/>
    <col min="2812" max="2812" width="4.140625" style="381" customWidth="1"/>
    <col min="2813" max="2813" width="27.42578125" style="381" customWidth="1"/>
    <col min="2814" max="2814" width="11.5703125" style="381" bestFit="1" customWidth="1"/>
    <col min="2815" max="2815" width="7.5703125" style="381" bestFit="1" customWidth="1"/>
    <col min="2816" max="2817" width="8.7109375" style="381"/>
    <col min="2818" max="2818" width="7.5703125" style="381" bestFit="1" customWidth="1"/>
    <col min="2819" max="2822" width="8.7109375" style="381"/>
    <col min="2823" max="2823" width="2.85546875" style="381" customWidth="1"/>
    <col min="2824" max="3067" width="8.7109375" style="381"/>
    <col min="3068" max="3068" width="4.140625" style="381" customWidth="1"/>
    <col min="3069" max="3069" width="27.42578125" style="381" customWidth="1"/>
    <col min="3070" max="3070" width="11.5703125" style="381" bestFit="1" customWidth="1"/>
    <col min="3071" max="3071" width="7.5703125" style="381" bestFit="1" customWidth="1"/>
    <col min="3072" max="3073" width="8.7109375" style="381"/>
    <col min="3074" max="3074" width="7.5703125" style="381" bestFit="1" customWidth="1"/>
    <col min="3075" max="3078" width="8.7109375" style="381"/>
    <col min="3079" max="3079" width="2.85546875" style="381" customWidth="1"/>
    <col min="3080" max="3323" width="8.7109375" style="381"/>
    <col min="3324" max="3324" width="4.140625" style="381" customWidth="1"/>
    <col min="3325" max="3325" width="27.42578125" style="381" customWidth="1"/>
    <col min="3326" max="3326" width="11.5703125" style="381" bestFit="1" customWidth="1"/>
    <col min="3327" max="3327" width="7.5703125" style="381" bestFit="1" customWidth="1"/>
    <col min="3328" max="3329" width="8.7109375" style="381"/>
    <col min="3330" max="3330" width="7.5703125" style="381" bestFit="1" customWidth="1"/>
    <col min="3331" max="3334" width="8.7109375" style="381"/>
    <col min="3335" max="3335" width="2.85546875" style="381" customWidth="1"/>
    <col min="3336" max="3579" width="8.7109375" style="381"/>
    <col min="3580" max="3580" width="4.140625" style="381" customWidth="1"/>
    <col min="3581" max="3581" width="27.42578125" style="381" customWidth="1"/>
    <col min="3582" max="3582" width="11.5703125" style="381" bestFit="1" customWidth="1"/>
    <col min="3583" max="3583" width="7.5703125" style="381" bestFit="1" customWidth="1"/>
    <col min="3584" max="3585" width="8.7109375" style="381"/>
    <col min="3586" max="3586" width="7.5703125" style="381" bestFit="1" customWidth="1"/>
    <col min="3587" max="3590" width="8.7109375" style="381"/>
    <col min="3591" max="3591" width="2.85546875" style="381" customWidth="1"/>
    <col min="3592" max="3835" width="8.7109375" style="381"/>
    <col min="3836" max="3836" width="4.140625" style="381" customWidth="1"/>
    <col min="3837" max="3837" width="27.42578125" style="381" customWidth="1"/>
    <col min="3838" max="3838" width="11.5703125" style="381" bestFit="1" customWidth="1"/>
    <col min="3839" max="3839" width="7.5703125" style="381" bestFit="1" customWidth="1"/>
    <col min="3840" max="3841" width="8.7109375" style="381"/>
    <col min="3842" max="3842" width="7.5703125" style="381" bestFit="1" customWidth="1"/>
    <col min="3843" max="3846" width="8.7109375" style="381"/>
    <col min="3847" max="3847" width="2.85546875" style="381" customWidth="1"/>
    <col min="3848" max="4091" width="8.7109375" style="381"/>
    <col min="4092" max="4092" width="4.140625" style="381" customWidth="1"/>
    <col min="4093" max="4093" width="27.42578125" style="381" customWidth="1"/>
    <col min="4094" max="4094" width="11.5703125" style="381" bestFit="1" customWidth="1"/>
    <col min="4095" max="4095" width="7.5703125" style="381" bestFit="1" customWidth="1"/>
    <col min="4096" max="4097" width="8.7109375" style="381"/>
    <col min="4098" max="4098" width="7.5703125" style="381" bestFit="1" customWidth="1"/>
    <col min="4099" max="4102" width="8.7109375" style="381"/>
    <col min="4103" max="4103" width="2.85546875" style="381" customWidth="1"/>
    <col min="4104" max="4347" width="8.7109375" style="381"/>
    <col min="4348" max="4348" width="4.140625" style="381" customWidth="1"/>
    <col min="4349" max="4349" width="27.42578125" style="381" customWidth="1"/>
    <col min="4350" max="4350" width="11.5703125" style="381" bestFit="1" customWidth="1"/>
    <col min="4351" max="4351" width="7.5703125" style="381" bestFit="1" customWidth="1"/>
    <col min="4352" max="4353" width="8.7109375" style="381"/>
    <col min="4354" max="4354" width="7.5703125" style="381" bestFit="1" customWidth="1"/>
    <col min="4355" max="4358" width="8.7109375" style="381"/>
    <col min="4359" max="4359" width="2.85546875" style="381" customWidth="1"/>
    <col min="4360" max="4603" width="8.7109375" style="381"/>
    <col min="4604" max="4604" width="4.140625" style="381" customWidth="1"/>
    <col min="4605" max="4605" width="27.42578125" style="381" customWidth="1"/>
    <col min="4606" max="4606" width="11.5703125" style="381" bestFit="1" customWidth="1"/>
    <col min="4607" max="4607" width="7.5703125" style="381" bestFit="1" customWidth="1"/>
    <col min="4608" max="4609" width="8.7109375" style="381"/>
    <col min="4610" max="4610" width="7.5703125" style="381" bestFit="1" customWidth="1"/>
    <col min="4611" max="4614" width="8.7109375" style="381"/>
    <col min="4615" max="4615" width="2.85546875" style="381" customWidth="1"/>
    <col min="4616" max="4859" width="8.7109375" style="381"/>
    <col min="4860" max="4860" width="4.140625" style="381" customWidth="1"/>
    <col min="4861" max="4861" width="27.42578125" style="381" customWidth="1"/>
    <col min="4862" max="4862" width="11.5703125" style="381" bestFit="1" customWidth="1"/>
    <col min="4863" max="4863" width="7.5703125" style="381" bestFit="1" customWidth="1"/>
    <col min="4864" max="4865" width="8.7109375" style="381"/>
    <col min="4866" max="4866" width="7.5703125" style="381" bestFit="1" customWidth="1"/>
    <col min="4867" max="4870" width="8.7109375" style="381"/>
    <col min="4871" max="4871" width="2.85546875" style="381" customWidth="1"/>
    <col min="4872" max="5115" width="8.7109375" style="381"/>
    <col min="5116" max="5116" width="4.140625" style="381" customWidth="1"/>
    <col min="5117" max="5117" width="27.42578125" style="381" customWidth="1"/>
    <col min="5118" max="5118" width="11.5703125" style="381" bestFit="1" customWidth="1"/>
    <col min="5119" max="5119" width="7.5703125" style="381" bestFit="1" customWidth="1"/>
    <col min="5120" max="5121" width="8.7109375" style="381"/>
    <col min="5122" max="5122" width="7.5703125" style="381" bestFit="1" customWidth="1"/>
    <col min="5123" max="5126" width="8.7109375" style="381"/>
    <col min="5127" max="5127" width="2.85546875" style="381" customWidth="1"/>
    <col min="5128" max="5371" width="8.7109375" style="381"/>
    <col min="5372" max="5372" width="4.140625" style="381" customWidth="1"/>
    <col min="5373" max="5373" width="27.42578125" style="381" customWidth="1"/>
    <col min="5374" max="5374" width="11.5703125" style="381" bestFit="1" customWidth="1"/>
    <col min="5375" max="5375" width="7.5703125" style="381" bestFit="1" customWidth="1"/>
    <col min="5376" max="5377" width="8.7109375" style="381"/>
    <col min="5378" max="5378" width="7.5703125" style="381" bestFit="1" customWidth="1"/>
    <col min="5379" max="5382" width="8.7109375" style="381"/>
    <col min="5383" max="5383" width="2.85546875" style="381" customWidth="1"/>
    <col min="5384" max="5627" width="8.7109375" style="381"/>
    <col min="5628" max="5628" width="4.140625" style="381" customWidth="1"/>
    <col min="5629" max="5629" width="27.42578125" style="381" customWidth="1"/>
    <col min="5630" max="5630" width="11.5703125" style="381" bestFit="1" customWidth="1"/>
    <col min="5631" max="5631" width="7.5703125" style="381" bestFit="1" customWidth="1"/>
    <col min="5632" max="5633" width="8.7109375" style="381"/>
    <col min="5634" max="5634" width="7.5703125" style="381" bestFit="1" customWidth="1"/>
    <col min="5635" max="5638" width="8.7109375" style="381"/>
    <col min="5639" max="5639" width="2.85546875" style="381" customWidth="1"/>
    <col min="5640" max="5883" width="8.7109375" style="381"/>
    <col min="5884" max="5884" width="4.140625" style="381" customWidth="1"/>
    <col min="5885" max="5885" width="27.42578125" style="381" customWidth="1"/>
    <col min="5886" max="5886" width="11.5703125" style="381" bestFit="1" customWidth="1"/>
    <col min="5887" max="5887" width="7.5703125" style="381" bestFit="1" customWidth="1"/>
    <col min="5888" max="5889" width="8.7109375" style="381"/>
    <col min="5890" max="5890" width="7.5703125" style="381" bestFit="1" customWidth="1"/>
    <col min="5891" max="5894" width="8.7109375" style="381"/>
    <col min="5895" max="5895" width="2.85546875" style="381" customWidth="1"/>
    <col min="5896" max="6139" width="8.7109375" style="381"/>
    <col min="6140" max="6140" width="4.140625" style="381" customWidth="1"/>
    <col min="6141" max="6141" width="27.42578125" style="381" customWidth="1"/>
    <col min="6142" max="6142" width="11.5703125" style="381" bestFit="1" customWidth="1"/>
    <col min="6143" max="6143" width="7.5703125" style="381" bestFit="1" customWidth="1"/>
    <col min="6144" max="6145" width="8.7109375" style="381"/>
    <col min="6146" max="6146" width="7.5703125" style="381" bestFit="1" customWidth="1"/>
    <col min="6147" max="6150" width="8.7109375" style="381"/>
    <col min="6151" max="6151" width="2.85546875" style="381" customWidth="1"/>
    <col min="6152" max="6395" width="8.7109375" style="381"/>
    <col min="6396" max="6396" width="4.140625" style="381" customWidth="1"/>
    <col min="6397" max="6397" width="27.42578125" style="381" customWidth="1"/>
    <col min="6398" max="6398" width="11.5703125" style="381" bestFit="1" customWidth="1"/>
    <col min="6399" max="6399" width="7.5703125" style="381" bestFit="1" customWidth="1"/>
    <col min="6400" max="6401" width="8.7109375" style="381"/>
    <col min="6402" max="6402" width="7.5703125" style="381" bestFit="1" customWidth="1"/>
    <col min="6403" max="6406" width="8.7109375" style="381"/>
    <col min="6407" max="6407" width="2.85546875" style="381" customWidth="1"/>
    <col min="6408" max="6651" width="8.7109375" style="381"/>
    <col min="6652" max="6652" width="4.140625" style="381" customWidth="1"/>
    <col min="6653" max="6653" width="27.42578125" style="381" customWidth="1"/>
    <col min="6654" max="6654" width="11.5703125" style="381" bestFit="1" customWidth="1"/>
    <col min="6655" max="6655" width="7.5703125" style="381" bestFit="1" customWidth="1"/>
    <col min="6656" max="6657" width="8.7109375" style="381"/>
    <col min="6658" max="6658" width="7.5703125" style="381" bestFit="1" customWidth="1"/>
    <col min="6659" max="6662" width="8.7109375" style="381"/>
    <col min="6663" max="6663" width="2.85546875" style="381" customWidth="1"/>
    <col min="6664" max="6907" width="8.7109375" style="381"/>
    <col min="6908" max="6908" width="4.140625" style="381" customWidth="1"/>
    <col min="6909" max="6909" width="27.42578125" style="381" customWidth="1"/>
    <col min="6910" max="6910" width="11.5703125" style="381" bestFit="1" customWidth="1"/>
    <col min="6911" max="6911" width="7.5703125" style="381" bestFit="1" customWidth="1"/>
    <col min="6912" max="6913" width="8.7109375" style="381"/>
    <col min="6914" max="6914" width="7.5703125" style="381" bestFit="1" customWidth="1"/>
    <col min="6915" max="6918" width="8.7109375" style="381"/>
    <col min="6919" max="6919" width="2.85546875" style="381" customWidth="1"/>
    <col min="6920" max="7163" width="8.7109375" style="381"/>
    <col min="7164" max="7164" width="4.140625" style="381" customWidth="1"/>
    <col min="7165" max="7165" width="27.42578125" style="381" customWidth="1"/>
    <col min="7166" max="7166" width="11.5703125" style="381" bestFit="1" customWidth="1"/>
    <col min="7167" max="7167" width="7.5703125" style="381" bestFit="1" customWidth="1"/>
    <col min="7168" max="7169" width="8.7109375" style="381"/>
    <col min="7170" max="7170" width="7.5703125" style="381" bestFit="1" customWidth="1"/>
    <col min="7171" max="7174" width="8.7109375" style="381"/>
    <col min="7175" max="7175" width="2.85546875" style="381" customWidth="1"/>
    <col min="7176" max="7419" width="8.7109375" style="381"/>
    <col min="7420" max="7420" width="4.140625" style="381" customWidth="1"/>
    <col min="7421" max="7421" width="27.42578125" style="381" customWidth="1"/>
    <col min="7422" max="7422" width="11.5703125" style="381" bestFit="1" customWidth="1"/>
    <col min="7423" max="7423" width="7.5703125" style="381" bestFit="1" customWidth="1"/>
    <col min="7424" max="7425" width="8.7109375" style="381"/>
    <col min="7426" max="7426" width="7.5703125" style="381" bestFit="1" customWidth="1"/>
    <col min="7427" max="7430" width="8.7109375" style="381"/>
    <col min="7431" max="7431" width="2.85546875" style="381" customWidth="1"/>
    <col min="7432" max="7675" width="8.7109375" style="381"/>
    <col min="7676" max="7676" width="4.140625" style="381" customWidth="1"/>
    <col min="7677" max="7677" width="27.42578125" style="381" customWidth="1"/>
    <col min="7678" max="7678" width="11.5703125" style="381" bestFit="1" customWidth="1"/>
    <col min="7679" max="7679" width="7.5703125" style="381" bestFit="1" customWidth="1"/>
    <col min="7680" max="7681" width="8.7109375" style="381"/>
    <col min="7682" max="7682" width="7.5703125" style="381" bestFit="1" customWidth="1"/>
    <col min="7683" max="7686" width="8.7109375" style="381"/>
    <col min="7687" max="7687" width="2.85546875" style="381" customWidth="1"/>
    <col min="7688" max="7931" width="8.7109375" style="381"/>
    <col min="7932" max="7932" width="4.140625" style="381" customWidth="1"/>
    <col min="7933" max="7933" width="27.42578125" style="381" customWidth="1"/>
    <col min="7934" max="7934" width="11.5703125" style="381" bestFit="1" customWidth="1"/>
    <col min="7935" max="7935" width="7.5703125" style="381" bestFit="1" customWidth="1"/>
    <col min="7936" max="7937" width="8.7109375" style="381"/>
    <col min="7938" max="7938" width="7.5703125" style="381" bestFit="1" customWidth="1"/>
    <col min="7939" max="7942" width="8.7109375" style="381"/>
    <col min="7943" max="7943" width="2.85546875" style="381" customWidth="1"/>
    <col min="7944" max="8187" width="8.7109375" style="381"/>
    <col min="8188" max="8188" width="4.140625" style="381" customWidth="1"/>
    <col min="8189" max="8189" width="27.42578125" style="381" customWidth="1"/>
    <col min="8190" max="8190" width="11.5703125" style="381" bestFit="1" customWidth="1"/>
    <col min="8191" max="8191" width="7.5703125" style="381" bestFit="1" customWidth="1"/>
    <col min="8192" max="8193" width="8.7109375" style="381"/>
    <col min="8194" max="8194" width="7.5703125" style="381" bestFit="1" customWidth="1"/>
    <col min="8195" max="8198" width="8.7109375" style="381"/>
    <col min="8199" max="8199" width="2.85546875" style="381" customWidth="1"/>
    <col min="8200" max="8443" width="8.7109375" style="381"/>
    <col min="8444" max="8444" width="4.140625" style="381" customWidth="1"/>
    <col min="8445" max="8445" width="27.42578125" style="381" customWidth="1"/>
    <col min="8446" max="8446" width="11.5703125" style="381" bestFit="1" customWidth="1"/>
    <col min="8447" max="8447" width="7.5703125" style="381" bestFit="1" customWidth="1"/>
    <col min="8448" max="8449" width="8.7109375" style="381"/>
    <col min="8450" max="8450" width="7.5703125" style="381" bestFit="1" customWidth="1"/>
    <col min="8451" max="8454" width="8.7109375" style="381"/>
    <col min="8455" max="8455" width="2.85546875" style="381" customWidth="1"/>
    <col min="8456" max="8699" width="8.7109375" style="381"/>
    <col min="8700" max="8700" width="4.140625" style="381" customWidth="1"/>
    <col min="8701" max="8701" width="27.42578125" style="381" customWidth="1"/>
    <col min="8702" max="8702" width="11.5703125" style="381" bestFit="1" customWidth="1"/>
    <col min="8703" max="8703" width="7.5703125" style="381" bestFit="1" customWidth="1"/>
    <col min="8704" max="8705" width="8.7109375" style="381"/>
    <col min="8706" max="8706" width="7.5703125" style="381" bestFit="1" customWidth="1"/>
    <col min="8707" max="8710" width="8.7109375" style="381"/>
    <col min="8711" max="8711" width="2.85546875" style="381" customWidth="1"/>
    <col min="8712" max="8955" width="8.7109375" style="381"/>
    <col min="8956" max="8956" width="4.140625" style="381" customWidth="1"/>
    <col min="8957" max="8957" width="27.42578125" style="381" customWidth="1"/>
    <col min="8958" max="8958" width="11.5703125" style="381" bestFit="1" customWidth="1"/>
    <col min="8959" max="8959" width="7.5703125" style="381" bestFit="1" customWidth="1"/>
    <col min="8960" max="8961" width="8.7109375" style="381"/>
    <col min="8962" max="8962" width="7.5703125" style="381" bestFit="1" customWidth="1"/>
    <col min="8963" max="8966" width="8.7109375" style="381"/>
    <col min="8967" max="8967" width="2.85546875" style="381" customWidth="1"/>
    <col min="8968" max="9211" width="8.7109375" style="381"/>
    <col min="9212" max="9212" width="4.140625" style="381" customWidth="1"/>
    <col min="9213" max="9213" width="27.42578125" style="381" customWidth="1"/>
    <col min="9214" max="9214" width="11.5703125" style="381" bestFit="1" customWidth="1"/>
    <col min="9215" max="9215" width="7.5703125" style="381" bestFit="1" customWidth="1"/>
    <col min="9216" max="9217" width="8.7109375" style="381"/>
    <col min="9218" max="9218" width="7.5703125" style="381" bestFit="1" customWidth="1"/>
    <col min="9219" max="9222" width="8.7109375" style="381"/>
    <col min="9223" max="9223" width="2.85546875" style="381" customWidth="1"/>
    <col min="9224" max="9467" width="8.7109375" style="381"/>
    <col min="9468" max="9468" width="4.140625" style="381" customWidth="1"/>
    <col min="9469" max="9469" width="27.42578125" style="381" customWidth="1"/>
    <col min="9470" max="9470" width="11.5703125" style="381" bestFit="1" customWidth="1"/>
    <col min="9471" max="9471" width="7.5703125" style="381" bestFit="1" customWidth="1"/>
    <col min="9472" max="9473" width="8.7109375" style="381"/>
    <col min="9474" max="9474" width="7.5703125" style="381" bestFit="1" customWidth="1"/>
    <col min="9475" max="9478" width="8.7109375" style="381"/>
    <col min="9479" max="9479" width="2.85546875" style="381" customWidth="1"/>
    <col min="9480" max="9723" width="8.7109375" style="381"/>
    <col min="9724" max="9724" width="4.140625" style="381" customWidth="1"/>
    <col min="9725" max="9725" width="27.42578125" style="381" customWidth="1"/>
    <col min="9726" max="9726" width="11.5703125" style="381" bestFit="1" customWidth="1"/>
    <col min="9727" max="9727" width="7.5703125" style="381" bestFit="1" customWidth="1"/>
    <col min="9728" max="9729" width="8.7109375" style="381"/>
    <col min="9730" max="9730" width="7.5703125" style="381" bestFit="1" customWidth="1"/>
    <col min="9731" max="9734" width="8.7109375" style="381"/>
    <col min="9735" max="9735" width="2.85546875" style="381" customWidth="1"/>
    <col min="9736" max="9979" width="8.7109375" style="381"/>
    <col min="9980" max="9980" width="4.140625" style="381" customWidth="1"/>
    <col min="9981" max="9981" width="27.42578125" style="381" customWidth="1"/>
    <col min="9982" max="9982" width="11.5703125" style="381" bestFit="1" customWidth="1"/>
    <col min="9983" max="9983" width="7.5703125" style="381" bestFit="1" customWidth="1"/>
    <col min="9984" max="9985" width="8.7109375" style="381"/>
    <col min="9986" max="9986" width="7.5703125" style="381" bestFit="1" customWidth="1"/>
    <col min="9987" max="9990" width="8.7109375" style="381"/>
    <col min="9991" max="9991" width="2.85546875" style="381" customWidth="1"/>
    <col min="9992" max="10235" width="8.7109375" style="381"/>
    <col min="10236" max="10236" width="4.140625" style="381" customWidth="1"/>
    <col min="10237" max="10237" width="27.42578125" style="381" customWidth="1"/>
    <col min="10238" max="10238" width="11.5703125" style="381" bestFit="1" customWidth="1"/>
    <col min="10239" max="10239" width="7.5703125" style="381" bestFit="1" customWidth="1"/>
    <col min="10240" max="10241" width="8.7109375" style="381"/>
    <col min="10242" max="10242" width="7.5703125" style="381" bestFit="1" customWidth="1"/>
    <col min="10243" max="10246" width="8.7109375" style="381"/>
    <col min="10247" max="10247" width="2.85546875" style="381" customWidth="1"/>
    <col min="10248" max="10491" width="8.7109375" style="381"/>
    <col min="10492" max="10492" width="4.140625" style="381" customWidth="1"/>
    <col min="10493" max="10493" width="27.42578125" style="381" customWidth="1"/>
    <col min="10494" max="10494" width="11.5703125" style="381" bestFit="1" customWidth="1"/>
    <col min="10495" max="10495" width="7.5703125" style="381" bestFit="1" customWidth="1"/>
    <col min="10496" max="10497" width="8.7109375" style="381"/>
    <col min="10498" max="10498" width="7.5703125" style="381" bestFit="1" customWidth="1"/>
    <col min="10499" max="10502" width="8.7109375" style="381"/>
    <col min="10503" max="10503" width="2.85546875" style="381" customWidth="1"/>
    <col min="10504" max="10747" width="8.7109375" style="381"/>
    <col min="10748" max="10748" width="4.140625" style="381" customWidth="1"/>
    <col min="10749" max="10749" width="27.42578125" style="381" customWidth="1"/>
    <col min="10750" max="10750" width="11.5703125" style="381" bestFit="1" customWidth="1"/>
    <col min="10751" max="10751" width="7.5703125" style="381" bestFit="1" customWidth="1"/>
    <col min="10752" max="10753" width="8.7109375" style="381"/>
    <col min="10754" max="10754" width="7.5703125" style="381" bestFit="1" customWidth="1"/>
    <col min="10755" max="10758" width="8.7109375" style="381"/>
    <col min="10759" max="10759" width="2.85546875" style="381" customWidth="1"/>
    <col min="10760" max="11003" width="8.7109375" style="381"/>
    <col min="11004" max="11004" width="4.140625" style="381" customWidth="1"/>
    <col min="11005" max="11005" width="27.42578125" style="381" customWidth="1"/>
    <col min="11006" max="11006" width="11.5703125" style="381" bestFit="1" customWidth="1"/>
    <col min="11007" max="11007" width="7.5703125" style="381" bestFit="1" customWidth="1"/>
    <col min="11008" max="11009" width="8.7109375" style="381"/>
    <col min="11010" max="11010" width="7.5703125" style="381" bestFit="1" customWidth="1"/>
    <col min="11011" max="11014" width="8.7109375" style="381"/>
    <col min="11015" max="11015" width="2.85546875" style="381" customWidth="1"/>
    <col min="11016" max="11259" width="8.7109375" style="381"/>
    <col min="11260" max="11260" width="4.140625" style="381" customWidth="1"/>
    <col min="11261" max="11261" width="27.42578125" style="381" customWidth="1"/>
    <col min="11262" max="11262" width="11.5703125" style="381" bestFit="1" customWidth="1"/>
    <col min="11263" max="11263" width="7.5703125" style="381" bestFit="1" customWidth="1"/>
    <col min="11264" max="11265" width="8.7109375" style="381"/>
    <col min="11266" max="11266" width="7.5703125" style="381" bestFit="1" customWidth="1"/>
    <col min="11267" max="11270" width="8.7109375" style="381"/>
    <col min="11271" max="11271" width="2.85546875" style="381" customWidth="1"/>
    <col min="11272" max="11515" width="8.7109375" style="381"/>
    <col min="11516" max="11516" width="4.140625" style="381" customWidth="1"/>
    <col min="11517" max="11517" width="27.42578125" style="381" customWidth="1"/>
    <col min="11518" max="11518" width="11.5703125" style="381" bestFit="1" customWidth="1"/>
    <col min="11519" max="11519" width="7.5703125" style="381" bestFit="1" customWidth="1"/>
    <col min="11520" max="11521" width="8.7109375" style="381"/>
    <col min="11522" max="11522" width="7.5703125" style="381" bestFit="1" customWidth="1"/>
    <col min="11523" max="11526" width="8.7109375" style="381"/>
    <col min="11527" max="11527" width="2.85546875" style="381" customWidth="1"/>
    <col min="11528" max="11771" width="8.7109375" style="381"/>
    <col min="11772" max="11772" width="4.140625" style="381" customWidth="1"/>
    <col min="11773" max="11773" width="27.42578125" style="381" customWidth="1"/>
    <col min="11774" max="11774" width="11.5703125" style="381" bestFit="1" customWidth="1"/>
    <col min="11775" max="11775" width="7.5703125" style="381" bestFit="1" customWidth="1"/>
    <col min="11776" max="11777" width="8.7109375" style="381"/>
    <col min="11778" max="11778" width="7.5703125" style="381" bestFit="1" customWidth="1"/>
    <col min="11779" max="11782" width="8.7109375" style="381"/>
    <col min="11783" max="11783" width="2.85546875" style="381" customWidth="1"/>
    <col min="11784" max="12027" width="8.7109375" style="381"/>
    <col min="12028" max="12028" width="4.140625" style="381" customWidth="1"/>
    <col min="12029" max="12029" width="27.42578125" style="381" customWidth="1"/>
    <col min="12030" max="12030" width="11.5703125" style="381" bestFit="1" customWidth="1"/>
    <col min="12031" max="12031" width="7.5703125" style="381" bestFit="1" customWidth="1"/>
    <col min="12032" max="12033" width="8.7109375" style="381"/>
    <col min="12034" max="12034" width="7.5703125" style="381" bestFit="1" customWidth="1"/>
    <col min="12035" max="12038" width="8.7109375" style="381"/>
    <col min="12039" max="12039" width="2.85546875" style="381" customWidth="1"/>
    <col min="12040" max="12283" width="8.7109375" style="381"/>
    <col min="12284" max="12284" width="4.140625" style="381" customWidth="1"/>
    <col min="12285" max="12285" width="27.42578125" style="381" customWidth="1"/>
    <col min="12286" max="12286" width="11.5703125" style="381" bestFit="1" customWidth="1"/>
    <col min="12287" max="12287" width="7.5703125" style="381" bestFit="1" customWidth="1"/>
    <col min="12288" max="12289" width="8.7109375" style="381"/>
    <col min="12290" max="12290" width="7.5703125" style="381" bestFit="1" customWidth="1"/>
    <col min="12291" max="12294" width="8.7109375" style="381"/>
    <col min="12295" max="12295" width="2.85546875" style="381" customWidth="1"/>
    <col min="12296" max="12539" width="8.7109375" style="381"/>
    <col min="12540" max="12540" width="4.140625" style="381" customWidth="1"/>
    <col min="12541" max="12541" width="27.42578125" style="381" customWidth="1"/>
    <col min="12542" max="12542" width="11.5703125" style="381" bestFit="1" customWidth="1"/>
    <col min="12543" max="12543" width="7.5703125" style="381" bestFit="1" customWidth="1"/>
    <col min="12544" max="12545" width="8.7109375" style="381"/>
    <col min="12546" max="12546" width="7.5703125" style="381" bestFit="1" customWidth="1"/>
    <col min="12547" max="12550" width="8.7109375" style="381"/>
    <col min="12551" max="12551" width="2.85546875" style="381" customWidth="1"/>
    <col min="12552" max="12795" width="8.7109375" style="381"/>
    <col min="12796" max="12796" width="4.140625" style="381" customWidth="1"/>
    <col min="12797" max="12797" width="27.42578125" style="381" customWidth="1"/>
    <col min="12798" max="12798" width="11.5703125" style="381" bestFit="1" customWidth="1"/>
    <col min="12799" max="12799" width="7.5703125" style="381" bestFit="1" customWidth="1"/>
    <col min="12800" max="12801" width="8.7109375" style="381"/>
    <col min="12802" max="12802" width="7.5703125" style="381" bestFit="1" customWidth="1"/>
    <col min="12803" max="12806" width="8.7109375" style="381"/>
    <col min="12807" max="12807" width="2.85546875" style="381" customWidth="1"/>
    <col min="12808" max="13051" width="8.7109375" style="381"/>
    <col min="13052" max="13052" width="4.140625" style="381" customWidth="1"/>
    <col min="13053" max="13053" width="27.42578125" style="381" customWidth="1"/>
    <col min="13054" max="13054" width="11.5703125" style="381" bestFit="1" customWidth="1"/>
    <col min="13055" max="13055" width="7.5703125" style="381" bestFit="1" customWidth="1"/>
    <col min="13056" max="13057" width="8.7109375" style="381"/>
    <col min="13058" max="13058" width="7.5703125" style="381" bestFit="1" customWidth="1"/>
    <col min="13059" max="13062" width="8.7109375" style="381"/>
    <col min="13063" max="13063" width="2.85546875" style="381" customWidth="1"/>
    <col min="13064" max="13307" width="8.7109375" style="381"/>
    <col min="13308" max="13308" width="4.140625" style="381" customWidth="1"/>
    <col min="13309" max="13309" width="27.42578125" style="381" customWidth="1"/>
    <col min="13310" max="13310" width="11.5703125" style="381" bestFit="1" customWidth="1"/>
    <col min="13311" max="13311" width="7.5703125" style="381" bestFit="1" customWidth="1"/>
    <col min="13312" max="13313" width="8.7109375" style="381"/>
    <col min="13314" max="13314" width="7.5703125" style="381" bestFit="1" customWidth="1"/>
    <col min="13315" max="13318" width="8.7109375" style="381"/>
    <col min="13319" max="13319" width="2.85546875" style="381" customWidth="1"/>
    <col min="13320" max="13563" width="8.7109375" style="381"/>
    <col min="13564" max="13564" width="4.140625" style="381" customWidth="1"/>
    <col min="13565" max="13565" width="27.42578125" style="381" customWidth="1"/>
    <col min="13566" max="13566" width="11.5703125" style="381" bestFit="1" customWidth="1"/>
    <col min="13567" max="13567" width="7.5703125" style="381" bestFit="1" customWidth="1"/>
    <col min="13568" max="13569" width="8.7109375" style="381"/>
    <col min="13570" max="13570" width="7.5703125" style="381" bestFit="1" customWidth="1"/>
    <col min="13571" max="13574" width="8.7109375" style="381"/>
    <col min="13575" max="13575" width="2.85546875" style="381" customWidth="1"/>
    <col min="13576" max="13819" width="8.7109375" style="381"/>
    <col min="13820" max="13820" width="4.140625" style="381" customWidth="1"/>
    <col min="13821" max="13821" width="27.42578125" style="381" customWidth="1"/>
    <col min="13822" max="13822" width="11.5703125" style="381" bestFit="1" customWidth="1"/>
    <col min="13823" max="13823" width="7.5703125" style="381" bestFit="1" customWidth="1"/>
    <col min="13824" max="13825" width="8.7109375" style="381"/>
    <col min="13826" max="13826" width="7.5703125" style="381" bestFit="1" customWidth="1"/>
    <col min="13827" max="13830" width="8.7109375" style="381"/>
    <col min="13831" max="13831" width="2.85546875" style="381" customWidth="1"/>
    <col min="13832" max="14075" width="8.7109375" style="381"/>
    <col min="14076" max="14076" width="4.140625" style="381" customWidth="1"/>
    <col min="14077" max="14077" width="27.42578125" style="381" customWidth="1"/>
    <col min="14078" max="14078" width="11.5703125" style="381" bestFit="1" customWidth="1"/>
    <col min="14079" max="14079" width="7.5703125" style="381" bestFit="1" customWidth="1"/>
    <col min="14080" max="14081" width="8.7109375" style="381"/>
    <col min="14082" max="14082" width="7.5703125" style="381" bestFit="1" customWidth="1"/>
    <col min="14083" max="14086" width="8.7109375" style="381"/>
    <col min="14087" max="14087" width="2.85546875" style="381" customWidth="1"/>
    <col min="14088" max="14331" width="8.7109375" style="381"/>
    <col min="14332" max="14332" width="4.140625" style="381" customWidth="1"/>
    <col min="14333" max="14333" width="27.42578125" style="381" customWidth="1"/>
    <col min="14334" max="14334" width="11.5703125" style="381" bestFit="1" customWidth="1"/>
    <col min="14335" max="14335" width="7.5703125" style="381" bestFit="1" customWidth="1"/>
    <col min="14336" max="14337" width="8.7109375" style="381"/>
    <col min="14338" max="14338" width="7.5703125" style="381" bestFit="1" customWidth="1"/>
    <col min="14339" max="14342" width="8.7109375" style="381"/>
    <col min="14343" max="14343" width="2.85546875" style="381" customWidth="1"/>
    <col min="14344" max="14587" width="8.7109375" style="381"/>
    <col min="14588" max="14588" width="4.140625" style="381" customWidth="1"/>
    <col min="14589" max="14589" width="27.42578125" style="381" customWidth="1"/>
    <col min="14590" max="14590" width="11.5703125" style="381" bestFit="1" customWidth="1"/>
    <col min="14591" max="14591" width="7.5703125" style="381" bestFit="1" customWidth="1"/>
    <col min="14592" max="14593" width="8.7109375" style="381"/>
    <col min="14594" max="14594" width="7.5703125" style="381" bestFit="1" customWidth="1"/>
    <col min="14595" max="14598" width="8.7109375" style="381"/>
    <col min="14599" max="14599" width="2.85546875" style="381" customWidth="1"/>
    <col min="14600" max="14843" width="8.7109375" style="381"/>
    <col min="14844" max="14844" width="4.140625" style="381" customWidth="1"/>
    <col min="14845" max="14845" width="27.42578125" style="381" customWidth="1"/>
    <col min="14846" max="14846" width="11.5703125" style="381" bestFit="1" customWidth="1"/>
    <col min="14847" max="14847" width="7.5703125" style="381" bestFit="1" customWidth="1"/>
    <col min="14848" max="14849" width="8.7109375" style="381"/>
    <col min="14850" max="14850" width="7.5703125" style="381" bestFit="1" customWidth="1"/>
    <col min="14851" max="14854" width="8.7109375" style="381"/>
    <col min="14855" max="14855" width="2.85546875" style="381" customWidth="1"/>
    <col min="14856" max="15099" width="8.7109375" style="381"/>
    <col min="15100" max="15100" width="4.140625" style="381" customWidth="1"/>
    <col min="15101" max="15101" width="27.42578125" style="381" customWidth="1"/>
    <col min="15102" max="15102" width="11.5703125" style="381" bestFit="1" customWidth="1"/>
    <col min="15103" max="15103" width="7.5703125" style="381" bestFit="1" customWidth="1"/>
    <col min="15104" max="15105" width="8.7109375" style="381"/>
    <col min="15106" max="15106" width="7.5703125" style="381" bestFit="1" customWidth="1"/>
    <col min="15107" max="15110" width="8.7109375" style="381"/>
    <col min="15111" max="15111" width="2.85546875" style="381" customWidth="1"/>
    <col min="15112" max="15355" width="8.7109375" style="381"/>
    <col min="15356" max="15356" width="4.140625" style="381" customWidth="1"/>
    <col min="15357" max="15357" width="27.42578125" style="381" customWidth="1"/>
    <col min="15358" max="15358" width="11.5703125" style="381" bestFit="1" customWidth="1"/>
    <col min="15359" max="15359" width="7.5703125" style="381" bestFit="1" customWidth="1"/>
    <col min="15360" max="15361" width="8.7109375" style="381"/>
    <col min="15362" max="15362" width="7.5703125" style="381" bestFit="1" customWidth="1"/>
    <col min="15363" max="15366" width="8.7109375" style="381"/>
    <col min="15367" max="15367" width="2.85546875" style="381" customWidth="1"/>
    <col min="15368" max="15611" width="8.7109375" style="381"/>
    <col min="15612" max="15612" width="4.140625" style="381" customWidth="1"/>
    <col min="15613" max="15613" width="27.42578125" style="381" customWidth="1"/>
    <col min="15614" max="15614" width="11.5703125" style="381" bestFit="1" customWidth="1"/>
    <col min="15615" max="15615" width="7.5703125" style="381" bestFit="1" customWidth="1"/>
    <col min="15616" max="15617" width="8.7109375" style="381"/>
    <col min="15618" max="15618" width="7.5703125" style="381" bestFit="1" customWidth="1"/>
    <col min="15619" max="15622" width="8.7109375" style="381"/>
    <col min="15623" max="15623" width="2.85546875" style="381" customWidth="1"/>
    <col min="15624" max="15867" width="8.7109375" style="381"/>
    <col min="15868" max="15868" width="4.140625" style="381" customWidth="1"/>
    <col min="15869" max="15869" width="27.42578125" style="381" customWidth="1"/>
    <col min="15870" max="15870" width="11.5703125" style="381" bestFit="1" customWidth="1"/>
    <col min="15871" max="15871" width="7.5703125" style="381" bestFit="1" customWidth="1"/>
    <col min="15872" max="15873" width="8.7109375" style="381"/>
    <col min="15874" max="15874" width="7.5703125" style="381" bestFit="1" customWidth="1"/>
    <col min="15875" max="15878" width="8.7109375" style="381"/>
    <col min="15879" max="15879" width="2.85546875" style="381" customWidth="1"/>
    <col min="15880" max="16123" width="8.7109375" style="381"/>
    <col min="16124" max="16124" width="4.140625" style="381" customWidth="1"/>
    <col min="16125" max="16125" width="27.42578125" style="381" customWidth="1"/>
    <col min="16126" max="16126" width="11.5703125" style="381" bestFit="1" customWidth="1"/>
    <col min="16127" max="16127" width="7.5703125" style="381" bestFit="1" customWidth="1"/>
    <col min="16128" max="16129" width="8.7109375" style="381"/>
    <col min="16130" max="16130" width="7.5703125" style="381" bestFit="1" customWidth="1"/>
    <col min="16131" max="16134" width="8.7109375" style="381"/>
    <col min="16135" max="16135" width="2.85546875" style="381" customWidth="1"/>
    <col min="16136" max="16384" width="8.7109375" style="381"/>
  </cols>
  <sheetData>
    <row r="1" spans="2:13" ht="10.35" customHeight="1" x14ac:dyDescent="0.2"/>
    <row r="2" spans="2:13" ht="15.75" x14ac:dyDescent="0.25">
      <c r="B2" s="384" t="s">
        <v>74</v>
      </c>
      <c r="C2" s="385"/>
      <c r="D2" s="386"/>
      <c r="E2" s="386"/>
      <c r="F2" s="387"/>
      <c r="G2" s="386"/>
      <c r="H2" s="386"/>
      <c r="I2" s="387"/>
      <c r="J2" s="753"/>
      <c r="K2" s="753"/>
      <c r="L2" s="387"/>
      <c r="M2" s="388"/>
    </row>
    <row r="3" spans="2:13" ht="5.0999999999999996" customHeight="1" x14ac:dyDescent="0.2">
      <c r="B3" s="386"/>
      <c r="C3" s="386"/>
      <c r="E3" s="386"/>
      <c r="F3" s="389"/>
      <c r="G3" s="386"/>
      <c r="H3" s="386"/>
      <c r="I3" s="387"/>
      <c r="J3" s="386"/>
      <c r="K3" s="386"/>
      <c r="L3" s="387"/>
      <c r="M3" s="388"/>
    </row>
    <row r="4" spans="2:13" x14ac:dyDescent="0.2">
      <c r="B4" s="390" t="s">
        <v>296</v>
      </c>
      <c r="C4" s="391"/>
      <c r="D4" s="392" t="str">
        <f>IS!AN4</f>
        <v>2Q25</v>
      </c>
      <c r="E4" s="392" t="str">
        <f>K4</f>
        <v>2Q26</v>
      </c>
      <c r="F4" s="393" t="s">
        <v>146</v>
      </c>
      <c r="G4" s="392" t="str">
        <f>IS!AR4</f>
        <v>1Q26</v>
      </c>
      <c r="H4" s="392" t="str">
        <f>K4</f>
        <v>2Q26</v>
      </c>
      <c r="I4" s="393" t="s">
        <v>297</v>
      </c>
      <c r="J4" s="392" t="s">
        <v>421</v>
      </c>
      <c r="K4" s="392" t="str">
        <f>IS!AS4</f>
        <v>2Q26</v>
      </c>
      <c r="L4" s="394" t="s">
        <v>298</v>
      </c>
      <c r="M4" s="388"/>
    </row>
    <row r="5" spans="2:13" s="404" customFormat="1" ht="18" customHeight="1" x14ac:dyDescent="0.2">
      <c r="B5" s="395" t="s">
        <v>402</v>
      </c>
      <c r="C5" s="418" t="s">
        <v>304</v>
      </c>
      <c r="D5" s="397">
        <f>IS!AN5</f>
        <v>67721</v>
      </c>
      <c r="E5" s="398">
        <f t="shared" ref="E5:E42" si="0">K5</f>
        <v>72100</v>
      </c>
      <c r="F5" s="399">
        <f>E5/D5-1</f>
        <v>6.4662364702234187E-2</v>
      </c>
      <c r="G5" s="397">
        <f>IS!AR5</f>
        <v>70823</v>
      </c>
      <c r="H5" s="400">
        <f t="shared" ref="H5:H42" si="1">K5</f>
        <v>72100</v>
      </c>
      <c r="I5" s="401">
        <f>H5/G5-1</f>
        <v>1.8030865679228514E-2</v>
      </c>
      <c r="J5" s="397">
        <v>73051.389572771252</v>
      </c>
      <c r="K5" s="397">
        <f>IS!AS5</f>
        <v>72100</v>
      </c>
      <c r="L5" s="402">
        <f>K5/J5-1</f>
        <v>-1.3023565716344221E-2</v>
      </c>
      <c r="M5" s="388"/>
    </row>
    <row r="6" spans="2:13" s="404" customFormat="1" x14ac:dyDescent="0.2">
      <c r="B6" s="395"/>
      <c r="C6" s="418" t="s">
        <v>305</v>
      </c>
      <c r="D6" s="397">
        <f>IS!AN8</f>
        <v>251895</v>
      </c>
      <c r="E6" s="398">
        <f>K6</f>
        <v>303028</v>
      </c>
      <c r="F6" s="399">
        <f>E6/D6-1</f>
        <v>0.20299331070485716</v>
      </c>
      <c r="G6" s="397">
        <f>IS!AR8</f>
        <v>287182</v>
      </c>
      <c r="H6" s="400">
        <f>K6</f>
        <v>303028</v>
      </c>
      <c r="I6" s="399">
        <f>H6/G6-1</f>
        <v>5.5177552910697703E-2</v>
      </c>
      <c r="J6" s="397">
        <v>290999.86100000003</v>
      </c>
      <c r="K6" s="397">
        <f>IS!AS8</f>
        <v>303028</v>
      </c>
      <c r="L6" s="402">
        <f>K6/J6-1</f>
        <v>4.1333830740214461E-2</v>
      </c>
      <c r="M6" s="388"/>
    </row>
    <row r="7" spans="2:13" s="404" customFormat="1" x14ac:dyDescent="0.2">
      <c r="B7" s="395"/>
      <c r="C7" s="418" t="s">
        <v>413</v>
      </c>
      <c r="D7" s="397">
        <f>IS!AN14</f>
        <v>42938</v>
      </c>
      <c r="E7" s="400">
        <f t="shared" si="0"/>
        <v>39543</v>
      </c>
      <c r="F7" s="399">
        <f>E7/D7-1</f>
        <v>-7.9067492663840833E-2</v>
      </c>
      <c r="G7" s="397">
        <f>IS!AR14</f>
        <v>37736</v>
      </c>
      <c r="H7" s="400">
        <f t="shared" si="1"/>
        <v>39543</v>
      </c>
      <c r="I7" s="399">
        <f>H7/G7-1</f>
        <v>4.7885308458766263E-2</v>
      </c>
      <c r="J7" s="397">
        <v>33802.487875000006</v>
      </c>
      <c r="K7" s="397">
        <f>IS!AS14</f>
        <v>39543</v>
      </c>
      <c r="L7" s="402">
        <f>K7/J7-1</f>
        <v>0.16982513672449606</v>
      </c>
      <c r="M7" s="388"/>
    </row>
    <row r="8" spans="2:13" ht="15" customHeight="1" x14ac:dyDescent="0.2">
      <c r="B8" s="405" t="s">
        <v>34</v>
      </c>
      <c r="C8" s="406"/>
      <c r="D8" s="407">
        <f>IS!AN17</f>
        <v>362554</v>
      </c>
      <c r="E8" s="407">
        <f t="shared" si="0"/>
        <v>414671</v>
      </c>
      <c r="F8" s="408">
        <f>E8/D8-1</f>
        <v>0.14374962074615083</v>
      </c>
      <c r="G8" s="407">
        <f>IS!AR17</f>
        <v>395741</v>
      </c>
      <c r="H8" s="407">
        <f t="shared" si="1"/>
        <v>414671</v>
      </c>
      <c r="I8" s="409">
        <f>H8/G8-1</f>
        <v>4.7834315878314326E-2</v>
      </c>
      <c r="J8" s="407">
        <v>397853.73844777129</v>
      </c>
      <c r="K8" s="407">
        <f>IS!AS17</f>
        <v>414671</v>
      </c>
      <c r="L8" s="410">
        <f>K8/J8-1</f>
        <v>4.2269959854697836E-2</v>
      </c>
      <c r="M8" s="411"/>
    </row>
    <row r="9" spans="2:13" ht="5.0999999999999996" customHeight="1" x14ac:dyDescent="0.2">
      <c r="B9" s="412"/>
      <c r="C9" s="396"/>
      <c r="D9" s="413"/>
      <c r="E9" s="413"/>
      <c r="F9" s="414"/>
      <c r="G9" s="413"/>
      <c r="H9" s="413"/>
      <c r="I9" s="415"/>
      <c r="J9" s="413"/>
      <c r="K9" s="413"/>
      <c r="L9" s="416"/>
      <c r="M9" s="388"/>
    </row>
    <row r="10" spans="2:13" ht="15" customHeight="1" x14ac:dyDescent="0.2">
      <c r="B10" s="395" t="s">
        <v>78</v>
      </c>
      <c r="C10" s="418"/>
      <c r="D10" s="417">
        <f>IS!AN21</f>
        <v>53644</v>
      </c>
      <c r="E10" s="417">
        <f t="shared" si="0"/>
        <v>66892</v>
      </c>
      <c r="F10" s="399">
        <f>E10/D10-1</f>
        <v>0.24696144955633437</v>
      </c>
      <c r="G10" s="417">
        <f>IS!AR21</f>
        <v>63661</v>
      </c>
      <c r="H10" s="417">
        <f t="shared" si="1"/>
        <v>66892</v>
      </c>
      <c r="I10" s="399">
        <f>H10/G10-1</f>
        <v>5.0753208400747818E-2</v>
      </c>
      <c r="J10" s="417">
        <v>61547.9733378702</v>
      </c>
      <c r="K10" s="417">
        <f>IS!AS21</f>
        <v>66892</v>
      </c>
      <c r="L10" s="402">
        <f>K10/J10-1</f>
        <v>8.6827012691279792E-2</v>
      </c>
      <c r="M10" s="388"/>
    </row>
    <row r="11" spans="2:13" ht="15" customHeight="1" x14ac:dyDescent="0.2">
      <c r="B11" s="405" t="s">
        <v>79</v>
      </c>
      <c r="C11" s="406"/>
      <c r="D11" s="419">
        <f>D8-D10</f>
        <v>308910</v>
      </c>
      <c r="E11" s="419">
        <f t="shared" si="0"/>
        <v>347779</v>
      </c>
      <c r="F11" s="420">
        <f>E11/D11-1</f>
        <v>0.12582629244763854</v>
      </c>
      <c r="G11" s="419">
        <f>G8-G10</f>
        <v>332080</v>
      </c>
      <c r="H11" s="419">
        <f t="shared" si="1"/>
        <v>347779</v>
      </c>
      <c r="I11" s="421">
        <f>H11/G11-1</f>
        <v>4.7274753071548936E-2</v>
      </c>
      <c r="J11" s="419">
        <v>336305.76510990108</v>
      </c>
      <c r="K11" s="419">
        <f>K8-K10</f>
        <v>347779</v>
      </c>
      <c r="L11" s="410">
        <f>K11/J11-1</f>
        <v>3.4115486799191741E-2</v>
      </c>
      <c r="M11" s="388"/>
    </row>
    <row r="12" spans="2:13" s="429" customFormat="1" ht="15" customHeight="1" x14ac:dyDescent="0.2">
      <c r="B12" s="422"/>
      <c r="C12" s="423" t="s">
        <v>462</v>
      </c>
      <c r="D12" s="424">
        <f>D11/D8</f>
        <v>0.8520385928716826</v>
      </c>
      <c r="E12" s="424">
        <f t="shared" si="0"/>
        <v>0.83868657321105167</v>
      </c>
      <c r="F12" s="425"/>
      <c r="G12" s="424">
        <f>G11/G8</f>
        <v>0.83913468657531065</v>
      </c>
      <c r="H12" s="424">
        <f t="shared" si="1"/>
        <v>0.83868657321105167</v>
      </c>
      <c r="I12" s="426"/>
      <c r="J12" s="424">
        <v>0.84530000000000005</v>
      </c>
      <c r="K12" s="424">
        <f>K11/K8</f>
        <v>0.83868657321105167</v>
      </c>
      <c r="L12" s="427"/>
      <c r="M12" s="428"/>
    </row>
    <row r="13" spans="2:13" ht="5.0999999999999996" customHeight="1" x14ac:dyDescent="0.2">
      <c r="B13" s="430"/>
      <c r="C13" s="418"/>
      <c r="D13" s="432"/>
      <c r="E13" s="431"/>
      <c r="F13" s="399"/>
      <c r="G13" s="432"/>
      <c r="H13" s="433"/>
      <c r="I13" s="399"/>
      <c r="J13" s="432"/>
      <c r="K13" s="432"/>
      <c r="L13" s="416"/>
      <c r="M13" s="388"/>
    </row>
    <row r="14" spans="2:13" ht="15" customHeight="1" x14ac:dyDescent="0.2">
      <c r="B14" s="412" t="s">
        <v>81</v>
      </c>
      <c r="C14" s="396"/>
      <c r="D14" s="433"/>
      <c r="E14" s="431"/>
      <c r="F14" s="399"/>
      <c r="G14" s="433"/>
      <c r="H14" s="433"/>
      <c r="I14" s="399"/>
      <c r="J14" s="433"/>
      <c r="K14" s="433"/>
      <c r="L14" s="416"/>
      <c r="M14" s="388"/>
    </row>
    <row r="15" spans="2:13" ht="15" customHeight="1" x14ac:dyDescent="0.2">
      <c r="B15" s="395"/>
      <c r="C15" s="418" t="str">
        <f>IS!C26</f>
        <v>Research &amp; Development</v>
      </c>
      <c r="D15" s="434">
        <f>IS!AN26</f>
        <v>55010</v>
      </c>
      <c r="E15" s="434">
        <f t="shared" si="0"/>
        <v>53256</v>
      </c>
      <c r="F15" s="435">
        <f>E15/D15-1</f>
        <v>-3.1885111797854915E-2</v>
      </c>
      <c r="G15" s="434">
        <f>IS!AR26</f>
        <v>53860</v>
      </c>
      <c r="H15" s="434">
        <f t="shared" si="1"/>
        <v>53256</v>
      </c>
      <c r="I15" s="436">
        <f>H15/G15-1</f>
        <v>-1.1214259190493903E-2</v>
      </c>
      <c r="J15" s="434">
        <v>65248.013105434497</v>
      </c>
      <c r="K15" s="434">
        <f>IS!AS26</f>
        <v>53256</v>
      </c>
      <c r="L15" s="416">
        <f>K15/J15-1</f>
        <v>-0.1837912379961143</v>
      </c>
      <c r="M15" s="411"/>
    </row>
    <row r="16" spans="2:13" ht="15" customHeight="1" x14ac:dyDescent="0.2">
      <c r="B16" s="395"/>
      <c r="C16" s="386" t="str">
        <f>IS!C32</f>
        <v xml:space="preserve">Sales &amp; Marketing </v>
      </c>
      <c r="D16" s="434">
        <f>IS!AN32</f>
        <v>121878</v>
      </c>
      <c r="E16" s="434">
        <f t="shared" si="0"/>
        <v>145251</v>
      </c>
      <c r="F16" s="435">
        <f>E16/D16-1</f>
        <v>0.19177374095406874</v>
      </c>
      <c r="G16" s="434">
        <f>IS!AR32</f>
        <v>139415</v>
      </c>
      <c r="H16" s="434">
        <f t="shared" si="1"/>
        <v>145251</v>
      </c>
      <c r="I16" s="436">
        <f>H16/G16-1</f>
        <v>4.1860631926263325E-2</v>
      </c>
      <c r="J16" s="434">
        <v>135270.27107224223</v>
      </c>
      <c r="K16" s="434">
        <f>IS!AS32</f>
        <v>145251</v>
      </c>
      <c r="L16" s="416">
        <f>K16/J16-1</f>
        <v>7.3783610017514212E-2</v>
      </c>
      <c r="M16" s="411"/>
    </row>
    <row r="17" spans="2:13" ht="15" customHeight="1" x14ac:dyDescent="0.2">
      <c r="B17" s="437"/>
      <c r="C17" s="386" t="str">
        <f>IS!C38</f>
        <v>General &amp; Administrative</v>
      </c>
      <c r="D17" s="434">
        <f>IS!AN38</f>
        <v>69216</v>
      </c>
      <c r="E17" s="434">
        <f t="shared" si="0"/>
        <v>75187</v>
      </c>
      <c r="F17" s="435">
        <f>E17/D17-1</f>
        <v>8.6266181229773364E-2</v>
      </c>
      <c r="G17" s="434">
        <f>IS!AR38</f>
        <v>70569</v>
      </c>
      <c r="H17" s="434">
        <f t="shared" si="1"/>
        <v>75187</v>
      </c>
      <c r="I17" s="436">
        <f>H17/G17-1</f>
        <v>6.5439498930125017E-2</v>
      </c>
      <c r="J17" s="434">
        <v>70817.965443703288</v>
      </c>
      <c r="K17" s="434">
        <f>IS!AS38</f>
        <v>75187</v>
      </c>
      <c r="L17" s="438">
        <f>K17/J17-1</f>
        <v>6.1693872860127286E-2</v>
      </c>
      <c r="M17" s="411"/>
    </row>
    <row r="18" spans="2:13" ht="15" customHeight="1" x14ac:dyDescent="0.2">
      <c r="B18" s="439" t="s">
        <v>299</v>
      </c>
      <c r="C18" s="440"/>
      <c r="D18" s="441">
        <f>SUM(D15:D17)</f>
        <v>246104</v>
      </c>
      <c r="E18" s="441">
        <f t="shared" si="0"/>
        <v>273694</v>
      </c>
      <c r="F18" s="442">
        <f>E18/D18-1</f>
        <v>0.11210707668302833</v>
      </c>
      <c r="G18" s="441">
        <f>SUM(G15:G17)</f>
        <v>263844</v>
      </c>
      <c r="H18" s="441">
        <f t="shared" si="1"/>
        <v>273694</v>
      </c>
      <c r="I18" s="443">
        <f>H18/G18-1</f>
        <v>3.733266627249443E-2</v>
      </c>
      <c r="J18" s="441">
        <v>271336.24962138</v>
      </c>
      <c r="K18" s="441">
        <f>SUM(K15:K17)</f>
        <v>273694</v>
      </c>
      <c r="L18" s="416">
        <f>K18/J18-1</f>
        <v>8.6894043162679679E-3</v>
      </c>
      <c r="M18" s="411"/>
    </row>
    <row r="19" spans="2:13" ht="5.0999999999999996" customHeight="1" x14ac:dyDescent="0.2">
      <c r="B19" s="430"/>
      <c r="C19" s="418"/>
      <c r="D19" s="434"/>
      <c r="E19" s="434"/>
      <c r="F19" s="435"/>
      <c r="G19" s="434"/>
      <c r="H19" s="434"/>
      <c r="I19" s="436"/>
      <c r="J19" s="434"/>
      <c r="K19" s="434"/>
      <c r="L19" s="416"/>
      <c r="M19" s="388"/>
    </row>
    <row r="20" spans="2:13" s="404" customFormat="1" ht="15" customHeight="1" x14ac:dyDescent="0.2">
      <c r="B20" s="412" t="s">
        <v>87</v>
      </c>
      <c r="C20" s="396"/>
      <c r="D20" s="754">
        <f>D11-D18</f>
        <v>62806</v>
      </c>
      <c r="E20" s="754">
        <f t="shared" si="0"/>
        <v>74085</v>
      </c>
      <c r="F20" s="755">
        <f>E20/D20-1</f>
        <v>0.17958475304907173</v>
      </c>
      <c r="G20" s="754">
        <f>G11-G18</f>
        <v>68236</v>
      </c>
      <c r="H20" s="754">
        <f t="shared" si="1"/>
        <v>74085</v>
      </c>
      <c r="I20" s="756">
        <f>H20/G20-1</f>
        <v>8.5717216718447675E-2</v>
      </c>
      <c r="J20" s="754">
        <v>64969.51548852108</v>
      </c>
      <c r="K20" s="754">
        <f>K11-K18</f>
        <v>74085</v>
      </c>
      <c r="L20" s="757">
        <f>K20/J20-1</f>
        <v>0.14030402478666248</v>
      </c>
      <c r="M20" s="758"/>
    </row>
    <row r="21" spans="2:13" s="451" customFormat="1" ht="13.35" customHeight="1" x14ac:dyDescent="0.2">
      <c r="B21" s="444"/>
      <c r="C21" s="445" t="s">
        <v>88</v>
      </c>
      <c r="D21" s="446">
        <f>D20/D8</f>
        <v>0.17323212542131655</v>
      </c>
      <c r="E21" s="446">
        <f t="shared" si="0"/>
        <v>0.1786597085400233</v>
      </c>
      <c r="F21" s="447"/>
      <c r="G21" s="446">
        <f>G20/G8</f>
        <v>0.17242590482158784</v>
      </c>
      <c r="H21" s="446">
        <f t="shared" si="1"/>
        <v>0.1786597085400233</v>
      </c>
      <c r="I21" s="448"/>
      <c r="J21" s="446">
        <v>0.16330000000000006</v>
      </c>
      <c r="K21" s="446">
        <f>K20/K8</f>
        <v>0.1786597085400233</v>
      </c>
      <c r="L21" s="449"/>
      <c r="M21" s="450"/>
    </row>
    <row r="22" spans="2:13" s="459" customFormat="1" ht="5.0999999999999996" customHeight="1" x14ac:dyDescent="0.2">
      <c r="B22" s="452"/>
      <c r="C22" s="453"/>
      <c r="D22" s="454"/>
      <c r="E22" s="455"/>
      <c r="F22" s="456"/>
      <c r="G22" s="454"/>
      <c r="H22" s="454"/>
      <c r="I22" s="457"/>
      <c r="J22" s="454"/>
      <c r="K22" s="454"/>
      <c r="L22" s="458"/>
      <c r="M22" s="388"/>
    </row>
    <row r="23" spans="2:13" ht="15" customHeight="1" x14ac:dyDescent="0.2">
      <c r="B23" s="430" t="s">
        <v>89</v>
      </c>
      <c r="C23" s="418"/>
      <c r="D23" s="434">
        <f>IS!AN52</f>
        <v>84516</v>
      </c>
      <c r="E23" s="434">
        <f t="shared" si="0"/>
        <v>92161</v>
      </c>
      <c r="F23" s="435">
        <f>E23/D23-1</f>
        <v>9.0456244971366395E-2</v>
      </c>
      <c r="G23" s="434">
        <f>IS!AR52</f>
        <v>88955</v>
      </c>
      <c r="H23" s="434">
        <f t="shared" si="1"/>
        <v>92161</v>
      </c>
      <c r="I23" s="436">
        <f>H23/G23-1</f>
        <v>3.6040694733292078E-2</v>
      </c>
      <c r="J23" s="434">
        <v>89000</v>
      </c>
      <c r="K23" s="434">
        <f>IS!AS52</f>
        <v>92161</v>
      </c>
      <c r="L23" s="416">
        <f>K23/J23-1</f>
        <v>3.5516853932584302E-2</v>
      </c>
      <c r="M23" s="388"/>
    </row>
    <row r="24" spans="2:13" ht="5.0999999999999996" customHeight="1" x14ac:dyDescent="0.2">
      <c r="B24" s="460"/>
      <c r="C24" s="461"/>
      <c r="D24" s="464"/>
      <c r="E24" s="462"/>
      <c r="F24" s="463"/>
      <c r="G24" s="464"/>
      <c r="H24" s="462"/>
      <c r="I24" s="465"/>
      <c r="J24" s="464"/>
      <c r="K24" s="464"/>
      <c r="L24" s="466"/>
      <c r="M24" s="388"/>
    </row>
    <row r="25" spans="2:13" ht="15" customHeight="1" x14ac:dyDescent="0.2">
      <c r="B25" s="412" t="s">
        <v>100</v>
      </c>
      <c r="C25" s="461"/>
      <c r="D25" s="467">
        <f>D20-D23</f>
        <v>-21710</v>
      </c>
      <c r="E25" s="467">
        <f t="shared" si="0"/>
        <v>-18076</v>
      </c>
      <c r="F25" s="435">
        <f>E25/D25-1</f>
        <v>-0.16738830032243202</v>
      </c>
      <c r="G25" s="467">
        <f>G20-G23</f>
        <v>-20719</v>
      </c>
      <c r="H25" s="467">
        <f t="shared" si="1"/>
        <v>-18076</v>
      </c>
      <c r="I25" s="435">
        <f>H25/G25-1</f>
        <v>-0.12756407162507843</v>
      </c>
      <c r="J25" s="467">
        <v>-24030.48451147892</v>
      </c>
      <c r="K25" s="467">
        <f>K20-K23</f>
        <v>-18076</v>
      </c>
      <c r="L25" s="416">
        <f>K25/J25-1</f>
        <v>-0.24778878297832796</v>
      </c>
      <c r="M25" s="388"/>
    </row>
    <row r="26" spans="2:13" s="451" customFormat="1" ht="13.35" customHeight="1" x14ac:dyDescent="0.2">
      <c r="B26" s="444"/>
      <c r="C26" s="445" t="s">
        <v>101</v>
      </c>
      <c r="D26" s="446">
        <f>D25/D8</f>
        <v>-5.9880735007750568E-2</v>
      </c>
      <c r="E26" s="446">
        <f t="shared" si="0"/>
        <v>-4.3591184336498091E-2</v>
      </c>
      <c r="F26" s="447"/>
      <c r="G26" s="446">
        <f>G25/G8</f>
        <v>-5.2354949322915748E-2</v>
      </c>
      <c r="H26" s="446">
        <f t="shared" si="1"/>
        <v>-4.3591184336498091E-2</v>
      </c>
      <c r="I26" s="448"/>
      <c r="J26" s="446">
        <v>-6.0400298374055743E-2</v>
      </c>
      <c r="K26" s="446">
        <f>K25/K8</f>
        <v>-4.3591184336498091E-2</v>
      </c>
      <c r="L26" s="449"/>
      <c r="M26" s="468"/>
    </row>
    <row r="27" spans="2:13" ht="5.0999999999999996" customHeight="1" x14ac:dyDescent="0.2">
      <c r="B27" s="412"/>
      <c r="C27" s="396"/>
      <c r="D27" s="434"/>
      <c r="E27" s="434"/>
      <c r="F27" s="435"/>
      <c r="G27" s="434"/>
      <c r="H27" s="434"/>
      <c r="I27" s="436"/>
      <c r="J27" s="434"/>
      <c r="K27" s="434"/>
      <c r="L27" s="416"/>
      <c r="M27" s="388"/>
    </row>
    <row r="28" spans="2:13" ht="15" customHeight="1" x14ac:dyDescent="0.2">
      <c r="B28" s="430" t="s">
        <v>517</v>
      </c>
      <c r="C28" s="396"/>
      <c r="D28" s="469">
        <f>IS!AN61</f>
        <v>15832</v>
      </c>
      <c r="E28" s="469">
        <f t="shared" si="0"/>
        <v>17635</v>
      </c>
      <c r="F28" s="425">
        <f>E28/D28-1</f>
        <v>0.11388327438100054</v>
      </c>
      <c r="G28" s="469">
        <f>IS!AR61</f>
        <v>19516</v>
      </c>
      <c r="H28" s="469">
        <f t="shared" si="1"/>
        <v>17635</v>
      </c>
      <c r="I28" s="470">
        <f>H28/G28-1</f>
        <v>-9.6382455421192836E-2</v>
      </c>
      <c r="J28" s="469">
        <v>15650</v>
      </c>
      <c r="K28" s="469">
        <f>IS!AS61</f>
        <v>17635</v>
      </c>
      <c r="L28" s="416">
        <f>K28/J28-1</f>
        <v>0.12683706070287548</v>
      </c>
      <c r="M28" s="388"/>
    </row>
    <row r="29" spans="2:13" ht="5.0999999999999996" customHeight="1" x14ac:dyDescent="0.2">
      <c r="B29" s="471"/>
      <c r="C29" s="472"/>
      <c r="D29" s="473"/>
      <c r="E29" s="474"/>
      <c r="F29" s="425"/>
      <c r="G29" s="473"/>
      <c r="H29" s="474"/>
      <c r="I29" s="470"/>
      <c r="J29" s="473"/>
      <c r="K29" s="473"/>
      <c r="L29" s="475"/>
      <c r="M29" s="388"/>
    </row>
    <row r="30" spans="2:13" ht="15" customHeight="1" x14ac:dyDescent="0.2">
      <c r="B30" s="471" t="s">
        <v>300</v>
      </c>
      <c r="C30" s="472"/>
      <c r="D30" s="400">
        <f>IS!AN66</f>
        <v>78638</v>
      </c>
      <c r="E30" s="400">
        <f t="shared" si="0"/>
        <v>91720</v>
      </c>
      <c r="F30" s="425">
        <f>E30/D30-1</f>
        <v>0.16635723187263163</v>
      </c>
      <c r="G30" s="400">
        <f>IS!AR66</f>
        <v>87752</v>
      </c>
      <c r="H30" s="400">
        <f t="shared" si="1"/>
        <v>91720</v>
      </c>
      <c r="I30" s="476">
        <f>H30/G30-1</f>
        <v>4.5218342601877959E-2</v>
      </c>
      <c r="J30" s="400">
        <v>80619.51548852108</v>
      </c>
      <c r="K30" s="400">
        <f>IS!AS66</f>
        <v>91720</v>
      </c>
      <c r="L30" s="416">
        <f>K30/J30-1</f>
        <v>0.13768979439053375</v>
      </c>
      <c r="M30" s="388"/>
    </row>
    <row r="31" spans="2:13" ht="15" customHeight="1" x14ac:dyDescent="0.2">
      <c r="B31" s="477" t="s">
        <v>463</v>
      </c>
      <c r="C31" s="478"/>
      <c r="D31" s="479">
        <f>IS!AN67</f>
        <v>15728</v>
      </c>
      <c r="E31" s="479">
        <f t="shared" si="0"/>
        <v>18344</v>
      </c>
      <c r="F31" s="480"/>
      <c r="G31" s="479">
        <f>IS!AR67</f>
        <v>17550</v>
      </c>
      <c r="H31" s="479">
        <f t="shared" si="1"/>
        <v>18344</v>
      </c>
      <c r="I31" s="481"/>
      <c r="J31" s="479">
        <v>16123.903097704217</v>
      </c>
      <c r="K31" s="479">
        <f>IS!AS67</f>
        <v>18344</v>
      </c>
      <c r="L31" s="438"/>
      <c r="M31" s="388"/>
    </row>
    <row r="32" spans="2:13" ht="15" customHeight="1" x14ac:dyDescent="0.2">
      <c r="B32" s="482" t="s">
        <v>301</v>
      </c>
      <c r="C32" s="483"/>
      <c r="D32" s="484">
        <f>D30-D31</f>
        <v>62910</v>
      </c>
      <c r="E32" s="484">
        <f t="shared" si="0"/>
        <v>73376</v>
      </c>
      <c r="F32" s="485">
        <f>E32/D32-1</f>
        <v>0.16636464790971228</v>
      </c>
      <c r="G32" s="484">
        <f>G30-G31</f>
        <v>70202</v>
      </c>
      <c r="H32" s="484">
        <f t="shared" si="1"/>
        <v>73376</v>
      </c>
      <c r="I32" s="486">
        <f>H32/G32-1</f>
        <v>4.5212387111478236E-2</v>
      </c>
      <c r="J32" s="484">
        <v>64495.612390816867</v>
      </c>
      <c r="K32" s="484">
        <f>K30-K31</f>
        <v>73376</v>
      </c>
      <c r="L32" s="416">
        <f>K32/J32-1</f>
        <v>0.13768979439053375</v>
      </c>
      <c r="M32" s="388"/>
    </row>
    <row r="33" spans="2:13" ht="5.0999999999999996" customHeight="1" x14ac:dyDescent="0.2">
      <c r="B33" s="487"/>
      <c r="C33" s="488"/>
      <c r="D33" s="489"/>
      <c r="E33" s="489"/>
      <c r="F33" s="399"/>
      <c r="G33" s="489"/>
      <c r="H33" s="489"/>
      <c r="I33" s="401"/>
      <c r="J33" s="489"/>
      <c r="K33" s="489"/>
      <c r="L33" s="416"/>
      <c r="M33" s="388"/>
    </row>
    <row r="34" spans="2:13" ht="15" customHeight="1" x14ac:dyDescent="0.2">
      <c r="B34" s="471" t="s">
        <v>302</v>
      </c>
      <c r="C34" s="472"/>
      <c r="D34" s="400">
        <f>D25+D28</f>
        <v>-5878</v>
      </c>
      <c r="E34" s="400">
        <f t="shared" si="0"/>
        <v>-441</v>
      </c>
      <c r="F34" s="425">
        <f>E34/D34-1</f>
        <v>-0.92497448111602587</v>
      </c>
      <c r="G34" s="400">
        <f>G25+G28</f>
        <v>-1203</v>
      </c>
      <c r="H34" s="400">
        <f t="shared" si="1"/>
        <v>-441</v>
      </c>
      <c r="I34" s="476">
        <f>H34/G34-1</f>
        <v>-0.6334164588528679</v>
      </c>
      <c r="J34" s="400">
        <v>-8380.4845114789205</v>
      </c>
      <c r="K34" s="400">
        <f>K25+K28</f>
        <v>-441</v>
      </c>
      <c r="L34" s="416">
        <f>K34/J34-1</f>
        <v>-0.94737774416312648</v>
      </c>
      <c r="M34" s="388"/>
    </row>
    <row r="35" spans="2:13" ht="15" customHeight="1" x14ac:dyDescent="0.2">
      <c r="B35" s="477" t="s">
        <v>463</v>
      </c>
      <c r="C35" s="478"/>
      <c r="D35" s="479">
        <f>IS!AN73</f>
        <v>45</v>
      </c>
      <c r="E35" s="479">
        <f t="shared" si="0"/>
        <v>522</v>
      </c>
      <c r="F35" s="480">
        <f>E35/D35-1</f>
        <v>10.6</v>
      </c>
      <c r="G35" s="479">
        <f>IS!AR73</f>
        <v>149</v>
      </c>
      <c r="H35" s="479">
        <f t="shared" si="1"/>
        <v>522</v>
      </c>
      <c r="I35" s="481">
        <f>H35/G35-1</f>
        <v>2.5033557046979866</v>
      </c>
      <c r="J35" s="479">
        <v>500</v>
      </c>
      <c r="K35" s="479">
        <f>IS!AS73</f>
        <v>522</v>
      </c>
      <c r="L35" s="438">
        <f>K35/J35-1</f>
        <v>4.4000000000000039E-2</v>
      </c>
      <c r="M35" s="388"/>
    </row>
    <row r="36" spans="2:13" ht="15" customHeight="1" x14ac:dyDescent="0.2">
      <c r="B36" s="482" t="s">
        <v>116</v>
      </c>
      <c r="C36" s="483"/>
      <c r="D36" s="484">
        <f>D34-D35</f>
        <v>-5923</v>
      </c>
      <c r="E36" s="484">
        <f t="shared" si="0"/>
        <v>-963</v>
      </c>
      <c r="F36" s="485">
        <f>E36/D36-1</f>
        <v>-0.83741347290224555</v>
      </c>
      <c r="G36" s="484">
        <f>G34-G35</f>
        <v>-1352</v>
      </c>
      <c r="H36" s="484">
        <f t="shared" si="1"/>
        <v>-963</v>
      </c>
      <c r="I36" s="486">
        <f>H36/G36-1</f>
        <v>-0.28772189349112431</v>
      </c>
      <c r="J36" s="484">
        <v>-8880.4845114789205</v>
      </c>
      <c r="K36" s="484">
        <f>K34-K35</f>
        <v>-963</v>
      </c>
      <c r="L36" s="416">
        <f>K36/J36-1</f>
        <v>-0.89155997077015048</v>
      </c>
      <c r="M36" s="388"/>
    </row>
    <row r="37" spans="2:13" ht="5.0999999999999996" customHeight="1" thickBot="1" x14ac:dyDescent="0.25">
      <c r="B37" s="490"/>
      <c r="C37" s="491"/>
      <c r="D37" s="492"/>
      <c r="E37" s="492"/>
      <c r="F37" s="425"/>
      <c r="G37" s="492"/>
      <c r="H37" s="492"/>
      <c r="I37" s="470"/>
      <c r="J37" s="492"/>
      <c r="K37" s="492"/>
      <c r="L37" s="416"/>
      <c r="M37" s="388"/>
    </row>
    <row r="38" spans="2:13" ht="15" customHeight="1" x14ac:dyDescent="0.2">
      <c r="B38" s="493" t="s">
        <v>303</v>
      </c>
      <c r="C38" s="494"/>
      <c r="D38" s="523">
        <f>IS!AN79</f>
        <v>0.56210294945451622</v>
      </c>
      <c r="E38" s="495">
        <f t="shared" si="0"/>
        <v>0.64031275633977347</v>
      </c>
      <c r="F38" s="496"/>
      <c r="G38" s="523">
        <f>IS!AR79</f>
        <v>0.6078779429719362</v>
      </c>
      <c r="H38" s="495">
        <f>K38</f>
        <v>0.64031275633977347</v>
      </c>
      <c r="I38" s="497"/>
      <c r="J38" s="523">
        <v>0.5551356144895403</v>
      </c>
      <c r="K38" s="523">
        <f>IS!AS79</f>
        <v>0.64031275633977347</v>
      </c>
      <c r="L38" s="498"/>
      <c r="M38" s="388"/>
    </row>
    <row r="39" spans="2:13" ht="15" customHeight="1" thickBot="1" x14ac:dyDescent="0.25">
      <c r="B39" s="499" t="s">
        <v>120</v>
      </c>
      <c r="C39" s="500"/>
      <c r="D39" s="501">
        <f>IS!AN81</f>
        <v>0.29975249957558592</v>
      </c>
      <c r="E39" s="502">
        <f>K39</f>
        <v>-2.5743046990013129E-2</v>
      </c>
      <c r="F39" s="503"/>
      <c r="G39" s="501">
        <f>IS!AR81</f>
        <v>-2.9061439139734305E-2</v>
      </c>
      <c r="H39" s="502">
        <f t="shared" ref="H39" si="2">K39</f>
        <v>-2.5743046990013129E-2</v>
      </c>
      <c r="I39" s="504"/>
      <c r="J39" s="501">
        <v>-0.10242650174428686</v>
      </c>
      <c r="K39" s="501">
        <f>IS!AS81</f>
        <v>-2.5743046990013129E-2</v>
      </c>
      <c r="L39" s="505"/>
      <c r="M39" s="388"/>
    </row>
    <row r="40" spans="2:13" ht="5.0999999999999996" customHeight="1" x14ac:dyDescent="0.2">
      <c r="B40" s="471"/>
      <c r="C40" s="472"/>
      <c r="D40" s="473"/>
      <c r="E40" s="474"/>
      <c r="F40" s="425"/>
      <c r="G40" s="473"/>
      <c r="H40" s="474"/>
      <c r="I40" s="507"/>
      <c r="J40" s="473"/>
      <c r="K40" s="473"/>
      <c r="L40" s="508"/>
      <c r="M40" s="388"/>
    </row>
    <row r="41" spans="2:13" ht="15" customHeight="1" x14ac:dyDescent="0.2">
      <c r="B41" s="471" t="s">
        <v>121</v>
      </c>
      <c r="C41" s="472"/>
      <c r="D41" s="509">
        <f>IS!AN84</f>
        <v>104480</v>
      </c>
      <c r="E41" s="509">
        <f t="shared" si="0"/>
        <v>100532</v>
      </c>
      <c r="F41" s="425"/>
      <c r="G41" s="509">
        <f>IS!AR84</f>
        <v>101922</v>
      </c>
      <c r="H41" s="509">
        <f t="shared" si="1"/>
        <v>100532</v>
      </c>
      <c r="I41" s="507"/>
      <c r="J41" s="509">
        <v>102322</v>
      </c>
      <c r="K41" s="509">
        <f>IS!AS84</f>
        <v>100532</v>
      </c>
      <c r="L41" s="508"/>
      <c r="M41" s="388"/>
    </row>
    <row r="42" spans="2:13" ht="15" customHeight="1" x14ac:dyDescent="0.2">
      <c r="B42" s="477" t="s">
        <v>122</v>
      </c>
      <c r="C42" s="511"/>
      <c r="D42" s="512">
        <f>IS!AN85</f>
        <v>111919</v>
      </c>
      <c r="E42" s="512">
        <f t="shared" si="0"/>
        <v>114594</v>
      </c>
      <c r="F42" s="513"/>
      <c r="G42" s="512">
        <f>IS!AR85</f>
        <v>115487</v>
      </c>
      <c r="H42" s="512">
        <f t="shared" si="1"/>
        <v>114594</v>
      </c>
      <c r="I42" s="514"/>
      <c r="J42" s="512">
        <v>116179.92200000001</v>
      </c>
      <c r="K42" s="512">
        <f>IS!AS85</f>
        <v>114594</v>
      </c>
      <c r="L42" s="515"/>
      <c r="M42" s="388"/>
    </row>
    <row r="43" spans="2:13" ht="17.25" customHeight="1" x14ac:dyDescent="0.2">
      <c r="B43" s="472"/>
      <c r="C43" s="472"/>
      <c r="D43" s="516"/>
      <c r="E43" s="516"/>
      <c r="F43" s="517"/>
      <c r="G43" s="516"/>
      <c r="H43" s="516"/>
      <c r="I43" s="518"/>
      <c r="J43" s="516"/>
      <c r="K43" s="516"/>
      <c r="L43" s="387"/>
      <c r="M43" s="388"/>
    </row>
    <row r="44" spans="2:13" x14ac:dyDescent="0.2">
      <c r="B44" s="390" t="s">
        <v>464</v>
      </c>
      <c r="C44" s="391"/>
      <c r="D44" s="392" t="str">
        <f>IS!AN$4</f>
        <v>2Q25</v>
      </c>
      <c r="E44" s="392" t="str">
        <f>K44</f>
        <v>2Q26</v>
      </c>
      <c r="F44" s="393" t="s">
        <v>146</v>
      </c>
      <c r="G44" s="392" t="str">
        <f>IS!AR$4</f>
        <v>1Q26</v>
      </c>
      <c r="H44" s="392" t="str">
        <f>K44</f>
        <v>2Q26</v>
      </c>
      <c r="I44" s="393" t="s">
        <v>297</v>
      </c>
      <c r="J44" s="392" t="s">
        <v>421</v>
      </c>
      <c r="K44" s="392" t="str">
        <f>IS!AS$4</f>
        <v>2Q26</v>
      </c>
      <c r="L44" s="394" t="s">
        <v>298</v>
      </c>
      <c r="M44" s="388"/>
    </row>
    <row r="45" spans="2:13" x14ac:dyDescent="0.2">
      <c r="B45" s="412" t="s">
        <v>465</v>
      </c>
      <c r="C45" s="396"/>
      <c r="D45" s="803">
        <f>'Revenue Build'!AN4</f>
        <v>160600</v>
      </c>
      <c r="E45" s="804">
        <f t="shared" ref="E45" si="3">K45</f>
        <v>177500</v>
      </c>
      <c r="F45" s="805">
        <f>E45/D45-1</f>
        <v>0.10523038605230384</v>
      </c>
      <c r="G45" s="803">
        <f>'Revenue Build'!AR4</f>
        <v>173500</v>
      </c>
      <c r="H45" s="806">
        <f t="shared" ref="H45" si="4">K45</f>
        <v>177500</v>
      </c>
      <c r="I45" s="807">
        <f>H45/G45-1</f>
        <v>2.3054755043227626E-2</v>
      </c>
      <c r="J45" s="803">
        <v>177500</v>
      </c>
      <c r="K45" s="803">
        <f>'Revenue Build'!AS4</f>
        <v>177500</v>
      </c>
      <c r="L45" s="808">
        <f>K45/J45-1</f>
        <v>0</v>
      </c>
      <c r="M45" s="388"/>
    </row>
    <row r="46" spans="2:13" x14ac:dyDescent="0.2">
      <c r="B46" s="395"/>
      <c r="C46" s="418" t="s">
        <v>28</v>
      </c>
      <c r="D46" s="397">
        <f>'Revenue Build'!AN5</f>
        <v>4500</v>
      </c>
      <c r="E46" s="398">
        <f>K46</f>
        <v>4000</v>
      </c>
      <c r="F46" s="399">
        <f>E46/D46-1</f>
        <v>-0.11111111111111116</v>
      </c>
      <c r="G46" s="397">
        <f>'Revenue Build'!AR5</f>
        <v>4000</v>
      </c>
      <c r="H46" s="400">
        <f>K46</f>
        <v>4000</v>
      </c>
      <c r="I46" s="399">
        <f>H46/G46-1</f>
        <v>0</v>
      </c>
      <c r="J46" s="397">
        <v>4000</v>
      </c>
      <c r="K46" s="397">
        <f>'Revenue Build'!AS5</f>
        <v>4000</v>
      </c>
      <c r="L46" s="402">
        <f>K46/J46-1</f>
        <v>0</v>
      </c>
      <c r="M46" s="388"/>
    </row>
    <row r="47" spans="2:13" s="22" customFormat="1" ht="14.25" x14ac:dyDescent="0.2">
      <c r="B47" s="430"/>
      <c r="C47" s="418" t="s">
        <v>466</v>
      </c>
      <c r="D47" s="397">
        <f>'Revenue Build'!AN8</f>
        <v>339.35242839352429</v>
      </c>
      <c r="E47" s="398">
        <f t="shared" ref="E47" si="5">K47</f>
        <v>325.07042253521126</v>
      </c>
      <c r="F47" s="399">
        <f>E47/D47-1</f>
        <v>-4.2086057630184803E-2</v>
      </c>
      <c r="G47" s="397">
        <f>'Revenue Build'!AR8</f>
        <v>323.34293948126805</v>
      </c>
      <c r="H47" s="400">
        <f t="shared" ref="H47" si="6">K47</f>
        <v>325.07042253521126</v>
      </c>
      <c r="I47" s="401">
        <f>H47/G47-1</f>
        <v>5.3425723682558601E-3</v>
      </c>
      <c r="J47" s="397">
        <v>335.95890410958907</v>
      </c>
      <c r="K47" s="397">
        <f>'Revenue Build'!AS8</f>
        <v>325.07042253521126</v>
      </c>
      <c r="L47" s="402">
        <f>K47/J47-1</f>
        <v>-3.2410159222408974E-2</v>
      </c>
      <c r="M47" s="388"/>
    </row>
    <row r="48" spans="2:13" x14ac:dyDescent="0.2">
      <c r="B48" s="395"/>
      <c r="C48" s="418"/>
      <c r="D48" s="397"/>
      <c r="E48" s="398"/>
      <c r="F48" s="399"/>
      <c r="G48" s="397"/>
      <c r="H48" s="400"/>
      <c r="I48" s="399"/>
      <c r="J48" s="397"/>
      <c r="K48" s="397"/>
      <c r="L48" s="402"/>
      <c r="M48" s="519"/>
    </row>
    <row r="49" spans="2:13" x14ac:dyDescent="0.2">
      <c r="B49" s="412" t="s">
        <v>467</v>
      </c>
      <c r="C49" s="396"/>
      <c r="D49" s="803">
        <f>'Revenue Build'!AN20*1000</f>
        <v>71900</v>
      </c>
      <c r="E49" s="804">
        <f t="shared" ref="E49" si="7">K49</f>
        <v>79900</v>
      </c>
      <c r="F49" s="805">
        <f>E49/D49-1</f>
        <v>0.11126564673157158</v>
      </c>
      <c r="G49" s="803">
        <f>'Revenue Build'!AR20*1000</f>
        <v>74700</v>
      </c>
      <c r="H49" s="806">
        <f t="shared" ref="H49" si="8">K49</f>
        <v>79900</v>
      </c>
      <c r="I49" s="807">
        <f>H49/G49-1</f>
        <v>6.9611780455153927E-2</v>
      </c>
      <c r="J49" s="803">
        <v>76933</v>
      </c>
      <c r="K49" s="803">
        <f>'Revenue Build'!AS20*1000</f>
        <v>79900</v>
      </c>
      <c r="L49" s="808">
        <f>K49/J49-1</f>
        <v>3.8566024982777281E-2</v>
      </c>
      <c r="M49" s="519"/>
    </row>
    <row r="50" spans="2:13" x14ac:dyDescent="0.2">
      <c r="B50" s="395"/>
      <c r="C50" s="418" t="s">
        <v>468</v>
      </c>
      <c r="D50" s="403">
        <f>'Revenue Build'!AN14</f>
        <v>12.2</v>
      </c>
      <c r="E50" s="510">
        <f>K50</f>
        <v>12.8</v>
      </c>
      <c r="F50" s="399">
        <f>E50/D50-1</f>
        <v>4.9180327868852514E-2</v>
      </c>
      <c r="G50" s="403">
        <f>'Revenue Build'!AR14</f>
        <v>12.5</v>
      </c>
      <c r="H50" s="506">
        <f>K50</f>
        <v>12.8</v>
      </c>
      <c r="I50" s="399">
        <f>H50/G50-1</f>
        <v>2.4000000000000021E-2</v>
      </c>
      <c r="J50" s="403">
        <v>13.054</v>
      </c>
      <c r="K50" s="403">
        <f>'Revenue Build'!AS14</f>
        <v>12.8</v>
      </c>
      <c r="L50" s="402">
        <f>K50/J50-1</f>
        <v>-1.9457637505745362E-2</v>
      </c>
      <c r="M50" s="519"/>
    </row>
    <row r="51" spans="2:13" x14ac:dyDescent="0.2">
      <c r="B51" s="430"/>
      <c r="C51" s="418" t="s">
        <v>406</v>
      </c>
      <c r="D51" s="397">
        <f>'Revenue Build'!AN17</f>
        <v>5893.4426229508199</v>
      </c>
      <c r="E51" s="398">
        <f t="shared" ref="E51" si="9">K51</f>
        <v>6242.1875</v>
      </c>
      <c r="F51" s="399">
        <f>E51/D51-1</f>
        <v>5.9175069541029135E-2</v>
      </c>
      <c r="G51" s="397">
        <f>'Revenue Build'!AR17</f>
        <v>5976</v>
      </c>
      <c r="H51" s="400">
        <f t="shared" ref="H51" si="10">K51</f>
        <v>6242.1875</v>
      </c>
      <c r="I51" s="401">
        <f>H51/G51-1</f>
        <v>4.454275435073618E-2</v>
      </c>
      <c r="J51" s="397">
        <v>5893.4426229508199</v>
      </c>
      <c r="K51" s="397">
        <f>'Revenue Build'!AS17</f>
        <v>6242.1875</v>
      </c>
      <c r="L51" s="402">
        <f>K51/J51-1</f>
        <v>5.9175069541029135E-2</v>
      </c>
      <c r="M51" s="520"/>
    </row>
    <row r="52" spans="2:13" x14ac:dyDescent="0.2">
      <c r="B52" s="430"/>
      <c r="C52" s="418"/>
      <c r="D52" s="397"/>
      <c r="E52" s="398"/>
      <c r="F52" s="399"/>
      <c r="G52" s="397"/>
      <c r="H52" s="400"/>
      <c r="I52" s="401"/>
      <c r="J52" s="397"/>
      <c r="K52" s="397"/>
      <c r="L52" s="402"/>
      <c r="M52" s="520"/>
    </row>
    <row r="53" spans="2:13" x14ac:dyDescent="0.2">
      <c r="B53" s="412" t="s">
        <v>409</v>
      </c>
      <c r="C53" s="396"/>
      <c r="D53" s="809">
        <f>'Revenue Build'!AN23</f>
        <v>15.624756606397773</v>
      </c>
      <c r="E53" s="810">
        <f t="shared" ref="E53:E55" si="11">K53</f>
        <v>16.0360450563204</v>
      </c>
      <c r="F53" s="805">
        <f>E53/D53-1</f>
        <v>2.6322870831422707E-2</v>
      </c>
      <c r="G53" s="809">
        <f>'Revenue Build'!AR23</f>
        <v>16.398393574297188</v>
      </c>
      <c r="H53" s="811">
        <f t="shared" ref="H53:H55" si="12">K53</f>
        <v>16.0360450563204</v>
      </c>
      <c r="I53" s="807">
        <f>H53/G53-1</f>
        <v>-2.2096586250053951E-2</v>
      </c>
      <c r="J53" s="809">
        <v>16.2</v>
      </c>
      <c r="K53" s="809">
        <f>'Revenue Build'!AS23</f>
        <v>16.0360450563204</v>
      </c>
      <c r="L53" s="808">
        <f>K53/J53-1</f>
        <v>-1.0120675535777668E-2</v>
      </c>
      <c r="M53" s="520"/>
    </row>
    <row r="54" spans="2:13" x14ac:dyDescent="0.2">
      <c r="B54" s="412"/>
      <c r="C54" s="396"/>
      <c r="D54" s="803"/>
      <c r="E54" s="804"/>
      <c r="F54" s="805"/>
      <c r="G54" s="803"/>
      <c r="H54" s="806"/>
      <c r="I54" s="807"/>
      <c r="J54" s="803"/>
      <c r="K54" s="803"/>
      <c r="L54" s="808"/>
      <c r="M54" s="520"/>
    </row>
    <row r="55" spans="2:13" x14ac:dyDescent="0.2">
      <c r="B55" s="412" t="s">
        <v>469</v>
      </c>
      <c r="C55" s="396"/>
      <c r="D55" s="803">
        <f>'Revenue Build'!AN29</f>
        <v>166842</v>
      </c>
      <c r="E55" s="804">
        <f t="shared" si="11"/>
        <v>185828</v>
      </c>
      <c r="F55" s="805">
        <f>E55/D55-1</f>
        <v>0.11379628630680516</v>
      </c>
      <c r="G55" s="803">
        <f>'Revenue Build'!AR29</f>
        <v>178596</v>
      </c>
      <c r="H55" s="806">
        <f t="shared" si="12"/>
        <v>185828</v>
      </c>
      <c r="I55" s="807">
        <f>H55/G55-1</f>
        <v>4.04936280767767E-2</v>
      </c>
      <c r="J55" s="803">
        <v>184264.16547945209</v>
      </c>
      <c r="K55" s="803">
        <f>'Revenue Build'!AS29</f>
        <v>185828</v>
      </c>
      <c r="L55" s="808">
        <f>K55/J55-1</f>
        <v>8.4869161428042794E-3</v>
      </c>
      <c r="M55" s="520"/>
    </row>
    <row r="56" spans="2:13" x14ac:dyDescent="0.2">
      <c r="B56" s="395"/>
      <c r="C56" s="418" t="s">
        <v>304</v>
      </c>
      <c r="D56" s="397">
        <f>'Revenue Build'!AN11</f>
        <v>54500</v>
      </c>
      <c r="E56" s="398">
        <f>K56</f>
        <v>57700</v>
      </c>
      <c r="F56" s="399">
        <f>E56/D56-1</f>
        <v>5.8715596330275233E-2</v>
      </c>
      <c r="G56" s="397">
        <f>'Revenue Build'!AR11</f>
        <v>56100</v>
      </c>
      <c r="H56" s="400">
        <f>K56</f>
        <v>57700</v>
      </c>
      <c r="I56" s="399">
        <f>H56/G56-1</f>
        <v>2.8520499108734443E-2</v>
      </c>
      <c r="J56" s="397">
        <v>59632.705479452059</v>
      </c>
      <c r="K56" s="397">
        <f>'Revenue Build'!AS11</f>
        <v>57700</v>
      </c>
      <c r="L56" s="402">
        <f>K56/J56-1</f>
        <v>-3.2410159222408974E-2</v>
      </c>
      <c r="M56" s="520"/>
    </row>
    <row r="57" spans="2:13" x14ac:dyDescent="0.2">
      <c r="B57" s="812"/>
      <c r="C57" s="813" t="s">
        <v>305</v>
      </c>
      <c r="D57" s="814">
        <f>'Revenue Build'!AN26</f>
        <v>112342</v>
      </c>
      <c r="E57" s="815">
        <f t="shared" ref="E57" si="13">K57</f>
        <v>128128</v>
      </c>
      <c r="F57" s="816">
        <f>E57/D57-1</f>
        <v>0.14051734880988409</v>
      </c>
      <c r="G57" s="814">
        <f>'Revenue Build'!AR26</f>
        <v>122496</v>
      </c>
      <c r="H57" s="817">
        <f t="shared" ref="H57" si="14">K57</f>
        <v>128128</v>
      </c>
      <c r="I57" s="818">
        <f>H57/G57-1</f>
        <v>4.5977011494252817E-2</v>
      </c>
      <c r="J57" s="814">
        <v>124631.46000000002</v>
      </c>
      <c r="K57" s="814">
        <f>'Revenue Build'!AS26</f>
        <v>128128</v>
      </c>
      <c r="L57" s="819">
        <f>K57/J57-1</f>
        <v>2.8055035221443925E-2</v>
      </c>
      <c r="M57" s="520"/>
    </row>
    <row r="58" spans="2:13" x14ac:dyDescent="0.2">
      <c r="M58" s="520"/>
    </row>
    <row r="59" spans="2:13" x14ac:dyDescent="0.2">
      <c r="B59" s="390" t="s">
        <v>470</v>
      </c>
      <c r="C59" s="391"/>
      <c r="D59" s="392" t="str">
        <f>IS!AN$4</f>
        <v>2Q25</v>
      </c>
      <c r="E59" s="392" t="str">
        <f>K59</f>
        <v>2Q26</v>
      </c>
      <c r="F59" s="393" t="s">
        <v>146</v>
      </c>
      <c r="G59" s="392" t="str">
        <f>IS!AR$4</f>
        <v>1Q26</v>
      </c>
      <c r="H59" s="392" t="str">
        <f>K59</f>
        <v>2Q26</v>
      </c>
      <c r="I59" s="393" t="s">
        <v>297</v>
      </c>
      <c r="J59" s="392" t="s">
        <v>421</v>
      </c>
      <c r="K59" s="392" t="str">
        <f>IS!AS$4</f>
        <v>2Q26</v>
      </c>
      <c r="L59" s="394" t="s">
        <v>298</v>
      </c>
    </row>
    <row r="60" spans="2:13" x14ac:dyDescent="0.2">
      <c r="B60" s="412" t="s">
        <v>465</v>
      </c>
      <c r="C60" s="396"/>
      <c r="D60" s="803">
        <f>'Revenue Build'!AN35</f>
        <v>37800</v>
      </c>
      <c r="E60" s="804">
        <f t="shared" ref="E60" si="15">K60</f>
        <v>44000</v>
      </c>
      <c r="F60" s="805">
        <f>E60/D60-1</f>
        <v>0.16402116402116396</v>
      </c>
      <c r="G60" s="803">
        <f>'Revenue Build'!AR35</f>
        <v>42500</v>
      </c>
      <c r="H60" s="806">
        <f t="shared" ref="H60" si="16">K60</f>
        <v>44000</v>
      </c>
      <c r="I60" s="807">
        <f>H60/G60-1</f>
        <v>3.529411764705892E-2</v>
      </c>
      <c r="J60" s="803">
        <v>43775</v>
      </c>
      <c r="K60" s="803">
        <f>'Revenue Build'!AS35</f>
        <v>44000</v>
      </c>
      <c r="L60" s="808">
        <f>K60/J60-1</f>
        <v>5.1399200456880845E-3</v>
      </c>
    </row>
    <row r="61" spans="2:13" x14ac:dyDescent="0.2">
      <c r="B61" s="395"/>
      <c r="C61" s="418" t="s">
        <v>28</v>
      </c>
      <c r="D61" s="397">
        <f>'Revenue Build'!AN36</f>
        <v>1400</v>
      </c>
      <c r="E61" s="398">
        <f>K61</f>
        <v>1500</v>
      </c>
      <c r="F61" s="399">
        <f>E61/D61-1</f>
        <v>7.1428571428571397E-2</v>
      </c>
      <c r="G61" s="397">
        <f>'Revenue Build'!AR36</f>
        <v>1400</v>
      </c>
      <c r="H61" s="400">
        <f>K61</f>
        <v>1500</v>
      </c>
      <c r="I61" s="399">
        <f>H61/G61-1</f>
        <v>7.1428571428571397E-2</v>
      </c>
      <c r="J61" s="397">
        <v>1275</v>
      </c>
      <c r="K61" s="397">
        <f>'Revenue Build'!AS36</f>
        <v>1500</v>
      </c>
      <c r="L61" s="402">
        <f>K61/J61-1</f>
        <v>0.17647058823529416</v>
      </c>
    </row>
    <row r="62" spans="2:13" x14ac:dyDescent="0.2">
      <c r="B62" s="395"/>
      <c r="C62" s="418"/>
      <c r="D62" s="397"/>
      <c r="E62" s="398"/>
      <c r="F62" s="399"/>
      <c r="G62" s="397"/>
      <c r="H62" s="400"/>
      <c r="I62" s="399"/>
      <c r="J62" s="397"/>
      <c r="K62" s="397"/>
      <c r="L62" s="402"/>
    </row>
    <row r="63" spans="2:13" x14ac:dyDescent="0.2">
      <c r="B63" s="412" t="s">
        <v>467</v>
      </c>
      <c r="C63" s="396"/>
      <c r="D63" s="803">
        <f>'Revenue Build'!AN45*1000</f>
        <v>5200</v>
      </c>
      <c r="E63" s="804">
        <f t="shared" ref="E63" si="17">K63</f>
        <v>6500</v>
      </c>
      <c r="F63" s="805">
        <f>E63/D63-1</f>
        <v>0.25</v>
      </c>
      <c r="G63" s="803">
        <f>'Revenue Build'!AR45*1000</f>
        <v>6200</v>
      </c>
      <c r="H63" s="806">
        <f t="shared" ref="H63" si="18">K63</f>
        <v>6500</v>
      </c>
      <c r="I63" s="807">
        <f>H63/G63-1</f>
        <v>4.8387096774193505E-2</v>
      </c>
      <c r="J63" s="803">
        <v>6273.1240000000007</v>
      </c>
      <c r="K63" s="803">
        <f>'Revenue Build'!AS45*1000</f>
        <v>6500</v>
      </c>
      <c r="L63" s="808">
        <f>K63/J63-1</f>
        <v>3.6166350290540938E-2</v>
      </c>
    </row>
    <row r="64" spans="2:13" x14ac:dyDescent="0.2">
      <c r="B64" s="395"/>
      <c r="C64" s="418" t="s">
        <v>468</v>
      </c>
      <c r="D64" s="403">
        <f>'Revenue Build'!AN39</f>
        <v>16.100000000000001</v>
      </c>
      <c r="E64" s="510">
        <f>K64</f>
        <v>19.8</v>
      </c>
      <c r="F64" s="399">
        <f>E64/D64-1</f>
        <v>0.22981366459627317</v>
      </c>
      <c r="G64" s="403">
        <f>'Revenue Build'!AR39</f>
        <v>18.8</v>
      </c>
      <c r="H64" s="506">
        <f>K64</f>
        <v>19.8</v>
      </c>
      <c r="I64" s="399">
        <f>H64/G64-1</f>
        <v>5.3191489361702038E-2</v>
      </c>
      <c r="J64" s="403">
        <v>19.481000000000002</v>
      </c>
      <c r="K64" s="403">
        <f>'Revenue Build'!AS39</f>
        <v>19.8</v>
      </c>
      <c r="L64" s="402">
        <f>K64/J64-1</f>
        <v>1.637492941840768E-2</v>
      </c>
    </row>
    <row r="65" spans="2:12" x14ac:dyDescent="0.2">
      <c r="B65" s="430"/>
      <c r="C65" s="418" t="s">
        <v>406</v>
      </c>
      <c r="D65" s="397">
        <f>'Revenue Build'!AN42</f>
        <v>322.98136645962734</v>
      </c>
      <c r="E65" s="398">
        <f t="shared" ref="E65" si="19">K65</f>
        <v>328.28282828282829</v>
      </c>
      <c r="F65" s="399">
        <f>E65/D65-1</f>
        <v>1.6414141414141437E-2</v>
      </c>
      <c r="G65" s="397">
        <f>'Revenue Build'!AR42</f>
        <v>329.78723404255317</v>
      </c>
      <c r="H65" s="400">
        <f t="shared" ref="H65" si="20">K65</f>
        <v>328.28282828282829</v>
      </c>
      <c r="I65" s="401">
        <f>H65/G65-1</f>
        <v>-4.5617464972302901E-3</v>
      </c>
      <c r="J65" s="397">
        <v>322.01242236024848</v>
      </c>
      <c r="K65" s="397">
        <f>'Revenue Build'!AS42</f>
        <v>328.28282828282829</v>
      </c>
      <c r="L65" s="402">
        <f>K65/J65-1</f>
        <v>1.9472559091415542E-2</v>
      </c>
    </row>
    <row r="66" spans="2:12" x14ac:dyDescent="0.2">
      <c r="B66" s="430"/>
      <c r="C66" s="418"/>
      <c r="D66" s="397"/>
      <c r="E66" s="398"/>
      <c r="F66" s="399"/>
      <c r="G66" s="397"/>
      <c r="H66" s="400"/>
      <c r="I66" s="401"/>
      <c r="J66" s="397"/>
      <c r="K66" s="397"/>
      <c r="L66" s="402"/>
    </row>
    <row r="67" spans="2:12" x14ac:dyDescent="0.2">
      <c r="B67" s="412" t="s">
        <v>409</v>
      </c>
      <c r="C67" s="396"/>
      <c r="D67" s="809">
        <f>'Revenue Build'!AN48</f>
        <v>257.40961538461539</v>
      </c>
      <c r="E67" s="810">
        <f t="shared" ref="E67" si="21">K67</f>
        <v>256.15384615384619</v>
      </c>
      <c r="F67" s="805">
        <f>E67/D67-1</f>
        <v>-4.878486100423518E-3</v>
      </c>
      <c r="G67" s="809">
        <f>'Revenue Build'!AR48</f>
        <v>253.68709677419352</v>
      </c>
      <c r="H67" s="811">
        <f t="shared" ref="H67" si="22">K67</f>
        <v>256.15384615384619</v>
      </c>
      <c r="I67" s="807">
        <f>H67/G67-1</f>
        <v>9.7235902456966894E-3</v>
      </c>
      <c r="J67" s="809">
        <v>252.5</v>
      </c>
      <c r="K67" s="809">
        <f>'Revenue Build'!AS48</f>
        <v>256.15384615384619</v>
      </c>
      <c r="L67" s="808">
        <f>K67/J67-1</f>
        <v>1.4470677837014501E-2</v>
      </c>
    </row>
    <row r="68" spans="2:12" x14ac:dyDescent="0.2">
      <c r="B68" s="412"/>
      <c r="C68" s="396"/>
      <c r="D68" s="803"/>
      <c r="E68" s="804"/>
      <c r="F68" s="805"/>
      <c r="G68" s="803"/>
      <c r="H68" s="806"/>
      <c r="I68" s="807"/>
      <c r="J68" s="803"/>
      <c r="K68" s="803"/>
      <c r="L68" s="808"/>
    </row>
    <row r="69" spans="2:12" x14ac:dyDescent="0.2">
      <c r="B69" s="412" t="s">
        <v>469</v>
      </c>
      <c r="C69" s="396"/>
      <c r="D69" s="803">
        <f>'Revenue Build'!AN51</f>
        <v>133853</v>
      </c>
      <c r="E69" s="804">
        <f t="shared" ref="E69:E70" si="23">K69</f>
        <v>166500</v>
      </c>
      <c r="F69" s="805">
        <f>E69/D69-1</f>
        <v>0.24390189237447046</v>
      </c>
      <c r="G69" s="803">
        <f>'Revenue Build'!AR51</f>
        <v>157286</v>
      </c>
      <c r="H69" s="806">
        <f t="shared" ref="H69:H70" si="24">K69</f>
        <v>166500</v>
      </c>
      <c r="I69" s="807">
        <f>H69/G69-1</f>
        <v>5.8581183322101049E-2</v>
      </c>
      <c r="J69" s="803">
        <v>158396.38100000002</v>
      </c>
      <c r="K69" s="803">
        <f>'Revenue Build'!AS51</f>
        <v>166500</v>
      </c>
      <c r="L69" s="808">
        <f>K69/J69-1</f>
        <v>5.1160379731150396E-2</v>
      </c>
    </row>
    <row r="70" spans="2:12" x14ac:dyDescent="0.2">
      <c r="B70" s="812"/>
      <c r="C70" s="813" t="s">
        <v>471</v>
      </c>
      <c r="D70" s="820">
        <f>'Revenue Build'!AN55</f>
        <v>0.48336608070046994</v>
      </c>
      <c r="E70" s="820">
        <f t="shared" si="23"/>
        <v>0.52252252252252251</v>
      </c>
      <c r="F70" s="816">
        <f>E70/D70-1</f>
        <v>8.1007839369508616E-2</v>
      </c>
      <c r="G70" s="820">
        <f>'Revenue Build'!AR55</f>
        <v>0.51689279401853949</v>
      </c>
      <c r="H70" s="821">
        <f t="shared" si="24"/>
        <v>0.52252252252252251</v>
      </c>
      <c r="I70" s="818">
        <f>H70/G70-1</f>
        <v>1.0891481887791876E-2</v>
      </c>
      <c r="J70" s="820"/>
      <c r="K70" s="820">
        <f>'Revenue Build'!AS55</f>
        <v>0.52252252252252251</v>
      </c>
      <c r="L70" s="819"/>
    </row>
    <row r="72" spans="2:12" x14ac:dyDescent="0.2">
      <c r="B72" s="390" t="s">
        <v>472</v>
      </c>
      <c r="C72" s="391"/>
      <c r="D72" s="392" t="str">
        <f>IS!AN$4</f>
        <v>2Q25</v>
      </c>
      <c r="E72" s="392" t="str">
        <f>K72</f>
        <v>2Q26</v>
      </c>
      <c r="F72" s="393" t="s">
        <v>146</v>
      </c>
      <c r="G72" s="392" t="str">
        <f>IS!AR$4</f>
        <v>1Q26</v>
      </c>
      <c r="H72" s="392" t="str">
        <f>K72</f>
        <v>2Q26</v>
      </c>
      <c r="I72" s="393" t="s">
        <v>297</v>
      </c>
      <c r="J72" s="392" t="s">
        <v>421</v>
      </c>
      <c r="K72" s="392" t="str">
        <f>IS!AS$4</f>
        <v>2Q26</v>
      </c>
      <c r="L72" s="394" t="s">
        <v>298</v>
      </c>
    </row>
    <row r="73" spans="2:12" x14ac:dyDescent="0.2">
      <c r="B73" s="412" t="s">
        <v>465</v>
      </c>
      <c r="C73" s="396"/>
      <c r="D73" s="803">
        <f>'Revenue Build'!AN60</f>
        <v>282900</v>
      </c>
      <c r="E73" s="804">
        <f t="shared" ref="E73" si="25">K73</f>
        <v>277000</v>
      </c>
      <c r="F73" s="805">
        <f>E73/D73-1</f>
        <v>-2.0855425945563777E-2</v>
      </c>
      <c r="G73" s="803">
        <f>'Revenue Build'!AR60</f>
        <v>282500</v>
      </c>
      <c r="H73" s="806">
        <f t="shared" ref="H73" si="26">K73</f>
        <v>277000</v>
      </c>
      <c r="I73" s="807">
        <f>H73/G73-1</f>
        <v>-1.9469026548672552E-2</v>
      </c>
      <c r="J73" s="803">
        <v>281500</v>
      </c>
      <c r="K73" s="803">
        <f>'Revenue Build'!AS60</f>
        <v>277000</v>
      </c>
      <c r="L73" s="808">
        <f>K73/J73-1</f>
        <v>-1.5985790408525768E-2</v>
      </c>
    </row>
    <row r="74" spans="2:12" x14ac:dyDescent="0.2">
      <c r="B74" s="395"/>
      <c r="C74" s="418" t="s">
        <v>28</v>
      </c>
      <c r="D74" s="397">
        <f>'Revenue Build'!AN61</f>
        <v>-800</v>
      </c>
      <c r="E74" s="398">
        <f>K74</f>
        <v>-5500</v>
      </c>
      <c r="F74" s="399">
        <f>E74/D74-1</f>
        <v>5.875</v>
      </c>
      <c r="G74" s="397">
        <f>'Revenue Build'!AR61</f>
        <v>-700</v>
      </c>
      <c r="H74" s="400">
        <f>K74</f>
        <v>-5500</v>
      </c>
      <c r="I74" s="399">
        <f>H74/G74-1</f>
        <v>6.8571428571428568</v>
      </c>
      <c r="J74" s="397">
        <v>-1000</v>
      </c>
      <c r="K74" s="397">
        <f>'Revenue Build'!AS61</f>
        <v>-5500</v>
      </c>
      <c r="L74" s="402">
        <f>K74/J74-1</f>
        <v>4.5</v>
      </c>
    </row>
    <row r="75" spans="2:12" x14ac:dyDescent="0.2">
      <c r="B75" s="430"/>
      <c r="C75" s="418" t="s">
        <v>466</v>
      </c>
      <c r="D75" s="397">
        <f>'Revenue Build'!AN64</f>
        <v>46.733828207847296</v>
      </c>
      <c r="E75" s="398">
        <f t="shared" ref="E75" si="27">K75</f>
        <v>51.985559566787003</v>
      </c>
      <c r="F75" s="399">
        <f>E75/D75-1</f>
        <v>0.11237537262264907</v>
      </c>
      <c r="G75" s="397">
        <f>'Revenue Build'!AR64</f>
        <v>52.116814159292034</v>
      </c>
      <c r="H75" s="400">
        <f t="shared" ref="H75" si="28">K75</f>
        <v>51.985559566787003</v>
      </c>
      <c r="I75" s="401">
        <f>H75/G75-1</f>
        <v>-2.5184692238450213E-3</v>
      </c>
      <c r="J75" s="397">
        <v>47.668504772004241</v>
      </c>
      <c r="K75" s="397">
        <f>'Revenue Build'!AS64</f>
        <v>51.985559566787003</v>
      </c>
      <c r="L75" s="402">
        <f>K75/J75-1</f>
        <v>9.0564090806518616E-2</v>
      </c>
    </row>
    <row r="76" spans="2:12" x14ac:dyDescent="0.2">
      <c r="B76" s="395"/>
      <c r="C76" s="418"/>
      <c r="D76" s="397"/>
      <c r="E76" s="398"/>
      <c r="F76" s="399"/>
      <c r="G76" s="397"/>
      <c r="H76" s="400"/>
      <c r="I76" s="399"/>
      <c r="J76" s="397"/>
      <c r="K76" s="397"/>
      <c r="L76" s="402"/>
    </row>
    <row r="77" spans="2:12" x14ac:dyDescent="0.2">
      <c r="B77" s="412" t="s">
        <v>467</v>
      </c>
      <c r="C77" s="396"/>
      <c r="D77" s="803">
        <f>'Revenue Build'!AN76*1000</f>
        <v>7400</v>
      </c>
      <c r="E77" s="804">
        <f t="shared" ref="E77" si="29">K77</f>
        <v>8700</v>
      </c>
      <c r="F77" s="805">
        <f>E77/D77-1</f>
        <v>0.17567567567567566</v>
      </c>
      <c r="G77" s="803">
        <f>'Revenue Build'!AR76*1000</f>
        <v>8400</v>
      </c>
      <c r="H77" s="806">
        <f t="shared" ref="H77" si="30">K77</f>
        <v>8700</v>
      </c>
      <c r="I77" s="807">
        <f>H77/G77-1</f>
        <v>3.5714285714285809E-2</v>
      </c>
      <c r="J77" s="803">
        <v>8857.8000000000011</v>
      </c>
      <c r="K77" s="803">
        <f>'Revenue Build'!AS76*1000</f>
        <v>8700</v>
      </c>
      <c r="L77" s="808">
        <f>K77/J77-1</f>
        <v>-1.7814807288491608E-2</v>
      </c>
    </row>
    <row r="78" spans="2:12" x14ac:dyDescent="0.2">
      <c r="B78" s="395"/>
      <c r="C78" s="418" t="s">
        <v>468</v>
      </c>
      <c r="D78" s="403">
        <f>'Revenue Build'!AN70</f>
        <v>1.7</v>
      </c>
      <c r="E78" s="510">
        <f>K78</f>
        <v>2.1</v>
      </c>
      <c r="F78" s="399">
        <f>E78/D78-1</f>
        <v>0.23529411764705888</v>
      </c>
      <c r="G78" s="403">
        <f>'Revenue Build'!AR70</f>
        <v>2</v>
      </c>
      <c r="H78" s="506">
        <f>K78</f>
        <v>2.1</v>
      </c>
      <c r="I78" s="399">
        <f>H78/G78-1</f>
        <v>5.0000000000000044E-2</v>
      </c>
      <c r="J78" s="403">
        <v>2.1419999999999999</v>
      </c>
      <c r="K78" s="403">
        <f>'Revenue Build'!AS70</f>
        <v>2.1</v>
      </c>
      <c r="L78" s="402">
        <f>K78/J78-1</f>
        <v>-1.9607843137254832E-2</v>
      </c>
    </row>
    <row r="79" spans="2:12" x14ac:dyDescent="0.2">
      <c r="B79" s="430"/>
      <c r="C79" s="418" t="s">
        <v>406</v>
      </c>
      <c r="D79" s="397">
        <f>'Revenue Build'!AN73</f>
        <v>4352.9411764705892</v>
      </c>
      <c r="E79" s="398">
        <f t="shared" ref="E79" si="31">K79</f>
        <v>4142.8571428571422</v>
      </c>
      <c r="F79" s="399">
        <f>E79/D79-1</f>
        <v>-4.826254826254861E-2</v>
      </c>
      <c r="G79" s="397">
        <f>'Revenue Build'!AR73</f>
        <v>4200</v>
      </c>
      <c r="H79" s="400">
        <f t="shared" ref="H79" si="32">K79</f>
        <v>4142.8571428571422</v>
      </c>
      <c r="I79" s="401">
        <f>H79/G79-1</f>
        <v>-1.3605442176870874E-2</v>
      </c>
      <c r="J79" s="397">
        <v>4135.2941176470595</v>
      </c>
      <c r="K79" s="397">
        <f>'Revenue Build'!AS73</f>
        <v>4142.8571428571422</v>
      </c>
      <c r="L79" s="402">
        <f>K79/J79-1</f>
        <v>1.8288965657382583E-3</v>
      </c>
    </row>
    <row r="80" spans="2:12" x14ac:dyDescent="0.2">
      <c r="B80" s="430"/>
      <c r="C80" s="418"/>
      <c r="D80" s="397"/>
      <c r="E80" s="398"/>
      <c r="F80" s="399"/>
      <c r="G80" s="397"/>
      <c r="H80" s="400"/>
      <c r="I80" s="401"/>
      <c r="J80" s="397"/>
      <c r="K80" s="397"/>
      <c r="L80" s="402"/>
    </row>
    <row r="81" spans="2:12" x14ac:dyDescent="0.2">
      <c r="B81" s="412" t="s">
        <v>409</v>
      </c>
      <c r="C81" s="396"/>
      <c r="D81" s="809">
        <f>'Revenue Build'!AN79</f>
        <v>7.7027027027027017</v>
      </c>
      <c r="E81" s="810">
        <f t="shared" ref="E81" si="33">K81</f>
        <v>9.655172413793105</v>
      </c>
      <c r="F81" s="805">
        <f>E81/D81-1</f>
        <v>0.25347852389594716</v>
      </c>
      <c r="G81" s="809">
        <f>'Revenue Build'!AR79</f>
        <v>8.8095238095238102</v>
      </c>
      <c r="H81" s="811">
        <f t="shared" ref="H81" si="34">K81</f>
        <v>9.655172413793105</v>
      </c>
      <c r="I81" s="807">
        <f>H81/G81-1</f>
        <v>9.5992544268406421E-2</v>
      </c>
      <c r="J81" s="809">
        <v>9</v>
      </c>
      <c r="K81" s="809">
        <f>'Revenue Build'!AS79</f>
        <v>9.655172413793105</v>
      </c>
      <c r="L81" s="808">
        <f>K81/J81-1</f>
        <v>7.2796934865900553E-2</v>
      </c>
    </row>
    <row r="82" spans="2:12" x14ac:dyDescent="0.2">
      <c r="B82" s="412"/>
      <c r="C82" s="396"/>
      <c r="D82" s="803"/>
      <c r="E82" s="804"/>
      <c r="F82" s="805"/>
      <c r="G82" s="803"/>
      <c r="H82" s="806"/>
      <c r="I82" s="807"/>
      <c r="J82" s="803"/>
      <c r="K82" s="803"/>
      <c r="L82" s="808"/>
    </row>
    <row r="83" spans="2:12" x14ac:dyDescent="0.2">
      <c r="B83" s="412" t="s">
        <v>469</v>
      </c>
      <c r="C83" s="396"/>
      <c r="D83" s="803">
        <f>'Revenue Build'!AN85</f>
        <v>18921</v>
      </c>
      <c r="E83" s="804">
        <f t="shared" ref="E83" si="35">K83</f>
        <v>22800</v>
      </c>
      <c r="F83" s="805">
        <f>E83/D83-1</f>
        <v>0.20501030600919612</v>
      </c>
      <c r="G83" s="803">
        <f>'Revenue Build'!AR85</f>
        <v>22123</v>
      </c>
      <c r="H83" s="806">
        <f t="shared" ref="H83" si="36">K83</f>
        <v>22800</v>
      </c>
      <c r="I83" s="807">
        <f>H83/G83-1</f>
        <v>3.0601636306106794E-2</v>
      </c>
      <c r="J83" s="803">
        <v>21390.704093319197</v>
      </c>
      <c r="K83" s="803">
        <f>'Revenue Build'!AS85</f>
        <v>22800</v>
      </c>
      <c r="L83" s="808">
        <f>K83/J83-1</f>
        <v>6.5883567952349953E-2</v>
      </c>
    </row>
    <row r="84" spans="2:12" x14ac:dyDescent="0.2">
      <c r="B84" s="395"/>
      <c r="C84" s="418" t="s">
        <v>304</v>
      </c>
      <c r="D84" s="397">
        <f>'Revenue Build'!AN67</f>
        <v>13221</v>
      </c>
      <c r="E84" s="398">
        <f>K84</f>
        <v>14400</v>
      </c>
      <c r="F84" s="399">
        <f>E84/D84-1</f>
        <v>8.9176310415248539E-2</v>
      </c>
      <c r="G84" s="397">
        <f>'Revenue Build'!AR67</f>
        <v>14723</v>
      </c>
      <c r="H84" s="400">
        <f>K84</f>
        <v>14400</v>
      </c>
      <c r="I84" s="399">
        <f>H84/G84-1</f>
        <v>-2.1938463628336624E-2</v>
      </c>
      <c r="J84" s="397">
        <v>13418.684093319194</v>
      </c>
      <c r="K84" s="397">
        <f>'Revenue Build'!AS67</f>
        <v>14400</v>
      </c>
      <c r="L84" s="402">
        <f>K84/J84-1</f>
        <v>7.3130561823821161E-2</v>
      </c>
    </row>
    <row r="85" spans="2:12" x14ac:dyDescent="0.2">
      <c r="B85" s="812"/>
      <c r="C85" s="813" t="s">
        <v>305</v>
      </c>
      <c r="D85" s="814">
        <f>'Revenue Build'!AK82</f>
        <v>5500</v>
      </c>
      <c r="E85" s="815">
        <f t="shared" ref="E85" si="37">K85</f>
        <v>8400</v>
      </c>
      <c r="F85" s="816">
        <f>E85/D85-1</f>
        <v>0.52727272727272734</v>
      </c>
      <c r="G85" s="814">
        <f>'Revenue Build'!AR82</f>
        <v>7400</v>
      </c>
      <c r="H85" s="817">
        <f t="shared" ref="H85" si="38">K85</f>
        <v>8400</v>
      </c>
      <c r="I85" s="818">
        <f>H85/G85-1</f>
        <v>0.13513513513513509</v>
      </c>
      <c r="J85" s="814">
        <v>7972.02</v>
      </c>
      <c r="K85" s="814">
        <f>'Revenue Build'!AS82</f>
        <v>8400</v>
      </c>
      <c r="L85" s="819">
        <f>K85/J85-1</f>
        <v>5.3685264211579931E-2</v>
      </c>
    </row>
  </sheetData>
  <pageMargins left="0.75" right="0.75" top="1" bottom="1" header="0.5" footer="0.5"/>
  <pageSetup scale="63"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6C1B-C8EE-495E-886F-5412B9514CCB}">
  <sheetPr>
    <pageSetUpPr fitToPage="1"/>
  </sheetPr>
  <dimension ref="B2:L25"/>
  <sheetViews>
    <sheetView showGridLines="0" zoomScaleNormal="100" workbookViewId="0">
      <selection activeCell="C13" sqref="C13:J13"/>
    </sheetView>
  </sheetViews>
  <sheetFormatPr defaultColWidth="10.28515625" defaultRowHeight="15" outlineLevelCol="1" x14ac:dyDescent="0.25"/>
  <cols>
    <col min="2" max="2" width="6.42578125" customWidth="1"/>
    <col min="3" max="3" width="24.5703125" bestFit="1" customWidth="1"/>
    <col min="4" max="5" width="13.7109375" customWidth="1"/>
    <col min="6" max="6" width="12.28515625" customWidth="1"/>
    <col min="7" max="7" width="10.42578125" customWidth="1" outlineLevel="1"/>
    <col min="8" max="8" width="10.7109375" customWidth="1" outlineLevel="1"/>
    <col min="9" max="9" width="9.7109375" customWidth="1"/>
    <col min="10" max="10" width="14.42578125" customWidth="1"/>
    <col min="11" max="13" width="20.85546875" customWidth="1"/>
  </cols>
  <sheetData>
    <row r="2" spans="2:12" x14ac:dyDescent="0.25">
      <c r="B2" s="524"/>
      <c r="C2" s="524"/>
      <c r="D2" s="524"/>
      <c r="E2" s="524"/>
      <c r="F2" s="524"/>
      <c r="G2" s="524"/>
      <c r="H2" s="524"/>
      <c r="I2" s="524"/>
      <c r="J2" s="524"/>
      <c r="K2" s="524"/>
      <c r="L2" s="524"/>
    </row>
    <row r="3" spans="2:12" x14ac:dyDescent="0.25">
      <c r="B3" s="524"/>
      <c r="C3" s="524"/>
      <c r="D3" s="524"/>
      <c r="E3" s="524"/>
      <c r="F3" s="524"/>
      <c r="G3" s="524"/>
      <c r="H3" s="524"/>
      <c r="I3" s="524"/>
      <c r="J3" s="524"/>
      <c r="K3" s="524"/>
      <c r="L3" s="524"/>
    </row>
    <row r="4" spans="2:12" ht="24" x14ac:dyDescent="0.25">
      <c r="B4" s="524"/>
      <c r="C4" s="525" t="s">
        <v>439</v>
      </c>
      <c r="D4" s="759" t="s">
        <v>488</v>
      </c>
      <c r="E4" s="759" t="s">
        <v>443</v>
      </c>
      <c r="F4" s="760" t="s">
        <v>444</v>
      </c>
      <c r="G4" s="797" t="s">
        <v>485</v>
      </c>
      <c r="H4" s="797" t="s">
        <v>486</v>
      </c>
      <c r="I4" s="797" t="s">
        <v>487</v>
      </c>
      <c r="J4" s="760" t="s">
        <v>308</v>
      </c>
      <c r="K4" s="524"/>
      <c r="L4" s="524"/>
    </row>
    <row r="5" spans="2:12" x14ac:dyDescent="0.25">
      <c r="B5" s="524"/>
      <c r="C5" s="526" t="s">
        <v>34</v>
      </c>
      <c r="D5" s="771">
        <v>1612</v>
      </c>
      <c r="E5" s="771">
        <v>1641</v>
      </c>
      <c r="F5" s="772">
        <f>E5-D5</f>
        <v>29</v>
      </c>
      <c r="G5" s="773">
        <f>Comparison!K8/1000</f>
        <v>414.67099999999999</v>
      </c>
      <c r="H5" s="773">
        <v>399.5</v>
      </c>
      <c r="I5" s="773">
        <f>G5-H5</f>
        <v>15.170999999999992</v>
      </c>
      <c r="J5" s="774">
        <f>F5-I5</f>
        <v>13.829000000000008</v>
      </c>
      <c r="K5" s="524"/>
      <c r="L5" s="524"/>
    </row>
    <row r="6" spans="2:12" x14ac:dyDescent="0.25">
      <c r="B6" s="528"/>
      <c r="C6" s="529" t="s">
        <v>309</v>
      </c>
      <c r="D6" s="530">
        <f>1000*D5/IS!AQ17-1</f>
        <v>0.10216946881174915</v>
      </c>
      <c r="E6" s="530">
        <f>1000*E5/IS!AQ17-1</f>
        <v>0.12199757960302748</v>
      </c>
      <c r="F6" s="768"/>
      <c r="G6" s="769"/>
      <c r="H6" s="769"/>
      <c r="I6" s="769"/>
      <c r="J6" s="768"/>
      <c r="K6" s="528"/>
      <c r="L6" s="528"/>
    </row>
    <row r="7" spans="2:12" ht="20.100000000000001" customHeight="1" x14ac:dyDescent="0.25">
      <c r="B7" s="524"/>
      <c r="C7" s="412" t="s">
        <v>87</v>
      </c>
      <c r="D7" s="773">
        <v>267</v>
      </c>
      <c r="E7" s="841">
        <v>280.25</v>
      </c>
      <c r="F7" s="774">
        <f>E7-D7</f>
        <v>13.25</v>
      </c>
      <c r="G7" s="773">
        <f>Comparison!K20/1000</f>
        <v>74.084999999999994</v>
      </c>
      <c r="H7" s="773">
        <v>65</v>
      </c>
      <c r="I7" s="773">
        <f>G7-H7</f>
        <v>9.0849999999999937</v>
      </c>
      <c r="J7" s="774">
        <f>F7-I7</f>
        <v>4.1650000000000063</v>
      </c>
      <c r="K7" s="524"/>
      <c r="L7" s="524"/>
    </row>
    <row r="8" spans="2:12" x14ac:dyDescent="0.25">
      <c r="B8" s="528"/>
      <c r="C8" s="529" t="s">
        <v>310</v>
      </c>
      <c r="D8" s="530">
        <f>D7/D5</f>
        <v>0.16563275434243177</v>
      </c>
      <c r="E8" s="530">
        <f>E7/E5</f>
        <v>0.17078001218769043</v>
      </c>
      <c r="F8" s="768"/>
      <c r="G8" s="769"/>
      <c r="H8" s="769"/>
      <c r="I8" s="769"/>
      <c r="J8" s="770"/>
      <c r="K8" s="528"/>
      <c r="L8" s="528"/>
    </row>
    <row r="9" spans="2:12" ht="20.100000000000001" customHeight="1" x14ac:dyDescent="0.25">
      <c r="B9" s="528"/>
      <c r="C9" s="537" t="s">
        <v>118</v>
      </c>
      <c r="D9" s="766">
        <v>2.1800000000000002</v>
      </c>
      <c r="E9" s="766">
        <v>2.37</v>
      </c>
      <c r="F9" s="767">
        <f>E9-D9</f>
        <v>0.18999999999999995</v>
      </c>
      <c r="G9" s="766">
        <f>Comparison!K38</f>
        <v>0.64031275633977347</v>
      </c>
      <c r="H9" s="766">
        <v>0.55500000000000005</v>
      </c>
      <c r="I9" s="766">
        <f>G9-H9</f>
        <v>8.5312756339773421E-2</v>
      </c>
      <c r="J9" s="767">
        <f>F9-I9</f>
        <v>0.10468724366022653</v>
      </c>
      <c r="K9" s="528"/>
      <c r="L9" s="528"/>
    </row>
    <row r="10" spans="2:12" ht="20.100000000000001" customHeight="1" x14ac:dyDescent="0.25">
      <c r="B10" s="528"/>
      <c r="C10" s="535"/>
      <c r="D10" s="531"/>
      <c r="E10" s="531"/>
      <c r="F10" s="536"/>
      <c r="G10" s="531"/>
      <c r="H10" s="531"/>
      <c r="I10" s="531"/>
      <c r="J10" s="532"/>
      <c r="K10" s="528"/>
      <c r="L10" s="528"/>
    </row>
    <row r="11" spans="2:12" ht="20.100000000000001" customHeight="1" x14ac:dyDescent="0.25">
      <c r="B11" s="524"/>
      <c r="C11" s="533"/>
      <c r="D11" s="534"/>
      <c r="E11" s="534"/>
      <c r="F11" s="534"/>
      <c r="G11" s="534"/>
      <c r="H11" s="534"/>
      <c r="I11" s="534"/>
      <c r="J11" s="534"/>
      <c r="K11" s="524"/>
      <c r="L11" s="524"/>
    </row>
    <row r="12" spans="2:12" x14ac:dyDescent="0.25">
      <c r="B12" s="524"/>
      <c r="C12" s="866"/>
      <c r="D12" s="866"/>
      <c r="E12" s="866"/>
      <c r="F12" s="866"/>
      <c r="G12" s="866"/>
      <c r="H12" s="866"/>
      <c r="I12" s="866"/>
      <c r="J12" s="866"/>
      <c r="K12" s="524"/>
      <c r="L12" s="524"/>
    </row>
    <row r="13" spans="2:12" x14ac:dyDescent="0.25">
      <c r="B13" s="524"/>
      <c r="C13" s="866"/>
      <c r="D13" s="866"/>
      <c r="E13" s="866"/>
      <c r="F13" s="866"/>
      <c r="G13" s="866"/>
      <c r="H13" s="866"/>
      <c r="I13" s="866"/>
      <c r="J13" s="866"/>
      <c r="K13" s="524"/>
      <c r="L13" s="524"/>
    </row>
    <row r="14" spans="2:12" x14ac:dyDescent="0.25">
      <c r="B14" s="524"/>
      <c r="C14" s="524"/>
      <c r="D14" s="524"/>
      <c r="E14" s="527"/>
      <c r="F14" s="524"/>
      <c r="G14" s="524"/>
      <c r="H14" s="524"/>
      <c r="I14" s="524"/>
      <c r="J14" s="524"/>
      <c r="K14" s="524"/>
      <c r="L14" s="524"/>
    </row>
    <row r="17" spans="3:6" ht="24" x14ac:dyDescent="0.25">
      <c r="C17" s="525" t="s">
        <v>439</v>
      </c>
      <c r="D17" s="789" t="s">
        <v>436</v>
      </c>
      <c r="E17" s="759" t="s">
        <v>440</v>
      </c>
      <c r="F17" s="760" t="s">
        <v>307</v>
      </c>
    </row>
    <row r="18" spans="3:6" x14ac:dyDescent="0.25">
      <c r="C18" s="526" t="s">
        <v>34</v>
      </c>
      <c r="D18" s="771">
        <f>AVERAGE(1589.5,1629.5)</f>
        <v>1609.5</v>
      </c>
      <c r="E18" s="771">
        <v>1634.2</v>
      </c>
      <c r="F18" s="772">
        <f>D18-E18</f>
        <v>-24.700000000000045</v>
      </c>
    </row>
    <row r="19" spans="3:6" x14ac:dyDescent="0.25">
      <c r="C19" s="529" t="s">
        <v>309</v>
      </c>
      <c r="D19" s="530">
        <f>D18/(IS!AQ17/1000)-1</f>
        <v>0.10046014891594934</v>
      </c>
      <c r="E19" s="530">
        <f>1000*E18/IS!AQ17-1</f>
        <v>0.11734822948645185</v>
      </c>
      <c r="F19" s="768"/>
    </row>
    <row r="20" spans="3:6" x14ac:dyDescent="0.25">
      <c r="C20" s="412" t="s">
        <v>301</v>
      </c>
      <c r="D20" s="773">
        <v>255</v>
      </c>
      <c r="E20" s="788">
        <v>259</v>
      </c>
      <c r="F20" s="774">
        <f>D20-E20</f>
        <v>-4</v>
      </c>
    </row>
    <row r="21" spans="3:6" x14ac:dyDescent="0.25">
      <c r="C21" s="529" t="s">
        <v>310</v>
      </c>
      <c r="D21" s="530">
        <f>D20/D18</f>
        <v>0.15843429636533085</v>
      </c>
      <c r="E21" s="530">
        <f>E20/E18</f>
        <v>0.15848733325174397</v>
      </c>
      <c r="F21" s="768"/>
    </row>
    <row r="22" spans="3:6" x14ac:dyDescent="0.25">
      <c r="C22" s="537" t="s">
        <v>118</v>
      </c>
      <c r="D22" s="766">
        <v>2.1</v>
      </c>
      <c r="E22" s="766">
        <v>2.1800000000000002</v>
      </c>
      <c r="F22" s="767">
        <f>D22-E22</f>
        <v>-8.0000000000000071E-2</v>
      </c>
    </row>
    <row r="24" spans="3:6" x14ac:dyDescent="0.25">
      <c r="E24">
        <f>AVERAGE(1450.5,1490.5)</f>
        <v>1470.5</v>
      </c>
    </row>
    <row r="25" spans="3:6" x14ac:dyDescent="0.25">
      <c r="E25" s="795">
        <f>E18-E24</f>
        <v>163.70000000000005</v>
      </c>
    </row>
  </sheetData>
  <mergeCells count="2">
    <mergeCell ref="C12:J12"/>
    <mergeCell ref="C13:J13"/>
  </mergeCells>
  <pageMargins left="0.7" right="0.7"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0FFB9-CC02-4B2B-9EEB-2AEC4EED79AE}">
  <sheetPr>
    <pageSetUpPr fitToPage="1"/>
  </sheetPr>
  <dimension ref="A1:BC151"/>
  <sheetViews>
    <sheetView showGridLines="0" zoomScaleNormal="100" workbookViewId="0">
      <pane xSplit="3" ySplit="4" topLeftCell="AJ5" activePane="bottomRight" state="frozen"/>
      <selection pane="topRight" activeCell="D1" sqref="D1"/>
      <selection pane="bottomLeft" activeCell="A5" sqref="A5"/>
      <selection pane="bottomRight" activeCell="AT5" sqref="AT5"/>
    </sheetView>
  </sheetViews>
  <sheetFormatPr defaultColWidth="10.28515625" defaultRowHeight="12.75" outlineLevelRow="1" outlineLevelCol="1" x14ac:dyDescent="0.2"/>
  <cols>
    <col min="1" max="2" width="1.85546875" style="93" customWidth="1"/>
    <col min="3" max="3" width="38.42578125" style="93" customWidth="1"/>
    <col min="4" max="7" width="10.28515625" style="93" hidden="1" customWidth="1" outlineLevel="1"/>
    <col min="8" max="8" width="10.28515625" style="93" customWidth="1" collapsed="1"/>
    <col min="9" max="12" width="10.28515625" style="93" hidden="1" customWidth="1" outlineLevel="1"/>
    <col min="13" max="13" width="10.28515625" style="93" customWidth="1" collapsed="1"/>
    <col min="14" max="17" width="10.28515625" style="93" hidden="1" customWidth="1" outlineLevel="1"/>
    <col min="18" max="18" width="10.28515625" style="93" customWidth="1" collapsed="1"/>
    <col min="19" max="22" width="10.28515625" style="93" hidden="1" customWidth="1" outlineLevel="1"/>
    <col min="23" max="23" width="10.28515625" style="93" customWidth="1" collapsed="1"/>
    <col min="24" max="27" width="10.28515625" style="93" hidden="1" customWidth="1" outlineLevel="1"/>
    <col min="28" max="28" width="10.28515625" style="93" customWidth="1" collapsed="1"/>
    <col min="29" max="32" width="10.28515625" style="93" hidden="1" customWidth="1" outlineLevel="1"/>
    <col min="33" max="33" width="10.28515625" style="93" customWidth="1" collapsed="1"/>
    <col min="34" max="37" width="10.28515625" style="93" customWidth="1" outlineLevel="1"/>
    <col min="38" max="38" width="10.28515625" style="93" customWidth="1"/>
    <col min="39" max="42" width="10.28515625" style="93" customWidth="1" outlineLevel="1"/>
    <col min="43" max="43" width="10.28515625" style="93" customWidth="1"/>
    <col min="44" max="47" width="10.28515625" style="93" customWidth="1" outlineLevel="1"/>
    <col min="48" max="48" width="10.28515625" style="93" customWidth="1"/>
    <col min="49" max="52" width="10.28515625" style="93" customWidth="1" outlineLevel="1"/>
    <col min="53" max="53" width="10.28515625" style="93" customWidth="1"/>
    <col min="54" max="56" width="9.85546875" style="93" customWidth="1"/>
    <col min="57" max="16384" width="10.28515625" style="93"/>
  </cols>
  <sheetData>
    <row r="1" spans="1:55" ht="10.35" customHeight="1" x14ac:dyDescent="0.2">
      <c r="S1" s="94" t="s">
        <v>73</v>
      </c>
      <c r="V1" s="95"/>
    </row>
    <row r="2" spans="1:55" ht="15.75" x14ac:dyDescent="0.25">
      <c r="A2" s="28"/>
      <c r="B2" s="96" t="s">
        <v>74</v>
      </c>
      <c r="C2" s="96"/>
      <c r="D2" s="831" t="str">
        <f>"Sep. " &amp;C4</f>
        <v xml:space="preserve">Sep. </v>
      </c>
      <c r="E2" s="831" t="str">
        <f>"Dec. " &amp;C4</f>
        <v xml:space="preserve">Dec. </v>
      </c>
      <c r="F2" s="831" t="str">
        <f>"Mar. " &amp;H4</f>
        <v>Mar. 2018</v>
      </c>
      <c r="G2" s="831" t="str">
        <f>"Jun. " &amp;H4</f>
        <v>Jun. 2018</v>
      </c>
      <c r="H2" s="97"/>
      <c r="I2" s="831" t="str">
        <f>"Sep. " &amp;H4</f>
        <v>Sep. 2018</v>
      </c>
      <c r="J2" s="831" t="str">
        <f>"Dec. " &amp;H4</f>
        <v>Dec. 2018</v>
      </c>
      <c r="K2" s="831" t="str">
        <f>"Mar. " &amp;M4</f>
        <v>Mar. 2019</v>
      </c>
      <c r="L2" s="831" t="str">
        <f>"Jun. " &amp;M4</f>
        <v>Jun. 2019</v>
      </c>
      <c r="M2" s="97"/>
      <c r="N2" s="831" t="str">
        <f>"Sep. " &amp;M4</f>
        <v>Sep. 2019</v>
      </c>
      <c r="O2" s="831" t="str">
        <f>"Dec. " &amp;M4</f>
        <v>Dec. 2019</v>
      </c>
      <c r="P2" s="831" t="str">
        <f>"Mar. " &amp;R4</f>
        <v>Mar. 2020</v>
      </c>
      <c r="Q2" s="831" t="str">
        <f>"Jun. " &amp;R4</f>
        <v>Jun. 2020</v>
      </c>
      <c r="R2" s="100"/>
      <c r="S2" s="831" t="str">
        <f>"Sep. " &amp;R4</f>
        <v>Sep. 2020</v>
      </c>
      <c r="T2" s="831" t="str">
        <f>"Dec. " &amp;R4</f>
        <v>Dec. 2020</v>
      </c>
      <c r="U2" s="831" t="str">
        <f>"Mar. " &amp;W4</f>
        <v>Mar. 2021</v>
      </c>
      <c r="V2" s="831" t="str">
        <f>"Jun. " &amp;W4</f>
        <v>Jun. 2021</v>
      </c>
      <c r="W2" s="101"/>
      <c r="X2" s="831" t="str">
        <f>"Sep. " &amp;W4</f>
        <v>Sep. 2021</v>
      </c>
      <c r="Y2" s="831" t="str">
        <f>"Dec. " &amp;W4</f>
        <v>Dec. 2021</v>
      </c>
      <c r="Z2" s="831" t="str">
        <f>"Mar. " &amp;AB4</f>
        <v>Mar. 2022</v>
      </c>
      <c r="AA2" s="831" t="str">
        <f>"Jun. " &amp;AB4</f>
        <v>Jun. 2022</v>
      </c>
      <c r="AB2" s="101"/>
      <c r="AC2" s="831" t="str">
        <f>"Sep. " &amp;AB4</f>
        <v>Sep. 2022</v>
      </c>
      <c r="AD2" s="831" t="str">
        <f>"Dec. " &amp;AB4</f>
        <v>Dec. 2022</v>
      </c>
      <c r="AE2" s="831" t="str">
        <f>"Mar. " &amp;AG4</f>
        <v>Mar. 2023</v>
      </c>
      <c r="AF2" s="831" t="str">
        <f>"Jun. " &amp;AG4</f>
        <v>Jun. 2023</v>
      </c>
      <c r="AG2" s="101"/>
      <c r="AH2" s="831" t="str">
        <f>"Sep. " &amp;AG4</f>
        <v>Sep. 2023</v>
      </c>
      <c r="AI2" s="831" t="str">
        <f>"Dec. " &amp;AG4</f>
        <v>Dec. 2023</v>
      </c>
      <c r="AJ2" s="831" t="str">
        <f>"Mar. " &amp;AL4</f>
        <v>Mar. 2024</v>
      </c>
      <c r="AK2" s="831" t="str">
        <f>"Jun. " &amp;AL4</f>
        <v>Jun. 2024</v>
      </c>
      <c r="AL2" s="831"/>
      <c r="AM2" s="831" t="str">
        <f>"Sep. " &amp;AL4</f>
        <v>Sep. 2024</v>
      </c>
      <c r="AN2" s="831" t="str">
        <f>"Dec. " &amp;AL4</f>
        <v>Dec. 2024</v>
      </c>
      <c r="AO2" s="831" t="str">
        <f>"Mar. " &amp;AQ4</f>
        <v>Mar. 2025</v>
      </c>
      <c r="AP2" s="831" t="str">
        <f>"Jun. " &amp;AQ4</f>
        <v>Jun. 2025</v>
      </c>
      <c r="AQ2" s="831"/>
      <c r="AR2" s="831" t="str">
        <f>"Sep. " &amp;AQ4</f>
        <v>Sep. 2025</v>
      </c>
      <c r="AS2" s="831" t="str">
        <f>"Dec. " &amp;AQ4</f>
        <v>Dec. 2025</v>
      </c>
      <c r="AT2" s="831" t="str">
        <f>"Mar. " &amp;AV4</f>
        <v>Mar. 2026E</v>
      </c>
      <c r="AU2" s="831" t="str">
        <f>"Jun. " &amp;AV4</f>
        <v>Jun. 2026E</v>
      </c>
      <c r="AV2" s="95"/>
      <c r="AW2" s="831" t="str">
        <f>"Sep. " &amp;AV4</f>
        <v>Sep. 2026E</v>
      </c>
      <c r="AX2" s="831" t="str">
        <f>"Dec. " &amp;AV4</f>
        <v>Dec. 2026E</v>
      </c>
      <c r="AY2" s="831" t="str">
        <f>"Mar. " &amp;BA4</f>
        <v>Mar. 2027E</v>
      </c>
      <c r="AZ2" s="831" t="str">
        <f>"Jun. " &amp;BA4</f>
        <v>Jun. 2027E</v>
      </c>
      <c r="BA2" s="101"/>
    </row>
    <row r="3" spans="1:55" ht="5.0999999999999996" customHeight="1" thickBot="1" x14ac:dyDescent="0.25">
      <c r="A3" s="28"/>
      <c r="B3" s="28"/>
      <c r="C3" s="97"/>
      <c r="D3" s="102"/>
      <c r="E3" s="103"/>
      <c r="F3" s="103"/>
      <c r="G3" s="103"/>
      <c r="H3" s="97"/>
      <c r="I3" s="102"/>
      <c r="J3" s="103"/>
      <c r="K3" s="103"/>
      <c r="L3" s="103"/>
      <c r="M3" s="97"/>
      <c r="N3" s="102"/>
      <c r="O3" s="103"/>
      <c r="P3" s="103"/>
      <c r="Q3" s="103"/>
      <c r="R3" s="97"/>
      <c r="S3" s="102"/>
      <c r="T3" s="103"/>
      <c r="U3" s="103"/>
      <c r="V3" s="103"/>
      <c r="W3" s="97"/>
      <c r="X3" s="102"/>
      <c r="Y3" s="103"/>
      <c r="Z3" s="103"/>
      <c r="AA3" s="103"/>
    </row>
    <row r="4" spans="1:55" ht="13.5" thickBot="1" x14ac:dyDescent="0.25">
      <c r="A4" s="28"/>
      <c r="B4" s="104" t="s">
        <v>75</v>
      </c>
      <c r="C4" s="288"/>
      <c r="D4" s="71" t="s">
        <v>17</v>
      </c>
      <c r="E4" s="71" t="s">
        <v>18</v>
      </c>
      <c r="F4" s="71" t="s">
        <v>19</v>
      </c>
      <c r="G4" s="71" t="s">
        <v>20</v>
      </c>
      <c r="H4" s="72">
        <v>2018</v>
      </c>
      <c r="I4" s="71" t="s">
        <v>21</v>
      </c>
      <c r="J4" s="71" t="s">
        <v>22</v>
      </c>
      <c r="K4" s="71" t="s">
        <v>10</v>
      </c>
      <c r="L4" s="71" t="s">
        <v>11</v>
      </c>
      <c r="M4" s="72">
        <v>2019</v>
      </c>
      <c r="N4" s="71" t="s">
        <v>12</v>
      </c>
      <c r="O4" s="71" t="s">
        <v>13</v>
      </c>
      <c r="P4" s="71" t="s">
        <v>14</v>
      </c>
      <c r="Q4" s="71" t="s">
        <v>15</v>
      </c>
      <c r="R4" s="72">
        <v>2020</v>
      </c>
      <c r="S4" s="71" t="s">
        <v>6</v>
      </c>
      <c r="T4" s="71" t="s">
        <v>7</v>
      </c>
      <c r="U4" s="71" t="s">
        <v>8</v>
      </c>
      <c r="V4" s="71" t="s">
        <v>0</v>
      </c>
      <c r="W4" s="72">
        <v>2021</v>
      </c>
      <c r="X4" s="71" t="s">
        <v>1</v>
      </c>
      <c r="Y4" s="71" t="s">
        <v>2</v>
      </c>
      <c r="Z4" s="71" t="s">
        <v>3</v>
      </c>
      <c r="AA4" s="71" t="s">
        <v>4</v>
      </c>
      <c r="AB4" s="72">
        <v>2022</v>
      </c>
      <c r="AC4" s="71" t="s">
        <v>5</v>
      </c>
      <c r="AD4" s="71" t="s">
        <v>68</v>
      </c>
      <c r="AE4" s="71" t="s">
        <v>274</v>
      </c>
      <c r="AF4" s="71" t="s">
        <v>306</v>
      </c>
      <c r="AG4" s="72">
        <v>2023</v>
      </c>
      <c r="AH4" s="71" t="s">
        <v>389</v>
      </c>
      <c r="AI4" s="71" t="s">
        <v>396</v>
      </c>
      <c r="AJ4" s="71" t="s">
        <v>397</v>
      </c>
      <c r="AK4" s="71" t="s">
        <v>401</v>
      </c>
      <c r="AL4" s="72">
        <v>2024</v>
      </c>
      <c r="AM4" s="71" t="s">
        <v>427</v>
      </c>
      <c r="AN4" s="71" t="s">
        <v>432</v>
      </c>
      <c r="AO4" s="71" t="s">
        <v>434</v>
      </c>
      <c r="AP4" s="71" t="s">
        <v>437</v>
      </c>
      <c r="AQ4" s="72">
        <v>2025</v>
      </c>
      <c r="AR4" s="71" t="s">
        <v>450</v>
      </c>
      <c r="AS4" s="71" t="s">
        <v>489</v>
      </c>
      <c r="AT4" s="71" t="s">
        <v>422</v>
      </c>
      <c r="AU4" s="71" t="s">
        <v>423</v>
      </c>
      <c r="AV4" s="72" t="s">
        <v>424</v>
      </c>
      <c r="AW4" s="71" t="s">
        <v>445</v>
      </c>
      <c r="AX4" s="71" t="s">
        <v>446</v>
      </c>
      <c r="AY4" s="71" t="s">
        <v>447</v>
      </c>
      <c r="AZ4" s="71" t="s">
        <v>448</v>
      </c>
      <c r="BA4" s="72" t="s">
        <v>449</v>
      </c>
    </row>
    <row r="5" spans="1:55" s="185" customFormat="1" ht="18" customHeight="1" x14ac:dyDescent="0.2">
      <c r="A5" s="180"/>
      <c r="B5" s="284" t="s">
        <v>304</v>
      </c>
      <c r="C5" s="181"/>
      <c r="D5" s="182"/>
      <c r="E5" s="183"/>
      <c r="F5" s="182"/>
      <c r="G5" s="182"/>
      <c r="H5" s="184">
        <v>42000</v>
      </c>
      <c r="I5" s="182">
        <v>13070.322909999995</v>
      </c>
      <c r="J5" s="182">
        <v>14316.546762589929</v>
      </c>
      <c r="K5" s="182">
        <v>15400</v>
      </c>
      <c r="L5" s="182">
        <v>16813.130327410079</v>
      </c>
      <c r="M5" s="184">
        <f>SUM(I5:L5)</f>
        <v>59600</v>
      </c>
      <c r="N5" s="182">
        <v>18047.774560000005</v>
      </c>
      <c r="O5" s="182">
        <v>19900.000000000004</v>
      </c>
      <c r="P5" s="182">
        <v>22292</v>
      </c>
      <c r="Q5" s="182">
        <v>23599.999999999996</v>
      </c>
      <c r="R5" s="184">
        <f>SUM(N5:Q5)</f>
        <v>83839.774560000005</v>
      </c>
      <c r="S5" s="183">
        <v>24599.999999999996</v>
      </c>
      <c r="T5" s="183">
        <v>26600</v>
      </c>
      <c r="U5" s="183">
        <v>29299.999999999996</v>
      </c>
      <c r="V5" s="183">
        <v>31200</v>
      </c>
      <c r="W5" s="184">
        <f>SUM(S5:V5)</f>
        <v>111700</v>
      </c>
      <c r="X5" s="182">
        <v>36900</v>
      </c>
      <c r="Y5" s="182">
        <v>49200</v>
      </c>
      <c r="Z5" s="182">
        <v>52199.999999999993</v>
      </c>
      <c r="AA5" s="182">
        <f>'Revenue Build'!AA143</f>
        <v>55300</v>
      </c>
      <c r="AB5" s="184">
        <f>SUM(X5:AA5)</f>
        <v>193600</v>
      </c>
      <c r="AC5" s="182">
        <v>58100</v>
      </c>
      <c r="AD5" s="182">
        <f>'Revenue Build'!AD143</f>
        <v>61500</v>
      </c>
      <c r="AE5" s="182">
        <f>'Revenue Build'!AE143</f>
        <v>66700</v>
      </c>
      <c r="AF5" s="182">
        <f>'Revenue Build'!AF143</f>
        <v>66900</v>
      </c>
      <c r="AG5" s="184">
        <f>SUM(AC5:AF5)</f>
        <v>253200</v>
      </c>
      <c r="AH5" s="182">
        <f>'Revenue Build'!AH143</f>
        <v>62400</v>
      </c>
      <c r="AI5" s="182">
        <f>'Revenue Build'!AI143</f>
        <v>63400</v>
      </c>
      <c r="AJ5" s="182">
        <f>'Revenue Build'!AJ143</f>
        <v>65600</v>
      </c>
      <c r="AK5" s="182">
        <f>'Revenue Build'!AK143</f>
        <v>65800</v>
      </c>
      <c r="AL5" s="184">
        <f>SUM(AH5:AK5)</f>
        <v>257200</v>
      </c>
      <c r="AM5" s="182">
        <f>'Revenue Build'!AM143</f>
        <v>67383</v>
      </c>
      <c r="AN5" s="182">
        <f>'Revenue Build'!AN143</f>
        <v>67721</v>
      </c>
      <c r="AO5" s="182">
        <f>'Revenue Build'!AO143</f>
        <v>68115</v>
      </c>
      <c r="AP5" s="182">
        <f>'Revenue Build'!AP143</f>
        <v>68787</v>
      </c>
      <c r="AQ5" s="184">
        <f>SUM(AM5:AP5)</f>
        <v>272006</v>
      </c>
      <c r="AR5" s="182">
        <f>'Revenue Build'!AR143</f>
        <v>70823</v>
      </c>
      <c r="AS5" s="182">
        <f>'Revenue Build'!AS143</f>
        <v>72100</v>
      </c>
      <c r="AT5" s="182">
        <f>'Revenue Build'!AT143</f>
        <v>72361.685428523604</v>
      </c>
      <c r="AU5" s="182">
        <f>'Revenue Build'!AU143</f>
        <v>73465.458758312088</v>
      </c>
      <c r="AV5" s="184">
        <f>SUM(AR5:AU5)</f>
        <v>288750.14418683568</v>
      </c>
      <c r="AW5" s="182">
        <f>'Revenue Build'!AW143</f>
        <v>76928.960200601869</v>
      </c>
      <c r="AX5" s="182">
        <f>'Revenue Build'!AX143</f>
        <v>78464.912345553457</v>
      </c>
      <c r="AY5" s="182">
        <f>'Revenue Build'!AY143</f>
        <v>78779.436316119842</v>
      </c>
      <c r="AZ5" s="182">
        <f>'Revenue Build'!AZ143</f>
        <v>80148.650206364677</v>
      </c>
      <c r="BA5" s="184">
        <f>SUM(AW5:AZ5)</f>
        <v>314321.95906863984</v>
      </c>
    </row>
    <row r="6" spans="1:55" s="121" customFormat="1" ht="13.35" customHeight="1" x14ac:dyDescent="0.2">
      <c r="A6" s="105"/>
      <c r="B6" s="119"/>
      <c r="C6" s="112" t="s">
        <v>29</v>
      </c>
      <c r="D6" s="108"/>
      <c r="E6" s="109"/>
      <c r="F6" s="108"/>
      <c r="G6" s="108"/>
      <c r="H6" s="110"/>
      <c r="I6" s="108"/>
      <c r="J6" s="108"/>
      <c r="K6" s="108"/>
      <c r="L6" s="108"/>
      <c r="M6" s="285">
        <f t="shared" ref="M6" si="0">M5/H5-1</f>
        <v>0.41904761904761911</v>
      </c>
      <c r="N6" s="114">
        <f t="shared" ref="N6" si="1">N5/I5-1</f>
        <v>0.38082086297897066</v>
      </c>
      <c r="O6" s="114">
        <f t="shared" ref="O6" si="2">O5/J5-1</f>
        <v>0.39000000000000012</v>
      </c>
      <c r="P6" s="114">
        <f t="shared" ref="P6" si="3">P5/K5-1</f>
        <v>0.44753246753246745</v>
      </c>
      <c r="Q6" s="114">
        <f t="shared" ref="Q6" si="4">Q5/L5-1</f>
        <v>0.40366484648759493</v>
      </c>
      <c r="R6" s="285">
        <f t="shared" ref="R6" si="5">R5/M5-1</f>
        <v>0.40670762684563777</v>
      </c>
      <c r="S6" s="115">
        <f t="shared" ref="S6" si="6">S5/N5-1</f>
        <v>0.36304894092161066</v>
      </c>
      <c r="T6" s="115">
        <f t="shared" ref="T6" si="7">T5/O5-1</f>
        <v>0.33668341708542693</v>
      </c>
      <c r="U6" s="115">
        <f t="shared" ref="U6" si="8">U5/P5-1</f>
        <v>0.31437286919074081</v>
      </c>
      <c r="V6" s="115">
        <f t="shared" ref="V6" si="9">V5/Q5-1</f>
        <v>0.322033898305085</v>
      </c>
      <c r="W6" s="116">
        <f>W5/R5-1</f>
        <v>0.33230320079238518</v>
      </c>
      <c r="X6" s="115">
        <f t="shared" ref="X6" si="10">X5/S5-1</f>
        <v>0.50000000000000022</v>
      </c>
      <c r="Y6" s="115">
        <f t="shared" ref="Y6" si="11">Y5/T5-1</f>
        <v>0.84962406015037595</v>
      </c>
      <c r="Z6" s="115">
        <f t="shared" ref="Z6" si="12">Z5/U5-1</f>
        <v>0.78156996587030725</v>
      </c>
      <c r="AA6" s="5">
        <f t="shared" ref="AA6" si="13">AA5/V5-1</f>
        <v>0.77243589743589736</v>
      </c>
      <c r="AB6" s="116">
        <f>AB5/W5-1</f>
        <v>0.73321396598030431</v>
      </c>
      <c r="AC6" s="115">
        <f t="shared" ref="AC6" si="14">AC5/X5-1</f>
        <v>0.57452574525745259</v>
      </c>
      <c r="AD6" s="115">
        <f>AD5/Y5-1</f>
        <v>0.25</v>
      </c>
      <c r="AE6" s="115">
        <f>AE5/Z5-1</f>
        <v>0.2777777777777779</v>
      </c>
      <c r="AF6" s="115">
        <f>AF5/AA5-1</f>
        <v>0.20976491862567803</v>
      </c>
      <c r="AG6" s="116">
        <f>AG5/AB5-1</f>
        <v>0.30785123966942152</v>
      </c>
      <c r="AH6" s="115">
        <f t="shared" ref="AH6" si="15">AH5/AC5-1</f>
        <v>7.4010327022375311E-2</v>
      </c>
      <c r="AI6" s="115">
        <f>AI5/AD5-1</f>
        <v>3.0894308943089532E-2</v>
      </c>
      <c r="AJ6" s="115">
        <f>AJ5/AE5-1</f>
        <v>-1.6491754122938573E-2</v>
      </c>
      <c r="AK6" s="115">
        <f>AK5/AF5-1</f>
        <v>-1.6442451420029869E-2</v>
      </c>
      <c r="AL6" s="116">
        <f>AL5/AG5-1</f>
        <v>1.579778830963674E-2</v>
      </c>
      <c r="AM6" s="115">
        <f t="shared" ref="AM6" si="16">AM5/AH5-1</f>
        <v>7.9855769230769313E-2</v>
      </c>
      <c r="AN6" s="115">
        <f>AN5/AI5-1</f>
        <v>6.8154574132492041E-2</v>
      </c>
      <c r="AO6" s="115">
        <f>AO5/AJ5-1</f>
        <v>3.8338414634146334E-2</v>
      </c>
      <c r="AP6" s="115">
        <f>AP5/AK5-1</f>
        <v>4.5395136778115575E-2</v>
      </c>
      <c r="AQ6" s="116">
        <f>AQ5/AL5-1</f>
        <v>5.7566096423017132E-2</v>
      </c>
      <c r="AR6" s="115">
        <f t="shared" ref="AR6" si="17">AR5/AM5-1</f>
        <v>5.1051452146683829E-2</v>
      </c>
      <c r="AS6" s="115">
        <f>AS5/AN5-1</f>
        <v>6.4662364702234187E-2</v>
      </c>
      <c r="AT6" s="115">
        <f>AT5/AO5-1</f>
        <v>6.2345818520496366E-2</v>
      </c>
      <c r="AU6" s="115">
        <f>AU5/AP5-1</f>
        <v>6.8013705472139918E-2</v>
      </c>
      <c r="AV6" s="116">
        <f>AV5/AQ5-1</f>
        <v>6.1557995731107651E-2</v>
      </c>
      <c r="AW6" s="115">
        <f t="shared" ref="AW6" si="18">AW5/AR5-1</f>
        <v>8.6214368222214066E-2</v>
      </c>
      <c r="AX6" s="115">
        <f>AX5/AS5-1</f>
        <v>8.8278950701157433E-2</v>
      </c>
      <c r="AY6" s="115">
        <f>AY5/AT5-1</f>
        <v>8.8689903359637334E-2</v>
      </c>
      <c r="AZ6" s="115">
        <f>AZ5/AU5-1</f>
        <v>9.0970526299156029E-2</v>
      </c>
      <c r="BA6" s="116">
        <f>BA5/AV5-1</f>
        <v>8.8560353636595757E-2</v>
      </c>
    </row>
    <row r="7" spans="1:55" s="121" customFormat="1" ht="13.35" customHeight="1" x14ac:dyDescent="0.2">
      <c r="A7" s="105"/>
      <c r="B7" s="119"/>
      <c r="C7" s="112" t="s">
        <v>76</v>
      </c>
      <c r="D7" s="108"/>
      <c r="E7" s="109"/>
      <c r="F7" s="108"/>
      <c r="G7" s="108"/>
      <c r="H7" s="110"/>
      <c r="I7" s="114"/>
      <c r="J7" s="114">
        <f>J5/I5-1</f>
        <v>9.5347594789449097E-2</v>
      </c>
      <c r="K7" s="114">
        <f t="shared" ref="K7" si="19">K5/J5-1</f>
        <v>7.5678391959798974E-2</v>
      </c>
      <c r="L7" s="114">
        <f t="shared" ref="L7" si="20">L5/K5-1</f>
        <v>9.1761709572083072E-2</v>
      </c>
      <c r="M7" s="110"/>
      <c r="N7" s="114">
        <f>N5/L5-1</f>
        <v>7.3433335051064974E-2</v>
      </c>
      <c r="O7" s="114">
        <f>O5/N5-1</f>
        <v>0.10262902131463658</v>
      </c>
      <c r="P7" s="114">
        <f t="shared" ref="P7" si="21">P5/O5-1</f>
        <v>0.12020100502512543</v>
      </c>
      <c r="Q7" s="114">
        <f t="shared" ref="Q7" si="22">Q5/P5-1</f>
        <v>5.867575811950454E-2</v>
      </c>
      <c r="R7" s="110"/>
      <c r="S7" s="114">
        <f>S5/Q5-1</f>
        <v>4.2372881355932313E-2</v>
      </c>
      <c r="T7" s="114">
        <f>T5/S5-1</f>
        <v>8.1300813008130302E-2</v>
      </c>
      <c r="U7" s="114">
        <f t="shared" ref="U7" si="23">U5/T5-1</f>
        <v>0.10150375939849621</v>
      </c>
      <c r="V7" s="114">
        <f t="shared" ref="V7" si="24">V5/U5-1</f>
        <v>6.4846416382252636E-2</v>
      </c>
      <c r="W7" s="110"/>
      <c r="X7" s="114">
        <f>X5/V5-1</f>
        <v>0.18269230769230771</v>
      </c>
      <c r="Y7" s="114">
        <f>Y5/X5-1</f>
        <v>0.33333333333333326</v>
      </c>
      <c r="Z7" s="114">
        <f t="shared" ref="Z7" si="25">Z5/Y5-1</f>
        <v>6.0975609756097393E-2</v>
      </c>
      <c r="AA7" s="114">
        <f t="shared" ref="AA7" si="26">AA5/Z5-1</f>
        <v>5.9386973180076685E-2</v>
      </c>
      <c r="AB7" s="110"/>
      <c r="AC7" s="114">
        <f>AC5/AA5-1</f>
        <v>5.0632911392405111E-2</v>
      </c>
      <c r="AD7" s="114">
        <f>AD5/AC5-1</f>
        <v>5.8519793459552494E-2</v>
      </c>
      <c r="AE7" s="114">
        <f>AE5/AD5-1</f>
        <v>8.4552845528455212E-2</v>
      </c>
      <c r="AF7" s="114">
        <f t="shared" ref="AF7" si="27">AF5/AE5-1</f>
        <v>2.9985007496251548E-3</v>
      </c>
      <c r="AG7" s="110"/>
      <c r="AH7" s="114">
        <f>AH5/AF5-1</f>
        <v>-6.7264573991031362E-2</v>
      </c>
      <c r="AI7" s="114">
        <f>AI5/AH5-1</f>
        <v>1.6025641025640969E-2</v>
      </c>
      <c r="AJ7" s="114">
        <f>AJ5/AI5-1</f>
        <v>3.4700315457413256E-2</v>
      </c>
      <c r="AK7" s="114">
        <f t="shared" ref="AK7" si="28">AK5/AJ5-1</f>
        <v>3.0487804878047697E-3</v>
      </c>
      <c r="AL7" s="110"/>
      <c r="AM7" s="114">
        <f>AM5/AK5-1</f>
        <v>2.4057750759878482E-2</v>
      </c>
      <c r="AN7" s="114">
        <f>AN5/AM5-1</f>
        <v>5.0161019841798993E-3</v>
      </c>
      <c r="AO7" s="114">
        <f>AO5/AN5-1</f>
        <v>5.8179885116875774E-3</v>
      </c>
      <c r="AP7" s="114">
        <f t="shared" ref="AP7" si="29">AP5/AO5-1</f>
        <v>9.865668354987811E-3</v>
      </c>
      <c r="AQ7" s="110"/>
      <c r="AR7" s="114">
        <f>AR5/AP5-1</f>
        <v>2.9598616017561419E-2</v>
      </c>
      <c r="AS7" s="114">
        <f>AS5/AR5-1</f>
        <v>1.8030865679228514E-2</v>
      </c>
      <c r="AT7" s="114">
        <f>AT5/AS5-1</f>
        <v>3.6294788976920511E-3</v>
      </c>
      <c r="AU7" s="114">
        <f t="shared" ref="AU7" si="30">AU5/AT5-1</f>
        <v>1.5253560268144284E-2</v>
      </c>
      <c r="AV7" s="110"/>
      <c r="AW7" s="114">
        <f>AW5/AU5-1</f>
        <v>4.714462416527021E-2</v>
      </c>
      <c r="AX7" s="114">
        <f>AX5/AW5-1</f>
        <v>1.9965850844030575E-2</v>
      </c>
      <c r="AY7" s="114">
        <f>AY5/AX5-1</f>
        <v>4.0084664745592136E-3</v>
      </c>
      <c r="AZ7" s="114">
        <f t="shared" ref="AZ7" si="31">AZ5/AY5-1</f>
        <v>1.7380346373012445E-2</v>
      </c>
      <c r="BA7" s="110"/>
    </row>
    <row r="8" spans="1:55" s="185" customFormat="1" ht="18.75" customHeight="1" x14ac:dyDescent="0.2">
      <c r="A8" s="180"/>
      <c r="B8" s="284" t="s">
        <v>305</v>
      </c>
      <c r="C8" s="181"/>
      <c r="D8" s="182"/>
      <c r="E8" s="182"/>
      <c r="F8" s="182"/>
      <c r="G8" s="182"/>
      <c r="H8" s="287"/>
      <c r="I8" s="182">
        <v>5100</v>
      </c>
      <c r="J8" s="182">
        <v>6040</v>
      </c>
      <c r="K8" s="182">
        <v>6700</v>
      </c>
      <c r="L8" s="182">
        <v>8560</v>
      </c>
      <c r="M8" s="287">
        <f>SUM(I8:L8)</f>
        <v>26400</v>
      </c>
      <c r="N8" s="182">
        <v>10500</v>
      </c>
      <c r="O8" s="182">
        <v>13100</v>
      </c>
      <c r="P8" s="182">
        <v>13800</v>
      </c>
      <c r="Q8" s="182">
        <v>15200</v>
      </c>
      <c r="R8" s="287">
        <f>SUM(N8:Q8)</f>
        <v>52600</v>
      </c>
      <c r="S8" s="182">
        <v>19200</v>
      </c>
      <c r="T8" s="182">
        <v>25700</v>
      </c>
      <c r="U8" s="182">
        <v>29300</v>
      </c>
      <c r="V8" s="182">
        <v>46300</v>
      </c>
      <c r="W8" s="287">
        <f>SUM(S8:V8)</f>
        <v>120500</v>
      </c>
      <c r="X8" s="182">
        <v>80600</v>
      </c>
      <c r="Y8" s="182">
        <v>106300</v>
      </c>
      <c r="Z8" s="182">
        <v>113300</v>
      </c>
      <c r="AA8" s="182">
        <f>'Revenue Build'!AA139</f>
        <v>139600</v>
      </c>
      <c r="AB8" s="287">
        <f>SUM(X8:AA8)</f>
        <v>439800</v>
      </c>
      <c r="AC8" s="182">
        <v>156500</v>
      </c>
      <c r="AD8" s="182">
        <f>'Revenue Build'!AD139</f>
        <v>169600</v>
      </c>
      <c r="AE8" s="182">
        <f>'Revenue Build'!AE139</f>
        <v>172700</v>
      </c>
      <c r="AF8" s="182">
        <f>'Revenue Build'!AF139</f>
        <v>192600</v>
      </c>
      <c r="AG8" s="184">
        <f>SUM(AC8:AF8)</f>
        <v>691400</v>
      </c>
      <c r="AH8" s="182">
        <f>'Revenue Build'!AH139</f>
        <v>202800</v>
      </c>
      <c r="AI8" s="182">
        <f>'Revenue Build'!AI139</f>
        <v>211600</v>
      </c>
      <c r="AJ8" s="182">
        <f>'Revenue Build'!AJ139-6</f>
        <v>215694</v>
      </c>
      <c r="AK8" s="182">
        <f>'Revenue Build'!AK139+6</f>
        <v>235506</v>
      </c>
      <c r="AL8" s="184">
        <f>SUM(AH8:AK8)</f>
        <v>865600</v>
      </c>
      <c r="AM8" s="182">
        <f>'Revenue Build'!AM139</f>
        <v>247560</v>
      </c>
      <c r="AN8" s="182">
        <f>'Revenue Build'!AN139</f>
        <v>251895</v>
      </c>
      <c r="AO8" s="182">
        <f>'Revenue Build'!AO139</f>
        <v>252183</v>
      </c>
      <c r="AP8" s="182">
        <f>'Revenue Build'!AP139</f>
        <v>277160</v>
      </c>
      <c r="AQ8" s="184">
        <f>SUM(AM8:AP8)</f>
        <v>1028798</v>
      </c>
      <c r="AR8" s="182">
        <f>'Revenue Build'!AR139</f>
        <v>287182</v>
      </c>
      <c r="AS8" s="182">
        <f>'Revenue Build'!AS139</f>
        <v>303028</v>
      </c>
      <c r="AT8" s="182">
        <f>'Revenue Build'!AT139</f>
        <v>296693.21380000009</v>
      </c>
      <c r="AU8" s="182">
        <f>'Revenue Build'!AU139</f>
        <v>324479.67750000005</v>
      </c>
      <c r="AV8" s="184">
        <f>SUM(AR8:AU8)</f>
        <v>1211382.8913</v>
      </c>
      <c r="AW8" s="182">
        <f>'Revenue Build'!AW139</f>
        <v>329854.58609999996</v>
      </c>
      <c r="AX8" s="182">
        <f>'Revenue Build'!AX139</f>
        <v>345160.52549999999</v>
      </c>
      <c r="AY8" s="182">
        <f>'Revenue Build'!AY139</f>
        <v>340465.02033343009</v>
      </c>
      <c r="AZ8" s="182">
        <f>'Revenue Build'!AZ139</f>
        <v>370738.89760680002</v>
      </c>
      <c r="BA8" s="184">
        <f>SUM(AW8:AZ8)</f>
        <v>1386219.0295402301</v>
      </c>
    </row>
    <row r="9" spans="1:55" s="121" customFormat="1" ht="13.35" customHeight="1" x14ac:dyDescent="0.2">
      <c r="A9" s="105"/>
      <c r="B9" s="119"/>
      <c r="C9" s="112" t="s">
        <v>29</v>
      </c>
      <c r="D9" s="115"/>
      <c r="E9" s="115"/>
      <c r="F9" s="115"/>
      <c r="G9" s="115"/>
      <c r="H9" s="116"/>
      <c r="I9" s="115"/>
      <c r="J9" s="115"/>
      <c r="K9" s="115"/>
      <c r="L9" s="115"/>
      <c r="M9" s="116"/>
      <c r="N9" s="115">
        <f t="shared" ref="N9:AC9" si="32">N8/I8-1</f>
        <v>1.0588235294117645</v>
      </c>
      <c r="O9" s="115">
        <f t="shared" si="32"/>
        <v>1.1688741721854305</v>
      </c>
      <c r="P9" s="115">
        <f t="shared" si="32"/>
        <v>1.0597014925373136</v>
      </c>
      <c r="Q9" s="115">
        <f t="shared" si="32"/>
        <v>0.77570093457943923</v>
      </c>
      <c r="R9" s="116">
        <f t="shared" si="32"/>
        <v>0.99242424242424243</v>
      </c>
      <c r="S9" s="115">
        <f t="shared" si="32"/>
        <v>0.82857142857142851</v>
      </c>
      <c r="T9" s="115">
        <f t="shared" si="32"/>
        <v>0.96183206106870234</v>
      </c>
      <c r="U9" s="115">
        <f t="shared" si="32"/>
        <v>1.1231884057971016</v>
      </c>
      <c r="V9" s="115">
        <f t="shared" si="32"/>
        <v>2.0460526315789473</v>
      </c>
      <c r="W9" s="116">
        <f t="shared" si="32"/>
        <v>1.290874524714829</v>
      </c>
      <c r="X9" s="115">
        <f t="shared" si="32"/>
        <v>3.197916666666667</v>
      </c>
      <c r="Y9" s="115">
        <f t="shared" si="32"/>
        <v>3.136186770428016</v>
      </c>
      <c r="Z9" s="115">
        <f t="shared" si="32"/>
        <v>2.8668941979522184</v>
      </c>
      <c r="AA9" s="115">
        <f t="shared" si="32"/>
        <v>2.0151187904967602</v>
      </c>
      <c r="AB9" s="116">
        <f t="shared" si="32"/>
        <v>2.6497925311203319</v>
      </c>
      <c r="AC9" s="115">
        <f t="shared" si="32"/>
        <v>0.94168734491315131</v>
      </c>
      <c r="AD9" s="115">
        <f>AD8/Y8-1</f>
        <v>0.59548447789275638</v>
      </c>
      <c r="AE9" s="115">
        <f>AE8/Z8-1</f>
        <v>0.52427184466019416</v>
      </c>
      <c r="AF9" s="115">
        <f>AF8/AA8-1</f>
        <v>0.37965616045845274</v>
      </c>
      <c r="AG9" s="116">
        <f>AG8/AB8-1</f>
        <v>0.57207821737153242</v>
      </c>
      <c r="AH9" s="115">
        <f t="shared" ref="AH9" si="33">AH8/AC8-1</f>
        <v>0.29584664536741223</v>
      </c>
      <c r="AI9" s="115">
        <f>AI8/AD8-1</f>
        <v>0.24764150943396235</v>
      </c>
      <c r="AJ9" s="115">
        <f>AJ8/AE8-1</f>
        <v>0.24895193977996533</v>
      </c>
      <c r="AK9" s="115">
        <f>AK8/AF8-1</f>
        <v>0.22277258566978198</v>
      </c>
      <c r="AL9" s="116">
        <f>AL8/AG8-1</f>
        <v>0.25195256002314137</v>
      </c>
      <c r="AM9" s="115">
        <f t="shared" ref="AM9" si="34">AM8/AH8-1</f>
        <v>0.22071005917159758</v>
      </c>
      <c r="AN9" s="115">
        <f>AN8/AI8-1</f>
        <v>0.19043005671077506</v>
      </c>
      <c r="AO9" s="115">
        <f>AO8/AJ8-1</f>
        <v>0.16917021335781235</v>
      </c>
      <c r="AP9" s="115">
        <f>AP8/AK8-1</f>
        <v>0.17687022835936239</v>
      </c>
      <c r="AQ9" s="116">
        <f>AQ8/AL8-1</f>
        <v>0.18853743068391871</v>
      </c>
      <c r="AR9" s="115">
        <f t="shared" ref="AR9" si="35">AR8/AM8-1</f>
        <v>0.16005008886734529</v>
      </c>
      <c r="AS9" s="115">
        <f>AS8/AN8-1</f>
        <v>0.20299331070485716</v>
      </c>
      <c r="AT9" s="115">
        <f>AT8/AO8-1</f>
        <v>0.17649966016741847</v>
      </c>
      <c r="AU9" s="115">
        <f>AU8/AP8-1</f>
        <v>0.17073054372925411</v>
      </c>
      <c r="AV9" s="116">
        <f>AV8/AQ8-1</f>
        <v>0.17747399518661577</v>
      </c>
      <c r="AW9" s="115">
        <f t="shared" ref="AW9" si="36">AW8/AR8-1</f>
        <v>0.14859074071494716</v>
      </c>
      <c r="AX9" s="115">
        <f>AX8/AS8-1</f>
        <v>0.13903839084177028</v>
      </c>
      <c r="AY9" s="115">
        <f>AY8/AT8-1</f>
        <v>0.14753221340255007</v>
      </c>
      <c r="AZ9" s="115">
        <f>AZ8/AU8-1</f>
        <v>0.14256430622469396</v>
      </c>
      <c r="BA9" s="116">
        <f>BA8/AV8-1</f>
        <v>0.14432772618457901</v>
      </c>
    </row>
    <row r="10" spans="1:55" s="121" customFormat="1" ht="13.35" customHeight="1" x14ac:dyDescent="0.2">
      <c r="A10" s="105"/>
      <c r="B10" s="119"/>
      <c r="C10" s="112" t="s">
        <v>76</v>
      </c>
      <c r="D10" s="108"/>
      <c r="E10" s="109"/>
      <c r="F10" s="108"/>
      <c r="G10" s="108"/>
      <c r="H10" s="110"/>
      <c r="I10" s="114"/>
      <c r="J10" s="114">
        <f>J8/I8-1</f>
        <v>0.18431372549019609</v>
      </c>
      <c r="K10" s="114">
        <f t="shared" ref="K10" si="37">K8/J8-1</f>
        <v>0.10927152317880795</v>
      </c>
      <c r="L10" s="114">
        <f t="shared" ref="L10" si="38">L8/K8-1</f>
        <v>0.27761194029850755</v>
      </c>
      <c r="M10" s="110"/>
      <c r="N10" s="114">
        <f>N8/L8-1</f>
        <v>0.22663551401869153</v>
      </c>
      <c r="O10" s="114">
        <f>O8/N8-1</f>
        <v>0.24761904761904763</v>
      </c>
      <c r="P10" s="114">
        <f t="shared" ref="P10" si="39">P8/O8-1</f>
        <v>5.3435114503816772E-2</v>
      </c>
      <c r="Q10" s="114">
        <f t="shared" ref="Q10" si="40">Q8/P8-1</f>
        <v>0.10144927536231885</v>
      </c>
      <c r="R10" s="110"/>
      <c r="S10" s="114">
        <f>S8/Q8-1</f>
        <v>0.26315789473684204</v>
      </c>
      <c r="T10" s="114">
        <f>T8/S8-1</f>
        <v>0.33854166666666674</v>
      </c>
      <c r="U10" s="114">
        <f t="shared" ref="U10" si="41">U8/T8-1</f>
        <v>0.1400778210116731</v>
      </c>
      <c r="V10" s="114">
        <f t="shared" ref="V10" si="42">V8/U8-1</f>
        <v>0.58020477815699656</v>
      </c>
      <c r="W10" s="110"/>
      <c r="X10" s="114">
        <f>X8/V8-1</f>
        <v>0.74082073434125273</v>
      </c>
      <c r="Y10" s="114">
        <f>Y8/X8-1</f>
        <v>0.31885856079404462</v>
      </c>
      <c r="Z10" s="114">
        <f t="shared" ref="Z10" si="43">Z8/Y8-1</f>
        <v>6.5851364063969964E-2</v>
      </c>
      <c r="AA10" s="114">
        <f t="shared" ref="AA10" si="44">AA8/Z8-1</f>
        <v>0.23212709620476613</v>
      </c>
      <c r="AB10" s="110"/>
      <c r="AC10" s="114">
        <f>AC8/AA8-1</f>
        <v>0.12106017191977081</v>
      </c>
      <c r="AD10" s="114">
        <f>AD8/AC8-1</f>
        <v>8.3706070287539847E-2</v>
      </c>
      <c r="AE10" s="114">
        <f>AE8/AD8-1</f>
        <v>1.827830188679247E-2</v>
      </c>
      <c r="AF10" s="114">
        <f t="shared" ref="AF10" si="45">AF8/AE8-1</f>
        <v>0.11522872032426168</v>
      </c>
      <c r="AG10" s="110"/>
      <c r="AH10" s="114">
        <f>AH8/AF8-1</f>
        <v>5.2959501557632294E-2</v>
      </c>
      <c r="AI10" s="114">
        <f>AI8/AH8-1</f>
        <v>4.3392504930966469E-2</v>
      </c>
      <c r="AJ10" s="114">
        <f>AJ8/AI8-1</f>
        <v>1.9347826086956621E-2</v>
      </c>
      <c r="AK10" s="114">
        <f t="shared" ref="AK10" si="46">AK8/AJ8-1</f>
        <v>9.1852346379593275E-2</v>
      </c>
      <c r="AL10" s="110"/>
      <c r="AM10" s="114">
        <f>AM8/AK8-1</f>
        <v>5.1183409339889518E-2</v>
      </c>
      <c r="AN10" s="114">
        <f>AN8/AM8-1</f>
        <v>1.7510906446921881E-2</v>
      </c>
      <c r="AO10" s="114">
        <f>AO8/AN8-1</f>
        <v>1.1433335318287163E-3</v>
      </c>
      <c r="AP10" s="114">
        <f t="shared" ref="AP10" si="47">AP8/AO8-1</f>
        <v>9.9043155169063812E-2</v>
      </c>
      <c r="AQ10" s="110"/>
      <c r="AR10" s="114">
        <f>AR8/AP8-1</f>
        <v>3.6159618992639642E-2</v>
      </c>
      <c r="AS10" s="114">
        <f>AS8/AR8-1</f>
        <v>5.5177552910697703E-2</v>
      </c>
      <c r="AT10" s="114">
        <f>AT8/AS8-1</f>
        <v>-2.0904953337645082E-2</v>
      </c>
      <c r="AU10" s="114">
        <f t="shared" ref="AU10" si="48">AU8/AT8-1</f>
        <v>9.3653856601960239E-2</v>
      </c>
      <c r="AV10" s="110"/>
      <c r="AW10" s="114">
        <f>AW8/AU8-1</f>
        <v>1.6564700265396137E-2</v>
      </c>
      <c r="AX10" s="114">
        <f>AX8/AW8-1</f>
        <v>4.6402081538317042E-2</v>
      </c>
      <c r="AY10" s="114">
        <f>AY8/AX8-1</f>
        <v>-1.3603830159222285E-2</v>
      </c>
      <c r="AZ10" s="114">
        <f t="shared" ref="AZ10" si="49">AZ8/AY8-1</f>
        <v>8.8919200109666363E-2</v>
      </c>
      <c r="BA10" s="110"/>
    </row>
    <row r="11" spans="1:55" s="121" customFormat="1" ht="18" hidden="1" customHeight="1" outlineLevel="1" x14ac:dyDescent="0.2">
      <c r="A11" s="105"/>
      <c r="B11" s="119" t="s">
        <v>169</v>
      </c>
      <c r="C11" s="181"/>
      <c r="D11" s="108">
        <v>12365.458350000001</v>
      </c>
      <c r="E11" s="109">
        <v>13337.969880000001</v>
      </c>
      <c r="F11" s="108">
        <v>14920.694810000003</v>
      </c>
      <c r="G11" s="108">
        <v>16367.557599999998</v>
      </c>
      <c r="H11" s="110">
        <f>SUM(D11:G11)</f>
        <v>56991.680640000006</v>
      </c>
      <c r="I11" s="108">
        <v>18170.322909999995</v>
      </c>
      <c r="J11" s="108">
        <v>20443.822600000003</v>
      </c>
      <c r="K11" s="108">
        <v>22111.761559999999</v>
      </c>
      <c r="L11" s="108">
        <v>25224.915560000001</v>
      </c>
      <c r="M11" s="110">
        <f>SUM(I11:L11)</f>
        <v>85950.82263000001</v>
      </c>
      <c r="N11" s="108">
        <v>28547.774560000005</v>
      </c>
      <c r="O11" s="108">
        <v>32964</v>
      </c>
      <c r="P11" s="108">
        <v>36092</v>
      </c>
      <c r="Q11" s="108">
        <v>38801</v>
      </c>
      <c r="R11" s="110">
        <f>SUM(N11:Q11)</f>
        <v>136404.77455999999</v>
      </c>
      <c r="S11" s="109">
        <v>43788</v>
      </c>
      <c r="T11" s="109">
        <v>52333</v>
      </c>
      <c r="U11" s="109">
        <v>58622</v>
      </c>
      <c r="V11" s="109">
        <v>77512</v>
      </c>
      <c r="W11" s="110">
        <f>SUM(S11:V11)</f>
        <v>232255</v>
      </c>
      <c r="X11" s="108">
        <f>115600+1946</f>
        <v>117546</v>
      </c>
      <c r="Y11" s="108">
        <f>Y8+Y5</f>
        <v>155500</v>
      </c>
      <c r="Z11" s="108">
        <f>Z8+Z5</f>
        <v>165500</v>
      </c>
      <c r="AA11" s="108">
        <v>194820</v>
      </c>
      <c r="AB11" s="286">
        <f>AB8+AB5</f>
        <v>633400</v>
      </c>
      <c r="AC11" s="108">
        <f>AC8+AC5</f>
        <v>214600</v>
      </c>
      <c r="AD11" s="108">
        <f>AD8+AD5</f>
        <v>231100</v>
      </c>
      <c r="AE11" s="108">
        <f>AE8+AE5</f>
        <v>239400</v>
      </c>
      <c r="AF11" s="108">
        <v>259510</v>
      </c>
      <c r="AG11" s="110">
        <v>944710</v>
      </c>
      <c r="AH11" s="108">
        <v>265142</v>
      </c>
      <c r="AI11" s="108">
        <v>274992</v>
      </c>
      <c r="AJ11" s="108">
        <f>AJ8+AJ5</f>
        <v>281294</v>
      </c>
      <c r="AK11" s="108">
        <f>AK8+AK5</f>
        <v>301306</v>
      </c>
      <c r="AL11" s="110">
        <f>SUM(AH11:AK11)</f>
        <v>1122734</v>
      </c>
      <c r="AM11" s="108">
        <f>AM5+AM8</f>
        <v>314943</v>
      </c>
      <c r="AN11" s="108">
        <f>AN8+AN5</f>
        <v>319616</v>
      </c>
      <c r="AO11" s="108">
        <f>AO8+AO5</f>
        <v>320298</v>
      </c>
      <c r="AP11" s="108">
        <f>AP8+AP5</f>
        <v>345947</v>
      </c>
      <c r="AQ11" s="110">
        <f>SUM(AM11:AP11)</f>
        <v>1300804</v>
      </c>
      <c r="AR11" s="108">
        <f>AR5+AR8</f>
        <v>358005</v>
      </c>
      <c r="AS11" s="108">
        <f>AS8+AS5</f>
        <v>375128</v>
      </c>
      <c r="AT11" s="108">
        <f>AT8+AT5</f>
        <v>369054.89922852372</v>
      </c>
      <c r="AU11" s="108">
        <f>AU8+AU5</f>
        <v>397945.13625831215</v>
      </c>
      <c r="AV11" s="110">
        <f>SUM(AR11:AU11)</f>
        <v>1500133.035486836</v>
      </c>
      <c r="AW11" s="108">
        <f>AW8+AW5</f>
        <v>406783.5463006018</v>
      </c>
      <c r="AX11" s="108">
        <f>AX8+AX5</f>
        <v>423625.43784555345</v>
      </c>
      <c r="AY11" s="108">
        <f>AY8+AY5</f>
        <v>419244.45664954995</v>
      </c>
      <c r="AZ11" s="108">
        <f>AZ8+AZ5</f>
        <v>450887.54781316471</v>
      </c>
      <c r="BA11" s="110">
        <f>SUM(AW11:AZ11)</f>
        <v>1700540.98860887</v>
      </c>
    </row>
    <row r="12" spans="1:55" s="121" customFormat="1" ht="13.35" hidden="1" customHeight="1" outlineLevel="1" x14ac:dyDescent="0.2">
      <c r="A12" s="105"/>
      <c r="B12" s="119"/>
      <c r="C12" s="112" t="s">
        <v>29</v>
      </c>
      <c r="D12" s="115"/>
      <c r="E12" s="115"/>
      <c r="F12" s="115"/>
      <c r="G12" s="115"/>
      <c r="H12" s="116"/>
      <c r="I12" s="115">
        <f t="shared" ref="I12" si="50">I11/D11-1</f>
        <v>0.4694419240836305</v>
      </c>
      <c r="J12" s="115">
        <f t="shared" ref="J12" si="51">J11/E11-1</f>
        <v>0.5327536936977999</v>
      </c>
      <c r="K12" s="115">
        <f t="shared" ref="K12" si="52">K11/F11-1</f>
        <v>0.48195253917937309</v>
      </c>
      <c r="L12" s="115">
        <f t="shared" ref="L12" si="53">L11/G11-1</f>
        <v>0.54115330927566152</v>
      </c>
      <c r="M12" s="116">
        <f t="shared" ref="M12" si="54">M11/H11-1</f>
        <v>0.50812928597292206</v>
      </c>
      <c r="N12" s="115">
        <f t="shared" ref="N12" si="55">N11/I11-1</f>
        <v>0.57112092621583543</v>
      </c>
      <c r="O12" s="115">
        <f t="shared" ref="O12" si="56">O11/J11-1</f>
        <v>0.61241860903253942</v>
      </c>
      <c r="P12" s="115">
        <f t="shared" ref="P12" si="57">P11/K11-1</f>
        <v>0.63225349106921191</v>
      </c>
      <c r="Q12" s="115">
        <f t="shared" ref="Q12" si="58">Q11/L11-1</f>
        <v>0.5382013829821517</v>
      </c>
      <c r="R12" s="116">
        <f t="shared" ref="R12" si="59">R11/M11-1</f>
        <v>0.58700952924201211</v>
      </c>
      <c r="S12" s="115">
        <f t="shared" ref="S12" si="60">S11/N11-1</f>
        <v>0.53384985957378217</v>
      </c>
      <c r="T12" s="115">
        <f t="shared" ref="T12" si="61">T11/O11-1</f>
        <v>0.58758039072928048</v>
      </c>
      <c r="U12" s="115">
        <f t="shared" ref="U12" si="62">U11/P11-1</f>
        <v>0.62423805829546719</v>
      </c>
      <c r="V12" s="115">
        <f t="shared" ref="V12" si="63">V11/Q11-1</f>
        <v>0.99768047215277966</v>
      </c>
      <c r="W12" s="116">
        <f t="shared" ref="W12" si="64">W11/R11-1</f>
        <v>0.70268966573335478</v>
      </c>
      <c r="X12" s="115">
        <f t="shared" ref="X12" si="65">X11/S11-1</f>
        <v>1.6844340915319265</v>
      </c>
      <c r="Y12" s="115">
        <f t="shared" ref="Y12" si="66">Y11/T11-1</f>
        <v>1.9713565054554487</v>
      </c>
      <c r="Z12" s="115">
        <f t="shared" ref="Z12" si="67">Z11/U11-1</f>
        <v>1.8231721879157994</v>
      </c>
      <c r="AA12" s="115">
        <f t="shared" ref="AA12" si="68">AA11/V11-1</f>
        <v>1.5134172773248014</v>
      </c>
      <c r="AB12" s="116">
        <f t="shared" ref="AB12" si="69">AB11/W11-1</f>
        <v>1.7271748724462337</v>
      </c>
      <c r="AC12" s="115">
        <f t="shared" ref="AC12" si="70">AC11/X11-1</f>
        <v>0.82566824902591329</v>
      </c>
      <c r="AD12" s="115">
        <f>AD11/Y11-1</f>
        <v>0.48617363344051445</v>
      </c>
      <c r="AE12" s="115">
        <f>AE11/Z11-1</f>
        <v>0.44652567975830815</v>
      </c>
      <c r="AF12" s="115">
        <f>AF11/AA11-1</f>
        <v>0.3320500975259213</v>
      </c>
      <c r="AG12" s="116">
        <f>AG11/AB11-1</f>
        <v>0.49149036943479629</v>
      </c>
      <c r="AH12" s="115">
        <f t="shared" ref="AH12" si="71">AH11/AC11-1</f>
        <v>0.23551724137931029</v>
      </c>
      <c r="AI12" s="115">
        <f>AI11/AD11-1</f>
        <v>0.18992643877109483</v>
      </c>
      <c r="AJ12" s="115">
        <f>AJ11/AE11-1</f>
        <v>0.1749958228905597</v>
      </c>
      <c r="AK12" s="115">
        <f>AK11/AF11-1</f>
        <v>0.16105737736503412</v>
      </c>
      <c r="AL12" s="116">
        <f>AL11/AG11-1</f>
        <v>0.18844301425834376</v>
      </c>
      <c r="AM12" s="115">
        <f t="shared" ref="AM12" si="72">AM11/AH11-1</f>
        <v>0.18782765461526285</v>
      </c>
      <c r="AN12" s="115">
        <f>AN11/AI11-1</f>
        <v>0.16227381160179211</v>
      </c>
      <c r="AO12" s="115">
        <f>AO11/AJ11-1</f>
        <v>0.13865919642793667</v>
      </c>
      <c r="AP12" s="115">
        <f>AP11/AK11-1</f>
        <v>0.14815835064685068</v>
      </c>
      <c r="AQ12" s="116">
        <f>AQ11/AL11-1</f>
        <v>0.15860390796038959</v>
      </c>
      <c r="AR12" s="115">
        <f t="shared" ref="AR12" si="73">AR11/AM11-1</f>
        <v>0.13672950343395462</v>
      </c>
      <c r="AS12" s="115">
        <f>AS11/AN11-1</f>
        <v>0.17368342010412485</v>
      </c>
      <c r="AT12" s="115">
        <f>AT11/AO11-1</f>
        <v>0.15222355190642367</v>
      </c>
      <c r="AU12" s="115">
        <f>AU11/AP11-1</f>
        <v>0.15030665465609516</v>
      </c>
      <c r="AV12" s="116">
        <f>AV11/AQ11-1</f>
        <v>0.15323525718466113</v>
      </c>
      <c r="AW12" s="115">
        <f t="shared" ref="AW12" si="74">AW11/AR11-1</f>
        <v>0.13625101968017717</v>
      </c>
      <c r="AX12" s="115">
        <f>AX11/AS11-1</f>
        <v>0.12928237253831609</v>
      </c>
      <c r="AY12" s="115">
        <f>AY11/AT11-1</f>
        <v>0.13599482766911652</v>
      </c>
      <c r="AZ12" s="115">
        <f>AZ11/AU11-1</f>
        <v>0.13303947386477621</v>
      </c>
      <c r="BA12" s="116">
        <f>BA11/AV11-1</f>
        <v>0.13359345363459441</v>
      </c>
      <c r="BC12" s="331"/>
    </row>
    <row r="13" spans="1:55" s="121" customFormat="1" ht="13.35" hidden="1" customHeight="1" outlineLevel="1" x14ac:dyDescent="0.2">
      <c r="A13" s="105"/>
      <c r="B13" s="119"/>
      <c r="C13" s="112" t="s">
        <v>76</v>
      </c>
      <c r="D13" s="108"/>
      <c r="E13" s="109"/>
      <c r="F13" s="108"/>
      <c r="G13" s="108"/>
      <c r="H13" s="110"/>
      <c r="I13" s="114"/>
      <c r="J13" s="114">
        <f>J11/I11-1</f>
        <v>0.12512158981769073</v>
      </c>
      <c r="K13" s="114">
        <f t="shared" ref="K13" si="75">K11/J11-1</f>
        <v>8.158645242793261E-2</v>
      </c>
      <c r="L13" s="114">
        <f t="shared" ref="L13" si="76">L11/K11-1</f>
        <v>0.14079176783597713</v>
      </c>
      <c r="M13" s="110"/>
      <c r="N13" s="114">
        <f>N11/L11-1</f>
        <v>0.13172924175291101</v>
      </c>
      <c r="O13" s="114">
        <f>O11/N11-1</f>
        <v>0.15469596170161126</v>
      </c>
      <c r="P13" s="114">
        <f t="shared" ref="P13" si="77">P11/O11-1</f>
        <v>9.4891396675160777E-2</v>
      </c>
      <c r="Q13" s="114">
        <f t="shared" ref="Q13" si="78">Q11/P11-1</f>
        <v>7.5058184639255288E-2</v>
      </c>
      <c r="R13" s="110"/>
      <c r="S13" s="114">
        <f>S11/Q11-1</f>
        <v>0.12852761526764778</v>
      </c>
      <c r="T13" s="114">
        <f>T11/S11-1</f>
        <v>0.19514478852653694</v>
      </c>
      <c r="U13" s="114">
        <f t="shared" ref="U13" si="79">U11/T11-1</f>
        <v>0.12017273995375777</v>
      </c>
      <c r="V13" s="114">
        <f t="shared" ref="V13" si="80">V11/U11-1</f>
        <v>0.32223397359353134</v>
      </c>
      <c r="W13" s="110"/>
      <c r="X13" s="114">
        <f>X11/V11-1</f>
        <v>0.51648776963566934</v>
      </c>
      <c r="Y13" s="114">
        <f>Y11/X11-1</f>
        <v>0.32288635938270982</v>
      </c>
      <c r="Z13" s="114">
        <f t="shared" ref="Z13" si="81">Z11/Y11-1</f>
        <v>6.4308681672025747E-2</v>
      </c>
      <c r="AA13" s="114">
        <f t="shared" ref="AA13" si="82">AA11/Z11-1</f>
        <v>0.17716012084592148</v>
      </c>
      <c r="AB13" s="110"/>
      <c r="AC13" s="114">
        <f>AC11/AA11-1</f>
        <v>0.10152961708243513</v>
      </c>
      <c r="AD13" s="114">
        <f>AD11/AC11-1</f>
        <v>7.6887232059645871E-2</v>
      </c>
      <c r="AE13" s="114">
        <f>AE11/AD11-1</f>
        <v>3.5915188230203343E-2</v>
      </c>
      <c r="AF13" s="114">
        <f t="shared" ref="AF13" si="83">AF11/AE11-1</f>
        <v>8.4001670843776077E-2</v>
      </c>
      <c r="AG13" s="110"/>
      <c r="AH13" s="114">
        <f>AH11/AF11-1</f>
        <v>2.1702439212361702E-2</v>
      </c>
      <c r="AI13" s="114">
        <f>AI11/AH11-1</f>
        <v>3.7149904579433013E-2</v>
      </c>
      <c r="AJ13" s="114">
        <f>AJ11/AI11-1</f>
        <v>2.2917030313609033E-2</v>
      </c>
      <c r="AK13" s="114">
        <f t="shared" ref="AK13" si="84">AK11/AJ11-1</f>
        <v>7.1142647905749756E-2</v>
      </c>
      <c r="AL13" s="110"/>
      <c r="AM13" s="114">
        <f>AM11/AK11-1</f>
        <v>4.5259636382946278E-2</v>
      </c>
      <c r="AN13" s="114">
        <f>AN11/AM11-1</f>
        <v>1.4837605534969711E-2</v>
      </c>
      <c r="AO13" s="114">
        <f>AO11/AN11-1</f>
        <v>2.1338105726871337E-3</v>
      </c>
      <c r="AP13" s="114">
        <f t="shared" ref="AP13" si="85">AP11/AO11-1</f>
        <v>8.0078551848590918E-2</v>
      </c>
      <c r="AQ13" s="110"/>
      <c r="AR13" s="114">
        <f>AR11/AP11-1</f>
        <v>3.4855050051019409E-2</v>
      </c>
      <c r="AS13" s="114">
        <f>AS11/AR11-1</f>
        <v>4.7828940936579079E-2</v>
      </c>
      <c r="AT13" s="114">
        <f>AT11/AS11-1</f>
        <v>-1.6189409405526378E-2</v>
      </c>
      <c r="AU13" s="114">
        <f t="shared" ref="AU13" si="86">AU11/AT11-1</f>
        <v>7.8281678661307197E-2</v>
      </c>
      <c r="AV13" s="110"/>
      <c r="AW13" s="114">
        <f>AW11/AU11-1</f>
        <v>2.221012204193018E-2</v>
      </c>
      <c r="AX13" s="114">
        <f>AX11/AW11-1</f>
        <v>4.1402587931877566E-2</v>
      </c>
      <c r="AY13" s="114">
        <f>AY11/AX11-1</f>
        <v>-1.0341638637858974E-2</v>
      </c>
      <c r="AZ13" s="114">
        <f t="shared" ref="AZ13" si="87">AZ11/AY11-1</f>
        <v>7.5476468827983867E-2</v>
      </c>
      <c r="BA13" s="110"/>
    </row>
    <row r="14" spans="1:55" s="121" customFormat="1" ht="18" customHeight="1" collapsed="1" x14ac:dyDescent="0.2">
      <c r="A14" s="105"/>
      <c r="B14" s="119" t="s">
        <v>61</v>
      </c>
      <c r="C14" s="126"/>
      <c r="D14" s="108">
        <v>737.1711499999999</v>
      </c>
      <c r="E14" s="108">
        <v>1825.1479900000002</v>
      </c>
      <c r="F14" s="108">
        <v>2177.0098399999997</v>
      </c>
      <c r="G14" s="108">
        <v>3133.1164100000001</v>
      </c>
      <c r="H14" s="286">
        <f>SUM(D14:G14)</f>
        <v>7872.4453900000008</v>
      </c>
      <c r="I14" s="108">
        <f>'Revenue Build'!I150</f>
        <v>4253.8066700000008</v>
      </c>
      <c r="J14" s="108">
        <f>'Revenue Build'!J150</f>
        <v>5554.82755</v>
      </c>
      <c r="K14" s="108">
        <f>'Revenue Build'!K150</f>
        <v>6131.9238300000006</v>
      </c>
      <c r="L14" s="108">
        <f>'Revenue Build'!L150</f>
        <v>6459.4120000000003</v>
      </c>
      <c r="M14" s="286">
        <f>SUM(I14:L14)</f>
        <v>22399.97005</v>
      </c>
      <c r="N14" s="108">
        <f>'Revenue Build'!N150</f>
        <v>6631.7050600000002</v>
      </c>
      <c r="O14" s="108">
        <f>'Revenue Build'!O150</f>
        <v>6116</v>
      </c>
      <c r="P14" s="108">
        <f>'Revenue Build'!P150</f>
        <v>5138</v>
      </c>
      <c r="Q14" s="108">
        <f>'Revenue Build'!Q150</f>
        <v>3309</v>
      </c>
      <c r="R14" s="286">
        <f>SUM(N14:Q14)</f>
        <v>21194.70506</v>
      </c>
      <c r="S14" s="108">
        <f>'Revenue Build'!S150</f>
        <v>2421</v>
      </c>
      <c r="T14" s="108">
        <f>'Revenue Build'!T150</f>
        <v>1712</v>
      </c>
      <c r="U14" s="108">
        <f>'Revenue Build'!U150</f>
        <v>1116</v>
      </c>
      <c r="V14" s="108">
        <f>'Revenue Build'!V150</f>
        <v>761</v>
      </c>
      <c r="W14" s="286">
        <f>SUM(S14:V14)</f>
        <v>6010</v>
      </c>
      <c r="X14" s="108">
        <f>'Revenue Build'!X150</f>
        <v>803</v>
      </c>
      <c r="Y14" s="108">
        <f>'Revenue Build'!Y150</f>
        <v>978</v>
      </c>
      <c r="Z14" s="108">
        <f>'Revenue Build'!Z150</f>
        <v>1411</v>
      </c>
      <c r="AA14" s="108">
        <f>'Revenue Build'!AA150</f>
        <v>5401</v>
      </c>
      <c r="AB14" s="286">
        <f>SUM(X14:AA14)</f>
        <v>8593</v>
      </c>
      <c r="AC14" s="108">
        <f>'Revenue Build'!AC150</f>
        <v>15324</v>
      </c>
      <c r="AD14" s="108">
        <f>'Revenue Build'!AD150</f>
        <v>28900</v>
      </c>
      <c r="AE14" s="108">
        <f>'Revenue Build'!AE150</f>
        <v>33100</v>
      </c>
      <c r="AF14" s="108">
        <f>'Revenue Build'!AF150</f>
        <v>36473</v>
      </c>
      <c r="AG14" s="286">
        <f>SUM(AC14:AF14)</f>
        <v>113797</v>
      </c>
      <c r="AH14" s="108">
        <f>'Revenue Build'!AH150</f>
        <v>39843</v>
      </c>
      <c r="AI14" s="108">
        <f>'Revenue Build'!AI150</f>
        <v>43503</v>
      </c>
      <c r="AJ14" s="108">
        <f>'Revenue Build'!AJ150</f>
        <v>41734</v>
      </c>
      <c r="AK14" s="108">
        <f>'Revenue Build'!AK150</f>
        <v>42359</v>
      </c>
      <c r="AL14" s="110">
        <f>SUM(AH14:AK14)</f>
        <v>167439</v>
      </c>
      <c r="AM14" s="108">
        <f>'Revenue Build'!AM150</f>
        <v>43507</v>
      </c>
      <c r="AN14" s="108">
        <v>42938</v>
      </c>
      <c r="AO14" s="108">
        <f>'Revenue Build'!AO150</f>
        <v>37919</v>
      </c>
      <c r="AP14" s="108">
        <f>'Revenue Build'!AP150</f>
        <v>37402</v>
      </c>
      <c r="AQ14" s="110">
        <f>SUM(AM14:AP14)</f>
        <v>161766</v>
      </c>
      <c r="AR14" s="108">
        <f>'Revenue Build'!AR150</f>
        <v>37736</v>
      </c>
      <c r="AS14" s="108">
        <f>'Revenue Build'!AS150</f>
        <v>39543</v>
      </c>
      <c r="AT14" s="108">
        <f>'Revenue Build'!AT150</f>
        <v>33804.176355000011</v>
      </c>
      <c r="AU14" s="108">
        <f>'Revenue Build'!AU150</f>
        <v>31902.472800000003</v>
      </c>
      <c r="AV14" s="110">
        <f>SUM(AR14:AU14)</f>
        <v>142985.64915499999</v>
      </c>
      <c r="AW14" s="108">
        <f>'Revenue Build'!AW150</f>
        <v>32443.4694375</v>
      </c>
      <c r="AX14" s="108">
        <f>'Revenue Build'!AX150</f>
        <v>31564.8444375</v>
      </c>
      <c r="AY14" s="108">
        <f>'Revenue Build'!AY150</f>
        <v>30314.432004266255</v>
      </c>
      <c r="AZ14" s="108">
        <f>'Revenue Build'!AZ150</f>
        <v>32126.365111499999</v>
      </c>
      <c r="BA14" s="110">
        <f>SUM(AW14:AZ14)</f>
        <v>126449.11099076625</v>
      </c>
    </row>
    <row r="15" spans="1:55" s="121" customFormat="1" ht="13.35" customHeight="1" x14ac:dyDescent="0.2">
      <c r="A15" s="105"/>
      <c r="B15" s="124"/>
      <c r="C15" s="112" t="s">
        <v>29</v>
      </c>
      <c r="D15" s="115"/>
      <c r="E15" s="115"/>
      <c r="F15" s="115"/>
      <c r="G15" s="115"/>
      <c r="H15" s="116"/>
      <c r="I15" s="114">
        <f t="shared" ref="I15" si="88">I14/D14-1</f>
        <v>4.7704464831538802</v>
      </c>
      <c r="J15" s="114">
        <f t="shared" ref="J15" si="89">J14/E14-1</f>
        <v>2.0434943250820989</v>
      </c>
      <c r="K15" s="114">
        <f t="shared" ref="K15" si="90">K14/F14-1</f>
        <v>1.8166725374103048</v>
      </c>
      <c r="L15" s="114">
        <f t="shared" ref="L15" si="91">L14/G14-1</f>
        <v>1.0616571983675511</v>
      </c>
      <c r="M15" s="116">
        <f t="shared" ref="M15" si="92">M14/H14-1</f>
        <v>1.845363662789409</v>
      </c>
      <c r="N15" s="114">
        <f t="shared" ref="N15" si="93">N14/I14-1</f>
        <v>0.55900481015513548</v>
      </c>
      <c r="O15" s="115">
        <f t="shared" ref="O15" si="94">O14/J14-1</f>
        <v>0.10102427932258662</v>
      </c>
      <c r="P15" s="115">
        <f t="shared" ref="P15" si="95">P14/K14-1</f>
        <v>-0.16209004833642893</v>
      </c>
      <c r="Q15" s="115">
        <f t="shared" ref="Q15" si="96">Q14/L14-1</f>
        <v>-0.48772426963940374</v>
      </c>
      <c r="R15" s="116">
        <f t="shared" ref="R15" si="97">R14/M14-1</f>
        <v>-5.3806544710089943E-2</v>
      </c>
      <c r="S15" s="115">
        <f t="shared" ref="S15" si="98">S14/N14-1</f>
        <v>-0.63493551385410973</v>
      </c>
      <c r="T15" s="115">
        <f t="shared" ref="T15" si="99">T14/O14-1</f>
        <v>-0.72007848266841079</v>
      </c>
      <c r="U15" s="115">
        <f t="shared" ref="U15" si="100">U14/P14-1</f>
        <v>-0.78279486181393532</v>
      </c>
      <c r="V15" s="115">
        <f t="shared" ref="V15" si="101">V14/Q14-1</f>
        <v>-0.77002115442731944</v>
      </c>
      <c r="W15" s="116">
        <f>W14/R14-1</f>
        <v>-0.71643861129530628</v>
      </c>
      <c r="X15" s="115">
        <f t="shared" ref="X15" si="102">X14/S14-1</f>
        <v>-0.66831887649731514</v>
      </c>
      <c r="Y15" s="114">
        <f t="shared" ref="Y15" si="103">Y14/T14-1</f>
        <v>-0.42873831775700932</v>
      </c>
      <c r="Z15" s="114">
        <f t="shared" ref="Z15" si="104">Z14/U14-1</f>
        <v>0.26433691756272393</v>
      </c>
      <c r="AA15" s="114">
        <f t="shared" ref="AA15" si="105">AA14/V14-1</f>
        <v>6.0972404730617606</v>
      </c>
      <c r="AB15" s="116">
        <f>AB14/W14-1</f>
        <v>0.42978369384359394</v>
      </c>
      <c r="AC15" s="115">
        <f t="shared" ref="AC15" si="106">AC14/X14-1</f>
        <v>18.083437110834371</v>
      </c>
      <c r="AD15" s="115">
        <f>AD14/Y14-1</f>
        <v>28.550102249488752</v>
      </c>
      <c r="AE15" s="115">
        <f>AE14/Z14-1</f>
        <v>22.458540042523033</v>
      </c>
      <c r="AF15" s="115">
        <f>AF14/AA14-1</f>
        <v>5.7530087020922052</v>
      </c>
      <c r="AG15" s="116">
        <f>AG14/AB14-1</f>
        <v>12.24298847899453</v>
      </c>
      <c r="AH15" s="115">
        <f t="shared" ref="AH15" si="107">AH14/AC14-1</f>
        <v>1.6000391542678152</v>
      </c>
      <c r="AI15" s="115">
        <f>AI14/AD14-1</f>
        <v>0.50529411764705889</v>
      </c>
      <c r="AJ15" s="115">
        <f>AJ14/AE14-1</f>
        <v>0.26084592145015106</v>
      </c>
      <c r="AK15" s="115">
        <f>AK14/AF14-1</f>
        <v>0.1613796507005183</v>
      </c>
      <c r="AL15" s="116">
        <f>AL14/AG14-1</f>
        <v>0.47138325263407643</v>
      </c>
      <c r="AM15" s="115">
        <f t="shared" ref="AM15" si="108">AM14/AH14-1</f>
        <v>9.1960946715859748E-2</v>
      </c>
      <c r="AN15" s="115">
        <f>AN14/AI14-1</f>
        <v>-1.2987610049881582E-2</v>
      </c>
      <c r="AO15" s="115">
        <f>AO14/AJ14-1</f>
        <v>-9.1412277759141181E-2</v>
      </c>
      <c r="AP15" s="115">
        <f>AP14/AK14-1</f>
        <v>-0.11702353691069189</v>
      </c>
      <c r="AQ15" s="116">
        <f>AQ14/AL14-1</f>
        <v>-3.3880995467005848E-2</v>
      </c>
      <c r="AR15" s="115">
        <f t="shared" ref="AR15" si="109">AR14/AM14-1</f>
        <v>-0.1326453214425265</v>
      </c>
      <c r="AS15" s="115">
        <f>AS14/AN14-1</f>
        <v>-7.9067492663840833E-2</v>
      </c>
      <c r="AT15" s="115">
        <f>AT14/AO14-1</f>
        <v>-0.10851614349007066</v>
      </c>
      <c r="AU15" s="115">
        <f>AU14/AP14-1</f>
        <v>-0.14703831880648088</v>
      </c>
      <c r="AV15" s="116">
        <f>AV14/AQ14-1</f>
        <v>-0.11609578554826117</v>
      </c>
      <c r="AW15" s="115">
        <f t="shared" ref="AW15" si="110">AW14/AR14-1</f>
        <v>-0.14025149890025446</v>
      </c>
      <c r="AX15" s="115">
        <f>AX14/AS14-1</f>
        <v>-0.20175898547151205</v>
      </c>
      <c r="AY15" s="115">
        <f>AY14/AT14-1</f>
        <v>-0.10323411859190545</v>
      </c>
      <c r="AZ15" s="115">
        <f>AZ14/AU14-1</f>
        <v>7.0180237407801993E-3</v>
      </c>
      <c r="BA15" s="116">
        <f>BA14/AV14-1</f>
        <v>-0.11565173331701095</v>
      </c>
    </row>
    <row r="16" spans="1:55" s="121" customFormat="1" ht="13.35" customHeight="1" thickBot="1" x14ac:dyDescent="0.25">
      <c r="A16" s="105"/>
      <c r="B16" s="124"/>
      <c r="C16" s="112" t="s">
        <v>76</v>
      </c>
      <c r="D16" s="114"/>
      <c r="E16" s="115">
        <f>E14/D14-1</f>
        <v>1.475880926702029</v>
      </c>
      <c r="F16" s="114">
        <f>F14/E14-1</f>
        <v>0.19278538065288586</v>
      </c>
      <c r="G16" s="114">
        <f>G14/F14-1</f>
        <v>0.43918339386100369</v>
      </c>
      <c r="H16" s="116"/>
      <c r="I16" s="114">
        <f>I14/G14-1</f>
        <v>0.35769186756772964</v>
      </c>
      <c r="J16" s="114">
        <f>J14/I14-1</f>
        <v>0.30584861535326868</v>
      </c>
      <c r="K16" s="114">
        <f>K14/J14-1</f>
        <v>0.10389094437324164</v>
      </c>
      <c r="L16" s="114">
        <f>L14/K14-1</f>
        <v>5.340708382543613E-2</v>
      </c>
      <c r="M16" s="116"/>
      <c r="N16" s="114">
        <f>N14/L14-1</f>
        <v>2.667318015943243E-2</v>
      </c>
      <c r="O16" s="115">
        <f>O14/N14-1</f>
        <v>-7.7763569901584284E-2</v>
      </c>
      <c r="P16" s="114">
        <f>P14/O14-1</f>
        <v>-0.15990843688685419</v>
      </c>
      <c r="Q16" s="114">
        <f>Q14/P14-1</f>
        <v>-0.35597508758271701</v>
      </c>
      <c r="R16" s="116"/>
      <c r="S16" s="115">
        <f>S14/Q14-1</f>
        <v>-0.26835902085222119</v>
      </c>
      <c r="T16" s="115">
        <f>T14/S14-1</f>
        <v>-0.29285419248244526</v>
      </c>
      <c r="U16" s="115">
        <f>U14/T14-1</f>
        <v>-0.34813084112149528</v>
      </c>
      <c r="V16" s="115">
        <f>V14/U14-1</f>
        <v>-0.31810035842293904</v>
      </c>
      <c r="W16" s="116"/>
      <c r="X16" s="115">
        <f>X14/V14-1</f>
        <v>5.5190538764783081E-2</v>
      </c>
      <c r="Y16" s="114">
        <f>Y14/X14-1</f>
        <v>0.2179327521793275</v>
      </c>
      <c r="Z16" s="114">
        <f>Z14/Y14-1</f>
        <v>0.44274028629856854</v>
      </c>
      <c r="AA16" s="114">
        <f>AA14/Z14-1</f>
        <v>2.8277817150956768</v>
      </c>
      <c r="AB16" s="116"/>
      <c r="AC16" s="115">
        <f>AC14/AA14-1</f>
        <v>1.8372523606739493</v>
      </c>
      <c r="AD16" s="114">
        <f>AD14/AC14-1</f>
        <v>0.88593056643174095</v>
      </c>
      <c r="AE16" s="114">
        <f>AE14/AD14-1</f>
        <v>0.1453287197231834</v>
      </c>
      <c r="AF16" s="114">
        <f>AF14/AE14-1</f>
        <v>0.10190332326283991</v>
      </c>
      <c r="AG16" s="116"/>
      <c r="AH16" s="115">
        <f>AH14/AF14-1</f>
        <v>9.2397115674608621E-2</v>
      </c>
      <c r="AI16" s="114">
        <f>AI14/AH14-1</f>
        <v>9.1860552669226658E-2</v>
      </c>
      <c r="AJ16" s="114">
        <f>AJ14/AI14-1</f>
        <v>-4.066386226237273E-2</v>
      </c>
      <c r="AK16" s="114">
        <f>AK14/AJ14-1</f>
        <v>1.4975799108640331E-2</v>
      </c>
      <c r="AL16" s="116"/>
      <c r="AM16" s="115">
        <f>AM14/AK14-1</f>
        <v>2.7101678509879878E-2</v>
      </c>
      <c r="AN16" s="114">
        <f>AN14/AM14-1</f>
        <v>-1.3078355207208014E-2</v>
      </c>
      <c r="AO16" s="114">
        <f>AO14/AN14-1</f>
        <v>-0.11688946853602866</v>
      </c>
      <c r="AP16" s="114">
        <f>AP14/AO14-1</f>
        <v>-1.3634325799731006E-2</v>
      </c>
      <c r="AQ16" s="116"/>
      <c r="AR16" s="115">
        <f>AR14/AP14-1</f>
        <v>8.9300037431152557E-3</v>
      </c>
      <c r="AS16" s="114">
        <f>AS14/AR14-1</f>
        <v>4.7885308458766263E-2</v>
      </c>
      <c r="AT16" s="114">
        <f>AT14/AS14-1</f>
        <v>-0.1451286863667397</v>
      </c>
      <c r="AU16" s="114">
        <f>AU14/AT14-1</f>
        <v>-5.6256467692895717E-2</v>
      </c>
      <c r="AV16" s="116"/>
      <c r="AW16" s="115">
        <f>AW14/AU14-1</f>
        <v>1.6957827717354768E-2</v>
      </c>
      <c r="AX16" s="114">
        <f>AX14/AW14-1</f>
        <v>-2.7081721382869017E-2</v>
      </c>
      <c r="AY16" s="114">
        <f>AY14/AX14-1</f>
        <v>-3.961408508474118E-2</v>
      </c>
      <c r="AZ16" s="114">
        <f>AZ14/AY14-1</f>
        <v>5.9771303218834726E-2</v>
      </c>
      <c r="BA16" s="116"/>
    </row>
    <row r="17" spans="1:53" s="133" customFormat="1" ht="13.5" thickBot="1" x14ac:dyDescent="0.25">
      <c r="A17" s="20"/>
      <c r="B17" s="129" t="s">
        <v>77</v>
      </c>
      <c r="C17" s="130"/>
      <c r="D17" s="131">
        <f>D11+D14</f>
        <v>13102.629500000001</v>
      </c>
      <c r="E17" s="131">
        <f>E11+E14</f>
        <v>15163.11787</v>
      </c>
      <c r="F17" s="131">
        <f>F11+F14</f>
        <v>17097.704650000003</v>
      </c>
      <c r="G17" s="131">
        <f>G11+G14</f>
        <v>19500.674009999999</v>
      </c>
      <c r="H17" s="132">
        <f>H11+H14</f>
        <v>64864.126030000007</v>
      </c>
      <c r="I17" s="131">
        <f t="shared" ref="I17:L17" si="111">I11+I14</f>
        <v>22424.129579999997</v>
      </c>
      <c r="J17" s="131">
        <f t="shared" si="111"/>
        <v>25998.650150000001</v>
      </c>
      <c r="K17" s="131">
        <f t="shared" si="111"/>
        <v>28243.685389999999</v>
      </c>
      <c r="L17" s="131">
        <f t="shared" si="111"/>
        <v>31684.327560000002</v>
      </c>
      <c r="M17" s="132">
        <f t="shared" ref="M17:W17" si="112">M11+M14</f>
        <v>108350.79268000001</v>
      </c>
      <c r="N17" s="131">
        <f t="shared" si="112"/>
        <v>35179.479620000006</v>
      </c>
      <c r="O17" s="131">
        <f t="shared" si="112"/>
        <v>39080</v>
      </c>
      <c r="P17" s="131">
        <f t="shared" si="112"/>
        <v>41230</v>
      </c>
      <c r="Q17" s="131">
        <f t="shared" si="112"/>
        <v>42110</v>
      </c>
      <c r="R17" s="132">
        <f t="shared" si="112"/>
        <v>157599.47962</v>
      </c>
      <c r="S17" s="131">
        <f t="shared" si="112"/>
        <v>46209</v>
      </c>
      <c r="T17" s="131">
        <f t="shared" si="112"/>
        <v>54045</v>
      </c>
      <c r="U17" s="131">
        <f t="shared" si="112"/>
        <v>59738</v>
      </c>
      <c r="V17" s="131">
        <f t="shared" si="112"/>
        <v>78273</v>
      </c>
      <c r="W17" s="132">
        <f t="shared" si="112"/>
        <v>238265</v>
      </c>
      <c r="X17" s="131">
        <f>X11+X14</f>
        <v>118349</v>
      </c>
      <c r="Y17" s="131">
        <v>156478</v>
      </c>
      <c r="Z17" s="131">
        <v>166911</v>
      </c>
      <c r="AA17" s="131">
        <v>200221</v>
      </c>
      <c r="AB17" s="132">
        <f>SUM(X17:AA17)</f>
        <v>641959</v>
      </c>
      <c r="AC17" s="131">
        <f>AC11+AC14</f>
        <v>229924</v>
      </c>
      <c r="AD17" s="131">
        <v>260006</v>
      </c>
      <c r="AE17" s="131">
        <v>272555</v>
      </c>
      <c r="AF17" s="131">
        <v>295983</v>
      </c>
      <c r="AG17" s="132">
        <f>SUM(AC17:AF17)</f>
        <v>1058468</v>
      </c>
      <c r="AH17" s="131">
        <f t="shared" ref="AH17:AJ17" si="113">AH11+AH14</f>
        <v>304985</v>
      </c>
      <c r="AI17" s="131">
        <f>AI11+AI14</f>
        <v>318495</v>
      </c>
      <c r="AJ17" s="131">
        <f t="shared" si="113"/>
        <v>323028</v>
      </c>
      <c r="AK17" s="131">
        <f>AK11+AK14</f>
        <v>343665</v>
      </c>
      <c r="AL17" s="132">
        <f>SUM(AH17:AK17)</f>
        <v>1290173</v>
      </c>
      <c r="AM17" s="131">
        <f>AM11+AM14</f>
        <v>358450</v>
      </c>
      <c r="AN17" s="131">
        <f>AN11+AN14</f>
        <v>362554</v>
      </c>
      <c r="AO17" s="131">
        <f t="shared" ref="AO17" si="114">AO11+AO14</f>
        <v>358217</v>
      </c>
      <c r="AP17" s="131">
        <f>AP11+AP14</f>
        <v>383349</v>
      </c>
      <c r="AQ17" s="132">
        <f>SUM(AM17:AP17)</f>
        <v>1462570</v>
      </c>
      <c r="AR17" s="131">
        <f>AR11+AR14</f>
        <v>395741</v>
      </c>
      <c r="AS17" s="131">
        <f>AS11+AS14</f>
        <v>414671</v>
      </c>
      <c r="AT17" s="131">
        <f t="shared" ref="AT17" si="115">AT11+AT14</f>
        <v>402859.07558352372</v>
      </c>
      <c r="AU17" s="131">
        <f>AU11+AU14</f>
        <v>429847.60905831214</v>
      </c>
      <c r="AV17" s="132">
        <f>SUM(AR17:AU17)</f>
        <v>1643118.6846418357</v>
      </c>
      <c r="AW17" s="131">
        <f t="shared" ref="AW17:AY17" si="116">AW11+AW14</f>
        <v>439227.01573810179</v>
      </c>
      <c r="AX17" s="131">
        <f t="shared" si="116"/>
        <v>455190.28228305344</v>
      </c>
      <c r="AY17" s="131">
        <f t="shared" si="116"/>
        <v>449558.88865381619</v>
      </c>
      <c r="AZ17" s="131">
        <f>AZ11+AZ14</f>
        <v>483013.91292466474</v>
      </c>
      <c r="BA17" s="132">
        <f>SUM(AW17:AZ17)</f>
        <v>1826990.0995996362</v>
      </c>
    </row>
    <row r="18" spans="1:53" s="125" customFormat="1" ht="13.35" customHeight="1" x14ac:dyDescent="0.2">
      <c r="A18" s="123"/>
      <c r="B18" s="134"/>
      <c r="C18" s="135" t="s">
        <v>29</v>
      </c>
      <c r="D18" s="114"/>
      <c r="E18" s="115"/>
      <c r="F18" s="114"/>
      <c r="G18" s="114"/>
      <c r="H18" s="136"/>
      <c r="I18" s="114">
        <f t="shared" ref="I18:AG18" si="117">I17/D17-1</f>
        <v>0.71142209126801581</v>
      </c>
      <c r="J18" s="114">
        <f t="shared" si="117"/>
        <v>0.71459790610992591</v>
      </c>
      <c r="K18" s="114">
        <f t="shared" si="117"/>
        <v>0.65189924426493073</v>
      </c>
      <c r="L18" s="114">
        <f t="shared" si="117"/>
        <v>0.62478115083366825</v>
      </c>
      <c r="M18" s="136">
        <f t="shared" si="117"/>
        <v>0.67042708060056477</v>
      </c>
      <c r="N18" s="114">
        <f t="shared" si="117"/>
        <v>0.56882252639926145</v>
      </c>
      <c r="O18" s="115">
        <f t="shared" si="117"/>
        <v>0.50315496283563776</v>
      </c>
      <c r="P18" s="114">
        <f t="shared" si="117"/>
        <v>0.45979532878517171</v>
      </c>
      <c r="Q18" s="114">
        <f t="shared" si="117"/>
        <v>0.32904824696869772</v>
      </c>
      <c r="R18" s="136">
        <f t="shared" si="117"/>
        <v>0.45453001055054187</v>
      </c>
      <c r="S18" s="115">
        <f t="shared" si="117"/>
        <v>0.31352141928016364</v>
      </c>
      <c r="T18" s="115">
        <f t="shared" si="117"/>
        <v>0.38293244626407374</v>
      </c>
      <c r="U18" s="115">
        <f t="shared" si="117"/>
        <v>0.44889643463497464</v>
      </c>
      <c r="V18" s="115">
        <f t="shared" si="117"/>
        <v>0.85877463785324148</v>
      </c>
      <c r="W18" s="136">
        <f t="shared" si="117"/>
        <v>0.51183874829091258</v>
      </c>
      <c r="X18" s="115">
        <f t="shared" si="117"/>
        <v>1.5611677378865587</v>
      </c>
      <c r="Y18" s="114">
        <f t="shared" si="117"/>
        <v>1.8953279674345453</v>
      </c>
      <c r="Z18" s="114">
        <f t="shared" si="117"/>
        <v>1.7940506880042855</v>
      </c>
      <c r="AA18" s="114">
        <f t="shared" si="117"/>
        <v>1.5579829570860961</v>
      </c>
      <c r="AB18" s="136">
        <f t="shared" si="117"/>
        <v>1.6943067592806331</v>
      </c>
      <c r="AC18" s="115">
        <f t="shared" si="117"/>
        <v>0.94276250749900714</v>
      </c>
      <c r="AD18" s="114">
        <f t="shared" si="117"/>
        <v>0.66161377318217252</v>
      </c>
      <c r="AE18" s="114">
        <f t="shared" si="117"/>
        <v>0.63293611565445063</v>
      </c>
      <c r="AF18" s="114">
        <f t="shared" si="117"/>
        <v>0.47828149894366723</v>
      </c>
      <c r="AG18" s="136">
        <f t="shared" si="117"/>
        <v>0.64880934763746589</v>
      </c>
      <c r="AH18" s="115">
        <f t="shared" ref="AH18" si="118">AH17/AC17-1</f>
        <v>0.32646004766792514</v>
      </c>
      <c r="AI18" s="114">
        <f t="shared" ref="AI18" si="119">AI17/AD17-1</f>
        <v>0.22495250109612863</v>
      </c>
      <c r="AJ18" s="114">
        <f t="shared" ref="AJ18:AK18" si="120">AJ17/AE17-1</f>
        <v>0.18518464163196424</v>
      </c>
      <c r="AK18" s="114">
        <f t="shared" si="120"/>
        <v>0.16109709003557637</v>
      </c>
      <c r="AL18" s="136">
        <f t="shared" ref="AL18:AS18" si="121">AL17/AG17-1</f>
        <v>0.2189060037714885</v>
      </c>
      <c r="AM18" s="115">
        <f t="shared" si="121"/>
        <v>0.17530370346082602</v>
      </c>
      <c r="AN18" s="114">
        <f t="shared" si="121"/>
        <v>0.13833498171085878</v>
      </c>
      <c r="AO18" s="114">
        <f t="shared" si="121"/>
        <v>0.10893482917889474</v>
      </c>
      <c r="AP18" s="114">
        <f t="shared" si="121"/>
        <v>0.11547291693946149</v>
      </c>
      <c r="AQ18" s="136">
        <f t="shared" ref="AQ18" si="122">AQ17/AL17-1</f>
        <v>0.13362316526543339</v>
      </c>
      <c r="AR18" s="115">
        <f t="shared" si="121"/>
        <v>0.10403403543032508</v>
      </c>
      <c r="AS18" s="114">
        <f t="shared" si="121"/>
        <v>0.14374962074615083</v>
      </c>
      <c r="AT18" s="114">
        <f t="shared" ref="AT18" si="123">AT17/AO17-1</f>
        <v>0.12462299551256284</v>
      </c>
      <c r="AU18" s="114">
        <f t="shared" ref="AU18" si="124">AU17/AP17-1</f>
        <v>0.12129576197749858</v>
      </c>
      <c r="AV18" s="136">
        <f t="shared" ref="AV18" si="125">AV17/AQ17-1</f>
        <v>0.1234461835275138</v>
      </c>
      <c r="AW18" s="115">
        <f t="shared" ref="AW18" si="126">AW17/AR17-1</f>
        <v>0.10988504031197621</v>
      </c>
      <c r="AX18" s="114">
        <f t="shared" ref="AX18" si="127">AX17/AS17-1</f>
        <v>9.7714289841955182E-2</v>
      </c>
      <c r="AY18" s="114">
        <f t="shared" ref="AY18" si="128">AY17/AT17-1</f>
        <v>0.11592096566932208</v>
      </c>
      <c r="AZ18" s="114">
        <f t="shared" ref="AZ18" si="129">AZ17/AU17-1</f>
        <v>0.12368640128725295</v>
      </c>
      <c r="BA18" s="136">
        <f t="shared" ref="BA18" si="130">BA17/AV17-1</f>
        <v>0.11190391581353132</v>
      </c>
    </row>
    <row r="19" spans="1:53" s="125" customFormat="1" ht="13.35" customHeight="1" x14ac:dyDescent="0.2">
      <c r="A19" s="123"/>
      <c r="B19" s="137"/>
      <c r="C19" s="112" t="s">
        <v>76</v>
      </c>
      <c r="D19" s="114"/>
      <c r="E19" s="115">
        <f>E17/D17-1</f>
        <v>0.15725762298323387</v>
      </c>
      <c r="F19" s="114">
        <f>F17/E17-1</f>
        <v>0.12758502549317741</v>
      </c>
      <c r="G19" s="114">
        <f>G17/F17-1</f>
        <v>0.14054338925546905</v>
      </c>
      <c r="H19" s="116"/>
      <c r="I19" s="114">
        <f>I17/G17-1</f>
        <v>0.14991561668590747</v>
      </c>
      <c r="J19" s="114">
        <f>J17/I17-1</f>
        <v>0.15940509785441592</v>
      </c>
      <c r="K19" s="114">
        <f>K17/J17-1</f>
        <v>8.635199239372815E-2</v>
      </c>
      <c r="L19" s="114">
        <f>L17/K17-1</f>
        <v>0.12181987309695086</v>
      </c>
      <c r="M19" s="116"/>
      <c r="N19" s="114">
        <f>N17/L17-1</f>
        <v>0.1103117007416774</v>
      </c>
      <c r="O19" s="115">
        <f>O17/N17-1</f>
        <v>0.11087487427706288</v>
      </c>
      <c r="P19" s="114">
        <f>P17/O17-1</f>
        <v>5.5015353121801391E-2</v>
      </c>
      <c r="Q19" s="114">
        <f>Q17/P17-1</f>
        <v>2.1343681785108037E-2</v>
      </c>
      <c r="R19" s="116"/>
      <c r="S19" s="115">
        <f>S17/Q17-1</f>
        <v>9.7340299216338133E-2</v>
      </c>
      <c r="T19" s="115">
        <f>T17/S17-1</f>
        <v>0.16957735506070248</v>
      </c>
      <c r="U19" s="115">
        <f>U17/T17-1</f>
        <v>0.10533814413914322</v>
      </c>
      <c r="V19" s="115">
        <f>V17/U17-1</f>
        <v>0.31027151896615224</v>
      </c>
      <c r="W19" s="116"/>
      <c r="X19" s="115">
        <f>X17/V17-1</f>
        <v>0.51200286177864651</v>
      </c>
      <c r="Y19" s="114">
        <f>Y17/X17-1</f>
        <v>0.32217424735316724</v>
      </c>
      <c r="Z19" s="114">
        <f>Z17/Y17-1</f>
        <v>6.6673909431357758E-2</v>
      </c>
      <c r="AA19" s="114">
        <f>AA17/Z17-1</f>
        <v>0.19956743414154854</v>
      </c>
      <c r="AB19" s="116"/>
      <c r="AC19" s="115">
        <f>AC17/AA17-1</f>
        <v>0.1483510720653678</v>
      </c>
      <c r="AD19" s="114">
        <f>AD17/AC17-1</f>
        <v>0.13083453662949496</v>
      </c>
      <c r="AE19" s="114">
        <f>AE17/AD17-1</f>
        <v>4.826427082451934E-2</v>
      </c>
      <c r="AF19" s="114">
        <f>AF17/AE17-1</f>
        <v>8.5956962814844662E-2</v>
      </c>
      <c r="AG19" s="116"/>
      <c r="AH19" s="115">
        <f>AH17/AF17-1</f>
        <v>3.0413908906930409E-2</v>
      </c>
      <c r="AI19" s="114">
        <f>AI17/AH17-1</f>
        <v>4.4297260521009241E-2</v>
      </c>
      <c r="AJ19" s="114">
        <f>AJ17/AI17-1</f>
        <v>1.4232562520604786E-2</v>
      </c>
      <c r="AK19" s="114">
        <f>AK17/AJ17-1</f>
        <v>6.3886102752702456E-2</v>
      </c>
      <c r="AL19" s="116"/>
      <c r="AM19" s="115">
        <f>AM17/AK17-1</f>
        <v>4.3021547146203432E-2</v>
      </c>
      <c r="AN19" s="114">
        <f>AN17/AM17-1</f>
        <v>1.1449295578183749E-2</v>
      </c>
      <c r="AO19" s="114">
        <f>AO17/AN17-1</f>
        <v>-1.196235595249262E-2</v>
      </c>
      <c r="AP19" s="114">
        <f>AP17/AO17-1</f>
        <v>7.0158591021643346E-2</v>
      </c>
      <c r="AQ19" s="116"/>
      <c r="AR19" s="115">
        <f>AR17/AP17-1</f>
        <v>3.2325635387075558E-2</v>
      </c>
      <c r="AS19" s="114">
        <f>AS17/AR17-1</f>
        <v>4.7834315878314326E-2</v>
      </c>
      <c r="AT19" s="114">
        <f>AT17/AS17-1</f>
        <v>-2.8485050597886752E-2</v>
      </c>
      <c r="AU19" s="114">
        <f>AU17/AT17-1</f>
        <v>6.6992492190219854E-2</v>
      </c>
      <c r="AV19" s="116"/>
      <c r="AW19" s="115">
        <f>AW17/AU17-1</f>
        <v>2.1820306736933137E-2</v>
      </c>
      <c r="AX19" s="114">
        <f>AX17/AW17-1</f>
        <v>3.6343999738099209E-2</v>
      </c>
      <c r="AY19" s="114">
        <f>AY17/AX17-1</f>
        <v>-1.2371515492361596E-2</v>
      </c>
      <c r="AZ19" s="114">
        <f>AZ17/AY17-1</f>
        <v>7.4417445890188283E-2</v>
      </c>
      <c r="BA19" s="116"/>
    </row>
    <row r="20" spans="1:53" x14ac:dyDescent="0.2">
      <c r="A20" s="28"/>
      <c r="B20" s="138"/>
      <c r="C20" s="126"/>
      <c r="D20" s="139"/>
      <c r="E20" s="140"/>
      <c r="F20" s="139"/>
      <c r="G20" s="139"/>
      <c r="H20" s="141"/>
      <c r="I20" s="139"/>
      <c r="J20" s="139"/>
      <c r="K20" s="139"/>
      <c r="L20" s="139"/>
      <c r="M20" s="141"/>
      <c r="N20" s="139"/>
      <c r="O20" s="140"/>
      <c r="P20" s="139"/>
      <c r="Q20" s="139"/>
      <c r="R20" s="141"/>
      <c r="S20" s="142"/>
      <c r="T20" s="142"/>
      <c r="U20" s="142"/>
      <c r="V20" s="142"/>
      <c r="W20" s="143"/>
      <c r="X20" s="140"/>
      <c r="Y20" s="139"/>
      <c r="Z20" s="139"/>
      <c r="AA20" s="139"/>
      <c r="AB20" s="141"/>
      <c r="AC20" s="140"/>
      <c r="AD20" s="139"/>
      <c r="AE20" s="139"/>
      <c r="AF20" s="139"/>
      <c r="AG20" s="141"/>
      <c r="AH20" s="140"/>
      <c r="AI20" s="140"/>
      <c r="AJ20" s="140"/>
      <c r="AK20" s="139"/>
      <c r="AL20" s="141"/>
      <c r="AM20" s="140"/>
      <c r="AN20" s="140"/>
      <c r="AO20" s="140"/>
      <c r="AP20" s="139"/>
      <c r="AQ20" s="141"/>
      <c r="AR20" s="140"/>
      <c r="AS20" s="140"/>
      <c r="AT20" s="140"/>
      <c r="AV20" s="141"/>
      <c r="AW20" s="140"/>
      <c r="AX20" s="140"/>
      <c r="AY20" s="140"/>
      <c r="BA20" s="141"/>
    </row>
    <row r="21" spans="1:53" ht="13.5" thickBot="1" x14ac:dyDescent="0.25">
      <c r="A21" s="28"/>
      <c r="B21" s="144" t="s">
        <v>78</v>
      </c>
      <c r="C21" s="145"/>
      <c r="D21" s="146">
        <v>3903.0363900000002</v>
      </c>
      <c r="E21" s="142">
        <v>4027.94578</v>
      </c>
      <c r="F21" s="146">
        <v>4565.1249899999993</v>
      </c>
      <c r="G21" s="146">
        <v>4973.47552</v>
      </c>
      <c r="H21" s="143">
        <f>SUM(D21:G21)</f>
        <v>17469.58268</v>
      </c>
      <c r="I21" s="146">
        <v>5577</v>
      </c>
      <c r="J21" s="146">
        <v>6289</v>
      </c>
      <c r="K21" s="146">
        <v>6770.5639899999996</v>
      </c>
      <c r="L21" s="146">
        <v>7560</v>
      </c>
      <c r="M21" s="143">
        <f>SUM(I21:L21)</f>
        <v>26196.563989999999</v>
      </c>
      <c r="N21" s="146">
        <v>8010.416940000001</v>
      </c>
      <c r="O21" s="147">
        <f>9787-211-982</f>
        <v>8594</v>
      </c>
      <c r="P21" s="148">
        <f>10110-422-956</f>
        <v>8732</v>
      </c>
      <c r="Q21" s="148">
        <f>10100-476-608</f>
        <v>9016</v>
      </c>
      <c r="R21" s="143">
        <f>SUM(N21:Q21)</f>
        <v>34352.416940000003</v>
      </c>
      <c r="S21" s="147">
        <f>10605+400</f>
        <v>11005</v>
      </c>
      <c r="T21" s="147">
        <f>12246+400</f>
        <v>12646</v>
      </c>
      <c r="U21" s="147">
        <f>15434-728-119-800</f>
        <v>13787</v>
      </c>
      <c r="V21" s="147">
        <f>20293-967-2653-108-709</f>
        <v>15856</v>
      </c>
      <c r="W21" s="143">
        <f>SUM(S21:V21)</f>
        <v>53294</v>
      </c>
      <c r="X21" s="147">
        <f>29835-1127-8401-163-721</f>
        <v>19423</v>
      </c>
      <c r="Y21" s="148">
        <f>34386-9285-1285-89-763</f>
        <v>22964</v>
      </c>
      <c r="Z21" s="148">
        <f>37342-1401-9285-881</f>
        <v>25775</v>
      </c>
      <c r="AA21" s="148">
        <f>43441-10172-1534</f>
        <v>31735</v>
      </c>
      <c r="AB21" s="143">
        <f>SUM(X21:AA21)</f>
        <v>99897</v>
      </c>
      <c r="AC21" s="147">
        <f>34820-2066</f>
        <v>32754</v>
      </c>
      <c r="AD21" s="147">
        <f>47467-10502-2353</f>
        <v>34612</v>
      </c>
      <c r="AE21" s="148">
        <f>37897-2514</f>
        <v>35383</v>
      </c>
      <c r="AF21" s="148">
        <f>52552-11225-2495</f>
        <v>38832</v>
      </c>
      <c r="AG21" s="143">
        <f>SUM(AC21:AF21)</f>
        <v>141581</v>
      </c>
      <c r="AH21" s="148">
        <f>44904-2628</f>
        <v>42276</v>
      </c>
      <c r="AI21" s="148">
        <f>47239-2446</f>
        <v>44793</v>
      </c>
      <c r="AJ21" s="148">
        <f>43845-2277</f>
        <v>41568</v>
      </c>
      <c r="AK21" s="148">
        <f>53905+11295-11295-2243</f>
        <v>51662</v>
      </c>
      <c r="AL21" s="143">
        <f>SUM(AH21:AK21)</f>
        <v>180299</v>
      </c>
      <c r="AM21" s="148">
        <f>53602+11094-11094-2183</f>
        <v>51419</v>
      </c>
      <c r="AN21" s="148">
        <f>56298+10310-10310-2654</f>
        <v>53644</v>
      </c>
      <c r="AO21" s="148">
        <f>56733-2530</f>
        <v>54203</v>
      </c>
      <c r="AP21" s="148">
        <f>63172-2553</f>
        <v>60619</v>
      </c>
      <c r="AQ21" s="143">
        <f>SUM(AM21:AP21)</f>
        <v>219885</v>
      </c>
      <c r="AR21" s="148">
        <f>66066-2405</f>
        <v>63661</v>
      </c>
      <c r="AS21" s="148">
        <f>69190-2298</f>
        <v>66892</v>
      </c>
      <c r="AT21" s="148">
        <f t="shared" ref="AT21:AU21" si="131">AT17*(1-AT23)</f>
        <v>65666.02932011438</v>
      </c>
      <c r="AU21" s="148">
        <f t="shared" si="131"/>
        <v>72644.24593085477</v>
      </c>
      <c r="AV21" s="143">
        <f>SUM(AR21:AU21)</f>
        <v>268863.27525096916</v>
      </c>
      <c r="AW21" s="148">
        <f t="shared" ref="AW21:AZ21" si="132">AW17*(1-AW23)</f>
        <v>67640.960423667682</v>
      </c>
      <c r="AX21" s="148">
        <f t="shared" si="132"/>
        <v>70099.303471590247</v>
      </c>
      <c r="AY21" s="148">
        <f t="shared" si="132"/>
        <v>71929.422184610608</v>
      </c>
      <c r="AZ21" s="148">
        <f t="shared" si="132"/>
        <v>81146.337371343689</v>
      </c>
      <c r="BA21" s="143">
        <f>SUM(AW21:AZ21)</f>
        <v>290816.02345121221</v>
      </c>
    </row>
    <row r="22" spans="1:53" ht="13.5" thickBot="1" x14ac:dyDescent="0.25">
      <c r="A22" s="20"/>
      <c r="B22" s="149" t="s">
        <v>79</v>
      </c>
      <c r="C22" s="150"/>
      <c r="D22" s="151">
        <f t="shared" ref="D22:AG22" si="133">D17-D21</f>
        <v>9199.5931100000016</v>
      </c>
      <c r="E22" s="151">
        <f t="shared" si="133"/>
        <v>11135.17209</v>
      </c>
      <c r="F22" s="151">
        <f t="shared" si="133"/>
        <v>12532.579660000003</v>
      </c>
      <c r="G22" s="151">
        <f t="shared" si="133"/>
        <v>14527.198489999999</v>
      </c>
      <c r="H22" s="152">
        <f t="shared" si="133"/>
        <v>47394.543350000007</v>
      </c>
      <c r="I22" s="151">
        <f t="shared" si="133"/>
        <v>16847.129579999997</v>
      </c>
      <c r="J22" s="151">
        <f t="shared" si="133"/>
        <v>19709.650150000001</v>
      </c>
      <c r="K22" s="151">
        <f t="shared" si="133"/>
        <v>21473.1214</v>
      </c>
      <c r="L22" s="151">
        <f t="shared" si="133"/>
        <v>24124.327560000002</v>
      </c>
      <c r="M22" s="152">
        <f t="shared" si="133"/>
        <v>82154.228690000018</v>
      </c>
      <c r="N22" s="151">
        <f t="shared" si="133"/>
        <v>27169.062680000003</v>
      </c>
      <c r="O22" s="153">
        <f t="shared" si="133"/>
        <v>30486</v>
      </c>
      <c r="P22" s="151">
        <f t="shared" si="133"/>
        <v>32498</v>
      </c>
      <c r="Q22" s="151">
        <f t="shared" si="133"/>
        <v>33094</v>
      </c>
      <c r="R22" s="152">
        <f t="shared" si="133"/>
        <v>123247.06268</v>
      </c>
      <c r="S22" s="153">
        <f t="shared" si="133"/>
        <v>35204</v>
      </c>
      <c r="T22" s="153">
        <f t="shared" si="133"/>
        <v>41399</v>
      </c>
      <c r="U22" s="153">
        <f t="shared" si="133"/>
        <v>45951</v>
      </c>
      <c r="V22" s="153">
        <f t="shared" si="133"/>
        <v>62417</v>
      </c>
      <c r="W22" s="152">
        <f t="shared" si="133"/>
        <v>184971</v>
      </c>
      <c r="X22" s="153">
        <f t="shared" si="133"/>
        <v>98926</v>
      </c>
      <c r="Y22" s="151">
        <f t="shared" si="133"/>
        <v>133514</v>
      </c>
      <c r="Z22" s="151">
        <f t="shared" si="133"/>
        <v>141136</v>
      </c>
      <c r="AA22" s="151">
        <f t="shared" si="133"/>
        <v>168486</v>
      </c>
      <c r="AB22" s="152">
        <f t="shared" si="133"/>
        <v>542062</v>
      </c>
      <c r="AC22" s="153">
        <f t="shared" si="133"/>
        <v>197170</v>
      </c>
      <c r="AD22" s="153">
        <f t="shared" si="133"/>
        <v>225394</v>
      </c>
      <c r="AE22" s="151">
        <f t="shared" si="133"/>
        <v>237172</v>
      </c>
      <c r="AF22" s="151">
        <f t="shared" si="133"/>
        <v>257151</v>
      </c>
      <c r="AG22" s="152">
        <f t="shared" si="133"/>
        <v>916887</v>
      </c>
      <c r="AH22" s="151">
        <f t="shared" ref="AH22:AL22" si="134">AH17-AH21</f>
        <v>262709</v>
      </c>
      <c r="AI22" s="151">
        <f>AI17-AI21</f>
        <v>273702</v>
      </c>
      <c r="AJ22" s="151">
        <f t="shared" si="134"/>
        <v>281460</v>
      </c>
      <c r="AK22" s="151">
        <f t="shared" si="134"/>
        <v>292003</v>
      </c>
      <c r="AL22" s="152">
        <f t="shared" si="134"/>
        <v>1109874</v>
      </c>
      <c r="AM22" s="151">
        <f t="shared" ref="AM22" si="135">AM17-AM21</f>
        <v>307031</v>
      </c>
      <c r="AN22" s="151">
        <f>AN17-AN21</f>
        <v>308910</v>
      </c>
      <c r="AO22" s="151">
        <f t="shared" ref="AO22:AP22" si="136">AO17-AO21</f>
        <v>304014</v>
      </c>
      <c r="AP22" s="151">
        <f t="shared" si="136"/>
        <v>322730</v>
      </c>
      <c r="AQ22" s="152">
        <f t="shared" ref="AQ22:AR22" si="137">AQ17-AQ21</f>
        <v>1242685</v>
      </c>
      <c r="AR22" s="151">
        <f t="shared" si="137"/>
        <v>332080</v>
      </c>
      <c r="AS22" s="151">
        <f>AS17-AS21</f>
        <v>347779</v>
      </c>
      <c r="AT22" s="151">
        <f t="shared" ref="AT22:AV22" si="138">AT17-AT21</f>
        <v>337193.04626340931</v>
      </c>
      <c r="AU22" s="151">
        <f t="shared" si="138"/>
        <v>357203.36312745739</v>
      </c>
      <c r="AV22" s="152">
        <f t="shared" si="138"/>
        <v>1374255.4093908665</v>
      </c>
      <c r="AW22" s="151">
        <f t="shared" ref="AW22:BA22" si="139">AW17-AW21</f>
        <v>371586.05531443411</v>
      </c>
      <c r="AX22" s="151">
        <f t="shared" si="139"/>
        <v>385090.97881146322</v>
      </c>
      <c r="AY22" s="151">
        <f t="shared" si="139"/>
        <v>377629.46646920557</v>
      </c>
      <c r="AZ22" s="151">
        <f t="shared" si="139"/>
        <v>401867.57555332105</v>
      </c>
      <c r="BA22" s="152">
        <f t="shared" si="139"/>
        <v>1536174.0761484238</v>
      </c>
    </row>
    <row r="23" spans="1:53" s="118" customFormat="1" ht="13.35" customHeight="1" x14ac:dyDescent="0.2">
      <c r="A23" s="115"/>
      <c r="B23" s="154"/>
      <c r="C23" s="155" t="s">
        <v>80</v>
      </c>
      <c r="D23" s="114">
        <f t="shared" ref="D23:AJ23" si="140">D22/D17</f>
        <v>0.70211808324428326</v>
      </c>
      <c r="E23" s="115">
        <f t="shared" si="140"/>
        <v>0.7343590009301959</v>
      </c>
      <c r="F23" s="114">
        <f t="shared" si="140"/>
        <v>0.73299778634320956</v>
      </c>
      <c r="G23" s="114">
        <f t="shared" si="140"/>
        <v>0.74495878873470789</v>
      </c>
      <c r="H23" s="136">
        <f t="shared" si="140"/>
        <v>0.7306741992959217</v>
      </c>
      <c r="I23" s="114">
        <f t="shared" si="140"/>
        <v>0.75129469440035224</v>
      </c>
      <c r="J23" s="114">
        <f t="shared" si="140"/>
        <v>0.75810282596537037</v>
      </c>
      <c r="K23" s="114">
        <f t="shared" si="140"/>
        <v>0.76028043449325511</v>
      </c>
      <c r="L23" s="114">
        <f t="shared" si="140"/>
        <v>0.76139623018087499</v>
      </c>
      <c r="M23" s="136">
        <f t="shared" si="140"/>
        <v>0.75822452847790289</v>
      </c>
      <c r="N23" s="114">
        <f t="shared" si="140"/>
        <v>0.7722985949045712</v>
      </c>
      <c r="O23" s="115">
        <f t="shared" si="140"/>
        <v>0.78009211873080864</v>
      </c>
      <c r="P23" s="115">
        <f t="shared" si="140"/>
        <v>0.78821246665049716</v>
      </c>
      <c r="Q23" s="156">
        <f t="shared" si="140"/>
        <v>0.785894086915222</v>
      </c>
      <c r="R23" s="136">
        <f t="shared" si="140"/>
        <v>0.78202709156889538</v>
      </c>
      <c r="S23" s="157">
        <f t="shared" si="140"/>
        <v>0.76184293103075162</v>
      </c>
      <c r="T23" s="157">
        <f t="shared" si="140"/>
        <v>0.76600980664261265</v>
      </c>
      <c r="U23" s="157">
        <f t="shared" si="140"/>
        <v>0.76920887877063171</v>
      </c>
      <c r="V23" s="157">
        <f t="shared" si="140"/>
        <v>0.79742695437762701</v>
      </c>
      <c r="W23" s="136">
        <f>W22/W17</f>
        <v>0.77632468050280146</v>
      </c>
      <c r="X23" s="157">
        <f t="shared" si="140"/>
        <v>0.83588369990451972</v>
      </c>
      <c r="Y23" s="157">
        <f t="shared" si="140"/>
        <v>0.8532445455591201</v>
      </c>
      <c r="Z23" s="157">
        <f t="shared" si="140"/>
        <v>0.84557638501956134</v>
      </c>
      <c r="AA23" s="157">
        <f t="shared" si="140"/>
        <v>0.84150014234271131</v>
      </c>
      <c r="AB23" s="136">
        <f>AB22/AB17</f>
        <v>0.84438725837631379</v>
      </c>
      <c r="AC23" s="157">
        <f t="shared" si="140"/>
        <v>0.85754423200709795</v>
      </c>
      <c r="AD23" s="157">
        <f t="shared" si="140"/>
        <v>0.86687999507703672</v>
      </c>
      <c r="AE23" s="157">
        <f t="shared" si="140"/>
        <v>0.87018033057548017</v>
      </c>
      <c r="AF23" s="157">
        <f t="shared" si="140"/>
        <v>0.86880327586381645</v>
      </c>
      <c r="AG23" s="136">
        <f>AG22/AG17</f>
        <v>0.86623969737394046</v>
      </c>
      <c r="AH23" s="157">
        <f t="shared" si="140"/>
        <v>0.86138334672196992</v>
      </c>
      <c r="AI23" s="157">
        <f t="shared" si="140"/>
        <v>0.85936042952008662</v>
      </c>
      <c r="AJ23" s="157">
        <f t="shared" si="140"/>
        <v>0.87131765667372485</v>
      </c>
      <c r="AK23" s="157">
        <f t="shared" ref="AK23" si="141">AK22/AK17</f>
        <v>0.8496733737796982</v>
      </c>
      <c r="AL23" s="136">
        <f>AL22/AL17</f>
        <v>0.86025207472176213</v>
      </c>
      <c r="AM23" s="157">
        <f t="shared" ref="AM23:AP23" si="142">AM22/AM17</f>
        <v>0.8565518203375645</v>
      </c>
      <c r="AN23" s="157">
        <f t="shared" si="142"/>
        <v>0.8520385928716826</v>
      </c>
      <c r="AO23" s="157">
        <f t="shared" si="142"/>
        <v>0.84868668991142238</v>
      </c>
      <c r="AP23" s="157">
        <f t="shared" si="142"/>
        <v>0.84186994096763001</v>
      </c>
      <c r="AQ23" s="136">
        <f>AQ22/AQ17</f>
        <v>0.84965847788481919</v>
      </c>
      <c r="AR23" s="157">
        <f t="shared" ref="AR23:AS23" si="143">AR22/AR17</f>
        <v>0.83913468657531065</v>
      </c>
      <c r="AS23" s="157">
        <f t="shared" si="143"/>
        <v>0.83868657321105167</v>
      </c>
      <c r="AT23" s="158">
        <v>0.83699999999999997</v>
      </c>
      <c r="AU23" s="158">
        <v>0.83099999999999996</v>
      </c>
      <c r="AV23" s="136">
        <f>AV22/AV17</f>
        <v>0.83637014309189994</v>
      </c>
      <c r="AW23" s="158">
        <v>0.84599999999999997</v>
      </c>
      <c r="AX23" s="158">
        <v>0.84599999999999997</v>
      </c>
      <c r="AY23" s="158">
        <v>0.84</v>
      </c>
      <c r="AZ23" s="158">
        <v>0.83199999999999996</v>
      </c>
      <c r="BA23" s="136">
        <f>BA22/BA17</f>
        <v>0.84082233203401524</v>
      </c>
    </row>
    <row r="24" spans="1:53" x14ac:dyDescent="0.2">
      <c r="A24" s="28"/>
      <c r="B24" s="138"/>
      <c r="C24" s="126"/>
      <c r="D24" s="139"/>
      <c r="E24" s="140"/>
      <c r="F24" s="139"/>
      <c r="G24" s="139"/>
      <c r="H24" s="141"/>
      <c r="I24" s="139"/>
      <c r="J24" s="139"/>
      <c r="K24" s="139"/>
      <c r="L24" s="139"/>
      <c r="M24" s="141"/>
      <c r="N24" s="139"/>
      <c r="O24" s="140"/>
      <c r="P24" s="139"/>
      <c r="Q24" s="139"/>
      <c r="R24" s="141"/>
      <c r="S24" s="140"/>
      <c r="T24" s="140"/>
      <c r="U24" s="140"/>
      <c r="V24" s="140"/>
      <c r="W24" s="141"/>
      <c r="X24" s="140"/>
      <c r="Y24" s="139"/>
      <c r="Z24" s="139"/>
      <c r="AA24" s="139"/>
      <c r="AB24" s="141"/>
      <c r="AC24" s="140"/>
      <c r="AD24" s="139"/>
      <c r="AE24" s="139"/>
      <c r="AF24" s="139"/>
      <c r="AG24" s="141"/>
      <c r="AH24" s="140"/>
      <c r="AI24" s="140"/>
      <c r="AJ24" s="140"/>
      <c r="AK24" s="139"/>
      <c r="AL24" s="141"/>
      <c r="AM24" s="140"/>
      <c r="AN24" s="140"/>
      <c r="AO24" s="140"/>
      <c r="AP24" s="139"/>
      <c r="AQ24" s="141"/>
      <c r="AR24" s="140"/>
      <c r="AS24" s="140"/>
      <c r="AT24" s="140"/>
      <c r="AV24" s="141"/>
      <c r="AW24" s="140"/>
      <c r="AX24" s="140"/>
      <c r="AY24" s="140"/>
      <c r="BA24" s="141"/>
    </row>
    <row r="25" spans="1:53" x14ac:dyDescent="0.2">
      <c r="A25" s="28"/>
      <c r="B25" s="159" t="s">
        <v>81</v>
      </c>
      <c r="C25" s="126"/>
      <c r="D25" s="146"/>
      <c r="E25" s="142"/>
      <c r="F25" s="146"/>
      <c r="G25" s="146"/>
      <c r="H25" s="143"/>
      <c r="I25" s="146"/>
      <c r="J25" s="146"/>
      <c r="K25" s="146"/>
      <c r="L25" s="146"/>
      <c r="M25" s="143"/>
      <c r="N25" s="146"/>
      <c r="O25" s="142"/>
      <c r="P25" s="146"/>
      <c r="Q25" s="146"/>
      <c r="R25" s="143"/>
      <c r="S25" s="142"/>
      <c r="T25" s="142"/>
      <c r="U25" s="142"/>
      <c r="V25" s="142"/>
      <c r="W25" s="143"/>
      <c r="X25" s="142"/>
      <c r="Y25" s="146"/>
      <c r="Z25" s="146"/>
      <c r="AA25" s="146"/>
      <c r="AB25" s="143"/>
      <c r="AC25" s="142"/>
      <c r="AD25" s="146"/>
      <c r="AE25" s="146"/>
      <c r="AF25" s="146"/>
      <c r="AG25" s="143"/>
      <c r="AH25" s="142"/>
      <c r="AI25" s="142"/>
      <c r="AJ25" s="142"/>
      <c r="AK25" s="146"/>
      <c r="AL25" s="143"/>
      <c r="AM25" s="142"/>
      <c r="AN25" s="142"/>
      <c r="AO25" s="142"/>
      <c r="AP25" s="146"/>
      <c r="AQ25" s="143"/>
      <c r="AR25" s="142"/>
      <c r="AS25" s="142"/>
      <c r="AT25" s="142"/>
      <c r="AV25" s="143"/>
      <c r="AW25" s="142"/>
      <c r="AX25" s="142"/>
      <c r="AY25" s="142"/>
      <c r="BA25" s="143"/>
    </row>
    <row r="26" spans="1:53" x14ac:dyDescent="0.2">
      <c r="A26" s="105"/>
      <c r="B26" s="119"/>
      <c r="C26" s="126" t="s">
        <v>82</v>
      </c>
      <c r="D26" s="108">
        <v>4598.3354500000014</v>
      </c>
      <c r="E26" s="109">
        <v>4806.1978500000014</v>
      </c>
      <c r="F26" s="108">
        <v>5245.8858499999997</v>
      </c>
      <c r="G26" s="108">
        <v>5549.860529999999</v>
      </c>
      <c r="H26" s="110">
        <f>SUM(D26:G26)</f>
        <v>20200.27968</v>
      </c>
      <c r="I26" s="108">
        <v>6159.1792300000006</v>
      </c>
      <c r="J26" s="108">
        <v>6542</v>
      </c>
      <c r="K26" s="108">
        <v>8050</v>
      </c>
      <c r="L26" s="108">
        <v>9102</v>
      </c>
      <c r="M26" s="110">
        <f>SUM(I26:L26)</f>
        <v>29853.179230000002</v>
      </c>
      <c r="N26" s="108">
        <v>10942.97143</v>
      </c>
      <c r="O26" s="109">
        <f>12992-1084+74</f>
        <v>11982</v>
      </c>
      <c r="P26" s="108">
        <f>13969-1466+280</f>
        <v>12783</v>
      </c>
      <c r="Q26" s="108">
        <f>14929-2274+67</f>
        <v>12722</v>
      </c>
      <c r="R26" s="110">
        <f>SUM(N26:Q26)</f>
        <v>48429.971429999998</v>
      </c>
      <c r="S26" s="109">
        <f>15484-700</f>
        <v>14784</v>
      </c>
      <c r="T26" s="109">
        <f>17848-500</f>
        <v>17348</v>
      </c>
      <c r="U26" s="109">
        <v>18031</v>
      </c>
      <c r="V26" s="109">
        <v>22792</v>
      </c>
      <c r="W26" s="110">
        <f>SUM(S26:V26)</f>
        <v>72955</v>
      </c>
      <c r="X26" s="109">
        <f>42472-10560-582-588</f>
        <v>30742</v>
      </c>
      <c r="Y26" s="108">
        <f>51954-14280-659-577</f>
        <v>36438</v>
      </c>
      <c r="Z26" s="108">
        <f>60230-14998-581</f>
        <v>44651</v>
      </c>
      <c r="AA26" s="108">
        <f>66908-16681</f>
        <v>50227</v>
      </c>
      <c r="AB26" s="110">
        <f>SUM(X26:AA26)</f>
        <v>162058</v>
      </c>
      <c r="AC26" s="109">
        <v>53764</v>
      </c>
      <c r="AD26" s="109">
        <f>78910-27310</f>
        <v>51600</v>
      </c>
      <c r="AE26" s="109">
        <f>78761-23274</f>
        <v>55487</v>
      </c>
      <c r="AF26" s="109">
        <f>81841-23935</f>
        <v>57906</v>
      </c>
      <c r="AG26" s="110">
        <f>SUM(AC26:AF26)</f>
        <v>218757</v>
      </c>
      <c r="AH26" s="109">
        <f>89065-27887</f>
        <v>61178</v>
      </c>
      <c r="AI26" s="109">
        <f>86489-26550</f>
        <v>59939</v>
      </c>
      <c r="AJ26" s="108">
        <v>55532</v>
      </c>
      <c r="AK26" s="109">
        <v>54348</v>
      </c>
      <c r="AL26" s="110">
        <f>SUM(AH26:AK26)</f>
        <v>230997</v>
      </c>
      <c r="AM26" s="109">
        <v>54709</v>
      </c>
      <c r="AN26" s="109">
        <f>84784-29774</f>
        <v>55010</v>
      </c>
      <c r="AO26" s="108">
        <v>57987</v>
      </c>
      <c r="AP26" s="109">
        <v>62098</v>
      </c>
      <c r="AQ26" s="110">
        <f>SUM(AM26:AP26)</f>
        <v>229804</v>
      </c>
      <c r="AR26" s="109">
        <v>53860</v>
      </c>
      <c r="AS26" s="109">
        <v>53256</v>
      </c>
      <c r="AT26" s="108">
        <f t="shared" ref="AT26:AU26" si="144">AT17*AT27</f>
        <v>53983.116128192181</v>
      </c>
      <c r="AU26" s="108">
        <f t="shared" si="144"/>
        <v>55880.189177580578</v>
      </c>
      <c r="AV26" s="110">
        <f>SUM(AR26:AU26)</f>
        <v>216979.30530577275</v>
      </c>
      <c r="AW26" s="108">
        <f t="shared" ref="AW26:AZ26" si="145">AW17*AW27</f>
        <v>60613.328171858055</v>
      </c>
      <c r="AX26" s="108">
        <f t="shared" si="145"/>
        <v>61905.878390495272</v>
      </c>
      <c r="AY26" s="108">
        <f t="shared" si="145"/>
        <v>61140.008856919005</v>
      </c>
      <c r="AZ26" s="108">
        <f t="shared" si="145"/>
        <v>65689.89215775441</v>
      </c>
      <c r="BA26" s="110">
        <f>SUM(AW26:AZ26)</f>
        <v>249349.10757702676</v>
      </c>
    </row>
    <row r="27" spans="1:53" s="160" customFormat="1" ht="13.35" customHeight="1" x14ac:dyDescent="0.2">
      <c r="A27" s="123"/>
      <c r="B27" s="124"/>
      <c r="C27" s="825" t="s">
        <v>83</v>
      </c>
      <c r="D27" s="115">
        <f t="shared" ref="D27:AE27" si="146">D26/D17</f>
        <v>0.35094752927265488</v>
      </c>
      <c r="E27" s="115">
        <f t="shared" si="146"/>
        <v>0.31696633180626993</v>
      </c>
      <c r="F27" s="115">
        <f t="shared" si="146"/>
        <v>0.30681813479565506</v>
      </c>
      <c r="G27" s="115">
        <f t="shared" si="146"/>
        <v>0.28459839527362057</v>
      </c>
      <c r="H27" s="116">
        <f t="shared" si="146"/>
        <v>0.31142452564083362</v>
      </c>
      <c r="I27" s="156">
        <f t="shared" si="146"/>
        <v>0.27466748299088278</v>
      </c>
      <c r="J27" s="156">
        <f t="shared" si="146"/>
        <v>0.25162844848696886</v>
      </c>
      <c r="K27" s="156">
        <f t="shared" si="146"/>
        <v>0.28501946147758023</v>
      </c>
      <c r="L27" s="156">
        <f t="shared" si="146"/>
        <v>0.28727136413937515</v>
      </c>
      <c r="M27" s="116">
        <f t="shared" si="146"/>
        <v>0.27552340404345255</v>
      </c>
      <c r="N27" s="156">
        <f t="shared" si="146"/>
        <v>0.31106120807366272</v>
      </c>
      <c r="O27" s="157">
        <f t="shared" si="146"/>
        <v>0.30660184237461618</v>
      </c>
      <c r="P27" s="157">
        <f t="shared" si="146"/>
        <v>0.31004123211253942</v>
      </c>
      <c r="Q27" s="157">
        <f t="shared" si="146"/>
        <v>0.30211351222987415</v>
      </c>
      <c r="R27" s="116">
        <f t="shared" si="146"/>
        <v>0.30729778770065203</v>
      </c>
      <c r="S27" s="157">
        <f t="shared" si="146"/>
        <v>0.31993767447899762</v>
      </c>
      <c r="T27" s="157">
        <f t="shared" si="146"/>
        <v>0.32099176612082525</v>
      </c>
      <c r="U27" s="157">
        <f t="shared" si="146"/>
        <v>0.30183467809434533</v>
      </c>
      <c r="V27" s="157">
        <f t="shared" si="146"/>
        <v>0.29118597728463197</v>
      </c>
      <c r="W27" s="116">
        <f>W26/W17</f>
        <v>0.3061926846158689</v>
      </c>
      <c r="X27" s="157">
        <f t="shared" si="146"/>
        <v>0.25975715891135542</v>
      </c>
      <c r="Y27" s="157">
        <f t="shared" si="146"/>
        <v>0.23286340571837574</v>
      </c>
      <c r="Z27" s="157">
        <f t="shared" si="146"/>
        <v>0.2675138247329415</v>
      </c>
      <c r="AA27" s="157">
        <f t="shared" si="146"/>
        <v>0.25085780212864783</v>
      </c>
      <c r="AB27" s="116">
        <f>AB26/AB17</f>
        <v>0.25244291302092503</v>
      </c>
      <c r="AC27" s="157">
        <f t="shared" si="146"/>
        <v>0.23383378855621859</v>
      </c>
      <c r="AD27" s="157">
        <f t="shared" si="146"/>
        <v>0.19845695868556879</v>
      </c>
      <c r="AE27" s="157">
        <f t="shared" si="146"/>
        <v>0.20358092861991159</v>
      </c>
      <c r="AF27" s="157">
        <f t="shared" ref="AF27" si="147">AF26/AF17</f>
        <v>0.19563961443731565</v>
      </c>
      <c r="AG27" s="116">
        <f>AG26/AG17</f>
        <v>0.2066732296110983</v>
      </c>
      <c r="AH27" s="157">
        <f t="shared" ref="AH27:AK27" si="148">AH26/AH17</f>
        <v>0.20059347181008902</v>
      </c>
      <c r="AI27" s="157">
        <f t="shared" si="148"/>
        <v>0.18819447715034773</v>
      </c>
      <c r="AJ27" s="157">
        <f t="shared" si="148"/>
        <v>0.17191079411072724</v>
      </c>
      <c r="AK27" s="157">
        <f t="shared" si="148"/>
        <v>0.15814237702413689</v>
      </c>
      <c r="AL27" s="116">
        <f>AL26/AL17</f>
        <v>0.17904343060969344</v>
      </c>
      <c r="AM27" s="157">
        <f t="shared" ref="AM27:AP27" si="149">AM26/AM17</f>
        <v>0.15262658669270471</v>
      </c>
      <c r="AN27" s="157">
        <f t="shared" si="149"/>
        <v>0.15172912173083183</v>
      </c>
      <c r="AO27" s="157">
        <f t="shared" si="149"/>
        <v>0.16187673951822498</v>
      </c>
      <c r="AP27" s="157">
        <f t="shared" si="149"/>
        <v>0.16198816222293524</v>
      </c>
      <c r="AQ27" s="116">
        <f>AQ26/AQ17</f>
        <v>0.15712341973375632</v>
      </c>
      <c r="AR27" s="157">
        <f t="shared" ref="AR27:AS27" si="150">AR26/AR17</f>
        <v>0.1360991153304813</v>
      </c>
      <c r="AS27" s="157">
        <f t="shared" si="150"/>
        <v>0.12842952605800742</v>
      </c>
      <c r="AT27" s="158">
        <v>0.13400000000000001</v>
      </c>
      <c r="AU27" s="158">
        <v>0.13</v>
      </c>
      <c r="AV27" s="116">
        <f>AV26/AV17</f>
        <v>0.13205333694630192</v>
      </c>
      <c r="AW27" s="158">
        <v>0.13800000000000001</v>
      </c>
      <c r="AX27" s="158">
        <v>0.13600000000000001</v>
      </c>
      <c r="AY27" s="158">
        <v>0.13600000000000001</v>
      </c>
      <c r="AZ27" s="158">
        <v>0.13600000000000001</v>
      </c>
      <c r="BA27" s="116">
        <f>BA26/BA17</f>
        <v>0.13648082035675441</v>
      </c>
    </row>
    <row r="28" spans="1:53" s="163" customFormat="1" ht="18.75" hidden="1" customHeight="1" outlineLevel="1" x14ac:dyDescent="0.2">
      <c r="A28" s="161"/>
      <c r="B28" s="162"/>
      <c r="C28" s="126" t="s">
        <v>418</v>
      </c>
      <c r="D28" s="146"/>
      <c r="E28" s="142"/>
      <c r="F28" s="146"/>
      <c r="G28" s="146"/>
      <c r="H28" s="110"/>
      <c r="I28" s="146"/>
      <c r="J28" s="146"/>
      <c r="K28" s="146"/>
      <c r="L28" s="146"/>
      <c r="M28" s="110"/>
      <c r="N28" s="146"/>
      <c r="O28" s="142"/>
      <c r="P28" s="146"/>
      <c r="Q28" s="146"/>
      <c r="R28" s="110"/>
      <c r="S28" s="142"/>
      <c r="T28" s="142"/>
      <c r="U28" s="142"/>
      <c r="V28" s="142"/>
      <c r="W28" s="110"/>
      <c r="X28" s="142">
        <f>AC28-23400</f>
        <v>15600</v>
      </c>
      <c r="Y28" s="142">
        <f>AE28-21500</f>
        <v>21500</v>
      </c>
      <c r="Z28" s="142">
        <f>AE28-18400</f>
        <v>24600</v>
      </c>
      <c r="AA28" s="142">
        <f>'Revenue Build'!AA54</f>
        <v>34400</v>
      </c>
      <c r="AB28" s="110">
        <f>AG28-78700</f>
        <v>96000</v>
      </c>
      <c r="AC28" s="142">
        <f>'Revenue Build'!AC54</f>
        <v>39000</v>
      </c>
      <c r="AD28" s="142">
        <f>'Revenue Build'!AD54</f>
        <v>44000</v>
      </c>
      <c r="AE28" s="142">
        <f>'Revenue Build'!AE54</f>
        <v>43000</v>
      </c>
      <c r="AF28" s="142">
        <f>'Revenue Build'!AF54</f>
        <v>48700</v>
      </c>
      <c r="AG28" s="110">
        <f>SUM(AC28:AF28)</f>
        <v>174700</v>
      </c>
      <c r="AH28" s="142">
        <f>'Revenue Build'!AH54</f>
        <v>51800</v>
      </c>
      <c r="AI28" s="142">
        <f>'Revenue Build'!AI54</f>
        <v>53700</v>
      </c>
      <c r="AJ28" s="142">
        <f>'Revenue Build'!AJ54</f>
        <v>53800</v>
      </c>
      <c r="AK28" s="142">
        <f>'Revenue Build'!AK54</f>
        <v>60500</v>
      </c>
      <c r="AL28" s="110">
        <f>SUM(AH28:AK28)</f>
        <v>219800</v>
      </c>
      <c r="AM28" s="142">
        <f>'Revenue Build'!AM54</f>
        <v>62100</v>
      </c>
      <c r="AN28" s="142">
        <f>'Revenue Build'!AN54</f>
        <v>64700</v>
      </c>
      <c r="AO28" s="142">
        <f>'Revenue Build'!AO54</f>
        <v>68400</v>
      </c>
      <c r="AP28" s="142">
        <f>'Revenue Build'!AP54</f>
        <v>76800</v>
      </c>
      <c r="AQ28" s="110">
        <f>SUM(AM28:AP28)</f>
        <v>272000</v>
      </c>
      <c r="AR28" s="142">
        <f>'Revenue Build'!AR54</f>
        <v>81300</v>
      </c>
      <c r="AS28" s="142">
        <f>'Revenue Build'!AS54</f>
        <v>87000</v>
      </c>
      <c r="AT28" s="146"/>
      <c r="AU28" s="146"/>
      <c r="AV28" s="110"/>
      <c r="AW28" s="146"/>
      <c r="AX28" s="146"/>
      <c r="AY28" s="146"/>
      <c r="AZ28" s="146"/>
      <c r="BA28" s="110"/>
    </row>
    <row r="29" spans="1:53" s="160" customFormat="1" ht="13.35" hidden="1" customHeight="1" outlineLevel="1" x14ac:dyDescent="0.2">
      <c r="A29" s="123"/>
      <c r="B29" s="124"/>
      <c r="C29" s="825" t="s">
        <v>83</v>
      </c>
      <c r="D29" s="115"/>
      <c r="E29" s="115"/>
      <c r="F29" s="115"/>
      <c r="G29" s="115"/>
      <c r="H29" s="116"/>
      <c r="I29" s="156"/>
      <c r="J29" s="156"/>
      <c r="K29" s="156"/>
      <c r="L29" s="156"/>
      <c r="M29" s="116"/>
      <c r="N29" s="156"/>
      <c r="O29" s="157"/>
      <c r="P29" s="157"/>
      <c r="Q29" s="157"/>
      <c r="R29" s="116"/>
      <c r="S29" s="157"/>
      <c r="T29" s="157"/>
      <c r="U29" s="157"/>
      <c r="V29" s="157"/>
      <c r="W29" s="116"/>
      <c r="X29" s="157">
        <f t="shared" ref="X29:AR29" si="151">X28/X17</f>
        <v>0.13181353454613051</v>
      </c>
      <c r="Y29" s="157">
        <f t="shared" si="151"/>
        <v>0.13739950663991105</v>
      </c>
      <c r="Z29" s="157">
        <f t="shared" si="151"/>
        <v>0.14738393515106854</v>
      </c>
      <c r="AA29" s="157">
        <f t="shared" si="151"/>
        <v>0.17181014978448814</v>
      </c>
      <c r="AB29" s="116">
        <f t="shared" si="151"/>
        <v>0.14954226048704045</v>
      </c>
      <c r="AC29" s="157">
        <f t="shared" si="151"/>
        <v>0.16962126615751291</v>
      </c>
      <c r="AD29" s="157">
        <f t="shared" si="151"/>
        <v>0.16922686399544626</v>
      </c>
      <c r="AE29" s="157">
        <f t="shared" si="151"/>
        <v>0.15776632239364533</v>
      </c>
      <c r="AF29" s="157">
        <f t="shared" si="151"/>
        <v>0.16453647675711106</v>
      </c>
      <c r="AG29" s="116">
        <f t="shared" si="151"/>
        <v>0.1650498645211759</v>
      </c>
      <c r="AH29" s="157">
        <f t="shared" si="151"/>
        <v>0.16984441857796284</v>
      </c>
      <c r="AI29" s="157">
        <f t="shared" si="151"/>
        <v>0.16860547261338482</v>
      </c>
      <c r="AJ29" s="157">
        <f t="shared" si="151"/>
        <v>0.16654902980546579</v>
      </c>
      <c r="AK29" s="157">
        <f t="shared" si="151"/>
        <v>0.17604353076397072</v>
      </c>
      <c r="AL29" s="116">
        <f t="shared" si="151"/>
        <v>0.17036474953358968</v>
      </c>
      <c r="AM29" s="157">
        <f t="shared" si="151"/>
        <v>0.17324591993304506</v>
      </c>
      <c r="AN29" s="157">
        <f t="shared" si="151"/>
        <v>0.17845617480430501</v>
      </c>
      <c r="AO29" s="157">
        <f t="shared" si="151"/>
        <v>0.19094571167755858</v>
      </c>
      <c r="AP29" s="157">
        <f t="shared" si="151"/>
        <v>0.20033963829304369</v>
      </c>
      <c r="AQ29" s="116">
        <f t="shared" si="151"/>
        <v>0.18597400466302469</v>
      </c>
      <c r="AR29" s="157">
        <f t="shared" si="151"/>
        <v>0.20543739465963851</v>
      </c>
      <c r="AS29" s="157">
        <f t="shared" ref="AS29" si="152">AS28/AS17</f>
        <v>0.20980488146024198</v>
      </c>
      <c r="AT29" s="158"/>
      <c r="AU29" s="158"/>
      <c r="AV29" s="116"/>
      <c r="AW29" s="158"/>
      <c r="AX29" s="158"/>
      <c r="AY29" s="158"/>
      <c r="AZ29" s="158"/>
      <c r="BA29" s="188"/>
    </row>
    <row r="30" spans="1:53" s="163" customFormat="1" hidden="1" outlineLevel="1" x14ac:dyDescent="0.2">
      <c r="A30" s="161"/>
      <c r="B30" s="162"/>
      <c r="C30" s="126" t="s">
        <v>475</v>
      </c>
      <c r="D30" s="146"/>
      <c r="E30" s="142"/>
      <c r="F30" s="146"/>
      <c r="G30" s="146"/>
      <c r="H30" s="110"/>
      <c r="I30" s="146"/>
      <c r="J30" s="146"/>
      <c r="K30" s="146"/>
      <c r="L30" s="146"/>
      <c r="M30" s="110"/>
      <c r="N30" s="146"/>
      <c r="O30" s="142"/>
      <c r="P30" s="146"/>
      <c r="Q30" s="146"/>
      <c r="R30" s="110"/>
      <c r="S30" s="142"/>
      <c r="T30" s="142"/>
      <c r="U30" s="142"/>
      <c r="V30" s="142"/>
      <c r="W30" s="110"/>
      <c r="X30" s="142">
        <f>X32-X28</f>
        <v>29719</v>
      </c>
      <c r="Y30" s="142">
        <f>Y32-Y28</f>
        <v>37070</v>
      </c>
      <c r="Z30" s="142">
        <f>Z32-Z28</f>
        <v>38363</v>
      </c>
      <c r="AA30" s="142">
        <f>AA32-AA28</f>
        <v>44533</v>
      </c>
      <c r="AB30" s="110">
        <f>SUM(X30:AA30)</f>
        <v>149685</v>
      </c>
      <c r="AC30" s="142">
        <f>AC32-AC28</f>
        <v>49441</v>
      </c>
      <c r="AD30" s="142">
        <f>AD32-AD28</f>
        <v>50865</v>
      </c>
      <c r="AE30" s="142">
        <f>AE32-AE28</f>
        <v>53748</v>
      </c>
      <c r="AF30" s="142">
        <f>AF32-AF28</f>
        <v>54697</v>
      </c>
      <c r="AG30" s="110">
        <f>SUM(AC30:AF30)</f>
        <v>208751</v>
      </c>
      <c r="AH30" s="142">
        <f>AH32-AH28</f>
        <v>52516</v>
      </c>
      <c r="AI30" s="142">
        <f>AI32-AI28</f>
        <v>51596</v>
      </c>
      <c r="AJ30" s="142">
        <f>AJ32-AJ28</f>
        <v>52888</v>
      </c>
      <c r="AK30" s="142">
        <f>AK32-AK28</f>
        <v>51667</v>
      </c>
      <c r="AL30" s="110">
        <f>SUM(AH30:AK30)</f>
        <v>208667</v>
      </c>
      <c r="AM30" s="142">
        <f>AM32-AM28</f>
        <v>53328</v>
      </c>
      <c r="AN30" s="142">
        <f>AN32-AN28</f>
        <v>57178</v>
      </c>
      <c r="AO30" s="142">
        <f>AO32-AO28</f>
        <v>58489</v>
      </c>
      <c r="AP30" s="142">
        <f>AP32-AP28</f>
        <v>61916</v>
      </c>
      <c r="AQ30" s="110">
        <f>SUM(AM30:AP30)</f>
        <v>230911</v>
      </c>
      <c r="AR30" s="142">
        <f>AR32-AR28</f>
        <v>58115</v>
      </c>
      <c r="AS30" s="142">
        <f>AS32-AS28</f>
        <v>58251</v>
      </c>
      <c r="AT30" s="142"/>
      <c r="AU30" s="142"/>
      <c r="AV30" s="110"/>
      <c r="AW30" s="146"/>
      <c r="AX30" s="146"/>
      <c r="AY30" s="146"/>
      <c r="AZ30" s="146"/>
      <c r="BA30" s="110"/>
    </row>
    <row r="31" spans="1:53" s="824" customFormat="1" ht="13.35" hidden="1" customHeight="1" outlineLevel="1" x14ac:dyDescent="0.2">
      <c r="A31" s="822"/>
      <c r="B31" s="823"/>
      <c r="C31" s="825" t="s">
        <v>83</v>
      </c>
      <c r="D31" s="826"/>
      <c r="E31" s="826"/>
      <c r="F31" s="826"/>
      <c r="G31" s="826"/>
      <c r="H31" s="827"/>
      <c r="I31" s="828"/>
      <c r="J31" s="828"/>
      <c r="K31" s="828"/>
      <c r="L31" s="828"/>
      <c r="M31" s="827"/>
      <c r="N31" s="828"/>
      <c r="O31" s="829"/>
      <c r="P31" s="829"/>
      <c r="Q31" s="829"/>
      <c r="R31" s="827"/>
      <c r="S31" s="829"/>
      <c r="T31" s="829"/>
      <c r="U31" s="829"/>
      <c r="V31" s="829"/>
      <c r="W31" s="827"/>
      <c r="X31" s="829">
        <f t="shared" ref="X31:AR31" si="153">X30/X17</f>
        <v>0.25111323289592646</v>
      </c>
      <c r="Y31" s="829">
        <f t="shared" si="153"/>
        <v>0.2369023121461164</v>
      </c>
      <c r="Z31" s="829">
        <f t="shared" si="153"/>
        <v>0.22984105301627814</v>
      </c>
      <c r="AA31" s="829">
        <f t="shared" si="153"/>
        <v>0.22241922675443634</v>
      </c>
      <c r="AB31" s="827">
        <f t="shared" si="153"/>
        <v>0.23316909646877759</v>
      </c>
      <c r="AC31" s="829">
        <f t="shared" si="153"/>
        <v>0.21503192359214349</v>
      </c>
      <c r="AD31" s="829">
        <f t="shared" si="153"/>
        <v>0.19563010084382668</v>
      </c>
      <c r="AE31" s="829">
        <f t="shared" si="153"/>
        <v>0.19720056502357322</v>
      </c>
      <c r="AF31" s="829">
        <f t="shared" si="153"/>
        <v>0.18479777554791998</v>
      </c>
      <c r="AG31" s="827">
        <f t="shared" si="153"/>
        <v>0.19721994429685166</v>
      </c>
      <c r="AH31" s="829">
        <f t="shared" si="153"/>
        <v>0.17219207502008296</v>
      </c>
      <c r="AI31" s="829">
        <f t="shared" si="153"/>
        <v>0.16199940344432409</v>
      </c>
      <c r="AJ31" s="829">
        <f t="shared" si="153"/>
        <v>0.16372574513664451</v>
      </c>
      <c r="AK31" s="829">
        <f t="shared" si="153"/>
        <v>0.15034117527243099</v>
      </c>
      <c r="AL31" s="827">
        <f t="shared" si="153"/>
        <v>0.16173567420803256</v>
      </c>
      <c r="AM31" s="829">
        <f t="shared" si="153"/>
        <v>0.14877388757148835</v>
      </c>
      <c r="AN31" s="829">
        <f t="shared" si="153"/>
        <v>0.15770892060217237</v>
      </c>
      <c r="AO31" s="829">
        <f t="shared" si="153"/>
        <v>0.16327812471211584</v>
      </c>
      <c r="AP31" s="829">
        <f t="shared" si="153"/>
        <v>0.16151339901760536</v>
      </c>
      <c r="AQ31" s="827">
        <f t="shared" si="153"/>
        <v>0.15788030658361651</v>
      </c>
      <c r="AR31" s="829">
        <f t="shared" si="153"/>
        <v>0.14685109705590271</v>
      </c>
      <c r="AS31" s="829">
        <f t="shared" ref="AS31" si="154">AS30/AS17</f>
        <v>0.14047522011425925</v>
      </c>
      <c r="AT31" s="830"/>
      <c r="AU31" s="830"/>
      <c r="AV31" s="827"/>
      <c r="AW31" s="830"/>
      <c r="AX31" s="830"/>
      <c r="AY31" s="830"/>
      <c r="AZ31" s="830"/>
      <c r="BA31" s="827">
        <f>BA30/BA15</f>
        <v>0</v>
      </c>
    </row>
    <row r="32" spans="1:53" collapsed="1" x14ac:dyDescent="0.2">
      <c r="A32" s="28"/>
      <c r="B32" s="138"/>
      <c r="C32" s="126" t="s">
        <v>84</v>
      </c>
      <c r="D32" s="146">
        <v>4279.0769900000005</v>
      </c>
      <c r="E32" s="142">
        <v>4654.7802300000003</v>
      </c>
      <c r="F32" s="146">
        <v>4808.8669599999994</v>
      </c>
      <c r="G32" s="146">
        <v>6245.3871999999992</v>
      </c>
      <c r="H32" s="143">
        <f>SUM(D32:G32)</f>
        <v>19988.111380000002</v>
      </c>
      <c r="I32" s="146">
        <v>5763.5564899999999</v>
      </c>
      <c r="J32" s="146">
        <v>7226.2048299999997</v>
      </c>
      <c r="K32" s="146">
        <v>7414</v>
      </c>
      <c r="L32" s="146">
        <v>10155.766509999999</v>
      </c>
      <c r="M32" s="143">
        <f>SUM(I32:L32)</f>
        <v>30559.527829999999</v>
      </c>
      <c r="N32" s="146">
        <v>10344.748629999998</v>
      </c>
      <c r="O32" s="142">
        <f>11491-494+682</f>
        <v>11679</v>
      </c>
      <c r="P32" s="146">
        <f>11802-767+506</f>
        <v>11541</v>
      </c>
      <c r="Q32" s="146">
        <f>11796-1134+1306</f>
        <v>11968</v>
      </c>
      <c r="R32" s="143">
        <f>SUM(N32:Q32)</f>
        <v>45532.748630000002</v>
      </c>
      <c r="S32" s="142">
        <f>11940-1100</f>
        <v>10840</v>
      </c>
      <c r="T32" s="142">
        <f>12592-1000</f>
        <v>11592</v>
      </c>
      <c r="U32" s="142">
        <v>13156</v>
      </c>
      <c r="V32" s="142">
        <v>22254</v>
      </c>
      <c r="W32" s="143">
        <f>SUM(S32:V32)</f>
        <v>57842</v>
      </c>
      <c r="X32" s="142">
        <f>62312-8114-195-8271-413</f>
        <v>45319</v>
      </c>
      <c r="Y32" s="146">
        <f>80817-10483-11039-288-437</f>
        <v>58570</v>
      </c>
      <c r="Z32" s="146">
        <f>92065-18179-10484-439</f>
        <v>62963</v>
      </c>
      <c r="AA32" s="146">
        <f>102484-23551</f>
        <v>78933</v>
      </c>
      <c r="AB32" s="143">
        <f>SUM(X32:AA32)</f>
        <v>245785</v>
      </c>
      <c r="AC32" s="142">
        <v>88441</v>
      </c>
      <c r="AD32" s="142">
        <f>164683-69818</f>
        <v>94865</v>
      </c>
      <c r="AE32" s="142">
        <f>115350-18602</f>
        <v>96748</v>
      </c>
      <c r="AF32" s="142">
        <f>117199-13802</f>
        <v>103397</v>
      </c>
      <c r="AG32" s="143">
        <f>SUM(AC32:AF32)</f>
        <v>383451</v>
      </c>
      <c r="AH32" s="142">
        <f>118398-14082</f>
        <v>104316</v>
      </c>
      <c r="AI32" s="142">
        <f>118305-13009</f>
        <v>105296</v>
      </c>
      <c r="AJ32" s="146">
        <v>106688</v>
      </c>
      <c r="AK32" s="142">
        <v>112167</v>
      </c>
      <c r="AL32" s="143">
        <f>SUM(AH32:AK32)</f>
        <v>428467</v>
      </c>
      <c r="AM32" s="142">
        <v>115428</v>
      </c>
      <c r="AN32" s="142">
        <f>132534-10656</f>
        <v>121878</v>
      </c>
      <c r="AO32" s="146">
        <v>126889</v>
      </c>
      <c r="AP32" s="142">
        <v>138716</v>
      </c>
      <c r="AQ32" s="143">
        <f>SUM(AM32:AP32)</f>
        <v>502911</v>
      </c>
      <c r="AR32" s="142">
        <v>139415</v>
      </c>
      <c r="AS32" s="142">
        <v>145251</v>
      </c>
      <c r="AT32" s="146">
        <f>AT17*AT33</f>
        <v>144827.83767227677</v>
      </c>
      <c r="AU32" s="146">
        <f>AU17*AU33</f>
        <v>153756.48976015826</v>
      </c>
      <c r="AV32" s="143">
        <f>SUM(AR32:AU32)</f>
        <v>583250.32743243501</v>
      </c>
      <c r="AW32" s="146">
        <f>AW17*AW33</f>
        <v>155925.59058702612</v>
      </c>
      <c r="AX32" s="146">
        <f>AX17*AX33</f>
        <v>160226.9793636348</v>
      </c>
      <c r="AY32" s="146">
        <f>AY17*AY33</f>
        <v>159143.84658345091</v>
      </c>
      <c r="AZ32" s="146">
        <f>AZ17*AZ33</f>
        <v>170503.91126240665</v>
      </c>
      <c r="BA32" s="143">
        <f>SUM(AW32:AZ32)</f>
        <v>645800.32779651845</v>
      </c>
    </row>
    <row r="33" spans="1:53" s="160" customFormat="1" ht="12.75" customHeight="1" x14ac:dyDescent="0.2">
      <c r="A33" s="123"/>
      <c r="B33" s="124"/>
      <c r="C33" s="825" t="s">
        <v>83</v>
      </c>
      <c r="D33" s="115">
        <f t="shared" ref="D33:AR33" si="155">D32/D17</f>
        <v>0.32658154533027134</v>
      </c>
      <c r="E33" s="115">
        <f t="shared" si="155"/>
        <v>0.30698041589516445</v>
      </c>
      <c r="F33" s="115">
        <f t="shared" si="155"/>
        <v>0.28125804360528583</v>
      </c>
      <c r="G33" s="115">
        <f t="shared" si="155"/>
        <v>0.32026519682331739</v>
      </c>
      <c r="H33" s="116">
        <f t="shared" si="155"/>
        <v>0.30815356042499353</v>
      </c>
      <c r="I33" s="156">
        <f t="shared" si="155"/>
        <v>0.25702475850569895</v>
      </c>
      <c r="J33" s="156">
        <f t="shared" si="155"/>
        <v>0.2779453851760838</v>
      </c>
      <c r="K33" s="156">
        <f t="shared" si="155"/>
        <v>0.26250115371363725</v>
      </c>
      <c r="L33" s="156">
        <f t="shared" si="155"/>
        <v>0.32052965273661621</v>
      </c>
      <c r="M33" s="116">
        <f t="shared" si="155"/>
        <v>0.28204249432907791</v>
      </c>
      <c r="N33" s="156">
        <f t="shared" si="155"/>
        <v>0.29405632890939271</v>
      </c>
      <c r="O33" s="157">
        <f t="shared" si="155"/>
        <v>0.29884851586489253</v>
      </c>
      <c r="P33" s="157">
        <f t="shared" si="155"/>
        <v>0.27991753577492118</v>
      </c>
      <c r="Q33" s="157">
        <f t="shared" si="155"/>
        <v>0.28420802659700783</v>
      </c>
      <c r="R33" s="116">
        <f t="shared" si="155"/>
        <v>0.2889143335992444</v>
      </c>
      <c r="S33" s="157">
        <f t="shared" si="155"/>
        <v>0.23458633599515247</v>
      </c>
      <c r="T33" s="157">
        <f t="shared" si="155"/>
        <v>0.2144879267277269</v>
      </c>
      <c r="U33" s="157">
        <f t="shared" si="155"/>
        <v>0.22022833037597508</v>
      </c>
      <c r="V33" s="157">
        <f t="shared" si="155"/>
        <v>0.2843125982139435</v>
      </c>
      <c r="W33" s="116">
        <f t="shared" si="155"/>
        <v>0.24276330976014102</v>
      </c>
      <c r="X33" s="157">
        <f t="shared" si="155"/>
        <v>0.38292676744205695</v>
      </c>
      <c r="Y33" s="157">
        <f t="shared" si="155"/>
        <v>0.37430181878602742</v>
      </c>
      <c r="Z33" s="157">
        <f t="shared" si="155"/>
        <v>0.37722498816734668</v>
      </c>
      <c r="AA33" s="157">
        <f t="shared" si="155"/>
        <v>0.39422937653892448</v>
      </c>
      <c r="AB33" s="116">
        <f t="shared" si="155"/>
        <v>0.3828671301438254</v>
      </c>
      <c r="AC33" s="157">
        <f t="shared" si="155"/>
        <v>0.3846531897496564</v>
      </c>
      <c r="AD33" s="157">
        <f t="shared" si="155"/>
        <v>0.36485696483927293</v>
      </c>
      <c r="AE33" s="157">
        <f t="shared" si="155"/>
        <v>0.35496688741721855</v>
      </c>
      <c r="AF33" s="157">
        <f t="shared" si="155"/>
        <v>0.34933425230503101</v>
      </c>
      <c r="AG33" s="116">
        <f t="shared" si="155"/>
        <v>0.36226980881802756</v>
      </c>
      <c r="AH33" s="157">
        <f t="shared" si="155"/>
        <v>0.34203649359804583</v>
      </c>
      <c r="AI33" s="157">
        <f t="shared" si="155"/>
        <v>0.33060487605770889</v>
      </c>
      <c r="AJ33" s="157">
        <f t="shared" si="155"/>
        <v>0.33027477494211027</v>
      </c>
      <c r="AK33" s="157">
        <f t="shared" si="155"/>
        <v>0.32638470603640174</v>
      </c>
      <c r="AL33" s="116">
        <f t="shared" si="155"/>
        <v>0.33210042374162224</v>
      </c>
      <c r="AM33" s="157">
        <f t="shared" si="155"/>
        <v>0.32201980750453341</v>
      </c>
      <c r="AN33" s="157">
        <f t="shared" si="155"/>
        <v>0.33616509540647738</v>
      </c>
      <c r="AO33" s="157">
        <f t="shared" si="155"/>
        <v>0.35422383638967442</v>
      </c>
      <c r="AP33" s="157">
        <f t="shared" si="155"/>
        <v>0.36185303731064905</v>
      </c>
      <c r="AQ33" s="116">
        <f t="shared" si="155"/>
        <v>0.34385431124664118</v>
      </c>
      <c r="AR33" s="157">
        <f t="shared" si="155"/>
        <v>0.35228849171554122</v>
      </c>
      <c r="AS33" s="157">
        <f t="shared" ref="AS33" si="156">AS32/AS17</f>
        <v>0.35028010157450123</v>
      </c>
      <c r="AT33" s="158">
        <v>0.35949999999999999</v>
      </c>
      <c r="AU33" s="158">
        <v>0.35770000000000002</v>
      </c>
      <c r="AV33" s="116">
        <f>AV32/AV17</f>
        <v>0.35496542817268917</v>
      </c>
      <c r="AW33" s="158">
        <v>0.35499999999999998</v>
      </c>
      <c r="AX33" s="158">
        <v>0.35199999999999998</v>
      </c>
      <c r="AY33" s="158">
        <v>0.35399999999999998</v>
      </c>
      <c r="AZ33" s="158">
        <v>0.35299999999999998</v>
      </c>
      <c r="BA33" s="116">
        <f>BA32/BA17</f>
        <v>0.35347773802279397</v>
      </c>
    </row>
    <row r="34" spans="1:53" s="163" customFormat="1" ht="18.75" hidden="1" customHeight="1" outlineLevel="1" x14ac:dyDescent="0.2">
      <c r="A34" s="161"/>
      <c r="B34" s="162"/>
      <c r="C34" s="126" t="s">
        <v>473</v>
      </c>
      <c r="D34" s="146"/>
      <c r="E34" s="142"/>
      <c r="F34" s="146"/>
      <c r="G34" s="146"/>
      <c r="H34" s="110"/>
      <c r="I34" s="146"/>
      <c r="J34" s="146"/>
      <c r="K34" s="146"/>
      <c r="L34" s="146"/>
      <c r="M34" s="110"/>
      <c r="N34" s="146"/>
      <c r="O34" s="142"/>
      <c r="P34" s="146"/>
      <c r="Q34" s="146"/>
      <c r="R34" s="110"/>
      <c r="S34" s="142"/>
      <c r="T34" s="142"/>
      <c r="U34" s="142"/>
      <c r="V34" s="142"/>
      <c r="W34" s="110"/>
      <c r="X34" s="142">
        <v>4035</v>
      </c>
      <c r="Y34" s="146">
        <v>5190</v>
      </c>
      <c r="Z34" s="146">
        <v>6085</v>
      </c>
      <c r="AA34" s="146">
        <f>19566-SUM(X34:Z34)</f>
        <v>4256</v>
      </c>
      <c r="AB34" s="110">
        <f>SUM(X34:AA34)</f>
        <v>19566</v>
      </c>
      <c r="AC34" s="142">
        <v>6583</v>
      </c>
      <c r="AD34" s="142">
        <v>8520</v>
      </c>
      <c r="AE34" s="142">
        <v>8425</v>
      </c>
      <c r="AF34" s="142">
        <f>32224-SUM(AC34:AE34)</f>
        <v>8696</v>
      </c>
      <c r="AG34" s="110">
        <f>SUM(AC34:AF34)</f>
        <v>32224</v>
      </c>
      <c r="AH34" s="142">
        <v>11975</v>
      </c>
      <c r="AI34" s="142">
        <v>14354</v>
      </c>
      <c r="AJ34" s="146">
        <v>15104</v>
      </c>
      <c r="AK34" s="142">
        <f>60105-SUM(AH34:AJ34)</f>
        <v>18672</v>
      </c>
      <c r="AL34" s="110">
        <f>SUM(AH34:AK34)</f>
        <v>60105</v>
      </c>
      <c r="AM34" s="142">
        <v>20661</v>
      </c>
      <c r="AN34" s="142">
        <v>21358</v>
      </c>
      <c r="AO34" s="146">
        <v>14945</v>
      </c>
      <c r="AP34" s="142">
        <v>15785</v>
      </c>
      <c r="AQ34" s="110">
        <f>SUM(AM34:AP34)</f>
        <v>72749</v>
      </c>
      <c r="AR34" s="142">
        <v>16096</v>
      </c>
      <c r="AS34" s="142">
        <v>22624</v>
      </c>
      <c r="AT34" s="146"/>
      <c r="AU34" s="146"/>
      <c r="AV34" s="110"/>
      <c r="AW34" s="146"/>
      <c r="AX34" s="146"/>
      <c r="AY34" s="146"/>
      <c r="AZ34" s="146"/>
      <c r="BA34" s="110"/>
    </row>
    <row r="35" spans="1:53" s="160" customFormat="1" ht="13.35" hidden="1" customHeight="1" outlineLevel="1" x14ac:dyDescent="0.2">
      <c r="A35" s="123"/>
      <c r="B35" s="124"/>
      <c r="C35" s="825" t="s">
        <v>83</v>
      </c>
      <c r="D35" s="115"/>
      <c r="E35" s="115"/>
      <c r="F35" s="115"/>
      <c r="G35" s="115"/>
      <c r="H35" s="116"/>
      <c r="I35" s="156"/>
      <c r="J35" s="156"/>
      <c r="K35" s="156"/>
      <c r="L35" s="156"/>
      <c r="M35" s="116"/>
      <c r="N35" s="156"/>
      <c r="O35" s="157"/>
      <c r="P35" s="157"/>
      <c r="Q35" s="157"/>
      <c r="R35" s="116"/>
      <c r="S35" s="157"/>
      <c r="T35" s="157"/>
      <c r="U35" s="157"/>
      <c r="V35" s="157"/>
      <c r="W35" s="116"/>
      <c r="X35" s="157">
        <f t="shared" ref="X35:AR35" si="157">X34/X17</f>
        <v>3.4094077685489527E-2</v>
      </c>
      <c r="Y35" s="157">
        <f t="shared" si="157"/>
        <v>3.316760183540178E-2</v>
      </c>
      <c r="Z35" s="157">
        <f t="shared" si="157"/>
        <v>3.6456554690823255E-2</v>
      </c>
      <c r="AA35" s="157">
        <f t="shared" si="157"/>
        <v>2.125651155473202E-2</v>
      </c>
      <c r="AB35" s="116">
        <f t="shared" si="157"/>
        <v>3.0478581965514933E-2</v>
      </c>
      <c r="AC35" s="157">
        <f t="shared" si="157"/>
        <v>2.863119987474122E-2</v>
      </c>
      <c r="AD35" s="157">
        <f t="shared" si="157"/>
        <v>3.2768474573663685E-2</v>
      </c>
      <c r="AE35" s="157">
        <f t="shared" si="157"/>
        <v>3.0911192236429345E-2</v>
      </c>
      <c r="AF35" s="157">
        <f t="shared" si="157"/>
        <v>2.9380065747019256E-2</v>
      </c>
      <c r="AG35" s="116">
        <f t="shared" si="157"/>
        <v>3.0444000196510428E-2</v>
      </c>
      <c r="AH35" s="157">
        <f t="shared" si="157"/>
        <v>3.9264226109480792E-2</v>
      </c>
      <c r="AI35" s="157">
        <f t="shared" si="157"/>
        <v>4.506821143189061E-2</v>
      </c>
      <c r="AJ35" s="157">
        <f t="shared" si="157"/>
        <v>4.6757556620478723E-2</v>
      </c>
      <c r="AK35" s="157">
        <f t="shared" si="157"/>
        <v>5.4331980271485315E-2</v>
      </c>
      <c r="AL35" s="116">
        <f t="shared" si="157"/>
        <v>4.6586775571958179E-2</v>
      </c>
      <c r="AM35" s="157">
        <f t="shared" si="157"/>
        <v>5.7639838192216485E-2</v>
      </c>
      <c r="AN35" s="157">
        <f t="shared" si="157"/>
        <v>5.8909845154101186E-2</v>
      </c>
      <c r="AO35" s="157">
        <f t="shared" si="157"/>
        <v>4.1720521359957789E-2</v>
      </c>
      <c r="AP35" s="157">
        <f t="shared" si="157"/>
        <v>4.1176578000725189E-2</v>
      </c>
      <c r="AQ35" s="116">
        <f t="shared" si="157"/>
        <v>4.9740525239817583E-2</v>
      </c>
      <c r="AR35" s="157">
        <f t="shared" si="157"/>
        <v>4.0673066475295713E-2</v>
      </c>
      <c r="AS35" s="157">
        <f t="shared" ref="AS35" si="158">AS34/AS17</f>
        <v>5.4558915381109359E-2</v>
      </c>
      <c r="AT35" s="158"/>
      <c r="AU35" s="158"/>
      <c r="AV35" s="116"/>
      <c r="AW35" s="158"/>
      <c r="AX35" s="158"/>
      <c r="AY35" s="158"/>
      <c r="AZ35" s="158"/>
      <c r="BA35" s="188"/>
    </row>
    <row r="36" spans="1:53" s="163" customFormat="1" hidden="1" outlineLevel="1" x14ac:dyDescent="0.2">
      <c r="A36" s="161"/>
      <c r="B36" s="162"/>
      <c r="C36" s="126" t="s">
        <v>474</v>
      </c>
      <c r="D36" s="146"/>
      <c r="E36" s="142"/>
      <c r="F36" s="146"/>
      <c r="G36" s="146"/>
      <c r="H36" s="110"/>
      <c r="I36" s="146"/>
      <c r="J36" s="146"/>
      <c r="K36" s="146"/>
      <c r="L36" s="146"/>
      <c r="M36" s="110"/>
      <c r="N36" s="146"/>
      <c r="O36" s="142"/>
      <c r="P36" s="146"/>
      <c r="Q36" s="146"/>
      <c r="R36" s="110"/>
      <c r="S36" s="142"/>
      <c r="T36" s="142"/>
      <c r="U36" s="142"/>
      <c r="V36" s="142"/>
      <c r="W36" s="110"/>
      <c r="X36" s="142">
        <f>X38-X34</f>
        <v>28028</v>
      </c>
      <c r="Y36" s="142">
        <f>Y38-Y34</f>
        <v>29934</v>
      </c>
      <c r="Z36" s="142">
        <f>Z38-Z34</f>
        <v>33115</v>
      </c>
      <c r="AA36" s="142">
        <f>AA38-AA34</f>
        <v>38239</v>
      </c>
      <c r="AB36" s="110">
        <f>SUM(X36:AA36)</f>
        <v>129316</v>
      </c>
      <c r="AC36" s="142">
        <f>AC38-AC34</f>
        <v>39237</v>
      </c>
      <c r="AD36" s="142">
        <f>AD38-AD34</f>
        <v>39657</v>
      </c>
      <c r="AE36" s="142">
        <f>AE38-AE34</f>
        <v>41671</v>
      </c>
      <c r="AF36" s="142">
        <f>AF38-AF34</f>
        <v>44804</v>
      </c>
      <c r="AG36" s="110">
        <f>SUM(AC36:AF36)</f>
        <v>165369</v>
      </c>
      <c r="AH36" s="142">
        <f>AH38-AH34</f>
        <v>51867</v>
      </c>
      <c r="AI36" s="142">
        <f>AI38-AI34</f>
        <v>49810</v>
      </c>
      <c r="AJ36" s="142">
        <f>AJ38-AJ34</f>
        <v>45603</v>
      </c>
      <c r="AK36" s="142">
        <f>AK38-AK34</f>
        <v>46845</v>
      </c>
      <c r="AL36" s="110">
        <f>SUM(AH36:AK36)</f>
        <v>194125</v>
      </c>
      <c r="AM36" s="142">
        <f>AM38-AM34</f>
        <v>49145</v>
      </c>
      <c r="AN36" s="142">
        <f>AN38-AN34</f>
        <v>47858</v>
      </c>
      <c r="AO36" s="142">
        <f>AO38-AO34</f>
        <v>50894</v>
      </c>
      <c r="AP36" s="142">
        <f>AP38-AP34</f>
        <v>49779</v>
      </c>
      <c r="AQ36" s="110">
        <f>SUM(AM36:AP36)</f>
        <v>197676</v>
      </c>
      <c r="AR36" s="142">
        <f>AR38-AR34</f>
        <v>54473</v>
      </c>
      <c r="AS36" s="142">
        <f>AS38-AS34</f>
        <v>52563</v>
      </c>
      <c r="AT36" s="142"/>
      <c r="AU36" s="142"/>
      <c r="AV36" s="110"/>
      <c r="AW36" s="146"/>
      <c r="AX36" s="146"/>
      <c r="AY36" s="146"/>
      <c r="AZ36" s="146"/>
      <c r="BA36" s="110"/>
    </row>
    <row r="37" spans="1:53" s="824" customFormat="1" ht="13.35" hidden="1" customHeight="1" outlineLevel="1" x14ac:dyDescent="0.2">
      <c r="A37" s="822"/>
      <c r="B37" s="823"/>
      <c r="C37" s="825" t="s">
        <v>83</v>
      </c>
      <c r="D37" s="826"/>
      <c r="E37" s="826"/>
      <c r="F37" s="826"/>
      <c r="G37" s="826"/>
      <c r="H37" s="827"/>
      <c r="I37" s="828"/>
      <c r="J37" s="828"/>
      <c r="K37" s="828"/>
      <c r="L37" s="828"/>
      <c r="M37" s="827"/>
      <c r="N37" s="828"/>
      <c r="O37" s="829"/>
      <c r="P37" s="829"/>
      <c r="Q37" s="829"/>
      <c r="R37" s="827"/>
      <c r="S37" s="829"/>
      <c r="T37" s="829"/>
      <c r="U37" s="829"/>
      <c r="V37" s="829"/>
      <c r="W37" s="827"/>
      <c r="X37" s="829">
        <f t="shared" ref="X37:AR37" si="159">X36/X17</f>
        <v>0.23682498373454783</v>
      </c>
      <c r="Y37" s="829">
        <f t="shared" si="159"/>
        <v>0.1912984572911208</v>
      </c>
      <c r="Z37" s="829">
        <f t="shared" si="159"/>
        <v>0.19839914685071686</v>
      </c>
      <c r="AA37" s="829">
        <f t="shared" si="159"/>
        <v>0.19098396272119308</v>
      </c>
      <c r="AB37" s="827">
        <f t="shared" si="159"/>
        <v>0.20143965580356377</v>
      </c>
      <c r="AC37" s="829">
        <f t="shared" si="159"/>
        <v>0.17065204154416241</v>
      </c>
      <c r="AD37" s="829">
        <f t="shared" si="159"/>
        <v>0.15252340330607755</v>
      </c>
      <c r="AE37" s="829">
        <f t="shared" si="159"/>
        <v>0.15289024233640916</v>
      </c>
      <c r="AF37" s="829">
        <f t="shared" si="159"/>
        <v>0.15137355861654217</v>
      </c>
      <c r="AG37" s="827">
        <f t="shared" si="159"/>
        <v>0.15623429333716277</v>
      </c>
      <c r="AH37" s="829">
        <f t="shared" si="159"/>
        <v>0.17006410151318918</v>
      </c>
      <c r="AI37" s="829">
        <f t="shared" si="159"/>
        <v>0.15639178009073926</v>
      </c>
      <c r="AJ37" s="829">
        <f t="shared" si="159"/>
        <v>0.14117352056168506</v>
      </c>
      <c r="AK37" s="829">
        <f t="shared" si="159"/>
        <v>0.13631006939897866</v>
      </c>
      <c r="AL37" s="827">
        <f t="shared" si="159"/>
        <v>0.150464317576015</v>
      </c>
      <c r="AM37" s="829">
        <f t="shared" si="159"/>
        <v>0.13710419863300322</v>
      </c>
      <c r="AN37" s="829">
        <f t="shared" si="159"/>
        <v>0.13200240515895564</v>
      </c>
      <c r="AO37" s="829">
        <f t="shared" si="159"/>
        <v>0.14207589254557992</v>
      </c>
      <c r="AP37" s="829">
        <f t="shared" si="159"/>
        <v>0.12985295383579976</v>
      </c>
      <c r="AQ37" s="827">
        <f t="shared" si="159"/>
        <v>0.13515660788885317</v>
      </c>
      <c r="AR37" s="829">
        <f t="shared" si="159"/>
        <v>0.13764810823240453</v>
      </c>
      <c r="AS37" s="829">
        <f t="shared" ref="AS37" si="160">AS36/AS17</f>
        <v>0.12675832165741033</v>
      </c>
      <c r="AT37" s="830"/>
      <c r="AU37" s="830"/>
      <c r="AV37" s="827"/>
      <c r="AW37" s="830"/>
      <c r="AX37" s="830"/>
      <c r="AY37" s="830"/>
      <c r="AZ37" s="830"/>
      <c r="BA37" s="827"/>
    </row>
    <row r="38" spans="1:53" s="163" customFormat="1" collapsed="1" x14ac:dyDescent="0.2">
      <c r="A38" s="161"/>
      <c r="B38" s="162"/>
      <c r="C38" s="126" t="s">
        <v>438</v>
      </c>
      <c r="D38" s="146">
        <v>3199.5839799999999</v>
      </c>
      <c r="E38" s="142">
        <v>3278.0349700000002</v>
      </c>
      <c r="F38" s="146">
        <v>4268.4498200000007</v>
      </c>
      <c r="G38" s="146">
        <v>4436.5702999999994</v>
      </c>
      <c r="H38" s="110">
        <f>SUM(D38:G38)</f>
        <v>15182.639070000001</v>
      </c>
      <c r="I38" s="146">
        <v>5698.7927500000005</v>
      </c>
      <c r="J38" s="146">
        <v>6010</v>
      </c>
      <c r="K38" s="146">
        <v>7117</v>
      </c>
      <c r="L38" s="146">
        <v>8048</v>
      </c>
      <c r="M38" s="110">
        <f>SUM(I38:L38)</f>
        <v>26873.792750000001</v>
      </c>
      <c r="N38" s="146">
        <v>9395.2054800000005</v>
      </c>
      <c r="O38" s="142">
        <f>12748-1286-127</f>
        <v>11335</v>
      </c>
      <c r="P38" s="146">
        <f>15064-2430-133</f>
        <v>12501</v>
      </c>
      <c r="Q38" s="146">
        <f>15546-3744-789</f>
        <v>11013</v>
      </c>
      <c r="R38" s="110">
        <f>SUM(N38:Q38)</f>
        <v>44244.205480000004</v>
      </c>
      <c r="S38" s="142">
        <v>11857</v>
      </c>
      <c r="T38" s="142">
        <v>14017</v>
      </c>
      <c r="U38" s="142">
        <v>16894</v>
      </c>
      <c r="V38" s="142">
        <v>23569</v>
      </c>
      <c r="W38" s="110">
        <f>SUM(S38:V38)</f>
        <v>66337</v>
      </c>
      <c r="X38" s="142">
        <f>57935-18086-1042-6325-419</f>
        <v>32063</v>
      </c>
      <c r="Y38" s="146">
        <f>65396-23080-2343-432-4417</f>
        <v>35124</v>
      </c>
      <c r="Z38" s="146">
        <f>60457-20565-243-449</f>
        <v>39200</v>
      </c>
      <c r="AA38" s="146">
        <f>58686-16191</f>
        <v>42495</v>
      </c>
      <c r="AB38" s="110">
        <f>SUM(X38:AA38)</f>
        <v>148882</v>
      </c>
      <c r="AC38" s="142">
        <v>45820</v>
      </c>
      <c r="AD38" s="142">
        <f>69381-20989-215</f>
        <v>48177</v>
      </c>
      <c r="AE38" s="142">
        <f>71719-21334-289</f>
        <v>50096</v>
      </c>
      <c r="AF38" s="142">
        <f>73441-18937-1004</f>
        <v>53500</v>
      </c>
      <c r="AG38" s="110">
        <f>SUM(AC38:AF38)</f>
        <v>197593</v>
      </c>
      <c r="AH38" s="142">
        <f>85326-21387-97</f>
        <v>63842</v>
      </c>
      <c r="AI38" s="142">
        <f>85583-20547-872</f>
        <v>64164</v>
      </c>
      <c r="AJ38" s="146">
        <v>60707</v>
      </c>
      <c r="AK38" s="142">
        <f>50732+14785</f>
        <v>65517</v>
      </c>
      <c r="AL38" s="110">
        <f>SUM(AH38:AK38)</f>
        <v>254230</v>
      </c>
      <c r="AM38" s="142">
        <f>49145+20661</f>
        <v>69806</v>
      </c>
      <c r="AN38" s="142">
        <f>71122+21358-23264</f>
        <v>69216</v>
      </c>
      <c r="AO38" s="146">
        <f>50894+14945</f>
        <v>65839</v>
      </c>
      <c r="AP38" s="142">
        <f>49779+15785</f>
        <v>65564</v>
      </c>
      <c r="AQ38" s="110">
        <f>SUM(AM38:AP38)</f>
        <v>270425</v>
      </c>
      <c r="AR38" s="142">
        <f>54473+16096</f>
        <v>70569</v>
      </c>
      <c r="AS38" s="142">
        <f>52563+22624</f>
        <v>75187</v>
      </c>
      <c r="AT38" s="146">
        <f>AT17*AT39</f>
        <v>73320.351756201315</v>
      </c>
      <c r="AU38" s="146">
        <f>AU17*AU39</f>
        <v>74363.636367087995</v>
      </c>
      <c r="AV38" s="110">
        <f>SUM(AR38:AU38)</f>
        <v>293439.98812328931</v>
      </c>
      <c r="AW38" s="146">
        <f>AW17*AW39</f>
        <v>79500.089848596428</v>
      </c>
      <c r="AX38" s="146">
        <f>AX17*AX39</f>
        <v>81479.060528666567</v>
      </c>
      <c r="AY38" s="146">
        <f>AY17*AY39</f>
        <v>81370.158846340724</v>
      </c>
      <c r="AZ38" s="146">
        <f>AZ17*AZ39</f>
        <v>84044.420848891663</v>
      </c>
      <c r="BA38" s="311">
        <f>SUM(AW38:AZ38)</f>
        <v>326393.73007249541</v>
      </c>
    </row>
    <row r="39" spans="1:53" s="160" customFormat="1" ht="13.35" customHeight="1" x14ac:dyDescent="0.2">
      <c r="A39" s="123"/>
      <c r="B39" s="124"/>
      <c r="C39" s="825" t="s">
        <v>83</v>
      </c>
      <c r="D39" s="115">
        <f t="shared" ref="D39:AR39" si="161">D38/D17</f>
        <v>0.24419403601391612</v>
      </c>
      <c r="E39" s="115">
        <f t="shared" si="161"/>
        <v>0.21618475818126712</v>
      </c>
      <c r="F39" s="115">
        <f t="shared" si="161"/>
        <v>0.24965045936736308</v>
      </c>
      <c r="G39" s="115">
        <f t="shared" si="161"/>
        <v>0.227508561895087</v>
      </c>
      <c r="H39" s="116">
        <f t="shared" si="161"/>
        <v>0.2340683517878272</v>
      </c>
      <c r="I39" s="156">
        <f t="shared" si="161"/>
        <v>0.25413663124221036</v>
      </c>
      <c r="J39" s="156">
        <f t="shared" si="161"/>
        <v>0.23116584766228718</v>
      </c>
      <c r="K39" s="156">
        <f t="shared" si="161"/>
        <v>0.25198552886160724</v>
      </c>
      <c r="L39" s="156">
        <f t="shared" si="161"/>
        <v>0.25400570628364</v>
      </c>
      <c r="M39" s="116">
        <f t="shared" si="161"/>
        <v>0.24802580659809528</v>
      </c>
      <c r="N39" s="156">
        <f t="shared" si="161"/>
        <v>0.26706493619248139</v>
      </c>
      <c r="O39" s="157">
        <f t="shared" si="161"/>
        <v>0.29004605936540429</v>
      </c>
      <c r="P39" s="157">
        <f t="shared" si="161"/>
        <v>0.30320155226776618</v>
      </c>
      <c r="Q39" s="157">
        <f t="shared" si="161"/>
        <v>0.26152932795060557</v>
      </c>
      <c r="R39" s="116">
        <f t="shared" si="161"/>
        <v>0.28073827138693952</v>
      </c>
      <c r="S39" s="157">
        <f t="shared" si="161"/>
        <v>0.25659503559912572</v>
      </c>
      <c r="T39" s="157">
        <f t="shared" si="161"/>
        <v>0.25935794245536126</v>
      </c>
      <c r="U39" s="157">
        <f t="shared" si="161"/>
        <v>0.28280156684187618</v>
      </c>
      <c r="V39" s="157">
        <f t="shared" si="161"/>
        <v>0.30111277196478992</v>
      </c>
      <c r="W39" s="116">
        <f t="shared" si="161"/>
        <v>0.27841688875831533</v>
      </c>
      <c r="X39" s="157">
        <f t="shared" si="161"/>
        <v>0.27091906142003735</v>
      </c>
      <c r="Y39" s="157">
        <f t="shared" si="161"/>
        <v>0.22446605912652257</v>
      </c>
      <c r="Z39" s="157">
        <f t="shared" si="161"/>
        <v>0.23485570154154009</v>
      </c>
      <c r="AA39" s="157">
        <f t="shared" si="161"/>
        <v>0.2122404742759251</v>
      </c>
      <c r="AB39" s="116">
        <f t="shared" si="161"/>
        <v>0.23191823776907872</v>
      </c>
      <c r="AC39" s="157">
        <f t="shared" si="161"/>
        <v>0.19928324141890363</v>
      </c>
      <c r="AD39" s="157">
        <f t="shared" si="161"/>
        <v>0.18529187787974125</v>
      </c>
      <c r="AE39" s="157">
        <f t="shared" si="161"/>
        <v>0.18380143457283851</v>
      </c>
      <c r="AF39" s="157">
        <f t="shared" si="161"/>
        <v>0.18075362436356143</v>
      </c>
      <c r="AG39" s="116">
        <f t="shared" si="161"/>
        <v>0.18667829353367318</v>
      </c>
      <c r="AH39" s="157">
        <f t="shared" si="161"/>
        <v>0.20932832762266998</v>
      </c>
      <c r="AI39" s="157">
        <f t="shared" si="161"/>
        <v>0.20145999152262986</v>
      </c>
      <c r="AJ39" s="157">
        <f t="shared" si="161"/>
        <v>0.18793107718216379</v>
      </c>
      <c r="AK39" s="157">
        <f t="shared" si="161"/>
        <v>0.19064204967046397</v>
      </c>
      <c r="AL39" s="116">
        <f t="shared" si="161"/>
        <v>0.19705109314797317</v>
      </c>
      <c r="AM39" s="157">
        <f t="shared" si="161"/>
        <v>0.19474403682521971</v>
      </c>
      <c r="AN39" s="157">
        <f t="shared" si="161"/>
        <v>0.19091225031305681</v>
      </c>
      <c r="AO39" s="157">
        <f t="shared" si="161"/>
        <v>0.18379641390553769</v>
      </c>
      <c r="AP39" s="157">
        <f t="shared" si="161"/>
        <v>0.17102953183652495</v>
      </c>
      <c r="AQ39" s="116">
        <f t="shared" si="161"/>
        <v>0.18489713312867076</v>
      </c>
      <c r="AR39" s="157">
        <f t="shared" si="161"/>
        <v>0.17832117470770023</v>
      </c>
      <c r="AS39" s="157">
        <f t="shared" ref="AS39" si="162">AS38/AS17</f>
        <v>0.18131723703851971</v>
      </c>
      <c r="AT39" s="158">
        <v>0.182</v>
      </c>
      <c r="AU39" s="158">
        <v>0.17299999999999999</v>
      </c>
      <c r="AV39" s="116">
        <f>AV38/AV17</f>
        <v>0.17858721397672675</v>
      </c>
      <c r="AW39" s="158">
        <v>0.18099999999999999</v>
      </c>
      <c r="AX39" s="158">
        <v>0.17899999999999999</v>
      </c>
      <c r="AY39" s="158">
        <v>0.18099999999999999</v>
      </c>
      <c r="AZ39" s="158">
        <v>0.17399999999999999</v>
      </c>
      <c r="BA39" s="188">
        <f>BA38/BA17</f>
        <v>0.17865106666096375</v>
      </c>
    </row>
    <row r="40" spans="1:53" x14ac:dyDescent="0.2">
      <c r="A40" s="28"/>
      <c r="B40" s="138" t="s">
        <v>86</v>
      </c>
      <c r="C40" s="126"/>
      <c r="D40" s="108">
        <f t="shared" ref="D40:AI40" si="163">D26+D32+D38</f>
        <v>12076.996420000001</v>
      </c>
      <c r="E40" s="109">
        <f t="shared" si="163"/>
        <v>12739.013050000001</v>
      </c>
      <c r="F40" s="108">
        <f t="shared" si="163"/>
        <v>14323.20263</v>
      </c>
      <c r="G40" s="108">
        <f t="shared" si="163"/>
        <v>16231.818029999999</v>
      </c>
      <c r="H40" s="110">
        <f t="shared" si="163"/>
        <v>55371.030129999999</v>
      </c>
      <c r="I40" s="108">
        <f t="shared" si="163"/>
        <v>17621.528470000001</v>
      </c>
      <c r="J40" s="108">
        <f t="shared" si="163"/>
        <v>19778.204829999999</v>
      </c>
      <c r="K40" s="108">
        <f t="shared" si="163"/>
        <v>22581</v>
      </c>
      <c r="L40" s="108">
        <f t="shared" si="163"/>
        <v>27305.766510000001</v>
      </c>
      <c r="M40" s="110">
        <f t="shared" si="163"/>
        <v>87286.499810000008</v>
      </c>
      <c r="N40" s="108">
        <f t="shared" si="163"/>
        <v>30682.92554</v>
      </c>
      <c r="O40" s="109">
        <f t="shared" si="163"/>
        <v>34996</v>
      </c>
      <c r="P40" s="108">
        <f t="shared" si="163"/>
        <v>36825</v>
      </c>
      <c r="Q40" s="108">
        <f t="shared" si="163"/>
        <v>35703</v>
      </c>
      <c r="R40" s="110">
        <f t="shared" si="163"/>
        <v>138206.92554</v>
      </c>
      <c r="S40" s="109">
        <f t="shared" si="163"/>
        <v>37481</v>
      </c>
      <c r="T40" s="109">
        <f t="shared" si="163"/>
        <v>42957</v>
      </c>
      <c r="U40" s="109">
        <f t="shared" si="163"/>
        <v>48081</v>
      </c>
      <c r="V40" s="109">
        <f t="shared" si="163"/>
        <v>68615</v>
      </c>
      <c r="W40" s="110">
        <f t="shared" si="163"/>
        <v>197134</v>
      </c>
      <c r="X40" s="109">
        <f t="shared" si="163"/>
        <v>108124</v>
      </c>
      <c r="Y40" s="108">
        <f t="shared" si="163"/>
        <v>130132</v>
      </c>
      <c r="Z40" s="108">
        <f t="shared" si="163"/>
        <v>146814</v>
      </c>
      <c r="AA40" s="108">
        <f t="shared" si="163"/>
        <v>171655</v>
      </c>
      <c r="AB40" s="110">
        <f t="shared" si="163"/>
        <v>556725</v>
      </c>
      <c r="AC40" s="109">
        <f t="shared" si="163"/>
        <v>188025</v>
      </c>
      <c r="AD40" s="109">
        <f t="shared" si="163"/>
        <v>194642</v>
      </c>
      <c r="AE40" s="109">
        <f t="shared" si="163"/>
        <v>202331</v>
      </c>
      <c r="AF40" s="109">
        <f t="shared" si="163"/>
        <v>214803</v>
      </c>
      <c r="AG40" s="110">
        <f t="shared" si="163"/>
        <v>799801</v>
      </c>
      <c r="AH40" s="109">
        <f t="shared" si="163"/>
        <v>229336</v>
      </c>
      <c r="AI40" s="109">
        <f t="shared" si="163"/>
        <v>229399</v>
      </c>
      <c r="AJ40" s="108">
        <f t="shared" ref="AJ40:BA40" si="164">AJ26+AJ32+AJ38</f>
        <v>222927</v>
      </c>
      <c r="AK40" s="109">
        <f t="shared" si="164"/>
        <v>232032</v>
      </c>
      <c r="AL40" s="110">
        <f t="shared" si="164"/>
        <v>913694</v>
      </c>
      <c r="AM40" s="109">
        <f t="shared" si="164"/>
        <v>239943</v>
      </c>
      <c r="AN40" s="109">
        <f t="shared" si="164"/>
        <v>246104</v>
      </c>
      <c r="AO40" s="108">
        <f t="shared" si="164"/>
        <v>250715</v>
      </c>
      <c r="AP40" s="109">
        <f t="shared" si="164"/>
        <v>266378</v>
      </c>
      <c r="AQ40" s="110">
        <f t="shared" si="164"/>
        <v>1003140</v>
      </c>
      <c r="AR40" s="109">
        <f t="shared" si="164"/>
        <v>263844</v>
      </c>
      <c r="AS40" s="109">
        <f t="shared" ref="AS40" si="165">AS26+AS32+AS38</f>
        <v>273694</v>
      </c>
      <c r="AT40" s="108">
        <f t="shared" si="164"/>
        <v>272131.30555667024</v>
      </c>
      <c r="AU40" s="108">
        <f t="shared" si="164"/>
        <v>284000.31530482683</v>
      </c>
      <c r="AV40" s="110">
        <f t="shared" si="164"/>
        <v>1093669.620861497</v>
      </c>
      <c r="AW40" s="108">
        <f t="shared" si="164"/>
        <v>296039.00860748062</v>
      </c>
      <c r="AX40" s="108">
        <f t="shared" si="164"/>
        <v>303611.91828279663</v>
      </c>
      <c r="AY40" s="108">
        <f t="shared" si="164"/>
        <v>301654.01428671065</v>
      </c>
      <c r="AZ40" s="108">
        <f t="shared" si="164"/>
        <v>320238.22426905273</v>
      </c>
      <c r="BA40" s="110">
        <f t="shared" si="164"/>
        <v>1221543.1654460407</v>
      </c>
    </row>
    <row r="41" spans="1:53" ht="7.5" customHeight="1" x14ac:dyDescent="0.2">
      <c r="A41" s="28"/>
      <c r="B41" s="138"/>
      <c r="C41" s="126"/>
      <c r="D41" s="139"/>
      <c r="E41" s="140"/>
      <c r="F41" s="139"/>
      <c r="G41" s="139"/>
      <c r="H41" s="141"/>
      <c r="I41" s="139"/>
      <c r="J41" s="139"/>
      <c r="K41" s="139"/>
      <c r="L41" s="139"/>
      <c r="M41" s="141"/>
      <c r="N41" s="139"/>
      <c r="O41" s="140"/>
      <c r="P41" s="139"/>
      <c r="Q41" s="139"/>
      <c r="R41" s="141"/>
      <c r="S41" s="140"/>
      <c r="T41" s="140"/>
      <c r="U41" s="140"/>
      <c r="V41" s="140"/>
      <c r="W41" s="141"/>
      <c r="X41" s="140"/>
      <c r="Y41" s="139"/>
      <c r="Z41" s="139"/>
      <c r="AA41" s="139"/>
      <c r="AB41" s="141"/>
      <c r="AC41" s="140"/>
      <c r="AD41" s="139"/>
      <c r="AE41" s="139"/>
      <c r="AF41" s="139"/>
      <c r="AG41" s="141"/>
      <c r="AH41" s="140"/>
      <c r="AI41" s="140"/>
      <c r="AJ41" s="140"/>
      <c r="AK41" s="139"/>
      <c r="AL41" s="141"/>
      <c r="AM41" s="140"/>
      <c r="AN41" s="140"/>
      <c r="AO41" s="140"/>
      <c r="AP41" s="139"/>
      <c r="AQ41" s="141"/>
      <c r="AR41" s="140"/>
      <c r="AS41" s="140"/>
      <c r="AT41" s="140"/>
      <c r="AV41" s="141"/>
      <c r="AW41" s="140"/>
      <c r="AX41" s="140"/>
      <c r="AY41" s="140"/>
      <c r="BA41" s="141"/>
    </row>
    <row r="42" spans="1:53" s="133" customFormat="1" x14ac:dyDescent="0.2">
      <c r="A42" s="20"/>
      <c r="B42" s="159" t="s">
        <v>87</v>
      </c>
      <c r="C42" s="312"/>
      <c r="D42" s="775">
        <f t="shared" ref="D42:AI42" si="166">D22-D40</f>
        <v>-2877.4033099999997</v>
      </c>
      <c r="E42" s="295">
        <f t="shared" si="166"/>
        <v>-1603.8409600000014</v>
      </c>
      <c r="F42" s="775">
        <f t="shared" si="166"/>
        <v>-1790.6229699999967</v>
      </c>
      <c r="G42" s="775">
        <f t="shared" si="166"/>
        <v>-1704.6195399999997</v>
      </c>
      <c r="H42" s="776">
        <f t="shared" si="166"/>
        <v>-7976.486779999992</v>
      </c>
      <c r="I42" s="775">
        <f t="shared" si="166"/>
        <v>-774.39889000000403</v>
      </c>
      <c r="J42" s="775">
        <f t="shared" si="166"/>
        <v>-68.554679999997461</v>
      </c>
      <c r="K42" s="775">
        <f t="shared" si="166"/>
        <v>-1107.8786</v>
      </c>
      <c r="L42" s="775">
        <f t="shared" si="166"/>
        <v>-3181.4389499999997</v>
      </c>
      <c r="M42" s="776">
        <f t="shared" si="166"/>
        <v>-5132.2711199999903</v>
      </c>
      <c r="N42" s="775">
        <f t="shared" si="166"/>
        <v>-3513.8628599999975</v>
      </c>
      <c r="O42" s="295">
        <f t="shared" si="166"/>
        <v>-4510</v>
      </c>
      <c r="P42" s="775">
        <f t="shared" si="166"/>
        <v>-4327</v>
      </c>
      <c r="Q42" s="775">
        <f t="shared" si="166"/>
        <v>-2609</v>
      </c>
      <c r="R42" s="776">
        <f t="shared" si="166"/>
        <v>-14959.862859999994</v>
      </c>
      <c r="S42" s="295">
        <f t="shared" si="166"/>
        <v>-2277</v>
      </c>
      <c r="T42" s="295">
        <f t="shared" si="166"/>
        <v>-1558</v>
      </c>
      <c r="U42" s="295">
        <f t="shared" si="166"/>
        <v>-2130</v>
      </c>
      <c r="V42" s="295">
        <f t="shared" si="166"/>
        <v>-6198</v>
      </c>
      <c r="W42" s="776">
        <f t="shared" si="166"/>
        <v>-12163</v>
      </c>
      <c r="X42" s="295">
        <f t="shared" si="166"/>
        <v>-9198</v>
      </c>
      <c r="Y42" s="775">
        <f t="shared" si="166"/>
        <v>3382</v>
      </c>
      <c r="Z42" s="775">
        <f t="shared" si="166"/>
        <v>-5678</v>
      </c>
      <c r="AA42" s="775">
        <f t="shared" si="166"/>
        <v>-3169</v>
      </c>
      <c r="AB42" s="776">
        <f t="shared" si="166"/>
        <v>-14663</v>
      </c>
      <c r="AC42" s="295">
        <f t="shared" si="166"/>
        <v>9145</v>
      </c>
      <c r="AD42" s="775">
        <f t="shared" si="166"/>
        <v>30752</v>
      </c>
      <c r="AE42" s="775">
        <f t="shared" si="166"/>
        <v>34841</v>
      </c>
      <c r="AF42" s="775">
        <f t="shared" si="166"/>
        <v>42348</v>
      </c>
      <c r="AG42" s="776">
        <f t="shared" si="166"/>
        <v>117086</v>
      </c>
      <c r="AH42" s="295">
        <f t="shared" si="166"/>
        <v>33373</v>
      </c>
      <c r="AI42" s="775">
        <f t="shared" si="166"/>
        <v>44303</v>
      </c>
      <c r="AJ42" s="775">
        <f t="shared" ref="AJ42:BA42" si="167">AJ22-AJ40</f>
        <v>58533</v>
      </c>
      <c r="AK42" s="775">
        <f t="shared" si="167"/>
        <v>59971</v>
      </c>
      <c r="AL42" s="776">
        <f t="shared" si="167"/>
        <v>196180</v>
      </c>
      <c r="AM42" s="295">
        <f t="shared" si="167"/>
        <v>67088</v>
      </c>
      <c r="AN42" s="775">
        <f t="shared" si="167"/>
        <v>62806</v>
      </c>
      <c r="AO42" s="775">
        <f t="shared" si="167"/>
        <v>53299</v>
      </c>
      <c r="AP42" s="775">
        <f t="shared" si="167"/>
        <v>56352</v>
      </c>
      <c r="AQ42" s="776">
        <f t="shared" si="167"/>
        <v>239545</v>
      </c>
      <c r="AR42" s="295">
        <f t="shared" si="167"/>
        <v>68236</v>
      </c>
      <c r="AS42" s="775">
        <f t="shared" ref="AS42" si="168">AS22-AS40</f>
        <v>74085</v>
      </c>
      <c r="AT42" s="775">
        <f t="shared" si="167"/>
        <v>65061.740706739074</v>
      </c>
      <c r="AU42" s="775">
        <f t="shared" si="167"/>
        <v>73203.047822630557</v>
      </c>
      <c r="AV42" s="776">
        <f t="shared" si="167"/>
        <v>280585.78852936951</v>
      </c>
      <c r="AW42" s="295">
        <f t="shared" si="167"/>
        <v>75547.046706953493</v>
      </c>
      <c r="AX42" s="775">
        <f t="shared" si="167"/>
        <v>81479.060528666596</v>
      </c>
      <c r="AY42" s="775">
        <f t="shared" si="167"/>
        <v>75975.452182494919</v>
      </c>
      <c r="AZ42" s="775">
        <f t="shared" si="167"/>
        <v>81629.351284268312</v>
      </c>
      <c r="BA42" s="776">
        <f t="shared" si="167"/>
        <v>314630.91070238315</v>
      </c>
    </row>
    <row r="43" spans="1:53" s="160" customFormat="1" ht="13.35" customHeight="1" x14ac:dyDescent="0.2">
      <c r="A43" s="123"/>
      <c r="B43" s="124"/>
      <c r="C43" s="112" t="s">
        <v>88</v>
      </c>
      <c r="D43" s="114">
        <f t="shared" ref="D43:AI43" si="169">D42/D17</f>
        <v>-0.21960502737255905</v>
      </c>
      <c r="E43" s="115">
        <f t="shared" si="169"/>
        <v>-0.10577250495250562</v>
      </c>
      <c r="F43" s="114">
        <f t="shared" si="169"/>
        <v>-0.10472885142509444</v>
      </c>
      <c r="G43" s="114">
        <f t="shared" si="169"/>
        <v>-8.7413365257317063E-2</v>
      </c>
      <c r="H43" s="116">
        <f t="shared" si="169"/>
        <v>-0.12297223855773258</v>
      </c>
      <c r="I43" s="114">
        <f t="shared" si="169"/>
        <v>-3.4534178338439844E-2</v>
      </c>
      <c r="J43" s="114">
        <f t="shared" si="169"/>
        <v>-2.6368553599694275E-3</v>
      </c>
      <c r="K43" s="114">
        <f t="shared" si="169"/>
        <v>-3.9225709559569631E-2</v>
      </c>
      <c r="L43" s="114">
        <f t="shared" si="169"/>
        <v>-0.10041049297875645</v>
      </c>
      <c r="M43" s="116">
        <f t="shared" si="169"/>
        <v>-4.7367176492722908E-2</v>
      </c>
      <c r="N43" s="114">
        <f t="shared" si="169"/>
        <v>-9.9883878270965648E-2</v>
      </c>
      <c r="O43" s="115">
        <f t="shared" si="169"/>
        <v>-0.1154042988741044</v>
      </c>
      <c r="P43" s="114">
        <f t="shared" si="169"/>
        <v>-0.10494785350472957</v>
      </c>
      <c r="Q43" s="114">
        <f t="shared" si="169"/>
        <v>-6.1956779862265492E-2</v>
      </c>
      <c r="R43" s="116">
        <f t="shared" si="169"/>
        <v>-9.4923301117940548E-2</v>
      </c>
      <c r="S43" s="115">
        <f t="shared" si="169"/>
        <v>-4.9276115042524181E-2</v>
      </c>
      <c r="T43" s="115">
        <f t="shared" si="169"/>
        <v>-2.8827828661300767E-2</v>
      </c>
      <c r="U43" s="115">
        <f t="shared" si="169"/>
        <v>-3.5655696541564835E-2</v>
      </c>
      <c r="V43" s="115">
        <f t="shared" si="169"/>
        <v>-7.918439308573838E-2</v>
      </c>
      <c r="W43" s="116">
        <f t="shared" si="169"/>
        <v>-5.1048202631523723E-2</v>
      </c>
      <c r="X43" s="114">
        <f t="shared" si="169"/>
        <v>-7.7719287868930023E-2</v>
      </c>
      <c r="Y43" s="114">
        <f t="shared" si="169"/>
        <v>2.1613261928194377E-2</v>
      </c>
      <c r="Z43" s="114">
        <f t="shared" si="169"/>
        <v>-3.4018129422266959E-2</v>
      </c>
      <c r="AA43" s="114">
        <f t="shared" si="169"/>
        <v>-1.5827510600786132E-2</v>
      </c>
      <c r="AB43" s="116">
        <f t="shared" si="169"/>
        <v>-2.2841022557515356E-2</v>
      </c>
      <c r="AC43" s="115">
        <f t="shared" si="169"/>
        <v>3.9774012282319374E-2</v>
      </c>
      <c r="AD43" s="114">
        <f t="shared" si="169"/>
        <v>0.11827419367245372</v>
      </c>
      <c r="AE43" s="114">
        <f t="shared" si="169"/>
        <v>0.12783107996551155</v>
      </c>
      <c r="AF43" s="114">
        <f t="shared" si="169"/>
        <v>0.14307578475790839</v>
      </c>
      <c r="AG43" s="116">
        <f t="shared" si="169"/>
        <v>0.11061836541114138</v>
      </c>
      <c r="AH43" s="115">
        <f t="shared" si="169"/>
        <v>0.10942505369116513</v>
      </c>
      <c r="AI43" s="114">
        <f t="shared" si="169"/>
        <v>0.13910108478940014</v>
      </c>
      <c r="AJ43" s="114">
        <f t="shared" ref="AJ43:BA43" si="170">AJ42/AJ17</f>
        <v>0.18120101043872358</v>
      </c>
      <c r="AK43" s="114">
        <f t="shared" si="170"/>
        <v>0.17450424104869569</v>
      </c>
      <c r="AL43" s="116">
        <f t="shared" si="170"/>
        <v>0.15205712722247328</v>
      </c>
      <c r="AM43" s="115">
        <f t="shared" si="170"/>
        <v>0.1871613893151067</v>
      </c>
      <c r="AN43" s="114">
        <f t="shared" si="170"/>
        <v>0.17323212542131655</v>
      </c>
      <c r="AO43" s="114">
        <f t="shared" si="170"/>
        <v>0.14878970009798531</v>
      </c>
      <c r="AP43" s="114">
        <f t="shared" si="170"/>
        <v>0.1469992095975208</v>
      </c>
      <c r="AQ43" s="116">
        <f t="shared" si="170"/>
        <v>0.1637836137757509</v>
      </c>
      <c r="AR43" s="115">
        <f t="shared" si="170"/>
        <v>0.17242590482158784</v>
      </c>
      <c r="AS43" s="114">
        <f t="shared" ref="AS43" si="171">AS42/AS17</f>
        <v>0.1786597085400233</v>
      </c>
      <c r="AT43" s="114">
        <f t="shared" si="170"/>
        <v>0.16149999999999998</v>
      </c>
      <c r="AU43" s="114">
        <f t="shared" si="170"/>
        <v>0.17030000000000001</v>
      </c>
      <c r="AV43" s="116">
        <f t="shared" si="170"/>
        <v>0.17076416399618213</v>
      </c>
      <c r="AW43" s="115">
        <f t="shared" si="170"/>
        <v>0.17199999999999996</v>
      </c>
      <c r="AX43" s="114">
        <f t="shared" si="170"/>
        <v>0.17900000000000008</v>
      </c>
      <c r="AY43" s="114">
        <f t="shared" si="170"/>
        <v>0.16899999999999996</v>
      </c>
      <c r="AZ43" s="114">
        <f t="shared" si="170"/>
        <v>0.16899999999999993</v>
      </c>
      <c r="BA43" s="116">
        <f t="shared" si="170"/>
        <v>0.17221270699350308</v>
      </c>
    </row>
    <row r="44" spans="1:53" s="163" customFormat="1" ht="11.25" x14ac:dyDescent="0.2">
      <c r="A44" s="161"/>
      <c r="B44" s="162"/>
      <c r="C44" s="122"/>
      <c r="D44" s="164"/>
      <c r="E44" s="165"/>
      <c r="F44" s="166"/>
      <c r="G44" s="165"/>
      <c r="H44" s="167"/>
      <c r="I44" s="164"/>
      <c r="J44" s="166"/>
      <c r="K44" s="166"/>
      <c r="L44" s="165"/>
      <c r="M44" s="167"/>
      <c r="N44" s="164"/>
      <c r="O44" s="165"/>
      <c r="P44" s="166"/>
      <c r="Q44" s="165"/>
      <c r="R44" s="167"/>
      <c r="S44" s="168"/>
      <c r="T44" s="165"/>
      <c r="U44" s="165"/>
      <c r="V44" s="165"/>
      <c r="W44" s="167"/>
      <c r="X44" s="164"/>
      <c r="Y44" s="166"/>
      <c r="Z44" s="166"/>
      <c r="AA44" s="165"/>
      <c r="AB44" s="167"/>
      <c r="AC44" s="168"/>
      <c r="AD44" s="166"/>
      <c r="AE44" s="166"/>
      <c r="AF44" s="165"/>
      <c r="AG44" s="167"/>
      <c r="AH44" s="169"/>
      <c r="AI44" s="169"/>
      <c r="AJ44" s="169"/>
      <c r="AK44" s="165"/>
      <c r="AL44" s="167"/>
      <c r="AM44" s="169"/>
      <c r="AN44" s="169"/>
      <c r="AO44" s="169"/>
      <c r="AP44" s="165"/>
      <c r="AQ44" s="167"/>
      <c r="AR44" s="169"/>
      <c r="AS44" s="169"/>
      <c r="AT44" s="169"/>
      <c r="AV44" s="167"/>
      <c r="AW44" s="169"/>
      <c r="AX44" s="169"/>
      <c r="AY44" s="169"/>
      <c r="BA44" s="167"/>
    </row>
    <row r="45" spans="1:53" s="121" customFormat="1" hidden="1" outlineLevel="1" x14ac:dyDescent="0.2">
      <c r="A45" s="105"/>
      <c r="B45" s="119" t="s">
        <v>89</v>
      </c>
      <c r="C45" s="120"/>
      <c r="D45" s="170"/>
      <c r="E45" s="171"/>
      <c r="F45" s="170"/>
      <c r="G45" s="171"/>
      <c r="H45" s="172"/>
      <c r="I45" s="170"/>
      <c r="J45" s="170"/>
      <c r="K45" s="170"/>
      <c r="L45" s="171"/>
      <c r="M45" s="172"/>
      <c r="N45" s="170"/>
      <c r="O45" s="171"/>
      <c r="P45" s="170"/>
      <c r="Q45" s="171"/>
      <c r="R45" s="172"/>
      <c r="S45" s="171"/>
      <c r="T45" s="171"/>
      <c r="U45" s="171"/>
      <c r="V45" s="171"/>
      <c r="W45" s="172"/>
      <c r="X45" s="170"/>
      <c r="Y45" s="170"/>
      <c r="Z45" s="170"/>
      <c r="AA45" s="171"/>
      <c r="AB45" s="172"/>
      <c r="AC45" s="171"/>
      <c r="AD45" s="170"/>
      <c r="AE45" s="170"/>
      <c r="AF45" s="171"/>
      <c r="AG45" s="172"/>
      <c r="AH45" s="173"/>
      <c r="AI45" s="173"/>
      <c r="AJ45" s="173"/>
      <c r="AK45" s="171"/>
      <c r="AL45" s="172"/>
      <c r="AM45" s="173"/>
      <c r="AN45" s="173"/>
      <c r="AO45" s="173"/>
      <c r="AP45" s="171"/>
      <c r="AQ45" s="172"/>
      <c r="AR45" s="173"/>
      <c r="AS45" s="173"/>
      <c r="AT45" s="173"/>
      <c r="AV45" s="172"/>
      <c r="AW45" s="173"/>
      <c r="AX45" s="173"/>
      <c r="AY45" s="173"/>
      <c r="BA45" s="172"/>
    </row>
    <row r="46" spans="1:53" s="121" customFormat="1" hidden="1" outlineLevel="1" x14ac:dyDescent="0.2">
      <c r="A46" s="105"/>
      <c r="B46" s="119"/>
      <c r="C46" s="120" t="s">
        <v>90</v>
      </c>
      <c r="D46" s="170"/>
      <c r="E46" s="171"/>
      <c r="F46" s="170"/>
      <c r="G46" s="171"/>
      <c r="H46" s="172"/>
      <c r="I46" s="170"/>
      <c r="J46" s="170"/>
      <c r="K46" s="170"/>
      <c r="L46" s="171"/>
      <c r="M46" s="172"/>
      <c r="N46" s="170"/>
      <c r="O46" s="171"/>
      <c r="P46" s="170"/>
      <c r="Q46" s="171"/>
      <c r="R46" s="172"/>
      <c r="S46" s="171"/>
      <c r="T46" s="171"/>
      <c r="U46" s="171"/>
      <c r="V46" s="109">
        <v>5659</v>
      </c>
      <c r="W46" s="110">
        <f t="shared" ref="W46:W50" si="172">SUM(S46:V46)</f>
        <v>5659</v>
      </c>
      <c r="X46" s="108">
        <f>8401+8271</f>
        <v>16672</v>
      </c>
      <c r="Y46" s="108">
        <v>19768</v>
      </c>
      <c r="Z46" s="108">
        <f>9285+10484</f>
        <v>19769</v>
      </c>
      <c r="AA46" s="111">
        <v>19769</v>
      </c>
      <c r="AB46" s="110">
        <f t="shared" ref="AB46:AB50" si="173">SUM(X46:AA46)</f>
        <v>75978</v>
      </c>
      <c r="AC46" s="109">
        <v>19769</v>
      </c>
      <c r="AD46" s="4">
        <v>19994</v>
      </c>
      <c r="AE46" s="108">
        <v>20220</v>
      </c>
      <c r="AF46" s="92">
        <v>20221</v>
      </c>
      <c r="AG46" s="110">
        <f t="shared" ref="AG46:AG50" si="174">SUM(AC46:AF46)</f>
        <v>80204</v>
      </c>
      <c r="AH46" s="92">
        <f>23939-AH47</f>
        <v>20221</v>
      </c>
      <c r="AI46" s="92">
        <f>23462-AI47</f>
        <v>20222</v>
      </c>
      <c r="AJ46" s="109">
        <v>23429</v>
      </c>
      <c r="AK46" s="92">
        <v>22965</v>
      </c>
      <c r="AL46" s="110">
        <f t="shared" ref="AL46:AL47" si="175">SUM(AH46:AK46)</f>
        <v>86837</v>
      </c>
      <c r="AM46" s="92">
        <v>20107</v>
      </c>
      <c r="AN46" s="92">
        <v>18168</v>
      </c>
      <c r="AO46" s="109">
        <v>18336</v>
      </c>
      <c r="AP46" s="92">
        <v>18325</v>
      </c>
      <c r="AQ46" s="110">
        <f t="shared" ref="AQ46:AQ50" si="176">SUM(AM46:AP46)</f>
        <v>74936</v>
      </c>
      <c r="AR46" s="92">
        <v>19004</v>
      </c>
      <c r="AS46" s="92">
        <v>22779</v>
      </c>
      <c r="AT46" s="175">
        <v>20000</v>
      </c>
      <c r="AU46" s="175">
        <v>20000</v>
      </c>
      <c r="AV46" s="110">
        <f t="shared" ref="AV46:AV50" si="177">SUM(AR46:AU46)</f>
        <v>81783</v>
      </c>
      <c r="AW46" s="175">
        <v>20000</v>
      </c>
      <c r="AX46" s="175">
        <v>20000</v>
      </c>
      <c r="AY46" s="175">
        <v>20000</v>
      </c>
      <c r="AZ46" s="175">
        <v>20000</v>
      </c>
      <c r="BA46" s="110">
        <f t="shared" ref="BA46:BA50" si="178">SUM(AW46:AZ46)</f>
        <v>80000</v>
      </c>
    </row>
    <row r="47" spans="1:53" s="121" customFormat="1" hidden="1" outlineLevel="1" x14ac:dyDescent="0.2">
      <c r="A47" s="105"/>
      <c r="B47" s="119"/>
      <c r="C47" s="120" t="s">
        <v>91</v>
      </c>
      <c r="D47" s="108"/>
      <c r="E47" s="109"/>
      <c r="F47" s="108"/>
      <c r="G47" s="108"/>
      <c r="H47" s="110">
        <f t="shared" ref="H47:H50" si="179">SUM(D47:G47)</f>
        <v>0</v>
      </c>
      <c r="I47" s="108"/>
      <c r="J47" s="174"/>
      <c r="K47" s="174"/>
      <c r="L47" s="174"/>
      <c r="M47" s="110">
        <f t="shared" ref="M47:M50" si="180">SUM(I47:L47)</f>
        <v>0</v>
      </c>
      <c r="N47" s="174"/>
      <c r="O47" s="109"/>
      <c r="P47" s="174"/>
      <c r="Q47" s="174"/>
      <c r="R47" s="110">
        <f t="shared" ref="R47:R50" si="181">SUM(N47:Q47)</f>
        <v>0</v>
      </c>
      <c r="S47" s="109">
        <f>-400+1600</f>
        <v>1200</v>
      </c>
      <c r="T47" s="109">
        <f>-400+1500</f>
        <v>1100</v>
      </c>
      <c r="U47" s="109">
        <v>1314</v>
      </c>
      <c r="V47" s="109">
        <v>1694</v>
      </c>
      <c r="W47" s="110">
        <f t="shared" si="172"/>
        <v>5308</v>
      </c>
      <c r="X47" s="108">
        <v>2141</v>
      </c>
      <c r="Y47" s="108">
        <v>2209</v>
      </c>
      <c r="Z47" s="108">
        <v>2350</v>
      </c>
      <c r="AA47" s="92">
        <v>2460</v>
      </c>
      <c r="AB47" s="110">
        <f t="shared" si="173"/>
        <v>9160</v>
      </c>
      <c r="AC47" s="109">
        <f>22306-AC46</f>
        <v>2537</v>
      </c>
      <c r="AD47" s="92">
        <v>2536</v>
      </c>
      <c r="AE47" s="92">
        <v>2826</v>
      </c>
      <c r="AF47" s="179">
        <v>3351</v>
      </c>
      <c r="AG47" s="110">
        <f t="shared" si="174"/>
        <v>11250</v>
      </c>
      <c r="AH47" s="92">
        <v>3718</v>
      </c>
      <c r="AI47" s="92">
        <v>3240</v>
      </c>
      <c r="AJ47" s="109"/>
      <c r="AK47" s="179"/>
      <c r="AL47" s="110">
        <f t="shared" si="175"/>
        <v>6958</v>
      </c>
      <c r="AM47" s="92"/>
      <c r="AN47" s="92"/>
      <c r="AO47" s="109"/>
      <c r="AP47" s="179"/>
      <c r="AQ47" s="110">
        <f t="shared" si="176"/>
        <v>0</v>
      </c>
      <c r="AR47" s="92"/>
      <c r="AS47" s="92"/>
      <c r="AT47" s="175"/>
      <c r="AU47" s="175"/>
      <c r="AV47" s="110">
        <f t="shared" si="177"/>
        <v>0</v>
      </c>
      <c r="AW47" s="175"/>
      <c r="AX47" s="175"/>
      <c r="AY47" s="175"/>
      <c r="AZ47" s="175"/>
      <c r="BA47" s="110">
        <f t="shared" si="178"/>
        <v>0</v>
      </c>
    </row>
    <row r="48" spans="1:53" s="121" customFormat="1" hidden="1" outlineLevel="1" x14ac:dyDescent="0.2">
      <c r="A48" s="105"/>
      <c r="B48" s="119"/>
      <c r="C48" s="120" t="s">
        <v>95</v>
      </c>
      <c r="D48" s="108"/>
      <c r="E48" s="109"/>
      <c r="F48" s="108"/>
      <c r="G48" s="108"/>
      <c r="H48" s="110"/>
      <c r="I48" s="108"/>
      <c r="J48" s="108"/>
      <c r="K48" s="108"/>
      <c r="L48" s="108"/>
      <c r="M48" s="110"/>
      <c r="N48" s="108"/>
      <c r="O48" s="109"/>
      <c r="P48" s="108"/>
      <c r="Q48" s="108"/>
      <c r="R48" s="110"/>
      <c r="S48" s="109"/>
      <c r="T48" s="109"/>
      <c r="U48" s="109"/>
      <c r="V48" s="109"/>
      <c r="W48" s="110"/>
      <c r="X48" s="108"/>
      <c r="Y48" s="108">
        <v>4417</v>
      </c>
      <c r="Z48" s="108">
        <v>243</v>
      </c>
      <c r="AA48" s="108"/>
      <c r="AB48" s="110">
        <f t="shared" si="173"/>
        <v>4660</v>
      </c>
      <c r="AC48" s="109"/>
      <c r="AD48" s="108">
        <v>215</v>
      </c>
      <c r="AE48" s="108">
        <v>289</v>
      </c>
      <c r="AF48" s="108">
        <v>1004</v>
      </c>
      <c r="AG48" s="110">
        <f t="shared" si="174"/>
        <v>1508</v>
      </c>
      <c r="AH48" s="109">
        <v>97</v>
      </c>
      <c r="AI48" s="108">
        <v>872</v>
      </c>
      <c r="AJ48" s="109"/>
      <c r="AK48" s="108"/>
      <c r="AL48" s="110">
        <f t="shared" ref="AL48:AL50" si="182">SUM(AH48:AK48)</f>
        <v>969</v>
      </c>
      <c r="AM48" s="109"/>
      <c r="AN48" s="108"/>
      <c r="AO48" s="109"/>
      <c r="AP48" s="108"/>
      <c r="AQ48" s="110">
        <f t="shared" si="176"/>
        <v>0</v>
      </c>
      <c r="AR48" s="109"/>
      <c r="AS48" s="108"/>
      <c r="AT48" s="108"/>
      <c r="AU48" s="108"/>
      <c r="AV48" s="110">
        <f t="shared" si="177"/>
        <v>0</v>
      </c>
      <c r="AW48" s="109"/>
      <c r="AX48" s="108"/>
      <c r="AY48" s="108"/>
      <c r="AZ48" s="108"/>
      <c r="BA48" s="110">
        <f t="shared" si="178"/>
        <v>0</v>
      </c>
    </row>
    <row r="49" spans="1:53" s="121" customFormat="1" hidden="1" outlineLevel="1" x14ac:dyDescent="0.2">
      <c r="A49" s="105"/>
      <c r="B49" s="119"/>
      <c r="C49" s="178" t="s">
        <v>98</v>
      </c>
      <c r="D49" s="108">
        <v>-297.24736000000001</v>
      </c>
      <c r="E49" s="109">
        <v>-310.55432000000002</v>
      </c>
      <c r="F49" s="108">
        <v>-696.34339000000023</v>
      </c>
      <c r="G49" s="108">
        <v>-401.40482000000009</v>
      </c>
      <c r="H49" s="110">
        <f t="shared" si="179"/>
        <v>-1705.5498900000002</v>
      </c>
      <c r="I49" s="108">
        <v>-159.82792999999987</v>
      </c>
      <c r="J49" s="108">
        <v>-365.27410999999995</v>
      </c>
      <c r="K49" s="108">
        <v>519.21715000000017</v>
      </c>
      <c r="L49" s="108">
        <v>594.46883999999977</v>
      </c>
      <c r="M49" s="110">
        <f t="shared" si="180"/>
        <v>588.58395000000019</v>
      </c>
      <c r="N49" s="108">
        <v>660.2988600000001</v>
      </c>
      <c r="O49" s="109">
        <v>905</v>
      </c>
      <c r="P49" s="109">
        <v>303</v>
      </c>
      <c r="Q49" s="108">
        <v>24</v>
      </c>
      <c r="R49" s="110">
        <f t="shared" si="181"/>
        <v>1892.2988600000001</v>
      </c>
      <c r="S49" s="109">
        <f>925-1671</f>
        <v>-746</v>
      </c>
      <c r="T49" s="109"/>
      <c r="U49" s="109"/>
      <c r="V49" s="109">
        <v>15471</v>
      </c>
      <c r="W49" s="110">
        <f t="shared" si="172"/>
        <v>14725</v>
      </c>
      <c r="X49" s="109">
        <v>6325</v>
      </c>
      <c r="Y49" s="179">
        <v>3379</v>
      </c>
      <c r="Z49" s="108"/>
      <c r="AA49" s="175"/>
      <c r="AB49" s="110">
        <f t="shared" si="173"/>
        <v>9704</v>
      </c>
      <c r="AC49" s="109"/>
      <c r="AD49" s="175"/>
      <c r="AE49" s="175"/>
      <c r="AF49" s="179">
        <v>1</v>
      </c>
      <c r="AG49" s="110">
        <f t="shared" si="174"/>
        <v>1</v>
      </c>
      <c r="AH49" s="109"/>
      <c r="AI49" s="179">
        <v>25091</v>
      </c>
      <c r="AJ49" s="109">
        <v>2107</v>
      </c>
      <c r="AK49" s="179">
        <v>392</v>
      </c>
      <c r="AL49" s="110">
        <f t="shared" si="182"/>
        <v>27590</v>
      </c>
      <c r="AM49" s="109">
        <v>-92</v>
      </c>
      <c r="AN49" s="179"/>
      <c r="AO49" s="109"/>
      <c r="AP49" s="179"/>
      <c r="AQ49" s="110">
        <f t="shared" si="176"/>
        <v>-92</v>
      </c>
      <c r="AR49" s="109">
        <f>8870+1844</f>
        <v>10714</v>
      </c>
      <c r="AS49" s="179">
        <f>412+4521</f>
        <v>4933</v>
      </c>
      <c r="AT49" s="175"/>
      <c r="AU49" s="175"/>
      <c r="AV49" s="110">
        <f t="shared" si="177"/>
        <v>15647</v>
      </c>
      <c r="AW49" s="109"/>
      <c r="AX49" s="175"/>
      <c r="AY49" s="175"/>
      <c r="AZ49" s="175"/>
      <c r="BA49" s="110">
        <f t="shared" si="178"/>
        <v>0</v>
      </c>
    </row>
    <row r="50" spans="1:53" s="121" customFormat="1" hidden="1" outlineLevel="1" x14ac:dyDescent="0.2">
      <c r="A50" s="119"/>
      <c r="B50" s="119"/>
      <c r="C50" s="120" t="s">
        <v>170</v>
      </c>
      <c r="D50" s="108">
        <v>370.23185000000001</v>
      </c>
      <c r="E50" s="109">
        <v>364.32182</v>
      </c>
      <c r="F50" s="108">
        <v>369.67399999999998</v>
      </c>
      <c r="G50" s="108">
        <v>440.53721000000002</v>
      </c>
      <c r="H50" s="110">
        <f t="shared" si="179"/>
        <v>1544.7648799999999</v>
      </c>
      <c r="I50" s="108">
        <v>786.37352999999996</v>
      </c>
      <c r="J50" s="108">
        <v>414.58766000000003</v>
      </c>
      <c r="K50" s="108">
        <v>1376.3448800000001</v>
      </c>
      <c r="L50" s="108">
        <v>1505.1670199999999</v>
      </c>
      <c r="M50" s="110">
        <f t="shared" si="180"/>
        <v>4082.47309</v>
      </c>
      <c r="N50" s="108">
        <v>2275.6993700000003</v>
      </c>
      <c r="O50" s="109">
        <v>3075</v>
      </c>
      <c r="P50" s="109">
        <v>5085</v>
      </c>
      <c r="Q50" s="108">
        <v>7628</v>
      </c>
      <c r="R50" s="110">
        <f t="shared" si="181"/>
        <v>18063.699370000002</v>
      </c>
      <c r="S50" s="109">
        <f>9894+956</f>
        <v>10850</v>
      </c>
      <c r="T50" s="109">
        <f>10689+1105</f>
        <v>11794</v>
      </c>
      <c r="U50" s="109">
        <f>10680+1172</f>
        <v>11852</v>
      </c>
      <c r="V50" s="109">
        <f>40724+973</f>
        <v>41697</v>
      </c>
      <c r="W50" s="110">
        <f t="shared" si="172"/>
        <v>76193</v>
      </c>
      <c r="X50" s="109">
        <f>37887+163+582+195+1042</f>
        <v>39869</v>
      </c>
      <c r="Y50" s="108">
        <v>49684</v>
      </c>
      <c r="Z50" s="108">
        <v>55143</v>
      </c>
      <c r="AA50" s="179">
        <v>57957</v>
      </c>
      <c r="AB50" s="110">
        <f t="shared" si="173"/>
        <v>202653</v>
      </c>
      <c r="AC50" s="109">
        <v>74533</v>
      </c>
      <c r="AD50" s="179">
        <v>120470</v>
      </c>
      <c r="AE50" s="179">
        <v>65724</v>
      </c>
      <c r="AF50" s="179">
        <v>59169</v>
      </c>
      <c r="AG50" s="110">
        <f t="shared" si="174"/>
        <v>319896</v>
      </c>
      <c r="AH50" s="179">
        <v>65984</v>
      </c>
      <c r="AI50" s="179">
        <v>62552</v>
      </c>
      <c r="AJ50" s="109">
        <v>60619</v>
      </c>
      <c r="AK50" s="179">
        <v>58837</v>
      </c>
      <c r="AL50" s="110">
        <f t="shared" si="182"/>
        <v>247992</v>
      </c>
      <c r="AM50" s="179">
        <v>54771</v>
      </c>
      <c r="AN50" s="179">
        <v>66348</v>
      </c>
      <c r="AO50" s="109">
        <v>63909</v>
      </c>
      <c r="AP50" s="179">
        <v>60277</v>
      </c>
      <c r="AQ50" s="110">
        <f t="shared" si="176"/>
        <v>245305</v>
      </c>
      <c r="AR50" s="179">
        <v>59237</v>
      </c>
      <c r="AS50" s="179">
        <v>64449</v>
      </c>
      <c r="AT50" s="175">
        <v>64350</v>
      </c>
      <c r="AU50" s="175">
        <v>67000</v>
      </c>
      <c r="AV50" s="110">
        <f t="shared" si="177"/>
        <v>255036</v>
      </c>
      <c r="AW50" s="175">
        <v>67000</v>
      </c>
      <c r="AX50" s="175">
        <v>71000</v>
      </c>
      <c r="AY50" s="175">
        <v>74000</v>
      </c>
      <c r="AZ50" s="175">
        <v>77000</v>
      </c>
      <c r="BA50" s="110">
        <f t="shared" si="178"/>
        <v>289000</v>
      </c>
    </row>
    <row r="51" spans="1:53" s="121" customFormat="1" hidden="1" outlineLevel="1" x14ac:dyDescent="0.2">
      <c r="A51" s="109"/>
      <c r="B51" s="119"/>
      <c r="C51" s="863" t="s">
        <v>83</v>
      </c>
      <c r="D51" s="114">
        <f t="shared" ref="D51:AI51" si="183">D50/D17</f>
        <v>2.8256301530925527E-2</v>
      </c>
      <c r="E51" s="114">
        <f t="shared" si="183"/>
        <v>2.4026840859741994E-2</v>
      </c>
      <c r="F51" s="114">
        <f t="shared" si="183"/>
        <v>2.1621264816970617E-2</v>
      </c>
      <c r="G51" s="114">
        <f t="shared" si="183"/>
        <v>2.2590870950106205E-2</v>
      </c>
      <c r="H51" s="336">
        <f t="shared" si="183"/>
        <v>2.3815396499531002E-2</v>
      </c>
      <c r="I51" s="114">
        <f t="shared" si="183"/>
        <v>3.5068185241908509E-2</v>
      </c>
      <c r="J51" s="114">
        <f t="shared" si="183"/>
        <v>1.594650713048654E-2</v>
      </c>
      <c r="K51" s="114">
        <f t="shared" si="183"/>
        <v>4.8731065404350904E-2</v>
      </c>
      <c r="L51" s="114">
        <f t="shared" si="183"/>
        <v>4.7505095923203483E-2</v>
      </c>
      <c r="M51" s="336">
        <f t="shared" si="183"/>
        <v>3.7678294630082251E-2</v>
      </c>
      <c r="N51" s="114">
        <f t="shared" si="183"/>
        <v>6.4688261298391544E-2</v>
      </c>
      <c r="O51" s="114">
        <f t="shared" si="183"/>
        <v>7.8684749232343906E-2</v>
      </c>
      <c r="P51" s="114">
        <f t="shared" si="183"/>
        <v>0.12333252486053844</v>
      </c>
      <c r="Q51" s="114">
        <f t="shared" si="183"/>
        <v>0.1811446212301116</v>
      </c>
      <c r="R51" s="336">
        <f t="shared" si="183"/>
        <v>0.11461776024612995</v>
      </c>
      <c r="S51" s="114">
        <f t="shared" si="183"/>
        <v>0.23480274405418858</v>
      </c>
      <c r="T51" s="114">
        <f t="shared" si="183"/>
        <v>0.21822555278009068</v>
      </c>
      <c r="U51" s="114">
        <f t="shared" si="183"/>
        <v>0.1983996785965382</v>
      </c>
      <c r="V51" s="114">
        <f t="shared" si="183"/>
        <v>0.53271242957341614</v>
      </c>
      <c r="W51" s="336">
        <f t="shared" si="183"/>
        <v>0.31978259500975803</v>
      </c>
      <c r="X51" s="114">
        <f t="shared" si="183"/>
        <v>0.33687652620638958</v>
      </c>
      <c r="Y51" s="114">
        <f t="shared" si="183"/>
        <v>0.31751428315801583</v>
      </c>
      <c r="Z51" s="114">
        <f t="shared" si="183"/>
        <v>0.33037367219655983</v>
      </c>
      <c r="AA51" s="114">
        <f t="shared" si="183"/>
        <v>0.28946514101917381</v>
      </c>
      <c r="AB51" s="336">
        <f t="shared" si="183"/>
        <v>0.31567903869250219</v>
      </c>
      <c r="AC51" s="114">
        <f t="shared" si="183"/>
        <v>0.32416363667994641</v>
      </c>
      <c r="AD51" s="114">
        <f t="shared" si="183"/>
        <v>0.46333546148935023</v>
      </c>
      <c r="AE51" s="114">
        <f t="shared" si="183"/>
        <v>0.2411403203023243</v>
      </c>
      <c r="AF51" s="114">
        <f t="shared" si="183"/>
        <v>0.19990675140126291</v>
      </c>
      <c r="AG51" s="336">
        <f t="shared" si="183"/>
        <v>0.30222548060026377</v>
      </c>
      <c r="AH51" s="114">
        <f t="shared" si="183"/>
        <v>0.21635162385035331</v>
      </c>
      <c r="AI51" s="114">
        <f t="shared" si="183"/>
        <v>0.196398687577513</v>
      </c>
      <c r="AJ51" s="115">
        <f t="shared" ref="AJ51:BA51" si="184">AJ50/AJ17</f>
        <v>0.18765865497727752</v>
      </c>
      <c r="AK51" s="114">
        <f t="shared" si="184"/>
        <v>0.17120451602578093</v>
      </c>
      <c r="AL51" s="336">
        <f t="shared" si="184"/>
        <v>0.19221608264938114</v>
      </c>
      <c r="AM51" s="114">
        <f t="shared" si="184"/>
        <v>0.15279955363370065</v>
      </c>
      <c r="AN51" s="114">
        <f t="shared" si="184"/>
        <v>0.18300170457366352</v>
      </c>
      <c r="AO51" s="115">
        <f t="shared" si="184"/>
        <v>0.17840861823978202</v>
      </c>
      <c r="AP51" s="114">
        <f t="shared" si="184"/>
        <v>0.15723792158059627</v>
      </c>
      <c r="AQ51" s="336">
        <f t="shared" si="184"/>
        <v>0.16772188681567379</v>
      </c>
      <c r="AR51" s="114">
        <f t="shared" si="184"/>
        <v>0.14968628471651912</v>
      </c>
      <c r="AS51" s="114">
        <f t="shared" si="184"/>
        <v>0.15542200925553029</v>
      </c>
      <c r="AT51" s="114">
        <f t="shared" si="184"/>
        <v>0.15973327622517092</v>
      </c>
      <c r="AU51" s="114">
        <f t="shared" si="184"/>
        <v>0.15586919314679945</v>
      </c>
      <c r="AV51" s="336">
        <f t="shared" si="184"/>
        <v>0.15521459428573919</v>
      </c>
      <c r="AW51" s="114">
        <f t="shared" si="184"/>
        <v>0.15254070810605633</v>
      </c>
      <c r="AX51" s="114">
        <f t="shared" si="184"/>
        <v>0.15597872530119103</v>
      </c>
      <c r="AY51" s="114">
        <f t="shared" si="184"/>
        <v>0.16460579885671855</v>
      </c>
      <c r="AZ51" s="114">
        <f t="shared" si="184"/>
        <v>0.15941569784970069</v>
      </c>
      <c r="BA51" s="336">
        <f t="shared" si="184"/>
        <v>0.15818367054278565</v>
      </c>
    </row>
    <row r="52" spans="1:53" s="121" customFormat="1" collapsed="1" x14ac:dyDescent="0.2">
      <c r="A52" s="105"/>
      <c r="B52" s="138" t="s">
        <v>89</v>
      </c>
      <c r="C52" s="120"/>
      <c r="D52" s="108">
        <f t="shared" ref="D52:U52" si="185">SUM(D47:D50)</f>
        <v>72.984489999999994</v>
      </c>
      <c r="E52" s="109">
        <f t="shared" si="185"/>
        <v>53.767499999999984</v>
      </c>
      <c r="F52" s="109">
        <f t="shared" si="185"/>
        <v>-326.66939000000025</v>
      </c>
      <c r="G52" s="109">
        <f t="shared" si="185"/>
        <v>39.13238999999993</v>
      </c>
      <c r="H52" s="110">
        <f t="shared" si="185"/>
        <v>-160.78501000000028</v>
      </c>
      <c r="I52" s="109">
        <f t="shared" si="185"/>
        <v>626.54560000000015</v>
      </c>
      <c r="J52" s="109">
        <f t="shared" si="185"/>
        <v>49.313550000000077</v>
      </c>
      <c r="K52" s="109">
        <f t="shared" si="185"/>
        <v>1895.5620300000003</v>
      </c>
      <c r="L52" s="109">
        <f t="shared" si="185"/>
        <v>2099.6358599999994</v>
      </c>
      <c r="M52" s="110">
        <f t="shared" si="185"/>
        <v>4671.0570399999997</v>
      </c>
      <c r="N52" s="109">
        <f t="shared" si="185"/>
        <v>2935.9982300000001</v>
      </c>
      <c r="O52" s="109">
        <f t="shared" si="185"/>
        <v>3980</v>
      </c>
      <c r="P52" s="109">
        <f t="shared" si="185"/>
        <v>5388</v>
      </c>
      <c r="Q52" s="109">
        <f t="shared" si="185"/>
        <v>7652</v>
      </c>
      <c r="R52" s="110">
        <f t="shared" si="185"/>
        <v>19955.998230000001</v>
      </c>
      <c r="S52" s="109">
        <f t="shared" si="185"/>
        <v>11304</v>
      </c>
      <c r="T52" s="109">
        <f t="shared" si="185"/>
        <v>12894</v>
      </c>
      <c r="U52" s="109">
        <f t="shared" si="185"/>
        <v>13166</v>
      </c>
      <c r="V52" s="109">
        <f t="shared" ref="V52:BA52" si="186">SUM(V46:V50)</f>
        <v>64521</v>
      </c>
      <c r="W52" s="110">
        <f t="shared" si="186"/>
        <v>101885</v>
      </c>
      <c r="X52" s="109">
        <f t="shared" si="186"/>
        <v>65007</v>
      </c>
      <c r="Y52" s="109">
        <f t="shared" si="186"/>
        <v>79457</v>
      </c>
      <c r="Z52" s="108">
        <f t="shared" si="186"/>
        <v>77505</v>
      </c>
      <c r="AA52" s="109">
        <f t="shared" si="186"/>
        <v>80186</v>
      </c>
      <c r="AB52" s="110">
        <f t="shared" si="186"/>
        <v>302155</v>
      </c>
      <c r="AC52" s="109">
        <f t="shared" si="186"/>
        <v>96839</v>
      </c>
      <c r="AD52" s="109">
        <f t="shared" si="186"/>
        <v>143215</v>
      </c>
      <c r="AE52" s="109">
        <f t="shared" si="186"/>
        <v>89059</v>
      </c>
      <c r="AF52" s="109">
        <f t="shared" si="186"/>
        <v>83746</v>
      </c>
      <c r="AG52" s="110">
        <f t="shared" si="186"/>
        <v>412859</v>
      </c>
      <c r="AH52" s="109">
        <f t="shared" si="186"/>
        <v>90020</v>
      </c>
      <c r="AI52" s="109">
        <f t="shared" si="186"/>
        <v>111977</v>
      </c>
      <c r="AJ52" s="109">
        <f t="shared" si="186"/>
        <v>86155</v>
      </c>
      <c r="AK52" s="109">
        <f t="shared" si="186"/>
        <v>82194</v>
      </c>
      <c r="AL52" s="110">
        <f t="shared" si="186"/>
        <v>370346</v>
      </c>
      <c r="AM52" s="109">
        <f t="shared" si="186"/>
        <v>74786</v>
      </c>
      <c r="AN52" s="109">
        <f t="shared" si="186"/>
        <v>84516</v>
      </c>
      <c r="AO52" s="109">
        <f t="shared" si="186"/>
        <v>82245</v>
      </c>
      <c r="AP52" s="109">
        <f t="shared" si="186"/>
        <v>78602</v>
      </c>
      <c r="AQ52" s="110">
        <f t="shared" si="186"/>
        <v>320149</v>
      </c>
      <c r="AR52" s="109">
        <f t="shared" si="186"/>
        <v>88955</v>
      </c>
      <c r="AS52" s="109">
        <f t="shared" si="186"/>
        <v>92161</v>
      </c>
      <c r="AT52" s="109">
        <f t="shared" si="186"/>
        <v>84350</v>
      </c>
      <c r="AU52" s="109">
        <f t="shared" si="186"/>
        <v>87000</v>
      </c>
      <c r="AV52" s="110">
        <f t="shared" si="186"/>
        <v>352466</v>
      </c>
      <c r="AW52" s="109">
        <f t="shared" si="186"/>
        <v>87000</v>
      </c>
      <c r="AX52" s="109">
        <f t="shared" si="186"/>
        <v>91000</v>
      </c>
      <c r="AY52" s="109">
        <f t="shared" si="186"/>
        <v>94000</v>
      </c>
      <c r="AZ52" s="109">
        <f t="shared" si="186"/>
        <v>97000</v>
      </c>
      <c r="BA52" s="110">
        <f t="shared" si="186"/>
        <v>369000</v>
      </c>
    </row>
    <row r="53" spans="1:53" s="121" customFormat="1" ht="12.75" hidden="1" customHeight="1" x14ac:dyDescent="0.2">
      <c r="A53" s="105"/>
      <c r="B53" s="119"/>
      <c r="C53" s="120"/>
      <c r="D53" s="108"/>
      <c r="E53" s="171"/>
      <c r="F53" s="170"/>
      <c r="G53" s="171"/>
      <c r="H53" s="172"/>
      <c r="I53" s="108"/>
      <c r="J53" s="170"/>
      <c r="K53" s="170"/>
      <c r="L53" s="171"/>
      <c r="M53" s="172"/>
      <c r="N53" s="108"/>
      <c r="O53" s="171"/>
      <c r="P53" s="171"/>
      <c r="Q53" s="171"/>
      <c r="R53" s="172"/>
      <c r="S53" s="109"/>
      <c r="T53" s="171"/>
      <c r="U53" s="171"/>
      <c r="V53" s="171"/>
      <c r="W53" s="172"/>
      <c r="X53" s="109"/>
      <c r="Y53" s="170"/>
      <c r="Z53" s="170"/>
      <c r="AA53" s="171"/>
      <c r="AB53" s="172"/>
      <c r="AC53" s="109"/>
      <c r="AD53" s="170"/>
      <c r="AE53" s="170"/>
      <c r="AF53" s="171"/>
      <c r="AG53" s="172"/>
      <c r="AH53" s="109"/>
      <c r="AI53" s="170"/>
      <c r="AJ53" s="171"/>
      <c r="AK53" s="171"/>
      <c r="AL53" s="172"/>
      <c r="AM53" s="109"/>
      <c r="AN53" s="170"/>
      <c r="AO53" s="171"/>
      <c r="AP53" s="171"/>
      <c r="AQ53" s="172"/>
      <c r="AR53" s="109"/>
      <c r="AS53" s="170"/>
      <c r="AT53" s="170"/>
      <c r="AU53" s="171"/>
      <c r="AV53" s="172"/>
      <c r="AW53" s="109"/>
      <c r="AX53" s="170"/>
      <c r="AY53" s="170"/>
      <c r="AZ53" s="171"/>
      <c r="BA53" s="172"/>
    </row>
    <row r="54" spans="1:53" s="185" customFormat="1" ht="18" customHeight="1" x14ac:dyDescent="0.2">
      <c r="A54" s="180"/>
      <c r="B54" s="284" t="s">
        <v>100</v>
      </c>
      <c r="C54" s="181"/>
      <c r="D54" s="182">
        <f t="shared" ref="D54:AI54" si="187">D42-D52</f>
        <v>-2950.3877999999995</v>
      </c>
      <c r="E54" s="183">
        <f t="shared" si="187"/>
        <v>-1657.6084600000013</v>
      </c>
      <c r="F54" s="182">
        <f t="shared" si="187"/>
        <v>-1463.9535799999965</v>
      </c>
      <c r="G54" s="183">
        <f t="shared" si="187"/>
        <v>-1743.7519299999997</v>
      </c>
      <c r="H54" s="184">
        <f t="shared" si="187"/>
        <v>-7815.7017699999915</v>
      </c>
      <c r="I54" s="182">
        <f t="shared" si="187"/>
        <v>-1400.9444900000042</v>
      </c>
      <c r="J54" s="182">
        <f t="shared" si="187"/>
        <v>-117.86822999999754</v>
      </c>
      <c r="K54" s="182">
        <f t="shared" si="187"/>
        <v>-3003.4406300000001</v>
      </c>
      <c r="L54" s="183">
        <f t="shared" si="187"/>
        <v>-5281.0748099999992</v>
      </c>
      <c r="M54" s="184">
        <f t="shared" si="187"/>
        <v>-9803.32815999999</v>
      </c>
      <c r="N54" s="182">
        <f t="shared" si="187"/>
        <v>-6449.8610899999976</v>
      </c>
      <c r="O54" s="183">
        <f t="shared" si="187"/>
        <v>-8490</v>
      </c>
      <c r="P54" s="183">
        <f t="shared" si="187"/>
        <v>-9715</v>
      </c>
      <c r="Q54" s="183">
        <f t="shared" si="187"/>
        <v>-10261</v>
      </c>
      <c r="R54" s="184">
        <f t="shared" si="187"/>
        <v>-34915.861089999991</v>
      </c>
      <c r="S54" s="183">
        <f t="shared" si="187"/>
        <v>-13581</v>
      </c>
      <c r="T54" s="183">
        <f t="shared" si="187"/>
        <v>-14452</v>
      </c>
      <c r="U54" s="183">
        <f t="shared" si="187"/>
        <v>-15296</v>
      </c>
      <c r="V54" s="183">
        <f t="shared" si="187"/>
        <v>-70719</v>
      </c>
      <c r="W54" s="184">
        <f t="shared" si="187"/>
        <v>-114048</v>
      </c>
      <c r="X54" s="183">
        <f t="shared" si="187"/>
        <v>-74205</v>
      </c>
      <c r="Y54" s="182">
        <f t="shared" si="187"/>
        <v>-76075</v>
      </c>
      <c r="Z54" s="182">
        <f t="shared" si="187"/>
        <v>-83183</v>
      </c>
      <c r="AA54" s="183">
        <f t="shared" si="187"/>
        <v>-83355</v>
      </c>
      <c r="AB54" s="184">
        <f t="shared" si="187"/>
        <v>-316818</v>
      </c>
      <c r="AC54" s="183">
        <f t="shared" si="187"/>
        <v>-87694</v>
      </c>
      <c r="AD54" s="182">
        <f t="shared" si="187"/>
        <v>-112463</v>
      </c>
      <c r="AE54" s="182">
        <f t="shared" si="187"/>
        <v>-54218</v>
      </c>
      <c r="AF54" s="183">
        <f t="shared" si="187"/>
        <v>-41398</v>
      </c>
      <c r="AG54" s="184">
        <f t="shared" si="187"/>
        <v>-295773</v>
      </c>
      <c r="AH54" s="183">
        <f t="shared" si="187"/>
        <v>-56647</v>
      </c>
      <c r="AI54" s="182">
        <f t="shared" si="187"/>
        <v>-67674</v>
      </c>
      <c r="AJ54" s="183">
        <f t="shared" ref="AJ54:BA54" si="188">AJ42-AJ52</f>
        <v>-27622</v>
      </c>
      <c r="AK54" s="183">
        <f t="shared" si="188"/>
        <v>-22223</v>
      </c>
      <c r="AL54" s="184">
        <f t="shared" si="188"/>
        <v>-174166</v>
      </c>
      <c r="AM54" s="183">
        <f t="shared" si="188"/>
        <v>-7698</v>
      </c>
      <c r="AN54" s="182">
        <f t="shared" si="188"/>
        <v>-21710</v>
      </c>
      <c r="AO54" s="183">
        <f t="shared" si="188"/>
        <v>-28946</v>
      </c>
      <c r="AP54" s="183">
        <f t="shared" si="188"/>
        <v>-22250</v>
      </c>
      <c r="AQ54" s="184">
        <f t="shared" si="188"/>
        <v>-80604</v>
      </c>
      <c r="AR54" s="183">
        <f t="shared" si="188"/>
        <v>-20719</v>
      </c>
      <c r="AS54" s="182">
        <f t="shared" si="188"/>
        <v>-18076</v>
      </c>
      <c r="AT54" s="182">
        <f t="shared" si="188"/>
        <v>-19288.259293260926</v>
      </c>
      <c r="AU54" s="183">
        <f t="shared" si="188"/>
        <v>-13796.952177369443</v>
      </c>
      <c r="AV54" s="184">
        <f t="shared" si="188"/>
        <v>-71880.211470630486</v>
      </c>
      <c r="AW54" s="183">
        <f t="shared" si="188"/>
        <v>-11452.953293046507</v>
      </c>
      <c r="AX54" s="182">
        <f t="shared" si="188"/>
        <v>-9520.9394713334041</v>
      </c>
      <c r="AY54" s="182">
        <f t="shared" si="188"/>
        <v>-18024.547817505081</v>
      </c>
      <c r="AZ54" s="183">
        <f t="shared" si="188"/>
        <v>-15370.648715731688</v>
      </c>
      <c r="BA54" s="184">
        <f t="shared" si="188"/>
        <v>-54369.089297616854</v>
      </c>
    </row>
    <row r="55" spans="1:53" s="160" customFormat="1" ht="13.35" customHeight="1" x14ac:dyDescent="0.2">
      <c r="A55" s="123"/>
      <c r="B55" s="124"/>
      <c r="C55" s="112" t="s">
        <v>101</v>
      </c>
      <c r="D55" s="114">
        <f t="shared" ref="D55:AI55" si="189">D54/D17</f>
        <v>-0.22517524440418615</v>
      </c>
      <c r="E55" s="115">
        <f t="shared" si="189"/>
        <v>-0.10931844454494116</v>
      </c>
      <c r="F55" s="114">
        <f t="shared" si="189"/>
        <v>-8.5622813703241513E-2</v>
      </c>
      <c r="G55" s="115">
        <f t="shared" si="189"/>
        <v>-8.9420085126585822E-2</v>
      </c>
      <c r="H55" s="116">
        <f t="shared" si="189"/>
        <v>-0.12049344141914727</v>
      </c>
      <c r="I55" s="114">
        <f t="shared" si="189"/>
        <v>-6.2474865969803423E-2</v>
      </c>
      <c r="J55" s="114">
        <f t="shared" si="189"/>
        <v>-4.5336288353415742E-3</v>
      </c>
      <c r="K55" s="114">
        <f t="shared" si="189"/>
        <v>-0.10634025229099184</v>
      </c>
      <c r="L55" s="115">
        <f t="shared" si="189"/>
        <v>-0.16667782518026711</v>
      </c>
      <c r="M55" s="116">
        <f t="shared" si="189"/>
        <v>-9.0477678266303471E-2</v>
      </c>
      <c r="N55" s="114">
        <f t="shared" si="189"/>
        <v>-0.18334157183874786</v>
      </c>
      <c r="O55" s="115">
        <f t="shared" si="189"/>
        <v>-0.21724667349027635</v>
      </c>
      <c r="P55" s="115">
        <f t="shared" si="189"/>
        <v>-0.23562939607082223</v>
      </c>
      <c r="Q55" s="115">
        <f t="shared" si="189"/>
        <v>-0.24367133697459037</v>
      </c>
      <c r="R55" s="116">
        <f t="shared" si="189"/>
        <v>-0.22154807347199534</v>
      </c>
      <c r="S55" s="115">
        <f t="shared" si="189"/>
        <v>-0.29390378497695252</v>
      </c>
      <c r="T55" s="115">
        <f t="shared" si="189"/>
        <v>-0.26740679063743178</v>
      </c>
      <c r="U55" s="115">
        <f t="shared" si="189"/>
        <v>-0.2560514245538853</v>
      </c>
      <c r="V55" s="115">
        <f t="shared" si="189"/>
        <v>-0.90349162546471962</v>
      </c>
      <c r="W55" s="116">
        <f t="shared" si="189"/>
        <v>-0.47866031519526575</v>
      </c>
      <c r="X55" s="115">
        <f t="shared" si="189"/>
        <v>-0.62700149557664198</v>
      </c>
      <c r="Y55" s="114">
        <f t="shared" si="189"/>
        <v>-0.48617057988982476</v>
      </c>
      <c r="Z55" s="114">
        <f t="shared" si="189"/>
        <v>-0.49836739340127373</v>
      </c>
      <c r="AA55" s="115">
        <f t="shared" si="189"/>
        <v>-0.41631497195598866</v>
      </c>
      <c r="AB55" s="116">
        <f t="shared" si="189"/>
        <v>-0.49351749878107481</v>
      </c>
      <c r="AC55" s="115">
        <f t="shared" si="189"/>
        <v>-0.38140429011325483</v>
      </c>
      <c r="AD55" s="114">
        <f t="shared" si="189"/>
        <v>-0.43254001830726985</v>
      </c>
      <c r="AE55" s="114">
        <f t="shared" si="189"/>
        <v>-0.19892498761717819</v>
      </c>
      <c r="AF55" s="115">
        <f t="shared" si="189"/>
        <v>-0.13986614096079841</v>
      </c>
      <c r="AG55" s="116">
        <f t="shared" si="189"/>
        <v>-0.27943499472822986</v>
      </c>
      <c r="AH55" s="115">
        <f t="shared" si="189"/>
        <v>-0.18573700345918651</v>
      </c>
      <c r="AI55" s="114">
        <f t="shared" si="189"/>
        <v>-0.21248057269344889</v>
      </c>
      <c r="AJ55" s="115">
        <f t="shared" ref="AJ55:BA55" si="190">AJ54/AJ17</f>
        <v>-8.5509615265549732E-2</v>
      </c>
      <c r="AK55" s="115">
        <f t="shared" si="190"/>
        <v>-6.4664717093681351E-2</v>
      </c>
      <c r="AL55" s="116">
        <f t="shared" si="190"/>
        <v>-0.13499429921413639</v>
      </c>
      <c r="AM55" s="115">
        <f t="shared" si="190"/>
        <v>-2.1475798577207422E-2</v>
      </c>
      <c r="AN55" s="114">
        <f t="shared" si="190"/>
        <v>-5.9880735007750568E-2</v>
      </c>
      <c r="AO55" s="115">
        <f t="shared" si="190"/>
        <v>-8.0805768570447523E-2</v>
      </c>
      <c r="AP55" s="115">
        <f t="shared" si="190"/>
        <v>-5.8041106146096637E-2</v>
      </c>
      <c r="AQ55" s="116">
        <f t="shared" si="190"/>
        <v>-5.511120835242074E-2</v>
      </c>
      <c r="AR55" s="115">
        <f t="shared" si="190"/>
        <v>-5.2354949322915748E-2</v>
      </c>
      <c r="AS55" s="114">
        <f t="shared" si="190"/>
        <v>-4.3591184336498091E-2</v>
      </c>
      <c r="AT55" s="114">
        <f t="shared" si="190"/>
        <v>-4.7878428121105938E-2</v>
      </c>
      <c r="AU55" s="115">
        <f t="shared" si="190"/>
        <v>-3.2097310504053032E-2</v>
      </c>
      <c r="AV55" s="116">
        <f t="shared" si="190"/>
        <v>-4.374620783178472E-2</v>
      </c>
      <c r="AW55" s="115">
        <f t="shared" si="190"/>
        <v>-2.6075247839207522E-2</v>
      </c>
      <c r="AX55" s="114">
        <f t="shared" si="190"/>
        <v>-2.091639440011803E-2</v>
      </c>
      <c r="AY55" s="114">
        <f t="shared" si="190"/>
        <v>-4.0093852601777662E-2</v>
      </c>
      <c r="AZ55" s="115">
        <f t="shared" si="190"/>
        <v>-3.1822372615856791E-2</v>
      </c>
      <c r="BA55" s="116">
        <f t="shared" si="190"/>
        <v>-2.9758830827562345E-2</v>
      </c>
    </row>
    <row r="56" spans="1:53" s="121" customFormat="1" x14ac:dyDescent="0.2">
      <c r="A56" s="105"/>
      <c r="B56" s="119"/>
      <c r="C56" s="120"/>
      <c r="D56" s="170"/>
      <c r="E56" s="171"/>
      <c r="F56" s="170"/>
      <c r="G56" s="171"/>
      <c r="H56" s="172"/>
      <c r="I56" s="170"/>
      <c r="J56" s="170"/>
      <c r="K56" s="170"/>
      <c r="L56" s="171"/>
      <c r="M56" s="172"/>
      <c r="N56" s="170"/>
      <c r="O56" s="109"/>
      <c r="P56" s="109"/>
      <c r="Q56" s="186"/>
      <c r="R56" s="172"/>
      <c r="S56" s="171"/>
      <c r="T56" s="171"/>
      <c r="U56" s="171"/>
      <c r="V56" s="171"/>
      <c r="W56" s="172"/>
      <c r="X56" s="171"/>
      <c r="Y56" s="170"/>
      <c r="Z56" s="170"/>
      <c r="AA56" s="171"/>
      <c r="AB56" s="172"/>
      <c r="AC56" s="171"/>
      <c r="AD56" s="170"/>
      <c r="AE56" s="170"/>
      <c r="AF56" s="171"/>
      <c r="AG56" s="172"/>
      <c r="AH56" s="173"/>
      <c r="AI56" s="173"/>
      <c r="AJ56" s="173"/>
      <c r="AK56" s="171"/>
      <c r="AL56" s="290"/>
      <c r="AM56" s="173"/>
      <c r="AN56" s="173"/>
      <c r="AO56" s="173"/>
      <c r="AP56" s="171"/>
      <c r="AQ56" s="290"/>
      <c r="AR56" s="173"/>
      <c r="AS56" s="173"/>
      <c r="AT56" s="173"/>
      <c r="AV56" s="290"/>
      <c r="AW56" s="173"/>
      <c r="AX56" s="173"/>
      <c r="AY56" s="173"/>
      <c r="BA56" s="290"/>
    </row>
    <row r="57" spans="1:53" hidden="1" outlineLevel="1" x14ac:dyDescent="0.2">
      <c r="A57" s="28"/>
      <c r="B57" s="138"/>
      <c r="C57" s="126" t="s">
        <v>103</v>
      </c>
      <c r="D57" s="108"/>
      <c r="E57" s="109"/>
      <c r="F57" s="108"/>
      <c r="G57" s="108"/>
      <c r="H57" s="110"/>
      <c r="I57" s="108"/>
      <c r="J57" s="108"/>
      <c r="K57" s="108"/>
      <c r="L57" s="108"/>
      <c r="M57" s="110"/>
      <c r="N57" s="108"/>
      <c r="R57" s="110"/>
      <c r="S57" s="109">
        <v>0</v>
      </c>
      <c r="T57" s="109">
        <v>-3905</v>
      </c>
      <c r="U57" s="109">
        <v>-11819</v>
      </c>
      <c r="V57" s="109">
        <v>-11807</v>
      </c>
      <c r="W57" s="110">
        <f>SUM(S57:V57)</f>
        <v>-27531</v>
      </c>
      <c r="X57" s="109">
        <v>-556</v>
      </c>
      <c r="Y57" s="108">
        <v>-1399</v>
      </c>
      <c r="Z57" s="108">
        <v>-1407</v>
      </c>
      <c r="AA57" s="179">
        <v>-1415</v>
      </c>
      <c r="AB57" s="110">
        <f>SUM(X57:AA57)</f>
        <v>-4777</v>
      </c>
      <c r="AC57" s="109">
        <v>-1712</v>
      </c>
      <c r="AD57" s="179">
        <v>-1771</v>
      </c>
      <c r="AE57" s="179">
        <v>-1734</v>
      </c>
      <c r="AF57" s="179">
        <v>-1747</v>
      </c>
      <c r="AG57" s="110">
        <f>SUM(AC57:AF57)</f>
        <v>-6964</v>
      </c>
      <c r="AH57" s="179">
        <v>-1761</v>
      </c>
      <c r="AI57" s="179">
        <v>-1762</v>
      </c>
      <c r="AJ57" s="109">
        <v>-1651</v>
      </c>
      <c r="AK57" s="179">
        <v>-1064</v>
      </c>
      <c r="AL57" s="110">
        <f>SUM(AH57:AK57)</f>
        <v>-6238</v>
      </c>
      <c r="AM57" s="179">
        <v>-894</v>
      </c>
      <c r="AN57" s="179">
        <v>-1001</v>
      </c>
      <c r="AO57" s="109">
        <v>-1384</v>
      </c>
      <c r="AP57" s="179">
        <v>-1459</v>
      </c>
      <c r="AQ57" s="110">
        <f>SUM(AM57:AP57)</f>
        <v>-4738</v>
      </c>
      <c r="AR57" s="179">
        <v>-1610</v>
      </c>
      <c r="AS57" s="179">
        <v>-1625</v>
      </c>
      <c r="AT57" s="175">
        <v>-1600</v>
      </c>
      <c r="AU57" s="175">
        <v>-1600</v>
      </c>
      <c r="AV57" s="110">
        <f>SUM(AR57:AU57)</f>
        <v>-6435</v>
      </c>
      <c r="AW57" s="175">
        <v>-1600</v>
      </c>
      <c r="AX57" s="175">
        <v>-1600</v>
      </c>
      <c r="AY57" s="175">
        <v>-1600</v>
      </c>
      <c r="AZ57" s="175">
        <v>-1600</v>
      </c>
      <c r="BA57" s="110">
        <f>SUM(AW57:AZ57)</f>
        <v>-6400</v>
      </c>
    </row>
    <row r="58" spans="1:53" hidden="1" outlineLevel="1" x14ac:dyDescent="0.2">
      <c r="A58" s="28"/>
      <c r="B58" s="138"/>
      <c r="C58" s="126" t="s">
        <v>461</v>
      </c>
      <c r="D58" s="179">
        <f>D59-D57</f>
        <v>-37.620950000000008</v>
      </c>
      <c r="E58" s="179">
        <f>E59-E57</f>
        <v>70.246000000000009</v>
      </c>
      <c r="F58" s="179">
        <f>F59-F57</f>
        <v>273.88174000000004</v>
      </c>
      <c r="G58" s="179">
        <f>G59-G57</f>
        <v>324.35540000000003</v>
      </c>
      <c r="H58" s="110">
        <f>SUM(D58:G58)</f>
        <v>630.86219000000006</v>
      </c>
      <c r="I58" s="179">
        <f>I59-I57</f>
        <v>316.61560000000003</v>
      </c>
      <c r="J58" s="179">
        <f>J59-J57</f>
        <v>392.91079999999999</v>
      </c>
      <c r="K58" s="179">
        <f>K59-K57</f>
        <v>901.24214000000006</v>
      </c>
      <c r="L58" s="179">
        <f>L59-L57</f>
        <v>721.96713</v>
      </c>
      <c r="M58" s="110">
        <f>SUM(I58:L58)</f>
        <v>2332.73567</v>
      </c>
      <c r="N58" s="179">
        <f>N59-N57</f>
        <v>804.74401999999998</v>
      </c>
      <c r="O58" s="179">
        <f>O59-O57</f>
        <v>912</v>
      </c>
      <c r="P58" s="179">
        <f>P59-P57</f>
        <v>1397</v>
      </c>
      <c r="Q58" s="179">
        <f>Q59-Q57</f>
        <v>764</v>
      </c>
      <c r="R58" s="110">
        <f>SUM(N58:Q58)</f>
        <v>3877.7440200000001</v>
      </c>
      <c r="S58" s="179">
        <f>S59-S57</f>
        <v>830</v>
      </c>
      <c r="T58" s="179">
        <f>T59-T57</f>
        <v>564</v>
      </c>
      <c r="U58" s="179">
        <f>U59-U57</f>
        <v>387</v>
      </c>
      <c r="V58" s="179">
        <f>V59-V57</f>
        <v>380</v>
      </c>
      <c r="W58" s="110">
        <f>SUM(S58:V58)</f>
        <v>2161</v>
      </c>
      <c r="X58" s="179">
        <f>X59-X57</f>
        <v>-2919</v>
      </c>
      <c r="Y58" s="179">
        <f>Y59-Y57</f>
        <v>-3601</v>
      </c>
      <c r="Z58" s="179">
        <f>Z59-Z57</f>
        <v>-3009</v>
      </c>
      <c r="AA58" s="179">
        <f>AA59-AA57</f>
        <v>445</v>
      </c>
      <c r="AB58" s="110">
        <f>SUM(X58:AA58)</f>
        <v>-9084</v>
      </c>
      <c r="AC58" s="179">
        <f>AC59-AC57</f>
        <v>7659</v>
      </c>
      <c r="AD58" s="179">
        <f>AD59-AD57</f>
        <v>18793</v>
      </c>
      <c r="AE58" s="179">
        <f>AE59-AE57</f>
        <v>25356</v>
      </c>
      <c r="AF58" s="179">
        <f>AF59-AF57</f>
        <v>28011</v>
      </c>
      <c r="AG58" s="110">
        <f>SUM(AC58:AF58)</f>
        <v>79819</v>
      </c>
      <c r="AH58" s="179">
        <f>AH59-AH57</f>
        <v>31069</v>
      </c>
      <c r="AI58" s="179">
        <f>AI59-AI57</f>
        <v>30681</v>
      </c>
      <c r="AJ58" s="179">
        <f>AJ59-AJ57</f>
        <v>61452</v>
      </c>
      <c r="AK58" s="179">
        <f>AK59-AK57</f>
        <v>30883</v>
      </c>
      <c r="AL58" s="110">
        <f>SUM(AH58:AK58)</f>
        <v>154085</v>
      </c>
      <c r="AM58" s="179">
        <f>AM59-AM57</f>
        <v>18772</v>
      </c>
      <c r="AN58" s="179">
        <f>AN59-AN57</f>
        <v>56304</v>
      </c>
      <c r="AO58" s="179">
        <f>AO59-AO57</f>
        <v>20034</v>
      </c>
      <c r="AP58" s="179">
        <f>AP59-AP57</f>
        <v>20639</v>
      </c>
      <c r="AQ58" s="110">
        <f>SUM(AM58:AP58)</f>
        <v>115749</v>
      </c>
      <c r="AR58" s="179">
        <f>AR59-AR57</f>
        <v>19516</v>
      </c>
      <c r="AS58" s="179">
        <f>AS59-AS57</f>
        <v>17635</v>
      </c>
      <c r="AT58" s="175">
        <v>16200</v>
      </c>
      <c r="AU58" s="175">
        <v>16000</v>
      </c>
      <c r="AV58" s="110">
        <f>SUM(AR58:AU58)</f>
        <v>69351</v>
      </c>
      <c r="AW58" s="175">
        <v>15000</v>
      </c>
      <c r="AX58" s="175">
        <v>15000</v>
      </c>
      <c r="AY58" s="175">
        <v>15000</v>
      </c>
      <c r="AZ58" s="175">
        <v>15000</v>
      </c>
      <c r="BA58" s="110">
        <f>SUM(AW58:AZ58)</f>
        <v>60000</v>
      </c>
    </row>
    <row r="59" spans="1:53" collapsed="1" x14ac:dyDescent="0.2">
      <c r="A59" s="801"/>
      <c r="B59" s="802" t="s">
        <v>460</v>
      </c>
      <c r="C59" s="178"/>
      <c r="D59" s="4">
        <v>-37.620950000000008</v>
      </c>
      <c r="E59" s="111">
        <v>70.246000000000009</v>
      </c>
      <c r="F59" s="111">
        <v>273.88174000000004</v>
      </c>
      <c r="G59" s="111">
        <v>324.35540000000003</v>
      </c>
      <c r="H59" s="311">
        <f>SUM(D59:G59)</f>
        <v>630.86219000000006</v>
      </c>
      <c r="I59" s="4">
        <v>316.61560000000003</v>
      </c>
      <c r="J59" s="111">
        <v>392.91079999999999</v>
      </c>
      <c r="K59" s="111">
        <v>901.24214000000006</v>
      </c>
      <c r="L59" s="111">
        <v>721.96713</v>
      </c>
      <c r="M59" s="311">
        <f>SUM(I59:L59)</f>
        <v>2332.73567</v>
      </c>
      <c r="N59" s="111">
        <v>804.74401999999998</v>
      </c>
      <c r="O59" s="111">
        <v>912</v>
      </c>
      <c r="P59" s="111">
        <v>1397</v>
      </c>
      <c r="Q59" s="111">
        <v>764</v>
      </c>
      <c r="R59" s="311">
        <f>SUM(N59:Q59)</f>
        <v>3877.7440200000001</v>
      </c>
      <c r="S59" s="111">
        <v>830</v>
      </c>
      <c r="T59" s="111">
        <v>-3341</v>
      </c>
      <c r="U59" s="111">
        <v>-11432</v>
      </c>
      <c r="V59" s="111">
        <v>-11427</v>
      </c>
      <c r="W59" s="311">
        <f>SUM(S59:V59)</f>
        <v>-25370</v>
      </c>
      <c r="X59" s="111">
        <v>-3475</v>
      </c>
      <c r="Y59" s="111">
        <v>-5000</v>
      </c>
      <c r="Z59" s="4">
        <v>-4416</v>
      </c>
      <c r="AA59" s="111">
        <v>-970</v>
      </c>
      <c r="AB59" s="311">
        <f>SUM(X59:AA59)</f>
        <v>-13861</v>
      </c>
      <c r="AC59" s="111">
        <v>5947</v>
      </c>
      <c r="AD59" s="111">
        <v>17022</v>
      </c>
      <c r="AE59" s="111">
        <v>23622</v>
      </c>
      <c r="AF59" s="111">
        <v>26264</v>
      </c>
      <c r="AG59" s="311">
        <f>SUM(AC59:AF59)</f>
        <v>72855</v>
      </c>
      <c r="AH59" s="111">
        <v>29308</v>
      </c>
      <c r="AI59" s="111">
        <v>28919</v>
      </c>
      <c r="AJ59" s="111">
        <v>59801</v>
      </c>
      <c r="AK59" s="111">
        <v>29819</v>
      </c>
      <c r="AL59" s="311">
        <f>SUM(AH59:AK59)</f>
        <v>147847</v>
      </c>
      <c r="AM59" s="111">
        <v>17878</v>
      </c>
      <c r="AN59" s="111">
        <v>55303</v>
      </c>
      <c r="AO59" s="111">
        <v>18650</v>
      </c>
      <c r="AP59" s="111">
        <v>19180</v>
      </c>
      <c r="AQ59" s="311">
        <f>SUM(AM59:AP59)</f>
        <v>111011</v>
      </c>
      <c r="AR59" s="111">
        <v>17906</v>
      </c>
      <c r="AS59" s="111">
        <v>16010</v>
      </c>
      <c r="AT59" s="111">
        <f t="shared" ref="AT59:BA59" si="191">+AT58+AT57</f>
        <v>14600</v>
      </c>
      <c r="AU59" s="111">
        <f t="shared" si="191"/>
        <v>14400</v>
      </c>
      <c r="AV59" s="311">
        <f t="shared" si="191"/>
        <v>62916</v>
      </c>
      <c r="AW59" s="111">
        <f t="shared" si="191"/>
        <v>13400</v>
      </c>
      <c r="AX59" s="111">
        <f t="shared" si="191"/>
        <v>13400</v>
      </c>
      <c r="AY59" s="111">
        <f t="shared" si="191"/>
        <v>13400</v>
      </c>
      <c r="AZ59" s="111">
        <f t="shared" si="191"/>
        <v>13400</v>
      </c>
      <c r="BA59" s="311">
        <f t="shared" si="191"/>
        <v>53600</v>
      </c>
    </row>
    <row r="60" spans="1:53" hidden="1" outlineLevel="1" x14ac:dyDescent="0.2">
      <c r="A60" s="28"/>
      <c r="B60" s="138"/>
      <c r="C60" s="126" t="s">
        <v>515</v>
      </c>
      <c r="D60" s="108"/>
      <c r="E60" s="109"/>
      <c r="F60" s="108"/>
      <c r="G60" s="108"/>
      <c r="H60" s="110"/>
      <c r="I60" s="108"/>
      <c r="J60" s="108"/>
      <c r="K60" s="108"/>
      <c r="L60" s="108"/>
      <c r="M60" s="110"/>
      <c r="N60" s="108"/>
      <c r="O60" s="109"/>
      <c r="P60" s="109"/>
      <c r="Q60" s="108"/>
      <c r="R60" s="110"/>
      <c r="S60" s="109"/>
      <c r="T60" s="109"/>
      <c r="U60" s="109"/>
      <c r="V60" s="109"/>
      <c r="W60" s="110"/>
      <c r="X60" s="109"/>
      <c r="Y60" s="108"/>
      <c r="Z60" s="108"/>
      <c r="AA60" s="179">
        <v>-566</v>
      </c>
      <c r="AB60" s="110">
        <f>SUM(X60:AA60)</f>
        <v>-566</v>
      </c>
      <c r="AC60" s="109"/>
      <c r="AD60" s="175"/>
      <c r="AE60" s="175"/>
      <c r="AF60" s="175"/>
      <c r="AG60" s="110"/>
      <c r="AH60" s="175"/>
      <c r="AI60" s="179"/>
      <c r="AJ60" s="109">
        <v>-34297</v>
      </c>
      <c r="AK60" s="179">
        <v>-10974</v>
      </c>
      <c r="AL60" s="110">
        <f>SUM(AH60:AK60)</f>
        <v>-45271</v>
      </c>
      <c r="AM60" s="179">
        <v>-78</v>
      </c>
      <c r="AN60" s="179">
        <v>-40472</v>
      </c>
      <c r="AO60" s="109">
        <v>0</v>
      </c>
      <c r="AP60" s="179">
        <v>0</v>
      </c>
      <c r="AQ60" s="110">
        <f>SUM(AM60:AP60)</f>
        <v>-40550</v>
      </c>
      <c r="AR60" s="179"/>
      <c r="AS60" s="179"/>
      <c r="AT60" s="175"/>
      <c r="AU60" s="175"/>
      <c r="AV60" s="110">
        <f>SUM(AR60:AU60)</f>
        <v>0</v>
      </c>
      <c r="AW60" s="175"/>
      <c r="AX60" s="175"/>
      <c r="AY60" s="175"/>
      <c r="AZ60" s="175"/>
      <c r="BA60" s="110">
        <f>SUM(AW60:AZ60)</f>
        <v>0</v>
      </c>
    </row>
    <row r="61" spans="1:53" collapsed="1" x14ac:dyDescent="0.2">
      <c r="A61" s="28"/>
      <c r="B61" s="119" t="s">
        <v>516</v>
      </c>
      <c r="C61" s="120"/>
      <c r="D61" s="142">
        <f t="shared" ref="D61" si="192">SUM(D58,D60)</f>
        <v>-37.620950000000008</v>
      </c>
      <c r="E61" s="142">
        <f>SUM(E58,E60)</f>
        <v>70.246000000000009</v>
      </c>
      <c r="F61" s="142">
        <f t="shared" ref="F61" si="193">SUM(F58,F60)</f>
        <v>273.88174000000004</v>
      </c>
      <c r="G61" s="142">
        <f>SUM(G58,G60)</f>
        <v>324.35540000000003</v>
      </c>
      <c r="H61" s="110">
        <f>SUM(D61:G61)</f>
        <v>630.86219000000006</v>
      </c>
      <c r="I61" s="142">
        <f t="shared" ref="I61" si="194">SUM(I58,I60)</f>
        <v>316.61560000000003</v>
      </c>
      <c r="J61" s="142">
        <f>SUM(J58,J60)</f>
        <v>392.91079999999999</v>
      </c>
      <c r="K61" s="142">
        <f t="shared" ref="K61" si="195">SUM(K58,K60)</f>
        <v>901.24214000000006</v>
      </c>
      <c r="L61" s="142">
        <f>SUM(L58,L60)</f>
        <v>721.96713</v>
      </c>
      <c r="M61" s="110">
        <f>SUM(I61:L61)</f>
        <v>2332.73567</v>
      </c>
      <c r="N61" s="142">
        <f t="shared" ref="N61" si="196">SUM(N58,N60)</f>
        <v>804.74401999999998</v>
      </c>
      <c r="O61" s="142">
        <f>SUM(O58,O60)</f>
        <v>912</v>
      </c>
      <c r="P61" s="142">
        <f t="shared" ref="P61" si="197">SUM(P58,P60)</f>
        <v>1397</v>
      </c>
      <c r="Q61" s="142">
        <f>SUM(Q58,Q60)</f>
        <v>764</v>
      </c>
      <c r="R61" s="110">
        <f>SUM(N61:Q61)</f>
        <v>3877.7440200000001</v>
      </c>
      <c r="S61" s="142">
        <f t="shared" ref="S61" si="198">SUM(S58,S60)</f>
        <v>830</v>
      </c>
      <c r="T61" s="142">
        <f>SUM(T58,T60)</f>
        <v>564</v>
      </c>
      <c r="U61" s="142">
        <f t="shared" ref="U61" si="199">SUM(U58,U60)</f>
        <v>387</v>
      </c>
      <c r="V61" s="142">
        <f>SUM(V58,V60)</f>
        <v>380</v>
      </c>
      <c r="W61" s="110">
        <f>SUM(S61:V61)</f>
        <v>2161</v>
      </c>
      <c r="X61" s="142">
        <f t="shared" ref="X61" si="200">SUM(X58,X60)</f>
        <v>-2919</v>
      </c>
      <c r="Y61" s="142">
        <f>SUM(Y58,Y60)</f>
        <v>-3601</v>
      </c>
      <c r="Z61" s="142">
        <f t="shared" ref="Z61" si="201">SUM(Z58,Z60)</f>
        <v>-3009</v>
      </c>
      <c r="AA61" s="142">
        <f>SUM(AA58,AA60)</f>
        <v>-121</v>
      </c>
      <c r="AB61" s="110">
        <f>SUM(X61:AA61)</f>
        <v>-9650</v>
      </c>
      <c r="AC61" s="142">
        <f t="shared" ref="AC61" si="202">SUM(AC58,AC60)</f>
        <v>7659</v>
      </c>
      <c r="AD61" s="142">
        <f>SUM(AD58,AD60)</f>
        <v>18793</v>
      </c>
      <c r="AE61" s="142">
        <f t="shared" ref="AE61" si="203">SUM(AE58,AE60)</f>
        <v>25356</v>
      </c>
      <c r="AF61" s="142">
        <f>SUM(AF58,AF60)</f>
        <v>28011</v>
      </c>
      <c r="AG61" s="110">
        <f>SUM(AC61:AF61)</f>
        <v>79819</v>
      </c>
      <c r="AH61" s="142">
        <f t="shared" ref="AH61" si="204">SUM(AH58,AH60)</f>
        <v>31069</v>
      </c>
      <c r="AI61" s="142">
        <f>SUM(AI58,AI60)</f>
        <v>30681</v>
      </c>
      <c r="AJ61" s="142">
        <f t="shared" ref="AJ61" si="205">SUM(AJ58,AJ60)</f>
        <v>27155</v>
      </c>
      <c r="AK61" s="142">
        <f>SUM(AK58,AK60)</f>
        <v>19909</v>
      </c>
      <c r="AL61" s="110">
        <f>SUM(AH61:AK61)</f>
        <v>108814</v>
      </c>
      <c r="AM61" s="142">
        <f t="shared" ref="AM61:AO61" si="206">SUM(AM58,AM60)</f>
        <v>18694</v>
      </c>
      <c r="AN61" s="142">
        <f>SUM(AN58,AN60)</f>
        <v>15832</v>
      </c>
      <c r="AO61" s="142">
        <f t="shared" si="206"/>
        <v>20034</v>
      </c>
      <c r="AP61" s="142">
        <f>SUM(AP58,AP60)</f>
        <v>20639</v>
      </c>
      <c r="AQ61" s="110">
        <f>SUM(AM61:AP61)</f>
        <v>75199</v>
      </c>
      <c r="AR61" s="142">
        <f>SUM(AR58,AR60)</f>
        <v>19516</v>
      </c>
      <c r="AS61" s="142">
        <f>SUM(AS58,AS60)</f>
        <v>17635</v>
      </c>
      <c r="AT61" s="142">
        <f>SUM(AT58,AT60)</f>
        <v>16200</v>
      </c>
      <c r="AU61" s="142">
        <f>SUM(AU58,AU60)</f>
        <v>16000</v>
      </c>
      <c r="AV61" s="110">
        <f>SUM(AR61:AU61)</f>
        <v>69351</v>
      </c>
      <c r="AW61" s="142">
        <f>SUM(AW58,AW60)</f>
        <v>15000</v>
      </c>
      <c r="AX61" s="142">
        <f>SUM(AX58,AX60)</f>
        <v>15000</v>
      </c>
      <c r="AY61" s="142">
        <f>SUM(AY58,AY60)</f>
        <v>15000</v>
      </c>
      <c r="AZ61" s="142">
        <f>SUM(AZ58,AZ60)</f>
        <v>15000</v>
      </c>
      <c r="BA61" s="110">
        <f>SUM(AW61:AZ61)</f>
        <v>60000</v>
      </c>
    </row>
    <row r="62" spans="1:53" x14ac:dyDescent="0.2">
      <c r="A62" s="28"/>
      <c r="B62" s="119"/>
      <c r="C62" s="120"/>
      <c r="D62" s="139"/>
      <c r="E62" s="140"/>
      <c r="F62" s="139"/>
      <c r="G62" s="140"/>
      <c r="H62" s="141"/>
      <c r="I62" s="139"/>
      <c r="J62" s="139"/>
      <c r="K62" s="139"/>
      <c r="L62" s="140"/>
      <c r="M62" s="141"/>
      <c r="N62" s="139"/>
      <c r="O62" s="140"/>
      <c r="P62" s="140"/>
      <c r="Q62" s="140"/>
      <c r="R62" s="141"/>
      <c r="S62" s="140"/>
      <c r="T62" s="140"/>
      <c r="U62" s="140"/>
      <c r="V62" s="142"/>
      <c r="W62" s="141"/>
      <c r="X62" s="139"/>
      <c r="Y62" s="139"/>
      <c r="Z62" s="139"/>
      <c r="AA62" s="109"/>
      <c r="AB62" s="141"/>
      <c r="AC62" s="140"/>
      <c r="AD62" s="139"/>
      <c r="AE62" s="139"/>
      <c r="AF62" s="140"/>
      <c r="AG62" s="141"/>
      <c r="AH62" s="142"/>
      <c r="AI62" s="142"/>
      <c r="AJ62" s="142"/>
      <c r="AK62" s="142"/>
      <c r="AL62" s="110"/>
      <c r="AM62" s="142"/>
      <c r="AN62" s="142"/>
      <c r="AO62" s="142"/>
      <c r="AP62" s="142"/>
      <c r="AQ62" s="110"/>
      <c r="AR62" s="142"/>
      <c r="AS62" s="142"/>
      <c r="AT62" s="142"/>
      <c r="AU62" s="142"/>
      <c r="AV62" s="110"/>
      <c r="AW62" s="142"/>
      <c r="AX62" s="142"/>
      <c r="AY62" s="142"/>
      <c r="AZ62" s="142"/>
      <c r="BA62" s="110"/>
    </row>
    <row r="63" spans="1:53" hidden="1" outlineLevel="1" x14ac:dyDescent="0.2">
      <c r="A63" s="28"/>
      <c r="B63" s="138" t="s">
        <v>108</v>
      </c>
      <c r="C63" s="126"/>
      <c r="D63" s="146">
        <v>-2356.4033099999997</v>
      </c>
      <c r="E63" s="142">
        <v>-1090.8409600000014</v>
      </c>
      <c r="F63" s="146">
        <v>-1204.6229699999967</v>
      </c>
      <c r="G63" s="142">
        <v>-1010.6195399999996</v>
      </c>
      <c r="H63" s="143">
        <f>H76+CF!H8+IS!H73+H52-H58</f>
        <v>-7976.486779999992</v>
      </c>
      <c r="I63" s="146">
        <f>I76+CF!I8+IS!I73+I52-I58</f>
        <v>-774.39889000000403</v>
      </c>
      <c r="J63" s="146">
        <f>J76+CF!J8+IS!J73+J52-J58</f>
        <v>-68.554679999997461</v>
      </c>
      <c r="K63" s="146">
        <f>K76+CF!K8+IS!K73+K52-K58</f>
        <v>-1107.8785999999996</v>
      </c>
      <c r="L63" s="142">
        <f>L76+CF!L8+IS!L73+L52-L58</f>
        <v>-3181.4389499999997</v>
      </c>
      <c r="M63" s="143">
        <f>M76+CF!M8+IS!M73+M52-M58</f>
        <v>-5132.2711200000003</v>
      </c>
      <c r="N63" s="146">
        <f>N76+CF!N8+IS!N73+N52-N58</f>
        <v>-3513.8628599999975</v>
      </c>
      <c r="O63" s="142">
        <f>O76+CF!O8+IS!O73+O52-O58</f>
        <v>-4510</v>
      </c>
      <c r="P63" s="146">
        <f>P76+CF!P8+IS!P73+P52-P58</f>
        <v>-4327</v>
      </c>
      <c r="Q63" s="142">
        <f>Q76+CF!Q8+IS!Q73+Q52-Q58</f>
        <v>-2609</v>
      </c>
      <c r="R63" s="143">
        <f>R76+CF!R8+IS!R73+R52-R58</f>
        <v>-14959.862859999992</v>
      </c>
      <c r="S63" s="142">
        <f>S76+CF!S8+IS!S73+S52-S58</f>
        <v>-2277</v>
      </c>
      <c r="T63" s="142">
        <f>T76+CF!T8+IS!T73+T52-T58</f>
        <v>-5463</v>
      </c>
      <c r="U63" s="142">
        <f>U76+CF!U8+IS!U73+U52-U58</f>
        <v>-13949</v>
      </c>
      <c r="V63" s="142">
        <f>V76+CF!V8+IS!V73+V52-V58</f>
        <v>-18005</v>
      </c>
      <c r="W63" s="143">
        <f>W76+CF!W8+IS!W73+W52-W58</f>
        <v>-39694</v>
      </c>
      <c r="X63" s="146">
        <f>X76+CF!X8+IS!X73+X52-X58</f>
        <v>-9754</v>
      </c>
      <c r="Y63" s="146">
        <f>Y76+CF!Y8+IS!Y73+Y52-Y58</f>
        <v>1983</v>
      </c>
      <c r="Z63" s="146">
        <f>Z76+CF!Z8+IS!Z73+Z52-Z58</f>
        <v>-7085</v>
      </c>
      <c r="AA63" s="142">
        <f>AA76+CF!AA8+IS!AA73+AA52-AA58</f>
        <v>-4584</v>
      </c>
      <c r="AB63" s="143">
        <f>AB76+CF!AB8+IS!AB73+AB52-AB58</f>
        <v>-19440</v>
      </c>
      <c r="AC63" s="142">
        <f>AC76+CF!AC8+IS!AC73+AC52-AC58</f>
        <v>7433</v>
      </c>
      <c r="AD63" s="146">
        <f>AD76+CF!AD8+IS!AD73+AD52-AD58</f>
        <v>28981</v>
      </c>
      <c r="AE63" s="146">
        <f>AE76+CF!AE8+IS!AE73+AE52-AE58</f>
        <v>33107</v>
      </c>
      <c r="AF63" s="142">
        <f>AF76+CF!AF8+IS!AF73+AF52-AF58</f>
        <v>40601</v>
      </c>
      <c r="AG63" s="143">
        <f>AG76+CF!AG8+IS!AG73+AG52-AG58</f>
        <v>110122</v>
      </c>
      <c r="AH63" s="142">
        <f>AH76+CF!AH8+IS!AH73+AH52-AH58</f>
        <v>31612</v>
      </c>
      <c r="AI63" s="146">
        <f>AI76+CF!AI8+IS!AI73+AI52-AI58</f>
        <v>42541</v>
      </c>
      <c r="AJ63" s="142">
        <f>AJ76+CF!AJ8+IS!AJ73+AJ52-AJ58</f>
        <v>56882</v>
      </c>
      <c r="AK63" s="142">
        <f>AK76+CF!AK8+IS!AK73+AK52-AK58</f>
        <v>58907</v>
      </c>
      <c r="AL63" s="143">
        <f>AL76+CF!AL8+IS!AL73+AL52-AL58</f>
        <v>189942</v>
      </c>
      <c r="AM63" s="142">
        <f>AM76+CF!AM8+IS!AM73+AM52-AM58</f>
        <v>66194</v>
      </c>
      <c r="AN63" s="146">
        <f>AN76+CF!AN8+IS!AN73+AN52-AN58</f>
        <v>61805</v>
      </c>
      <c r="AO63" s="142">
        <f>AO76+CF!AO8+IS!AO73+AO52-AO58</f>
        <v>51915</v>
      </c>
      <c r="AP63" s="142">
        <f>AP76+CF!AP8+IS!AP73+AP52-AP58</f>
        <v>54893</v>
      </c>
      <c r="AQ63" s="143">
        <f>AQ76+CF!AQ8+IS!AQ73+AQ52-AQ58</f>
        <v>234807</v>
      </c>
      <c r="AR63" s="142">
        <f>AR76+CF!AR8+IS!AR73+AR52-AR58</f>
        <v>66626</v>
      </c>
      <c r="AS63" s="146">
        <f>AS76+CF!AS8+IS!AS73+AS52-AS58</f>
        <v>72460</v>
      </c>
      <c r="AT63" s="146">
        <f>AT76+CF!AT8+IS!AT73+AT52-AT58</f>
        <v>63461.740706739074</v>
      </c>
      <c r="AU63" s="142">
        <f>AU76+CF!AU8+IS!AU73+AU52-AU58</f>
        <v>71603.047822630557</v>
      </c>
      <c r="AV63" s="143">
        <f>AV76+CF!AV8+IS!AV73+AV52-AV58</f>
        <v>274150.78852936951</v>
      </c>
      <c r="AW63" s="142">
        <f>AW76+CF!AW8+IS!AW73+AW52-AW58</f>
        <v>73947.046706953493</v>
      </c>
      <c r="AX63" s="146">
        <f>AX76+CF!AX8+IS!AX73+AX52-AX58</f>
        <v>79879.060528666596</v>
      </c>
      <c r="AY63" s="146">
        <f>AY76+CF!AY8+IS!AY73+AY52-AY58</f>
        <v>74375.452182494919</v>
      </c>
      <c r="AZ63" s="142">
        <f>AZ76+CF!AZ8+IS!AZ73+AZ52-AZ58</f>
        <v>80029.351284268312</v>
      </c>
      <c r="BA63" s="143">
        <f>BA76+CF!BA8+IS!BA73+BA52-BA58</f>
        <v>308230.91070238315</v>
      </c>
    </row>
    <row r="64" spans="1:53" s="160" customFormat="1" ht="13.35" hidden="1" customHeight="1" outlineLevel="1" x14ac:dyDescent="0.2">
      <c r="A64" s="123"/>
      <c r="B64" s="124"/>
      <c r="C64" s="187" t="s">
        <v>109</v>
      </c>
      <c r="D64" s="5">
        <f t="shared" ref="D64:AI64" si="207">D63/D17</f>
        <v>-0.1798420164441038</v>
      </c>
      <c r="E64" s="117">
        <f t="shared" si="207"/>
        <v>-7.1940412872356141E-2</v>
      </c>
      <c r="F64" s="5">
        <f t="shared" si="207"/>
        <v>-7.0455244996877192E-2</v>
      </c>
      <c r="G64" s="117">
        <f t="shared" si="207"/>
        <v>-5.1824851770854233E-2</v>
      </c>
      <c r="H64" s="188">
        <f t="shared" si="207"/>
        <v>-0.12297223855773258</v>
      </c>
      <c r="I64" s="5">
        <f t="shared" si="207"/>
        <v>-3.4534178338439844E-2</v>
      </c>
      <c r="J64" s="5">
        <f t="shared" si="207"/>
        <v>-2.6368553599694275E-3</v>
      </c>
      <c r="K64" s="5">
        <f t="shared" si="207"/>
        <v>-3.922570955956961E-2</v>
      </c>
      <c r="L64" s="117">
        <f t="shared" si="207"/>
        <v>-0.10041049297875645</v>
      </c>
      <c r="M64" s="188">
        <f t="shared" si="207"/>
        <v>-4.7367176492723005E-2</v>
      </c>
      <c r="N64" s="5">
        <f t="shared" si="207"/>
        <v>-9.9883878270965648E-2</v>
      </c>
      <c r="O64" s="117">
        <f t="shared" si="207"/>
        <v>-0.1154042988741044</v>
      </c>
      <c r="P64" s="5">
        <f t="shared" si="207"/>
        <v>-0.10494785350472957</v>
      </c>
      <c r="Q64" s="117">
        <f t="shared" si="207"/>
        <v>-6.1956779862265492E-2</v>
      </c>
      <c r="R64" s="188">
        <f t="shared" si="207"/>
        <v>-9.4923301117940534E-2</v>
      </c>
      <c r="S64" s="117">
        <f t="shared" si="207"/>
        <v>-4.9276115042524181E-2</v>
      </c>
      <c r="T64" s="117">
        <f t="shared" si="207"/>
        <v>-0.10108243130724397</v>
      </c>
      <c r="U64" s="117">
        <f t="shared" si="207"/>
        <v>-0.23350296293816331</v>
      </c>
      <c r="V64" s="117">
        <f t="shared" si="207"/>
        <v>-0.23002823451253945</v>
      </c>
      <c r="W64" s="188">
        <f t="shared" si="207"/>
        <v>-0.16659601703985058</v>
      </c>
      <c r="X64" s="117">
        <f t="shared" si="207"/>
        <v>-8.2417257433522892E-2</v>
      </c>
      <c r="Y64" s="5">
        <f t="shared" si="207"/>
        <v>1.2672707984509004E-2</v>
      </c>
      <c r="Z64" s="5">
        <f t="shared" si="207"/>
        <v>-4.2447771566882952E-2</v>
      </c>
      <c r="AA64" s="117">
        <f t="shared" si="207"/>
        <v>-2.2894701355002722E-2</v>
      </c>
      <c r="AB64" s="188">
        <f t="shared" si="207"/>
        <v>-3.0282307748625691E-2</v>
      </c>
      <c r="AC64" s="117">
        <f t="shared" si="207"/>
        <v>3.2328073624328039E-2</v>
      </c>
      <c r="AD64" s="5">
        <f t="shared" si="207"/>
        <v>0.111462812396637</v>
      </c>
      <c r="AE64" s="5">
        <f t="shared" si="207"/>
        <v>0.12146906129038176</v>
      </c>
      <c r="AF64" s="117">
        <f t="shared" si="207"/>
        <v>0.13717341874364405</v>
      </c>
      <c r="AG64" s="188">
        <f t="shared" si="207"/>
        <v>0.10403904511048043</v>
      </c>
      <c r="AH64" s="5">
        <f t="shared" si="207"/>
        <v>0.1036509992294703</v>
      </c>
      <c r="AI64" s="5">
        <f t="shared" si="207"/>
        <v>0.13356881583698332</v>
      </c>
      <c r="AJ64" s="117">
        <f t="shared" ref="AJ64:BA64" si="208">AJ63/AJ17</f>
        <v>0.17608999839023243</v>
      </c>
      <c r="AK64" s="117">
        <f t="shared" si="208"/>
        <v>0.17140820275559046</v>
      </c>
      <c r="AL64" s="188">
        <f t="shared" si="208"/>
        <v>0.14722211672388122</v>
      </c>
      <c r="AM64" s="5">
        <f t="shared" si="208"/>
        <v>0.18466731761751987</v>
      </c>
      <c r="AN64" s="5">
        <f t="shared" si="208"/>
        <v>0.1704711574000011</v>
      </c>
      <c r="AO64" s="117">
        <f t="shared" si="208"/>
        <v>0.14492612020088383</v>
      </c>
      <c r="AP64" s="117">
        <f t="shared" si="208"/>
        <v>0.14319327818776101</v>
      </c>
      <c r="AQ64" s="188">
        <f t="shared" si="208"/>
        <v>0.16054411070923102</v>
      </c>
      <c r="AR64" s="5">
        <f t="shared" si="208"/>
        <v>0.16835758741196893</v>
      </c>
      <c r="AS64" s="5">
        <f t="shared" si="208"/>
        <v>0.17474093920240383</v>
      </c>
      <c r="AT64" s="5">
        <f t="shared" si="208"/>
        <v>0.15752838784832518</v>
      </c>
      <c r="AU64" s="117">
        <f t="shared" si="208"/>
        <v>0.16657775061141972</v>
      </c>
      <c r="AV64" s="188">
        <f t="shared" si="208"/>
        <v>0.16684783095210706</v>
      </c>
      <c r="AW64" s="117">
        <f t="shared" si="208"/>
        <v>0.16835723682134787</v>
      </c>
      <c r="AX64" s="5">
        <f t="shared" si="208"/>
        <v>0.17548498647208591</v>
      </c>
      <c r="AY64" s="5">
        <f t="shared" si="208"/>
        <v>0.16544095570039524</v>
      </c>
      <c r="AZ64" s="117">
        <f t="shared" si="208"/>
        <v>0.16568746601870746</v>
      </c>
      <c r="BA64" s="188">
        <f t="shared" si="208"/>
        <v>0.1687096776112407</v>
      </c>
    </row>
    <row r="65" spans="1:53" ht="9.75" customHeight="1" collapsed="1" x14ac:dyDescent="0.2">
      <c r="A65" s="28"/>
      <c r="B65" s="138"/>
      <c r="C65" s="126"/>
      <c r="D65" s="139"/>
      <c r="E65" s="140"/>
      <c r="F65" s="139"/>
      <c r="G65" s="140"/>
      <c r="H65" s="141"/>
      <c r="I65" s="139"/>
      <c r="J65" s="139"/>
      <c r="K65" s="139"/>
      <c r="L65" s="140"/>
      <c r="M65" s="141"/>
      <c r="N65" s="139"/>
      <c r="O65" s="140"/>
      <c r="P65" s="139"/>
      <c r="Q65" s="140"/>
      <c r="R65" s="141"/>
      <c r="S65" s="140"/>
      <c r="T65" s="140"/>
      <c r="U65" s="140"/>
      <c r="V65" s="140">
        <f>+V66+5818</f>
        <v>0</v>
      </c>
      <c r="W65" s="141"/>
      <c r="X65" s="140"/>
      <c r="Y65" s="139"/>
      <c r="Z65" s="139"/>
      <c r="AA65" s="140"/>
      <c r="AB65" s="141"/>
      <c r="AC65" s="140"/>
      <c r="AD65" s="139"/>
      <c r="AE65" s="139"/>
      <c r="AF65" s="140"/>
      <c r="AG65" s="141"/>
      <c r="AH65" s="140"/>
      <c r="AI65" s="139"/>
      <c r="AJ65" s="140"/>
      <c r="AK65" s="140"/>
      <c r="AL65" s="141"/>
      <c r="AM65" s="140"/>
      <c r="AN65" s="139"/>
      <c r="AO65" s="140"/>
      <c r="AP65" s="140"/>
      <c r="AQ65" s="141"/>
      <c r="AR65" s="140"/>
      <c r="AS65" s="139"/>
      <c r="AT65" s="139"/>
      <c r="AU65" s="140"/>
      <c r="AV65" s="141"/>
      <c r="AW65" s="140"/>
      <c r="AX65" s="139"/>
      <c r="AY65" s="139"/>
      <c r="AZ65" s="140"/>
      <c r="BA65" s="141"/>
    </row>
    <row r="66" spans="1:53" x14ac:dyDescent="0.2">
      <c r="A66" s="28"/>
      <c r="B66" s="138" t="s">
        <v>110</v>
      </c>
      <c r="C66" s="126"/>
      <c r="D66" s="146">
        <f t="shared" ref="D66:R66" si="209">D42+D59</f>
        <v>-2915.0242599999997</v>
      </c>
      <c r="E66" s="142">
        <f t="shared" si="209"/>
        <v>-1533.5949600000013</v>
      </c>
      <c r="F66" s="146">
        <f t="shared" si="209"/>
        <v>-1516.7412299999967</v>
      </c>
      <c r="G66" s="142">
        <f t="shared" si="209"/>
        <v>-1380.2641399999998</v>
      </c>
      <c r="H66" s="143">
        <f t="shared" si="209"/>
        <v>-7345.6245899999922</v>
      </c>
      <c r="I66" s="146">
        <f t="shared" si="209"/>
        <v>-457.783290000004</v>
      </c>
      <c r="J66" s="146">
        <f t="shared" si="209"/>
        <v>324.35612000000253</v>
      </c>
      <c r="K66" s="146">
        <f t="shared" si="209"/>
        <v>-206.63645999999994</v>
      </c>
      <c r="L66" s="142">
        <f t="shared" si="209"/>
        <v>-2459.4718199999998</v>
      </c>
      <c r="M66" s="143">
        <f t="shared" si="209"/>
        <v>-2799.5354499999903</v>
      </c>
      <c r="N66" s="146">
        <f t="shared" si="209"/>
        <v>-2709.1188399999974</v>
      </c>
      <c r="O66" s="142">
        <f t="shared" si="209"/>
        <v>-3598</v>
      </c>
      <c r="P66" s="142">
        <f t="shared" si="209"/>
        <v>-2930</v>
      </c>
      <c r="Q66" s="142">
        <f t="shared" si="209"/>
        <v>-1845</v>
      </c>
      <c r="R66" s="143">
        <f t="shared" si="209"/>
        <v>-11082.118839999994</v>
      </c>
      <c r="S66" s="146">
        <f t="shared" ref="S66:BA66" si="210">S42+S61</f>
        <v>-1447</v>
      </c>
      <c r="T66" s="146">
        <f t="shared" si="210"/>
        <v>-994</v>
      </c>
      <c r="U66" s="146">
        <f t="shared" si="210"/>
        <v>-1743</v>
      </c>
      <c r="V66" s="146">
        <f t="shared" si="210"/>
        <v>-5818</v>
      </c>
      <c r="W66" s="143">
        <f t="shared" si="210"/>
        <v>-10002</v>
      </c>
      <c r="X66" s="146">
        <f t="shared" si="210"/>
        <v>-12117</v>
      </c>
      <c r="Y66" s="146">
        <f t="shared" si="210"/>
        <v>-219</v>
      </c>
      <c r="Z66" s="146">
        <f t="shared" si="210"/>
        <v>-8687</v>
      </c>
      <c r="AA66" s="146">
        <f t="shared" si="210"/>
        <v>-3290</v>
      </c>
      <c r="AB66" s="143">
        <f t="shared" si="210"/>
        <v>-24313</v>
      </c>
      <c r="AC66" s="146">
        <f t="shared" si="210"/>
        <v>16804</v>
      </c>
      <c r="AD66" s="146">
        <f t="shared" si="210"/>
        <v>49545</v>
      </c>
      <c r="AE66" s="146">
        <f t="shared" si="210"/>
        <v>60197</v>
      </c>
      <c r="AF66" s="146">
        <f t="shared" si="210"/>
        <v>70359</v>
      </c>
      <c r="AG66" s="143">
        <f t="shared" si="210"/>
        <v>196905</v>
      </c>
      <c r="AH66" s="146">
        <f t="shared" si="210"/>
        <v>64442</v>
      </c>
      <c r="AI66" s="146">
        <f t="shared" si="210"/>
        <v>74984</v>
      </c>
      <c r="AJ66" s="146">
        <f t="shared" si="210"/>
        <v>85688</v>
      </c>
      <c r="AK66" s="146">
        <f t="shared" si="210"/>
        <v>79880</v>
      </c>
      <c r="AL66" s="143">
        <f t="shared" si="210"/>
        <v>304994</v>
      </c>
      <c r="AM66" s="146">
        <f t="shared" si="210"/>
        <v>85782</v>
      </c>
      <c r="AN66" s="146">
        <f t="shared" si="210"/>
        <v>78638</v>
      </c>
      <c r="AO66" s="146">
        <f t="shared" si="210"/>
        <v>73333</v>
      </c>
      <c r="AP66" s="146">
        <f t="shared" si="210"/>
        <v>76991</v>
      </c>
      <c r="AQ66" s="143">
        <f t="shared" si="210"/>
        <v>314744</v>
      </c>
      <c r="AR66" s="146">
        <f t="shared" si="210"/>
        <v>87752</v>
      </c>
      <c r="AS66" s="146">
        <f t="shared" si="210"/>
        <v>91720</v>
      </c>
      <c r="AT66" s="142">
        <f t="shared" si="210"/>
        <v>81261.740706739074</v>
      </c>
      <c r="AU66" s="142">
        <f t="shared" si="210"/>
        <v>89203.047822630557</v>
      </c>
      <c r="AV66" s="143">
        <f t="shared" si="210"/>
        <v>349936.78852936951</v>
      </c>
      <c r="AW66" s="142">
        <f t="shared" si="210"/>
        <v>90547.046706953493</v>
      </c>
      <c r="AX66" s="142">
        <f t="shared" si="210"/>
        <v>96479.060528666596</v>
      </c>
      <c r="AY66" s="142">
        <f t="shared" si="210"/>
        <v>90975.452182494919</v>
      </c>
      <c r="AZ66" s="142">
        <f t="shared" si="210"/>
        <v>96629.351284268312</v>
      </c>
      <c r="BA66" s="143">
        <f t="shared" si="210"/>
        <v>374630.91070238315</v>
      </c>
    </row>
    <row r="67" spans="1:53" x14ac:dyDescent="0.2">
      <c r="A67" s="105"/>
      <c r="B67" s="119"/>
      <c r="C67" s="120" t="s">
        <v>111</v>
      </c>
      <c r="D67" s="108">
        <v>6.7249999999999996</v>
      </c>
      <c r="E67" s="109">
        <v>0</v>
      </c>
      <c r="F67" s="108">
        <v>0.41099999999999998</v>
      </c>
      <c r="G67" s="108">
        <v>2.7037300000000002</v>
      </c>
      <c r="H67" s="110">
        <f>SUM(D67:G67)</f>
        <v>9.8397299999999994</v>
      </c>
      <c r="I67" s="108">
        <v>-21.032589999999995</v>
      </c>
      <c r="J67" s="108">
        <v>-6.1292900000000001</v>
      </c>
      <c r="K67" s="108">
        <v>-69.606529999999992</v>
      </c>
      <c r="L67" s="108">
        <v>-59</v>
      </c>
      <c r="M67" s="110">
        <f>SUM(I67:L67)</f>
        <v>-155.76840999999999</v>
      </c>
      <c r="N67" s="108">
        <v>51.163429999999998</v>
      </c>
      <c r="O67" s="109">
        <v>0</v>
      </c>
      <c r="P67" s="109">
        <v>1</v>
      </c>
      <c r="Q67" s="108">
        <v>1</v>
      </c>
      <c r="R67" s="110">
        <f>SUM(N67:Q67)</f>
        <v>53.163429999999998</v>
      </c>
      <c r="S67" s="109">
        <v>0</v>
      </c>
      <c r="T67" s="109">
        <v>0</v>
      </c>
      <c r="U67" s="109">
        <v>0</v>
      </c>
      <c r="V67" s="109">
        <v>0</v>
      </c>
      <c r="W67" s="110">
        <f>SUM(S67:V67)</f>
        <v>0</v>
      </c>
      <c r="X67" s="109">
        <f>-3941+3943</f>
        <v>2</v>
      </c>
      <c r="Y67" s="108">
        <v>0</v>
      </c>
      <c r="Z67" s="108">
        <v>0</v>
      </c>
      <c r="AA67" s="179">
        <v>1</v>
      </c>
      <c r="AB67" s="110">
        <f>SUM(X67:AA67)</f>
        <v>3</v>
      </c>
      <c r="AC67" s="109">
        <v>-107</v>
      </c>
      <c r="AD67" s="179">
        <f>AD73+526</f>
        <v>161</v>
      </c>
      <c r="AE67" s="179">
        <f>AE73+966</f>
        <v>1508</v>
      </c>
      <c r="AF67" s="179">
        <f>AF73+193</f>
        <v>930</v>
      </c>
      <c r="AG67" s="110">
        <f>SUM(AC67:AF67)</f>
        <v>2492</v>
      </c>
      <c r="AH67" s="179">
        <f>AH73+42</f>
        <v>564</v>
      </c>
      <c r="AI67" s="179">
        <f>AI73+94</f>
        <v>1760</v>
      </c>
      <c r="AJ67" s="109">
        <v>17138</v>
      </c>
      <c r="AK67" s="179">
        <v>15976</v>
      </c>
      <c r="AL67" s="110">
        <f>SUM(AH67:AK67)</f>
        <v>35438</v>
      </c>
      <c r="AM67" s="179">
        <v>17156</v>
      </c>
      <c r="AN67" s="179">
        <v>15728</v>
      </c>
      <c r="AO67" s="109">
        <v>14667</v>
      </c>
      <c r="AP67" s="179">
        <v>15398</v>
      </c>
      <c r="AQ67" s="751">
        <f>SUM(AM67:AP67)</f>
        <v>62949</v>
      </c>
      <c r="AR67" s="179">
        <v>17550</v>
      </c>
      <c r="AS67" s="179">
        <v>18344</v>
      </c>
      <c r="AT67" s="179">
        <f t="shared" ref="AT67:AU67" si="211">AT66*AT68</f>
        <v>16252.348141347815</v>
      </c>
      <c r="AU67" s="179">
        <f t="shared" si="211"/>
        <v>17840.609564526112</v>
      </c>
      <c r="AV67" s="110">
        <f>SUM(AR67:AU67)</f>
        <v>69986.957705873923</v>
      </c>
      <c r="AW67" s="179">
        <f>AW66*AW68</f>
        <v>18109.409341390699</v>
      </c>
      <c r="AX67" s="179">
        <f t="shared" ref="AX67:AZ67" si="212">AX66*AX68</f>
        <v>19295.812105733319</v>
      </c>
      <c r="AY67" s="179">
        <f t="shared" si="212"/>
        <v>18195.090436498984</v>
      </c>
      <c r="AZ67" s="179">
        <f t="shared" si="212"/>
        <v>19325.870256853665</v>
      </c>
      <c r="BA67" s="110">
        <f>SUM(AW67:AZ67)</f>
        <v>74926.182140476667</v>
      </c>
    </row>
    <row r="68" spans="1:53" s="160" customFormat="1" ht="13.35" customHeight="1" thickBot="1" x14ac:dyDescent="0.25">
      <c r="A68" s="123"/>
      <c r="B68" s="124"/>
      <c r="C68" s="112" t="s">
        <v>112</v>
      </c>
      <c r="D68" s="114">
        <f t="shared" ref="D68:AG68" si="213">D67/D66</f>
        <v>-2.3070133900017697E-3</v>
      </c>
      <c r="E68" s="115">
        <f t="shared" si="213"/>
        <v>0</v>
      </c>
      <c r="F68" s="114">
        <f t="shared" si="213"/>
        <v>-2.7097568910947376E-4</v>
      </c>
      <c r="G68" s="114">
        <f t="shared" si="213"/>
        <v>-1.9588497024924526E-3</v>
      </c>
      <c r="H68" s="189">
        <f t="shared" si="213"/>
        <v>-1.3395361932047782E-3</v>
      </c>
      <c r="I68" s="114">
        <f t="shared" si="213"/>
        <v>4.5944424926475172E-2</v>
      </c>
      <c r="J68" s="114">
        <f t="shared" si="213"/>
        <v>-1.8896791588208516E-2</v>
      </c>
      <c r="K68" s="114">
        <f t="shared" si="213"/>
        <v>0.33685502548775764</v>
      </c>
      <c r="L68" s="114">
        <f t="shared" si="213"/>
        <v>2.3988890427701672E-2</v>
      </c>
      <c r="M68" s="189">
        <f t="shared" si="213"/>
        <v>5.5640806405934433E-2</v>
      </c>
      <c r="N68" s="114">
        <f t="shared" si="213"/>
        <v>-1.8885635153605904E-2</v>
      </c>
      <c r="O68" s="115">
        <f t="shared" si="213"/>
        <v>0</v>
      </c>
      <c r="P68" s="115">
        <f t="shared" si="213"/>
        <v>-3.4129692832764505E-4</v>
      </c>
      <c r="Q68" s="114">
        <f t="shared" si="213"/>
        <v>-5.4200542005420054E-4</v>
      </c>
      <c r="R68" s="189">
        <f t="shared" si="213"/>
        <v>-4.7972261232311448E-3</v>
      </c>
      <c r="S68" s="115">
        <f t="shared" si="213"/>
        <v>0</v>
      </c>
      <c r="T68" s="115">
        <f t="shared" si="213"/>
        <v>0</v>
      </c>
      <c r="U68" s="115">
        <f t="shared" si="213"/>
        <v>0</v>
      </c>
      <c r="V68" s="114">
        <f t="shared" si="213"/>
        <v>0</v>
      </c>
      <c r="W68" s="189">
        <f t="shared" si="213"/>
        <v>0</v>
      </c>
      <c r="X68" s="115">
        <f t="shared" si="213"/>
        <v>-1.6505735743170752E-4</v>
      </c>
      <c r="Y68" s="114">
        <f t="shared" si="213"/>
        <v>0</v>
      </c>
      <c r="Z68" s="114">
        <f t="shared" si="213"/>
        <v>0</v>
      </c>
      <c r="AA68" s="114">
        <f t="shared" si="213"/>
        <v>-3.0395136778115504E-4</v>
      </c>
      <c r="AB68" s="189">
        <f t="shared" si="213"/>
        <v>-1.2339077859581293E-4</v>
      </c>
      <c r="AC68" s="115">
        <f t="shared" si="213"/>
        <v>-6.367531540109498E-3</v>
      </c>
      <c r="AD68" s="114">
        <f t="shared" si="213"/>
        <v>3.2495710969825411E-3</v>
      </c>
      <c r="AE68" s="114">
        <f t="shared" si="213"/>
        <v>2.5051082279847831E-2</v>
      </c>
      <c r="AF68" s="114">
        <f t="shared" si="213"/>
        <v>1.3217925212126381E-2</v>
      </c>
      <c r="AG68" s="189">
        <f t="shared" si="213"/>
        <v>1.265584926741322E-2</v>
      </c>
      <c r="AH68" s="115">
        <f t="shared" ref="AH68:AL68" si="214">AH67/AH66</f>
        <v>8.7520561124732315E-3</v>
      </c>
      <c r="AI68" s="114">
        <f t="shared" si="214"/>
        <v>2.3471673957110851E-2</v>
      </c>
      <c r="AJ68" s="115">
        <f t="shared" si="214"/>
        <v>0.20000466809821679</v>
      </c>
      <c r="AK68" s="114">
        <f t="shared" si="214"/>
        <v>0.2</v>
      </c>
      <c r="AL68" s="189">
        <f t="shared" si="214"/>
        <v>0.11619244968753484</v>
      </c>
      <c r="AM68" s="115">
        <f t="shared" ref="AM68:AP68" si="215">AM67/AM66</f>
        <v>0.19999533701708982</v>
      </c>
      <c r="AN68" s="114">
        <f t="shared" si="215"/>
        <v>0.20000508659935401</v>
      </c>
      <c r="AO68" s="115">
        <f t="shared" si="215"/>
        <v>0.20000545457024804</v>
      </c>
      <c r="AP68" s="114">
        <f t="shared" si="215"/>
        <v>0.19999740229377461</v>
      </c>
      <c r="AQ68" s="189">
        <f t="shared" ref="AQ68:AS68" si="216">AQ67/AQ66</f>
        <v>0.2000006354370536</v>
      </c>
      <c r="AR68" s="115">
        <f t="shared" si="216"/>
        <v>0.19999544169933448</v>
      </c>
      <c r="AS68" s="114">
        <f t="shared" si="216"/>
        <v>0.2</v>
      </c>
      <c r="AT68" s="752">
        <v>0.2</v>
      </c>
      <c r="AU68" s="752">
        <v>0.2</v>
      </c>
      <c r="AV68" s="189">
        <f t="shared" ref="AV68" si="217">AV67/AV66</f>
        <v>0.19999885693641511</v>
      </c>
      <c r="AW68" s="752">
        <v>0.2</v>
      </c>
      <c r="AX68" s="752">
        <v>0.2</v>
      </c>
      <c r="AY68" s="752">
        <v>0.2</v>
      </c>
      <c r="AZ68" s="752">
        <v>0.2</v>
      </c>
      <c r="BA68" s="189">
        <f t="shared" ref="BA68" si="218">BA67/BA66</f>
        <v>0.20000000000000009</v>
      </c>
    </row>
    <row r="69" spans="1:53" s="133" customFormat="1" ht="13.5" thickBot="1" x14ac:dyDescent="0.25">
      <c r="A69" s="20"/>
      <c r="B69" s="129" t="s">
        <v>113</v>
      </c>
      <c r="C69" s="130"/>
      <c r="D69" s="151">
        <f t="shared" ref="D69:AG69" si="219">D66-D67</f>
        <v>-2921.7492599999996</v>
      </c>
      <c r="E69" s="153">
        <f t="shared" si="219"/>
        <v>-1533.5949600000013</v>
      </c>
      <c r="F69" s="151">
        <f t="shared" si="219"/>
        <v>-1517.1522299999967</v>
      </c>
      <c r="G69" s="153">
        <f t="shared" si="219"/>
        <v>-1382.9678699999997</v>
      </c>
      <c r="H69" s="798">
        <f t="shared" si="219"/>
        <v>-7355.4643199999919</v>
      </c>
      <c r="I69" s="151">
        <f t="shared" si="219"/>
        <v>-436.75070000000403</v>
      </c>
      <c r="J69" s="151">
        <f t="shared" si="219"/>
        <v>330.48541000000256</v>
      </c>
      <c r="K69" s="151">
        <f t="shared" si="219"/>
        <v>-137.02992999999995</v>
      </c>
      <c r="L69" s="153">
        <f t="shared" si="219"/>
        <v>-2400.4718199999998</v>
      </c>
      <c r="M69" s="798">
        <f t="shared" si="219"/>
        <v>-2643.7670399999902</v>
      </c>
      <c r="N69" s="151">
        <f t="shared" si="219"/>
        <v>-2760.2822699999974</v>
      </c>
      <c r="O69" s="153">
        <f t="shared" si="219"/>
        <v>-3598</v>
      </c>
      <c r="P69" s="153">
        <f t="shared" si="219"/>
        <v>-2931</v>
      </c>
      <c r="Q69" s="153">
        <f t="shared" si="219"/>
        <v>-1846</v>
      </c>
      <c r="R69" s="798">
        <f t="shared" si="219"/>
        <v>-11135.282269999994</v>
      </c>
      <c r="S69" s="153">
        <f t="shared" si="219"/>
        <v>-1447</v>
      </c>
      <c r="T69" s="153">
        <f t="shared" si="219"/>
        <v>-994</v>
      </c>
      <c r="U69" s="153">
        <f t="shared" si="219"/>
        <v>-1743</v>
      </c>
      <c r="V69" s="153">
        <f t="shared" si="219"/>
        <v>-5818</v>
      </c>
      <c r="W69" s="798">
        <f t="shared" si="219"/>
        <v>-10002</v>
      </c>
      <c r="X69" s="153">
        <f t="shared" si="219"/>
        <v>-12119</v>
      </c>
      <c r="Y69" s="151">
        <f t="shared" si="219"/>
        <v>-219</v>
      </c>
      <c r="Z69" s="151">
        <f t="shared" si="219"/>
        <v>-8687</v>
      </c>
      <c r="AA69" s="153">
        <f>AA66-AA67</f>
        <v>-3291</v>
      </c>
      <c r="AB69" s="798">
        <f t="shared" si="219"/>
        <v>-24316</v>
      </c>
      <c r="AC69" s="153">
        <f t="shared" si="219"/>
        <v>16911</v>
      </c>
      <c r="AD69" s="151">
        <f>AD66-AD67</f>
        <v>49384</v>
      </c>
      <c r="AE69" s="151">
        <f t="shared" ref="AE69" si="220">AE66-AE67</f>
        <v>58689</v>
      </c>
      <c r="AF69" s="153">
        <f t="shared" si="219"/>
        <v>69429</v>
      </c>
      <c r="AG69" s="798">
        <f t="shared" si="219"/>
        <v>194413</v>
      </c>
      <c r="AH69" s="153">
        <f t="shared" ref="AH69" si="221">AH66-AH67</f>
        <v>63878</v>
      </c>
      <c r="AI69" s="151">
        <f>AI66-AI67</f>
        <v>73224</v>
      </c>
      <c r="AJ69" s="151">
        <f>AJ66-AJ67</f>
        <v>68550</v>
      </c>
      <c r="AK69" s="153">
        <f t="shared" ref="AK69" si="222">AK66-AK67</f>
        <v>63904</v>
      </c>
      <c r="AL69" s="798">
        <f>AL66-AL67</f>
        <v>269556</v>
      </c>
      <c r="AM69" s="153">
        <f>AM66-AM67</f>
        <v>68626</v>
      </c>
      <c r="AN69" s="151">
        <f>AN66-AN67</f>
        <v>62910</v>
      </c>
      <c r="AO69" s="151">
        <f>AO66-AO67</f>
        <v>58666</v>
      </c>
      <c r="AP69" s="153">
        <f t="shared" ref="AP69" si="223">AP66-AP67</f>
        <v>61593</v>
      </c>
      <c r="AQ69" s="798">
        <f t="shared" ref="AQ69" si="224">AQ66-AQ67</f>
        <v>251795</v>
      </c>
      <c r="AR69" s="153">
        <f>AR66-AR67</f>
        <v>70202</v>
      </c>
      <c r="AS69" s="151">
        <f>AS66-AS67</f>
        <v>73376</v>
      </c>
      <c r="AT69" s="151">
        <f t="shared" ref="AT69:AW69" si="225">AT66-AT67</f>
        <v>65009.392565391259</v>
      </c>
      <c r="AU69" s="153">
        <f t="shared" si="225"/>
        <v>71362.438258104448</v>
      </c>
      <c r="AV69" s="798">
        <f t="shared" si="225"/>
        <v>279949.83082349558</v>
      </c>
      <c r="AW69" s="153">
        <f t="shared" si="225"/>
        <v>72437.637365562798</v>
      </c>
      <c r="AX69" s="151">
        <f>AX66-AX67</f>
        <v>77183.248422933277</v>
      </c>
      <c r="AY69" s="151">
        <f t="shared" ref="AY69:BA69" si="226">AY66-AY67</f>
        <v>72780.361745995935</v>
      </c>
      <c r="AZ69" s="153">
        <f t="shared" si="226"/>
        <v>77303.481027414644</v>
      </c>
      <c r="BA69" s="798">
        <f t="shared" si="226"/>
        <v>299704.72856190649</v>
      </c>
    </row>
    <row r="70" spans="1:53" s="118" customFormat="1" ht="13.35" customHeight="1" x14ac:dyDescent="0.2">
      <c r="A70" s="123"/>
      <c r="B70" s="124"/>
      <c r="C70" s="112" t="s">
        <v>114</v>
      </c>
      <c r="D70" s="114">
        <f t="shared" ref="D70:AI70" si="227">D69/D17</f>
        <v>-0.22298953503951244</v>
      </c>
      <c r="E70" s="115">
        <f t="shared" si="227"/>
        <v>-0.10113981656992825</v>
      </c>
      <c r="F70" s="114">
        <f t="shared" si="227"/>
        <v>-8.8734263519986381E-2</v>
      </c>
      <c r="G70" s="115">
        <f t="shared" si="227"/>
        <v>-7.091897794357313E-2</v>
      </c>
      <c r="H70" s="136">
        <f t="shared" si="227"/>
        <v>-0.1133980332456503</v>
      </c>
      <c r="I70" s="114">
        <f t="shared" si="227"/>
        <v>-1.947681841749347E-2</v>
      </c>
      <c r="J70" s="114">
        <f t="shared" si="227"/>
        <v>1.2711637261675393E-2</v>
      </c>
      <c r="K70" s="114">
        <f t="shared" si="227"/>
        <v>-4.8517014726596891E-3</v>
      </c>
      <c r="L70" s="115">
        <f t="shared" si="227"/>
        <v>-7.5762119787906895E-2</v>
      </c>
      <c r="M70" s="136">
        <f t="shared" si="227"/>
        <v>-2.4400071052622683E-2</v>
      </c>
      <c r="N70" s="114">
        <f t="shared" si="227"/>
        <v>-7.8462851065902062E-2</v>
      </c>
      <c r="O70" s="115">
        <f t="shared" si="227"/>
        <v>-9.2067553735926302E-2</v>
      </c>
      <c r="P70" s="115">
        <f t="shared" si="227"/>
        <v>-7.1089012854717443E-2</v>
      </c>
      <c r="Q70" s="115">
        <f t="shared" si="227"/>
        <v>-4.3837568273569223E-2</v>
      </c>
      <c r="R70" s="136">
        <f t="shared" si="227"/>
        <v>-7.0655577650694745E-2</v>
      </c>
      <c r="S70" s="115">
        <f t="shared" si="227"/>
        <v>-3.1314246142526349E-2</v>
      </c>
      <c r="T70" s="115">
        <f t="shared" si="227"/>
        <v>-1.8392080673512813E-2</v>
      </c>
      <c r="U70" s="114">
        <f t="shared" si="227"/>
        <v>-2.9177408014998827E-2</v>
      </c>
      <c r="V70" s="115">
        <f t="shared" si="227"/>
        <v>-7.4329590024657291E-2</v>
      </c>
      <c r="W70" s="136">
        <f t="shared" si="227"/>
        <v>-4.1978469351352486E-2</v>
      </c>
      <c r="X70" s="115">
        <f t="shared" si="227"/>
        <v>-0.10240052725413819</v>
      </c>
      <c r="Y70" s="114">
        <f t="shared" si="227"/>
        <v>-1.3995577653088613E-3</v>
      </c>
      <c r="Z70" s="114">
        <f t="shared" si="227"/>
        <v>-5.204570100233058E-2</v>
      </c>
      <c r="AA70" s="115">
        <f t="shared" si="227"/>
        <v>-1.6436837294789258E-2</v>
      </c>
      <c r="AB70" s="136">
        <f t="shared" si="227"/>
        <v>-3.7877808395863286E-2</v>
      </c>
      <c r="AC70" s="115">
        <f t="shared" si="227"/>
        <v>7.3550390563838483E-2</v>
      </c>
      <c r="AD70" s="114">
        <f t="shared" si="227"/>
        <v>0.1899340784443436</v>
      </c>
      <c r="AE70" s="114">
        <f t="shared" si="227"/>
        <v>0.21532901616187558</v>
      </c>
      <c r="AF70" s="115">
        <f t="shared" si="227"/>
        <v>0.23457090441005057</v>
      </c>
      <c r="AG70" s="136">
        <f t="shared" si="227"/>
        <v>0.18367395140901757</v>
      </c>
      <c r="AH70" s="115">
        <f t="shared" si="227"/>
        <v>0.20944636621473187</v>
      </c>
      <c r="AI70" s="114">
        <f t="shared" si="227"/>
        <v>0.22990627796354732</v>
      </c>
      <c r="AJ70" s="114">
        <f t="shared" ref="AJ70:BA70" si="228">AJ69/AJ17</f>
        <v>0.21221070619265203</v>
      </c>
      <c r="AK70" s="115">
        <f t="shared" si="228"/>
        <v>0.18594852545356669</v>
      </c>
      <c r="AL70" s="136">
        <f t="shared" si="228"/>
        <v>0.208930120224187</v>
      </c>
      <c r="AM70" s="115">
        <f t="shared" si="228"/>
        <v>0.19145208536755476</v>
      </c>
      <c r="AN70" s="114">
        <f t="shared" si="228"/>
        <v>0.17351897924171295</v>
      </c>
      <c r="AO70" s="114">
        <f t="shared" si="228"/>
        <v>0.16377223861514109</v>
      </c>
      <c r="AP70" s="115">
        <f t="shared" si="228"/>
        <v>0.16067082475759686</v>
      </c>
      <c r="AQ70" s="136">
        <f t="shared" si="228"/>
        <v>0.17215928126517022</v>
      </c>
      <c r="AR70" s="115">
        <f t="shared" si="228"/>
        <v>0.17739380049072501</v>
      </c>
      <c r="AS70" s="114">
        <f t="shared" si="228"/>
        <v>0.1769499193336404</v>
      </c>
      <c r="AT70" s="114">
        <f t="shared" si="228"/>
        <v>0.16137005842856589</v>
      </c>
      <c r="AU70" s="115">
        <f t="shared" si="228"/>
        <v>0.16601799510864229</v>
      </c>
      <c r="AV70" s="136">
        <f t="shared" si="228"/>
        <v>0.17037712092265481</v>
      </c>
      <c r="AW70" s="115">
        <f t="shared" si="228"/>
        <v>0.16492072383989068</v>
      </c>
      <c r="AX70" s="114">
        <f t="shared" si="228"/>
        <v>0.16956260145935628</v>
      </c>
      <c r="AY70" s="114">
        <f t="shared" si="228"/>
        <v>0.16189283224703541</v>
      </c>
      <c r="AZ70" s="115">
        <f t="shared" si="228"/>
        <v>0.16004400485969356</v>
      </c>
      <c r="BA70" s="136">
        <f t="shared" si="228"/>
        <v>0.1640428859617703</v>
      </c>
    </row>
    <row r="71" spans="1:53" s="200" customFormat="1" ht="11.25" x14ac:dyDescent="0.2">
      <c r="A71" s="161"/>
      <c r="B71" s="162"/>
      <c r="C71" s="122"/>
      <c r="D71" s="195"/>
      <c r="E71" s="196"/>
      <c r="F71" s="195"/>
      <c r="G71" s="197"/>
      <c r="H71" s="198"/>
      <c r="I71" s="195"/>
      <c r="J71" s="195"/>
      <c r="K71" s="195"/>
      <c r="L71" s="197"/>
      <c r="M71" s="198"/>
      <c r="N71" s="195"/>
      <c r="O71" s="197"/>
      <c r="P71" s="197"/>
      <c r="Q71" s="197"/>
      <c r="R71" s="198"/>
      <c r="S71" s="197"/>
      <c r="T71" s="197"/>
      <c r="U71" s="195"/>
      <c r="V71" s="197"/>
      <c r="W71" s="198"/>
      <c r="X71" s="197"/>
      <c r="Y71" s="195"/>
      <c r="Z71" s="195"/>
      <c r="AA71" s="197"/>
      <c r="AB71" s="198"/>
      <c r="AC71" s="197"/>
      <c r="AD71" s="195"/>
      <c r="AE71" s="195"/>
      <c r="AF71" s="197"/>
      <c r="AG71" s="198"/>
      <c r="AH71" s="197"/>
      <c r="AI71" s="195"/>
      <c r="AJ71" s="646"/>
      <c r="AK71" s="197"/>
      <c r="AL71" s="198"/>
      <c r="AM71" s="197"/>
      <c r="AN71" s="195"/>
      <c r="AO71" s="646"/>
      <c r="AP71" s="197"/>
      <c r="AQ71" s="198"/>
      <c r="AR71" s="197"/>
      <c r="AS71" s="195"/>
      <c r="AT71" s="195"/>
      <c r="AU71" s="197"/>
      <c r="AV71" s="198"/>
      <c r="AW71" s="197"/>
      <c r="AX71" s="195"/>
      <c r="AY71" s="195"/>
      <c r="AZ71" s="197"/>
      <c r="BA71" s="198"/>
    </row>
    <row r="72" spans="1:53" s="121" customFormat="1" x14ac:dyDescent="0.2">
      <c r="A72" s="105"/>
      <c r="B72" s="138" t="s">
        <v>115</v>
      </c>
      <c r="C72" s="120"/>
      <c r="D72" s="108">
        <f t="shared" ref="D72:AI72" si="229">D54+D59</f>
        <v>-2988.0087499999995</v>
      </c>
      <c r="E72" s="108">
        <f t="shared" si="229"/>
        <v>-1587.3624600000012</v>
      </c>
      <c r="F72" s="108">
        <f t="shared" si="229"/>
        <v>-1190.0718399999964</v>
      </c>
      <c r="G72" s="109">
        <f t="shared" si="229"/>
        <v>-1419.3965299999995</v>
      </c>
      <c r="H72" s="110">
        <f t="shared" si="229"/>
        <v>-7184.8395799999917</v>
      </c>
      <c r="I72" s="108">
        <f t="shared" si="229"/>
        <v>-1084.3288900000041</v>
      </c>
      <c r="J72" s="108">
        <f t="shared" si="229"/>
        <v>275.04257000000246</v>
      </c>
      <c r="K72" s="108">
        <f t="shared" si="229"/>
        <v>-2102.1984899999998</v>
      </c>
      <c r="L72" s="109">
        <f t="shared" si="229"/>
        <v>-4559.1076799999992</v>
      </c>
      <c r="M72" s="110">
        <f t="shared" si="229"/>
        <v>-7470.59248999999</v>
      </c>
      <c r="N72" s="108">
        <f t="shared" si="229"/>
        <v>-5645.1170699999975</v>
      </c>
      <c r="O72" s="109">
        <f t="shared" si="229"/>
        <v>-7578</v>
      </c>
      <c r="P72" s="109">
        <f t="shared" si="229"/>
        <v>-8318</v>
      </c>
      <c r="Q72" s="109">
        <f t="shared" si="229"/>
        <v>-9497</v>
      </c>
      <c r="R72" s="110">
        <f t="shared" si="229"/>
        <v>-31038.117069999993</v>
      </c>
      <c r="S72" s="109">
        <f t="shared" si="229"/>
        <v>-12751</v>
      </c>
      <c r="T72" s="109">
        <f t="shared" si="229"/>
        <v>-17793</v>
      </c>
      <c r="U72" s="108">
        <f t="shared" si="229"/>
        <v>-26728</v>
      </c>
      <c r="V72" s="109">
        <f t="shared" si="229"/>
        <v>-82146</v>
      </c>
      <c r="W72" s="110">
        <f t="shared" si="229"/>
        <v>-139418</v>
      </c>
      <c r="X72" s="109">
        <f t="shared" si="229"/>
        <v>-77680</v>
      </c>
      <c r="Y72" s="108">
        <f t="shared" si="229"/>
        <v>-81075</v>
      </c>
      <c r="Z72" s="108">
        <f t="shared" si="229"/>
        <v>-87599</v>
      </c>
      <c r="AA72" s="109">
        <f t="shared" si="229"/>
        <v>-84325</v>
      </c>
      <c r="AB72" s="110">
        <f t="shared" si="229"/>
        <v>-330679</v>
      </c>
      <c r="AC72" s="109">
        <f t="shared" si="229"/>
        <v>-81747</v>
      </c>
      <c r="AD72" s="108">
        <f t="shared" si="229"/>
        <v>-95441</v>
      </c>
      <c r="AE72" s="108">
        <f t="shared" si="229"/>
        <v>-30596</v>
      </c>
      <c r="AF72" s="109">
        <f t="shared" si="229"/>
        <v>-15134</v>
      </c>
      <c r="AG72" s="110">
        <f t="shared" si="229"/>
        <v>-222918</v>
      </c>
      <c r="AH72" s="109">
        <f t="shared" si="229"/>
        <v>-27339</v>
      </c>
      <c r="AI72" s="108">
        <f t="shared" si="229"/>
        <v>-38755</v>
      </c>
      <c r="AJ72" s="108">
        <f t="shared" ref="AJ72:BA72" si="230">AJ54+AJ59</f>
        <v>32179</v>
      </c>
      <c r="AK72" s="109">
        <f t="shared" si="230"/>
        <v>7596</v>
      </c>
      <c r="AL72" s="110">
        <f t="shared" si="230"/>
        <v>-26319</v>
      </c>
      <c r="AM72" s="109">
        <f t="shared" si="230"/>
        <v>10180</v>
      </c>
      <c r="AN72" s="108">
        <f t="shared" si="230"/>
        <v>33593</v>
      </c>
      <c r="AO72" s="108">
        <f t="shared" si="230"/>
        <v>-10296</v>
      </c>
      <c r="AP72" s="109">
        <f t="shared" si="230"/>
        <v>-3070</v>
      </c>
      <c r="AQ72" s="110">
        <f t="shared" si="230"/>
        <v>30407</v>
      </c>
      <c r="AR72" s="109">
        <f t="shared" si="230"/>
        <v>-2813</v>
      </c>
      <c r="AS72" s="108">
        <f t="shared" ref="AS72" si="231">AS54+AS59</f>
        <v>-2066</v>
      </c>
      <c r="AT72" s="108">
        <f t="shared" si="230"/>
        <v>-4688.2592932609259</v>
      </c>
      <c r="AU72" s="109">
        <f t="shared" si="230"/>
        <v>603.04782263055677</v>
      </c>
      <c r="AV72" s="110">
        <f t="shared" si="230"/>
        <v>-8964.2114706304856</v>
      </c>
      <c r="AW72" s="109">
        <f t="shared" si="230"/>
        <v>1947.0467069534934</v>
      </c>
      <c r="AX72" s="108">
        <f t="shared" si="230"/>
        <v>3879.0605286665959</v>
      </c>
      <c r="AY72" s="108">
        <f t="shared" si="230"/>
        <v>-4624.5478175050812</v>
      </c>
      <c r="AZ72" s="109">
        <f t="shared" si="230"/>
        <v>-1970.6487157316878</v>
      </c>
      <c r="BA72" s="110">
        <f t="shared" si="230"/>
        <v>-769.08929761685431</v>
      </c>
    </row>
    <row r="73" spans="1:53" s="121" customFormat="1" x14ac:dyDescent="0.2">
      <c r="A73" s="105"/>
      <c r="B73" s="119"/>
      <c r="C73" s="120" t="s">
        <v>111</v>
      </c>
      <c r="D73" s="108">
        <v>6.7249999999999996</v>
      </c>
      <c r="E73" s="108">
        <v>0</v>
      </c>
      <c r="F73" s="108">
        <v>0.41099999999999998</v>
      </c>
      <c r="G73" s="108">
        <v>2.7037300000000002</v>
      </c>
      <c r="H73" s="110">
        <f>SUM(D73:G73)</f>
        <v>9.8397299999999994</v>
      </c>
      <c r="I73" s="108">
        <v>-21.032589999999995</v>
      </c>
      <c r="J73" s="108">
        <v>-6.1292900000000001</v>
      </c>
      <c r="K73" s="108">
        <v>-69.606529999999992</v>
      </c>
      <c r="L73" s="108">
        <v>-59</v>
      </c>
      <c r="M73" s="110">
        <f>SUM(I73:L73)</f>
        <v>-155.76840999999999</v>
      </c>
      <c r="N73" s="108">
        <v>51.163429999999998</v>
      </c>
      <c r="O73" s="109">
        <v>0</v>
      </c>
      <c r="P73" s="109">
        <v>1</v>
      </c>
      <c r="Q73" s="108">
        <v>1</v>
      </c>
      <c r="R73" s="110">
        <f>SUM(N73:Q73)</f>
        <v>53.163429999999998</v>
      </c>
      <c r="S73" s="109">
        <v>0</v>
      </c>
      <c r="T73" s="109">
        <v>-333</v>
      </c>
      <c r="U73" s="175">
        <v>0</v>
      </c>
      <c r="V73" s="108">
        <v>-40284</v>
      </c>
      <c r="W73" s="110">
        <f>SUM(S73:V73)</f>
        <v>-40617</v>
      </c>
      <c r="X73" s="109">
        <v>-3941</v>
      </c>
      <c r="Y73" s="108">
        <v>-635</v>
      </c>
      <c r="Z73" s="108">
        <v>-879</v>
      </c>
      <c r="AA73" s="179">
        <v>617</v>
      </c>
      <c r="AB73" s="110">
        <f>SUM(X73:AA73)</f>
        <v>-4838</v>
      </c>
      <c r="AC73" s="109">
        <v>-107</v>
      </c>
      <c r="AD73" s="179">
        <v>-365</v>
      </c>
      <c r="AE73" s="179">
        <v>542</v>
      </c>
      <c r="AF73" s="179">
        <v>737</v>
      </c>
      <c r="AG73" s="110">
        <f>SUM(AC73:AF73)</f>
        <v>807</v>
      </c>
      <c r="AH73" s="179">
        <v>522</v>
      </c>
      <c r="AI73" s="179">
        <v>1666</v>
      </c>
      <c r="AJ73" s="179">
        <v>370</v>
      </c>
      <c r="AK73" s="179">
        <v>0</v>
      </c>
      <c r="AL73" s="110">
        <f>SUM(AH73:AK73)</f>
        <v>2558</v>
      </c>
      <c r="AM73" s="179">
        <v>1268</v>
      </c>
      <c r="AN73" s="179">
        <v>45</v>
      </c>
      <c r="AO73" s="179">
        <v>1293</v>
      </c>
      <c r="AP73" s="179">
        <v>4004</v>
      </c>
      <c r="AQ73" s="110">
        <f>SUM(AM73:AP73)</f>
        <v>6610</v>
      </c>
      <c r="AR73" s="179">
        <v>149</v>
      </c>
      <c r="AS73" s="179">
        <v>522</v>
      </c>
      <c r="AT73" s="175">
        <v>500</v>
      </c>
      <c r="AU73" s="175">
        <v>500</v>
      </c>
      <c r="AV73" s="110">
        <f>SUM(AR73:AU73)</f>
        <v>1671</v>
      </c>
      <c r="AW73" s="175">
        <v>500</v>
      </c>
      <c r="AX73" s="175">
        <v>500</v>
      </c>
      <c r="AY73" s="175">
        <v>500</v>
      </c>
      <c r="AZ73" s="175">
        <v>500</v>
      </c>
      <c r="BA73" s="110">
        <f>SUM(AW73:AZ73)</f>
        <v>2000</v>
      </c>
    </row>
    <row r="74" spans="1:53" s="160" customFormat="1" ht="13.35" customHeight="1" x14ac:dyDescent="0.2">
      <c r="A74" s="123"/>
      <c r="B74" s="124"/>
      <c r="C74" s="112" t="s">
        <v>112</v>
      </c>
      <c r="D74" s="114">
        <f t="shared" ref="D74:AG74" si="232">D73/D72</f>
        <v>-2.2506627532466231E-3</v>
      </c>
      <c r="E74" s="114">
        <f t="shared" si="232"/>
        <v>0</v>
      </c>
      <c r="F74" s="114">
        <f t="shared" si="232"/>
        <v>-3.4535730212724067E-4</v>
      </c>
      <c r="G74" s="114">
        <f t="shared" si="232"/>
        <v>-1.9048447300346726E-3</v>
      </c>
      <c r="H74" s="116">
        <f t="shared" si="232"/>
        <v>-1.3695128319065422E-3</v>
      </c>
      <c r="I74" s="114">
        <f t="shared" si="232"/>
        <v>1.9396873212517575E-2</v>
      </c>
      <c r="J74" s="114">
        <f t="shared" si="232"/>
        <v>-2.2284877573678669E-2</v>
      </c>
      <c r="K74" s="114">
        <f t="shared" si="232"/>
        <v>3.3111302444137895E-2</v>
      </c>
      <c r="L74" s="114">
        <f t="shared" si="232"/>
        <v>1.2941128865813499E-2</v>
      </c>
      <c r="M74" s="116">
        <f t="shared" si="232"/>
        <v>2.0850877652409627E-2</v>
      </c>
      <c r="N74" s="114">
        <f t="shared" si="232"/>
        <v>-9.0633071671620841E-3</v>
      </c>
      <c r="O74" s="115">
        <f t="shared" si="232"/>
        <v>0</v>
      </c>
      <c r="P74" s="115">
        <f t="shared" si="232"/>
        <v>-1.2022120702091849E-4</v>
      </c>
      <c r="Q74" s="114">
        <f t="shared" si="232"/>
        <v>-1.0529640939243972E-4</v>
      </c>
      <c r="R74" s="116">
        <f t="shared" si="232"/>
        <v>-1.7128432720355097E-3</v>
      </c>
      <c r="S74" s="115">
        <f t="shared" si="232"/>
        <v>0</v>
      </c>
      <c r="T74" s="115">
        <f t="shared" si="232"/>
        <v>1.8715225088517955E-2</v>
      </c>
      <c r="U74" s="114">
        <f t="shared" si="232"/>
        <v>0</v>
      </c>
      <c r="V74" s="114">
        <f t="shared" si="232"/>
        <v>0.4903951500986049</v>
      </c>
      <c r="W74" s="116">
        <f t="shared" si="232"/>
        <v>0.29133253955730248</v>
      </c>
      <c r="X74" s="115">
        <f t="shared" si="232"/>
        <v>5.0733779608650872E-2</v>
      </c>
      <c r="Y74" s="114">
        <f t="shared" si="232"/>
        <v>7.8322540857230956E-3</v>
      </c>
      <c r="Z74" s="114">
        <f t="shared" si="232"/>
        <v>1.0034361122843867E-2</v>
      </c>
      <c r="AA74" s="114">
        <f t="shared" si="232"/>
        <v>-7.3169285502520014E-3</v>
      </c>
      <c r="AB74" s="116">
        <f t="shared" si="232"/>
        <v>1.4630502692943912E-2</v>
      </c>
      <c r="AC74" s="115">
        <f t="shared" si="232"/>
        <v>1.3089165351633698E-3</v>
      </c>
      <c r="AD74" s="114">
        <f t="shared" si="232"/>
        <v>3.8243522176004022E-3</v>
      </c>
      <c r="AE74" s="114">
        <f t="shared" si="232"/>
        <v>-1.7714733952150608E-2</v>
      </c>
      <c r="AF74" s="114">
        <f t="shared" si="232"/>
        <v>-4.8698295229285052E-2</v>
      </c>
      <c r="AG74" s="116">
        <f t="shared" si="232"/>
        <v>-3.6201652625629157E-3</v>
      </c>
      <c r="AH74" s="115">
        <f t="shared" ref="AH74:AL74" si="233">AH73/AH72</f>
        <v>-1.9093602545813673E-2</v>
      </c>
      <c r="AI74" s="114">
        <f t="shared" si="233"/>
        <v>-4.2988001548187334E-2</v>
      </c>
      <c r="AJ74" s="114">
        <f t="shared" si="233"/>
        <v>1.149818204419031E-2</v>
      </c>
      <c r="AK74" s="114">
        <f t="shared" si="233"/>
        <v>0</v>
      </c>
      <c r="AL74" s="116">
        <f t="shared" si="233"/>
        <v>-9.719214255860785E-2</v>
      </c>
      <c r="AM74" s="115">
        <f t="shared" ref="AM74:AP74" si="234">AM73/AM72</f>
        <v>0.12455795677799607</v>
      </c>
      <c r="AN74" s="114">
        <f t="shared" si="234"/>
        <v>1.33956479028369E-3</v>
      </c>
      <c r="AO74" s="114">
        <f t="shared" si="234"/>
        <v>-0.12558275058275059</v>
      </c>
      <c r="AP74" s="114">
        <f t="shared" si="234"/>
        <v>-1.3042345276872964</v>
      </c>
      <c r="AQ74" s="116">
        <f t="shared" ref="AQ74:AS74" si="235">AQ73/AQ72</f>
        <v>0.21738415496431743</v>
      </c>
      <c r="AR74" s="115">
        <f t="shared" si="235"/>
        <v>-5.2968361180234624E-2</v>
      </c>
      <c r="AS74" s="114">
        <f t="shared" si="235"/>
        <v>-0.25266214908034851</v>
      </c>
      <c r="AT74" s="114">
        <f t="shared" ref="AT74:AV74" si="236">AT73/AT72</f>
        <v>-0.10664939132498882</v>
      </c>
      <c r="AU74" s="114">
        <f t="shared" si="236"/>
        <v>0.82912164050099457</v>
      </c>
      <c r="AV74" s="116">
        <f t="shared" si="236"/>
        <v>-0.18640791836233561</v>
      </c>
      <c r="AW74" s="115">
        <f t="shared" ref="AW74:BA74" si="237">AW73/AW72</f>
        <v>0.2567991811466816</v>
      </c>
      <c r="AX74" s="114">
        <f t="shared" si="237"/>
        <v>0.1288971894882682</v>
      </c>
      <c r="AY74" s="114">
        <f t="shared" si="237"/>
        <v>-0.10811867878355019</v>
      </c>
      <c r="AZ74" s="114">
        <f t="shared" si="237"/>
        <v>-0.25372355611048292</v>
      </c>
      <c r="BA74" s="116">
        <f t="shared" si="237"/>
        <v>-2.6004782620136813</v>
      </c>
    </row>
    <row r="75" spans="1:53" s="163" customFormat="1" ht="12.75" hidden="1" customHeight="1" outlineLevel="1" x14ac:dyDescent="0.2">
      <c r="A75" s="161"/>
      <c r="B75" s="162"/>
      <c r="C75" s="122"/>
      <c r="D75" s="195"/>
      <c r="E75" s="195"/>
      <c r="F75" s="195"/>
      <c r="G75" s="195"/>
      <c r="H75" s="198"/>
      <c r="I75" s="195"/>
      <c r="J75" s="195"/>
      <c r="K75" s="195"/>
      <c r="L75" s="195"/>
      <c r="M75" s="198"/>
      <c r="N75" s="195"/>
      <c r="O75" s="197"/>
      <c r="P75" s="197"/>
      <c r="Q75" s="195"/>
      <c r="R75" s="198"/>
      <c r="S75" s="197"/>
      <c r="T75" s="197"/>
      <c r="U75" s="195"/>
      <c r="V75" s="195"/>
      <c r="W75" s="198"/>
      <c r="X75" s="195"/>
      <c r="Y75" s="195"/>
      <c r="Z75" s="195"/>
      <c r="AA75" s="195"/>
      <c r="AB75" s="198"/>
      <c r="AC75" s="197"/>
      <c r="AD75" s="195"/>
      <c r="AE75" s="195"/>
      <c r="AF75" s="195"/>
      <c r="AG75" s="198"/>
      <c r="AH75" s="197"/>
      <c r="AI75" s="195"/>
      <c r="AJ75" s="195"/>
      <c r="AK75" s="195"/>
      <c r="AL75" s="198"/>
      <c r="AM75" s="197"/>
      <c r="AN75" s="195"/>
      <c r="AO75" s="195"/>
      <c r="AP75" s="195"/>
      <c r="AQ75" s="198"/>
      <c r="AR75" s="197"/>
      <c r="AS75" s="195"/>
      <c r="AT75" s="195"/>
      <c r="AU75" s="195"/>
      <c r="AV75" s="198"/>
      <c r="AW75" s="197"/>
      <c r="AX75" s="195"/>
      <c r="AY75" s="195"/>
      <c r="AZ75" s="195"/>
      <c r="BA75" s="198"/>
    </row>
    <row r="76" spans="1:53" collapsed="1" x14ac:dyDescent="0.2">
      <c r="A76" s="28"/>
      <c r="B76" s="201" t="s">
        <v>116</v>
      </c>
      <c r="C76" s="202"/>
      <c r="D76" s="203">
        <f t="shared" ref="D76:L76" si="238">D72-D73</f>
        <v>-2994.7337499999994</v>
      </c>
      <c r="E76" s="203">
        <f t="shared" si="238"/>
        <v>-1587.3624600000012</v>
      </c>
      <c r="F76" s="203">
        <f t="shared" si="238"/>
        <v>-1190.4828399999965</v>
      </c>
      <c r="G76" s="204">
        <f t="shared" si="238"/>
        <v>-1422.1002599999995</v>
      </c>
      <c r="H76" s="205">
        <f t="shared" si="238"/>
        <v>-7194.6793099999913</v>
      </c>
      <c r="I76" s="203">
        <f t="shared" si="238"/>
        <v>-1063.2963000000041</v>
      </c>
      <c r="J76" s="203">
        <f t="shared" si="238"/>
        <v>281.17186000000248</v>
      </c>
      <c r="K76" s="203">
        <f t="shared" si="238"/>
        <v>-2032.5919599999997</v>
      </c>
      <c r="L76" s="204">
        <f t="shared" si="238"/>
        <v>-4500.1076799999992</v>
      </c>
      <c r="M76" s="205">
        <f>SUM(I76:L76)</f>
        <v>-7314.8240800000003</v>
      </c>
      <c r="N76" s="203">
        <f t="shared" ref="N76:AG76" si="239">N72-N73</f>
        <v>-5696.2804999999971</v>
      </c>
      <c r="O76" s="204">
        <f t="shared" si="239"/>
        <v>-7578</v>
      </c>
      <c r="P76" s="204">
        <f t="shared" si="239"/>
        <v>-8319</v>
      </c>
      <c r="Q76" s="204">
        <f t="shared" si="239"/>
        <v>-9498</v>
      </c>
      <c r="R76" s="205">
        <f t="shared" si="239"/>
        <v>-31091.280499999993</v>
      </c>
      <c r="S76" s="204">
        <f t="shared" si="239"/>
        <v>-12751</v>
      </c>
      <c r="T76" s="204">
        <f t="shared" si="239"/>
        <v>-17460</v>
      </c>
      <c r="U76" s="203">
        <f t="shared" si="239"/>
        <v>-26728</v>
      </c>
      <c r="V76" s="204">
        <f t="shared" si="239"/>
        <v>-41862</v>
      </c>
      <c r="W76" s="205">
        <f t="shared" si="239"/>
        <v>-98801</v>
      </c>
      <c r="X76" s="203">
        <f t="shared" si="239"/>
        <v>-73739</v>
      </c>
      <c r="Y76" s="203">
        <f t="shared" si="239"/>
        <v>-80440</v>
      </c>
      <c r="Z76" s="203">
        <f t="shared" si="239"/>
        <v>-86720</v>
      </c>
      <c r="AA76" s="204">
        <f t="shared" si="239"/>
        <v>-84942</v>
      </c>
      <c r="AB76" s="205">
        <f t="shared" si="239"/>
        <v>-325841</v>
      </c>
      <c r="AC76" s="204">
        <f t="shared" si="239"/>
        <v>-81640</v>
      </c>
      <c r="AD76" s="203">
        <f t="shared" si="239"/>
        <v>-95076</v>
      </c>
      <c r="AE76" s="203">
        <f t="shared" si="239"/>
        <v>-31138</v>
      </c>
      <c r="AF76" s="204">
        <f t="shared" si="239"/>
        <v>-15871</v>
      </c>
      <c r="AG76" s="205">
        <f t="shared" si="239"/>
        <v>-223725</v>
      </c>
      <c r="AH76" s="204">
        <f t="shared" ref="AH76:AL76" si="240">AH72-AH73</f>
        <v>-27861</v>
      </c>
      <c r="AI76" s="203">
        <f t="shared" si="240"/>
        <v>-40421</v>
      </c>
      <c r="AJ76" s="203">
        <f t="shared" si="240"/>
        <v>31809</v>
      </c>
      <c r="AK76" s="204">
        <f t="shared" si="240"/>
        <v>7596</v>
      </c>
      <c r="AL76" s="205">
        <f t="shared" si="240"/>
        <v>-28877</v>
      </c>
      <c r="AM76" s="204">
        <f t="shared" ref="AM76:AP76" si="241">AM72-AM73</f>
        <v>8912</v>
      </c>
      <c r="AN76" s="203">
        <f t="shared" si="241"/>
        <v>33548</v>
      </c>
      <c r="AO76" s="203">
        <f t="shared" si="241"/>
        <v>-11589</v>
      </c>
      <c r="AP76" s="204">
        <f t="shared" si="241"/>
        <v>-7074</v>
      </c>
      <c r="AQ76" s="205">
        <f t="shared" ref="AQ76:AS76" si="242">AQ72-AQ73</f>
        <v>23797</v>
      </c>
      <c r="AR76" s="204">
        <f t="shared" si="242"/>
        <v>-2962</v>
      </c>
      <c r="AS76" s="203">
        <f t="shared" si="242"/>
        <v>-2588</v>
      </c>
      <c r="AT76" s="203">
        <f t="shared" ref="AT76:AV76" si="243">AT72-AT73</f>
        <v>-5188.2592932609259</v>
      </c>
      <c r="AU76" s="204">
        <f t="shared" si="243"/>
        <v>103.04782263055677</v>
      </c>
      <c r="AV76" s="205">
        <f t="shared" si="243"/>
        <v>-10635.211470630486</v>
      </c>
      <c r="AW76" s="204">
        <f t="shared" ref="AW76:BA76" si="244">AW72-AW73</f>
        <v>1447.0467069534934</v>
      </c>
      <c r="AX76" s="203">
        <f t="shared" si="244"/>
        <v>3379.0605286665959</v>
      </c>
      <c r="AY76" s="203">
        <f t="shared" si="244"/>
        <v>-5124.5478175050812</v>
      </c>
      <c r="AZ76" s="204">
        <f t="shared" si="244"/>
        <v>-2470.6487157316878</v>
      </c>
      <c r="BA76" s="205">
        <f t="shared" si="244"/>
        <v>-2769.0892976168543</v>
      </c>
    </row>
    <row r="77" spans="1:53" s="118" customFormat="1" ht="13.35" customHeight="1" x14ac:dyDescent="0.2">
      <c r="A77" s="123"/>
      <c r="B77" s="124"/>
      <c r="C77" s="112" t="s">
        <v>117</v>
      </c>
      <c r="D77" s="114">
        <f t="shared" ref="D77:AI77" si="245">D76/D17</f>
        <v>-0.22855975207113954</v>
      </c>
      <c r="E77" s="114">
        <f t="shared" si="245"/>
        <v>-0.10468575616236381</v>
      </c>
      <c r="F77" s="114">
        <f t="shared" si="245"/>
        <v>-6.962822579813345E-2</v>
      </c>
      <c r="G77" s="115">
        <f t="shared" si="245"/>
        <v>-7.2925697812841889E-2</v>
      </c>
      <c r="H77" s="116">
        <f t="shared" si="245"/>
        <v>-0.110919236107065</v>
      </c>
      <c r="I77" s="114">
        <f t="shared" si="245"/>
        <v>-4.7417506048857049E-2</v>
      </c>
      <c r="J77" s="114">
        <f t="shared" si="245"/>
        <v>1.0814863786303246E-2</v>
      </c>
      <c r="K77" s="114">
        <f t="shared" si="245"/>
        <v>-7.1966244204081889E-2</v>
      </c>
      <c r="L77" s="115">
        <f t="shared" si="245"/>
        <v>-0.14202945198941755</v>
      </c>
      <c r="M77" s="116">
        <f t="shared" si="245"/>
        <v>-6.7510572826203333E-2</v>
      </c>
      <c r="N77" s="114">
        <f t="shared" si="245"/>
        <v>-0.16192054463368427</v>
      </c>
      <c r="O77" s="115">
        <f t="shared" si="245"/>
        <v>-0.19390992835209825</v>
      </c>
      <c r="P77" s="114">
        <f t="shared" si="245"/>
        <v>-0.2017705554208101</v>
      </c>
      <c r="Q77" s="115">
        <f t="shared" si="245"/>
        <v>-0.22555212538589409</v>
      </c>
      <c r="R77" s="116">
        <f t="shared" si="245"/>
        <v>-0.19728035000474956</v>
      </c>
      <c r="S77" s="115">
        <f t="shared" si="245"/>
        <v>-0.27594191607695473</v>
      </c>
      <c r="T77" s="114">
        <f t="shared" si="245"/>
        <v>-0.32306411323896755</v>
      </c>
      <c r="U77" s="114">
        <f t="shared" si="245"/>
        <v>-0.44742040242391778</v>
      </c>
      <c r="V77" s="115">
        <f t="shared" si="245"/>
        <v>-0.53482043616572761</v>
      </c>
      <c r="W77" s="116">
        <f t="shared" si="245"/>
        <v>-0.41466854133003167</v>
      </c>
      <c r="X77" s="114">
        <f t="shared" si="245"/>
        <v>-0.62306398871135371</v>
      </c>
      <c r="Y77" s="114">
        <f t="shared" si="245"/>
        <v>-0.51406587507509038</v>
      </c>
      <c r="Z77" s="114">
        <f t="shared" si="245"/>
        <v>-0.5195583274918969</v>
      </c>
      <c r="AA77" s="115">
        <f t="shared" si="245"/>
        <v>-0.42424121345912769</v>
      </c>
      <c r="AB77" s="116">
        <f t="shared" si="245"/>
        <v>-0.50757291353497658</v>
      </c>
      <c r="AC77" s="114">
        <f t="shared" si="245"/>
        <v>-0.35507385048972706</v>
      </c>
      <c r="AD77" s="114">
        <f t="shared" si="245"/>
        <v>-0.36566848457343293</v>
      </c>
      <c r="AE77" s="114">
        <f t="shared" si="245"/>
        <v>-0.11424483131844949</v>
      </c>
      <c r="AF77" s="115">
        <f t="shared" si="245"/>
        <v>-5.3621322846244546E-2</v>
      </c>
      <c r="AG77" s="116">
        <f t="shared" si="245"/>
        <v>-0.21136680560961693</v>
      </c>
      <c r="AH77" s="114">
        <f t="shared" si="245"/>
        <v>-9.1352033706575728E-2</v>
      </c>
      <c r="AI77" s="114">
        <f t="shared" si="245"/>
        <v>-0.12691251040047724</v>
      </c>
      <c r="AJ77" s="114">
        <f t="shared" ref="AJ77:BA77" si="246">AJ76/AJ17</f>
        <v>9.8471339945763209E-2</v>
      </c>
      <c r="AK77" s="115">
        <f t="shared" si="246"/>
        <v>2.2102919994762341E-2</v>
      </c>
      <c r="AL77" s="116">
        <f t="shared" si="246"/>
        <v>-2.238226966461087E-2</v>
      </c>
      <c r="AM77" s="114">
        <f t="shared" si="246"/>
        <v>2.4862602873483051E-2</v>
      </c>
      <c r="AN77" s="114">
        <f t="shared" si="246"/>
        <v>9.2532422756334234E-2</v>
      </c>
      <c r="AO77" s="114">
        <f t="shared" si="246"/>
        <v>-3.2351898430281086E-2</v>
      </c>
      <c r="AP77" s="115">
        <f t="shared" si="246"/>
        <v>-1.8453158870898319E-2</v>
      </c>
      <c r="AQ77" s="116">
        <f t="shared" si="246"/>
        <v>1.6270674224139699E-2</v>
      </c>
      <c r="AR77" s="114">
        <f t="shared" si="246"/>
        <v>-7.4846932716094621E-3</v>
      </c>
      <c r="AS77" s="114">
        <f t="shared" si="246"/>
        <v>-6.2410923358517962E-3</v>
      </c>
      <c r="AT77" s="114">
        <f t="shared" si="246"/>
        <v>-1.2878596034471756E-2</v>
      </c>
      <c r="AU77" s="115">
        <f t="shared" si="246"/>
        <v>2.3973105923819977E-4</v>
      </c>
      <c r="AV77" s="116">
        <f t="shared" si="246"/>
        <v>-6.4725765521610702E-3</v>
      </c>
      <c r="AW77" s="114">
        <f t="shared" si="246"/>
        <v>3.2945302886749684E-3</v>
      </c>
      <c r="AX77" s="114">
        <f t="shared" si="246"/>
        <v>7.4234021686899205E-3</v>
      </c>
      <c r="AY77" s="114">
        <f t="shared" si="246"/>
        <v>-1.139905793621456E-2</v>
      </c>
      <c r="AZ77" s="115">
        <f t="shared" si="246"/>
        <v>-5.115067391686154E-3</v>
      </c>
      <c r="BA77" s="116">
        <f t="shared" si="246"/>
        <v>-1.5156564330718969E-3</v>
      </c>
    </row>
    <row r="78" spans="1:53" ht="13.5" thickBot="1" x14ac:dyDescent="0.25">
      <c r="A78" s="28"/>
      <c r="B78" s="138"/>
      <c r="C78" s="126"/>
      <c r="D78" s="139"/>
      <c r="E78" s="139"/>
      <c r="F78" s="139"/>
      <c r="G78" s="140"/>
      <c r="H78" s="141"/>
      <c r="I78" s="139"/>
      <c r="J78" s="139"/>
      <c r="K78" s="139"/>
      <c r="L78" s="140"/>
      <c r="M78" s="141"/>
      <c r="N78" s="139"/>
      <c r="O78" s="140">
        <f>-7578-O76</f>
        <v>0</v>
      </c>
      <c r="P78" s="139"/>
      <c r="Q78" s="140"/>
      <c r="R78" s="141"/>
      <c r="S78" s="140"/>
      <c r="T78" s="146"/>
      <c r="U78" s="146"/>
      <c r="V78" s="140"/>
      <c r="W78" s="141"/>
      <c r="X78" s="139"/>
      <c r="Y78" s="139"/>
      <c r="Z78" s="139"/>
      <c r="AA78" s="140"/>
      <c r="AB78" s="141"/>
      <c r="AC78" s="139"/>
      <c r="AD78" s="139"/>
      <c r="AE78" s="139"/>
      <c r="AF78" s="140"/>
      <c r="AG78" s="141"/>
      <c r="AH78" s="139"/>
      <c r="AI78" s="139"/>
      <c r="AJ78" s="139"/>
      <c r="AK78" s="140"/>
      <c r="AL78" s="141"/>
      <c r="AM78" s="139"/>
      <c r="AN78" s="139"/>
      <c r="AO78" s="139"/>
      <c r="AP78" s="140"/>
      <c r="AQ78" s="141"/>
      <c r="AR78" s="139"/>
      <c r="AS78" s="139"/>
      <c r="AT78" s="139"/>
      <c r="AU78" s="140"/>
      <c r="AV78" s="141"/>
      <c r="AW78" s="139"/>
      <c r="AX78" s="139"/>
      <c r="AY78" s="139"/>
      <c r="AZ78" s="140"/>
      <c r="BA78" s="141"/>
    </row>
    <row r="79" spans="1:53" s="133" customFormat="1" x14ac:dyDescent="0.2">
      <c r="A79" s="206"/>
      <c r="B79" s="207" t="s">
        <v>118</v>
      </c>
      <c r="C79" s="208"/>
      <c r="D79" s="209">
        <f>IF(D69&gt;0,D69/D85,D69/D84)</f>
        <v>-6.0082445865635721E-2</v>
      </c>
      <c r="E79" s="209">
        <f>IF(E69&gt;0,E69/E85,E69/E84)</f>
        <v>-2.8385976511526773E-2</v>
      </c>
      <c r="F79" s="209">
        <f>IF(F69&gt;0,F69/F85,F69/F84)</f>
        <v>-2.7930929526123877E-2</v>
      </c>
      <c r="G79" s="210">
        <f>IF(G69&gt;0,G69/G85,G69/G84)</f>
        <v>-2.5393262641842013E-2</v>
      </c>
      <c r="H79" s="211">
        <f>IF(H69&gt;0,H69/H85,H69/H84)</f>
        <v>-0.1391528730038237</v>
      </c>
      <c r="I79" s="209">
        <f>I69/I85</f>
        <v>-8.0059152941608525E-3</v>
      </c>
      <c r="J79" s="209">
        <f t="shared" ref="J79:Q79" si="247">IF(J69&gt;0,J69/J85,J69/J84)</f>
        <v>5.9681877037264909E-3</v>
      </c>
      <c r="K79" s="209">
        <f t="shared" si="247"/>
        <v>-2.2827288477235996E-3</v>
      </c>
      <c r="L79" s="210">
        <f t="shared" si="247"/>
        <v>-3.9662469660043782E-2</v>
      </c>
      <c r="M79" s="211">
        <f t="shared" si="247"/>
        <v>-4.5882901342635507E-2</v>
      </c>
      <c r="N79" s="209">
        <f t="shared" si="247"/>
        <v>-4.5500033297343589E-2</v>
      </c>
      <c r="O79" s="210">
        <f t="shared" si="247"/>
        <v>-5.731946280925905E-2</v>
      </c>
      <c r="P79" s="209">
        <f t="shared" si="247"/>
        <v>-4.0495171251329808E-2</v>
      </c>
      <c r="Q79" s="210">
        <f t="shared" si="247"/>
        <v>-2.4898504201453987E-2</v>
      </c>
      <c r="R79" s="211">
        <f>SUM(N79:Q79)</f>
        <v>-0.16821317155938642</v>
      </c>
      <c r="S79" s="210">
        <f t="shared" ref="S79:AV79" si="248">IF(S69&gt;0,S69/S85,S69/S84)</f>
        <v>-1.8038795252817392E-2</v>
      </c>
      <c r="T79" s="209">
        <f t="shared" si="248"/>
        <v>-1.2193476367472613E-2</v>
      </c>
      <c r="U79" s="209">
        <f t="shared" si="248"/>
        <v>-2.1094799520737773E-2</v>
      </c>
      <c r="V79" s="210">
        <f t="shared" si="248"/>
        <v>-6.6900477203472655E-2</v>
      </c>
      <c r="W79" s="211">
        <f t="shared" si="248"/>
        <v>-0.12075079905953937</v>
      </c>
      <c r="X79" s="209">
        <f t="shared" si="248"/>
        <v>-0.1263817628165019</v>
      </c>
      <c r="Y79" s="209">
        <f t="shared" si="248"/>
        <v>-2.128073073559421E-3</v>
      </c>
      <c r="Z79" s="209">
        <f t="shared" si="248"/>
        <v>-8.3665607242608103E-2</v>
      </c>
      <c r="AA79" s="210">
        <f t="shared" si="248"/>
        <v>-3.151121707408152E-2</v>
      </c>
      <c r="AB79" s="211">
        <f t="shared" si="248"/>
        <v>-0.23893620523201112</v>
      </c>
      <c r="AC79" s="209">
        <f t="shared" si="248"/>
        <v>0.14392340425531916</v>
      </c>
      <c r="AD79" s="209">
        <f t="shared" si="248"/>
        <v>0.4211567654232547</v>
      </c>
      <c r="AE79" s="209">
        <f t="shared" si="248"/>
        <v>0.50070384684292701</v>
      </c>
      <c r="AF79" s="210">
        <f t="shared" si="248"/>
        <v>0.5932986959716976</v>
      </c>
      <c r="AG79" s="211">
        <f t="shared" si="248"/>
        <v>1.6581313580373267</v>
      </c>
      <c r="AH79" s="209">
        <f t="shared" si="248"/>
        <v>0.54157764438566147</v>
      </c>
      <c r="AI79" s="209">
        <f t="shared" si="248"/>
        <v>0.62739049969154848</v>
      </c>
      <c r="AJ79" s="209">
        <f t="shared" si="248"/>
        <v>0.61658991149168885</v>
      </c>
      <c r="AK79" s="210">
        <f t="shared" si="248"/>
        <v>0.57364967369545505</v>
      </c>
      <c r="AL79" s="211">
        <f t="shared" si="248"/>
        <v>2.3581396874692446</v>
      </c>
      <c r="AM79" s="209">
        <f t="shared" si="248"/>
        <v>0.62529954714849334</v>
      </c>
      <c r="AN79" s="209">
        <f t="shared" ref="AN79:AP79" si="249">IF(AN69&gt;0,AN69/AN85,AN69/AN84)</f>
        <v>0.56210294945451622</v>
      </c>
      <c r="AO79" s="209">
        <f t="shared" si="249"/>
        <v>0.49857649128472725</v>
      </c>
      <c r="AP79" s="210">
        <f t="shared" si="249"/>
        <v>0.52754509481473866</v>
      </c>
      <c r="AQ79" s="211">
        <f t="shared" si="248"/>
        <v>2.2082970648272595</v>
      </c>
      <c r="AR79" s="209">
        <f t="shared" ref="AR79:AS79" si="250">IF(AR69&gt;0,AR69/AR85,AR69/AR84)</f>
        <v>0.6078779429719362</v>
      </c>
      <c r="AS79" s="209">
        <f t="shared" si="250"/>
        <v>0.64031275633977347</v>
      </c>
      <c r="AT79" s="209">
        <f t="shared" si="248"/>
        <v>0.56730188810401294</v>
      </c>
      <c r="AU79" s="210">
        <f t="shared" si="248"/>
        <v>0.61657573226756857</v>
      </c>
      <c r="AV79" s="211">
        <f t="shared" si="248"/>
        <v>2.4321524477333041</v>
      </c>
      <c r="AW79" s="209">
        <f t="shared" ref="AW79:BA79" si="251">IF(AW69&gt;0,AW69/AW85,AW69/AW84)</f>
        <v>0.61905590190549376</v>
      </c>
      <c r="AX79" s="209">
        <f t="shared" si="251"/>
        <v>0.65567807795451305</v>
      </c>
      <c r="AY79" s="209">
        <f t="shared" si="251"/>
        <v>0.61519919556322444</v>
      </c>
      <c r="AZ79" s="210">
        <f t="shared" si="251"/>
        <v>0.65082898641465292</v>
      </c>
      <c r="BA79" s="211">
        <f t="shared" si="251"/>
        <v>2.5408992183201513</v>
      </c>
    </row>
    <row r="80" spans="1:53" s="160" customFormat="1" ht="13.35" customHeight="1" x14ac:dyDescent="0.2">
      <c r="A80" s="123"/>
      <c r="B80" s="124"/>
      <c r="C80" s="112" t="s">
        <v>119</v>
      </c>
      <c r="D80" s="114"/>
      <c r="E80" s="114"/>
      <c r="F80" s="114"/>
      <c r="G80" s="115"/>
      <c r="H80" s="116"/>
      <c r="I80" s="114">
        <f t="shared" ref="I80:AB80" si="252">I79/D79-1</f>
        <v>-0.86675117534221668</v>
      </c>
      <c r="J80" s="114">
        <f t="shared" si="252"/>
        <v>-1.2102512732406079</v>
      </c>
      <c r="K80" s="114">
        <f t="shared" si="252"/>
        <v>-0.9182723637754856</v>
      </c>
      <c r="L80" s="115">
        <f t="shared" si="252"/>
        <v>0.56192885567566009</v>
      </c>
      <c r="M80" s="116">
        <f t="shared" si="252"/>
        <v>-0.67026982374000488</v>
      </c>
      <c r="N80" s="114">
        <f t="shared" si="252"/>
        <v>4.6833018618782072</v>
      </c>
      <c r="O80" s="115">
        <f t="shared" si="252"/>
        <v>-10.604165561594051</v>
      </c>
      <c r="P80" s="114">
        <f t="shared" si="252"/>
        <v>16.739807902157416</v>
      </c>
      <c r="Q80" s="115">
        <f t="shared" si="252"/>
        <v>-0.37224019545770004</v>
      </c>
      <c r="R80" s="116">
        <f t="shared" si="252"/>
        <v>2.6661406893874573</v>
      </c>
      <c r="S80" s="115">
        <f t="shared" si="252"/>
        <v>-0.60354325160745448</v>
      </c>
      <c r="T80" s="114">
        <f t="shared" si="252"/>
        <v>-0.7872716217168918</v>
      </c>
      <c r="U80" s="114">
        <f t="shared" si="252"/>
        <v>-0.47907864397424793</v>
      </c>
      <c r="V80" s="115">
        <f t="shared" si="252"/>
        <v>1.6869275624824844</v>
      </c>
      <c r="W80" s="116">
        <f t="shared" si="252"/>
        <v>-0.2821561002616898</v>
      </c>
      <c r="X80" s="114">
        <f t="shared" si="252"/>
        <v>6.0061088362740271</v>
      </c>
      <c r="Y80" s="114">
        <f t="shared" si="252"/>
        <v>-0.82547445786369167</v>
      </c>
      <c r="Z80" s="114">
        <f t="shared" si="252"/>
        <v>2.9661721914142167</v>
      </c>
      <c r="AA80" s="115">
        <f t="shared" si="252"/>
        <v>-0.52898367259410461</v>
      </c>
      <c r="AB80" s="116">
        <f t="shared" si="252"/>
        <v>0.97875465084249513</v>
      </c>
      <c r="AC80" s="114">
        <f>AC79/X79-1</f>
        <v>-2.1387988349575924</v>
      </c>
      <c r="AD80" s="114">
        <f t="shared" ref="AD80:AG80" si="253">AD79/Y79-1</f>
        <v>-198.90521794386822</v>
      </c>
      <c r="AE80" s="114">
        <f t="shared" si="253"/>
        <v>-6.9845839090251083</v>
      </c>
      <c r="AF80" s="115">
        <f t="shared" si="253"/>
        <v>-19.828174569610493</v>
      </c>
      <c r="AG80" s="116">
        <f t="shared" si="253"/>
        <v>-7.9396404635591038</v>
      </c>
      <c r="AH80" s="114">
        <f>AH79/AC79-1</f>
        <v>2.7629574368940464</v>
      </c>
      <c r="AI80" s="114">
        <f t="shared" ref="AI80" si="254">AI79/AD79-1</f>
        <v>0.4896840112755465</v>
      </c>
      <c r="AJ80" s="114">
        <f t="shared" ref="AJ80:AL80" si="255">AJ79/AE79-1</f>
        <v>0.23144632376893992</v>
      </c>
      <c r="AK80" s="115">
        <f t="shared" si="255"/>
        <v>-3.3118263042971274E-2</v>
      </c>
      <c r="AL80" s="116">
        <f t="shared" si="255"/>
        <v>0.42216699300620775</v>
      </c>
      <c r="AM80" s="114">
        <f>AM79/AH79-1</f>
        <v>0.15458891930039287</v>
      </c>
      <c r="AN80" s="114">
        <f t="shared" ref="AN80:AP80" si="256">AN79/AI79-1</f>
        <v>-0.10406206384879968</v>
      </c>
      <c r="AO80" s="114">
        <f t="shared" si="256"/>
        <v>-0.19139693661457569</v>
      </c>
      <c r="AP80" s="115">
        <f t="shared" si="256"/>
        <v>-8.0370618157438178E-2</v>
      </c>
      <c r="AQ80" s="116">
        <f t="shared" ref="AQ80" si="257">AQ79/AL79-1</f>
        <v>-6.3542725411146583E-2</v>
      </c>
      <c r="AR80" s="114">
        <f>AR79/AM79-1</f>
        <v>-2.7861213487205605E-2</v>
      </c>
      <c r="AS80" s="114">
        <f t="shared" ref="AS80" si="258">AS79/AN79-1</f>
        <v>0.13913786960405505</v>
      </c>
      <c r="AT80" s="114">
        <f t="shared" ref="AT80" si="259">AT79/AO79-1</f>
        <v>0.13784323573338719</v>
      </c>
      <c r="AU80" s="115">
        <f t="shared" ref="AU80:AV80" si="260">AU79/AP79-1</f>
        <v>0.16876403236029591</v>
      </c>
      <c r="AV80" s="116">
        <f t="shared" si="260"/>
        <v>0.10137014012811507</v>
      </c>
      <c r="AW80" s="114">
        <f>AW79/AR79-1</f>
        <v>1.838849239850382E-2</v>
      </c>
      <c r="AX80" s="114">
        <f t="shared" ref="AX80" si="261">AX79/AS79-1</f>
        <v>2.3996588327511281E-2</v>
      </c>
      <c r="AY80" s="114">
        <f t="shared" ref="AY80" si="262">AY79/AT79-1</f>
        <v>8.4430015946694192E-2</v>
      </c>
      <c r="AZ80" s="115">
        <f t="shared" ref="AZ80" si="263">AZ79/AU79-1</f>
        <v>5.5554009596050502E-2</v>
      </c>
      <c r="BA80" s="116">
        <f t="shared" ref="BA80" si="264">BA79/AV79-1</f>
        <v>4.4712152269976269E-2</v>
      </c>
    </row>
    <row r="81" spans="1:53" x14ac:dyDescent="0.2">
      <c r="A81" s="212"/>
      <c r="B81" s="138" t="s">
        <v>120</v>
      </c>
      <c r="C81" s="213"/>
      <c r="D81" s="214">
        <f t="shared" ref="D81:Q81" si="265">D76/D86</f>
        <v>-0.42889133548156094</v>
      </c>
      <c r="E81" s="214">
        <f t="shared" si="265"/>
        <v>-0.22283462623710271</v>
      </c>
      <c r="F81" s="214">
        <f t="shared" si="265"/>
        <v>-0.16564391818561242</v>
      </c>
      <c r="G81" s="215">
        <f t="shared" si="265"/>
        <v>-0.19399771639042351</v>
      </c>
      <c r="H81" s="216">
        <f t="shared" ref="H81" si="266">H76/H85</f>
        <v>-0.13611109411617239</v>
      </c>
      <c r="I81" s="214">
        <f t="shared" si="265"/>
        <v>-0.1432531222633889</v>
      </c>
      <c r="J81" s="214">
        <f t="shared" si="265"/>
        <v>3.6329460559467987E-2</v>
      </c>
      <c r="K81" s="214">
        <f t="shared" si="265"/>
        <v>-0.25581674658611792</v>
      </c>
      <c r="L81" s="215">
        <f t="shared" si="265"/>
        <v>-0.55639313550939651</v>
      </c>
      <c r="M81" s="216">
        <f t="shared" ref="M81" si="267">M76/M85</f>
        <v>-0.12694966936321886</v>
      </c>
      <c r="N81" s="214">
        <f t="shared" si="265"/>
        <v>-0.69205205928805702</v>
      </c>
      <c r="O81" s="215">
        <f t="shared" si="265"/>
        <v>-0.33972922083744284</v>
      </c>
      <c r="P81" s="214">
        <f t="shared" si="265"/>
        <v>-0.1149366528965584</v>
      </c>
      <c r="Q81" s="215">
        <f t="shared" si="265"/>
        <v>-0.12810725509502166</v>
      </c>
      <c r="R81" s="216">
        <f>R76/R86</f>
        <v>-0.74810588306063508</v>
      </c>
      <c r="S81" s="215">
        <f t="shared" ref="S81:AL81" si="268">IF(S76&gt;0,S76/S85,S76/S84)</f>
        <v>-0.15895831255609855</v>
      </c>
      <c r="T81" s="214">
        <f t="shared" si="268"/>
        <v>-0.21418319655540427</v>
      </c>
      <c r="U81" s="214">
        <f t="shared" si="268"/>
        <v>-0.32347779781427377</v>
      </c>
      <c r="V81" s="215">
        <f t="shared" si="268"/>
        <v>-0.48136606680848615</v>
      </c>
      <c r="W81" s="216">
        <f t="shared" si="268"/>
        <v>-1.1927914115058538</v>
      </c>
      <c r="X81" s="214">
        <f t="shared" si="268"/>
        <v>-0.7689796854794978</v>
      </c>
      <c r="Y81" s="214">
        <f t="shared" si="268"/>
        <v>-0.78165387231561556</v>
      </c>
      <c r="Z81" s="214">
        <f t="shared" si="268"/>
        <v>-0.83521140325532117</v>
      </c>
      <c r="AA81" s="215">
        <f t="shared" si="268"/>
        <v>-0.81331686438973949</v>
      </c>
      <c r="AB81" s="216">
        <f t="shared" si="268"/>
        <v>-3.2018100036602952</v>
      </c>
      <c r="AC81" s="214">
        <f t="shared" si="268"/>
        <v>-0.77688750166530274</v>
      </c>
      <c r="AD81" s="214">
        <f t="shared" si="268"/>
        <v>-0.89773950484391818</v>
      </c>
      <c r="AE81" s="214">
        <f t="shared" si="268"/>
        <v>-0.29210953403941947</v>
      </c>
      <c r="AF81" s="215">
        <f t="shared" si="268"/>
        <v>-0.14914390963595014</v>
      </c>
      <c r="AG81" s="216">
        <f t="shared" si="268"/>
        <v>-2.1105982740688156</v>
      </c>
      <c r="AH81" s="214">
        <f t="shared" si="268"/>
        <v>-0.26082926874935636</v>
      </c>
      <c r="AI81" s="214">
        <f t="shared" si="268"/>
        <v>-0.38163982098683835</v>
      </c>
      <c r="AJ81" s="214">
        <f t="shared" si="268"/>
        <v>0.28611390947686549</v>
      </c>
      <c r="AK81" s="214">
        <f t="shared" si="268"/>
        <v>6.8187326636684351E-2</v>
      </c>
      <c r="AL81" s="216">
        <f t="shared" si="268"/>
        <v>-0.27213185819024821</v>
      </c>
      <c r="AM81" s="214">
        <f t="shared" ref="AM81:AV81" si="269">IF(AM76&gt;0,AM76/AM85,AM76/AM84)</f>
        <v>8.1203473380167479E-2</v>
      </c>
      <c r="AN81" s="214">
        <f t="shared" si="269"/>
        <v>0.29975249957558592</v>
      </c>
      <c r="AO81" s="214">
        <f t="shared" si="269"/>
        <v>-0.11337422592668682</v>
      </c>
      <c r="AP81" s="215">
        <f t="shared" si="269"/>
        <v>-6.8525927289283264E-2</v>
      </c>
      <c r="AQ81" s="216">
        <f t="shared" si="269"/>
        <v>0.20870487996860262</v>
      </c>
      <c r="AR81" s="214">
        <f t="shared" ref="AR81:AS81" si="270">IF(AR76&gt;0,AR76/AR85,AR76/AR84)</f>
        <v>-2.9061439139734305E-2</v>
      </c>
      <c r="AS81" s="214">
        <f t="shared" si="270"/>
        <v>-2.5743046990013129E-2</v>
      </c>
      <c r="AT81" s="214">
        <f t="shared" si="269"/>
        <v>-5.1608038169547267E-2</v>
      </c>
      <c r="AU81" s="215">
        <f t="shared" si="269"/>
        <v>8.9033934725175044E-4</v>
      </c>
      <c r="AV81" s="216">
        <f t="shared" si="269"/>
        <v>-0.1051629010721111</v>
      </c>
      <c r="AW81" s="214">
        <f t="shared" ref="AW81:BA81" si="271">IF(AW76&gt;0,AW76/AW85,AW76/AW84)</f>
        <v>1.2366538126467645E-2</v>
      </c>
      <c r="AX81" s="214">
        <f t="shared" si="271"/>
        <v>2.8705398619498446E-2</v>
      </c>
      <c r="AY81" s="214">
        <f t="shared" si="271"/>
        <v>-4.9375858011824418E-2</v>
      </c>
      <c r="AZ81" s="215">
        <f t="shared" si="271"/>
        <v>-2.3710264199193594E-2</v>
      </c>
      <c r="BA81" s="216">
        <f t="shared" si="271"/>
        <v>-2.676013883235805E-2</v>
      </c>
    </row>
    <row r="82" spans="1:53" s="160" customFormat="1" ht="13.35" customHeight="1" thickBot="1" x14ac:dyDescent="0.25">
      <c r="A82" s="123"/>
      <c r="B82" s="127"/>
      <c r="C82" s="128" t="s">
        <v>119</v>
      </c>
      <c r="D82" s="217"/>
      <c r="E82" s="217"/>
      <c r="F82" s="217"/>
      <c r="G82" s="218"/>
      <c r="H82" s="189"/>
      <c r="I82" s="217">
        <f t="shared" ref="I82:AG82" si="272">I81/D81-1</f>
        <v>-0.66599203478302094</v>
      </c>
      <c r="J82" s="217">
        <f t="shared" si="272"/>
        <v>-1.1630332824523077</v>
      </c>
      <c r="K82" s="217">
        <f t="shared" si="272"/>
        <v>0.54437753820494805</v>
      </c>
      <c r="L82" s="218">
        <f t="shared" si="272"/>
        <v>1.8680396133614603</v>
      </c>
      <c r="M82" s="189">
        <f t="shared" si="272"/>
        <v>-6.7308435160576607E-2</v>
      </c>
      <c r="N82" s="217">
        <f t="shared" si="272"/>
        <v>3.8309736524669402</v>
      </c>
      <c r="O82" s="218">
        <f t="shared" si="272"/>
        <v>-10.351342288205391</v>
      </c>
      <c r="P82" s="217">
        <f t="shared" si="272"/>
        <v>-0.55070708063333829</v>
      </c>
      <c r="Q82" s="218">
        <f t="shared" si="272"/>
        <v>-0.76975406970516413</v>
      </c>
      <c r="R82" s="189">
        <f t="shared" si="272"/>
        <v>4.8929328986293825</v>
      </c>
      <c r="S82" s="218">
        <f t="shared" si="272"/>
        <v>-0.77030873556011725</v>
      </c>
      <c r="T82" s="217">
        <f t="shared" si="272"/>
        <v>-0.36954732352007813</v>
      </c>
      <c r="U82" s="217">
        <f t="shared" si="272"/>
        <v>1.8144007125855657</v>
      </c>
      <c r="V82" s="218">
        <f t="shared" si="272"/>
        <v>2.7575238533636521</v>
      </c>
      <c r="W82" s="189">
        <f t="shared" si="272"/>
        <v>0.59441522719475293</v>
      </c>
      <c r="X82" s="217">
        <f t="shared" si="272"/>
        <v>3.8376185750469292</v>
      </c>
      <c r="Y82" s="217">
        <f t="shared" si="272"/>
        <v>2.6494640330639556</v>
      </c>
      <c r="Z82" s="217">
        <f t="shared" si="272"/>
        <v>1.5819744319357012</v>
      </c>
      <c r="AA82" s="218">
        <f t="shared" si="272"/>
        <v>0.68960157449844006</v>
      </c>
      <c r="AB82" s="189">
        <f t="shared" si="272"/>
        <v>1.6843000148853622</v>
      </c>
      <c r="AC82" s="217">
        <f t="shared" si="272"/>
        <v>1.0283517672998066E-2</v>
      </c>
      <c r="AD82" s="217">
        <f t="shared" si="272"/>
        <v>0.14851283495136269</v>
      </c>
      <c r="AE82" s="217">
        <f t="shared" si="272"/>
        <v>-0.65025676984187131</v>
      </c>
      <c r="AF82" s="218">
        <f t="shared" si="272"/>
        <v>-0.81662262745792424</v>
      </c>
      <c r="AG82" s="189">
        <f t="shared" si="272"/>
        <v>-0.34081089394561548</v>
      </c>
      <c r="AH82" s="217">
        <f t="shared" ref="AH82" si="273">AH81/AC81-1</f>
        <v>-0.66426378569580036</v>
      </c>
      <c r="AI82" s="217">
        <f t="shared" ref="AI82" si="274">AI81/AD81-1</f>
        <v>-0.57488801715015247</v>
      </c>
      <c r="AJ82" s="217">
        <f t="shared" ref="AJ82:AL82" si="275">AJ81/AE81-1</f>
        <v>-1.9794747385350835</v>
      </c>
      <c r="AK82" s="218">
        <f t="shared" si="275"/>
        <v>-1.4571914924526577</v>
      </c>
      <c r="AL82" s="189">
        <f t="shared" si="275"/>
        <v>-0.87106411412645013</v>
      </c>
      <c r="AM82" s="217">
        <f t="shared" ref="AM82:AS82" si="276">AM81/AH81-1</f>
        <v>-1.3113280720738434</v>
      </c>
      <c r="AN82" s="217">
        <f t="shared" si="276"/>
        <v>-1.7854329739503874</v>
      </c>
      <c r="AO82" s="217">
        <f t="shared" si="276"/>
        <v>-1.3962555547683151</v>
      </c>
      <c r="AP82" s="218">
        <f t="shared" si="276"/>
        <v>-2.0049657417191766</v>
      </c>
      <c r="AQ82" s="189">
        <f t="shared" ref="AQ82" si="277">AQ81/AL81-1</f>
        <v>-1.766925568202663</v>
      </c>
      <c r="AR82" s="217">
        <f t="shared" si="276"/>
        <v>-1.3578841880775023</v>
      </c>
      <c r="AS82" s="217">
        <f t="shared" si="276"/>
        <v>-1.0858810085869584</v>
      </c>
      <c r="AT82" s="217">
        <f t="shared" ref="AT82" si="278">AT81/AO81-1</f>
        <v>-0.54479920151411232</v>
      </c>
      <c r="AU82" s="218">
        <f t="shared" ref="AU82:AV82" si="279">AU81/AP81-1</f>
        <v>-1.0129927369460201</v>
      </c>
      <c r="AV82" s="189">
        <f t="shared" si="279"/>
        <v>-1.5038832876736361</v>
      </c>
      <c r="AW82" s="217">
        <f t="shared" ref="AW82" si="280">AW81/AR81-1</f>
        <v>-1.4255308234050761</v>
      </c>
      <c r="AX82" s="217">
        <f t="shared" ref="AX82" si="281">AX81/AS81-1</f>
        <v>-2.1150738539472247</v>
      </c>
      <c r="AY82" s="217">
        <f t="shared" ref="AY82" si="282">AY81/AT81-1</f>
        <v>-4.3252567563012101E-2</v>
      </c>
      <c r="AZ82" s="218">
        <f t="shared" ref="AZ82" si="283">AZ81/AU81-1</f>
        <v>-27.630592338057514</v>
      </c>
      <c r="BA82" s="189">
        <f t="shared" ref="BA82" si="284">BA81/AV81-1</f>
        <v>-0.74553631975207302</v>
      </c>
    </row>
    <row r="83" spans="1:53" ht="5.25" customHeight="1" x14ac:dyDescent="0.2">
      <c r="A83" s="28"/>
      <c r="B83" s="219"/>
      <c r="C83" s="220"/>
      <c r="D83" s="221"/>
      <c r="E83" s="221"/>
      <c r="F83" s="221"/>
      <c r="G83" s="222"/>
      <c r="H83" s="223"/>
      <c r="I83" s="221"/>
      <c r="J83" s="221"/>
      <c r="K83" s="221"/>
      <c r="L83" s="222"/>
      <c r="M83" s="223"/>
      <c r="N83" s="221"/>
      <c r="O83" s="222"/>
      <c r="P83" s="221"/>
      <c r="Q83" s="222"/>
      <c r="R83" s="223"/>
      <c r="S83" s="222"/>
      <c r="T83" s="221"/>
      <c r="U83" s="221"/>
      <c r="V83" s="222"/>
      <c r="W83" s="223"/>
      <c r="X83" s="221"/>
      <c r="Y83" s="221"/>
      <c r="Z83" s="221"/>
      <c r="AA83" s="222"/>
      <c r="AB83" s="223"/>
      <c r="AC83" s="221"/>
      <c r="AD83" s="221"/>
      <c r="AE83" s="221"/>
      <c r="AF83" s="222"/>
      <c r="AG83" s="223"/>
      <c r="AH83" s="221"/>
      <c r="AI83" s="221"/>
      <c r="AJ83" s="221"/>
      <c r="AK83" s="222"/>
      <c r="AL83" s="223"/>
      <c r="AM83" s="221"/>
      <c r="AN83" s="221"/>
      <c r="AO83" s="221"/>
      <c r="AP83" s="222"/>
      <c r="AQ83" s="223"/>
      <c r="AR83" s="221"/>
      <c r="AS83" s="221"/>
      <c r="AT83" s="221"/>
      <c r="AU83" s="222"/>
      <c r="AV83" s="223"/>
      <c r="AW83" s="221"/>
      <c r="AX83" s="221"/>
      <c r="AY83" s="221"/>
      <c r="AZ83" s="222"/>
      <c r="BA83" s="223"/>
    </row>
    <row r="84" spans="1:53" x14ac:dyDescent="0.2">
      <c r="A84" s="105"/>
      <c r="B84" s="119" t="s">
        <v>121</v>
      </c>
      <c r="C84" s="126"/>
      <c r="D84" s="108">
        <v>48629</v>
      </c>
      <c r="E84" s="108">
        <v>54026.5</v>
      </c>
      <c r="F84" s="108">
        <v>54318</v>
      </c>
      <c r="G84" s="108">
        <v>54462</v>
      </c>
      <c r="H84" s="110">
        <f>AVERAGE(D84:G84)</f>
        <v>52858.875</v>
      </c>
      <c r="I84" s="108">
        <v>54553.5</v>
      </c>
      <c r="J84" s="108">
        <v>55374.5</v>
      </c>
      <c r="K84" s="108">
        <v>60029</v>
      </c>
      <c r="L84" s="108">
        <v>60522.5</v>
      </c>
      <c r="M84" s="110">
        <f>AVERAGE(I84:L84)</f>
        <v>57619.875</v>
      </c>
      <c r="N84" s="108">
        <v>60665.5</v>
      </c>
      <c r="O84" s="109">
        <v>62771</v>
      </c>
      <c r="P84" s="108">
        <v>72379</v>
      </c>
      <c r="Q84" s="108">
        <v>74141</v>
      </c>
      <c r="R84" s="110">
        <f>AVERAGE(N84:Q84)</f>
        <v>67489.125</v>
      </c>
      <c r="S84" s="109">
        <v>80216</v>
      </c>
      <c r="T84" s="108">
        <v>81519</v>
      </c>
      <c r="U84" s="108">
        <v>82627</v>
      </c>
      <c r="V84" s="108">
        <v>86965</v>
      </c>
      <c r="W84" s="110">
        <f>AVERAGE(S84:V84)</f>
        <v>82831.75</v>
      </c>
      <c r="X84" s="108">
        <v>95892</v>
      </c>
      <c r="Y84" s="108">
        <v>102910</v>
      </c>
      <c r="Z84" s="108">
        <v>103830</v>
      </c>
      <c r="AA84" s="108">
        <v>104439</v>
      </c>
      <c r="AB84" s="110">
        <f>AVERAGE(X84:AA84)</f>
        <v>101767.75</v>
      </c>
      <c r="AC84" s="108">
        <v>105086</v>
      </c>
      <c r="AD84" s="108">
        <v>105906</v>
      </c>
      <c r="AE84" s="108">
        <v>106597</v>
      </c>
      <c r="AF84" s="108">
        <v>106414</v>
      </c>
      <c r="AG84" s="110">
        <f>AVERAGE(AC84:AF84)</f>
        <v>106000.75</v>
      </c>
      <c r="AH84" s="108">
        <v>106817</v>
      </c>
      <c r="AI84" s="108">
        <v>105914</v>
      </c>
      <c r="AJ84" s="108">
        <v>105436</v>
      </c>
      <c r="AK84" s="108">
        <v>106289</v>
      </c>
      <c r="AL84" s="110">
        <f>AVERAGE(AH84:AK84)</f>
        <v>106114</v>
      </c>
      <c r="AM84" s="108">
        <v>107322</v>
      </c>
      <c r="AN84" s="108">
        <v>104480</v>
      </c>
      <c r="AO84" s="108">
        <v>102219</v>
      </c>
      <c r="AP84" s="108">
        <v>103231</v>
      </c>
      <c r="AQ84" s="110">
        <f>AVERAGE(AM84:AP84)</f>
        <v>104313</v>
      </c>
      <c r="AR84" s="108">
        <v>101922</v>
      </c>
      <c r="AS84" s="108">
        <v>100532</v>
      </c>
      <c r="AT84" s="108">
        <f>(AT85/AS85)*AS84</f>
        <v>100532</v>
      </c>
      <c r="AU84" s="108">
        <f>(AU85/AT85)*AT84</f>
        <v>101537.32</v>
      </c>
      <c r="AV84" s="110">
        <f>AVERAGE(AR84:AU84)</f>
        <v>101130.83</v>
      </c>
      <c r="AW84" s="108">
        <f>(AW85/AU85)*AU84</f>
        <v>102654.23052</v>
      </c>
      <c r="AX84" s="108">
        <f>(AX85/AW85)*AW84</f>
        <v>103270.15590312</v>
      </c>
      <c r="AY84" s="108">
        <f>(AY85/AX85)*AX84</f>
        <v>103786.50668263559</v>
      </c>
      <c r="AZ84" s="108">
        <f>(AZ85/AY85)*AY84</f>
        <v>104201.65270936613</v>
      </c>
      <c r="BA84" s="110">
        <f>AVERAGE(AW84:AZ84)</f>
        <v>103478.13645378042</v>
      </c>
    </row>
    <row r="85" spans="1:53" ht="13.5" thickBot="1" x14ac:dyDescent="0.25">
      <c r="A85" s="28"/>
      <c r="B85" s="238" t="s">
        <v>122</v>
      </c>
      <c r="C85" s="225"/>
      <c r="D85" s="108">
        <f>D84</f>
        <v>48629</v>
      </c>
      <c r="E85" s="108">
        <f>E84</f>
        <v>54026.5</v>
      </c>
      <c r="F85" s="108">
        <f>F84</f>
        <v>54318</v>
      </c>
      <c r="G85" s="108">
        <f>G84</f>
        <v>54462</v>
      </c>
      <c r="H85" s="110">
        <f>AVERAGE(D85:G85)</f>
        <v>52858.875</v>
      </c>
      <c r="I85" s="108">
        <f>I84</f>
        <v>54553.5</v>
      </c>
      <c r="J85" s="108">
        <f>J84</f>
        <v>55374.5</v>
      </c>
      <c r="K85" s="108">
        <f>K84</f>
        <v>60029</v>
      </c>
      <c r="L85" s="108">
        <f>L84</f>
        <v>60522.5</v>
      </c>
      <c r="M85" s="110">
        <f>AVERAGE(I85:L85)</f>
        <v>57619.875</v>
      </c>
      <c r="N85" s="108">
        <f>N84</f>
        <v>60665.5</v>
      </c>
      <c r="O85" s="109">
        <v>66000</v>
      </c>
      <c r="P85" s="108">
        <v>81900</v>
      </c>
      <c r="Q85" s="108">
        <v>85000</v>
      </c>
      <c r="R85" s="110">
        <f>AVERAGE(N85:Q85)</f>
        <v>73391.375</v>
      </c>
      <c r="S85" s="109">
        <v>80216</v>
      </c>
      <c r="T85" s="108">
        <v>81519</v>
      </c>
      <c r="U85" s="108">
        <v>82627</v>
      </c>
      <c r="V85" s="108">
        <v>86965</v>
      </c>
      <c r="W85" s="110">
        <f>AVERAGE(S85:V85)</f>
        <v>82831.75</v>
      </c>
      <c r="X85" s="108">
        <v>95892</v>
      </c>
      <c r="Y85" s="108">
        <v>102910</v>
      </c>
      <c r="Z85" s="108">
        <v>103830</v>
      </c>
      <c r="AA85" s="108">
        <f>AA84</f>
        <v>104439</v>
      </c>
      <c r="AB85" s="110">
        <f>AVERAGE(X85:AA85)</f>
        <v>101767.75</v>
      </c>
      <c r="AC85" s="108">
        <v>117500</v>
      </c>
      <c r="AD85" s="108">
        <v>117258</v>
      </c>
      <c r="AE85" s="108">
        <v>117213</v>
      </c>
      <c r="AF85" s="108">
        <v>117022</v>
      </c>
      <c r="AG85" s="110">
        <f>AVERAGE(AC85:AF85)</f>
        <v>117248.25</v>
      </c>
      <c r="AH85" s="4">
        <v>117948</v>
      </c>
      <c r="AI85" s="4">
        <v>116712</v>
      </c>
      <c r="AJ85" s="108">
        <v>111176</v>
      </c>
      <c r="AK85" s="108">
        <v>111399</v>
      </c>
      <c r="AL85" s="110">
        <f>AVERAGE(AH85:AK85)</f>
        <v>114308.75</v>
      </c>
      <c r="AM85" s="4">
        <v>109749</v>
      </c>
      <c r="AN85" s="4">
        <v>111919</v>
      </c>
      <c r="AO85" s="108">
        <v>117667</v>
      </c>
      <c r="AP85" s="108">
        <v>116754</v>
      </c>
      <c r="AQ85" s="110">
        <f>AVERAGE(AM85:AP85)</f>
        <v>114022.25</v>
      </c>
      <c r="AR85" s="4">
        <v>115487</v>
      </c>
      <c r="AS85" s="4">
        <v>114594</v>
      </c>
      <c r="AT85" s="108">
        <f>+AS85*1</f>
        <v>114594</v>
      </c>
      <c r="AU85" s="108">
        <f>+AT85*1.01</f>
        <v>115739.94</v>
      </c>
      <c r="AV85" s="110">
        <f>AVERAGE(AR85:AU85)</f>
        <v>115103.735</v>
      </c>
      <c r="AW85" s="108">
        <f>+AU85*1.011</f>
        <v>117013.07934</v>
      </c>
      <c r="AX85" s="108">
        <f>+AW85*1.006</f>
        <v>117715.15781603999</v>
      </c>
      <c r="AY85" s="108">
        <f>+AX85*1.005</f>
        <v>118303.73360512019</v>
      </c>
      <c r="AZ85" s="108">
        <f>+AY85*1.004</f>
        <v>118776.94853954067</v>
      </c>
      <c r="BA85" s="110">
        <f>AVERAGE(AW85:AZ85)</f>
        <v>117952.22982517519</v>
      </c>
    </row>
    <row r="86" spans="1:53" ht="13.5" hidden="1" outlineLevel="1" thickBot="1" x14ac:dyDescent="0.25">
      <c r="A86" s="28"/>
      <c r="B86" s="224"/>
      <c r="C86" s="225" t="s">
        <v>123</v>
      </c>
      <c r="D86" s="108">
        <v>6982.5</v>
      </c>
      <c r="E86" s="108">
        <v>7123.5</v>
      </c>
      <c r="F86" s="108">
        <v>7187</v>
      </c>
      <c r="G86" s="108">
        <v>7330.5</v>
      </c>
      <c r="H86" s="110">
        <v>7155</v>
      </c>
      <c r="I86" s="108">
        <v>7422.5</v>
      </c>
      <c r="J86" s="108">
        <v>7739.5</v>
      </c>
      <c r="K86" s="108">
        <v>7945.5</v>
      </c>
      <c r="L86" s="108">
        <v>8088</v>
      </c>
      <c r="M86" s="110">
        <v>7797</v>
      </c>
      <c r="N86" s="108">
        <v>8231</v>
      </c>
      <c r="O86" s="108">
        <v>22306</v>
      </c>
      <c r="P86" s="108">
        <f>P84</f>
        <v>72379</v>
      </c>
      <c r="Q86" s="108">
        <f>Q84</f>
        <v>74141</v>
      </c>
      <c r="R86" s="110">
        <v>41560</v>
      </c>
      <c r="S86" s="109"/>
      <c r="T86" s="108"/>
      <c r="U86" s="108"/>
      <c r="V86" s="108"/>
      <c r="W86" s="110"/>
      <c r="X86" s="108"/>
      <c r="Y86" s="108"/>
      <c r="Z86" s="108"/>
      <c r="AA86" s="108"/>
      <c r="AB86" s="110"/>
      <c r="AC86" s="108"/>
      <c r="AD86" s="108"/>
      <c r="AE86" s="108"/>
      <c r="AF86" s="108"/>
      <c r="AG86" s="110"/>
      <c r="AH86" s="108"/>
      <c r="AI86" s="108"/>
      <c r="AJ86" s="108"/>
      <c r="AK86" s="108"/>
      <c r="AL86" s="110"/>
      <c r="AM86" s="108"/>
      <c r="AN86" s="108"/>
      <c r="AO86" s="108"/>
      <c r="AP86" s="108"/>
      <c r="AQ86" s="110"/>
      <c r="AR86" s="108"/>
      <c r="AS86" s="108"/>
      <c r="AT86" s="108"/>
      <c r="AU86" s="108"/>
      <c r="AV86" s="110"/>
      <c r="AW86" s="108"/>
      <c r="AX86" s="108"/>
      <c r="AY86" s="108"/>
      <c r="AZ86" s="108"/>
      <c r="BA86" s="110"/>
    </row>
    <row r="87" spans="1:53" ht="7.5" hidden="1" customHeight="1" collapsed="1" x14ac:dyDescent="0.2">
      <c r="A87" s="28"/>
      <c r="B87" s="219"/>
      <c r="C87" s="226"/>
      <c r="D87" s="226"/>
      <c r="E87" s="226"/>
      <c r="F87" s="226"/>
      <c r="G87" s="226"/>
      <c r="H87" s="227"/>
      <c r="I87" s="226"/>
      <c r="J87" s="226"/>
      <c r="K87" s="226"/>
      <c r="L87" s="226"/>
      <c r="M87" s="227"/>
      <c r="N87" s="226"/>
      <c r="O87" s="226"/>
      <c r="P87" s="226"/>
      <c r="Q87" s="226"/>
      <c r="R87" s="227"/>
      <c r="S87" s="226"/>
      <c r="T87" s="226"/>
      <c r="U87" s="226"/>
      <c r="V87" s="226"/>
      <c r="W87" s="227"/>
      <c r="X87" s="226"/>
      <c r="Y87" s="226"/>
      <c r="Z87" s="226"/>
      <c r="AA87" s="226"/>
      <c r="AB87" s="227"/>
      <c r="AC87" s="226"/>
      <c r="AD87" s="226"/>
      <c r="AE87" s="226"/>
      <c r="AF87" s="226"/>
      <c r="AG87" s="227"/>
      <c r="AH87" s="226"/>
      <c r="AI87" s="226"/>
      <c r="AJ87" s="226"/>
      <c r="AK87" s="226"/>
      <c r="AL87" s="227"/>
      <c r="AM87" s="226"/>
      <c r="AN87" s="226"/>
      <c r="AO87" s="226"/>
      <c r="AP87" s="226"/>
      <c r="AQ87" s="227"/>
      <c r="AR87" s="226"/>
      <c r="AS87" s="226"/>
      <c r="AT87" s="226"/>
      <c r="AU87" s="226"/>
      <c r="AV87" s="227"/>
      <c r="AW87" s="226"/>
      <c r="AX87" s="226"/>
      <c r="AY87" s="226"/>
      <c r="AZ87" s="226"/>
      <c r="BA87" s="227"/>
    </row>
    <row r="88" spans="1:53" ht="13.5" hidden="1" thickBot="1" x14ac:dyDescent="0.25">
      <c r="A88" s="105"/>
      <c r="B88" s="228" t="s">
        <v>124</v>
      </c>
      <c r="C88" s="229"/>
      <c r="D88" s="108"/>
      <c r="E88" s="229"/>
      <c r="F88" s="229"/>
      <c r="G88" s="229"/>
      <c r="H88" s="230">
        <v>5208</v>
      </c>
      <c r="I88" s="228">
        <v>5095</v>
      </c>
      <c r="J88" s="229">
        <v>5642</v>
      </c>
      <c r="K88" s="229">
        <v>5471.9015600000002</v>
      </c>
      <c r="L88" s="229">
        <v>5254.1441499999992</v>
      </c>
      <c r="M88" s="230"/>
      <c r="N88" s="229">
        <v>5248.0812299999998</v>
      </c>
      <c r="O88" s="229">
        <v>6365</v>
      </c>
      <c r="P88" s="229">
        <v>8199</v>
      </c>
      <c r="Q88" s="229">
        <v>8513</v>
      </c>
      <c r="R88" s="230"/>
      <c r="S88" s="229">
        <v>8951</v>
      </c>
      <c r="T88" s="229">
        <v>8545</v>
      </c>
      <c r="U88" s="229">
        <v>11437</v>
      </c>
      <c r="V88" s="229">
        <v>16576.340381735263</v>
      </c>
      <c r="W88" s="230"/>
      <c r="X88" s="229">
        <v>23968</v>
      </c>
      <c r="Y88" s="229">
        <v>32809</v>
      </c>
      <c r="Z88" s="229">
        <v>30370</v>
      </c>
      <c r="AA88" s="229">
        <v>34027</v>
      </c>
      <c r="AB88" s="230"/>
      <c r="AC88" s="109">
        <v>32724</v>
      </c>
      <c r="AD88" s="109">
        <v>32371</v>
      </c>
      <c r="AE88" s="109">
        <v>29341</v>
      </c>
      <c r="AF88" s="109">
        <v>35497.708345757295</v>
      </c>
      <c r="AG88" s="110"/>
      <c r="AH88" s="109">
        <v>37268.568743836513</v>
      </c>
      <c r="AI88" s="109">
        <v>39231.429297165327</v>
      </c>
      <c r="AJ88" s="109">
        <v>40414.933764027919</v>
      </c>
      <c r="AK88" s="109">
        <v>35497.708345757295</v>
      </c>
      <c r="AL88" s="110"/>
      <c r="AM88" s="109">
        <v>37268.568743836513</v>
      </c>
      <c r="AN88" s="109">
        <v>39231.429297165327</v>
      </c>
      <c r="AO88" s="109">
        <v>40414.933764027919</v>
      </c>
      <c r="AP88" s="109">
        <v>35497.708345757295</v>
      </c>
      <c r="AQ88" s="110"/>
      <c r="AR88" s="109">
        <v>37268.568743836513</v>
      </c>
      <c r="AS88" s="109">
        <v>39231.429297165327</v>
      </c>
      <c r="AT88" s="109"/>
      <c r="AU88" s="109"/>
      <c r="AV88" s="110"/>
      <c r="AW88" s="109"/>
      <c r="AX88" s="109"/>
      <c r="AY88" s="109"/>
      <c r="AZ88" s="109"/>
      <c r="BA88" s="110"/>
    </row>
    <row r="89" spans="1:53" ht="15.75" customHeight="1" x14ac:dyDescent="0.2">
      <c r="A89" s="105"/>
      <c r="B89" s="106" t="s">
        <v>125</v>
      </c>
      <c r="C89" s="107"/>
      <c r="D89" s="864"/>
      <c r="E89" s="236"/>
      <c r="F89" s="236"/>
      <c r="G89" s="236"/>
      <c r="H89" s="237">
        <v>-8355.6793099999923</v>
      </c>
      <c r="I89" s="864">
        <v>-2255.2963000000041</v>
      </c>
      <c r="J89" s="236">
        <v>76.171860000002198</v>
      </c>
      <c r="K89" s="236">
        <v>102.40804000000026</v>
      </c>
      <c r="L89" s="107">
        <v>-1873.1076799999992</v>
      </c>
      <c r="M89" s="237">
        <v>-3949.8240800000003</v>
      </c>
      <c r="N89" s="106">
        <v>-2380.2804999999971</v>
      </c>
      <c r="O89" s="236">
        <v>-1769</v>
      </c>
      <c r="P89" s="236">
        <v>822</v>
      </c>
      <c r="Q89" s="107">
        <v>-1103</v>
      </c>
      <c r="R89" s="237">
        <v>-4430.2804999999935</v>
      </c>
      <c r="S89" s="106">
        <v>-2156</v>
      </c>
      <c r="T89" s="236">
        <v>-8403</v>
      </c>
      <c r="U89" s="236">
        <v>-408</v>
      </c>
      <c r="V89" s="236">
        <v>17786</v>
      </c>
      <c r="W89" s="237">
        <v>6819</v>
      </c>
      <c r="X89" s="236">
        <v>-17206</v>
      </c>
      <c r="Y89" s="236">
        <v>-12930</v>
      </c>
      <c r="Z89" s="236">
        <v>26445</v>
      </c>
      <c r="AA89" s="236">
        <v>-10474</v>
      </c>
      <c r="AB89" s="237">
        <v>-10786</v>
      </c>
      <c r="AC89" s="236">
        <v>20065</v>
      </c>
      <c r="AD89" s="236">
        <v>55230</v>
      </c>
      <c r="AE89" s="236">
        <v>34031</v>
      </c>
      <c r="AF89" s="236">
        <v>116893.19751184554</v>
      </c>
      <c r="AG89" s="237">
        <v>233079.1975118457</v>
      </c>
      <c r="AH89" s="236">
        <v>31999.314481350171</v>
      </c>
      <c r="AI89" s="236">
        <v>35970.230859995747</v>
      </c>
      <c r="AJ89" s="236">
        <v>34723.734373790612</v>
      </c>
      <c r="AK89" s="236">
        <v>116893.19751184554</v>
      </c>
      <c r="AL89" s="237">
        <v>233079.1975118457</v>
      </c>
      <c r="AM89" s="236">
        <v>31999.314481350171</v>
      </c>
      <c r="AN89" s="236">
        <v>35970.230859995747</v>
      </c>
      <c r="AO89" s="236">
        <v>34723.734373790612</v>
      </c>
      <c r="AP89" s="236">
        <v>116893.19751184554</v>
      </c>
      <c r="AQ89" s="237"/>
      <c r="AR89" s="236">
        <v>31999.314481350171</v>
      </c>
      <c r="AS89" s="236">
        <v>35970.230859995747</v>
      </c>
      <c r="AT89" s="236"/>
      <c r="AU89" s="236"/>
      <c r="AV89" s="237"/>
      <c r="AW89" s="106"/>
      <c r="AX89" s="236"/>
      <c r="AY89" s="236"/>
      <c r="AZ89" s="236"/>
      <c r="BA89" s="237"/>
    </row>
    <row r="90" spans="1:53" ht="3.75" hidden="1" customHeight="1" outlineLevel="1" x14ac:dyDescent="0.2">
      <c r="A90" s="105"/>
      <c r="B90" s="119"/>
      <c r="C90" s="120"/>
      <c r="D90" s="108"/>
      <c r="E90" s="109"/>
      <c r="F90" s="109"/>
      <c r="G90" s="109"/>
      <c r="H90" s="110"/>
      <c r="I90" s="108"/>
      <c r="J90" s="109"/>
      <c r="K90" s="109"/>
      <c r="L90" s="109"/>
      <c r="M90" s="110"/>
      <c r="N90" s="109"/>
      <c r="O90" s="109"/>
      <c r="P90" s="109"/>
      <c r="Q90" s="109"/>
      <c r="R90" s="110"/>
      <c r="S90" s="109"/>
      <c r="T90" s="109"/>
      <c r="U90" s="109"/>
      <c r="V90" s="109"/>
      <c r="W90" s="110"/>
      <c r="X90" s="109"/>
      <c r="Y90" s="109"/>
      <c r="Z90" s="109"/>
      <c r="AA90" s="109"/>
      <c r="AB90" s="110"/>
      <c r="AC90" s="109"/>
      <c r="AD90" s="109"/>
      <c r="AE90" s="109"/>
      <c r="AF90" s="109"/>
      <c r="AG90" s="110"/>
      <c r="AH90" s="109"/>
      <c r="AI90" s="109"/>
      <c r="AJ90" s="109"/>
      <c r="AK90" s="109"/>
      <c r="AL90" s="110"/>
      <c r="AM90" s="109"/>
      <c r="AN90" s="109"/>
      <c r="AO90" s="109"/>
      <c r="AP90" s="109"/>
      <c r="AQ90" s="110"/>
      <c r="AR90" s="109"/>
      <c r="AS90" s="109"/>
      <c r="AT90" s="109"/>
      <c r="AU90" s="109"/>
      <c r="AV90" s="110"/>
      <c r="AW90" s="109"/>
      <c r="AX90" s="109"/>
      <c r="AY90" s="109"/>
      <c r="AZ90" s="109"/>
      <c r="BA90" s="110"/>
    </row>
    <row r="91" spans="1:53" collapsed="1" x14ac:dyDescent="0.2">
      <c r="A91" s="105"/>
      <c r="B91" s="119" t="s">
        <v>126</v>
      </c>
      <c r="C91" s="120"/>
      <c r="D91" s="108"/>
      <c r="E91" s="109"/>
      <c r="F91" s="109"/>
      <c r="G91" s="109"/>
      <c r="H91" s="110">
        <v>92268</v>
      </c>
      <c r="I91" s="108">
        <v>89403</v>
      </c>
      <c r="J91" s="109">
        <v>158512</v>
      </c>
      <c r="K91" s="109">
        <v>175368.96432</v>
      </c>
      <c r="L91" s="109">
        <v>162274.73773999995</v>
      </c>
      <c r="M91" s="110">
        <v>162274.73773999995</v>
      </c>
      <c r="N91" s="109">
        <v>157641.84125</v>
      </c>
      <c r="O91" s="109">
        <v>383029</v>
      </c>
      <c r="P91" s="109">
        <v>382423</v>
      </c>
      <c r="Q91" s="109">
        <v>697617</v>
      </c>
      <c r="R91" s="110"/>
      <c r="S91" s="109">
        <v>700324</v>
      </c>
      <c r="T91" s="109">
        <v>848220</v>
      </c>
      <c r="U91" s="109">
        <v>838373</v>
      </c>
      <c r="V91" s="109">
        <v>175548</v>
      </c>
      <c r="W91" s="110"/>
      <c r="X91" s="109">
        <v>1063057</v>
      </c>
      <c r="Y91" s="109">
        <v>1016010</v>
      </c>
      <c r="Z91" s="109">
        <v>1038416</v>
      </c>
      <c r="AA91" s="109">
        <v>931953</v>
      </c>
      <c r="AB91" s="110"/>
      <c r="AC91" s="109">
        <v>868730</v>
      </c>
      <c r="AD91" s="109">
        <v>869329</v>
      </c>
      <c r="AE91" s="109">
        <v>825432</v>
      </c>
      <c r="AF91" s="109">
        <v>1051383.1975118453</v>
      </c>
      <c r="AG91" s="110"/>
      <c r="AH91" s="109">
        <v>1070882.5119931959</v>
      </c>
      <c r="AI91" s="109">
        <v>1094352.7428531917</v>
      </c>
      <c r="AJ91" s="109">
        <v>1116576.4772269819</v>
      </c>
      <c r="AK91" s="109">
        <v>1051383.1975118453</v>
      </c>
      <c r="AL91" s="110"/>
      <c r="AM91" s="109">
        <v>1070882.5119931959</v>
      </c>
      <c r="AN91" s="109">
        <v>1094352.7428531917</v>
      </c>
      <c r="AO91" s="109">
        <v>1116576.4772269819</v>
      </c>
      <c r="AP91" s="109">
        <v>1051383.1975118453</v>
      </c>
      <c r="AQ91" s="110"/>
      <c r="AR91" s="109">
        <v>1070882.5119931959</v>
      </c>
      <c r="AS91" s="109">
        <v>1094352.7428531917</v>
      </c>
      <c r="AT91" s="109"/>
      <c r="AU91" s="109"/>
      <c r="AV91" s="110"/>
      <c r="AW91" s="109"/>
      <c r="AX91" s="109"/>
      <c r="AY91" s="109"/>
      <c r="AZ91" s="109"/>
      <c r="BA91" s="110"/>
    </row>
    <row r="92" spans="1:53" ht="13.5" thickBot="1" x14ac:dyDescent="0.25">
      <c r="A92" s="212"/>
      <c r="B92" s="238" t="s">
        <v>127</v>
      </c>
      <c r="C92" s="239"/>
      <c r="D92" s="240"/>
      <c r="E92" s="241"/>
      <c r="F92" s="241"/>
      <c r="G92" s="241"/>
      <c r="H92" s="242">
        <f>H91/H85</f>
        <v>1.7455536085472874</v>
      </c>
      <c r="I92" s="243">
        <f t="shared" ref="I92:N92" si="285">I91/I85</f>
        <v>1.6388132750419313</v>
      </c>
      <c r="J92" s="244">
        <f t="shared" si="285"/>
        <v>2.8625450342666752</v>
      </c>
      <c r="K92" s="244">
        <f t="shared" si="285"/>
        <v>2.9214040600376485</v>
      </c>
      <c r="L92" s="244">
        <f t="shared" si="285"/>
        <v>2.6812299184600761</v>
      </c>
      <c r="M92" s="242">
        <f t="shared" si="285"/>
        <v>2.8162979829442523</v>
      </c>
      <c r="N92" s="244">
        <f t="shared" si="285"/>
        <v>2.5985418606951232</v>
      </c>
      <c r="O92" s="244">
        <f>O91/O85</f>
        <v>5.8034696969696968</v>
      </c>
      <c r="P92" s="244">
        <f>P91/P85</f>
        <v>4.6693894993894993</v>
      </c>
      <c r="Q92" s="244">
        <f>Q91/Q85</f>
        <v>8.2072588235294113</v>
      </c>
      <c r="R92" s="242"/>
      <c r="S92" s="244">
        <f>S91/S85</f>
        <v>8.7304777101825071</v>
      </c>
      <c r="T92" s="244">
        <f>T91/T85</f>
        <v>10.405181614102235</v>
      </c>
      <c r="U92" s="244">
        <f>U91/U85</f>
        <v>10.146477543660062</v>
      </c>
      <c r="V92" s="244">
        <f>V91/V85</f>
        <v>2.0186051859943657</v>
      </c>
      <c r="W92" s="242"/>
      <c r="X92" s="244">
        <f>X91/X85</f>
        <v>11.085982146581571</v>
      </c>
      <c r="Y92" s="244">
        <f>Y91/Y85</f>
        <v>9.8728014770187542</v>
      </c>
      <c r="Z92" s="244">
        <f>Z91/Z85</f>
        <v>10.001117210825388</v>
      </c>
      <c r="AA92" s="244">
        <f>AA91/AA85</f>
        <v>8.9234194122885135</v>
      </c>
      <c r="AB92" s="242"/>
      <c r="AC92" s="244">
        <f>AC91/AC85</f>
        <v>7.393446808510638</v>
      </c>
      <c r="AD92" s="244">
        <f>AD91/AD85</f>
        <v>7.4138139828412557</v>
      </c>
      <c r="AE92" s="244">
        <f>AE91/AE85</f>
        <v>7.0421540272836634</v>
      </c>
      <c r="AF92" s="244">
        <f>AF91/AF85</f>
        <v>8.9844917836974698</v>
      </c>
      <c r="AG92" s="242"/>
      <c r="AH92" s="244">
        <f>AH91/AH85</f>
        <v>9.079276562495302</v>
      </c>
      <c r="AI92" s="244">
        <f>AI91/AI85</f>
        <v>9.376522918407634</v>
      </c>
      <c r="AJ92" s="244">
        <f>AJ91/AJ85</f>
        <v>10.043322994414099</v>
      </c>
      <c r="AK92" s="244">
        <f>AK91/AK85</f>
        <v>9.4379949327358883</v>
      </c>
      <c r="AL92" s="242"/>
      <c r="AM92" s="244">
        <f>AM91/AM85</f>
        <v>9.7575605426308751</v>
      </c>
      <c r="AN92" s="244">
        <f>AN91/AN85</f>
        <v>9.7780782785156379</v>
      </c>
      <c r="AO92" s="244">
        <f>AO91/AO85</f>
        <v>9.4892916214995022</v>
      </c>
      <c r="AP92" s="244">
        <f>AP91/AP85</f>
        <v>9.0051150068678183</v>
      </c>
      <c r="AQ92" s="242"/>
      <c r="AR92" s="244">
        <f>AR91/AR85</f>
        <v>9.2727537471160897</v>
      </c>
      <c r="AS92" s="244">
        <f>AS91/AS85</f>
        <v>9.5498258447492166</v>
      </c>
      <c r="AT92" s="244"/>
      <c r="AU92" s="244"/>
      <c r="AV92" s="242"/>
      <c r="AW92" s="244"/>
      <c r="AX92" s="244"/>
      <c r="AY92" s="244"/>
      <c r="AZ92" s="244"/>
      <c r="BA92" s="242"/>
    </row>
    <row r="93" spans="1:53" x14ac:dyDescent="0.2">
      <c r="B93" s="245" t="s">
        <v>128</v>
      </c>
      <c r="C93" s="215"/>
      <c r="D93" s="246"/>
      <c r="E93" s="246"/>
      <c r="F93" s="246"/>
      <c r="G93" s="246"/>
      <c r="H93" s="246"/>
      <c r="I93" s="246"/>
      <c r="J93" s="246"/>
      <c r="K93" s="246"/>
      <c r="L93" s="246"/>
      <c r="M93" s="246"/>
      <c r="N93" s="246"/>
      <c r="O93" s="246"/>
      <c r="P93" s="246"/>
      <c r="Q93" s="246"/>
      <c r="R93" s="246"/>
      <c r="S93" s="246"/>
      <c r="T93" s="246"/>
      <c r="U93" s="246"/>
      <c r="V93" s="246"/>
      <c r="W93" s="246"/>
      <c r="AD93" s="246"/>
      <c r="AE93" s="246"/>
      <c r="AF93" s="246"/>
      <c r="AH93" s="246"/>
      <c r="AI93" s="246"/>
      <c r="AJ93" s="246"/>
      <c r="AK93" s="246"/>
      <c r="AM93" s="246"/>
      <c r="AN93" s="246"/>
      <c r="AO93" s="246"/>
      <c r="AP93" s="246"/>
      <c r="AR93" s="246"/>
      <c r="AS93" s="246"/>
      <c r="AW93" s="246"/>
      <c r="BA93" s="246" t="s">
        <v>129</v>
      </c>
    </row>
    <row r="94" spans="1:53" x14ac:dyDescent="0.2">
      <c r="B94" s="245" t="s">
        <v>130</v>
      </c>
      <c r="C94" s="215"/>
      <c r="D94" s="248"/>
      <c r="E94" s="248"/>
      <c r="F94" s="248"/>
      <c r="G94" s="248"/>
      <c r="H94" s="248"/>
      <c r="I94" s="248"/>
      <c r="J94" s="248"/>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248"/>
      <c r="AH94" s="248"/>
      <c r="AI94" s="248"/>
      <c r="AJ94" s="248"/>
      <c r="AK94" s="248"/>
      <c r="AL94" s="248"/>
      <c r="AM94" s="248"/>
      <c r="AN94" s="248"/>
      <c r="AO94" s="248"/>
      <c r="AP94" s="248"/>
      <c r="AQ94" s="248"/>
      <c r="AR94" s="248"/>
      <c r="AS94" s="248"/>
    </row>
    <row r="95" spans="1:53" x14ac:dyDescent="0.2">
      <c r="B95" s="245"/>
      <c r="C95" s="215"/>
      <c r="D95" s="248"/>
      <c r="E95" s="248"/>
      <c r="F95" s="248"/>
      <c r="G95" s="248"/>
      <c r="H95" s="248"/>
      <c r="I95" s="248"/>
      <c r="J95" s="248"/>
      <c r="K95" s="248"/>
      <c r="L95" s="248"/>
      <c r="M95" s="248"/>
      <c r="N95" s="248"/>
      <c r="O95" s="248"/>
      <c r="P95" s="248"/>
      <c r="Q95" s="248"/>
      <c r="R95" s="248"/>
      <c r="S95" s="248"/>
      <c r="T95" s="248"/>
      <c r="U95" s="248"/>
      <c r="V95" s="248"/>
      <c r="W95" s="248"/>
      <c r="X95" s="248"/>
      <c r="Y95" s="248"/>
      <c r="Z95" s="248"/>
      <c r="AA95" s="248"/>
      <c r="AB95" s="248"/>
      <c r="AC95" s="248"/>
      <c r="AD95" s="248"/>
      <c r="AE95" s="248"/>
      <c r="AF95" s="248"/>
      <c r="AG95" s="248"/>
      <c r="AH95" s="248"/>
      <c r="AI95" s="248"/>
      <c r="AJ95" s="248"/>
      <c r="AK95" s="248"/>
      <c r="AL95" s="248"/>
      <c r="AM95" s="248"/>
      <c r="AN95" s="248"/>
      <c r="AO95" s="248"/>
      <c r="AP95" s="248"/>
      <c r="AQ95" s="248"/>
      <c r="AR95" s="248"/>
      <c r="AS95" s="248"/>
    </row>
    <row r="96" spans="1:53" x14ac:dyDescent="0.2">
      <c r="B96" s="245"/>
      <c r="C96" s="215"/>
      <c r="D96" s="247"/>
      <c r="E96" s="247"/>
      <c r="F96" s="247"/>
      <c r="G96" s="247"/>
      <c r="H96" s="247"/>
      <c r="I96" s="247"/>
      <c r="J96" s="247"/>
      <c r="K96" s="247"/>
      <c r="L96" s="247"/>
      <c r="M96" s="247"/>
      <c r="N96" s="247"/>
      <c r="O96" s="247"/>
      <c r="P96" s="247"/>
      <c r="Q96" s="247"/>
      <c r="R96" s="247"/>
      <c r="S96" s="247"/>
      <c r="T96" s="247"/>
      <c r="U96" s="247"/>
      <c r="V96" s="247"/>
      <c r="W96" s="247"/>
      <c r="AC96" s="247"/>
      <c r="AD96" s="247"/>
      <c r="AE96" s="247"/>
      <c r="AF96" s="247"/>
      <c r="AG96" s="247"/>
      <c r="AH96" s="248"/>
      <c r="AI96" s="248"/>
      <c r="AJ96" s="248"/>
      <c r="AK96" s="247"/>
      <c r="AM96" s="248"/>
      <c r="AN96" s="248"/>
      <c r="AO96" s="248"/>
      <c r="AP96" s="247"/>
      <c r="AR96" s="248"/>
      <c r="AS96" s="248"/>
    </row>
    <row r="97" spans="2:45" x14ac:dyDescent="0.2">
      <c r="B97" s="245"/>
      <c r="C97" s="215"/>
      <c r="D97" s="247"/>
      <c r="E97" s="247"/>
      <c r="F97" s="247"/>
      <c r="G97" s="247"/>
      <c r="H97" s="247"/>
      <c r="I97" s="247"/>
      <c r="J97" s="247"/>
      <c r="K97" s="247"/>
      <c r="L97" s="247"/>
      <c r="M97" s="247"/>
      <c r="N97" s="247"/>
      <c r="O97" s="247"/>
      <c r="P97" s="247"/>
      <c r="Q97" s="247"/>
      <c r="R97" s="247"/>
      <c r="S97" s="247"/>
      <c r="T97" s="247"/>
      <c r="U97" s="247"/>
      <c r="V97" s="247"/>
      <c r="W97" s="247"/>
      <c r="AC97" s="247"/>
      <c r="AD97" s="247"/>
      <c r="AE97" s="247"/>
      <c r="AF97" s="247"/>
      <c r="AG97" s="247"/>
      <c r="AH97" s="248"/>
      <c r="AI97" s="248"/>
      <c r="AJ97" s="248"/>
      <c r="AK97" s="247"/>
      <c r="AM97" s="248"/>
      <c r="AN97" s="248"/>
      <c r="AO97" s="248"/>
      <c r="AP97" s="247"/>
      <c r="AR97" s="248"/>
      <c r="AS97" s="248"/>
    </row>
    <row r="98" spans="2:45" x14ac:dyDescent="0.2">
      <c r="B98" s="245"/>
      <c r="C98" s="215"/>
      <c r="D98" s="247"/>
      <c r="E98" s="247"/>
      <c r="F98" s="247"/>
      <c r="G98" s="247"/>
      <c r="H98" s="247"/>
      <c r="I98" s="247"/>
      <c r="J98" s="247"/>
      <c r="K98" s="247"/>
      <c r="L98" s="247"/>
      <c r="M98" s="247"/>
      <c r="N98" s="247"/>
      <c r="O98" s="247"/>
      <c r="P98" s="247"/>
      <c r="Q98" s="247"/>
      <c r="R98" s="247"/>
      <c r="S98" s="247"/>
      <c r="T98" s="247"/>
      <c r="U98" s="247"/>
      <c r="V98" s="247"/>
      <c r="W98" s="247"/>
      <c r="AC98" s="247"/>
      <c r="AD98" s="247"/>
      <c r="AE98" s="247"/>
      <c r="AF98" s="247"/>
      <c r="AG98" s="247"/>
      <c r="AH98" s="248"/>
      <c r="AI98" s="248"/>
      <c r="AJ98" s="248"/>
      <c r="AK98" s="247"/>
      <c r="AM98" s="248"/>
      <c r="AN98" s="248"/>
      <c r="AO98" s="248"/>
      <c r="AP98" s="247"/>
      <c r="AR98" s="248"/>
      <c r="AS98" s="248"/>
    </row>
    <row r="99" spans="2:45" x14ac:dyDescent="0.2">
      <c r="B99" s="245"/>
      <c r="C99" s="215"/>
      <c r="D99" s="247"/>
      <c r="E99" s="247"/>
      <c r="F99" s="247"/>
      <c r="G99" s="247"/>
      <c r="H99" s="247"/>
      <c r="I99" s="247"/>
      <c r="J99" s="247"/>
      <c r="K99" s="247"/>
      <c r="L99" s="247"/>
      <c r="M99" s="247"/>
      <c r="N99" s="247"/>
      <c r="O99" s="247"/>
      <c r="P99" s="247"/>
      <c r="Q99" s="247"/>
      <c r="R99" s="247"/>
      <c r="S99" s="247"/>
      <c r="T99" s="247"/>
      <c r="U99" s="247"/>
      <c r="V99" s="247"/>
      <c r="W99" s="247"/>
      <c r="AC99" s="247"/>
      <c r="AD99" s="247"/>
      <c r="AE99" s="247"/>
      <c r="AF99" s="247"/>
      <c r="AG99" s="247"/>
      <c r="AH99" s="248"/>
      <c r="AI99" s="248"/>
      <c r="AJ99" s="248"/>
      <c r="AK99" s="247"/>
      <c r="AM99" s="248"/>
      <c r="AN99" s="248"/>
      <c r="AO99" s="248"/>
      <c r="AP99" s="247"/>
      <c r="AR99" s="248"/>
      <c r="AS99" s="248"/>
    </row>
    <row r="100" spans="2:45" x14ac:dyDescent="0.2">
      <c r="B100" s="245"/>
      <c r="C100" s="215"/>
      <c r="D100" s="247"/>
      <c r="E100" s="247"/>
      <c r="F100" s="247"/>
      <c r="G100" s="247"/>
      <c r="H100" s="247"/>
      <c r="I100" s="247"/>
      <c r="J100" s="247"/>
      <c r="K100" s="247"/>
      <c r="L100" s="247"/>
      <c r="M100" s="247"/>
      <c r="N100" s="247"/>
      <c r="O100" s="247"/>
      <c r="P100" s="247"/>
      <c r="Q100" s="247"/>
      <c r="R100" s="247"/>
      <c r="S100" s="247"/>
      <c r="T100" s="247"/>
      <c r="U100" s="247"/>
      <c r="V100" s="247"/>
      <c r="W100" s="247"/>
      <c r="AC100" s="247"/>
      <c r="AD100" s="247"/>
      <c r="AE100" s="247"/>
      <c r="AF100" s="247"/>
      <c r="AG100" s="247"/>
      <c r="AH100" s="248"/>
      <c r="AI100" s="248"/>
      <c r="AJ100" s="248"/>
      <c r="AK100" s="247"/>
      <c r="AM100" s="248"/>
      <c r="AN100" s="248"/>
      <c r="AO100" s="248"/>
      <c r="AP100" s="247"/>
      <c r="AR100" s="248"/>
      <c r="AS100" s="248"/>
    </row>
    <row r="101" spans="2:45" x14ac:dyDescent="0.2">
      <c r="B101" s="245"/>
      <c r="C101" s="215"/>
      <c r="D101" s="247"/>
      <c r="E101" s="247"/>
      <c r="F101" s="247"/>
      <c r="G101" s="247"/>
      <c r="H101" s="247"/>
      <c r="I101" s="247"/>
      <c r="J101" s="247"/>
      <c r="K101" s="247"/>
      <c r="L101" s="247"/>
      <c r="M101" s="247"/>
      <c r="N101" s="247"/>
      <c r="O101" s="247"/>
      <c r="P101" s="247"/>
      <c r="Q101" s="247"/>
      <c r="R101" s="247"/>
      <c r="S101" s="247"/>
      <c r="T101" s="247"/>
      <c r="U101" s="247"/>
      <c r="V101" s="247"/>
      <c r="W101" s="247"/>
      <c r="AC101" s="247"/>
      <c r="AD101" s="247"/>
      <c r="AE101" s="247"/>
      <c r="AF101" s="247"/>
      <c r="AG101" s="247"/>
      <c r="AH101" s="248"/>
      <c r="AI101" s="248"/>
      <c r="AJ101" s="248"/>
      <c r="AK101" s="247"/>
      <c r="AM101" s="248"/>
      <c r="AN101" s="248"/>
      <c r="AO101" s="248"/>
      <c r="AP101" s="247"/>
      <c r="AR101" s="248"/>
      <c r="AS101" s="248"/>
    </row>
    <row r="102" spans="2:45" x14ac:dyDescent="0.2">
      <c r="B102" s="245"/>
      <c r="C102" s="215"/>
      <c r="D102" s="247"/>
      <c r="E102" s="247"/>
      <c r="F102" s="247"/>
      <c r="G102" s="247"/>
      <c r="H102" s="247"/>
      <c r="I102" s="247"/>
      <c r="J102" s="247"/>
      <c r="K102" s="247"/>
      <c r="L102" s="247"/>
      <c r="M102" s="247"/>
      <c r="N102" s="247"/>
      <c r="O102" s="247"/>
      <c r="P102" s="247"/>
      <c r="Q102" s="247"/>
      <c r="R102" s="247"/>
      <c r="S102" s="247"/>
      <c r="T102" s="247"/>
      <c r="U102" s="247"/>
      <c r="V102" s="247"/>
      <c r="W102" s="247"/>
      <c r="AC102" s="247"/>
      <c r="AD102" s="247"/>
      <c r="AE102" s="247"/>
      <c r="AF102" s="247"/>
      <c r="AG102" s="247"/>
      <c r="AH102" s="248"/>
      <c r="AI102" s="248"/>
      <c r="AJ102" s="248"/>
      <c r="AK102" s="247"/>
      <c r="AM102" s="248"/>
      <c r="AN102" s="248"/>
      <c r="AO102" s="248"/>
      <c r="AP102" s="247"/>
      <c r="AR102" s="248"/>
      <c r="AS102" s="248"/>
    </row>
    <row r="103" spans="2:45" x14ac:dyDescent="0.2">
      <c r="B103" s="245"/>
      <c r="C103" s="215"/>
      <c r="D103" s="247"/>
      <c r="E103" s="247"/>
      <c r="F103" s="247"/>
      <c r="G103" s="247"/>
      <c r="H103" s="247"/>
      <c r="I103" s="247"/>
      <c r="J103" s="247"/>
      <c r="K103" s="247"/>
      <c r="L103" s="247"/>
      <c r="M103" s="247"/>
      <c r="N103" s="247"/>
      <c r="O103" s="247"/>
      <c r="P103" s="247"/>
      <c r="Q103" s="247"/>
      <c r="R103" s="247"/>
      <c r="S103" s="247"/>
      <c r="T103" s="247"/>
      <c r="U103" s="247"/>
      <c r="V103" s="247"/>
      <c r="W103" s="247"/>
      <c r="AC103" s="247"/>
      <c r="AD103" s="247"/>
      <c r="AE103" s="247"/>
      <c r="AF103" s="247"/>
      <c r="AG103" s="247"/>
      <c r="AH103" s="248"/>
      <c r="AI103" s="248"/>
      <c r="AJ103" s="248"/>
      <c r="AK103" s="247"/>
      <c r="AM103" s="248"/>
      <c r="AN103" s="248"/>
      <c r="AO103" s="248"/>
      <c r="AP103" s="247"/>
      <c r="AR103" s="248"/>
      <c r="AS103" s="248"/>
    </row>
    <row r="104" spans="2:45" x14ac:dyDescent="0.2">
      <c r="B104" s="245"/>
      <c r="C104" s="215"/>
      <c r="D104" s="247"/>
      <c r="E104" s="247"/>
      <c r="F104" s="247"/>
      <c r="G104" s="247"/>
      <c r="H104" s="247"/>
      <c r="I104" s="247"/>
      <c r="J104" s="247"/>
      <c r="K104" s="247"/>
      <c r="L104" s="247"/>
      <c r="M104" s="247"/>
      <c r="N104" s="247"/>
      <c r="O104" s="247"/>
      <c r="P104" s="247"/>
      <c r="Q104" s="247"/>
      <c r="R104" s="247"/>
      <c r="S104" s="247"/>
      <c r="T104" s="247"/>
      <c r="U104" s="247"/>
      <c r="V104" s="247"/>
      <c r="W104" s="247"/>
      <c r="AC104" s="247"/>
      <c r="AD104" s="247"/>
      <c r="AE104" s="247"/>
      <c r="AF104" s="247"/>
      <c r="AG104" s="247"/>
      <c r="AH104" s="248"/>
      <c r="AI104" s="248"/>
      <c r="AJ104" s="248"/>
      <c r="AK104" s="247"/>
      <c r="AM104" s="248"/>
      <c r="AN104" s="248"/>
      <c r="AO104" s="248"/>
      <c r="AP104" s="247"/>
      <c r="AR104" s="248"/>
      <c r="AS104" s="248"/>
    </row>
    <row r="105" spans="2:45" x14ac:dyDescent="0.2">
      <c r="B105" s="245"/>
      <c r="C105" s="215"/>
      <c r="D105" s="247"/>
      <c r="E105" s="247"/>
      <c r="F105" s="247"/>
      <c r="G105" s="247"/>
      <c r="H105" s="247"/>
      <c r="I105" s="247"/>
      <c r="J105" s="247"/>
      <c r="K105" s="247"/>
      <c r="L105" s="247"/>
      <c r="M105" s="247"/>
      <c r="N105" s="247"/>
      <c r="O105" s="247"/>
      <c r="P105" s="247"/>
      <c r="Q105" s="247"/>
      <c r="R105" s="247"/>
      <c r="S105" s="247"/>
      <c r="T105" s="247"/>
      <c r="U105" s="247"/>
      <c r="V105" s="247"/>
      <c r="W105" s="247"/>
      <c r="AC105" s="247"/>
      <c r="AD105" s="247"/>
      <c r="AE105" s="247"/>
      <c r="AF105" s="247"/>
      <c r="AG105" s="247"/>
      <c r="AH105" s="248"/>
      <c r="AI105" s="248"/>
      <c r="AJ105" s="248"/>
      <c r="AK105" s="247"/>
      <c r="AM105" s="248"/>
      <c r="AN105" s="248"/>
      <c r="AO105" s="248"/>
      <c r="AP105" s="247"/>
      <c r="AR105" s="248"/>
      <c r="AS105" s="248"/>
    </row>
    <row r="106" spans="2:45" x14ac:dyDescent="0.2">
      <c r="B106" s="245"/>
      <c r="C106" s="249"/>
      <c r="D106" s="247"/>
      <c r="E106" s="247"/>
      <c r="F106" s="247"/>
      <c r="G106" s="247"/>
      <c r="H106" s="247"/>
      <c r="I106" s="247"/>
      <c r="J106" s="247"/>
      <c r="K106" s="247"/>
      <c r="L106" s="247"/>
      <c r="M106" s="247"/>
      <c r="N106" s="247"/>
      <c r="O106" s="247"/>
      <c r="P106" s="247"/>
      <c r="Q106" s="247"/>
      <c r="R106" s="247"/>
      <c r="S106" s="247"/>
      <c r="T106" s="247"/>
      <c r="U106" s="247" t="s">
        <v>132</v>
      </c>
      <c r="V106" s="247"/>
      <c r="W106" s="247"/>
      <c r="X106" s="247"/>
      <c r="Y106" s="247"/>
      <c r="Z106" s="247"/>
      <c r="AA106" s="247"/>
      <c r="AB106" s="247"/>
    </row>
    <row r="107" spans="2:45" x14ac:dyDescent="0.2">
      <c r="B107" s="245"/>
      <c r="C107" s="250" t="s">
        <v>133</v>
      </c>
      <c r="D107" s="247"/>
      <c r="E107" s="247"/>
      <c r="F107" s="247"/>
      <c r="G107" s="247"/>
      <c r="H107" s="251"/>
      <c r="I107" s="251"/>
      <c r="J107" s="251"/>
      <c r="K107" s="251"/>
      <c r="L107" s="251"/>
      <c r="M107" s="251"/>
      <c r="N107" s="251"/>
      <c r="O107" s="251">
        <v>46200</v>
      </c>
      <c r="P107" s="251">
        <v>43700</v>
      </c>
      <c r="Q107" s="251">
        <v>152300</v>
      </c>
      <c r="R107" s="251"/>
      <c r="S107" s="251">
        <v>151200</v>
      </c>
      <c r="T107" s="251">
        <v>148700</v>
      </c>
      <c r="U107" s="251"/>
      <c r="V107" s="251"/>
      <c r="W107" s="251"/>
      <c r="X107" s="251"/>
      <c r="Y107" s="251">
        <v>155000</v>
      </c>
      <c r="Z107" s="251">
        <v>148000</v>
      </c>
      <c r="AA107" s="251"/>
      <c r="AB107" s="251"/>
      <c r="AC107" s="251"/>
      <c r="AD107" s="251"/>
      <c r="AE107" s="251"/>
      <c r="AF107" s="251"/>
      <c r="AG107" s="251"/>
      <c r="AH107" s="252"/>
      <c r="AI107" s="252"/>
      <c r="AJ107" s="252"/>
      <c r="AK107" s="251"/>
      <c r="AM107" s="252"/>
      <c r="AN107" s="252"/>
      <c r="AO107" s="252"/>
      <c r="AP107" s="251"/>
      <c r="AR107" s="252"/>
      <c r="AS107" s="252"/>
    </row>
    <row r="108" spans="2:45" x14ac:dyDescent="0.2">
      <c r="B108" s="245"/>
      <c r="C108" s="250" t="s">
        <v>134</v>
      </c>
      <c r="D108" s="247"/>
      <c r="E108" s="247"/>
      <c r="F108" s="247"/>
      <c r="G108" s="247"/>
      <c r="H108" s="251"/>
      <c r="I108" s="251"/>
      <c r="J108" s="251"/>
      <c r="K108" s="251"/>
      <c r="L108" s="251"/>
      <c r="M108" s="251"/>
      <c r="N108" s="251"/>
      <c r="O108" s="251"/>
      <c r="P108" s="251"/>
      <c r="Q108" s="251"/>
      <c r="R108" s="251"/>
      <c r="S108" s="251"/>
      <c r="T108" s="251">
        <f>T107-P107</f>
        <v>105000</v>
      </c>
      <c r="U108" s="251"/>
      <c r="V108" s="251"/>
      <c r="W108" s="251"/>
      <c r="X108" s="251"/>
      <c r="Y108" s="251">
        <f>Y107-U107</f>
        <v>155000</v>
      </c>
      <c r="Z108" s="251">
        <f>Z107-V107</f>
        <v>148000</v>
      </c>
      <c r="AA108" s="251"/>
      <c r="AB108" s="251"/>
      <c r="AC108" s="251"/>
      <c r="AD108" s="251"/>
      <c r="AE108" s="251"/>
      <c r="AF108" s="251"/>
      <c r="AG108" s="251"/>
      <c r="AH108" s="252"/>
      <c r="AI108" s="252"/>
      <c r="AJ108" s="252"/>
      <c r="AK108" s="251"/>
      <c r="AM108" s="252"/>
      <c r="AN108" s="252"/>
      <c r="AO108" s="252"/>
      <c r="AP108" s="251"/>
      <c r="AR108" s="252"/>
      <c r="AS108" s="252"/>
    </row>
    <row r="109" spans="2:45" s="133" customFormat="1" x14ac:dyDescent="0.2">
      <c r="B109" s="253"/>
      <c r="C109" s="254" t="s">
        <v>135</v>
      </c>
      <c r="D109" s="255"/>
      <c r="E109" s="255"/>
      <c r="F109" s="255"/>
      <c r="G109" s="255"/>
      <c r="H109" s="256"/>
      <c r="I109" s="256"/>
      <c r="J109" s="256"/>
      <c r="K109" s="256"/>
      <c r="L109" s="256"/>
      <c r="M109" s="256"/>
      <c r="N109" s="256"/>
      <c r="O109" s="256"/>
      <c r="P109" s="256"/>
      <c r="Q109" s="256"/>
      <c r="R109" s="256"/>
      <c r="S109" s="256"/>
      <c r="T109" s="256">
        <f>T108+T17</f>
        <v>159045</v>
      </c>
      <c r="U109" s="256"/>
      <c r="V109" s="256"/>
      <c r="W109" s="256"/>
      <c r="X109" s="256"/>
      <c r="Y109" s="256">
        <f>Y108+Y17</f>
        <v>311478</v>
      </c>
      <c r="Z109" s="256">
        <f>Z108+Z17</f>
        <v>314911</v>
      </c>
      <c r="AA109" s="256"/>
      <c r="AB109" s="256"/>
      <c r="AC109" s="256"/>
      <c r="AD109" s="256"/>
      <c r="AE109" s="256"/>
      <c r="AF109" s="256"/>
      <c r="AG109" s="256"/>
      <c r="AH109" s="257"/>
      <c r="AI109" s="257"/>
      <c r="AJ109" s="257"/>
      <c r="AK109" s="256"/>
      <c r="AM109" s="257"/>
      <c r="AN109" s="257"/>
      <c r="AO109" s="257"/>
      <c r="AP109" s="256"/>
      <c r="AR109" s="257"/>
      <c r="AS109" s="257"/>
    </row>
    <row r="110" spans="2:45" s="133" customFormat="1" x14ac:dyDescent="0.2">
      <c r="B110" s="253"/>
      <c r="C110" s="258" t="s">
        <v>136</v>
      </c>
      <c r="D110" s="255"/>
      <c r="E110" s="255"/>
      <c r="F110" s="255"/>
      <c r="G110" s="255"/>
      <c r="H110" s="256"/>
      <c r="I110" s="256"/>
      <c r="J110" s="256"/>
      <c r="K110" s="256"/>
      <c r="L110" s="256"/>
      <c r="M110" s="256"/>
      <c r="N110" s="256"/>
      <c r="O110" s="256"/>
      <c r="P110" s="256"/>
      <c r="Q110" s="256"/>
      <c r="R110" s="256"/>
      <c r="S110" s="256"/>
      <c r="T110" s="256"/>
      <c r="U110" s="256"/>
      <c r="V110" s="256"/>
      <c r="W110" s="256"/>
      <c r="X110" s="256"/>
      <c r="Y110" s="256"/>
      <c r="Z110" s="256"/>
      <c r="AA110" s="256"/>
      <c r="AB110" s="256"/>
      <c r="AC110" s="256"/>
      <c r="AD110" s="256"/>
      <c r="AE110" s="256"/>
      <c r="AF110" s="256"/>
      <c r="AG110" s="256"/>
      <c r="AH110" s="257"/>
      <c r="AI110" s="257"/>
      <c r="AJ110" s="257"/>
      <c r="AK110" s="256"/>
      <c r="AM110" s="257"/>
      <c r="AN110" s="257"/>
      <c r="AO110" s="257"/>
      <c r="AP110" s="256"/>
      <c r="AR110" s="257"/>
      <c r="AS110" s="257"/>
    </row>
    <row r="111" spans="2:45" s="133" customFormat="1" x14ac:dyDescent="0.2">
      <c r="B111" s="253"/>
      <c r="C111" s="258" t="s">
        <v>137</v>
      </c>
      <c r="D111" s="255"/>
      <c r="E111" s="255"/>
      <c r="F111" s="255"/>
      <c r="G111" s="255"/>
      <c r="H111" s="256"/>
      <c r="I111" s="256"/>
      <c r="J111" s="256"/>
      <c r="K111" s="256"/>
      <c r="L111" s="256"/>
      <c r="M111" s="256"/>
      <c r="N111" s="256"/>
      <c r="O111" s="256"/>
      <c r="P111" s="256"/>
      <c r="Q111" s="256"/>
      <c r="R111" s="256"/>
      <c r="S111" s="256"/>
      <c r="T111" s="256"/>
      <c r="U111" s="256"/>
      <c r="V111" s="256"/>
      <c r="W111" s="256"/>
      <c r="X111" s="256"/>
      <c r="Y111" s="256"/>
      <c r="Z111" s="256"/>
      <c r="AA111" s="256"/>
      <c r="AB111" s="256"/>
      <c r="AC111" s="256"/>
      <c r="AD111" s="256"/>
      <c r="AE111" s="256"/>
      <c r="AF111" s="256"/>
      <c r="AG111" s="256"/>
      <c r="AH111" s="257"/>
      <c r="AI111" s="257"/>
      <c r="AJ111" s="257"/>
      <c r="AK111" s="256"/>
      <c r="AM111" s="257"/>
      <c r="AN111" s="257"/>
      <c r="AO111" s="257"/>
      <c r="AP111" s="256"/>
      <c r="AR111" s="257"/>
      <c r="AS111" s="257"/>
    </row>
    <row r="112" spans="2:45" x14ac:dyDescent="0.2">
      <c r="B112" s="245"/>
      <c r="D112" s="247"/>
      <c r="E112" s="247"/>
      <c r="F112" s="247"/>
      <c r="G112" s="247"/>
      <c r="H112" s="251"/>
      <c r="I112" s="251"/>
      <c r="J112" s="251"/>
      <c r="K112" s="251"/>
      <c r="L112" s="251"/>
      <c r="M112" s="251"/>
      <c r="N112" s="251"/>
      <c r="O112" s="251"/>
      <c r="P112" s="251"/>
      <c r="Q112" s="251"/>
      <c r="R112" s="251"/>
      <c r="S112" s="251"/>
      <c r="T112" s="251"/>
      <c r="U112" s="251"/>
      <c r="V112" s="251"/>
      <c r="W112" s="251"/>
      <c r="X112" s="251"/>
      <c r="Y112" s="251"/>
      <c r="Z112" s="251"/>
      <c r="AA112" s="251"/>
      <c r="AB112" s="251"/>
      <c r="AC112" s="251"/>
      <c r="AD112" s="251"/>
      <c r="AE112" s="251"/>
      <c r="AF112" s="251"/>
      <c r="AG112" s="251"/>
      <c r="AH112" s="252"/>
      <c r="AI112" s="252"/>
      <c r="AJ112" s="252"/>
      <c r="AK112" s="251"/>
      <c r="AM112" s="252"/>
      <c r="AN112" s="252"/>
      <c r="AO112" s="252"/>
      <c r="AP112" s="251"/>
      <c r="AR112" s="252"/>
      <c r="AS112" s="252"/>
    </row>
    <row r="113" spans="1:45" x14ac:dyDescent="0.2">
      <c r="B113" s="245"/>
      <c r="C113" s="250" t="s">
        <v>138</v>
      </c>
      <c r="D113" s="247"/>
      <c r="E113" s="247"/>
      <c r="F113" s="247"/>
      <c r="G113" s="247"/>
      <c r="H113" s="251"/>
      <c r="I113" s="251"/>
      <c r="J113" s="251"/>
      <c r="K113" s="251"/>
      <c r="L113" s="251"/>
      <c r="M113" s="251"/>
      <c r="N113" s="251"/>
      <c r="O113" s="251">
        <v>8100</v>
      </c>
      <c r="P113" s="251">
        <v>7500</v>
      </c>
      <c r="Q113" s="251">
        <v>13000</v>
      </c>
      <c r="R113" s="251"/>
      <c r="S113" s="251">
        <v>17900</v>
      </c>
      <c r="T113" s="251">
        <v>17800</v>
      </c>
      <c r="U113" s="251"/>
      <c r="V113" s="251"/>
      <c r="W113" s="251"/>
      <c r="X113" s="251"/>
      <c r="Y113" s="251">
        <f>Y107*0.6</f>
        <v>93000</v>
      </c>
      <c r="Z113" s="251">
        <f>Z107*0.63</f>
        <v>93240</v>
      </c>
      <c r="AA113" s="251"/>
      <c r="AB113" s="251"/>
      <c r="AC113" s="251"/>
      <c r="AD113" s="251"/>
      <c r="AE113" s="251"/>
      <c r="AF113" s="251"/>
      <c r="AG113" s="251"/>
      <c r="AH113" s="252"/>
      <c r="AI113" s="252"/>
      <c r="AJ113" s="252"/>
      <c r="AK113" s="251"/>
      <c r="AM113" s="252"/>
      <c r="AN113" s="252"/>
      <c r="AO113" s="252"/>
      <c r="AP113" s="251"/>
      <c r="AR113" s="252"/>
      <c r="AS113" s="252"/>
    </row>
    <row r="114" spans="1:45" x14ac:dyDescent="0.2">
      <c r="B114" s="245"/>
      <c r="C114" s="250" t="s">
        <v>139</v>
      </c>
      <c r="D114" s="867"/>
      <c r="E114" s="867"/>
      <c r="F114" s="867"/>
      <c r="G114" s="867"/>
      <c r="H114" s="251"/>
      <c r="I114" s="251"/>
      <c r="J114" s="251"/>
      <c r="K114" s="251"/>
      <c r="L114" s="251"/>
      <c r="M114" s="251"/>
      <c r="N114" s="251"/>
      <c r="O114" s="251"/>
      <c r="P114" s="251"/>
      <c r="Q114" s="251"/>
      <c r="R114" s="251"/>
      <c r="S114" s="251"/>
      <c r="T114" s="251">
        <f>T113-P113</f>
        <v>10300</v>
      </c>
      <c r="U114" s="251"/>
      <c r="V114" s="251"/>
      <c r="W114" s="251"/>
      <c r="X114" s="251"/>
      <c r="Y114" s="251">
        <f>Y113-U113</f>
        <v>93000</v>
      </c>
      <c r="Z114" s="251">
        <f>Z113-V113</f>
        <v>93240</v>
      </c>
      <c r="AA114" s="251"/>
      <c r="AB114" s="251"/>
      <c r="AC114" s="251"/>
      <c r="AD114" s="251"/>
      <c r="AE114" s="251"/>
      <c r="AF114" s="251"/>
      <c r="AG114" s="251"/>
      <c r="AH114" s="252"/>
      <c r="AI114" s="252"/>
      <c r="AJ114" s="252"/>
      <c r="AK114" s="251"/>
      <c r="AM114" s="252"/>
      <c r="AN114" s="252"/>
      <c r="AO114" s="252"/>
      <c r="AP114" s="251"/>
      <c r="AR114" s="252"/>
      <c r="AS114" s="252"/>
    </row>
    <row r="115" spans="1:45" s="133" customFormat="1" x14ac:dyDescent="0.2">
      <c r="A115" s="206"/>
      <c r="B115" s="253"/>
      <c r="C115" s="254" t="s">
        <v>140</v>
      </c>
      <c r="D115" s="259"/>
      <c r="E115" s="259"/>
      <c r="F115" s="259"/>
      <c r="G115" s="259"/>
      <c r="H115" s="256"/>
      <c r="I115" s="256"/>
      <c r="J115" s="256"/>
      <c r="K115" s="256"/>
      <c r="L115" s="256"/>
      <c r="M115" s="256"/>
      <c r="N115" s="256"/>
      <c r="O115" s="256"/>
      <c r="P115" s="256"/>
      <c r="Q115" s="256"/>
      <c r="R115" s="256"/>
      <c r="S115" s="256"/>
      <c r="T115" s="256" t="e">
        <f>T114+#REF!</f>
        <v>#REF!</v>
      </c>
      <c r="U115" s="256"/>
      <c r="V115" s="256"/>
      <c r="W115" s="256"/>
      <c r="X115" s="256"/>
      <c r="Y115" s="256" t="e">
        <f>Y114+#REF!</f>
        <v>#REF!</v>
      </c>
      <c r="Z115" s="256" t="e">
        <f>Z114+#REF!</f>
        <v>#REF!</v>
      </c>
      <c r="AA115" s="256"/>
      <c r="AB115" s="256"/>
      <c r="AC115" s="256"/>
      <c r="AD115" s="256"/>
      <c r="AE115" s="256"/>
      <c r="AF115" s="256"/>
      <c r="AG115" s="256"/>
      <c r="AH115" s="257"/>
      <c r="AI115" s="257"/>
      <c r="AJ115" s="257"/>
      <c r="AK115" s="256"/>
      <c r="AM115" s="257"/>
      <c r="AN115" s="257"/>
      <c r="AO115" s="257"/>
      <c r="AP115" s="256"/>
      <c r="AR115" s="257"/>
      <c r="AS115" s="257"/>
    </row>
    <row r="116" spans="1:45" s="133" customFormat="1" x14ac:dyDescent="0.2">
      <c r="A116" s="206"/>
      <c r="B116" s="253"/>
      <c r="C116" s="260" t="s">
        <v>136</v>
      </c>
      <c r="D116" s="259"/>
      <c r="E116" s="259"/>
      <c r="F116" s="259"/>
      <c r="G116" s="259"/>
      <c r="H116" s="256"/>
      <c r="I116" s="256"/>
      <c r="J116" s="256"/>
      <c r="K116" s="256"/>
      <c r="L116" s="256"/>
      <c r="M116" s="256"/>
      <c r="N116" s="256"/>
      <c r="O116" s="256"/>
      <c r="P116" s="256"/>
      <c r="Q116" s="256"/>
      <c r="R116" s="256"/>
      <c r="S116" s="256"/>
      <c r="T116" s="256"/>
      <c r="U116" s="256"/>
      <c r="V116" s="256"/>
      <c r="W116" s="256"/>
      <c r="X116" s="256"/>
      <c r="Y116" s="256"/>
      <c r="Z116" s="256"/>
      <c r="AA116" s="256"/>
      <c r="AB116" s="256"/>
      <c r="AC116" s="256"/>
      <c r="AD116" s="256"/>
      <c r="AE116" s="256"/>
      <c r="AF116" s="256"/>
      <c r="AG116" s="256"/>
      <c r="AH116" s="257"/>
      <c r="AI116" s="257"/>
      <c r="AJ116" s="257"/>
      <c r="AK116" s="256"/>
      <c r="AM116" s="257"/>
      <c r="AN116" s="257"/>
      <c r="AO116" s="257"/>
      <c r="AP116" s="256"/>
      <c r="AR116" s="257"/>
      <c r="AS116" s="257"/>
    </row>
    <row r="117" spans="1:45" ht="15" x14ac:dyDescent="0.25">
      <c r="A117"/>
      <c r="C117" s="260" t="s">
        <v>137</v>
      </c>
      <c r="D117" s="251"/>
      <c r="E117" s="251"/>
      <c r="F117" s="251"/>
      <c r="G117" s="251"/>
      <c r="H117" s="251"/>
      <c r="I117" s="251"/>
      <c r="J117" s="251"/>
      <c r="K117" s="251"/>
      <c r="L117" s="251"/>
      <c r="M117" s="251"/>
      <c r="N117" s="251"/>
      <c r="O117" s="251"/>
      <c r="P117" s="251"/>
      <c r="Q117" s="251"/>
      <c r="R117" s="251"/>
      <c r="S117" s="251"/>
      <c r="T117" s="251"/>
      <c r="U117" s="251"/>
      <c r="V117" s="251"/>
      <c r="W117" s="251"/>
      <c r="X117" s="251"/>
      <c r="Y117" s="251"/>
      <c r="Z117" s="251"/>
      <c r="AA117" s="251"/>
      <c r="AB117" s="251"/>
    </row>
    <row r="118" spans="1:45" ht="15" x14ac:dyDescent="0.25">
      <c r="A118"/>
      <c r="C118" s="260"/>
      <c r="D118" s="251"/>
      <c r="E118" s="251"/>
      <c r="F118" s="251"/>
      <c r="G118" s="251"/>
      <c r="H118" s="251"/>
      <c r="I118" s="251"/>
      <c r="J118" s="251"/>
      <c r="K118" s="251"/>
      <c r="L118" s="251"/>
      <c r="M118" s="251"/>
      <c r="N118" s="251"/>
      <c r="O118" s="251"/>
      <c r="P118" s="251"/>
      <c r="Q118" s="251"/>
      <c r="R118" s="251"/>
      <c r="S118" s="251"/>
      <c r="T118" s="251"/>
      <c r="U118" s="251"/>
      <c r="V118" s="251"/>
      <c r="W118" s="251"/>
      <c r="X118" s="251"/>
      <c r="Y118" s="251"/>
      <c r="Z118" s="251"/>
      <c r="AA118" s="251"/>
      <c r="AB118" s="251"/>
    </row>
    <row r="119" spans="1:45" s="261" customFormat="1" ht="12" x14ac:dyDescent="0.2">
      <c r="C119" s="262" t="s">
        <v>141</v>
      </c>
      <c r="D119" s="251"/>
      <c r="E119" s="251"/>
      <c r="F119" s="251"/>
      <c r="G119" s="251"/>
      <c r="H119" s="251"/>
      <c r="I119" s="251"/>
      <c r="J119" s="251"/>
      <c r="K119" s="251"/>
      <c r="L119" s="251">
        <f>L17+K17+J17+I17-G17-F17-E17-D17</f>
        <v>43486.666649999992</v>
      </c>
      <c r="M119" s="251"/>
      <c r="N119" s="251">
        <f>N17+L17+K17+J17-I17-G17-F17-E17</f>
        <v>46920.516610000006</v>
      </c>
      <c r="O119" s="251">
        <f>+O17+N17+L17+K17-J17-I17-G17-F17</f>
        <v>49166.334180000005</v>
      </c>
      <c r="P119" s="251">
        <f>+P17+O17+N17+L17-K17-J17-I17-G17</f>
        <v>51006.668050000007</v>
      </c>
      <c r="Q119" s="251">
        <f>Q17+P17+O17+N17-L17-K17-J17-I17</f>
        <v>49248.68694</v>
      </c>
      <c r="R119" s="251"/>
      <c r="S119" s="251">
        <f>S17+Q17+P17+O17-N17-L17-K17-J17</f>
        <v>47522.857279999997</v>
      </c>
      <c r="T119" s="251">
        <f>+T17+S17+Q17+P17-O17-N17-L17-K17</f>
        <v>49406.507429999998</v>
      </c>
      <c r="U119" s="251">
        <f>+U17+T17+S17+Q17-P17-O17-N17-L17</f>
        <v>54928.192819999997</v>
      </c>
      <c r="V119" s="251">
        <f>V17+U17+T17+S17-Q17-P17-O17-N17</f>
        <v>80665.520380000002</v>
      </c>
      <c r="W119" s="251"/>
      <c r="X119" s="251">
        <f>X17+V17+U17+T17-S17-Q17-P17-O17</f>
        <v>141776</v>
      </c>
      <c r="Y119" s="251">
        <f>+Y17+X17+V17+U17-T17-S17-Q17-P17</f>
        <v>229244</v>
      </c>
      <c r="Z119" s="251">
        <f>+Z17+Y17+X17+V17-U17-T17-S17-Q17</f>
        <v>317909</v>
      </c>
      <c r="AA119" s="251">
        <f>AA17+Z17+Y17+X17-V17-U17-T17-S17</f>
        <v>403694</v>
      </c>
      <c r="AB119" s="251"/>
    </row>
    <row r="120" spans="1:45" s="261" customFormat="1" ht="12" x14ac:dyDescent="0.2">
      <c r="C120" s="263" t="s">
        <v>142</v>
      </c>
      <c r="D120" s="251"/>
      <c r="E120" s="251"/>
      <c r="F120" s="251"/>
      <c r="G120" s="251"/>
      <c r="H120" s="251"/>
      <c r="I120" s="251"/>
      <c r="J120" s="251"/>
      <c r="K120" s="251"/>
      <c r="L120" s="251">
        <f>L32+K32+J32+I32</f>
        <v>30559.527829999999</v>
      </c>
      <c r="M120" s="251"/>
      <c r="N120" s="264">
        <f>+N32+L32+K32+J32</f>
        <v>35140.719969999998</v>
      </c>
      <c r="O120" s="264">
        <f>+O32+N32+L32+K32</f>
        <v>39593.515139999996</v>
      </c>
      <c r="P120" s="264">
        <f>+P32+O32+N32+L32</f>
        <v>43720.515140000003</v>
      </c>
      <c r="Q120" s="251">
        <f>Q32+P32+O32+N32</f>
        <v>45532.748630000002</v>
      </c>
      <c r="R120" s="251"/>
      <c r="S120" s="264">
        <f>+S32+Q32+P32+O32</f>
        <v>46028</v>
      </c>
      <c r="T120" s="264">
        <f>+T32+S32+Q32+P32</f>
        <v>45941</v>
      </c>
      <c r="U120" s="264">
        <f>+U32+T32+S32+Q32</f>
        <v>47556</v>
      </c>
      <c r="V120" s="251">
        <f>V32+U32+T32+S32</f>
        <v>57842</v>
      </c>
      <c r="W120" s="251"/>
      <c r="X120" s="264">
        <f>+X32+V32+U32+T32</f>
        <v>92321</v>
      </c>
      <c r="Y120" s="264">
        <f>+Y32+X32+V32+U32</f>
        <v>139299</v>
      </c>
      <c r="Z120" s="264">
        <f>+Z32+Y32+X32+V32</f>
        <v>189106</v>
      </c>
      <c r="AA120" s="251">
        <f>AA32+Z32+Y32+X32</f>
        <v>245785</v>
      </c>
      <c r="AB120" s="251"/>
    </row>
    <row r="121" spans="1:45" s="261" customFormat="1" ht="12" x14ac:dyDescent="0.2">
      <c r="C121" s="265" t="s">
        <v>143</v>
      </c>
      <c r="D121" s="266"/>
      <c r="E121" s="266"/>
      <c r="F121" s="266"/>
      <c r="G121" s="266"/>
      <c r="H121" s="267"/>
      <c r="I121" s="266"/>
      <c r="J121" s="266"/>
      <c r="K121" s="266"/>
      <c r="L121" s="268">
        <f>L120/L119</f>
        <v>0.70273327859218671</v>
      </c>
      <c r="M121" s="267"/>
      <c r="N121" s="268">
        <f>N120/N119</f>
        <v>0.74894145480296304</v>
      </c>
      <c r="O121" s="268">
        <f>O120/O119</f>
        <v>0.80529727913101024</v>
      </c>
      <c r="P121" s="268">
        <f>P120/P119</f>
        <v>0.85715293336044518</v>
      </c>
      <c r="Q121" s="268">
        <f>Q120/Q119</f>
        <v>0.92454746429022261</v>
      </c>
      <c r="R121" s="267"/>
      <c r="S121" s="268">
        <f>S120/S119</f>
        <v>0.9685444570137598</v>
      </c>
      <c r="T121" s="268">
        <f>T120/T119</f>
        <v>0.92985726758949738</v>
      </c>
      <c r="U121" s="268">
        <f>U120/U119</f>
        <v>0.86578490131363484</v>
      </c>
      <c r="V121" s="268">
        <f>V120/V119</f>
        <v>0.71705977631480322</v>
      </c>
      <c r="W121" s="267"/>
      <c r="X121" s="268">
        <f>X120/X119</f>
        <v>0.65117509310461574</v>
      </c>
      <c r="Y121" s="268">
        <f>Y120/Y119</f>
        <v>0.60764512920730751</v>
      </c>
      <c r="Z121" s="268">
        <f>Z120/Z119</f>
        <v>0.59484317839381706</v>
      </c>
      <c r="AA121" s="268">
        <f>AA120/AA119</f>
        <v>0.60883986385727806</v>
      </c>
      <c r="AB121" s="267"/>
    </row>
    <row r="122" spans="1:45" ht="15" x14ac:dyDescent="0.25">
      <c r="A122"/>
      <c r="C122" s="265"/>
      <c r="D122" s="269"/>
      <c r="E122" s="270"/>
      <c r="F122" s="270"/>
      <c r="G122" s="270"/>
      <c r="H122" s="271"/>
      <c r="I122" s="269"/>
      <c r="J122" s="270"/>
      <c r="K122" s="270"/>
      <c r="L122" s="270"/>
      <c r="M122" s="271"/>
      <c r="N122" s="269"/>
      <c r="O122" s="270"/>
      <c r="P122" s="270"/>
      <c r="Q122" s="270"/>
      <c r="R122" s="271"/>
      <c r="S122" s="269"/>
      <c r="T122" s="270"/>
      <c r="U122" s="270"/>
      <c r="V122" s="270"/>
      <c r="W122" s="271"/>
      <c r="X122" s="269"/>
      <c r="Y122" s="270"/>
      <c r="Z122" s="270"/>
      <c r="AA122" s="270"/>
      <c r="AB122" s="271"/>
    </row>
    <row r="123" spans="1:45" ht="15" x14ac:dyDescent="0.25">
      <c r="A123"/>
      <c r="C123" s="265" t="s">
        <v>144</v>
      </c>
      <c r="L123" s="101" t="e">
        <f>+#REF!+#REF!+#REF!+#REF!-#REF!-#REF!-#REF!-#REF!</f>
        <v>#REF!</v>
      </c>
      <c r="N123" s="101" t="e">
        <f>+#REF!+#REF!+#REF!+#REF!-#REF!-#REF!-#REF!-#REF!</f>
        <v>#REF!</v>
      </c>
      <c r="O123" s="101" t="e">
        <f>+#REF!+#REF!+#REF!+#REF!-#REF!-#REF!-#REF!-#REF!</f>
        <v>#REF!</v>
      </c>
      <c r="P123" s="101" t="e">
        <f>+#REF!+#REF!+#REF!+#REF!-#REF!-#REF!-#REF!-#REF!</f>
        <v>#REF!</v>
      </c>
      <c r="Q123" s="101" t="e">
        <f>+#REF!+#REF!+#REF!+#REF!-#REF!-#REF!-#REF!-#REF!</f>
        <v>#REF!</v>
      </c>
      <c r="S123" s="101" t="e">
        <f>+#REF!+#REF!+#REF!+#REF!-#REF!-#REF!-#REF!-#REF!</f>
        <v>#REF!</v>
      </c>
      <c r="T123" s="101" t="e">
        <f>+#REF!+#REF!+#REF!+#REF!-#REF!-#REF!-#REF!-#REF!</f>
        <v>#REF!</v>
      </c>
      <c r="U123" s="101" t="e">
        <f>+#REF!+#REF!+#REF!+#REF!-#REF!-#REF!-#REF!-#REF!</f>
        <v>#REF!</v>
      </c>
      <c r="V123" s="101" t="e">
        <f>+#REF!+#REF!+#REF!+#REF!-#REF!-#REF!-#REF!-#REF!</f>
        <v>#REF!</v>
      </c>
      <c r="X123" s="101" t="e">
        <f>+#REF!+#REF!+#REF!+#REF!-#REF!-#REF!-#REF!-#REF!</f>
        <v>#REF!</v>
      </c>
      <c r="Y123" s="101" t="e">
        <f>+#REF!+#REF!+#REF!+#REF!-#REF!-#REF!-#REF!-#REF!</f>
        <v>#REF!</v>
      </c>
      <c r="Z123" s="101" t="e">
        <f>+#REF!+#REF!+#REF!+#REF!-#REF!-#REF!-#REF!-#REF!</f>
        <v>#REF!</v>
      </c>
      <c r="AA123" s="101" t="e">
        <f>+#REF!+#REF!+#REF!+#REF!-#REF!-#REF!-#REF!-#REF!</f>
        <v>#REF!</v>
      </c>
    </row>
    <row r="124" spans="1:45" ht="15" x14ac:dyDescent="0.25">
      <c r="A124"/>
      <c r="C124" s="265" t="s">
        <v>145</v>
      </c>
      <c r="L124" s="272" t="e">
        <f>L120/L123</f>
        <v>#REF!</v>
      </c>
      <c r="N124" s="272" t="e">
        <f>N120/N123</f>
        <v>#REF!</v>
      </c>
      <c r="O124" s="272" t="e">
        <f>O120/O123</f>
        <v>#REF!</v>
      </c>
      <c r="P124" s="272" t="e">
        <f>P120/P123</f>
        <v>#REF!</v>
      </c>
      <c r="Q124" s="272" t="e">
        <f>Q120/Q123</f>
        <v>#REF!</v>
      </c>
      <c r="S124" s="272" t="e">
        <f>S120/S123</f>
        <v>#REF!</v>
      </c>
      <c r="T124" s="272" t="e">
        <f>T120/T123</f>
        <v>#REF!</v>
      </c>
      <c r="U124" s="272" t="e">
        <f>U120/U123</f>
        <v>#REF!</v>
      </c>
      <c r="V124" s="272" t="e">
        <f>V120/V123</f>
        <v>#REF!</v>
      </c>
      <c r="X124" s="272" t="e">
        <f>X120/X123</f>
        <v>#REF!</v>
      </c>
      <c r="Y124" s="272" t="e">
        <f>Y120/Y123</f>
        <v>#REF!</v>
      </c>
      <c r="Z124" s="272" t="e">
        <f>Z120/Z123</f>
        <v>#REF!</v>
      </c>
      <c r="AA124" s="272" t="e">
        <f>AA120/AA123</f>
        <v>#REF!</v>
      </c>
    </row>
    <row r="125" spans="1:45" ht="15" x14ac:dyDescent="0.25">
      <c r="O125" s="273"/>
      <c r="P125" s="273"/>
      <c r="Q125" s="273"/>
      <c r="S125" s="273"/>
      <c r="T125" s="273"/>
      <c r="U125" s="273"/>
      <c r="V125" s="273"/>
    </row>
    <row r="126" spans="1:45" x14ac:dyDescent="0.2">
      <c r="C126" s="274" t="s">
        <v>133</v>
      </c>
      <c r="N126" s="101"/>
      <c r="O126" s="101">
        <v>46200</v>
      </c>
      <c r="P126" s="101">
        <v>43700</v>
      </c>
      <c r="Q126" s="101">
        <v>152300</v>
      </c>
      <c r="R126" s="101"/>
      <c r="S126" s="101">
        <v>151200</v>
      </c>
      <c r="T126" s="101">
        <v>148700</v>
      </c>
      <c r="U126" s="101"/>
      <c r="V126" s="101"/>
      <c r="W126" s="101"/>
      <c r="X126" s="101"/>
      <c r="Y126" s="101"/>
      <c r="Z126" s="101"/>
      <c r="AA126" s="101"/>
      <c r="AB126" s="101"/>
    </row>
    <row r="127" spans="1:45" s="28" customFormat="1" x14ac:dyDescent="0.2">
      <c r="C127" s="275" t="s">
        <v>146</v>
      </c>
      <c r="D127" s="142"/>
      <c r="E127" s="142"/>
      <c r="F127" s="142"/>
      <c r="G127" s="142"/>
      <c r="I127" s="142"/>
      <c r="J127" s="142"/>
      <c r="K127" s="142"/>
      <c r="L127" s="142"/>
      <c r="N127" s="101"/>
      <c r="O127" s="101"/>
      <c r="P127" s="101"/>
      <c r="Q127" s="101"/>
      <c r="R127" s="101"/>
      <c r="S127" s="101"/>
      <c r="T127" s="101">
        <f>T126-O126</f>
        <v>102500</v>
      </c>
      <c r="U127" s="101"/>
      <c r="V127" s="101"/>
      <c r="W127" s="101"/>
      <c r="X127" s="101"/>
      <c r="Y127" s="101"/>
      <c r="Z127" s="101"/>
      <c r="AA127" s="101"/>
      <c r="AB127" s="101"/>
    </row>
    <row r="128" spans="1:45" s="28" customFormat="1" x14ac:dyDescent="0.2">
      <c r="C128" s="275" t="s">
        <v>147</v>
      </c>
      <c r="D128" s="142"/>
      <c r="E128" s="142"/>
      <c r="F128" s="142"/>
      <c r="G128" s="142"/>
      <c r="I128" s="142"/>
      <c r="J128" s="142"/>
      <c r="K128" s="142"/>
      <c r="L128" s="142"/>
      <c r="N128" s="101"/>
      <c r="O128" s="101"/>
      <c r="P128" s="101"/>
      <c r="Q128" s="101"/>
      <c r="R128" s="101"/>
      <c r="S128" s="101"/>
      <c r="T128" s="101">
        <f>T127+T17</f>
        <v>156545</v>
      </c>
      <c r="U128" s="101"/>
      <c r="V128" s="101"/>
      <c r="W128" s="101"/>
      <c r="X128" s="101"/>
      <c r="Y128" s="101"/>
      <c r="Z128" s="101"/>
      <c r="AA128" s="101"/>
      <c r="AB128" s="101"/>
    </row>
    <row r="129" spans="3:28" s="28" customFormat="1" x14ac:dyDescent="0.2">
      <c r="C129" s="275"/>
      <c r="D129" s="142"/>
      <c r="E129" s="142"/>
      <c r="F129" s="142"/>
      <c r="G129" s="142"/>
      <c r="I129" s="142"/>
      <c r="J129" s="142"/>
      <c r="K129" s="142"/>
      <c r="L129" s="142"/>
      <c r="N129" s="101"/>
      <c r="O129" s="101"/>
      <c r="P129" s="101"/>
      <c r="Q129" s="101"/>
      <c r="R129" s="101"/>
      <c r="S129" s="101"/>
      <c r="T129" s="101"/>
      <c r="U129" s="101"/>
      <c r="V129" s="101"/>
      <c r="W129" s="101"/>
      <c r="X129" s="101"/>
      <c r="Y129" s="101"/>
      <c r="Z129" s="101"/>
      <c r="AA129" s="101"/>
      <c r="AB129" s="101"/>
    </row>
    <row r="130" spans="3:28" s="28" customFormat="1" x14ac:dyDescent="0.2">
      <c r="C130" s="274" t="s">
        <v>148</v>
      </c>
      <c r="D130" s="142"/>
      <c r="E130" s="142"/>
      <c r="F130" s="142"/>
      <c r="G130" s="142"/>
      <c r="I130" s="142"/>
      <c r="J130" s="142"/>
      <c r="K130" s="142"/>
      <c r="L130" s="142"/>
      <c r="N130" s="101"/>
      <c r="O130" s="101">
        <v>8100</v>
      </c>
      <c r="P130" s="101">
        <v>7500</v>
      </c>
      <c r="Q130" s="101">
        <v>13000</v>
      </c>
      <c r="R130" s="101"/>
      <c r="S130" s="101">
        <v>17900</v>
      </c>
      <c r="T130" s="101">
        <v>17800</v>
      </c>
      <c r="U130" s="101"/>
      <c r="V130" s="101"/>
      <c r="W130" s="101"/>
      <c r="X130" s="101"/>
      <c r="Y130" s="101"/>
      <c r="Z130" s="101"/>
      <c r="AA130" s="101"/>
      <c r="AB130" s="101"/>
    </row>
    <row r="131" spans="3:28" s="28" customFormat="1" x14ac:dyDescent="0.2">
      <c r="C131" s="275" t="s">
        <v>146</v>
      </c>
      <c r="D131" s="142"/>
      <c r="E131" s="142"/>
      <c r="F131" s="142"/>
      <c r="G131" s="142"/>
      <c r="I131" s="142"/>
      <c r="J131" s="142"/>
      <c r="K131" s="142"/>
      <c r="L131" s="142"/>
      <c r="N131" s="101"/>
      <c r="O131" s="101"/>
      <c r="P131" s="101"/>
      <c r="Q131" s="101"/>
      <c r="R131" s="101"/>
      <c r="S131" s="101"/>
      <c r="T131" s="101">
        <f>T130-O130</f>
        <v>9700</v>
      </c>
      <c r="U131" s="101"/>
      <c r="V131" s="101"/>
      <c r="W131" s="101"/>
      <c r="X131" s="101"/>
      <c r="Y131" s="101"/>
      <c r="Z131" s="101"/>
      <c r="AA131" s="101"/>
      <c r="AB131" s="101"/>
    </row>
    <row r="132" spans="3:28" s="28" customFormat="1" x14ac:dyDescent="0.2">
      <c r="C132" s="275" t="s">
        <v>149</v>
      </c>
      <c r="D132" s="142"/>
      <c r="E132" s="142"/>
      <c r="F132" s="142"/>
      <c r="G132" s="142"/>
      <c r="I132" s="142"/>
      <c r="J132" s="142"/>
      <c r="K132" s="142"/>
      <c r="L132" s="142"/>
      <c r="N132" s="101"/>
      <c r="O132" s="101"/>
      <c r="P132" s="101"/>
      <c r="Q132" s="101"/>
      <c r="R132" s="101"/>
      <c r="S132" s="101"/>
      <c r="T132" s="101" t="e">
        <f>T131+#REF!</f>
        <v>#REF!</v>
      </c>
      <c r="U132" s="101"/>
      <c r="V132" s="101"/>
      <c r="W132" s="101"/>
      <c r="X132" s="101"/>
      <c r="Y132" s="101"/>
      <c r="Z132" s="101"/>
      <c r="AA132" s="101"/>
      <c r="AB132" s="101"/>
    </row>
    <row r="133" spans="3:28" s="28" customFormat="1" x14ac:dyDescent="0.2">
      <c r="C133" s="275"/>
      <c r="D133" s="142"/>
      <c r="E133" s="142"/>
      <c r="F133" s="142"/>
      <c r="G133" s="142"/>
      <c r="I133" s="142"/>
      <c r="J133" s="142"/>
      <c r="K133" s="142"/>
      <c r="L133" s="142"/>
      <c r="N133" s="142"/>
      <c r="O133" s="142"/>
      <c r="P133" s="142"/>
      <c r="Q133" s="142"/>
      <c r="S133" s="142"/>
      <c r="T133" s="142"/>
      <c r="U133" s="142"/>
      <c r="V133" s="142"/>
    </row>
    <row r="134" spans="3:28" s="28" customFormat="1" x14ac:dyDescent="0.2">
      <c r="C134" s="275"/>
      <c r="D134" s="142"/>
      <c r="E134" s="142"/>
      <c r="F134" s="142"/>
      <c r="G134" s="142"/>
      <c r="I134" s="142"/>
      <c r="J134" s="142"/>
      <c r="K134" s="142"/>
      <c r="L134" s="142"/>
      <c r="N134" s="142"/>
      <c r="O134" s="142"/>
      <c r="P134" s="142"/>
      <c r="Q134" s="142"/>
      <c r="S134" s="142"/>
      <c r="T134" s="142"/>
      <c r="U134" s="142"/>
      <c r="V134" s="142"/>
    </row>
    <row r="135" spans="3:28" s="28" customFormat="1" x14ac:dyDescent="0.2">
      <c r="C135" s="275" t="s">
        <v>150</v>
      </c>
      <c r="D135" s="276"/>
      <c r="E135" s="276"/>
      <c r="F135" s="276"/>
      <c r="G135" s="276"/>
      <c r="I135" s="277" t="e">
        <f>0.95*#REF!</f>
        <v>#REF!</v>
      </c>
      <c r="J135" s="277" t="e">
        <f>0.95*#REF!</f>
        <v>#REF!</v>
      </c>
      <c r="K135" s="277" t="e">
        <f>0.95*#REF!</f>
        <v>#REF!</v>
      </c>
      <c r="L135" s="277" t="e">
        <f>0.95*#REF!</f>
        <v>#REF!</v>
      </c>
      <c r="N135" s="277" t="e">
        <f>0.95*#REF!</f>
        <v>#REF!</v>
      </c>
      <c r="O135" s="277" t="e">
        <f>0.95*#REF!</f>
        <v>#REF!</v>
      </c>
      <c r="P135" s="277" t="e">
        <f>0.95*#REF!</f>
        <v>#REF!</v>
      </c>
      <c r="Q135" s="277" t="e">
        <f>0.95*#REF!</f>
        <v>#REF!</v>
      </c>
      <c r="S135" s="277" t="e">
        <f>0.95*#REF!</f>
        <v>#REF!</v>
      </c>
      <c r="T135" s="277" t="e">
        <f>0.95*#REF!</f>
        <v>#REF!</v>
      </c>
      <c r="U135" s="277" t="e">
        <f>0.95*#REF!</f>
        <v>#REF!</v>
      </c>
      <c r="V135" s="277" t="e">
        <f>0.95*#REF!</f>
        <v>#REF!</v>
      </c>
      <c r="X135" s="277" t="e">
        <f>0.95*#REF!</f>
        <v>#REF!</v>
      </c>
      <c r="Y135" s="277" t="e">
        <f>0.95*#REF!</f>
        <v>#REF!</v>
      </c>
      <c r="Z135" s="277" t="e">
        <f>0.95*#REF!</f>
        <v>#REF!</v>
      </c>
      <c r="AA135" s="277" t="e">
        <f>0.95*#REF!</f>
        <v>#REF!</v>
      </c>
    </row>
    <row r="136" spans="3:28" s="28" customFormat="1" x14ac:dyDescent="0.2">
      <c r="C136" s="275" t="s">
        <v>151</v>
      </c>
      <c r="D136" s="142"/>
      <c r="E136" s="142"/>
      <c r="F136" s="142"/>
      <c r="G136" s="142"/>
      <c r="I136" s="142" t="e">
        <f>I22-I135</f>
        <v>#REF!</v>
      </c>
      <c r="J136" s="142" t="e">
        <f>J22-J135</f>
        <v>#REF!</v>
      </c>
      <c r="K136" s="142" t="e">
        <f>K22-K135</f>
        <v>#REF!</v>
      </c>
      <c r="L136" s="142" t="e">
        <f>L22-L135</f>
        <v>#REF!</v>
      </c>
      <c r="N136" s="142" t="e">
        <f>N22-N135</f>
        <v>#REF!</v>
      </c>
      <c r="O136" s="142" t="e">
        <f>O22-O135</f>
        <v>#REF!</v>
      </c>
      <c r="P136" s="142" t="e">
        <f>P22-P135</f>
        <v>#REF!</v>
      </c>
      <c r="Q136" s="142" t="e">
        <f>Q22-Q135</f>
        <v>#REF!</v>
      </c>
      <c r="S136" s="142" t="e">
        <f>S22-S135</f>
        <v>#REF!</v>
      </c>
      <c r="T136" s="142" t="e">
        <f>T22-T135</f>
        <v>#REF!</v>
      </c>
      <c r="U136" s="142" t="e">
        <f>U22-U135</f>
        <v>#REF!</v>
      </c>
      <c r="V136" s="142" t="e">
        <f>V22-V135</f>
        <v>#REF!</v>
      </c>
      <c r="X136" s="142" t="e">
        <f>X22-X135</f>
        <v>#REF!</v>
      </c>
      <c r="Y136" s="142" t="e">
        <f>Y22-Y135</f>
        <v>#REF!</v>
      </c>
      <c r="Z136" s="142" t="e">
        <f>Z22-Z135</f>
        <v>#REF!</v>
      </c>
      <c r="AA136" s="142" t="e">
        <f>AA22-AA135</f>
        <v>#REF!</v>
      </c>
    </row>
    <row r="137" spans="3:28" s="28" customFormat="1" x14ac:dyDescent="0.2">
      <c r="C137" s="275" t="s">
        <v>152</v>
      </c>
      <c r="D137" s="142"/>
      <c r="E137" s="142"/>
      <c r="F137" s="142"/>
      <c r="G137" s="142"/>
      <c r="I137" s="28" t="e">
        <f>I136/#REF!</f>
        <v>#REF!</v>
      </c>
      <c r="J137" s="28" t="e">
        <f>J136/#REF!</f>
        <v>#REF!</v>
      </c>
      <c r="K137" s="28" t="e">
        <f>K136/#REF!</f>
        <v>#REF!</v>
      </c>
      <c r="L137" s="28" t="e">
        <f>L136/#REF!</f>
        <v>#REF!</v>
      </c>
      <c r="N137" s="28" t="e">
        <f>N136/#REF!</f>
        <v>#REF!</v>
      </c>
      <c r="O137" s="28" t="e">
        <f>O136/#REF!</f>
        <v>#REF!</v>
      </c>
      <c r="P137" s="28" t="e">
        <f>P136/#REF!</f>
        <v>#REF!</v>
      </c>
      <c r="Q137" s="28" t="e">
        <f>Q136/#REF!</f>
        <v>#REF!</v>
      </c>
      <c r="S137" s="28" t="e">
        <f>S136/#REF!</f>
        <v>#REF!</v>
      </c>
      <c r="T137" s="28" t="e">
        <f>T136/#REF!</f>
        <v>#REF!</v>
      </c>
      <c r="U137" s="28" t="e">
        <f>U136/#REF!</f>
        <v>#REF!</v>
      </c>
      <c r="V137" s="28" t="e">
        <f>V136/#REF!</f>
        <v>#REF!</v>
      </c>
      <c r="X137" s="28" t="e">
        <f>X136/#REF!</f>
        <v>#REF!</v>
      </c>
      <c r="Y137" s="28" t="e">
        <f>Y136/#REF!</f>
        <v>#REF!</v>
      </c>
      <c r="Z137" s="28" t="e">
        <f>Z136/#REF!</f>
        <v>#REF!</v>
      </c>
      <c r="AA137" s="28" t="e">
        <f>AA136/#REF!</f>
        <v>#REF!</v>
      </c>
    </row>
    <row r="138" spans="3:28" s="28" customFormat="1" x14ac:dyDescent="0.2">
      <c r="C138" s="275"/>
      <c r="D138" s="142"/>
      <c r="E138" s="142"/>
      <c r="F138" s="142"/>
      <c r="G138" s="142"/>
      <c r="I138" s="142"/>
      <c r="J138" s="142"/>
      <c r="K138" s="142"/>
      <c r="L138" s="142"/>
      <c r="N138" s="142"/>
      <c r="O138" s="142"/>
      <c r="P138" s="142"/>
      <c r="Q138" s="142"/>
      <c r="S138" s="142"/>
      <c r="T138" s="142"/>
      <c r="U138" s="142"/>
      <c r="V138" s="142"/>
    </row>
    <row r="139" spans="3:28" s="28" customFormat="1" x14ac:dyDescent="0.2">
      <c r="C139" s="275"/>
    </row>
    <row r="140" spans="3:28" s="28" customFormat="1" ht="13.5" thickBot="1" x14ac:dyDescent="0.25">
      <c r="C140" s="275"/>
      <c r="D140" s="109"/>
      <c r="E140" s="109"/>
      <c r="F140" s="109"/>
      <c r="G140" s="109"/>
      <c r="I140" s="109"/>
      <c r="J140" s="109"/>
      <c r="K140" s="109"/>
      <c r="L140" s="109"/>
      <c r="N140" s="109"/>
      <c r="O140" s="109"/>
      <c r="P140" s="109"/>
      <c r="Q140" s="109"/>
      <c r="S140" s="109"/>
      <c r="T140" s="109"/>
      <c r="U140" s="109"/>
      <c r="V140" s="109"/>
    </row>
    <row r="141" spans="3:28" s="28" customFormat="1" ht="13.5" thickBot="1" x14ac:dyDescent="0.25">
      <c r="C141" s="275"/>
      <c r="D141" s="142"/>
      <c r="E141" s="142"/>
      <c r="F141" s="142"/>
      <c r="G141" s="142"/>
      <c r="I141" s="142"/>
      <c r="J141" s="278" t="s">
        <v>11</v>
      </c>
      <c r="K141" s="278" t="s">
        <v>12</v>
      </c>
      <c r="L141" s="278" t="s">
        <v>153</v>
      </c>
      <c r="M141" s="278" t="s">
        <v>154</v>
      </c>
      <c r="N141" s="278" t="s">
        <v>155</v>
      </c>
      <c r="O141" s="278" t="s">
        <v>156</v>
      </c>
      <c r="P141" s="278" t="s">
        <v>157</v>
      </c>
      <c r="Q141" s="278" t="s">
        <v>158</v>
      </c>
      <c r="R141" s="278" t="s">
        <v>159</v>
      </c>
      <c r="S141" s="278" t="s">
        <v>160</v>
      </c>
      <c r="T141" s="278" t="s">
        <v>161</v>
      </c>
      <c r="U141" s="278" t="s">
        <v>162</v>
      </c>
      <c r="V141" s="278" t="s">
        <v>163</v>
      </c>
      <c r="W141" s="279" t="s">
        <v>164</v>
      </c>
    </row>
    <row r="142" spans="3:28" s="28" customFormat="1" x14ac:dyDescent="0.2">
      <c r="C142" s="275"/>
      <c r="D142" s="142"/>
      <c r="E142" s="142"/>
      <c r="F142" s="142"/>
      <c r="G142" s="142"/>
      <c r="I142" s="142" t="s">
        <v>165</v>
      </c>
      <c r="J142" s="142"/>
      <c r="K142" s="142"/>
      <c r="L142" s="142"/>
      <c r="N142" s="142"/>
      <c r="O142" s="142"/>
      <c r="P142" s="142"/>
      <c r="Q142" s="142"/>
      <c r="S142" s="142"/>
      <c r="T142" s="142"/>
      <c r="U142" s="142"/>
      <c r="V142" s="142"/>
    </row>
    <row r="143" spans="3:28" s="28" customFormat="1" x14ac:dyDescent="0.2">
      <c r="C143" s="280"/>
      <c r="D143" s="142"/>
      <c r="E143" s="142"/>
      <c r="F143" s="142"/>
      <c r="G143" s="142"/>
      <c r="I143" s="142"/>
      <c r="J143" s="277" t="e">
        <f>L124</f>
        <v>#REF!</v>
      </c>
      <c r="K143" s="277" t="e">
        <f>N124</f>
        <v>#REF!</v>
      </c>
      <c r="L143" s="277" t="e">
        <f>O124</f>
        <v>#REF!</v>
      </c>
      <c r="M143" s="277" t="e">
        <f>P124</f>
        <v>#REF!</v>
      </c>
      <c r="N143" s="277" t="e">
        <f>Q124</f>
        <v>#REF!</v>
      </c>
      <c r="O143" s="277" t="e">
        <f>S124</f>
        <v>#REF!</v>
      </c>
      <c r="P143" s="277" t="e">
        <f>T124</f>
        <v>#REF!</v>
      </c>
      <c r="Q143" s="277" t="e">
        <f>U124</f>
        <v>#REF!</v>
      </c>
      <c r="R143" s="277" t="e">
        <f>V124</f>
        <v>#REF!</v>
      </c>
      <c r="S143" s="277" t="e">
        <f>X124</f>
        <v>#REF!</v>
      </c>
      <c r="T143" s="277" t="e">
        <f>Y124</f>
        <v>#REF!</v>
      </c>
      <c r="U143" s="277" t="e">
        <f>Z124</f>
        <v>#REF!</v>
      </c>
      <c r="V143" s="277" t="e">
        <f>AA124</f>
        <v>#REF!</v>
      </c>
    </row>
    <row r="144" spans="3:28" s="28" customFormat="1" x14ac:dyDescent="0.2">
      <c r="C144" s="280"/>
      <c r="D144" s="142"/>
      <c r="E144" s="142"/>
      <c r="F144" s="142"/>
      <c r="G144" s="142"/>
      <c r="I144" s="142"/>
      <c r="J144" s="142"/>
      <c r="K144" s="142"/>
      <c r="L144" s="142"/>
      <c r="N144" s="142"/>
      <c r="O144" s="142"/>
      <c r="P144" s="142"/>
      <c r="Q144" s="142"/>
      <c r="S144" s="142"/>
      <c r="T144" s="142"/>
      <c r="U144" s="142"/>
      <c r="V144" s="142"/>
    </row>
    <row r="145" spans="3:22" s="28" customFormat="1" x14ac:dyDescent="0.2">
      <c r="C145" s="275"/>
      <c r="D145" s="142"/>
      <c r="E145" s="142"/>
      <c r="F145" s="142"/>
      <c r="G145" s="142"/>
      <c r="I145" s="142"/>
      <c r="J145" s="142"/>
      <c r="K145" s="142"/>
      <c r="L145" s="142"/>
      <c r="N145" s="142"/>
      <c r="O145" s="142"/>
      <c r="P145" s="142"/>
      <c r="Q145" s="142"/>
      <c r="S145" s="142"/>
      <c r="T145" s="142"/>
      <c r="U145" s="142"/>
      <c r="V145" s="142"/>
    </row>
    <row r="146" spans="3:22" s="28" customFormat="1" x14ac:dyDescent="0.2">
      <c r="C146" s="275"/>
      <c r="G146" s="142"/>
      <c r="L146" s="142"/>
      <c r="Q146" s="142"/>
      <c r="V146" s="142"/>
    </row>
    <row r="147" spans="3:22" s="28" customFormat="1" x14ac:dyDescent="0.2">
      <c r="C147" s="281"/>
      <c r="D147" s="142"/>
      <c r="E147" s="142"/>
      <c r="F147" s="142"/>
      <c r="G147" s="142"/>
      <c r="I147" s="142"/>
      <c r="J147" s="142"/>
      <c r="K147" s="142"/>
      <c r="L147" s="142"/>
      <c r="N147" s="142"/>
      <c r="O147" s="142"/>
      <c r="P147" s="142"/>
      <c r="Q147" s="142"/>
      <c r="S147" s="142"/>
      <c r="T147" s="142"/>
      <c r="U147" s="142"/>
      <c r="V147" s="142"/>
    </row>
    <row r="148" spans="3:22" s="28" customFormat="1" x14ac:dyDescent="0.2">
      <c r="C148" s="275"/>
    </row>
    <row r="149" spans="3:22" s="28" customFormat="1" x14ac:dyDescent="0.2">
      <c r="C149" s="275"/>
      <c r="D149" s="282"/>
      <c r="E149" s="282"/>
      <c r="F149" s="282"/>
      <c r="G149" s="282"/>
      <c r="I149" s="282"/>
      <c r="J149" s="282"/>
      <c r="K149" s="282"/>
      <c r="L149" s="282"/>
      <c r="N149" s="282"/>
      <c r="O149" s="282"/>
      <c r="P149" s="282"/>
      <c r="Q149" s="282"/>
      <c r="S149" s="282"/>
      <c r="T149" s="282"/>
      <c r="U149" s="282"/>
      <c r="V149" s="282"/>
    </row>
    <row r="151" spans="3:22" x14ac:dyDescent="0.2">
      <c r="D151" s="272"/>
      <c r="E151" s="272"/>
      <c r="F151" s="272"/>
      <c r="G151" s="272"/>
      <c r="H151" s="272"/>
      <c r="I151" s="272"/>
      <c r="J151" s="272"/>
      <c r="K151" s="272"/>
      <c r="L151" s="272"/>
      <c r="N151" s="272"/>
      <c r="O151" s="272"/>
      <c r="P151" s="272"/>
      <c r="Q151" s="272"/>
      <c r="S151" s="272"/>
      <c r="T151" s="272"/>
      <c r="U151" s="272"/>
      <c r="V151" s="272"/>
    </row>
  </sheetData>
  <mergeCells count="1">
    <mergeCell ref="D114:G114"/>
  </mergeCells>
  <pageMargins left="0.17" right="0.17" top="0.75" bottom="0.75" header="0.3" footer="0.3"/>
  <pageSetup scale="29"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42DA-D4C2-460C-8058-9E7961E73712}">
  <sheetPr>
    <pageSetUpPr fitToPage="1"/>
  </sheetPr>
  <dimension ref="B1:BA78"/>
  <sheetViews>
    <sheetView showGridLines="0" workbookViewId="0">
      <pane xSplit="7" ySplit="4" topLeftCell="AM10" activePane="bottomRight" state="frozen"/>
      <selection pane="topRight" activeCell="H1" sqref="H1"/>
      <selection pane="bottomLeft" activeCell="A5" sqref="A5"/>
      <selection pane="bottomRight" activeCell="AS52" sqref="AS52"/>
    </sheetView>
  </sheetViews>
  <sheetFormatPr defaultRowHeight="12.75" outlineLevelRow="1" outlineLevelCol="1" x14ac:dyDescent="0.2"/>
  <cols>
    <col min="1" max="2" width="1.85546875" style="28" customWidth="1"/>
    <col min="3" max="3" width="43.5703125" style="28" customWidth="1"/>
    <col min="4" max="7" width="11.7109375" style="28" hidden="1" customWidth="1" outlineLevel="1"/>
    <col min="8" max="8" width="11.7109375" style="28" customWidth="1" collapsed="1"/>
    <col min="9" max="12" width="11.7109375" style="28" hidden="1" customWidth="1" outlineLevel="1"/>
    <col min="13" max="13" width="11.7109375" style="28" customWidth="1" collapsed="1"/>
    <col min="14" max="17" width="11.7109375" style="28" hidden="1" customWidth="1" outlineLevel="1"/>
    <col min="18" max="18" width="11.7109375" style="28" customWidth="1" collapsed="1"/>
    <col min="19" max="22" width="11.7109375" style="28" hidden="1" customWidth="1" outlineLevel="1"/>
    <col min="23" max="23" width="11.7109375" style="28" customWidth="1" collapsed="1"/>
    <col min="24" max="27" width="11.7109375" style="28" hidden="1" customWidth="1" outlineLevel="1"/>
    <col min="28" max="28" width="11.7109375" style="28" customWidth="1" collapsed="1"/>
    <col min="29" max="32" width="11.7109375" style="28" customWidth="1" outlineLevel="1"/>
    <col min="33" max="33" width="11.7109375" style="28" customWidth="1"/>
    <col min="34" max="37" width="11.7109375" style="28" customWidth="1" outlineLevel="1"/>
    <col min="38" max="38" width="11.7109375" style="28" customWidth="1"/>
    <col min="39" max="42" width="11.7109375" style="28" customWidth="1" outlineLevel="1"/>
    <col min="43" max="43" width="11.28515625" style="28" bestFit="1" customWidth="1"/>
    <col min="44" max="45" width="11.7109375" style="28" customWidth="1" outlineLevel="1"/>
    <col min="46" max="47" width="11.28515625" style="28" bestFit="1" customWidth="1" outlineLevel="1"/>
    <col min="48" max="48" width="11.28515625" style="28" bestFit="1" customWidth="1"/>
    <col min="49" max="52" width="11.28515625" style="28" bestFit="1" customWidth="1" outlineLevel="1"/>
    <col min="53" max="53" width="11.28515625" style="28" bestFit="1" customWidth="1"/>
    <col min="54" max="229" width="9.140625" style="28"/>
    <col min="230" max="230" width="4.140625" style="28" customWidth="1"/>
    <col min="231" max="231" width="1.85546875" style="28" customWidth="1"/>
    <col min="232" max="232" width="40.42578125" style="28" customWidth="1"/>
    <col min="233" max="237" width="0" style="28" hidden="1" customWidth="1"/>
    <col min="238" max="239" width="9.7109375" style="28" customWidth="1"/>
    <col min="240" max="243" width="8.7109375" style="28" bestFit="1" customWidth="1"/>
    <col min="244" max="244" width="9.7109375" style="28" customWidth="1"/>
    <col min="245" max="245" width="8.7109375" style="28" bestFit="1" customWidth="1"/>
    <col min="246" max="246" width="11.28515625" style="28" bestFit="1" customWidth="1"/>
    <col min="247" max="248" width="8.7109375" style="28" bestFit="1" customWidth="1"/>
    <col min="249" max="249" width="11.28515625" style="28" bestFit="1" customWidth="1"/>
    <col min="250" max="485" width="9.140625" style="28"/>
    <col min="486" max="486" width="4.140625" style="28" customWidth="1"/>
    <col min="487" max="487" width="1.85546875" style="28" customWidth="1"/>
    <col min="488" max="488" width="40.42578125" style="28" customWidth="1"/>
    <col min="489" max="493" width="0" style="28" hidden="1" customWidth="1"/>
    <col min="494" max="495" width="9.7109375" style="28" customWidth="1"/>
    <col min="496" max="499" width="8.7109375" style="28" bestFit="1" customWidth="1"/>
    <col min="500" max="500" width="9.7109375" style="28" customWidth="1"/>
    <col min="501" max="501" width="8.7109375" style="28" bestFit="1" customWidth="1"/>
    <col min="502" max="502" width="11.28515625" style="28" bestFit="1" customWidth="1"/>
    <col min="503" max="504" width="8.7109375" style="28" bestFit="1" customWidth="1"/>
    <col min="505" max="505" width="11.28515625" style="28" bestFit="1" customWidth="1"/>
    <col min="506" max="741" width="9.140625" style="28"/>
    <col min="742" max="742" width="4.140625" style="28" customWidth="1"/>
    <col min="743" max="743" width="1.85546875" style="28" customWidth="1"/>
    <col min="744" max="744" width="40.42578125" style="28" customWidth="1"/>
    <col min="745" max="749" width="0" style="28" hidden="1" customWidth="1"/>
    <col min="750" max="751" width="9.7109375" style="28" customWidth="1"/>
    <col min="752" max="755" width="8.7109375" style="28" bestFit="1" customWidth="1"/>
    <col min="756" max="756" width="9.7109375" style="28" customWidth="1"/>
    <col min="757" max="757" width="8.7109375" style="28" bestFit="1" customWidth="1"/>
    <col min="758" max="758" width="11.28515625" style="28" bestFit="1" customWidth="1"/>
    <col min="759" max="760" width="8.7109375" style="28" bestFit="1" customWidth="1"/>
    <col min="761" max="761" width="11.28515625" style="28" bestFit="1" customWidth="1"/>
    <col min="762" max="997" width="9.140625" style="28"/>
    <col min="998" max="998" width="4.140625" style="28" customWidth="1"/>
    <col min="999" max="999" width="1.85546875" style="28" customWidth="1"/>
    <col min="1000" max="1000" width="40.42578125" style="28" customWidth="1"/>
    <col min="1001" max="1005" width="0" style="28" hidden="1" customWidth="1"/>
    <col min="1006" max="1007" width="9.7109375" style="28" customWidth="1"/>
    <col min="1008" max="1011" width="8.7109375" style="28" bestFit="1" customWidth="1"/>
    <col min="1012" max="1012" width="9.7109375" style="28" customWidth="1"/>
    <col min="1013" max="1013" width="8.7109375" style="28" bestFit="1" customWidth="1"/>
    <col min="1014" max="1014" width="11.28515625" style="28" bestFit="1" customWidth="1"/>
    <col min="1015" max="1016" width="8.7109375" style="28" bestFit="1" customWidth="1"/>
    <col min="1017" max="1017" width="11.28515625" style="28" bestFit="1" customWidth="1"/>
    <col min="1018" max="1253" width="9.140625" style="28"/>
    <col min="1254" max="1254" width="4.140625" style="28" customWidth="1"/>
    <col min="1255" max="1255" width="1.85546875" style="28" customWidth="1"/>
    <col min="1256" max="1256" width="40.42578125" style="28" customWidth="1"/>
    <col min="1257" max="1261" width="0" style="28" hidden="1" customWidth="1"/>
    <col min="1262" max="1263" width="9.7109375" style="28" customWidth="1"/>
    <col min="1264" max="1267" width="8.7109375" style="28" bestFit="1" customWidth="1"/>
    <col min="1268" max="1268" width="9.7109375" style="28" customWidth="1"/>
    <col min="1269" max="1269" width="8.7109375" style="28" bestFit="1" customWidth="1"/>
    <col min="1270" max="1270" width="11.28515625" style="28" bestFit="1" customWidth="1"/>
    <col min="1271" max="1272" width="8.7109375" style="28" bestFit="1" customWidth="1"/>
    <col min="1273" max="1273" width="11.28515625" style="28" bestFit="1" customWidth="1"/>
    <col min="1274" max="1509" width="9.140625" style="28"/>
    <col min="1510" max="1510" width="4.140625" style="28" customWidth="1"/>
    <col min="1511" max="1511" width="1.85546875" style="28" customWidth="1"/>
    <col min="1512" max="1512" width="40.42578125" style="28" customWidth="1"/>
    <col min="1513" max="1517" width="0" style="28" hidden="1" customWidth="1"/>
    <col min="1518" max="1519" width="9.7109375" style="28" customWidth="1"/>
    <col min="1520" max="1523" width="8.7109375" style="28" bestFit="1" customWidth="1"/>
    <col min="1524" max="1524" width="9.7109375" style="28" customWidth="1"/>
    <col min="1525" max="1525" width="8.7109375" style="28" bestFit="1" customWidth="1"/>
    <col min="1526" max="1526" width="11.28515625" style="28" bestFit="1" customWidth="1"/>
    <col min="1527" max="1528" width="8.7109375" style="28" bestFit="1" customWidth="1"/>
    <col min="1529" max="1529" width="11.28515625" style="28" bestFit="1" customWidth="1"/>
    <col min="1530" max="1765" width="9.140625" style="28"/>
    <col min="1766" max="1766" width="4.140625" style="28" customWidth="1"/>
    <col min="1767" max="1767" width="1.85546875" style="28" customWidth="1"/>
    <col min="1768" max="1768" width="40.42578125" style="28" customWidth="1"/>
    <col min="1769" max="1773" width="0" style="28" hidden="1" customWidth="1"/>
    <col min="1774" max="1775" width="9.7109375" style="28" customWidth="1"/>
    <col min="1776" max="1779" width="8.7109375" style="28" bestFit="1" customWidth="1"/>
    <col min="1780" max="1780" width="9.7109375" style="28" customWidth="1"/>
    <col min="1781" max="1781" width="8.7109375" style="28" bestFit="1" customWidth="1"/>
    <col min="1782" max="1782" width="11.28515625" style="28" bestFit="1" customWidth="1"/>
    <col min="1783" max="1784" width="8.7109375" style="28" bestFit="1" customWidth="1"/>
    <col min="1785" max="1785" width="11.28515625" style="28" bestFit="1" customWidth="1"/>
    <col min="1786" max="2021" width="9.140625" style="28"/>
    <col min="2022" max="2022" width="4.140625" style="28" customWidth="1"/>
    <col min="2023" max="2023" width="1.85546875" style="28" customWidth="1"/>
    <col min="2024" max="2024" width="40.42578125" style="28" customWidth="1"/>
    <col min="2025" max="2029" width="0" style="28" hidden="1" customWidth="1"/>
    <col min="2030" max="2031" width="9.7109375" style="28" customWidth="1"/>
    <col min="2032" max="2035" width="8.7109375" style="28" bestFit="1" customWidth="1"/>
    <col min="2036" max="2036" width="9.7109375" style="28" customWidth="1"/>
    <col min="2037" max="2037" width="8.7109375" style="28" bestFit="1" customWidth="1"/>
    <col min="2038" max="2038" width="11.28515625" style="28" bestFit="1" customWidth="1"/>
    <col min="2039" max="2040" width="8.7109375" style="28" bestFit="1" customWidth="1"/>
    <col min="2041" max="2041" width="11.28515625" style="28" bestFit="1" customWidth="1"/>
    <col min="2042" max="2277" width="9.140625" style="28"/>
    <col min="2278" max="2278" width="4.140625" style="28" customWidth="1"/>
    <col min="2279" max="2279" width="1.85546875" style="28" customWidth="1"/>
    <col min="2280" max="2280" width="40.42578125" style="28" customWidth="1"/>
    <col min="2281" max="2285" width="0" style="28" hidden="1" customWidth="1"/>
    <col min="2286" max="2287" width="9.7109375" style="28" customWidth="1"/>
    <col min="2288" max="2291" width="8.7109375" style="28" bestFit="1" customWidth="1"/>
    <col min="2292" max="2292" width="9.7109375" style="28" customWidth="1"/>
    <col min="2293" max="2293" width="8.7109375" style="28" bestFit="1" customWidth="1"/>
    <col min="2294" max="2294" width="11.28515625" style="28" bestFit="1" customWidth="1"/>
    <col min="2295" max="2296" width="8.7109375" style="28" bestFit="1" customWidth="1"/>
    <col min="2297" max="2297" width="11.28515625" style="28" bestFit="1" customWidth="1"/>
    <col min="2298" max="2533" width="9.140625" style="28"/>
    <col min="2534" max="2534" width="4.140625" style="28" customWidth="1"/>
    <col min="2535" max="2535" width="1.85546875" style="28" customWidth="1"/>
    <col min="2536" max="2536" width="40.42578125" style="28" customWidth="1"/>
    <col min="2537" max="2541" width="0" style="28" hidden="1" customWidth="1"/>
    <col min="2542" max="2543" width="9.7109375" style="28" customWidth="1"/>
    <col min="2544" max="2547" width="8.7109375" style="28" bestFit="1" customWidth="1"/>
    <col min="2548" max="2548" width="9.7109375" style="28" customWidth="1"/>
    <col min="2549" max="2549" width="8.7109375" style="28" bestFit="1" customWidth="1"/>
    <col min="2550" max="2550" width="11.28515625" style="28" bestFit="1" customWidth="1"/>
    <col min="2551" max="2552" width="8.7109375" style="28" bestFit="1" customWidth="1"/>
    <col min="2553" max="2553" width="11.28515625" style="28" bestFit="1" customWidth="1"/>
    <col min="2554" max="2789" width="9.140625" style="28"/>
    <col min="2790" max="2790" width="4.140625" style="28" customWidth="1"/>
    <col min="2791" max="2791" width="1.85546875" style="28" customWidth="1"/>
    <col min="2792" max="2792" width="40.42578125" style="28" customWidth="1"/>
    <col min="2793" max="2797" width="0" style="28" hidden="1" customWidth="1"/>
    <col min="2798" max="2799" width="9.7109375" style="28" customWidth="1"/>
    <col min="2800" max="2803" width="8.7109375" style="28" bestFit="1" customWidth="1"/>
    <col min="2804" max="2804" width="9.7109375" style="28" customWidth="1"/>
    <col min="2805" max="2805" width="8.7109375" style="28" bestFit="1" customWidth="1"/>
    <col min="2806" max="2806" width="11.28515625" style="28" bestFit="1" customWidth="1"/>
    <col min="2807" max="2808" width="8.7109375" style="28" bestFit="1" customWidth="1"/>
    <col min="2809" max="2809" width="11.28515625" style="28" bestFit="1" customWidth="1"/>
    <col min="2810" max="3045" width="9.140625" style="28"/>
    <col min="3046" max="3046" width="4.140625" style="28" customWidth="1"/>
    <col min="3047" max="3047" width="1.85546875" style="28" customWidth="1"/>
    <col min="3048" max="3048" width="40.42578125" style="28" customWidth="1"/>
    <col min="3049" max="3053" width="0" style="28" hidden="1" customWidth="1"/>
    <col min="3054" max="3055" width="9.7109375" style="28" customWidth="1"/>
    <col min="3056" max="3059" width="8.7109375" style="28" bestFit="1" customWidth="1"/>
    <col min="3060" max="3060" width="9.7109375" style="28" customWidth="1"/>
    <col min="3061" max="3061" width="8.7109375" style="28" bestFit="1" customWidth="1"/>
    <col min="3062" max="3062" width="11.28515625" style="28" bestFit="1" customWidth="1"/>
    <col min="3063" max="3064" width="8.7109375" style="28" bestFit="1" customWidth="1"/>
    <col min="3065" max="3065" width="11.28515625" style="28" bestFit="1" customWidth="1"/>
    <col min="3066" max="3301" width="9.140625" style="28"/>
    <col min="3302" max="3302" width="4.140625" style="28" customWidth="1"/>
    <col min="3303" max="3303" width="1.85546875" style="28" customWidth="1"/>
    <col min="3304" max="3304" width="40.42578125" style="28" customWidth="1"/>
    <col min="3305" max="3309" width="0" style="28" hidden="1" customWidth="1"/>
    <col min="3310" max="3311" width="9.7109375" style="28" customWidth="1"/>
    <col min="3312" max="3315" width="8.7109375" style="28" bestFit="1" customWidth="1"/>
    <col min="3316" max="3316" width="9.7109375" style="28" customWidth="1"/>
    <col min="3317" max="3317" width="8.7109375" style="28" bestFit="1" customWidth="1"/>
    <col min="3318" max="3318" width="11.28515625" style="28" bestFit="1" customWidth="1"/>
    <col min="3319" max="3320" width="8.7109375" style="28" bestFit="1" customWidth="1"/>
    <col min="3321" max="3321" width="11.28515625" style="28" bestFit="1" customWidth="1"/>
    <col min="3322" max="3557" width="9.140625" style="28"/>
    <col min="3558" max="3558" width="4.140625" style="28" customWidth="1"/>
    <col min="3559" max="3559" width="1.85546875" style="28" customWidth="1"/>
    <col min="3560" max="3560" width="40.42578125" style="28" customWidth="1"/>
    <col min="3561" max="3565" width="0" style="28" hidden="1" customWidth="1"/>
    <col min="3566" max="3567" width="9.7109375" style="28" customWidth="1"/>
    <col min="3568" max="3571" width="8.7109375" style="28" bestFit="1" customWidth="1"/>
    <col min="3572" max="3572" width="9.7109375" style="28" customWidth="1"/>
    <col min="3573" max="3573" width="8.7109375" style="28" bestFit="1" customWidth="1"/>
    <col min="3574" max="3574" width="11.28515625" style="28" bestFit="1" customWidth="1"/>
    <col min="3575" max="3576" width="8.7109375" style="28" bestFit="1" customWidth="1"/>
    <col min="3577" max="3577" width="11.28515625" style="28" bestFit="1" customWidth="1"/>
    <col min="3578" max="3813" width="9.140625" style="28"/>
    <col min="3814" max="3814" width="4.140625" style="28" customWidth="1"/>
    <col min="3815" max="3815" width="1.85546875" style="28" customWidth="1"/>
    <col min="3816" max="3816" width="40.42578125" style="28" customWidth="1"/>
    <col min="3817" max="3821" width="0" style="28" hidden="1" customWidth="1"/>
    <col min="3822" max="3823" width="9.7109375" style="28" customWidth="1"/>
    <col min="3824" max="3827" width="8.7109375" style="28" bestFit="1" customWidth="1"/>
    <col min="3828" max="3828" width="9.7109375" style="28" customWidth="1"/>
    <col min="3829" max="3829" width="8.7109375" style="28" bestFit="1" customWidth="1"/>
    <col min="3830" max="3830" width="11.28515625" style="28" bestFit="1" customWidth="1"/>
    <col min="3831" max="3832" width="8.7109375" style="28" bestFit="1" customWidth="1"/>
    <col min="3833" max="3833" width="11.28515625" style="28" bestFit="1" customWidth="1"/>
    <col min="3834" max="4069" width="9.140625" style="28"/>
    <col min="4070" max="4070" width="4.140625" style="28" customWidth="1"/>
    <col min="4071" max="4071" width="1.85546875" style="28" customWidth="1"/>
    <col min="4072" max="4072" width="40.42578125" style="28" customWidth="1"/>
    <col min="4073" max="4077" width="0" style="28" hidden="1" customWidth="1"/>
    <col min="4078" max="4079" width="9.7109375" style="28" customWidth="1"/>
    <col min="4080" max="4083" width="8.7109375" style="28" bestFit="1" customWidth="1"/>
    <col min="4084" max="4084" width="9.7109375" style="28" customWidth="1"/>
    <col min="4085" max="4085" width="8.7109375" style="28" bestFit="1" customWidth="1"/>
    <col min="4086" max="4086" width="11.28515625" style="28" bestFit="1" customWidth="1"/>
    <col min="4087" max="4088" width="8.7109375" style="28" bestFit="1" customWidth="1"/>
    <col min="4089" max="4089" width="11.28515625" style="28" bestFit="1" customWidth="1"/>
    <col min="4090" max="4325" width="9.140625" style="28"/>
    <col min="4326" max="4326" width="4.140625" style="28" customWidth="1"/>
    <col min="4327" max="4327" width="1.85546875" style="28" customWidth="1"/>
    <col min="4328" max="4328" width="40.42578125" style="28" customWidth="1"/>
    <col min="4329" max="4333" width="0" style="28" hidden="1" customWidth="1"/>
    <col min="4334" max="4335" width="9.7109375" style="28" customWidth="1"/>
    <col min="4336" max="4339" width="8.7109375" style="28" bestFit="1" customWidth="1"/>
    <col min="4340" max="4340" width="9.7109375" style="28" customWidth="1"/>
    <col min="4341" max="4341" width="8.7109375" style="28" bestFit="1" customWidth="1"/>
    <col min="4342" max="4342" width="11.28515625" style="28" bestFit="1" customWidth="1"/>
    <col min="4343" max="4344" width="8.7109375" style="28" bestFit="1" customWidth="1"/>
    <col min="4345" max="4345" width="11.28515625" style="28" bestFit="1" customWidth="1"/>
    <col min="4346" max="4581" width="9.140625" style="28"/>
    <col min="4582" max="4582" width="4.140625" style="28" customWidth="1"/>
    <col min="4583" max="4583" width="1.85546875" style="28" customWidth="1"/>
    <col min="4584" max="4584" width="40.42578125" style="28" customWidth="1"/>
    <col min="4585" max="4589" width="0" style="28" hidden="1" customWidth="1"/>
    <col min="4590" max="4591" width="9.7109375" style="28" customWidth="1"/>
    <col min="4592" max="4595" width="8.7109375" style="28" bestFit="1" customWidth="1"/>
    <col min="4596" max="4596" width="9.7109375" style="28" customWidth="1"/>
    <col min="4597" max="4597" width="8.7109375" style="28" bestFit="1" customWidth="1"/>
    <col min="4598" max="4598" width="11.28515625" style="28" bestFit="1" customWidth="1"/>
    <col min="4599" max="4600" width="8.7109375" style="28" bestFit="1" customWidth="1"/>
    <col min="4601" max="4601" width="11.28515625" style="28" bestFit="1" customWidth="1"/>
    <col min="4602" max="4837" width="9.140625" style="28"/>
    <col min="4838" max="4838" width="4.140625" style="28" customWidth="1"/>
    <col min="4839" max="4839" width="1.85546875" style="28" customWidth="1"/>
    <col min="4840" max="4840" width="40.42578125" style="28" customWidth="1"/>
    <col min="4841" max="4845" width="0" style="28" hidden="1" customWidth="1"/>
    <col min="4846" max="4847" width="9.7109375" style="28" customWidth="1"/>
    <col min="4848" max="4851" width="8.7109375" style="28" bestFit="1" customWidth="1"/>
    <col min="4852" max="4852" width="9.7109375" style="28" customWidth="1"/>
    <col min="4853" max="4853" width="8.7109375" style="28" bestFit="1" customWidth="1"/>
    <col min="4854" max="4854" width="11.28515625" style="28" bestFit="1" customWidth="1"/>
    <col min="4855" max="4856" width="8.7109375" style="28" bestFit="1" customWidth="1"/>
    <col min="4857" max="4857" width="11.28515625" style="28" bestFit="1" customWidth="1"/>
    <col min="4858" max="5093" width="9.140625" style="28"/>
    <col min="5094" max="5094" width="4.140625" style="28" customWidth="1"/>
    <col min="5095" max="5095" width="1.85546875" style="28" customWidth="1"/>
    <col min="5096" max="5096" width="40.42578125" style="28" customWidth="1"/>
    <col min="5097" max="5101" width="0" style="28" hidden="1" customWidth="1"/>
    <col min="5102" max="5103" width="9.7109375" style="28" customWidth="1"/>
    <col min="5104" max="5107" width="8.7109375" style="28" bestFit="1" customWidth="1"/>
    <col min="5108" max="5108" width="9.7109375" style="28" customWidth="1"/>
    <col min="5109" max="5109" width="8.7109375" style="28" bestFit="1" customWidth="1"/>
    <col min="5110" max="5110" width="11.28515625" style="28" bestFit="1" customWidth="1"/>
    <col min="5111" max="5112" width="8.7109375" style="28" bestFit="1" customWidth="1"/>
    <col min="5113" max="5113" width="11.28515625" style="28" bestFit="1" customWidth="1"/>
    <col min="5114" max="5349" width="9.140625" style="28"/>
    <col min="5350" max="5350" width="4.140625" style="28" customWidth="1"/>
    <col min="5351" max="5351" width="1.85546875" style="28" customWidth="1"/>
    <col min="5352" max="5352" width="40.42578125" style="28" customWidth="1"/>
    <col min="5353" max="5357" width="0" style="28" hidden="1" customWidth="1"/>
    <col min="5358" max="5359" width="9.7109375" style="28" customWidth="1"/>
    <col min="5360" max="5363" width="8.7109375" style="28" bestFit="1" customWidth="1"/>
    <col min="5364" max="5364" width="9.7109375" style="28" customWidth="1"/>
    <col min="5365" max="5365" width="8.7109375" style="28" bestFit="1" customWidth="1"/>
    <col min="5366" max="5366" width="11.28515625" style="28" bestFit="1" customWidth="1"/>
    <col min="5367" max="5368" width="8.7109375" style="28" bestFit="1" customWidth="1"/>
    <col min="5369" max="5369" width="11.28515625" style="28" bestFit="1" customWidth="1"/>
    <col min="5370" max="5605" width="9.140625" style="28"/>
    <col min="5606" max="5606" width="4.140625" style="28" customWidth="1"/>
    <col min="5607" max="5607" width="1.85546875" style="28" customWidth="1"/>
    <col min="5608" max="5608" width="40.42578125" style="28" customWidth="1"/>
    <col min="5609" max="5613" width="0" style="28" hidden="1" customWidth="1"/>
    <col min="5614" max="5615" width="9.7109375" style="28" customWidth="1"/>
    <col min="5616" max="5619" width="8.7109375" style="28" bestFit="1" customWidth="1"/>
    <col min="5620" max="5620" width="9.7109375" style="28" customWidth="1"/>
    <col min="5621" max="5621" width="8.7109375" style="28" bestFit="1" customWidth="1"/>
    <col min="5622" max="5622" width="11.28515625" style="28" bestFit="1" customWidth="1"/>
    <col min="5623" max="5624" width="8.7109375" style="28" bestFit="1" customWidth="1"/>
    <col min="5625" max="5625" width="11.28515625" style="28" bestFit="1" customWidth="1"/>
    <col min="5626" max="5861" width="9.140625" style="28"/>
    <col min="5862" max="5862" width="4.140625" style="28" customWidth="1"/>
    <col min="5863" max="5863" width="1.85546875" style="28" customWidth="1"/>
    <col min="5864" max="5864" width="40.42578125" style="28" customWidth="1"/>
    <col min="5865" max="5869" width="0" style="28" hidden="1" customWidth="1"/>
    <col min="5870" max="5871" width="9.7109375" style="28" customWidth="1"/>
    <col min="5872" max="5875" width="8.7109375" style="28" bestFit="1" customWidth="1"/>
    <col min="5876" max="5876" width="9.7109375" style="28" customWidth="1"/>
    <col min="5877" max="5877" width="8.7109375" style="28" bestFit="1" customWidth="1"/>
    <col min="5878" max="5878" width="11.28515625" style="28" bestFit="1" customWidth="1"/>
    <col min="5879" max="5880" width="8.7109375" style="28" bestFit="1" customWidth="1"/>
    <col min="5881" max="5881" width="11.28515625" style="28" bestFit="1" customWidth="1"/>
    <col min="5882" max="6117" width="9.140625" style="28"/>
    <col min="6118" max="6118" width="4.140625" style="28" customWidth="1"/>
    <col min="6119" max="6119" width="1.85546875" style="28" customWidth="1"/>
    <col min="6120" max="6120" width="40.42578125" style="28" customWidth="1"/>
    <col min="6121" max="6125" width="0" style="28" hidden="1" customWidth="1"/>
    <col min="6126" max="6127" width="9.7109375" style="28" customWidth="1"/>
    <col min="6128" max="6131" width="8.7109375" style="28" bestFit="1" customWidth="1"/>
    <col min="6132" max="6132" width="9.7109375" style="28" customWidth="1"/>
    <col min="6133" max="6133" width="8.7109375" style="28" bestFit="1" customWidth="1"/>
    <col min="6134" max="6134" width="11.28515625" style="28" bestFit="1" customWidth="1"/>
    <col min="6135" max="6136" width="8.7109375" style="28" bestFit="1" customWidth="1"/>
    <col min="6137" max="6137" width="11.28515625" style="28" bestFit="1" customWidth="1"/>
    <col min="6138" max="6373" width="9.140625" style="28"/>
    <col min="6374" max="6374" width="4.140625" style="28" customWidth="1"/>
    <col min="6375" max="6375" width="1.85546875" style="28" customWidth="1"/>
    <col min="6376" max="6376" width="40.42578125" style="28" customWidth="1"/>
    <col min="6377" max="6381" width="0" style="28" hidden="1" customWidth="1"/>
    <col min="6382" max="6383" width="9.7109375" style="28" customWidth="1"/>
    <col min="6384" max="6387" width="8.7109375" style="28" bestFit="1" customWidth="1"/>
    <col min="6388" max="6388" width="9.7109375" style="28" customWidth="1"/>
    <col min="6389" max="6389" width="8.7109375" style="28" bestFit="1" customWidth="1"/>
    <col min="6390" max="6390" width="11.28515625" style="28" bestFit="1" customWidth="1"/>
    <col min="6391" max="6392" width="8.7109375" style="28" bestFit="1" customWidth="1"/>
    <col min="6393" max="6393" width="11.28515625" style="28" bestFit="1" customWidth="1"/>
    <col min="6394" max="6629" width="9.140625" style="28"/>
    <col min="6630" max="6630" width="4.140625" style="28" customWidth="1"/>
    <col min="6631" max="6631" width="1.85546875" style="28" customWidth="1"/>
    <col min="6632" max="6632" width="40.42578125" style="28" customWidth="1"/>
    <col min="6633" max="6637" width="0" style="28" hidden="1" customWidth="1"/>
    <col min="6638" max="6639" width="9.7109375" style="28" customWidth="1"/>
    <col min="6640" max="6643" width="8.7109375" style="28" bestFit="1" customWidth="1"/>
    <col min="6644" max="6644" width="9.7109375" style="28" customWidth="1"/>
    <col min="6645" max="6645" width="8.7109375" style="28" bestFit="1" customWidth="1"/>
    <col min="6646" max="6646" width="11.28515625" style="28" bestFit="1" customWidth="1"/>
    <col min="6647" max="6648" width="8.7109375" style="28" bestFit="1" customWidth="1"/>
    <col min="6649" max="6649" width="11.28515625" style="28" bestFit="1" customWidth="1"/>
    <col min="6650" max="6885" width="9.140625" style="28"/>
    <col min="6886" max="6886" width="4.140625" style="28" customWidth="1"/>
    <col min="6887" max="6887" width="1.85546875" style="28" customWidth="1"/>
    <col min="6888" max="6888" width="40.42578125" style="28" customWidth="1"/>
    <col min="6889" max="6893" width="0" style="28" hidden="1" customWidth="1"/>
    <col min="6894" max="6895" width="9.7109375" style="28" customWidth="1"/>
    <col min="6896" max="6899" width="8.7109375" style="28" bestFit="1" customWidth="1"/>
    <col min="6900" max="6900" width="9.7109375" style="28" customWidth="1"/>
    <col min="6901" max="6901" width="8.7109375" style="28" bestFit="1" customWidth="1"/>
    <col min="6902" max="6902" width="11.28515625" style="28" bestFit="1" customWidth="1"/>
    <col min="6903" max="6904" width="8.7109375" style="28" bestFit="1" customWidth="1"/>
    <col min="6905" max="6905" width="11.28515625" style="28" bestFit="1" customWidth="1"/>
    <col min="6906" max="7141" width="9.140625" style="28"/>
    <col min="7142" max="7142" width="4.140625" style="28" customWidth="1"/>
    <col min="7143" max="7143" width="1.85546875" style="28" customWidth="1"/>
    <col min="7144" max="7144" width="40.42578125" style="28" customWidth="1"/>
    <col min="7145" max="7149" width="0" style="28" hidden="1" customWidth="1"/>
    <col min="7150" max="7151" width="9.7109375" style="28" customWidth="1"/>
    <col min="7152" max="7155" width="8.7109375" style="28" bestFit="1" customWidth="1"/>
    <col min="7156" max="7156" width="9.7109375" style="28" customWidth="1"/>
    <col min="7157" max="7157" width="8.7109375" style="28" bestFit="1" customWidth="1"/>
    <col min="7158" max="7158" width="11.28515625" style="28" bestFit="1" customWidth="1"/>
    <col min="7159" max="7160" width="8.7109375" style="28" bestFit="1" customWidth="1"/>
    <col min="7161" max="7161" width="11.28515625" style="28" bestFit="1" customWidth="1"/>
    <col min="7162" max="7397" width="9.140625" style="28"/>
    <col min="7398" max="7398" width="4.140625" style="28" customWidth="1"/>
    <col min="7399" max="7399" width="1.85546875" style="28" customWidth="1"/>
    <col min="7400" max="7400" width="40.42578125" style="28" customWidth="1"/>
    <col min="7401" max="7405" width="0" style="28" hidden="1" customWidth="1"/>
    <col min="7406" max="7407" width="9.7109375" style="28" customWidth="1"/>
    <col min="7408" max="7411" width="8.7109375" style="28" bestFit="1" customWidth="1"/>
    <col min="7412" max="7412" width="9.7109375" style="28" customWidth="1"/>
    <col min="7413" max="7413" width="8.7109375" style="28" bestFit="1" customWidth="1"/>
    <col min="7414" max="7414" width="11.28515625" style="28" bestFit="1" customWidth="1"/>
    <col min="7415" max="7416" width="8.7109375" style="28" bestFit="1" customWidth="1"/>
    <col min="7417" max="7417" width="11.28515625" style="28" bestFit="1" customWidth="1"/>
    <col min="7418" max="7653" width="9.140625" style="28"/>
    <col min="7654" max="7654" width="4.140625" style="28" customWidth="1"/>
    <col min="7655" max="7655" width="1.85546875" style="28" customWidth="1"/>
    <col min="7656" max="7656" width="40.42578125" style="28" customWidth="1"/>
    <col min="7657" max="7661" width="0" style="28" hidden="1" customWidth="1"/>
    <col min="7662" max="7663" width="9.7109375" style="28" customWidth="1"/>
    <col min="7664" max="7667" width="8.7109375" style="28" bestFit="1" customWidth="1"/>
    <col min="7668" max="7668" width="9.7109375" style="28" customWidth="1"/>
    <col min="7669" max="7669" width="8.7109375" style="28" bestFit="1" customWidth="1"/>
    <col min="7670" max="7670" width="11.28515625" style="28" bestFit="1" customWidth="1"/>
    <col min="7671" max="7672" width="8.7109375" style="28" bestFit="1" customWidth="1"/>
    <col min="7673" max="7673" width="11.28515625" style="28" bestFit="1" customWidth="1"/>
    <col min="7674" max="7909" width="9.140625" style="28"/>
    <col min="7910" max="7910" width="4.140625" style="28" customWidth="1"/>
    <col min="7911" max="7911" width="1.85546875" style="28" customWidth="1"/>
    <col min="7912" max="7912" width="40.42578125" style="28" customWidth="1"/>
    <col min="7913" max="7917" width="0" style="28" hidden="1" customWidth="1"/>
    <col min="7918" max="7919" width="9.7109375" style="28" customWidth="1"/>
    <col min="7920" max="7923" width="8.7109375" style="28" bestFit="1" customWidth="1"/>
    <col min="7924" max="7924" width="9.7109375" style="28" customWidth="1"/>
    <col min="7925" max="7925" width="8.7109375" style="28" bestFit="1" customWidth="1"/>
    <col min="7926" max="7926" width="11.28515625" style="28" bestFit="1" customWidth="1"/>
    <col min="7927" max="7928" width="8.7109375" style="28" bestFit="1" customWidth="1"/>
    <col min="7929" max="7929" width="11.28515625" style="28" bestFit="1" customWidth="1"/>
    <col min="7930" max="8165" width="9.140625" style="28"/>
    <col min="8166" max="8166" width="4.140625" style="28" customWidth="1"/>
    <col min="8167" max="8167" width="1.85546875" style="28" customWidth="1"/>
    <col min="8168" max="8168" width="40.42578125" style="28" customWidth="1"/>
    <col min="8169" max="8173" width="0" style="28" hidden="1" customWidth="1"/>
    <col min="8174" max="8175" width="9.7109375" style="28" customWidth="1"/>
    <col min="8176" max="8179" width="8.7109375" style="28" bestFit="1" customWidth="1"/>
    <col min="8180" max="8180" width="9.7109375" style="28" customWidth="1"/>
    <col min="8181" max="8181" width="8.7109375" style="28" bestFit="1" customWidth="1"/>
    <col min="8182" max="8182" width="11.28515625" style="28" bestFit="1" customWidth="1"/>
    <col min="8183" max="8184" width="8.7109375" style="28" bestFit="1" customWidth="1"/>
    <col min="8185" max="8185" width="11.28515625" style="28" bestFit="1" customWidth="1"/>
    <col min="8186" max="8421" width="9.140625" style="28"/>
    <col min="8422" max="8422" width="4.140625" style="28" customWidth="1"/>
    <col min="8423" max="8423" width="1.85546875" style="28" customWidth="1"/>
    <col min="8424" max="8424" width="40.42578125" style="28" customWidth="1"/>
    <col min="8425" max="8429" width="0" style="28" hidden="1" customWidth="1"/>
    <col min="8430" max="8431" width="9.7109375" style="28" customWidth="1"/>
    <col min="8432" max="8435" width="8.7109375" style="28" bestFit="1" customWidth="1"/>
    <col min="8436" max="8436" width="9.7109375" style="28" customWidth="1"/>
    <col min="8437" max="8437" width="8.7109375" style="28" bestFit="1" customWidth="1"/>
    <col min="8438" max="8438" width="11.28515625" style="28" bestFit="1" customWidth="1"/>
    <col min="8439" max="8440" width="8.7109375" style="28" bestFit="1" customWidth="1"/>
    <col min="8441" max="8441" width="11.28515625" style="28" bestFit="1" customWidth="1"/>
    <col min="8442" max="8677" width="9.140625" style="28"/>
    <col min="8678" max="8678" width="4.140625" style="28" customWidth="1"/>
    <col min="8679" max="8679" width="1.85546875" style="28" customWidth="1"/>
    <col min="8680" max="8680" width="40.42578125" style="28" customWidth="1"/>
    <col min="8681" max="8685" width="0" style="28" hidden="1" customWidth="1"/>
    <col min="8686" max="8687" width="9.7109375" style="28" customWidth="1"/>
    <col min="8688" max="8691" width="8.7109375" style="28" bestFit="1" customWidth="1"/>
    <col min="8692" max="8692" width="9.7109375" style="28" customWidth="1"/>
    <col min="8693" max="8693" width="8.7109375" style="28" bestFit="1" customWidth="1"/>
    <col min="8694" max="8694" width="11.28515625" style="28" bestFit="1" customWidth="1"/>
    <col min="8695" max="8696" width="8.7109375" style="28" bestFit="1" customWidth="1"/>
    <col min="8697" max="8697" width="11.28515625" style="28" bestFit="1" customWidth="1"/>
    <col min="8698" max="8933" width="9.140625" style="28"/>
    <col min="8934" max="8934" width="4.140625" style="28" customWidth="1"/>
    <col min="8935" max="8935" width="1.85546875" style="28" customWidth="1"/>
    <col min="8936" max="8936" width="40.42578125" style="28" customWidth="1"/>
    <col min="8937" max="8941" width="0" style="28" hidden="1" customWidth="1"/>
    <col min="8942" max="8943" width="9.7109375" style="28" customWidth="1"/>
    <col min="8944" max="8947" width="8.7109375" style="28" bestFit="1" customWidth="1"/>
    <col min="8948" max="8948" width="9.7109375" style="28" customWidth="1"/>
    <col min="8949" max="8949" width="8.7109375" style="28" bestFit="1" customWidth="1"/>
    <col min="8950" max="8950" width="11.28515625" style="28" bestFit="1" customWidth="1"/>
    <col min="8951" max="8952" width="8.7109375" style="28" bestFit="1" customWidth="1"/>
    <col min="8953" max="8953" width="11.28515625" style="28" bestFit="1" customWidth="1"/>
    <col min="8954" max="9189" width="9.140625" style="28"/>
    <col min="9190" max="9190" width="4.140625" style="28" customWidth="1"/>
    <col min="9191" max="9191" width="1.85546875" style="28" customWidth="1"/>
    <col min="9192" max="9192" width="40.42578125" style="28" customWidth="1"/>
    <col min="9193" max="9197" width="0" style="28" hidden="1" customWidth="1"/>
    <col min="9198" max="9199" width="9.7109375" style="28" customWidth="1"/>
    <col min="9200" max="9203" width="8.7109375" style="28" bestFit="1" customWidth="1"/>
    <col min="9204" max="9204" width="9.7109375" style="28" customWidth="1"/>
    <col min="9205" max="9205" width="8.7109375" style="28" bestFit="1" customWidth="1"/>
    <col min="9206" max="9206" width="11.28515625" style="28" bestFit="1" customWidth="1"/>
    <col min="9207" max="9208" width="8.7109375" style="28" bestFit="1" customWidth="1"/>
    <col min="9209" max="9209" width="11.28515625" style="28" bestFit="1" customWidth="1"/>
    <col min="9210" max="9445" width="9.140625" style="28"/>
    <col min="9446" max="9446" width="4.140625" style="28" customWidth="1"/>
    <col min="9447" max="9447" width="1.85546875" style="28" customWidth="1"/>
    <col min="9448" max="9448" width="40.42578125" style="28" customWidth="1"/>
    <col min="9449" max="9453" width="0" style="28" hidden="1" customWidth="1"/>
    <col min="9454" max="9455" width="9.7109375" style="28" customWidth="1"/>
    <col min="9456" max="9459" width="8.7109375" style="28" bestFit="1" customWidth="1"/>
    <col min="9460" max="9460" width="9.7109375" style="28" customWidth="1"/>
    <col min="9461" max="9461" width="8.7109375" style="28" bestFit="1" customWidth="1"/>
    <col min="9462" max="9462" width="11.28515625" style="28" bestFit="1" customWidth="1"/>
    <col min="9463" max="9464" width="8.7109375" style="28" bestFit="1" customWidth="1"/>
    <col min="9465" max="9465" width="11.28515625" style="28" bestFit="1" customWidth="1"/>
    <col min="9466" max="9701" width="9.140625" style="28"/>
    <col min="9702" max="9702" width="4.140625" style="28" customWidth="1"/>
    <col min="9703" max="9703" width="1.85546875" style="28" customWidth="1"/>
    <col min="9704" max="9704" width="40.42578125" style="28" customWidth="1"/>
    <col min="9705" max="9709" width="0" style="28" hidden="1" customWidth="1"/>
    <col min="9710" max="9711" width="9.7109375" style="28" customWidth="1"/>
    <col min="9712" max="9715" width="8.7109375" style="28" bestFit="1" customWidth="1"/>
    <col min="9716" max="9716" width="9.7109375" style="28" customWidth="1"/>
    <col min="9717" max="9717" width="8.7109375" style="28" bestFit="1" customWidth="1"/>
    <col min="9718" max="9718" width="11.28515625" style="28" bestFit="1" customWidth="1"/>
    <col min="9719" max="9720" width="8.7109375" style="28" bestFit="1" customWidth="1"/>
    <col min="9721" max="9721" width="11.28515625" style="28" bestFit="1" customWidth="1"/>
    <col min="9722" max="9957" width="9.140625" style="28"/>
    <col min="9958" max="9958" width="4.140625" style="28" customWidth="1"/>
    <col min="9959" max="9959" width="1.85546875" style="28" customWidth="1"/>
    <col min="9960" max="9960" width="40.42578125" style="28" customWidth="1"/>
    <col min="9961" max="9965" width="0" style="28" hidden="1" customWidth="1"/>
    <col min="9966" max="9967" width="9.7109375" style="28" customWidth="1"/>
    <col min="9968" max="9971" width="8.7109375" style="28" bestFit="1" customWidth="1"/>
    <col min="9972" max="9972" width="9.7109375" style="28" customWidth="1"/>
    <col min="9973" max="9973" width="8.7109375" style="28" bestFit="1" customWidth="1"/>
    <col min="9974" max="9974" width="11.28515625" style="28" bestFit="1" customWidth="1"/>
    <col min="9975" max="9976" width="8.7109375" style="28" bestFit="1" customWidth="1"/>
    <col min="9977" max="9977" width="11.28515625" style="28" bestFit="1" customWidth="1"/>
    <col min="9978" max="10213" width="9.140625" style="28"/>
    <col min="10214" max="10214" width="4.140625" style="28" customWidth="1"/>
    <col min="10215" max="10215" width="1.85546875" style="28" customWidth="1"/>
    <col min="10216" max="10216" width="40.42578125" style="28" customWidth="1"/>
    <col min="10217" max="10221" width="0" style="28" hidden="1" customWidth="1"/>
    <col min="10222" max="10223" width="9.7109375" style="28" customWidth="1"/>
    <col min="10224" max="10227" width="8.7109375" style="28" bestFit="1" customWidth="1"/>
    <col min="10228" max="10228" width="9.7109375" style="28" customWidth="1"/>
    <col min="10229" max="10229" width="8.7109375" style="28" bestFit="1" customWidth="1"/>
    <col min="10230" max="10230" width="11.28515625" style="28" bestFit="1" customWidth="1"/>
    <col min="10231" max="10232" width="8.7109375" style="28" bestFit="1" customWidth="1"/>
    <col min="10233" max="10233" width="11.28515625" style="28" bestFit="1" customWidth="1"/>
    <col min="10234" max="10469" width="9.140625" style="28"/>
    <col min="10470" max="10470" width="4.140625" style="28" customWidth="1"/>
    <col min="10471" max="10471" width="1.85546875" style="28" customWidth="1"/>
    <col min="10472" max="10472" width="40.42578125" style="28" customWidth="1"/>
    <col min="10473" max="10477" width="0" style="28" hidden="1" customWidth="1"/>
    <col min="10478" max="10479" width="9.7109375" style="28" customWidth="1"/>
    <col min="10480" max="10483" width="8.7109375" style="28" bestFit="1" customWidth="1"/>
    <col min="10484" max="10484" width="9.7109375" style="28" customWidth="1"/>
    <col min="10485" max="10485" width="8.7109375" style="28" bestFit="1" customWidth="1"/>
    <col min="10486" max="10486" width="11.28515625" style="28" bestFit="1" customWidth="1"/>
    <col min="10487" max="10488" width="8.7109375" style="28" bestFit="1" customWidth="1"/>
    <col min="10489" max="10489" width="11.28515625" style="28" bestFit="1" customWidth="1"/>
    <col min="10490" max="10725" width="9.140625" style="28"/>
    <col min="10726" max="10726" width="4.140625" style="28" customWidth="1"/>
    <col min="10727" max="10727" width="1.85546875" style="28" customWidth="1"/>
    <col min="10728" max="10728" width="40.42578125" style="28" customWidth="1"/>
    <col min="10729" max="10733" width="0" style="28" hidden="1" customWidth="1"/>
    <col min="10734" max="10735" width="9.7109375" style="28" customWidth="1"/>
    <col min="10736" max="10739" width="8.7109375" style="28" bestFit="1" customWidth="1"/>
    <col min="10740" max="10740" width="9.7109375" style="28" customWidth="1"/>
    <col min="10741" max="10741" width="8.7109375" style="28" bestFit="1" customWidth="1"/>
    <col min="10742" max="10742" width="11.28515625" style="28" bestFit="1" customWidth="1"/>
    <col min="10743" max="10744" width="8.7109375" style="28" bestFit="1" customWidth="1"/>
    <col min="10745" max="10745" width="11.28515625" style="28" bestFit="1" customWidth="1"/>
    <col min="10746" max="10981" width="9.140625" style="28"/>
    <col min="10982" max="10982" width="4.140625" style="28" customWidth="1"/>
    <col min="10983" max="10983" width="1.85546875" style="28" customWidth="1"/>
    <col min="10984" max="10984" width="40.42578125" style="28" customWidth="1"/>
    <col min="10985" max="10989" width="0" style="28" hidden="1" customWidth="1"/>
    <col min="10990" max="10991" width="9.7109375" style="28" customWidth="1"/>
    <col min="10992" max="10995" width="8.7109375" style="28" bestFit="1" customWidth="1"/>
    <col min="10996" max="10996" width="9.7109375" style="28" customWidth="1"/>
    <col min="10997" max="10997" width="8.7109375" style="28" bestFit="1" customWidth="1"/>
    <col min="10998" max="10998" width="11.28515625" style="28" bestFit="1" customWidth="1"/>
    <col min="10999" max="11000" width="8.7109375" style="28" bestFit="1" customWidth="1"/>
    <col min="11001" max="11001" width="11.28515625" style="28" bestFit="1" customWidth="1"/>
    <col min="11002" max="11237" width="9.140625" style="28"/>
    <col min="11238" max="11238" width="4.140625" style="28" customWidth="1"/>
    <col min="11239" max="11239" width="1.85546875" style="28" customWidth="1"/>
    <col min="11240" max="11240" width="40.42578125" style="28" customWidth="1"/>
    <col min="11241" max="11245" width="0" style="28" hidden="1" customWidth="1"/>
    <col min="11246" max="11247" width="9.7109375" style="28" customWidth="1"/>
    <col min="11248" max="11251" width="8.7109375" style="28" bestFit="1" customWidth="1"/>
    <col min="11252" max="11252" width="9.7109375" style="28" customWidth="1"/>
    <col min="11253" max="11253" width="8.7109375" style="28" bestFit="1" customWidth="1"/>
    <col min="11254" max="11254" width="11.28515625" style="28" bestFit="1" customWidth="1"/>
    <col min="11255" max="11256" width="8.7109375" style="28" bestFit="1" customWidth="1"/>
    <col min="11257" max="11257" width="11.28515625" style="28" bestFit="1" customWidth="1"/>
    <col min="11258" max="11493" width="9.140625" style="28"/>
    <col min="11494" max="11494" width="4.140625" style="28" customWidth="1"/>
    <col min="11495" max="11495" width="1.85546875" style="28" customWidth="1"/>
    <col min="11496" max="11496" width="40.42578125" style="28" customWidth="1"/>
    <col min="11497" max="11501" width="0" style="28" hidden="1" customWidth="1"/>
    <col min="11502" max="11503" width="9.7109375" style="28" customWidth="1"/>
    <col min="11504" max="11507" width="8.7109375" style="28" bestFit="1" customWidth="1"/>
    <col min="11508" max="11508" width="9.7109375" style="28" customWidth="1"/>
    <col min="11509" max="11509" width="8.7109375" style="28" bestFit="1" customWidth="1"/>
    <col min="11510" max="11510" width="11.28515625" style="28" bestFit="1" customWidth="1"/>
    <col min="11511" max="11512" width="8.7109375" style="28" bestFit="1" customWidth="1"/>
    <col min="11513" max="11513" width="11.28515625" style="28" bestFit="1" customWidth="1"/>
    <col min="11514" max="11749" width="9.140625" style="28"/>
    <col min="11750" max="11750" width="4.140625" style="28" customWidth="1"/>
    <col min="11751" max="11751" width="1.85546875" style="28" customWidth="1"/>
    <col min="11752" max="11752" width="40.42578125" style="28" customWidth="1"/>
    <col min="11753" max="11757" width="0" style="28" hidden="1" customWidth="1"/>
    <col min="11758" max="11759" width="9.7109375" style="28" customWidth="1"/>
    <col min="11760" max="11763" width="8.7109375" style="28" bestFit="1" customWidth="1"/>
    <col min="11764" max="11764" width="9.7109375" style="28" customWidth="1"/>
    <col min="11765" max="11765" width="8.7109375" style="28" bestFit="1" customWidth="1"/>
    <col min="11766" max="11766" width="11.28515625" style="28" bestFit="1" customWidth="1"/>
    <col min="11767" max="11768" width="8.7109375" style="28" bestFit="1" customWidth="1"/>
    <col min="11769" max="11769" width="11.28515625" style="28" bestFit="1" customWidth="1"/>
    <col min="11770" max="12005" width="9.140625" style="28"/>
    <col min="12006" max="12006" width="4.140625" style="28" customWidth="1"/>
    <col min="12007" max="12007" width="1.85546875" style="28" customWidth="1"/>
    <col min="12008" max="12008" width="40.42578125" style="28" customWidth="1"/>
    <col min="12009" max="12013" width="0" style="28" hidden="1" customWidth="1"/>
    <col min="12014" max="12015" width="9.7109375" style="28" customWidth="1"/>
    <col min="12016" max="12019" width="8.7109375" style="28" bestFit="1" customWidth="1"/>
    <col min="12020" max="12020" width="9.7109375" style="28" customWidth="1"/>
    <col min="12021" max="12021" width="8.7109375" style="28" bestFit="1" customWidth="1"/>
    <col min="12022" max="12022" width="11.28515625" style="28" bestFit="1" customWidth="1"/>
    <col min="12023" max="12024" width="8.7109375" style="28" bestFit="1" customWidth="1"/>
    <col min="12025" max="12025" width="11.28515625" style="28" bestFit="1" customWidth="1"/>
    <col min="12026" max="12261" width="9.140625" style="28"/>
    <col min="12262" max="12262" width="4.140625" style="28" customWidth="1"/>
    <col min="12263" max="12263" width="1.85546875" style="28" customWidth="1"/>
    <col min="12264" max="12264" width="40.42578125" style="28" customWidth="1"/>
    <col min="12265" max="12269" width="0" style="28" hidden="1" customWidth="1"/>
    <col min="12270" max="12271" width="9.7109375" style="28" customWidth="1"/>
    <col min="12272" max="12275" width="8.7109375" style="28" bestFit="1" customWidth="1"/>
    <col min="12276" max="12276" width="9.7109375" style="28" customWidth="1"/>
    <col min="12277" max="12277" width="8.7109375" style="28" bestFit="1" customWidth="1"/>
    <col min="12278" max="12278" width="11.28515625" style="28" bestFit="1" customWidth="1"/>
    <col min="12279" max="12280" width="8.7109375" style="28" bestFit="1" customWidth="1"/>
    <col min="12281" max="12281" width="11.28515625" style="28" bestFit="1" customWidth="1"/>
    <col min="12282" max="12517" width="9.140625" style="28"/>
    <col min="12518" max="12518" width="4.140625" style="28" customWidth="1"/>
    <col min="12519" max="12519" width="1.85546875" style="28" customWidth="1"/>
    <col min="12520" max="12520" width="40.42578125" style="28" customWidth="1"/>
    <col min="12521" max="12525" width="0" style="28" hidden="1" customWidth="1"/>
    <col min="12526" max="12527" width="9.7109375" style="28" customWidth="1"/>
    <col min="12528" max="12531" width="8.7109375" style="28" bestFit="1" customWidth="1"/>
    <col min="12532" max="12532" width="9.7109375" style="28" customWidth="1"/>
    <col min="12533" max="12533" width="8.7109375" style="28" bestFit="1" customWidth="1"/>
    <col min="12534" max="12534" width="11.28515625" style="28" bestFit="1" customWidth="1"/>
    <col min="12535" max="12536" width="8.7109375" style="28" bestFit="1" customWidth="1"/>
    <col min="12537" max="12537" width="11.28515625" style="28" bestFit="1" customWidth="1"/>
    <col min="12538" max="12773" width="9.140625" style="28"/>
    <col min="12774" max="12774" width="4.140625" style="28" customWidth="1"/>
    <col min="12775" max="12775" width="1.85546875" style="28" customWidth="1"/>
    <col min="12776" max="12776" width="40.42578125" style="28" customWidth="1"/>
    <col min="12777" max="12781" width="0" style="28" hidden="1" customWidth="1"/>
    <col min="12782" max="12783" width="9.7109375" style="28" customWidth="1"/>
    <col min="12784" max="12787" width="8.7109375" style="28" bestFit="1" customWidth="1"/>
    <col min="12788" max="12788" width="9.7109375" style="28" customWidth="1"/>
    <col min="12789" max="12789" width="8.7109375" style="28" bestFit="1" customWidth="1"/>
    <col min="12790" max="12790" width="11.28515625" style="28" bestFit="1" customWidth="1"/>
    <col min="12791" max="12792" width="8.7109375" style="28" bestFit="1" customWidth="1"/>
    <col min="12793" max="12793" width="11.28515625" style="28" bestFit="1" customWidth="1"/>
    <col min="12794" max="13029" width="9.140625" style="28"/>
    <col min="13030" max="13030" width="4.140625" style="28" customWidth="1"/>
    <col min="13031" max="13031" width="1.85546875" style="28" customWidth="1"/>
    <col min="13032" max="13032" width="40.42578125" style="28" customWidth="1"/>
    <col min="13033" max="13037" width="0" style="28" hidden="1" customWidth="1"/>
    <col min="13038" max="13039" width="9.7109375" style="28" customWidth="1"/>
    <col min="13040" max="13043" width="8.7109375" style="28" bestFit="1" customWidth="1"/>
    <col min="13044" max="13044" width="9.7109375" style="28" customWidth="1"/>
    <col min="13045" max="13045" width="8.7109375" style="28" bestFit="1" customWidth="1"/>
    <col min="13046" max="13046" width="11.28515625" style="28" bestFit="1" customWidth="1"/>
    <col min="13047" max="13048" width="8.7109375" style="28" bestFit="1" customWidth="1"/>
    <col min="13049" max="13049" width="11.28515625" style="28" bestFit="1" customWidth="1"/>
    <col min="13050" max="13285" width="9.140625" style="28"/>
    <col min="13286" max="13286" width="4.140625" style="28" customWidth="1"/>
    <col min="13287" max="13287" width="1.85546875" style="28" customWidth="1"/>
    <col min="13288" max="13288" width="40.42578125" style="28" customWidth="1"/>
    <col min="13289" max="13293" width="0" style="28" hidden="1" customWidth="1"/>
    <col min="13294" max="13295" width="9.7109375" style="28" customWidth="1"/>
    <col min="13296" max="13299" width="8.7109375" style="28" bestFit="1" customWidth="1"/>
    <col min="13300" max="13300" width="9.7109375" style="28" customWidth="1"/>
    <col min="13301" max="13301" width="8.7109375" style="28" bestFit="1" customWidth="1"/>
    <col min="13302" max="13302" width="11.28515625" style="28" bestFit="1" customWidth="1"/>
    <col min="13303" max="13304" width="8.7109375" style="28" bestFit="1" customWidth="1"/>
    <col min="13305" max="13305" width="11.28515625" style="28" bestFit="1" customWidth="1"/>
    <col min="13306" max="13541" width="9.140625" style="28"/>
    <col min="13542" max="13542" width="4.140625" style="28" customWidth="1"/>
    <col min="13543" max="13543" width="1.85546875" style="28" customWidth="1"/>
    <col min="13544" max="13544" width="40.42578125" style="28" customWidth="1"/>
    <col min="13545" max="13549" width="0" style="28" hidden="1" customWidth="1"/>
    <col min="13550" max="13551" width="9.7109375" style="28" customWidth="1"/>
    <col min="13552" max="13555" width="8.7109375" style="28" bestFit="1" customWidth="1"/>
    <col min="13556" max="13556" width="9.7109375" style="28" customWidth="1"/>
    <col min="13557" max="13557" width="8.7109375" style="28" bestFit="1" customWidth="1"/>
    <col min="13558" max="13558" width="11.28515625" style="28" bestFit="1" customWidth="1"/>
    <col min="13559" max="13560" width="8.7109375" style="28" bestFit="1" customWidth="1"/>
    <col min="13561" max="13561" width="11.28515625" style="28" bestFit="1" customWidth="1"/>
    <col min="13562" max="13797" width="9.140625" style="28"/>
    <col min="13798" max="13798" width="4.140625" style="28" customWidth="1"/>
    <col min="13799" max="13799" width="1.85546875" style="28" customWidth="1"/>
    <col min="13800" max="13800" width="40.42578125" style="28" customWidth="1"/>
    <col min="13801" max="13805" width="0" style="28" hidden="1" customWidth="1"/>
    <col min="13806" max="13807" width="9.7109375" style="28" customWidth="1"/>
    <col min="13808" max="13811" width="8.7109375" style="28" bestFit="1" customWidth="1"/>
    <col min="13812" max="13812" width="9.7109375" style="28" customWidth="1"/>
    <col min="13813" max="13813" width="8.7109375" style="28" bestFit="1" customWidth="1"/>
    <col min="13814" max="13814" width="11.28515625" style="28" bestFit="1" customWidth="1"/>
    <col min="13815" max="13816" width="8.7109375" style="28" bestFit="1" customWidth="1"/>
    <col min="13817" max="13817" width="11.28515625" style="28" bestFit="1" customWidth="1"/>
    <col min="13818" max="14053" width="9.140625" style="28"/>
    <col min="14054" max="14054" width="4.140625" style="28" customWidth="1"/>
    <col min="14055" max="14055" width="1.85546875" style="28" customWidth="1"/>
    <col min="14056" max="14056" width="40.42578125" style="28" customWidth="1"/>
    <col min="14057" max="14061" width="0" style="28" hidden="1" customWidth="1"/>
    <col min="14062" max="14063" width="9.7109375" style="28" customWidth="1"/>
    <col min="14064" max="14067" width="8.7109375" style="28" bestFit="1" customWidth="1"/>
    <col min="14068" max="14068" width="9.7109375" style="28" customWidth="1"/>
    <col min="14069" max="14069" width="8.7109375" style="28" bestFit="1" customWidth="1"/>
    <col min="14070" max="14070" width="11.28515625" style="28" bestFit="1" customWidth="1"/>
    <col min="14071" max="14072" width="8.7109375" style="28" bestFit="1" customWidth="1"/>
    <col min="14073" max="14073" width="11.28515625" style="28" bestFit="1" customWidth="1"/>
    <col min="14074" max="14309" width="9.140625" style="28"/>
    <col min="14310" max="14310" width="4.140625" style="28" customWidth="1"/>
    <col min="14311" max="14311" width="1.85546875" style="28" customWidth="1"/>
    <col min="14312" max="14312" width="40.42578125" style="28" customWidth="1"/>
    <col min="14313" max="14317" width="0" style="28" hidden="1" customWidth="1"/>
    <col min="14318" max="14319" width="9.7109375" style="28" customWidth="1"/>
    <col min="14320" max="14323" width="8.7109375" style="28" bestFit="1" customWidth="1"/>
    <col min="14324" max="14324" width="9.7109375" style="28" customWidth="1"/>
    <col min="14325" max="14325" width="8.7109375" style="28" bestFit="1" customWidth="1"/>
    <col min="14326" max="14326" width="11.28515625" style="28" bestFit="1" customWidth="1"/>
    <col min="14327" max="14328" width="8.7109375" style="28" bestFit="1" customWidth="1"/>
    <col min="14329" max="14329" width="11.28515625" style="28" bestFit="1" customWidth="1"/>
    <col min="14330" max="14565" width="9.140625" style="28"/>
    <col min="14566" max="14566" width="4.140625" style="28" customWidth="1"/>
    <col min="14567" max="14567" width="1.85546875" style="28" customWidth="1"/>
    <col min="14568" max="14568" width="40.42578125" style="28" customWidth="1"/>
    <col min="14569" max="14573" width="0" style="28" hidden="1" customWidth="1"/>
    <col min="14574" max="14575" width="9.7109375" style="28" customWidth="1"/>
    <col min="14576" max="14579" width="8.7109375" style="28" bestFit="1" customWidth="1"/>
    <col min="14580" max="14580" width="9.7109375" style="28" customWidth="1"/>
    <col min="14581" max="14581" width="8.7109375" style="28" bestFit="1" customWidth="1"/>
    <col min="14582" max="14582" width="11.28515625" style="28" bestFit="1" customWidth="1"/>
    <col min="14583" max="14584" width="8.7109375" style="28" bestFit="1" customWidth="1"/>
    <col min="14585" max="14585" width="11.28515625" style="28" bestFit="1" customWidth="1"/>
    <col min="14586" max="14821" width="9.140625" style="28"/>
    <col min="14822" max="14822" width="4.140625" style="28" customWidth="1"/>
    <col min="14823" max="14823" width="1.85546875" style="28" customWidth="1"/>
    <col min="14824" max="14824" width="40.42578125" style="28" customWidth="1"/>
    <col min="14825" max="14829" width="0" style="28" hidden="1" customWidth="1"/>
    <col min="14830" max="14831" width="9.7109375" style="28" customWidth="1"/>
    <col min="14832" max="14835" width="8.7109375" style="28" bestFit="1" customWidth="1"/>
    <col min="14836" max="14836" width="9.7109375" style="28" customWidth="1"/>
    <col min="14837" max="14837" width="8.7109375" style="28" bestFit="1" customWidth="1"/>
    <col min="14838" max="14838" width="11.28515625" style="28" bestFit="1" customWidth="1"/>
    <col min="14839" max="14840" width="8.7109375" style="28" bestFit="1" customWidth="1"/>
    <col min="14841" max="14841" width="11.28515625" style="28" bestFit="1" customWidth="1"/>
    <col min="14842" max="15077" width="9.140625" style="28"/>
    <col min="15078" max="15078" width="4.140625" style="28" customWidth="1"/>
    <col min="15079" max="15079" width="1.85546875" style="28" customWidth="1"/>
    <col min="15080" max="15080" width="40.42578125" style="28" customWidth="1"/>
    <col min="15081" max="15085" width="0" style="28" hidden="1" customWidth="1"/>
    <col min="15086" max="15087" width="9.7109375" style="28" customWidth="1"/>
    <col min="15088" max="15091" width="8.7109375" style="28" bestFit="1" customWidth="1"/>
    <col min="15092" max="15092" width="9.7109375" style="28" customWidth="1"/>
    <col min="15093" max="15093" width="8.7109375" style="28" bestFit="1" customWidth="1"/>
    <col min="15094" max="15094" width="11.28515625" style="28" bestFit="1" customWidth="1"/>
    <col min="15095" max="15096" width="8.7109375" style="28" bestFit="1" customWidth="1"/>
    <col min="15097" max="15097" width="11.28515625" style="28" bestFit="1" customWidth="1"/>
    <col min="15098" max="15333" width="9.140625" style="28"/>
    <col min="15334" max="15334" width="4.140625" style="28" customWidth="1"/>
    <col min="15335" max="15335" width="1.85546875" style="28" customWidth="1"/>
    <col min="15336" max="15336" width="40.42578125" style="28" customWidth="1"/>
    <col min="15337" max="15341" width="0" style="28" hidden="1" customWidth="1"/>
    <col min="15342" max="15343" width="9.7109375" style="28" customWidth="1"/>
    <col min="15344" max="15347" width="8.7109375" style="28" bestFit="1" customWidth="1"/>
    <col min="15348" max="15348" width="9.7109375" style="28" customWidth="1"/>
    <col min="15349" max="15349" width="8.7109375" style="28" bestFit="1" customWidth="1"/>
    <col min="15350" max="15350" width="11.28515625" style="28" bestFit="1" customWidth="1"/>
    <col min="15351" max="15352" width="8.7109375" style="28" bestFit="1" customWidth="1"/>
    <col min="15353" max="15353" width="11.28515625" style="28" bestFit="1" customWidth="1"/>
    <col min="15354" max="15589" width="9.140625" style="28"/>
    <col min="15590" max="15590" width="4.140625" style="28" customWidth="1"/>
    <col min="15591" max="15591" width="1.85546875" style="28" customWidth="1"/>
    <col min="15592" max="15592" width="40.42578125" style="28" customWidth="1"/>
    <col min="15593" max="15597" width="0" style="28" hidden="1" customWidth="1"/>
    <col min="15598" max="15599" width="9.7109375" style="28" customWidth="1"/>
    <col min="15600" max="15603" width="8.7109375" style="28" bestFit="1" customWidth="1"/>
    <col min="15604" max="15604" width="9.7109375" style="28" customWidth="1"/>
    <col min="15605" max="15605" width="8.7109375" style="28" bestFit="1" customWidth="1"/>
    <col min="15606" max="15606" width="11.28515625" style="28" bestFit="1" customWidth="1"/>
    <col min="15607" max="15608" width="8.7109375" style="28" bestFit="1" customWidth="1"/>
    <col min="15609" max="15609" width="11.28515625" style="28" bestFit="1" customWidth="1"/>
    <col min="15610" max="15845" width="9.140625" style="28"/>
    <col min="15846" max="15846" width="4.140625" style="28" customWidth="1"/>
    <col min="15847" max="15847" width="1.85546875" style="28" customWidth="1"/>
    <col min="15848" max="15848" width="40.42578125" style="28" customWidth="1"/>
    <col min="15849" max="15853" width="0" style="28" hidden="1" customWidth="1"/>
    <col min="15854" max="15855" width="9.7109375" style="28" customWidth="1"/>
    <col min="15856" max="15859" width="8.7109375" style="28" bestFit="1" customWidth="1"/>
    <col min="15860" max="15860" width="9.7109375" style="28" customWidth="1"/>
    <col min="15861" max="15861" width="8.7109375" style="28" bestFit="1" customWidth="1"/>
    <col min="15862" max="15862" width="11.28515625" style="28" bestFit="1" customWidth="1"/>
    <col min="15863" max="15864" width="8.7109375" style="28" bestFit="1" customWidth="1"/>
    <col min="15865" max="15865" width="11.28515625" style="28" bestFit="1" customWidth="1"/>
    <col min="15866" max="16101" width="9.140625" style="28"/>
    <col min="16102" max="16102" width="4.140625" style="28" customWidth="1"/>
    <col min="16103" max="16103" width="1.85546875" style="28" customWidth="1"/>
    <col min="16104" max="16104" width="40.42578125" style="28" customWidth="1"/>
    <col min="16105" max="16109" width="0" style="28" hidden="1" customWidth="1"/>
    <col min="16110" max="16111" width="9.7109375" style="28" customWidth="1"/>
    <col min="16112" max="16115" width="8.7109375" style="28" bestFit="1" customWidth="1"/>
    <col min="16116" max="16116" width="9.7109375" style="28" customWidth="1"/>
    <col min="16117" max="16117" width="8.7109375" style="28" bestFit="1" customWidth="1"/>
    <col min="16118" max="16118" width="11.28515625" style="28" bestFit="1" customWidth="1"/>
    <col min="16119" max="16120" width="8.7109375" style="28" bestFit="1" customWidth="1"/>
    <col min="16121" max="16121" width="11.28515625" style="28" bestFit="1" customWidth="1"/>
    <col min="16122" max="16384" width="9.140625" style="28"/>
  </cols>
  <sheetData>
    <row r="1" spans="2:53" ht="10.35" customHeight="1" x14ac:dyDescent="0.2"/>
    <row r="2" spans="2:53" ht="15.75" x14ac:dyDescent="0.25">
      <c r="B2" s="96" t="s">
        <v>74</v>
      </c>
      <c r="C2" s="96"/>
      <c r="P2" s="277"/>
    </row>
    <row r="3" spans="2:53" ht="5.0999999999999996" customHeight="1" thickBot="1" x14ac:dyDescent="0.25"/>
    <row r="4" spans="2:53" ht="13.5" thickBot="1" x14ac:dyDescent="0.25">
      <c r="B4" s="104" t="s">
        <v>171</v>
      </c>
      <c r="C4" s="104"/>
      <c r="D4" s="71" t="s">
        <v>17</v>
      </c>
      <c r="E4" s="71" t="s">
        <v>18</v>
      </c>
      <c r="F4" s="71" t="s">
        <v>19</v>
      </c>
      <c r="G4" s="71" t="s">
        <v>20</v>
      </c>
      <c r="H4" s="72">
        <v>2018</v>
      </c>
      <c r="I4" s="71" t="s">
        <v>21</v>
      </c>
      <c r="J4" s="71" t="s">
        <v>22</v>
      </c>
      <c r="K4" s="71" t="s">
        <v>10</v>
      </c>
      <c r="L4" s="71" t="s">
        <v>11</v>
      </c>
      <c r="M4" s="72">
        <v>2019</v>
      </c>
      <c r="N4" s="71" t="s">
        <v>12</v>
      </c>
      <c r="O4" s="71" t="s">
        <v>13</v>
      </c>
      <c r="P4" s="71" t="s">
        <v>14</v>
      </c>
      <c r="Q4" s="71" t="s">
        <v>15</v>
      </c>
      <c r="R4" s="72">
        <v>2020</v>
      </c>
      <c r="S4" s="71" t="s">
        <v>6</v>
      </c>
      <c r="T4" s="71" t="s">
        <v>7</v>
      </c>
      <c r="U4" s="71" t="s">
        <v>8</v>
      </c>
      <c r="V4" s="71" t="s">
        <v>0</v>
      </c>
      <c r="W4" s="72">
        <v>2021</v>
      </c>
      <c r="X4" s="71" t="s">
        <v>1</v>
      </c>
      <c r="Y4" s="71" t="s">
        <v>2</v>
      </c>
      <c r="Z4" s="71" t="s">
        <v>3</v>
      </c>
      <c r="AA4" s="71" t="s">
        <v>4</v>
      </c>
      <c r="AB4" s="72">
        <v>2022</v>
      </c>
      <c r="AC4" s="71" t="s">
        <v>5</v>
      </c>
      <c r="AD4" s="71" t="s">
        <v>68</v>
      </c>
      <c r="AE4" s="71" t="s">
        <v>274</v>
      </c>
      <c r="AF4" s="71" t="s">
        <v>306</v>
      </c>
      <c r="AG4" s="72">
        <v>2023</v>
      </c>
      <c r="AH4" s="71" t="str">
        <f>IS!AH4</f>
        <v>1Q24</v>
      </c>
      <c r="AI4" s="71" t="str">
        <f>IS!AI4</f>
        <v>2Q24</v>
      </c>
      <c r="AJ4" s="71" t="str">
        <f>IS!AJ4</f>
        <v>3Q24</v>
      </c>
      <c r="AK4" s="71" t="s">
        <v>401</v>
      </c>
      <c r="AL4" s="71">
        <f>IS!AL4</f>
        <v>2024</v>
      </c>
      <c r="AM4" s="71" t="str">
        <f>IS!AM4</f>
        <v>1Q25</v>
      </c>
      <c r="AN4" s="71" t="str">
        <f>IS!AN4</f>
        <v>2Q25</v>
      </c>
      <c r="AO4" s="71" t="str">
        <f>IS!AO4</f>
        <v>3Q25</v>
      </c>
      <c r="AP4" s="71" t="str">
        <f>IS!AP4</f>
        <v>4Q25</v>
      </c>
      <c r="AQ4" s="71">
        <f>IS!AQ4</f>
        <v>2025</v>
      </c>
      <c r="AR4" s="71" t="str">
        <f>IS!AR4</f>
        <v>1Q26</v>
      </c>
      <c r="AS4" s="71" t="str">
        <f>IS!AS4</f>
        <v>2Q26</v>
      </c>
      <c r="AT4" s="71" t="str">
        <f>IS!AT4</f>
        <v>3Q26E</v>
      </c>
      <c r="AU4" s="71" t="str">
        <f>IS!AU4</f>
        <v>4Q26E</v>
      </c>
      <c r="AV4" s="71" t="str">
        <f>IS!AV4</f>
        <v>2026E</v>
      </c>
      <c r="AW4" s="71" t="str">
        <f>IS!AW4</f>
        <v>1Q27E</v>
      </c>
      <c r="AX4" s="71" t="str">
        <f>IS!AX4</f>
        <v>2Q27E</v>
      </c>
      <c r="AY4" s="71" t="str">
        <f>IS!AY4</f>
        <v>3Q27E</v>
      </c>
      <c r="AZ4" s="71" t="str">
        <f>IS!AZ4</f>
        <v>4Q27E</v>
      </c>
      <c r="BA4" s="71" t="str">
        <f>IS!BA4</f>
        <v>2027E</v>
      </c>
    </row>
    <row r="5" spans="2:53" x14ac:dyDescent="0.2">
      <c r="B5" s="159" t="s">
        <v>172</v>
      </c>
      <c r="D5" s="109"/>
      <c r="E5" s="109"/>
      <c r="F5" s="109"/>
      <c r="G5" s="109"/>
      <c r="H5" s="237"/>
      <c r="I5" s="109"/>
      <c r="J5" s="109"/>
      <c r="K5" s="109"/>
      <c r="L5" s="109"/>
      <c r="M5" s="237"/>
      <c r="N5" s="109"/>
      <c r="O5" s="109"/>
      <c r="P5" s="109"/>
      <c r="Q5" s="109"/>
      <c r="R5" s="237"/>
      <c r="S5" s="109"/>
      <c r="T5" s="109"/>
      <c r="U5" s="109"/>
      <c r="V5" s="109"/>
      <c r="W5" s="237"/>
      <c r="X5" s="109"/>
      <c r="Y5" s="109"/>
      <c r="Z5" s="109"/>
      <c r="AA5" s="109"/>
      <c r="AB5" s="237"/>
      <c r="AC5" s="109"/>
      <c r="AD5" s="109"/>
      <c r="AE5" s="109"/>
      <c r="AF5" s="109"/>
      <c r="AG5" s="237"/>
      <c r="AH5" s="109"/>
      <c r="AI5" s="109"/>
      <c r="AJ5" s="109"/>
      <c r="AK5" s="109"/>
      <c r="AL5" s="237"/>
      <c r="AM5" s="109"/>
      <c r="AN5" s="109"/>
      <c r="AO5" s="109"/>
      <c r="AP5" s="109"/>
      <c r="AQ5" s="237"/>
      <c r="AR5" s="109"/>
      <c r="AS5" s="109"/>
      <c r="AT5" s="109"/>
      <c r="AU5" s="109"/>
      <c r="AV5" s="237"/>
      <c r="AW5" s="109"/>
      <c r="AX5" s="109"/>
      <c r="AY5" s="109"/>
      <c r="AZ5" s="109"/>
      <c r="BA5" s="237"/>
    </row>
    <row r="6" spans="2:53" x14ac:dyDescent="0.2">
      <c r="B6" s="138"/>
      <c r="C6" s="28" t="s">
        <v>173</v>
      </c>
      <c r="D6" s="109">
        <v>89333</v>
      </c>
      <c r="E6" s="109">
        <v>56616</v>
      </c>
      <c r="F6" s="109">
        <v>22642</v>
      </c>
      <c r="G6" s="109">
        <v>22401</v>
      </c>
      <c r="H6" s="110">
        <f t="shared" ref="H6:H13" si="0">G6</f>
        <v>22401</v>
      </c>
      <c r="I6" s="109">
        <v>15308</v>
      </c>
      <c r="J6" s="109">
        <v>84134</v>
      </c>
      <c r="K6" s="109">
        <v>100727</v>
      </c>
      <c r="L6" s="109">
        <v>90306.147399999973</v>
      </c>
      <c r="M6" s="110">
        <f t="shared" ref="M6:M13" si="1">L6</f>
        <v>90306.147399999973</v>
      </c>
      <c r="N6" s="109">
        <v>86249.026610000015</v>
      </c>
      <c r="O6" s="109">
        <v>314894</v>
      </c>
      <c r="P6" s="109">
        <v>228585</v>
      </c>
      <c r="Q6" s="109">
        <v>573643</v>
      </c>
      <c r="R6" s="110">
        <f t="shared" ref="R6:V13" si="2">Q6</f>
        <v>573643</v>
      </c>
      <c r="S6" s="109">
        <v>564153</v>
      </c>
      <c r="T6" s="109">
        <v>1568684</v>
      </c>
      <c r="U6" s="109">
        <v>1223724</v>
      </c>
      <c r="V6" s="109">
        <v>509615</v>
      </c>
      <c r="W6" s="110">
        <f t="shared" ref="W6:AA13" si="3">V6</f>
        <v>509615</v>
      </c>
      <c r="X6" s="109">
        <v>2013433</v>
      </c>
      <c r="Y6" s="109">
        <v>1672166</v>
      </c>
      <c r="Z6" s="109">
        <v>1639371</v>
      </c>
      <c r="AA6" s="109">
        <v>1596542</v>
      </c>
      <c r="AB6" s="110">
        <f t="shared" ref="AB6:AC13" si="4">AA6</f>
        <v>1596542</v>
      </c>
      <c r="AC6" s="109">
        <v>1608966</v>
      </c>
      <c r="AD6" s="109">
        <v>1616758</v>
      </c>
      <c r="AE6" s="109">
        <v>1590560</v>
      </c>
      <c r="AF6" s="111">
        <v>1617151</v>
      </c>
      <c r="AG6" s="110">
        <f t="shared" ref="AG6:AG13" si="5">AF6</f>
        <v>1617151</v>
      </c>
      <c r="AH6" s="111">
        <v>1527182</v>
      </c>
      <c r="AI6" s="111">
        <v>1579633</v>
      </c>
      <c r="AJ6" s="111">
        <v>952474</v>
      </c>
      <c r="AK6" s="111">
        <v>985941</v>
      </c>
      <c r="AL6" s="110">
        <f t="shared" ref="AL6:AL13" si="6">AK6</f>
        <v>985941</v>
      </c>
      <c r="AM6" s="111">
        <v>853470</v>
      </c>
      <c r="AN6" s="111">
        <v>1566271</v>
      </c>
      <c r="AO6" s="111">
        <v>1047737</v>
      </c>
      <c r="AP6" s="111">
        <v>1038346</v>
      </c>
      <c r="AQ6" s="110">
        <f t="shared" ref="AQ6:AQ13" si="7">AP6</f>
        <v>1038346</v>
      </c>
      <c r="AR6" s="111">
        <v>1099628</v>
      </c>
      <c r="AS6" s="111">
        <v>1094530</v>
      </c>
      <c r="AT6" s="111">
        <f>AS6+CF!AT76</f>
        <v>1066357.3283789377</v>
      </c>
      <c r="AU6" s="111">
        <f>AT6+CF!AU76</f>
        <v>1158573.320579482</v>
      </c>
      <c r="AV6" s="110">
        <f t="shared" ref="AV6:AV13" si="8">AU6</f>
        <v>1158573.320579482</v>
      </c>
      <c r="AW6" s="111">
        <f>AV6+CF!AW76</f>
        <v>1218031.1663807242</v>
      </c>
      <c r="AX6" s="111">
        <f>AW6+CF!AX76</f>
        <v>1309480.7379401554</v>
      </c>
      <c r="AY6" s="111">
        <f>AX6+CF!AY76</f>
        <v>1384554.1089860732</v>
      </c>
      <c r="AZ6" s="111">
        <f>AY6+CF!AZ76</f>
        <v>1485378.007009065</v>
      </c>
      <c r="BA6" s="110">
        <f t="shared" ref="BA6:BA13" si="9">AZ6</f>
        <v>1485378.007009065</v>
      </c>
    </row>
    <row r="7" spans="2:53" x14ac:dyDescent="0.2">
      <c r="B7" s="138"/>
      <c r="C7" s="28" t="s">
        <v>174</v>
      </c>
      <c r="D7" s="109">
        <v>0</v>
      </c>
      <c r="E7" s="109">
        <v>38675</v>
      </c>
      <c r="F7" s="109">
        <v>69156</v>
      </c>
      <c r="G7" s="109">
        <v>69867</v>
      </c>
      <c r="H7" s="110">
        <f t="shared" si="0"/>
        <v>69867</v>
      </c>
      <c r="I7" s="109">
        <v>74095</v>
      </c>
      <c r="J7" s="109">
        <v>74378</v>
      </c>
      <c r="K7" s="109">
        <v>74641.964319999999</v>
      </c>
      <c r="L7" s="109">
        <v>71968.590339999995</v>
      </c>
      <c r="M7" s="110">
        <f t="shared" si="1"/>
        <v>71968.590339999995</v>
      </c>
      <c r="N7" s="109">
        <v>71392.814639999997</v>
      </c>
      <c r="O7" s="109">
        <v>68135</v>
      </c>
      <c r="P7" s="109">
        <v>153838</v>
      </c>
      <c r="Q7" s="109">
        <v>123974</v>
      </c>
      <c r="R7" s="110">
        <f t="shared" si="2"/>
        <v>123974</v>
      </c>
      <c r="S7" s="109">
        <v>136171</v>
      </c>
      <c r="T7" s="109">
        <v>165588</v>
      </c>
      <c r="U7" s="109">
        <v>512520</v>
      </c>
      <c r="V7" s="109">
        <v>655314</v>
      </c>
      <c r="W7" s="110">
        <f t="shared" si="3"/>
        <v>655314</v>
      </c>
      <c r="X7" s="109">
        <v>821544</v>
      </c>
      <c r="Y7" s="109">
        <v>1117170</v>
      </c>
      <c r="Z7" s="109">
        <v>1143408</v>
      </c>
      <c r="AA7" s="109">
        <v>1108493</v>
      </c>
      <c r="AB7" s="110">
        <f t="shared" si="4"/>
        <v>1108493</v>
      </c>
      <c r="AC7" s="109">
        <v>1034537</v>
      </c>
      <c r="AD7" s="109">
        <v>1066538</v>
      </c>
      <c r="AE7" s="109">
        <v>1073013</v>
      </c>
      <c r="AF7" s="109">
        <v>1043110</v>
      </c>
      <c r="AG7" s="110">
        <f t="shared" si="5"/>
        <v>1043110</v>
      </c>
      <c r="AH7" s="109">
        <v>1119456</v>
      </c>
      <c r="AI7" s="109">
        <v>972621</v>
      </c>
      <c r="AJ7" s="109">
        <v>837140</v>
      </c>
      <c r="AK7" s="109">
        <v>601535</v>
      </c>
      <c r="AL7" s="110">
        <f t="shared" si="6"/>
        <v>601535</v>
      </c>
      <c r="AM7" s="109">
        <v>619596</v>
      </c>
      <c r="AN7" s="109">
        <v>644672</v>
      </c>
      <c r="AO7" s="109">
        <v>1125349</v>
      </c>
      <c r="AP7" s="109">
        <v>1180110</v>
      </c>
      <c r="AQ7" s="110">
        <f t="shared" si="7"/>
        <v>1180110</v>
      </c>
      <c r="AR7" s="109">
        <v>1215339</v>
      </c>
      <c r="AS7" s="109">
        <v>1146970</v>
      </c>
      <c r="AT7" s="109">
        <f t="shared" ref="AT7:AT8" si="10">AS7</f>
        <v>1146970</v>
      </c>
      <c r="AU7" s="109">
        <f t="shared" ref="AU7:AU8" si="11">AT7</f>
        <v>1146970</v>
      </c>
      <c r="AV7" s="110">
        <f t="shared" si="8"/>
        <v>1146970</v>
      </c>
      <c r="AW7" s="109">
        <f t="shared" ref="AW7:AW8" si="12">AV7</f>
        <v>1146970</v>
      </c>
      <c r="AX7" s="109">
        <f t="shared" ref="AX7" si="13">AW7</f>
        <v>1146970</v>
      </c>
      <c r="AY7" s="109">
        <f t="shared" ref="AY7:AY8" si="14">AX7</f>
        <v>1146970</v>
      </c>
      <c r="AZ7" s="109">
        <f t="shared" ref="AZ7:AZ8" si="15">AY7</f>
        <v>1146970</v>
      </c>
      <c r="BA7" s="110">
        <f t="shared" si="9"/>
        <v>1146970</v>
      </c>
    </row>
    <row r="8" spans="2:53" x14ac:dyDescent="0.2">
      <c r="B8" s="138"/>
      <c r="C8" s="28" t="s">
        <v>175</v>
      </c>
      <c r="D8" s="109">
        <v>246.15924999999999</v>
      </c>
      <c r="E8" s="109">
        <v>246.15924999999999</v>
      </c>
      <c r="F8" s="109">
        <v>256.19744000000003</v>
      </c>
      <c r="G8" s="109">
        <v>256.20245999999997</v>
      </c>
      <c r="H8" s="110">
        <f t="shared" si="0"/>
        <v>256.20245999999997</v>
      </c>
      <c r="I8" s="109">
        <v>256.20753000000002</v>
      </c>
      <c r="J8" s="109">
        <v>256.21260000000001</v>
      </c>
      <c r="K8" s="109">
        <v>256.22012000000001</v>
      </c>
      <c r="L8" s="109">
        <v>256.23266000000001</v>
      </c>
      <c r="M8" s="110">
        <f t="shared" si="1"/>
        <v>256.23266000000001</v>
      </c>
      <c r="N8" s="109">
        <v>256.24536000000001</v>
      </c>
      <c r="O8" s="109"/>
      <c r="P8" s="109">
        <f>O8</f>
        <v>0</v>
      </c>
      <c r="Q8" s="109">
        <f>P8</f>
        <v>0</v>
      </c>
      <c r="R8" s="110">
        <f t="shared" si="2"/>
        <v>0</v>
      </c>
      <c r="S8" s="109">
        <f t="shared" si="2"/>
        <v>0</v>
      </c>
      <c r="T8" s="109">
        <f t="shared" si="2"/>
        <v>0</v>
      </c>
      <c r="U8" s="109">
        <f t="shared" si="2"/>
        <v>0</v>
      </c>
      <c r="V8" s="109">
        <f t="shared" si="2"/>
        <v>0</v>
      </c>
      <c r="W8" s="110">
        <f t="shared" si="3"/>
        <v>0</v>
      </c>
      <c r="X8" s="109">
        <f t="shared" si="3"/>
        <v>0</v>
      </c>
      <c r="Y8" s="109">
        <f t="shared" si="3"/>
        <v>0</v>
      </c>
      <c r="Z8" s="109">
        <f t="shared" si="3"/>
        <v>0</v>
      </c>
      <c r="AA8" s="109">
        <f t="shared" si="3"/>
        <v>0</v>
      </c>
      <c r="AB8" s="110">
        <f t="shared" si="4"/>
        <v>0</v>
      </c>
      <c r="AC8" s="109">
        <f t="shared" si="4"/>
        <v>0</v>
      </c>
      <c r="AD8" s="109">
        <v>0</v>
      </c>
      <c r="AE8" s="109">
        <f t="shared" ref="AE8" si="16">AD8</f>
        <v>0</v>
      </c>
      <c r="AF8" s="109">
        <f t="shared" ref="AF8" si="17">AE8</f>
        <v>0</v>
      </c>
      <c r="AG8" s="110">
        <f t="shared" si="5"/>
        <v>0</v>
      </c>
      <c r="AH8" s="109">
        <f t="shared" ref="AH8" si="18">AG8</f>
        <v>0</v>
      </c>
      <c r="AI8" s="109">
        <v>0</v>
      </c>
      <c r="AJ8" s="109">
        <f t="shared" ref="AJ8" si="19">AI8</f>
        <v>0</v>
      </c>
      <c r="AK8" s="109"/>
      <c r="AL8" s="110">
        <f t="shared" si="6"/>
        <v>0</v>
      </c>
      <c r="AM8" s="109"/>
      <c r="AN8" s="109"/>
      <c r="AO8" s="109"/>
      <c r="AP8" s="109"/>
      <c r="AQ8" s="110">
        <f t="shared" si="7"/>
        <v>0</v>
      </c>
      <c r="AR8" s="109"/>
      <c r="AS8" s="109"/>
      <c r="AT8" s="109">
        <f t="shared" si="10"/>
        <v>0</v>
      </c>
      <c r="AU8" s="109">
        <f t="shared" si="11"/>
        <v>0</v>
      </c>
      <c r="AV8" s="110">
        <f t="shared" si="8"/>
        <v>0</v>
      </c>
      <c r="AW8" s="109">
        <f t="shared" si="12"/>
        <v>0</v>
      </c>
      <c r="AX8" s="109">
        <v>0</v>
      </c>
      <c r="AY8" s="109">
        <f t="shared" si="14"/>
        <v>0</v>
      </c>
      <c r="AZ8" s="109">
        <f t="shared" si="15"/>
        <v>0</v>
      </c>
      <c r="BA8" s="110">
        <f t="shared" si="9"/>
        <v>0</v>
      </c>
    </row>
    <row r="9" spans="2:53" x14ac:dyDescent="0.2">
      <c r="B9" s="138"/>
      <c r="C9" s="28" t="s">
        <v>176</v>
      </c>
      <c r="D9" s="109">
        <v>1818</v>
      </c>
      <c r="E9" s="109">
        <v>1687</v>
      </c>
      <c r="F9" s="109">
        <v>1605</v>
      </c>
      <c r="G9" s="109">
        <v>2300</v>
      </c>
      <c r="H9" s="110">
        <f t="shared" si="0"/>
        <v>2300</v>
      </c>
      <c r="I9" s="109">
        <v>3396</v>
      </c>
      <c r="J9" s="109">
        <v>4672</v>
      </c>
      <c r="K9" s="109">
        <v>4004.4258099999997</v>
      </c>
      <c r="L9" s="109">
        <v>4397.6445000000003</v>
      </c>
      <c r="M9" s="110">
        <f t="shared" si="1"/>
        <v>4397.6445000000003</v>
      </c>
      <c r="N9" s="109">
        <v>3690.5937100000001</v>
      </c>
      <c r="O9" s="109">
        <v>4791</v>
      </c>
      <c r="P9" s="109">
        <v>3440</v>
      </c>
      <c r="Q9" s="109">
        <v>4252</v>
      </c>
      <c r="R9" s="110">
        <f t="shared" si="2"/>
        <v>4252</v>
      </c>
      <c r="S9" s="109">
        <v>5042</v>
      </c>
      <c r="T9" s="109">
        <v>7037</v>
      </c>
      <c r="U9" s="109">
        <v>9584</v>
      </c>
      <c r="V9" s="109">
        <v>18222</v>
      </c>
      <c r="W9" s="110">
        <f t="shared" si="3"/>
        <v>18222</v>
      </c>
      <c r="X9" s="109">
        <v>19815</v>
      </c>
      <c r="Y9" s="109">
        <v>24433</v>
      </c>
      <c r="Z9" s="109">
        <v>26859</v>
      </c>
      <c r="AA9" s="109">
        <v>24045</v>
      </c>
      <c r="AB9" s="110">
        <f t="shared" si="4"/>
        <v>24045</v>
      </c>
      <c r="AC9" s="109">
        <v>29060</v>
      </c>
      <c r="AD9" s="109">
        <v>31261</v>
      </c>
      <c r="AE9" s="109">
        <v>34065</v>
      </c>
      <c r="AF9" s="109">
        <v>28233</v>
      </c>
      <c r="AG9" s="110">
        <f t="shared" si="5"/>
        <v>28233</v>
      </c>
      <c r="AH9" s="109">
        <v>24100</v>
      </c>
      <c r="AI9" s="109">
        <v>26652</v>
      </c>
      <c r="AJ9" s="109">
        <v>29891</v>
      </c>
      <c r="AK9" s="109">
        <v>28049</v>
      </c>
      <c r="AL9" s="110">
        <f t="shared" si="6"/>
        <v>28049</v>
      </c>
      <c r="AM9" s="109">
        <v>31934</v>
      </c>
      <c r="AN9" s="109">
        <v>28911</v>
      </c>
      <c r="AO9" s="109">
        <v>26663</v>
      </c>
      <c r="AP9" s="109">
        <v>32341</v>
      </c>
      <c r="AQ9" s="110">
        <f t="shared" si="7"/>
        <v>32341</v>
      </c>
      <c r="AR9" s="109">
        <v>32113</v>
      </c>
      <c r="AS9" s="109">
        <v>41163</v>
      </c>
      <c r="AT9" s="109">
        <f>AT60*IS!AT$17</f>
        <v>42300.20293626999</v>
      </c>
      <c r="AU9" s="109">
        <f>AU60*IS!AU$17</f>
        <v>45133.998951122776</v>
      </c>
      <c r="AV9" s="110">
        <f t="shared" si="8"/>
        <v>45133.998951122776</v>
      </c>
      <c r="AW9" s="109">
        <f>AW60*IS!AW$17</f>
        <v>46118.836652500686</v>
      </c>
      <c r="AX9" s="109">
        <f>AX60*IS!AX$17</f>
        <v>47794.979639720608</v>
      </c>
      <c r="AY9" s="109">
        <f>AY60*IS!AY$17</f>
        <v>47203.683308650696</v>
      </c>
      <c r="AZ9" s="109">
        <f>AZ60*IS!AZ$17</f>
        <v>50716.460857089798</v>
      </c>
      <c r="BA9" s="110">
        <f t="shared" si="9"/>
        <v>50716.460857089798</v>
      </c>
    </row>
    <row r="10" spans="2:53" x14ac:dyDescent="0.2">
      <c r="B10" s="138"/>
      <c r="C10" s="28" t="s">
        <v>177</v>
      </c>
      <c r="D10" s="109"/>
      <c r="E10" s="109"/>
      <c r="F10" s="109"/>
      <c r="G10" s="109"/>
      <c r="H10" s="110"/>
      <c r="I10" s="109"/>
      <c r="J10" s="109"/>
      <c r="K10" s="109"/>
      <c r="L10" s="109"/>
      <c r="M10" s="110"/>
      <c r="N10" s="109"/>
      <c r="O10" s="109"/>
      <c r="P10" s="109"/>
      <c r="Q10" s="109"/>
      <c r="R10" s="110"/>
      <c r="S10" s="109"/>
      <c r="T10" s="109"/>
      <c r="U10" s="109"/>
      <c r="V10" s="109">
        <v>147093</v>
      </c>
      <c r="W10" s="110">
        <f t="shared" si="3"/>
        <v>147093</v>
      </c>
      <c r="X10" s="109">
        <v>174338</v>
      </c>
      <c r="Y10" s="109">
        <v>213414</v>
      </c>
      <c r="Z10" s="109">
        <v>237511</v>
      </c>
      <c r="AA10" s="109">
        <v>256392</v>
      </c>
      <c r="AB10" s="110">
        <f t="shared" si="4"/>
        <v>256392</v>
      </c>
      <c r="AC10" s="109">
        <v>357741</v>
      </c>
      <c r="AD10" s="109">
        <v>380895</v>
      </c>
      <c r="AE10" s="109">
        <v>431114</v>
      </c>
      <c r="AF10" s="109">
        <v>458650</v>
      </c>
      <c r="AG10" s="110">
        <f t="shared" si="5"/>
        <v>458650</v>
      </c>
      <c r="AH10" s="109">
        <v>552827</v>
      </c>
      <c r="AI10" s="109">
        <v>516980</v>
      </c>
      <c r="AJ10" s="109">
        <v>641861</v>
      </c>
      <c r="AK10" s="109">
        <v>697216</v>
      </c>
      <c r="AL10" s="110">
        <f t="shared" si="6"/>
        <v>697216</v>
      </c>
      <c r="AM10" s="109">
        <v>628274</v>
      </c>
      <c r="AN10" s="109">
        <v>581661</v>
      </c>
      <c r="AO10" s="109">
        <v>705535</v>
      </c>
      <c r="AP10" s="109">
        <v>685108</v>
      </c>
      <c r="AQ10" s="110">
        <f t="shared" si="7"/>
        <v>685108</v>
      </c>
      <c r="AR10" s="109">
        <v>738765</v>
      </c>
      <c r="AS10" s="109">
        <v>732084</v>
      </c>
      <c r="AT10" s="109">
        <f>AS10</f>
        <v>732084</v>
      </c>
      <c r="AU10" s="109">
        <f>AT10</f>
        <v>732084</v>
      </c>
      <c r="AV10" s="110">
        <f t="shared" si="8"/>
        <v>732084</v>
      </c>
      <c r="AW10" s="109">
        <f>AV10</f>
        <v>732084</v>
      </c>
      <c r="AX10" s="109">
        <f>AW10</f>
        <v>732084</v>
      </c>
      <c r="AY10" s="109">
        <f>AX10</f>
        <v>732084</v>
      </c>
      <c r="AZ10" s="109">
        <f>AY10</f>
        <v>732084</v>
      </c>
      <c r="BA10" s="110">
        <f t="shared" si="9"/>
        <v>732084</v>
      </c>
    </row>
    <row r="11" spans="2:53" x14ac:dyDescent="0.2">
      <c r="B11" s="138"/>
      <c r="C11" s="28" t="s">
        <v>178</v>
      </c>
      <c r="D11" s="109">
        <v>2327</v>
      </c>
      <c r="E11" s="109">
        <v>2538</v>
      </c>
      <c r="F11" s="109">
        <v>2908</v>
      </c>
      <c r="G11" s="109">
        <v>3047.1750599999991</v>
      </c>
      <c r="H11" s="110">
        <f t="shared" si="0"/>
        <v>3047.1750599999991</v>
      </c>
      <c r="I11" s="109">
        <v>3565</v>
      </c>
      <c r="J11" s="109">
        <v>3929.8568699999992</v>
      </c>
      <c r="K11" s="109">
        <v>4431.7575199999983</v>
      </c>
      <c r="L11" s="109">
        <v>4795.0972399999982</v>
      </c>
      <c r="M11" s="110">
        <f t="shared" si="1"/>
        <v>4795.0972399999982</v>
      </c>
      <c r="N11" s="109">
        <v>5415.5626700000003</v>
      </c>
      <c r="O11" s="109">
        <v>5909</v>
      </c>
      <c r="P11" s="109">
        <v>6151</v>
      </c>
      <c r="Q11" s="109">
        <v>6549</v>
      </c>
      <c r="R11" s="110">
        <f t="shared" si="2"/>
        <v>6549</v>
      </c>
      <c r="S11" s="109">
        <v>6925</v>
      </c>
      <c r="T11" s="109">
        <v>7370</v>
      </c>
      <c r="U11" s="109">
        <v>7865</v>
      </c>
      <c r="V11" s="109">
        <v>8118</v>
      </c>
      <c r="W11" s="110">
        <f t="shared" si="3"/>
        <v>8118</v>
      </c>
      <c r="X11" s="109">
        <v>0</v>
      </c>
      <c r="Y11" s="109">
        <v>0</v>
      </c>
      <c r="Z11" s="109"/>
      <c r="AA11" s="109">
        <v>0</v>
      </c>
      <c r="AB11" s="110">
        <f t="shared" si="4"/>
        <v>0</v>
      </c>
      <c r="AC11" s="109"/>
      <c r="AD11" s="109">
        <v>0</v>
      </c>
      <c r="AE11" s="109">
        <v>0</v>
      </c>
      <c r="AF11" s="109">
        <v>0</v>
      </c>
      <c r="AG11" s="110">
        <f t="shared" si="5"/>
        <v>0</v>
      </c>
      <c r="AH11" s="109">
        <v>0</v>
      </c>
      <c r="AI11" s="109">
        <v>0</v>
      </c>
      <c r="AJ11" s="109">
        <v>0</v>
      </c>
      <c r="AK11" s="109"/>
      <c r="AL11" s="110">
        <f t="shared" si="6"/>
        <v>0</v>
      </c>
      <c r="AM11" s="109"/>
      <c r="AN11" s="109"/>
      <c r="AO11" s="109"/>
      <c r="AP11" s="109"/>
      <c r="AQ11" s="110">
        <f t="shared" si="7"/>
        <v>0</v>
      </c>
      <c r="AR11" s="109"/>
      <c r="AS11" s="109"/>
      <c r="AT11" s="109">
        <v>0</v>
      </c>
      <c r="AU11" s="109">
        <v>0</v>
      </c>
      <c r="AV11" s="110">
        <f t="shared" si="8"/>
        <v>0</v>
      </c>
      <c r="AW11" s="109">
        <v>0</v>
      </c>
      <c r="AX11" s="109">
        <v>0</v>
      </c>
      <c r="AY11" s="109">
        <v>0</v>
      </c>
      <c r="AZ11" s="109">
        <v>0</v>
      </c>
      <c r="BA11" s="110">
        <f t="shared" si="9"/>
        <v>0</v>
      </c>
    </row>
    <row r="12" spans="2:53" x14ac:dyDescent="0.2">
      <c r="B12" s="138"/>
      <c r="C12" s="28" t="s">
        <v>179</v>
      </c>
      <c r="D12" s="109">
        <v>2616.78548</v>
      </c>
      <c r="E12" s="109">
        <v>4624.1662099999994</v>
      </c>
      <c r="F12" s="109">
        <v>5205.0669000000007</v>
      </c>
      <c r="G12" s="109">
        <v>5825.6530600000006</v>
      </c>
      <c r="H12" s="110">
        <f t="shared" si="0"/>
        <v>5825.6530600000006</v>
      </c>
      <c r="I12" s="109">
        <v>7066.4629299999997</v>
      </c>
      <c r="J12" s="109">
        <v>8957.9617300000009</v>
      </c>
      <c r="K12" s="109">
        <v>10544.121570000001</v>
      </c>
      <c r="L12" s="109">
        <v>12070.414630000001</v>
      </c>
      <c r="M12" s="110">
        <f t="shared" si="1"/>
        <v>12070.414630000001</v>
      </c>
      <c r="N12" s="109">
        <v>13654.680480000001</v>
      </c>
      <c r="O12" s="109">
        <v>15768</v>
      </c>
      <c r="P12" s="109">
        <v>25137</v>
      </c>
      <c r="Q12" s="109">
        <v>26781</v>
      </c>
      <c r="R12" s="110">
        <f t="shared" si="2"/>
        <v>26781</v>
      </c>
      <c r="S12" s="109">
        <v>15421</v>
      </c>
      <c r="T12" s="109">
        <v>18748</v>
      </c>
      <c r="U12" s="109">
        <v>18268</v>
      </c>
      <c r="V12" s="109">
        <v>59077</v>
      </c>
      <c r="W12" s="110">
        <f t="shared" si="3"/>
        <v>59077</v>
      </c>
      <c r="X12" s="109">
        <v>71551</v>
      </c>
      <c r="Y12" s="109">
        <v>84718</v>
      </c>
      <c r="Z12" s="109">
        <v>91865</v>
      </c>
      <c r="AA12" s="109">
        <v>151258</v>
      </c>
      <c r="AB12" s="110">
        <f t="shared" si="4"/>
        <v>151258</v>
      </c>
      <c r="AC12" s="109">
        <v>140019</v>
      </c>
      <c r="AD12" s="109">
        <v>178688</v>
      </c>
      <c r="AE12" s="109">
        <v>170120</v>
      </c>
      <c r="AF12" s="109">
        <v>170111</v>
      </c>
      <c r="AG12" s="110">
        <f t="shared" si="5"/>
        <v>170111</v>
      </c>
      <c r="AH12" s="109">
        <v>195027</v>
      </c>
      <c r="AI12" s="109">
        <v>204726</v>
      </c>
      <c r="AJ12" s="109">
        <v>256199</v>
      </c>
      <c r="AK12" s="109">
        <v>297169</v>
      </c>
      <c r="AL12" s="110">
        <f t="shared" si="6"/>
        <v>297169</v>
      </c>
      <c r="AM12" s="109">
        <v>283756</v>
      </c>
      <c r="AN12" s="109">
        <v>251877</v>
      </c>
      <c r="AO12" s="109">
        <v>241332</v>
      </c>
      <c r="AP12" s="109">
        <v>258418</v>
      </c>
      <c r="AQ12" s="110">
        <f t="shared" si="7"/>
        <v>258418</v>
      </c>
      <c r="AR12" s="109">
        <v>269326</v>
      </c>
      <c r="AS12" s="109">
        <v>278473</v>
      </c>
      <c r="AT12" s="109">
        <f>AT62*IS!AT$17</f>
        <v>261858.39912929042</v>
      </c>
      <c r="AU12" s="109">
        <f>AU62*IS!AU$17</f>
        <v>279400.94588790293</v>
      </c>
      <c r="AV12" s="110">
        <f t="shared" si="8"/>
        <v>279400.94588790293</v>
      </c>
      <c r="AW12" s="109">
        <f>AW62*IS!AW$17</f>
        <v>285497.56022976618</v>
      </c>
      <c r="AX12" s="109">
        <f>AX62*IS!AX$17</f>
        <v>295873.68348398473</v>
      </c>
      <c r="AY12" s="109">
        <f>AY62*IS!AY$17</f>
        <v>292213.27762498055</v>
      </c>
      <c r="AZ12" s="109">
        <f>AZ62*IS!AZ$17</f>
        <v>313959.0434010321</v>
      </c>
      <c r="BA12" s="110">
        <f t="shared" si="9"/>
        <v>313959.0434010321</v>
      </c>
    </row>
    <row r="13" spans="2:53" x14ac:dyDescent="0.2">
      <c r="B13" s="138"/>
      <c r="C13" s="28" t="s">
        <v>180</v>
      </c>
      <c r="D13" s="109">
        <v>709298</v>
      </c>
      <c r="E13" s="109">
        <v>902871</v>
      </c>
      <c r="F13" s="109">
        <v>786615</v>
      </c>
      <c r="G13" s="109">
        <v>915013.13200999994</v>
      </c>
      <c r="H13" s="110">
        <f t="shared" si="0"/>
        <v>915013.13200999994</v>
      </c>
      <c r="I13" s="109">
        <v>1013736</v>
      </c>
      <c r="J13" s="109">
        <v>1212826</v>
      </c>
      <c r="K13" s="109">
        <v>1179910</v>
      </c>
      <c r="L13" s="109">
        <v>1329306.1198400001</v>
      </c>
      <c r="M13" s="110">
        <f t="shared" si="1"/>
        <v>1329306.1198400001</v>
      </c>
      <c r="N13" s="109">
        <v>1466491.7674099999</v>
      </c>
      <c r="O13" s="307">
        <v>1481763</v>
      </c>
      <c r="P13" s="109">
        <v>1353552</v>
      </c>
      <c r="Q13" s="109">
        <v>1644250</v>
      </c>
      <c r="R13" s="110">
        <f t="shared" si="2"/>
        <v>1644250</v>
      </c>
      <c r="S13" s="109">
        <v>1668903</v>
      </c>
      <c r="T13" s="109">
        <v>2217680</v>
      </c>
      <c r="U13" s="109">
        <v>1929840</v>
      </c>
      <c r="V13" s="109">
        <v>2208598</v>
      </c>
      <c r="W13" s="110">
        <f t="shared" si="3"/>
        <v>2208598</v>
      </c>
      <c r="X13" s="109">
        <v>2432521</v>
      </c>
      <c r="Y13" s="109">
        <v>3380395</v>
      </c>
      <c r="Z13" s="109">
        <v>3043540</v>
      </c>
      <c r="AA13" s="109">
        <v>3142660</v>
      </c>
      <c r="AB13" s="110">
        <f t="shared" si="4"/>
        <v>3142660</v>
      </c>
      <c r="AC13" s="109">
        <v>3121654</v>
      </c>
      <c r="AD13" s="109">
        <v>3474048</v>
      </c>
      <c r="AE13" s="109">
        <v>3106360</v>
      </c>
      <c r="AF13" s="111">
        <v>3355909</v>
      </c>
      <c r="AG13" s="311">
        <f t="shared" si="5"/>
        <v>3355909</v>
      </c>
      <c r="AH13" s="111">
        <v>3263528</v>
      </c>
      <c r="AI13" s="111">
        <v>3655435</v>
      </c>
      <c r="AJ13" s="111">
        <v>3510918</v>
      </c>
      <c r="AK13" s="111">
        <v>3704907</v>
      </c>
      <c r="AL13" s="311">
        <f t="shared" si="6"/>
        <v>3704907</v>
      </c>
      <c r="AM13" s="111">
        <v>3787171</v>
      </c>
      <c r="AN13" s="111">
        <v>3766541</v>
      </c>
      <c r="AO13" s="111">
        <v>3657218</v>
      </c>
      <c r="AP13" s="111">
        <v>4044470</v>
      </c>
      <c r="AQ13" s="311">
        <f t="shared" si="7"/>
        <v>4044470</v>
      </c>
      <c r="AR13" s="111">
        <v>3974674</v>
      </c>
      <c r="AS13" s="111">
        <v>4032211</v>
      </c>
      <c r="AT13" s="111">
        <f>'Revenue Build'!AT94*1000</f>
        <v>4147751.7000000016</v>
      </c>
      <c r="AU13" s="111">
        <f>'Revenue Build'!AU94*1000</f>
        <v>4218508.8000000007</v>
      </c>
      <c r="AV13" s="311">
        <f t="shared" si="8"/>
        <v>4218508.8000000007</v>
      </c>
      <c r="AW13" s="111">
        <f>'Revenue Build'!AW94*1000</f>
        <v>4399114.5000000009</v>
      </c>
      <c r="AX13" s="111">
        <f>'Revenue Build'!AX94*1000</f>
        <v>4676273.25</v>
      </c>
      <c r="AY13" s="111">
        <f>'Revenue Build'!AY94*1000</f>
        <v>4491026.963595001</v>
      </c>
      <c r="AZ13" s="111">
        <f>'Revenue Build'!AZ94*1000</f>
        <v>4759461.4980000006</v>
      </c>
      <c r="BA13" s="311">
        <f t="shared" si="9"/>
        <v>4759461.4980000006</v>
      </c>
    </row>
    <row r="14" spans="2:53" s="20" customFormat="1" x14ac:dyDescent="0.2">
      <c r="B14" s="159" t="s">
        <v>181</v>
      </c>
      <c r="D14" s="183">
        <f t="shared" ref="D14:AB14" si="20">SUM(D6:D13)</f>
        <v>805638.94472999999</v>
      </c>
      <c r="E14" s="183">
        <f t="shared" si="20"/>
        <v>1007257.32546</v>
      </c>
      <c r="F14" s="183">
        <f t="shared" si="20"/>
        <v>888387.26433999999</v>
      </c>
      <c r="G14" s="183">
        <f t="shared" si="20"/>
        <v>1018710.16259</v>
      </c>
      <c r="H14" s="184">
        <f t="shared" si="20"/>
        <v>1018710.16259</v>
      </c>
      <c r="I14" s="183">
        <f t="shared" si="20"/>
        <v>1117422.6704599999</v>
      </c>
      <c r="J14" s="183">
        <f t="shared" si="20"/>
        <v>1389154.0312000001</v>
      </c>
      <c r="K14" s="183">
        <f t="shared" si="20"/>
        <v>1374515.4893399999</v>
      </c>
      <c r="L14" s="183">
        <f t="shared" si="20"/>
        <v>1513100.24661</v>
      </c>
      <c r="M14" s="184">
        <f t="shared" si="20"/>
        <v>1513100.24661</v>
      </c>
      <c r="N14" s="183">
        <f t="shared" si="20"/>
        <v>1647150.6908799999</v>
      </c>
      <c r="O14" s="183">
        <f t="shared" si="20"/>
        <v>1891260</v>
      </c>
      <c r="P14" s="183">
        <f t="shared" si="20"/>
        <v>1770703</v>
      </c>
      <c r="Q14" s="183">
        <f t="shared" si="20"/>
        <v>2379449</v>
      </c>
      <c r="R14" s="184">
        <f t="shared" si="20"/>
        <v>2379449</v>
      </c>
      <c r="S14" s="183">
        <f t="shared" si="20"/>
        <v>2396615</v>
      </c>
      <c r="T14" s="183">
        <f t="shared" si="20"/>
        <v>3985107</v>
      </c>
      <c r="U14" s="183">
        <f t="shared" si="20"/>
        <v>3701801</v>
      </c>
      <c r="V14" s="183">
        <f t="shared" si="20"/>
        <v>3606037</v>
      </c>
      <c r="W14" s="184">
        <f t="shared" si="20"/>
        <v>3606037</v>
      </c>
      <c r="X14" s="183">
        <f t="shared" si="20"/>
        <v>5533202</v>
      </c>
      <c r="Y14" s="183">
        <f t="shared" si="20"/>
        <v>6492296</v>
      </c>
      <c r="Z14" s="183">
        <f t="shared" si="20"/>
        <v>6182554</v>
      </c>
      <c r="AA14" s="183">
        <f t="shared" si="20"/>
        <v>6279390</v>
      </c>
      <c r="AB14" s="184">
        <f t="shared" si="20"/>
        <v>6279390</v>
      </c>
      <c r="AC14" s="183">
        <f t="shared" ref="AC14:AH14" si="21">SUM(AC6:AC13)</f>
        <v>6291977</v>
      </c>
      <c r="AD14" s="183">
        <f t="shared" si="21"/>
        <v>6748188</v>
      </c>
      <c r="AE14" s="183">
        <f t="shared" si="21"/>
        <v>6405232</v>
      </c>
      <c r="AF14" s="183">
        <f t="shared" si="21"/>
        <v>6673164</v>
      </c>
      <c r="AG14" s="184">
        <f t="shared" si="21"/>
        <v>6673164</v>
      </c>
      <c r="AH14" s="183">
        <f t="shared" si="21"/>
        <v>6682120</v>
      </c>
      <c r="AI14" s="183">
        <f t="shared" ref="AI14" si="22">SUM(AI6:AI13)</f>
        <v>6956047</v>
      </c>
      <c r="AJ14" s="183">
        <f t="shared" ref="AJ14:AN14" si="23">SUM(AJ6:AJ13)</f>
        <v>6228483</v>
      </c>
      <c r="AK14" s="183">
        <f t="shared" si="23"/>
        <v>6314817</v>
      </c>
      <c r="AL14" s="184">
        <f t="shared" si="23"/>
        <v>6314817</v>
      </c>
      <c r="AM14" s="183">
        <f t="shared" si="23"/>
        <v>6204201</v>
      </c>
      <c r="AN14" s="183">
        <f t="shared" si="23"/>
        <v>6839933</v>
      </c>
      <c r="AO14" s="183">
        <f t="shared" ref="AO14:AP14" si="24">SUM(AO6:AO13)</f>
        <v>6803834</v>
      </c>
      <c r="AP14" s="183">
        <f t="shared" si="24"/>
        <v>7238793</v>
      </c>
      <c r="AQ14" s="184">
        <f t="shared" ref="AQ14:AS14" si="25">SUM(AQ6:AQ13)</f>
        <v>7238793</v>
      </c>
      <c r="AR14" s="183">
        <f t="shared" si="25"/>
        <v>7329845</v>
      </c>
      <c r="AS14" s="183">
        <f t="shared" si="25"/>
        <v>7325431</v>
      </c>
      <c r="AT14" s="183">
        <f t="shared" ref="AT14:AX14" si="26">SUM(AT6:AT13)</f>
        <v>7397321.6304444997</v>
      </c>
      <c r="AU14" s="183">
        <f t="shared" si="26"/>
        <v>7580671.0654185079</v>
      </c>
      <c r="AV14" s="184">
        <f t="shared" si="26"/>
        <v>7580671.0654185079</v>
      </c>
      <c r="AW14" s="183">
        <f t="shared" si="26"/>
        <v>7827816.0632629916</v>
      </c>
      <c r="AX14" s="183">
        <f t="shared" si="26"/>
        <v>8208476.6510638613</v>
      </c>
      <c r="AY14" s="183">
        <f t="shared" ref="AY14:BA14" si="27">SUM(AY6:AY13)</f>
        <v>8094052.0335147055</v>
      </c>
      <c r="AZ14" s="183">
        <f t="shared" si="27"/>
        <v>8488569.0092671867</v>
      </c>
      <c r="BA14" s="184">
        <f t="shared" si="27"/>
        <v>8488569.0092671867</v>
      </c>
    </row>
    <row r="15" spans="2:53" s="20" customFormat="1" x14ac:dyDescent="0.2">
      <c r="B15" s="159"/>
      <c r="C15" s="28" t="s">
        <v>182</v>
      </c>
      <c r="D15" s="183"/>
      <c r="E15" s="183"/>
      <c r="F15" s="183"/>
      <c r="G15" s="183"/>
      <c r="H15" s="184"/>
      <c r="I15" s="183"/>
      <c r="J15" s="183"/>
      <c r="K15" s="183"/>
      <c r="L15" s="183"/>
      <c r="M15" s="184"/>
      <c r="N15" s="183"/>
      <c r="O15" s="183"/>
      <c r="P15" s="183"/>
      <c r="Q15" s="183"/>
      <c r="R15" s="184"/>
      <c r="S15" s="109">
        <v>43400</v>
      </c>
      <c r="T15" s="109">
        <v>44771</v>
      </c>
      <c r="U15" s="109">
        <v>44125</v>
      </c>
      <c r="V15" s="109">
        <v>71925</v>
      </c>
      <c r="W15" s="110">
        <f>V15</f>
        <v>71925</v>
      </c>
      <c r="X15" s="109">
        <v>78930</v>
      </c>
      <c r="Y15" s="109">
        <v>76807</v>
      </c>
      <c r="Z15" s="109">
        <v>78739</v>
      </c>
      <c r="AA15" s="109">
        <v>76445</v>
      </c>
      <c r="AB15" s="110">
        <f t="shared" ref="AB15" si="28">AA15</f>
        <v>76445</v>
      </c>
      <c r="AC15" s="109">
        <v>75106</v>
      </c>
      <c r="AD15" s="109">
        <v>72725</v>
      </c>
      <c r="AE15" s="109">
        <v>70331</v>
      </c>
      <c r="AF15" s="111">
        <v>68988</v>
      </c>
      <c r="AG15" s="110">
        <f t="shared" ref="AG15:AL15" si="29">AF15</f>
        <v>68988</v>
      </c>
      <c r="AH15" s="111">
        <v>66600</v>
      </c>
      <c r="AI15" s="111">
        <v>63505</v>
      </c>
      <c r="AJ15" s="111">
        <v>61466</v>
      </c>
      <c r="AK15" s="111">
        <v>59414</v>
      </c>
      <c r="AL15" s="110">
        <f t="shared" si="29"/>
        <v>59414</v>
      </c>
      <c r="AM15" s="111">
        <v>57370</v>
      </c>
      <c r="AN15" s="111">
        <v>60144</v>
      </c>
      <c r="AO15" s="111">
        <v>58076</v>
      </c>
      <c r="AP15" s="111">
        <v>56086</v>
      </c>
      <c r="AQ15" s="110">
        <f t="shared" ref="AQ15" si="30">AP15</f>
        <v>56086</v>
      </c>
      <c r="AR15" s="111">
        <v>54066</v>
      </c>
      <c r="AS15" s="111">
        <v>52017</v>
      </c>
      <c r="AT15" s="111">
        <f t="shared" ref="AT15" si="31">AS15</f>
        <v>52017</v>
      </c>
      <c r="AU15" s="111">
        <f t="shared" ref="AU15" si="32">AT15</f>
        <v>52017</v>
      </c>
      <c r="AV15" s="110">
        <f t="shared" ref="AV15" si="33">AU15</f>
        <v>52017</v>
      </c>
      <c r="AW15" s="111">
        <f t="shared" ref="AW15" si="34">AV15</f>
        <v>52017</v>
      </c>
      <c r="AX15" s="111">
        <f t="shared" ref="AX15" si="35">AW15</f>
        <v>52017</v>
      </c>
      <c r="AY15" s="111">
        <f t="shared" ref="AY15" si="36">AX15</f>
        <v>52017</v>
      </c>
      <c r="AZ15" s="111">
        <f t="shared" ref="AZ15" si="37">AY15</f>
        <v>52017</v>
      </c>
      <c r="BA15" s="110">
        <f t="shared" ref="BA15" si="38">AZ15</f>
        <v>52017</v>
      </c>
    </row>
    <row r="16" spans="2:53" x14ac:dyDescent="0.2">
      <c r="B16" s="138"/>
      <c r="C16" s="28" t="s">
        <v>183</v>
      </c>
      <c r="D16" s="109">
        <v>4269.6683200000025</v>
      </c>
      <c r="E16" s="109">
        <v>4532</v>
      </c>
      <c r="F16" s="109">
        <v>4109</v>
      </c>
      <c r="G16" s="109">
        <v>5948.2619100000011</v>
      </c>
      <c r="H16" s="110">
        <f>G16</f>
        <v>5948.2619100000011</v>
      </c>
      <c r="I16" s="109">
        <v>6315</v>
      </c>
      <c r="J16" s="109">
        <v>6449.8385599999983</v>
      </c>
      <c r="K16" s="109">
        <v>6649.5242899999976</v>
      </c>
      <c r="L16" s="109">
        <v>6556.5474900000008</v>
      </c>
      <c r="M16" s="110">
        <f>L16</f>
        <v>6556.5474900000008</v>
      </c>
      <c r="N16" s="109">
        <v>7607.4852400000036</v>
      </c>
      <c r="O16" s="109">
        <v>7511</v>
      </c>
      <c r="P16" s="109">
        <v>12317</v>
      </c>
      <c r="Q16" s="109">
        <v>13866</v>
      </c>
      <c r="R16" s="110">
        <f>Q16</f>
        <v>13866</v>
      </c>
      <c r="S16" s="109">
        <v>21709</v>
      </c>
      <c r="T16" s="109">
        <v>30572</v>
      </c>
      <c r="U16" s="109">
        <v>31740</v>
      </c>
      <c r="V16" s="109">
        <v>48902</v>
      </c>
      <c r="W16" s="110">
        <f>V16</f>
        <v>48902</v>
      </c>
      <c r="X16" s="109">
        <v>51142</v>
      </c>
      <c r="Y16" s="109">
        <v>52691</v>
      </c>
      <c r="Z16" s="109">
        <v>53279</v>
      </c>
      <c r="AA16" s="109">
        <v>56985</v>
      </c>
      <c r="AB16" s="110">
        <f>AA16</f>
        <v>56985</v>
      </c>
      <c r="AC16" s="109">
        <v>62025</v>
      </c>
      <c r="AD16" s="109">
        <v>69383</v>
      </c>
      <c r="AE16" s="109">
        <v>77465</v>
      </c>
      <c r="AF16" s="111">
        <v>81564</v>
      </c>
      <c r="AG16" s="110">
        <f>AF16</f>
        <v>81564</v>
      </c>
      <c r="AH16" s="111">
        <v>85294</v>
      </c>
      <c r="AI16" s="111">
        <v>86577</v>
      </c>
      <c r="AJ16" s="111">
        <v>87300</v>
      </c>
      <c r="AK16" s="111">
        <v>88034</v>
      </c>
      <c r="AL16" s="110">
        <f>AK16</f>
        <v>88034</v>
      </c>
      <c r="AM16" s="111">
        <v>90016</v>
      </c>
      <c r="AN16" s="111">
        <v>94467</v>
      </c>
      <c r="AO16" s="111">
        <v>104837</v>
      </c>
      <c r="AP16" s="111">
        <v>116611</v>
      </c>
      <c r="AQ16" s="110">
        <f>AP16</f>
        <v>116611</v>
      </c>
      <c r="AR16" s="111">
        <v>128957</v>
      </c>
      <c r="AS16" s="111">
        <v>127028</v>
      </c>
      <c r="AT16" s="111">
        <f>AS16-CF!AT45-CF!AT11</f>
        <v>128228</v>
      </c>
      <c r="AU16" s="111">
        <f>AT16-CF!AU45-CF!AU11</f>
        <v>129428</v>
      </c>
      <c r="AV16" s="110">
        <f>AU16</f>
        <v>129428</v>
      </c>
      <c r="AW16" s="111">
        <f>AV16-CF!AW45-CF!AW11</f>
        <v>130628</v>
      </c>
      <c r="AX16" s="111">
        <f>AW16-CF!AX45-CF!AX11</f>
        <v>131828</v>
      </c>
      <c r="AY16" s="111">
        <f>AX16-CF!AY45-CF!AY11</f>
        <v>133028</v>
      </c>
      <c r="AZ16" s="111">
        <f>AY16-CF!AZ45-CF!AZ11</f>
        <v>134228</v>
      </c>
      <c r="BA16" s="110">
        <f>AZ16</f>
        <v>134228</v>
      </c>
    </row>
    <row r="17" spans="2:53" x14ac:dyDescent="0.2">
      <c r="B17" s="138"/>
      <c r="C17" s="28" t="s">
        <v>184</v>
      </c>
      <c r="D17" s="109"/>
      <c r="E17" s="109"/>
      <c r="F17" s="109"/>
      <c r="G17" s="109"/>
      <c r="H17" s="110"/>
      <c r="I17" s="109"/>
      <c r="J17" s="109"/>
      <c r="K17" s="109"/>
      <c r="L17" s="109"/>
      <c r="M17" s="110"/>
      <c r="N17" s="109"/>
      <c r="O17" s="109"/>
      <c r="P17" s="109"/>
      <c r="Q17" s="109"/>
      <c r="R17" s="110"/>
      <c r="S17" s="109"/>
      <c r="T17" s="109"/>
      <c r="U17" s="109"/>
      <c r="V17" s="109">
        <v>417341</v>
      </c>
      <c r="W17" s="110">
        <f t="shared" ref="W17:W18" si="39">V17</f>
        <v>417341</v>
      </c>
      <c r="X17" s="109">
        <v>491888</v>
      </c>
      <c r="Y17" s="109">
        <v>472120</v>
      </c>
      <c r="Z17" s="109">
        <v>452351</v>
      </c>
      <c r="AA17" s="109">
        <v>432583</v>
      </c>
      <c r="AB17" s="110">
        <f t="shared" ref="AB17:AB18" si="40">AA17</f>
        <v>432583</v>
      </c>
      <c r="AC17" s="109">
        <v>412814</v>
      </c>
      <c r="AD17" s="109">
        <v>401869</v>
      </c>
      <c r="AE17" s="109">
        <v>381648</v>
      </c>
      <c r="AF17" s="109">
        <v>361427</v>
      </c>
      <c r="AG17" s="110">
        <f t="shared" ref="AG17:AG18" si="41">AF17</f>
        <v>361427</v>
      </c>
      <c r="AH17" s="109">
        <v>341206</v>
      </c>
      <c r="AI17" s="109">
        <v>320985</v>
      </c>
      <c r="AJ17" s="109">
        <v>300764</v>
      </c>
      <c r="AK17" s="109">
        <v>281471</v>
      </c>
      <c r="AL17" s="110">
        <f t="shared" ref="AL17:AL18" si="42">AK17</f>
        <v>281471</v>
      </c>
      <c r="AM17" s="109">
        <v>264914</v>
      </c>
      <c r="AN17" s="109">
        <v>253134</v>
      </c>
      <c r="AO17" s="109">
        <v>237970</v>
      </c>
      <c r="AP17" s="109">
        <v>222805</v>
      </c>
      <c r="AQ17" s="110">
        <f t="shared" ref="AQ17:AQ18" si="43">AP17</f>
        <v>222805</v>
      </c>
      <c r="AR17" s="109">
        <v>207640</v>
      </c>
      <c r="AS17" s="109">
        <v>192475</v>
      </c>
      <c r="AT17" s="109">
        <f t="shared" ref="AT17:AT18" si="44">AS17</f>
        <v>192475</v>
      </c>
      <c r="AU17" s="109">
        <f t="shared" ref="AU17:AU18" si="45">AT17</f>
        <v>192475</v>
      </c>
      <c r="AV17" s="110">
        <f t="shared" ref="AV17:AV18" si="46">AU17</f>
        <v>192475</v>
      </c>
      <c r="AW17" s="109">
        <f t="shared" ref="AW17:AW18" si="47">AV17</f>
        <v>192475</v>
      </c>
      <c r="AX17" s="109">
        <f t="shared" ref="AX17:AX18" si="48">AW17</f>
        <v>192475</v>
      </c>
      <c r="AY17" s="109">
        <f t="shared" ref="AY17:AY18" si="49">AX17</f>
        <v>192475</v>
      </c>
      <c r="AZ17" s="109">
        <f t="shared" ref="AZ17:AZ18" si="50">AY17</f>
        <v>192475</v>
      </c>
      <c r="BA17" s="110">
        <f t="shared" ref="BA17:BA18" si="51">AZ17</f>
        <v>192475</v>
      </c>
    </row>
    <row r="18" spans="2:53" x14ac:dyDescent="0.2">
      <c r="B18" s="138"/>
      <c r="C18" s="28" t="s">
        <v>185</v>
      </c>
      <c r="D18" s="109"/>
      <c r="E18" s="109"/>
      <c r="F18" s="109"/>
      <c r="G18" s="109"/>
      <c r="H18" s="110"/>
      <c r="I18" s="109"/>
      <c r="J18" s="109"/>
      <c r="K18" s="109"/>
      <c r="L18" s="109"/>
      <c r="M18" s="110"/>
      <c r="N18" s="109"/>
      <c r="O18" s="109"/>
      <c r="P18" s="109"/>
      <c r="Q18" s="109"/>
      <c r="R18" s="110"/>
      <c r="S18" s="109"/>
      <c r="T18" s="109"/>
      <c r="U18" s="109"/>
      <c r="V18" s="109">
        <v>1772043</v>
      </c>
      <c r="W18" s="110">
        <f t="shared" si="39"/>
        <v>1772043</v>
      </c>
      <c r="X18" s="109">
        <v>2354812</v>
      </c>
      <c r="Y18" s="109">
        <v>2363109</v>
      </c>
      <c r="Z18" s="109">
        <v>2363109</v>
      </c>
      <c r="AA18" s="109">
        <v>2362893</v>
      </c>
      <c r="AB18" s="110">
        <f t="shared" si="40"/>
        <v>2362893</v>
      </c>
      <c r="AC18" s="109">
        <v>2362330</v>
      </c>
      <c r="AD18" s="109">
        <v>2396509</v>
      </c>
      <c r="AE18" s="109">
        <v>2396509</v>
      </c>
      <c r="AF18" s="109">
        <v>2396509</v>
      </c>
      <c r="AG18" s="110">
        <f t="shared" si="41"/>
        <v>2396509</v>
      </c>
      <c r="AH18" s="109">
        <v>2396509</v>
      </c>
      <c r="AI18" s="109">
        <v>2396509</v>
      </c>
      <c r="AJ18" s="109">
        <v>2396509</v>
      </c>
      <c r="AK18" s="109">
        <v>2396509</v>
      </c>
      <c r="AL18" s="110">
        <f t="shared" si="42"/>
        <v>2396509</v>
      </c>
      <c r="AM18" s="109">
        <v>2396509</v>
      </c>
      <c r="AN18" s="109">
        <v>2396509</v>
      </c>
      <c r="AO18" s="109">
        <v>2396509</v>
      </c>
      <c r="AP18" s="109">
        <v>2396509</v>
      </c>
      <c r="AQ18" s="110">
        <f t="shared" si="43"/>
        <v>2396509</v>
      </c>
      <c r="AR18" s="109">
        <v>2396509</v>
      </c>
      <c r="AS18" s="109">
        <v>2396509</v>
      </c>
      <c r="AT18" s="109">
        <f t="shared" si="44"/>
        <v>2396509</v>
      </c>
      <c r="AU18" s="109">
        <f t="shared" si="45"/>
        <v>2396509</v>
      </c>
      <c r="AV18" s="110">
        <f t="shared" si="46"/>
        <v>2396509</v>
      </c>
      <c r="AW18" s="109">
        <f t="shared" si="47"/>
        <v>2396509</v>
      </c>
      <c r="AX18" s="109">
        <f t="shared" si="48"/>
        <v>2396509</v>
      </c>
      <c r="AY18" s="109">
        <f t="shared" si="49"/>
        <v>2396509</v>
      </c>
      <c r="AZ18" s="109">
        <f t="shared" si="50"/>
        <v>2396509</v>
      </c>
      <c r="BA18" s="110">
        <f t="shared" si="51"/>
        <v>2396509</v>
      </c>
    </row>
    <row r="19" spans="2:53" x14ac:dyDescent="0.2">
      <c r="B19" s="138"/>
      <c r="C19" s="28" t="s">
        <v>186</v>
      </c>
      <c r="D19" s="109">
        <v>2552.18552</v>
      </c>
      <c r="E19" s="109">
        <v>2802</v>
      </c>
      <c r="F19" s="109">
        <v>3691</v>
      </c>
      <c r="G19" s="109">
        <v>4626.4704599999995</v>
      </c>
      <c r="H19" s="110">
        <f>G19</f>
        <v>4626.4704599999995</v>
      </c>
      <c r="I19" s="109">
        <v>5476</v>
      </c>
      <c r="J19" s="109">
        <v>5227.0557500000004</v>
      </c>
      <c r="K19" s="109">
        <v>5979.8660199999995</v>
      </c>
      <c r="L19" s="109">
        <v>6640.8056400000005</v>
      </c>
      <c r="M19" s="110">
        <f>L19</f>
        <v>6640.8056400000005</v>
      </c>
      <c r="N19" s="109">
        <v>7398.4897300000002</v>
      </c>
      <c r="O19" s="109">
        <v>6353</v>
      </c>
      <c r="P19" s="109">
        <v>6819</v>
      </c>
      <c r="Q19" s="109">
        <v>10700</v>
      </c>
      <c r="R19" s="110">
        <f>Q19</f>
        <v>10700</v>
      </c>
      <c r="S19" s="109">
        <v>17484</v>
      </c>
      <c r="T19" s="109">
        <v>21967</v>
      </c>
      <c r="U19" s="109">
        <v>22499</v>
      </c>
      <c r="V19" s="109">
        <v>52925</v>
      </c>
      <c r="W19" s="110">
        <f>V19</f>
        <v>52925</v>
      </c>
      <c r="X19" s="109">
        <v>54221</v>
      </c>
      <c r="Y19" s="109">
        <v>53935</v>
      </c>
      <c r="Z19" s="109">
        <v>53804</v>
      </c>
      <c r="AA19" s="109">
        <v>47730</v>
      </c>
      <c r="AB19" s="110">
        <f>AA19</f>
        <v>47730</v>
      </c>
      <c r="AC19" s="109">
        <v>48847</v>
      </c>
      <c r="AD19" s="109">
        <v>49600</v>
      </c>
      <c r="AE19" s="109">
        <v>49700</v>
      </c>
      <c r="AF19" s="109">
        <v>54366</v>
      </c>
      <c r="AG19" s="110">
        <f>AF19</f>
        <v>54366</v>
      </c>
      <c r="AH19" s="109">
        <v>48654</v>
      </c>
      <c r="AI19" s="109">
        <v>48788</v>
      </c>
      <c r="AJ19" s="109">
        <v>47736</v>
      </c>
      <c r="AK19" s="109">
        <v>38568</v>
      </c>
      <c r="AL19" s="110">
        <f>AK19</f>
        <v>38568</v>
      </c>
      <c r="AM19" s="109">
        <v>32051</v>
      </c>
      <c r="AN19" s="109">
        <v>30019</v>
      </c>
      <c r="AO19" s="109">
        <v>31410</v>
      </c>
      <c r="AP19" s="109">
        <v>33178</v>
      </c>
      <c r="AQ19" s="110">
        <f>AP19</f>
        <v>33178</v>
      </c>
      <c r="AR19" s="109">
        <v>34228</v>
      </c>
      <c r="AS19" s="109">
        <v>32974</v>
      </c>
      <c r="AT19" s="109">
        <f>AT64*IS!AT$17</f>
        <v>98249.206019906589</v>
      </c>
      <c r="AU19" s="109">
        <f>AU64*IS!AU$17</f>
        <v>94987.657127468265</v>
      </c>
      <c r="AV19" s="110">
        <f>AU19</f>
        <v>94987.657127468265</v>
      </c>
      <c r="AW19" s="109">
        <f>AW64*IS!AW$17</f>
        <v>107118.61336685854</v>
      </c>
      <c r="AX19" s="109">
        <f>AX64*IS!AX$17</f>
        <v>111011.73222300918</v>
      </c>
      <c r="AY19" s="109">
        <f>AY64*IS!AY$17</f>
        <v>109638.34885797833</v>
      </c>
      <c r="AZ19" s="109">
        <f>AZ64*IS!AZ$17</f>
        <v>106736.3386042723</v>
      </c>
      <c r="BA19" s="110">
        <f>AZ19</f>
        <v>106736.3386042723</v>
      </c>
    </row>
    <row r="20" spans="2:53" s="20" customFormat="1" x14ac:dyDescent="0.2">
      <c r="B20" s="159" t="s">
        <v>187</v>
      </c>
      <c r="D20" s="183">
        <f t="shared" ref="D20:R20" si="52">D14+SUM(D16:D19)</f>
        <v>812460.79856999998</v>
      </c>
      <c r="E20" s="183">
        <f t="shared" si="52"/>
        <v>1014591.32546</v>
      </c>
      <c r="F20" s="183">
        <f t="shared" si="52"/>
        <v>896187.26433999999</v>
      </c>
      <c r="G20" s="183">
        <f t="shared" si="52"/>
        <v>1029284.8949599999</v>
      </c>
      <c r="H20" s="184">
        <f t="shared" si="52"/>
        <v>1029284.8949599999</v>
      </c>
      <c r="I20" s="183">
        <f t="shared" si="52"/>
        <v>1129213.6704599999</v>
      </c>
      <c r="J20" s="183">
        <f t="shared" si="52"/>
        <v>1400830.92551</v>
      </c>
      <c r="K20" s="183">
        <f t="shared" si="52"/>
        <v>1387144.8796499998</v>
      </c>
      <c r="L20" s="183">
        <f t="shared" si="52"/>
        <v>1526297.59974</v>
      </c>
      <c r="M20" s="184">
        <f t="shared" si="52"/>
        <v>1526297.59974</v>
      </c>
      <c r="N20" s="183">
        <f t="shared" si="52"/>
        <v>1662156.66585</v>
      </c>
      <c r="O20" s="183">
        <f t="shared" si="52"/>
        <v>1905124</v>
      </c>
      <c r="P20" s="183">
        <f t="shared" si="52"/>
        <v>1789839</v>
      </c>
      <c r="Q20" s="183">
        <f t="shared" si="52"/>
        <v>2404015</v>
      </c>
      <c r="R20" s="184">
        <f t="shared" si="52"/>
        <v>2404015</v>
      </c>
      <c r="S20" s="183">
        <f>S14+SUM(S16:S19)+S15</f>
        <v>2479208</v>
      </c>
      <c r="T20" s="183">
        <f t="shared" ref="T20:AE20" si="53">T14+SUM(T16:T19)+T15</f>
        <v>4082417</v>
      </c>
      <c r="U20" s="183">
        <f t="shared" si="53"/>
        <v>3800165</v>
      </c>
      <c r="V20" s="183">
        <f t="shared" si="53"/>
        <v>5969173</v>
      </c>
      <c r="W20" s="184">
        <f t="shared" si="53"/>
        <v>5969173</v>
      </c>
      <c r="X20" s="183">
        <f t="shared" si="53"/>
        <v>8564195</v>
      </c>
      <c r="Y20" s="183">
        <f t="shared" si="53"/>
        <v>9510958</v>
      </c>
      <c r="Z20" s="183">
        <f t="shared" si="53"/>
        <v>9183836</v>
      </c>
      <c r="AA20" s="183">
        <f t="shared" si="53"/>
        <v>9256026</v>
      </c>
      <c r="AB20" s="184">
        <f t="shared" si="53"/>
        <v>9256026</v>
      </c>
      <c r="AC20" s="183">
        <f t="shared" si="53"/>
        <v>9253099</v>
      </c>
      <c r="AD20" s="183">
        <f t="shared" si="53"/>
        <v>9738274</v>
      </c>
      <c r="AE20" s="183">
        <f t="shared" si="53"/>
        <v>9380885</v>
      </c>
      <c r="AF20" s="183">
        <f>AF14+SUM(AF16:AF19)+AF15</f>
        <v>9636018</v>
      </c>
      <c r="AG20" s="184">
        <f>AG14+SUM(AG16:AG19)+AG15</f>
        <v>9636018</v>
      </c>
      <c r="AH20" s="183">
        <f t="shared" ref="AH20" si="54">AH14+SUM(AH16:AH19)+AH15</f>
        <v>9620383</v>
      </c>
      <c r="AI20" s="183">
        <f t="shared" ref="AI20" si="55">AI14+SUM(AI16:AI19)+AI15</f>
        <v>9872411</v>
      </c>
      <c r="AJ20" s="183">
        <f t="shared" ref="AJ20" si="56">AJ14+SUM(AJ16:AJ19)+AJ15</f>
        <v>9122258</v>
      </c>
      <c r="AK20" s="183">
        <f>AK14+SUM(AK16:AK19)+AK15</f>
        <v>9178813</v>
      </c>
      <c r="AL20" s="184">
        <f>AL14+SUM(AL16:AL19)+AL15</f>
        <v>9178813</v>
      </c>
      <c r="AM20" s="183">
        <f t="shared" ref="AM20:AO20" si="57">AM14+SUM(AM16:AM19)+AM15</f>
        <v>9045061</v>
      </c>
      <c r="AN20" s="183">
        <f t="shared" si="57"/>
        <v>9674206</v>
      </c>
      <c r="AO20" s="183">
        <f t="shared" si="57"/>
        <v>9632636</v>
      </c>
      <c r="AP20" s="183">
        <f>AP14+SUM(AP16:AP19)+AP15</f>
        <v>10063982</v>
      </c>
      <c r="AQ20" s="184">
        <f>AQ14+SUM(AQ16:AQ19)+AQ15</f>
        <v>10063982</v>
      </c>
      <c r="AR20" s="183">
        <f t="shared" ref="AR20:AS20" si="58">AR14+SUM(AR16:AR19)+AR15</f>
        <v>10151245</v>
      </c>
      <c r="AS20" s="183">
        <f t="shared" si="58"/>
        <v>10126434</v>
      </c>
      <c r="AT20" s="183">
        <f t="shared" ref="AT20" si="59">AT14+SUM(AT16:AT19)+AT15</f>
        <v>10264799.836464407</v>
      </c>
      <c r="AU20" s="183">
        <f>AU14+SUM(AU16:AU19)+AU15</f>
        <v>10446087.722545976</v>
      </c>
      <c r="AV20" s="184">
        <f>AV14+SUM(AV16:AV19)+AV15</f>
        <v>10446087.722545976</v>
      </c>
      <c r="AW20" s="183">
        <f t="shared" ref="AW20:AY20" si="60">AW14+SUM(AW16:AW19)+AW15</f>
        <v>10706563.676629851</v>
      </c>
      <c r="AX20" s="183">
        <f t="shared" si="60"/>
        <v>11092317.383286871</v>
      </c>
      <c r="AY20" s="183">
        <f t="shared" si="60"/>
        <v>10977719.382372685</v>
      </c>
      <c r="AZ20" s="183">
        <f>AZ14+SUM(AZ16:AZ19)+AZ15</f>
        <v>11370534.34787146</v>
      </c>
      <c r="BA20" s="184">
        <f>BA14+SUM(BA16:BA19)+BA15</f>
        <v>11370534.34787146</v>
      </c>
    </row>
    <row r="21" spans="2:53" x14ac:dyDescent="0.2">
      <c r="B21" s="138"/>
      <c r="D21" s="109"/>
      <c r="E21" s="109"/>
      <c r="F21" s="109"/>
      <c r="G21" s="109"/>
      <c r="H21" s="110"/>
      <c r="I21" s="109"/>
      <c r="J21" s="109"/>
      <c r="K21" s="109"/>
      <c r="L21" s="109"/>
      <c r="M21" s="110"/>
      <c r="N21" s="109"/>
      <c r="O21" s="109"/>
      <c r="P21" s="109"/>
      <c r="Q21" s="109"/>
      <c r="R21" s="110"/>
      <c r="S21" s="109"/>
      <c r="T21" s="109"/>
      <c r="U21" s="109"/>
      <c r="V21" s="109"/>
      <c r="W21" s="110"/>
      <c r="X21" s="109"/>
      <c r="Y21" s="109"/>
      <c r="Z21" s="109"/>
      <c r="AA21" s="109"/>
      <c r="AB21" s="110"/>
      <c r="AC21" s="109"/>
      <c r="AD21" s="109"/>
      <c r="AE21" s="109"/>
      <c r="AF21" s="109"/>
      <c r="AG21" s="110"/>
      <c r="AH21" s="109"/>
      <c r="AI21" s="109"/>
      <c r="AJ21" s="109"/>
      <c r="AK21" s="109"/>
      <c r="AL21" s="110"/>
      <c r="AM21" s="109"/>
      <c r="AN21" s="109"/>
      <c r="AO21" s="109"/>
      <c r="AP21" s="109"/>
      <c r="AQ21" s="110"/>
      <c r="AR21" s="109"/>
      <c r="AS21" s="109"/>
      <c r="AT21" s="109"/>
      <c r="AU21" s="109"/>
      <c r="AV21" s="110"/>
      <c r="AW21" s="109"/>
      <c r="AX21" s="109"/>
      <c r="AY21" s="109"/>
      <c r="AZ21" s="109"/>
      <c r="BA21" s="110"/>
    </row>
    <row r="22" spans="2:53" x14ac:dyDescent="0.2">
      <c r="B22" s="159" t="s">
        <v>188</v>
      </c>
      <c r="D22" s="109"/>
      <c r="E22" s="109"/>
      <c r="F22" s="109"/>
      <c r="G22" s="109"/>
      <c r="H22" s="110"/>
      <c r="I22" s="109"/>
      <c r="J22" s="109"/>
      <c r="K22" s="109"/>
      <c r="L22" s="109"/>
      <c r="M22" s="110"/>
      <c r="N22" s="109"/>
      <c r="O22" s="109"/>
      <c r="P22" s="109"/>
      <c r="Q22" s="109"/>
      <c r="R22" s="110"/>
      <c r="S22" s="109"/>
      <c r="T22" s="109"/>
      <c r="U22" s="109"/>
      <c r="V22" s="109"/>
      <c r="W22" s="110"/>
      <c r="X22" s="109"/>
      <c r="Y22" s="109"/>
      <c r="Z22" s="109"/>
      <c r="AA22" s="109"/>
      <c r="AB22" s="110"/>
      <c r="AC22" s="109"/>
      <c r="AD22" s="109"/>
      <c r="AE22" s="109"/>
      <c r="AF22" s="109"/>
      <c r="AG22" s="110"/>
      <c r="AH22" s="109"/>
      <c r="AI22" s="109"/>
      <c r="AJ22" s="109"/>
      <c r="AK22" s="109"/>
      <c r="AL22" s="110"/>
      <c r="AM22" s="109"/>
      <c r="AN22" s="109"/>
      <c r="AO22" s="109"/>
      <c r="AP22" s="109"/>
      <c r="AQ22" s="110"/>
      <c r="AR22" s="109"/>
      <c r="AS22" s="109"/>
      <c r="AT22" s="109"/>
      <c r="AU22" s="109"/>
      <c r="AV22" s="110"/>
      <c r="AW22" s="109"/>
      <c r="AX22" s="109"/>
      <c r="AY22" s="109"/>
      <c r="AZ22" s="109"/>
      <c r="BA22" s="110"/>
    </row>
    <row r="23" spans="2:53" x14ac:dyDescent="0.2">
      <c r="B23" s="159"/>
      <c r="C23" s="28" t="s">
        <v>189</v>
      </c>
      <c r="D23" s="109">
        <v>1467</v>
      </c>
      <c r="E23" s="109">
        <v>2420</v>
      </c>
      <c r="F23" s="109">
        <v>1319</v>
      </c>
      <c r="G23" s="109">
        <v>1532</v>
      </c>
      <c r="H23" s="110">
        <f t="shared" ref="H23:H28" si="61">G23</f>
        <v>1532</v>
      </c>
      <c r="I23" s="109">
        <v>2580</v>
      </c>
      <c r="J23" s="109">
        <v>3791</v>
      </c>
      <c r="K23" s="109">
        <v>4672.2936500000005</v>
      </c>
      <c r="L23" s="109">
        <v>5063.3075200000003</v>
      </c>
      <c r="M23" s="110">
        <f t="shared" ref="M23:M28" si="62">L23</f>
        <v>5063.3075200000003</v>
      </c>
      <c r="N23" s="109">
        <v>5686.3044900000004</v>
      </c>
      <c r="O23" s="109">
        <v>6018</v>
      </c>
      <c r="P23" s="109">
        <v>6477</v>
      </c>
      <c r="Q23" s="109">
        <v>3478</v>
      </c>
      <c r="R23" s="110">
        <f t="shared" ref="R23:R28" si="63">Q23</f>
        <v>3478</v>
      </c>
      <c r="S23" s="109">
        <v>6566</v>
      </c>
      <c r="T23" s="109">
        <v>5076</v>
      </c>
      <c r="U23" s="109">
        <v>4320</v>
      </c>
      <c r="V23" s="109">
        <v>11904</v>
      </c>
      <c r="W23" s="110">
        <f t="shared" ref="W23:W31" si="64">V23</f>
        <v>11904</v>
      </c>
      <c r="X23" s="109">
        <v>13142</v>
      </c>
      <c r="Y23" s="109">
        <v>11770</v>
      </c>
      <c r="Z23" s="109">
        <v>9433</v>
      </c>
      <c r="AA23" s="109">
        <v>9948</v>
      </c>
      <c r="AB23" s="110">
        <f t="shared" ref="AB23:AB31" si="65">AA23</f>
        <v>9948</v>
      </c>
      <c r="AC23" s="109">
        <v>11508</v>
      </c>
      <c r="AD23" s="109">
        <v>14262</v>
      </c>
      <c r="AE23" s="109">
        <v>9144</v>
      </c>
      <c r="AF23" s="109">
        <v>8519</v>
      </c>
      <c r="AG23" s="110">
        <f t="shared" ref="AG23:AG28" si="66">AF23</f>
        <v>8519</v>
      </c>
      <c r="AH23" s="109">
        <v>6491</v>
      </c>
      <c r="AI23" s="109">
        <v>8772</v>
      </c>
      <c r="AJ23" s="109">
        <v>6824</v>
      </c>
      <c r="AK23" s="109">
        <v>7447</v>
      </c>
      <c r="AL23" s="110">
        <f t="shared" ref="AL23:AL28" si="67">AK23</f>
        <v>7447</v>
      </c>
      <c r="AM23" s="109">
        <v>11181</v>
      </c>
      <c r="AN23" s="109">
        <v>5723</v>
      </c>
      <c r="AO23" s="109">
        <v>9302</v>
      </c>
      <c r="AP23" s="109">
        <v>16293</v>
      </c>
      <c r="AQ23" s="110">
        <f t="shared" ref="AQ23:AQ28" si="68">AP23</f>
        <v>16293</v>
      </c>
      <c r="AR23" s="109">
        <v>6999</v>
      </c>
      <c r="AS23" s="109">
        <v>5044</v>
      </c>
      <c r="AT23" s="109">
        <f>AT67*IS!AT$17</f>
        <v>14100.067645423331</v>
      </c>
      <c r="AU23" s="109">
        <f>AU67*IS!AU$17</f>
        <v>15044.666317040927</v>
      </c>
      <c r="AV23" s="110">
        <f t="shared" ref="AV23:AV28" si="69">AU23</f>
        <v>15044.666317040927</v>
      </c>
      <c r="AW23" s="109">
        <f>AW67*IS!AW$17</f>
        <v>15372.945550833565</v>
      </c>
      <c r="AX23" s="109">
        <f>AX67*IS!AX$17</f>
        <v>15931.659879906872</v>
      </c>
      <c r="AY23" s="109">
        <f>AY67*IS!AY$17</f>
        <v>15734.561102883568</v>
      </c>
      <c r="AZ23" s="109">
        <f>AZ67*IS!AZ$17</f>
        <v>16905.486952363266</v>
      </c>
      <c r="BA23" s="110">
        <f t="shared" ref="BA23:BA28" si="70">AZ23</f>
        <v>16905.486952363266</v>
      </c>
    </row>
    <row r="24" spans="2:53" x14ac:dyDescent="0.2">
      <c r="B24" s="138"/>
      <c r="C24" s="28" t="s">
        <v>190</v>
      </c>
      <c r="D24" s="109">
        <v>2245</v>
      </c>
      <c r="E24" s="109">
        <v>2625</v>
      </c>
      <c r="F24" s="109">
        <v>2541</v>
      </c>
      <c r="G24" s="109">
        <v>3425</v>
      </c>
      <c r="H24" s="110">
        <f t="shared" si="61"/>
        <v>3425</v>
      </c>
      <c r="I24" s="109">
        <v>2872</v>
      </c>
      <c r="J24" s="109">
        <v>3304</v>
      </c>
      <c r="K24" s="109">
        <v>3487.3859700000007</v>
      </c>
      <c r="L24" s="109">
        <v>4333.4785999999995</v>
      </c>
      <c r="M24" s="110">
        <f t="shared" si="62"/>
        <v>4333.4785999999995</v>
      </c>
      <c r="N24" s="109">
        <v>4408.9413800000002</v>
      </c>
      <c r="O24" s="109">
        <v>6379</v>
      </c>
      <c r="P24" s="109">
        <v>6723</v>
      </c>
      <c r="Q24" s="109">
        <v>12387</v>
      </c>
      <c r="R24" s="110">
        <f t="shared" si="63"/>
        <v>12387</v>
      </c>
      <c r="S24" s="109">
        <v>7605</v>
      </c>
      <c r="T24" s="109">
        <v>14304</v>
      </c>
      <c r="U24" s="109">
        <v>11632</v>
      </c>
      <c r="V24" s="109">
        <v>20287</v>
      </c>
      <c r="W24" s="110">
        <f t="shared" si="64"/>
        <v>20287</v>
      </c>
      <c r="X24" s="109">
        <v>18176</v>
      </c>
      <c r="Y24" s="109">
        <v>21146</v>
      </c>
      <c r="Z24" s="109">
        <v>18478</v>
      </c>
      <c r="AA24" s="109">
        <v>29004</v>
      </c>
      <c r="AB24" s="110">
        <f t="shared" si="65"/>
        <v>29004</v>
      </c>
      <c r="AC24" s="109">
        <v>20649</v>
      </c>
      <c r="AD24" s="109">
        <v>31021</v>
      </c>
      <c r="AE24" s="109">
        <v>20639</v>
      </c>
      <c r="AF24" s="109">
        <v>32901</v>
      </c>
      <c r="AG24" s="110">
        <f t="shared" si="66"/>
        <v>32901</v>
      </c>
      <c r="AH24" s="109">
        <v>23030</v>
      </c>
      <c r="AI24" s="109">
        <v>33228</v>
      </c>
      <c r="AJ24" s="109">
        <v>27619</v>
      </c>
      <c r="AK24" s="109">
        <v>34158</v>
      </c>
      <c r="AL24" s="110">
        <f t="shared" si="67"/>
        <v>34158</v>
      </c>
      <c r="AM24" s="109">
        <v>23305</v>
      </c>
      <c r="AN24" s="109">
        <v>29249</v>
      </c>
      <c r="AO24" s="109">
        <v>32998</v>
      </c>
      <c r="AP24" s="109">
        <v>39581</v>
      </c>
      <c r="AQ24" s="110">
        <f t="shared" si="68"/>
        <v>39581</v>
      </c>
      <c r="AR24" s="109">
        <v>35950</v>
      </c>
      <c r="AS24" s="109">
        <v>33081</v>
      </c>
      <c r="AT24" s="109">
        <f>AT68*IS!AT$17</f>
        <v>34243.021424599516</v>
      </c>
      <c r="AU24" s="109">
        <f>AU68*IS!AU$17</f>
        <v>42984.760905831215</v>
      </c>
      <c r="AV24" s="110">
        <f t="shared" si="69"/>
        <v>42984.760905831215</v>
      </c>
      <c r="AW24" s="109">
        <f>AW68*IS!AW$17</f>
        <v>37334.296337738655</v>
      </c>
      <c r="AX24" s="109">
        <f>AX68*IS!AX$17</f>
        <v>45519.028228305346</v>
      </c>
      <c r="AY24" s="109">
        <f>AY68*IS!AY$17</f>
        <v>38212.505535574375</v>
      </c>
      <c r="AZ24" s="109">
        <f>AZ68*IS!AZ$17</f>
        <v>48301.391292466476</v>
      </c>
      <c r="BA24" s="110">
        <f t="shared" si="70"/>
        <v>48301.391292466476</v>
      </c>
    </row>
    <row r="25" spans="2:53" x14ac:dyDescent="0.2">
      <c r="B25" s="138"/>
      <c r="C25" s="28" t="s">
        <v>193</v>
      </c>
      <c r="D25" s="109">
        <v>2655</v>
      </c>
      <c r="E25" s="109">
        <v>2662</v>
      </c>
      <c r="F25" s="109">
        <v>2745</v>
      </c>
      <c r="G25" s="109">
        <v>3277</v>
      </c>
      <c r="H25" s="110">
        <f>G25</f>
        <v>3277</v>
      </c>
      <c r="I25" s="109">
        <v>2846</v>
      </c>
      <c r="J25" s="109">
        <v>3801</v>
      </c>
      <c r="K25" s="109">
        <v>3341.1347399999995</v>
      </c>
      <c r="L25" s="109">
        <v>3468.5764699999991</v>
      </c>
      <c r="M25" s="110">
        <f>L25</f>
        <v>3468.5764699999991</v>
      </c>
      <c r="N25" s="109">
        <v>3706.4395499999996</v>
      </c>
      <c r="O25" s="109">
        <v>4274</v>
      </c>
      <c r="P25" s="109">
        <v>6101</v>
      </c>
      <c r="Q25" s="109">
        <v>5891</v>
      </c>
      <c r="R25" s="110">
        <f>Q25</f>
        <v>5891</v>
      </c>
      <c r="S25" s="109">
        <v>6166</v>
      </c>
      <c r="T25" s="109">
        <v>5379</v>
      </c>
      <c r="U25" s="109">
        <v>8371</v>
      </c>
      <c r="V25" s="109">
        <v>12848</v>
      </c>
      <c r="W25" s="110">
        <f>V25</f>
        <v>12848</v>
      </c>
      <c r="X25" s="109">
        <v>21328</v>
      </c>
      <c r="Y25" s="109">
        <v>30487</v>
      </c>
      <c r="Z25" s="109">
        <v>30370</v>
      </c>
      <c r="AA25" s="109">
        <v>31868</v>
      </c>
      <c r="AB25" s="110">
        <f>AA25</f>
        <v>31868</v>
      </c>
      <c r="AC25" s="109">
        <v>30401</v>
      </c>
      <c r="AD25" s="109">
        <v>30358</v>
      </c>
      <c r="AE25" s="109">
        <v>28084</v>
      </c>
      <c r="AF25" s="109">
        <v>26328</v>
      </c>
      <c r="AG25" s="110">
        <f>AF25</f>
        <v>26328</v>
      </c>
      <c r="AH25" s="109">
        <v>19489</v>
      </c>
      <c r="AI25" s="109">
        <v>17327</v>
      </c>
      <c r="AJ25" s="109">
        <v>17547</v>
      </c>
      <c r="AK25" s="109">
        <v>17006</v>
      </c>
      <c r="AL25" s="110">
        <f>AK25</f>
        <v>17006</v>
      </c>
      <c r="AM25" s="109">
        <v>21730</v>
      </c>
      <c r="AN25" s="109">
        <v>21775</v>
      </c>
      <c r="AO25" s="109">
        <v>21740</v>
      </c>
      <c r="AP25" s="109">
        <v>22435</v>
      </c>
      <c r="AQ25" s="110">
        <f>AP25</f>
        <v>22435</v>
      </c>
      <c r="AR25" s="109">
        <v>20782</v>
      </c>
      <c r="AS25" s="109">
        <v>20887</v>
      </c>
      <c r="AT25" s="109">
        <f>AT70*IS!AT$17</f>
        <v>28200.135290846662</v>
      </c>
      <c r="AU25" s="109">
        <f>AU70*IS!AU$17</f>
        <v>30089.332634081853</v>
      </c>
      <c r="AV25" s="110">
        <f>AU25</f>
        <v>30089.332634081853</v>
      </c>
      <c r="AW25" s="109">
        <f>AW70*IS!AW$17</f>
        <v>30745.89110166713</v>
      </c>
      <c r="AX25" s="109">
        <f>AX70*IS!AX$17</f>
        <v>31863.319759813745</v>
      </c>
      <c r="AY25" s="109">
        <f>AY70*IS!AY$17</f>
        <v>31469.122205767137</v>
      </c>
      <c r="AZ25" s="109">
        <f>AZ70*IS!AZ$17</f>
        <v>33810.973904726532</v>
      </c>
      <c r="BA25" s="110">
        <f>AZ25</f>
        <v>33810.973904726532</v>
      </c>
    </row>
    <row r="26" spans="2:53" x14ac:dyDescent="0.2">
      <c r="B26" s="138"/>
      <c r="C26" s="28" t="s">
        <v>191</v>
      </c>
      <c r="D26" s="109">
        <v>1511</v>
      </c>
      <c r="E26" s="109">
        <v>1454</v>
      </c>
      <c r="F26" s="109">
        <v>1789</v>
      </c>
      <c r="G26" s="109">
        <v>3001</v>
      </c>
      <c r="H26" s="110">
        <f t="shared" si="61"/>
        <v>3001</v>
      </c>
      <c r="I26" s="109">
        <v>3793</v>
      </c>
      <c r="J26" s="109">
        <v>6683</v>
      </c>
      <c r="K26" s="109">
        <v>7462</v>
      </c>
      <c r="L26" s="109">
        <v>6550.8678799999998</v>
      </c>
      <c r="M26" s="110">
        <f t="shared" si="62"/>
        <v>6550.8678799999998</v>
      </c>
      <c r="N26" s="109">
        <v>7730.731130000001</v>
      </c>
      <c r="O26" s="109">
        <v>9872</v>
      </c>
      <c r="P26" s="109">
        <v>10894</v>
      </c>
      <c r="Q26" s="109">
        <v>8541</v>
      </c>
      <c r="R26" s="110">
        <f t="shared" si="63"/>
        <v>8541</v>
      </c>
      <c r="S26" s="109">
        <v>8335</v>
      </c>
      <c r="T26" s="109">
        <v>6600</v>
      </c>
      <c r="U26" s="109">
        <v>9281</v>
      </c>
      <c r="V26" s="109">
        <v>72022</v>
      </c>
      <c r="W26" s="110">
        <f t="shared" si="64"/>
        <v>72022</v>
      </c>
      <c r="X26" s="109">
        <v>79296</v>
      </c>
      <c r="Y26" s="109">
        <v>87578</v>
      </c>
      <c r="Z26" s="109">
        <v>155127</v>
      </c>
      <c r="AA26" s="109">
        <v>120080</v>
      </c>
      <c r="AB26" s="110">
        <f t="shared" si="65"/>
        <v>120080</v>
      </c>
      <c r="AC26" s="109">
        <v>141806</v>
      </c>
      <c r="AD26" s="109">
        <v>181551</v>
      </c>
      <c r="AE26" s="109">
        <v>171234</v>
      </c>
      <c r="AF26" s="109">
        <v>194733</v>
      </c>
      <c r="AG26" s="110">
        <f t="shared" si="66"/>
        <v>194733</v>
      </c>
      <c r="AH26" s="109">
        <v>252932</v>
      </c>
      <c r="AI26" s="109">
        <v>268409</v>
      </c>
      <c r="AJ26" s="109">
        <v>263603</v>
      </c>
      <c r="AK26" s="109">
        <v>299506</v>
      </c>
      <c r="AL26" s="110">
        <f t="shared" si="67"/>
        <v>299506</v>
      </c>
      <c r="AM26" s="109">
        <v>212327</v>
      </c>
      <c r="AN26" s="109">
        <v>265548</v>
      </c>
      <c r="AO26" s="109">
        <v>262921</v>
      </c>
      <c r="AP26" s="109">
        <v>252455</v>
      </c>
      <c r="AQ26" s="110">
        <f t="shared" si="68"/>
        <v>252455</v>
      </c>
      <c r="AR26" s="109">
        <v>306405</v>
      </c>
      <c r="AS26" s="109">
        <v>339017</v>
      </c>
      <c r="AT26" s="109">
        <f>AT69*IS!AT$17</f>
        <v>261858.39912929042</v>
      </c>
      <c r="AU26" s="109">
        <f>AU69*IS!AU$17</f>
        <v>279400.94588790293</v>
      </c>
      <c r="AV26" s="110">
        <f t="shared" si="69"/>
        <v>279400.94588790293</v>
      </c>
      <c r="AW26" s="109">
        <f>AW69*IS!AW$17</f>
        <v>285497.56022976618</v>
      </c>
      <c r="AX26" s="109">
        <f>AX69*IS!AX$17</f>
        <v>295873.68348398473</v>
      </c>
      <c r="AY26" s="109">
        <f>AY69*IS!AY$17</f>
        <v>292213.27762498055</v>
      </c>
      <c r="AZ26" s="109">
        <f>AZ69*IS!AZ$17</f>
        <v>313959.0434010321</v>
      </c>
      <c r="BA26" s="110">
        <f t="shared" si="70"/>
        <v>313959.0434010321</v>
      </c>
    </row>
    <row r="27" spans="2:53" x14ac:dyDescent="0.2">
      <c r="B27" s="138"/>
      <c r="C27" s="28" t="s">
        <v>192</v>
      </c>
      <c r="D27" s="109">
        <v>490</v>
      </c>
      <c r="E27" s="109">
        <v>492</v>
      </c>
      <c r="F27" s="109">
        <v>496</v>
      </c>
      <c r="G27" s="109">
        <v>663</v>
      </c>
      <c r="H27" s="110">
        <f t="shared" si="61"/>
        <v>663</v>
      </c>
      <c r="I27" s="109">
        <v>652</v>
      </c>
      <c r="J27" s="109">
        <v>358</v>
      </c>
      <c r="K27" s="109">
        <v>523.62413000000004</v>
      </c>
      <c r="L27" s="109">
        <v>688.36132000000009</v>
      </c>
      <c r="M27" s="110">
        <f t="shared" si="62"/>
        <v>688.36132000000009</v>
      </c>
      <c r="N27" s="109">
        <v>853.41269</v>
      </c>
      <c r="O27" s="109"/>
      <c r="P27" s="109">
        <f>O27</f>
        <v>0</v>
      </c>
      <c r="Q27" s="109">
        <f>P27</f>
        <v>0</v>
      </c>
      <c r="R27" s="110">
        <f t="shared" si="63"/>
        <v>0</v>
      </c>
      <c r="S27" s="109">
        <f>R27</f>
        <v>0</v>
      </c>
      <c r="T27" s="109">
        <f>S27</f>
        <v>0</v>
      </c>
      <c r="U27" s="109">
        <f>T27</f>
        <v>0</v>
      </c>
      <c r="V27" s="109">
        <f>U27</f>
        <v>0</v>
      </c>
      <c r="W27" s="110">
        <f t="shared" si="64"/>
        <v>0</v>
      </c>
      <c r="X27" s="109">
        <f>W27</f>
        <v>0</v>
      </c>
      <c r="Y27" s="109">
        <f>X27</f>
        <v>0</v>
      </c>
      <c r="Z27" s="109">
        <f>Y27</f>
        <v>0</v>
      </c>
      <c r="AA27" s="109">
        <f>Z27</f>
        <v>0</v>
      </c>
      <c r="AB27" s="110">
        <f t="shared" si="65"/>
        <v>0</v>
      </c>
      <c r="AC27" s="109">
        <f>AB27</f>
        <v>0</v>
      </c>
      <c r="AD27" s="109">
        <f>AC27</f>
        <v>0</v>
      </c>
      <c r="AE27" s="109">
        <f>AD27</f>
        <v>0</v>
      </c>
      <c r="AF27" s="109">
        <f>AE27</f>
        <v>0</v>
      </c>
      <c r="AG27" s="110">
        <f t="shared" si="66"/>
        <v>0</v>
      </c>
      <c r="AH27" s="109">
        <f>AG27</f>
        <v>0</v>
      </c>
      <c r="AI27" s="109">
        <f>AH27</f>
        <v>0</v>
      </c>
      <c r="AJ27" s="109">
        <f>AI27</f>
        <v>0</v>
      </c>
      <c r="AK27" s="109"/>
      <c r="AL27" s="110">
        <f t="shared" si="67"/>
        <v>0</v>
      </c>
      <c r="AM27" s="109"/>
      <c r="AN27" s="109"/>
      <c r="AO27" s="109"/>
      <c r="AP27" s="109"/>
      <c r="AQ27" s="110">
        <f t="shared" si="68"/>
        <v>0</v>
      </c>
      <c r="AR27" s="109"/>
      <c r="AS27" s="109"/>
      <c r="AT27" s="109">
        <f t="shared" ref="AT27:AU28" si="71">AS27</f>
        <v>0</v>
      </c>
      <c r="AU27" s="109">
        <f t="shared" si="71"/>
        <v>0</v>
      </c>
      <c r="AV27" s="110">
        <f t="shared" si="69"/>
        <v>0</v>
      </c>
      <c r="AW27" s="109">
        <f t="shared" ref="AW27:AZ28" si="72">AV27</f>
        <v>0</v>
      </c>
      <c r="AX27" s="109">
        <f t="shared" si="72"/>
        <v>0</v>
      </c>
      <c r="AY27" s="109">
        <f t="shared" si="72"/>
        <v>0</v>
      </c>
      <c r="AZ27" s="109">
        <f t="shared" si="72"/>
        <v>0</v>
      </c>
      <c r="BA27" s="110">
        <f t="shared" si="70"/>
        <v>0</v>
      </c>
    </row>
    <row r="28" spans="2:53" x14ac:dyDescent="0.2">
      <c r="B28" s="138"/>
      <c r="C28" s="28" t="s">
        <v>194</v>
      </c>
      <c r="D28" s="109">
        <v>3044</v>
      </c>
      <c r="E28" s="109">
        <v>2417</v>
      </c>
      <c r="F28" s="109">
        <v>3042</v>
      </c>
      <c r="G28" s="109">
        <v>3667</v>
      </c>
      <c r="H28" s="110">
        <f t="shared" si="61"/>
        <v>3667</v>
      </c>
      <c r="I28" s="109">
        <v>4292</v>
      </c>
      <c r="J28" s="109">
        <v>4500</v>
      </c>
      <c r="K28" s="109">
        <v>4499.999960000001</v>
      </c>
      <c r="L28" s="109">
        <v>9.3132257461547854E-13</v>
      </c>
      <c r="M28" s="110">
        <f t="shared" si="62"/>
        <v>9.3132257461547854E-13</v>
      </c>
      <c r="N28" s="109">
        <v>0</v>
      </c>
      <c r="O28" s="109">
        <v>0</v>
      </c>
      <c r="P28" s="109">
        <v>2300</v>
      </c>
      <c r="Q28" s="109">
        <v>2300</v>
      </c>
      <c r="R28" s="110">
        <f t="shared" si="63"/>
        <v>2300</v>
      </c>
      <c r="S28" s="109">
        <v>2300</v>
      </c>
      <c r="T28" s="109">
        <v>2300</v>
      </c>
      <c r="U28" s="109">
        <v>0</v>
      </c>
      <c r="V28" s="109">
        <f>U28</f>
        <v>0</v>
      </c>
      <c r="W28" s="110">
        <f t="shared" si="64"/>
        <v>0</v>
      </c>
      <c r="X28" s="109"/>
      <c r="Y28" s="109">
        <f>X28</f>
        <v>0</v>
      </c>
      <c r="Z28" s="109">
        <f>Y28</f>
        <v>0</v>
      </c>
      <c r="AA28" s="109">
        <f>Z28</f>
        <v>0</v>
      </c>
      <c r="AB28" s="110">
        <f t="shared" si="65"/>
        <v>0</v>
      </c>
      <c r="AC28" s="109"/>
      <c r="AD28" s="109">
        <f>AC28</f>
        <v>0</v>
      </c>
      <c r="AE28" s="109">
        <f>AD28</f>
        <v>0</v>
      </c>
      <c r="AF28" s="109">
        <v>135046</v>
      </c>
      <c r="AG28" s="110">
        <f t="shared" si="66"/>
        <v>135046</v>
      </c>
      <c r="AH28" s="109">
        <v>135033</v>
      </c>
      <c r="AI28" s="109">
        <v>135021</v>
      </c>
      <c r="AJ28" s="109">
        <v>0</v>
      </c>
      <c r="AK28" s="109"/>
      <c r="AL28" s="110">
        <f t="shared" si="67"/>
        <v>0</v>
      </c>
      <c r="AM28" s="109"/>
      <c r="AN28" s="109"/>
      <c r="AO28" s="109"/>
      <c r="AP28" s="109">
        <v>180005</v>
      </c>
      <c r="AQ28" s="110">
        <f t="shared" si="68"/>
        <v>180005</v>
      </c>
      <c r="AR28" s="109"/>
      <c r="AS28" s="109"/>
      <c r="AT28" s="109">
        <f t="shared" si="71"/>
        <v>0</v>
      </c>
      <c r="AU28" s="109">
        <f t="shared" si="71"/>
        <v>0</v>
      </c>
      <c r="AV28" s="110">
        <f t="shared" si="69"/>
        <v>0</v>
      </c>
      <c r="AW28" s="109">
        <f t="shared" si="72"/>
        <v>0</v>
      </c>
      <c r="AX28" s="109">
        <f t="shared" si="72"/>
        <v>0</v>
      </c>
      <c r="AY28" s="109">
        <f t="shared" si="72"/>
        <v>0</v>
      </c>
      <c r="AZ28" s="109">
        <f t="shared" si="72"/>
        <v>0</v>
      </c>
      <c r="BA28" s="110">
        <f t="shared" si="70"/>
        <v>0</v>
      </c>
    </row>
    <row r="29" spans="2:53" x14ac:dyDescent="0.2">
      <c r="B29" s="138"/>
      <c r="C29" s="28" t="s">
        <v>195</v>
      </c>
      <c r="D29" s="109"/>
      <c r="E29" s="109"/>
      <c r="F29" s="109"/>
      <c r="G29" s="109"/>
      <c r="H29" s="110"/>
      <c r="I29" s="109"/>
      <c r="J29" s="109"/>
      <c r="K29" s="109"/>
      <c r="L29" s="109"/>
      <c r="M29" s="110"/>
      <c r="N29" s="109"/>
      <c r="O29" s="109"/>
      <c r="P29" s="109"/>
      <c r="Q29" s="109"/>
      <c r="R29" s="110"/>
      <c r="S29" s="109">
        <v>2485</v>
      </c>
      <c r="T29" s="109">
        <v>4727</v>
      </c>
      <c r="U29" s="109">
        <v>6388</v>
      </c>
      <c r="V29" s="109"/>
      <c r="W29" s="110"/>
      <c r="X29" s="109"/>
      <c r="Y29" s="109"/>
      <c r="Z29" s="109"/>
      <c r="AA29" s="109"/>
      <c r="AB29" s="110"/>
      <c r="AC29" s="109"/>
      <c r="AD29" s="109"/>
      <c r="AE29" s="109"/>
      <c r="AF29" s="109"/>
      <c r="AG29" s="110"/>
      <c r="AH29" s="109"/>
      <c r="AI29" s="109"/>
      <c r="AJ29" s="109"/>
      <c r="AK29" s="109"/>
      <c r="AL29" s="110"/>
      <c r="AM29" s="109"/>
      <c r="AN29" s="109"/>
      <c r="AO29" s="109"/>
      <c r="AP29" s="109"/>
      <c r="AQ29" s="110"/>
      <c r="AR29" s="109"/>
      <c r="AS29" s="109"/>
      <c r="AT29" s="109"/>
      <c r="AU29" s="109"/>
      <c r="AV29" s="110"/>
      <c r="AW29" s="109"/>
      <c r="AX29" s="109"/>
      <c r="AY29" s="109"/>
      <c r="AZ29" s="109"/>
      <c r="BA29" s="110"/>
    </row>
    <row r="30" spans="2:53" x14ac:dyDescent="0.2">
      <c r="B30" s="138"/>
      <c r="C30" s="28" t="s">
        <v>196</v>
      </c>
      <c r="D30" s="109"/>
      <c r="E30" s="109"/>
      <c r="F30" s="109"/>
      <c r="G30" s="109"/>
      <c r="H30" s="110"/>
      <c r="I30" s="109"/>
      <c r="J30" s="109"/>
      <c r="K30" s="109"/>
      <c r="L30" s="109"/>
      <c r="M30" s="110"/>
      <c r="N30" s="109"/>
      <c r="O30" s="109"/>
      <c r="P30" s="109"/>
      <c r="Q30" s="109"/>
      <c r="R30" s="110"/>
      <c r="S30" s="109"/>
      <c r="T30" s="109"/>
      <c r="U30" s="109"/>
      <c r="V30" s="109"/>
      <c r="W30" s="110"/>
      <c r="X30" s="109">
        <v>1132793</v>
      </c>
      <c r="Y30" s="109">
        <v>1133825</v>
      </c>
      <c r="Z30" s="109">
        <v>1134835</v>
      </c>
      <c r="AA30" s="109">
        <v>75097</v>
      </c>
      <c r="AB30" s="110">
        <f t="shared" si="65"/>
        <v>75097</v>
      </c>
      <c r="AC30" s="109"/>
      <c r="AD30" s="109"/>
      <c r="AE30" s="109"/>
      <c r="AF30" s="109"/>
      <c r="AG30" s="110"/>
      <c r="AH30" s="109"/>
      <c r="AI30" s="109"/>
      <c r="AJ30" s="109"/>
      <c r="AK30" s="109"/>
      <c r="AL30" s="110"/>
      <c r="AM30" s="109"/>
      <c r="AN30" s="109">
        <v>33373</v>
      </c>
      <c r="AO30" s="109">
        <v>33397</v>
      </c>
      <c r="AP30" s="109">
        <v>33421</v>
      </c>
      <c r="AQ30" s="110">
        <f t="shared" ref="AQ30:AQ31" si="73">AP30</f>
        <v>33421</v>
      </c>
      <c r="AR30" s="109">
        <v>33446</v>
      </c>
      <c r="AS30" s="109">
        <v>0</v>
      </c>
      <c r="AT30" s="109">
        <f>AS30</f>
        <v>0</v>
      </c>
      <c r="AU30" s="109">
        <f>AT30</f>
        <v>0</v>
      </c>
      <c r="AV30" s="110">
        <f t="shared" ref="AV30" si="74">AU30</f>
        <v>0</v>
      </c>
      <c r="AW30" s="109">
        <f>AV30</f>
        <v>0</v>
      </c>
      <c r="AX30" s="109">
        <f>AW30</f>
        <v>0</v>
      </c>
      <c r="AY30" s="109">
        <f>AX30</f>
        <v>0</v>
      </c>
      <c r="AZ30" s="109">
        <f>AY30</f>
        <v>0</v>
      </c>
      <c r="BA30" s="110">
        <f t="shared" ref="BA30:BA31" si="75">AZ30</f>
        <v>0</v>
      </c>
    </row>
    <row r="31" spans="2:53" x14ac:dyDescent="0.2">
      <c r="B31" s="138"/>
      <c r="C31" s="28" t="s">
        <v>197</v>
      </c>
      <c r="D31" s="109">
        <v>709298</v>
      </c>
      <c r="E31" s="109">
        <v>902871</v>
      </c>
      <c r="F31" s="109">
        <v>786615</v>
      </c>
      <c r="G31" s="109">
        <v>915013</v>
      </c>
      <c r="H31" s="110">
        <f>G31</f>
        <v>915013</v>
      </c>
      <c r="I31" s="109">
        <v>1013736</v>
      </c>
      <c r="J31" s="109">
        <v>1212826</v>
      </c>
      <c r="K31" s="109">
        <v>1179910</v>
      </c>
      <c r="L31" s="109">
        <v>1329309.9741699996</v>
      </c>
      <c r="M31" s="110">
        <f>L31</f>
        <v>1329309.9741699996</v>
      </c>
      <c r="N31" s="109">
        <v>1466491.7674100001</v>
      </c>
      <c r="O31" s="109">
        <v>1491763</v>
      </c>
      <c r="P31" s="109">
        <v>1353552</v>
      </c>
      <c r="Q31" s="109">
        <v>1644250</v>
      </c>
      <c r="R31" s="110">
        <f>Q31</f>
        <v>1644250</v>
      </c>
      <c r="S31" s="109">
        <v>1668903</v>
      </c>
      <c r="T31" s="109">
        <v>2217680</v>
      </c>
      <c r="U31" s="109">
        <v>1929840</v>
      </c>
      <c r="V31" s="109">
        <v>2208598</v>
      </c>
      <c r="W31" s="110">
        <f t="shared" si="64"/>
        <v>2208598</v>
      </c>
      <c r="X31" s="109">
        <v>2432521</v>
      </c>
      <c r="Y31" s="109">
        <v>3380395</v>
      </c>
      <c r="Z31" s="109">
        <v>3043540</v>
      </c>
      <c r="AA31" s="109">
        <v>3142660</v>
      </c>
      <c r="AB31" s="110">
        <f t="shared" si="65"/>
        <v>3142660</v>
      </c>
      <c r="AC31" s="109">
        <v>3121654</v>
      </c>
      <c r="AD31" s="109">
        <v>3474048</v>
      </c>
      <c r="AE31" s="109">
        <v>3106630</v>
      </c>
      <c r="AF31" s="109">
        <v>3355909</v>
      </c>
      <c r="AG31" s="110">
        <f t="shared" ref="AG31" si="76">AF31</f>
        <v>3355909</v>
      </c>
      <c r="AH31" s="109">
        <v>3263528</v>
      </c>
      <c r="AI31" s="109">
        <v>3655435</v>
      </c>
      <c r="AJ31" s="109">
        <v>3510918</v>
      </c>
      <c r="AK31" s="109">
        <v>3704907</v>
      </c>
      <c r="AL31" s="110">
        <f t="shared" ref="AL31" si="77">AK31</f>
        <v>3704907</v>
      </c>
      <c r="AM31" s="109">
        <v>3787171</v>
      </c>
      <c r="AN31" s="109">
        <v>3766541</v>
      </c>
      <c r="AO31" s="109">
        <v>3657218</v>
      </c>
      <c r="AP31" s="109">
        <v>4044470</v>
      </c>
      <c r="AQ31" s="110">
        <f t="shared" si="73"/>
        <v>4044470</v>
      </c>
      <c r="AR31" s="109">
        <v>3974674</v>
      </c>
      <c r="AS31" s="109">
        <v>4032211</v>
      </c>
      <c r="AT31" s="109">
        <f>AT13</f>
        <v>4147751.7000000016</v>
      </c>
      <c r="AU31" s="109">
        <f>AU13</f>
        <v>4218508.8000000007</v>
      </c>
      <c r="AV31" s="110">
        <f t="shared" ref="AV31" si="78">AU31</f>
        <v>4218508.8000000007</v>
      </c>
      <c r="AW31" s="109">
        <f>AW13</f>
        <v>4399114.5000000009</v>
      </c>
      <c r="AX31" s="109">
        <f>AX13</f>
        <v>4676273.25</v>
      </c>
      <c r="AY31" s="109">
        <f>AY13</f>
        <v>4491026.963595001</v>
      </c>
      <c r="AZ31" s="109">
        <f>AZ13</f>
        <v>4759461.4980000006</v>
      </c>
      <c r="BA31" s="110">
        <f t="shared" si="75"/>
        <v>4759461.4980000006</v>
      </c>
    </row>
    <row r="32" spans="2:53" s="20" customFormat="1" x14ac:dyDescent="0.2">
      <c r="B32" s="159" t="s">
        <v>198</v>
      </c>
      <c r="D32" s="183">
        <f t="shared" ref="D32:AI32" si="79">SUM(D23:D31)</f>
        <v>720710</v>
      </c>
      <c r="E32" s="183">
        <f t="shared" si="79"/>
        <v>914941</v>
      </c>
      <c r="F32" s="183">
        <f t="shared" si="79"/>
        <v>798547</v>
      </c>
      <c r="G32" s="183">
        <f t="shared" si="79"/>
        <v>930578</v>
      </c>
      <c r="H32" s="184">
        <f t="shared" si="79"/>
        <v>930578</v>
      </c>
      <c r="I32" s="183">
        <f t="shared" si="79"/>
        <v>1030771</v>
      </c>
      <c r="J32" s="183">
        <f t="shared" si="79"/>
        <v>1235263</v>
      </c>
      <c r="K32" s="183">
        <f t="shared" si="79"/>
        <v>1203896.43845</v>
      </c>
      <c r="L32" s="183">
        <f t="shared" si="79"/>
        <v>1349414.5659599996</v>
      </c>
      <c r="M32" s="184">
        <f t="shared" si="79"/>
        <v>1349414.5659599996</v>
      </c>
      <c r="N32" s="183">
        <f t="shared" si="79"/>
        <v>1488877.5966500002</v>
      </c>
      <c r="O32" s="183">
        <f t="shared" si="79"/>
        <v>1518306</v>
      </c>
      <c r="P32" s="183">
        <f t="shared" si="79"/>
        <v>1386047</v>
      </c>
      <c r="Q32" s="183">
        <f t="shared" si="79"/>
        <v>1676847</v>
      </c>
      <c r="R32" s="184">
        <f t="shared" si="79"/>
        <v>1676847</v>
      </c>
      <c r="S32" s="183">
        <f t="shared" si="79"/>
        <v>1702360</v>
      </c>
      <c r="T32" s="183">
        <f t="shared" si="79"/>
        <v>2256066</v>
      </c>
      <c r="U32" s="183">
        <f t="shared" si="79"/>
        <v>1969832</v>
      </c>
      <c r="V32" s="183">
        <f t="shared" si="79"/>
        <v>2325659</v>
      </c>
      <c r="W32" s="184">
        <f t="shared" si="79"/>
        <v>2325659</v>
      </c>
      <c r="X32" s="183">
        <f t="shared" si="79"/>
        <v>3697256</v>
      </c>
      <c r="Y32" s="183">
        <f t="shared" si="79"/>
        <v>4665201</v>
      </c>
      <c r="Z32" s="183">
        <f t="shared" si="79"/>
        <v>4391783</v>
      </c>
      <c r="AA32" s="183">
        <f t="shared" si="79"/>
        <v>3408657</v>
      </c>
      <c r="AB32" s="184">
        <f t="shared" si="79"/>
        <v>3408657</v>
      </c>
      <c r="AC32" s="183">
        <f t="shared" si="79"/>
        <v>3326018</v>
      </c>
      <c r="AD32" s="183">
        <f t="shared" si="79"/>
        <v>3731240</v>
      </c>
      <c r="AE32" s="183">
        <f t="shared" si="79"/>
        <v>3335731</v>
      </c>
      <c r="AF32" s="183">
        <f t="shared" si="79"/>
        <v>3753436</v>
      </c>
      <c r="AG32" s="184">
        <f t="shared" si="79"/>
        <v>3753436</v>
      </c>
      <c r="AH32" s="183">
        <f t="shared" si="79"/>
        <v>3700503</v>
      </c>
      <c r="AI32" s="183">
        <f t="shared" si="79"/>
        <v>4118192</v>
      </c>
      <c r="AJ32" s="183">
        <f t="shared" ref="AJ32:BA32" si="80">SUM(AJ23:AJ31)</f>
        <v>3826511</v>
      </c>
      <c r="AK32" s="183">
        <f t="shared" si="80"/>
        <v>4063024</v>
      </c>
      <c r="AL32" s="184">
        <f t="shared" si="80"/>
        <v>4063024</v>
      </c>
      <c r="AM32" s="183">
        <f t="shared" si="80"/>
        <v>4055714</v>
      </c>
      <c r="AN32" s="183">
        <f t="shared" si="80"/>
        <v>4122209</v>
      </c>
      <c r="AO32" s="183">
        <f t="shared" si="80"/>
        <v>4017576</v>
      </c>
      <c r="AP32" s="183">
        <f t="shared" si="80"/>
        <v>4588660</v>
      </c>
      <c r="AQ32" s="184">
        <f t="shared" si="80"/>
        <v>4588660</v>
      </c>
      <c r="AR32" s="183">
        <f t="shared" si="80"/>
        <v>4378256</v>
      </c>
      <c r="AS32" s="183">
        <f t="shared" ref="AS32" si="81">SUM(AS23:AS31)</f>
        <v>4430240</v>
      </c>
      <c r="AT32" s="183">
        <f t="shared" si="80"/>
        <v>4486153.3234901614</v>
      </c>
      <c r="AU32" s="183">
        <f t="shared" si="80"/>
        <v>4586028.5057448577</v>
      </c>
      <c r="AV32" s="184">
        <f t="shared" si="80"/>
        <v>4586028.5057448577</v>
      </c>
      <c r="AW32" s="183">
        <f t="shared" si="80"/>
        <v>4768065.1932200063</v>
      </c>
      <c r="AX32" s="183">
        <f t="shared" si="80"/>
        <v>5065460.9413520107</v>
      </c>
      <c r="AY32" s="183">
        <f t="shared" si="80"/>
        <v>4868656.4300642069</v>
      </c>
      <c r="AZ32" s="183">
        <f t="shared" si="80"/>
        <v>5172438.3935505887</v>
      </c>
      <c r="BA32" s="184">
        <f t="shared" si="80"/>
        <v>5172438.3935505887</v>
      </c>
    </row>
    <row r="33" spans="2:53" x14ac:dyDescent="0.2">
      <c r="B33" s="138"/>
      <c r="C33" s="28" t="s">
        <v>199</v>
      </c>
      <c r="D33" s="109">
        <v>1760</v>
      </c>
      <c r="E33" s="109">
        <v>1514</v>
      </c>
      <c r="F33" s="109">
        <v>1195.1716999999999</v>
      </c>
      <c r="G33" s="109">
        <v>1931</v>
      </c>
      <c r="H33" s="110">
        <f>G33</f>
        <v>1931</v>
      </c>
      <c r="I33" s="109">
        <v>2249</v>
      </c>
      <c r="J33" s="109">
        <v>1841</v>
      </c>
      <c r="K33" s="109">
        <v>2130.7668200000003</v>
      </c>
      <c r="L33" s="109">
        <v>1785.5676800000001</v>
      </c>
      <c r="M33" s="110">
        <f>L33</f>
        <v>1785.5676800000001</v>
      </c>
      <c r="N33" s="109">
        <v>1541.64168</v>
      </c>
      <c r="O33" s="109">
        <v>2091</v>
      </c>
      <c r="P33" s="109">
        <v>2098</v>
      </c>
      <c r="Q33" s="109">
        <v>2622</v>
      </c>
      <c r="R33" s="110">
        <f>Q33</f>
        <v>2622</v>
      </c>
      <c r="S33" s="109">
        <v>2785</v>
      </c>
      <c r="T33" s="109">
        <v>3166</v>
      </c>
      <c r="U33" s="109">
        <v>3066</v>
      </c>
      <c r="V33" s="109">
        <v>3728</v>
      </c>
      <c r="W33" s="110">
        <f>V33</f>
        <v>3728</v>
      </c>
      <c r="X33" s="109">
        <v>2640</v>
      </c>
      <c r="Y33" s="109">
        <v>2322</v>
      </c>
      <c r="Z33" s="109"/>
      <c r="AA33" s="109">
        <v>2159</v>
      </c>
      <c r="AB33" s="110">
        <f>AA33</f>
        <v>2159</v>
      </c>
      <c r="AC33" s="109">
        <v>2323</v>
      </c>
      <c r="AD33" s="109">
        <v>2013</v>
      </c>
      <c r="AE33" s="109">
        <v>1257</v>
      </c>
      <c r="AF33" s="109">
        <v>410</v>
      </c>
      <c r="AG33" s="110">
        <f>AF33</f>
        <v>410</v>
      </c>
      <c r="AH33" s="109">
        <v>4800</v>
      </c>
      <c r="AI33" s="109">
        <v>4174</v>
      </c>
      <c r="AJ33" s="109">
        <v>4156</v>
      </c>
      <c r="AK33" s="109">
        <v>4167</v>
      </c>
      <c r="AL33" s="110">
        <f>AK33</f>
        <v>4167</v>
      </c>
      <c r="AM33" s="109">
        <v>100</v>
      </c>
      <c r="AN33" s="109">
        <v>202</v>
      </c>
      <c r="AO33" s="109">
        <v>245</v>
      </c>
      <c r="AP33" s="109">
        <v>285</v>
      </c>
      <c r="AQ33" s="110">
        <f>AP33</f>
        <v>285</v>
      </c>
      <c r="AR33" s="109">
        <v>346</v>
      </c>
      <c r="AS33" s="109">
        <v>424</v>
      </c>
      <c r="AT33" s="109">
        <f>AT72*IS!AT$17</f>
        <v>4028.5907558352374</v>
      </c>
      <c r="AU33" s="109">
        <f>AU72*IS!AU$17</f>
        <v>4298.4760905831217</v>
      </c>
      <c r="AV33" s="110">
        <f>AU33</f>
        <v>4298.4760905831217</v>
      </c>
      <c r="AW33" s="109">
        <f>AW72*IS!AW$17</f>
        <v>4392.2701573810182</v>
      </c>
      <c r="AX33" s="109">
        <f>AX72*IS!AX$17</f>
        <v>4551.9028228305342</v>
      </c>
      <c r="AY33" s="109">
        <f>AY72*IS!AY$17</f>
        <v>4495.5888865381621</v>
      </c>
      <c r="AZ33" s="109">
        <f>AZ72*IS!AZ$17</f>
        <v>4830.1391292466478</v>
      </c>
      <c r="BA33" s="110">
        <f>AZ33</f>
        <v>4830.1391292466478</v>
      </c>
    </row>
    <row r="34" spans="2:53" x14ac:dyDescent="0.2">
      <c r="B34" s="138"/>
      <c r="C34" s="28" t="s">
        <v>195</v>
      </c>
      <c r="D34" s="109"/>
      <c r="E34" s="109"/>
      <c r="F34" s="109"/>
      <c r="G34" s="109"/>
      <c r="H34" s="110"/>
      <c r="I34" s="109"/>
      <c r="J34" s="109"/>
      <c r="K34" s="109"/>
      <c r="L34" s="109"/>
      <c r="M34" s="110"/>
      <c r="N34" s="109"/>
      <c r="O34" s="109"/>
      <c r="P34" s="109"/>
      <c r="Q34" s="109"/>
      <c r="R34" s="110"/>
      <c r="S34" s="109">
        <v>52934</v>
      </c>
      <c r="T34" s="109">
        <v>54141</v>
      </c>
      <c r="U34" s="109">
        <v>53644</v>
      </c>
      <c r="V34" s="109">
        <v>86639</v>
      </c>
      <c r="W34" s="110">
        <f t="shared" ref="W34:W35" si="82">V34</f>
        <v>86639</v>
      </c>
      <c r="X34" s="109">
        <v>85722</v>
      </c>
      <c r="Y34" s="109">
        <v>83547</v>
      </c>
      <c r="Z34" s="109">
        <v>84931</v>
      </c>
      <c r="AA34" s="109">
        <v>82728</v>
      </c>
      <c r="AB34" s="110">
        <f t="shared" ref="AB34:AB35" si="83">AA34</f>
        <v>82728</v>
      </c>
      <c r="AC34" s="109">
        <v>80440</v>
      </c>
      <c r="AD34" s="109">
        <v>78207</v>
      </c>
      <c r="AE34" s="109">
        <v>75631</v>
      </c>
      <c r="AF34" s="111">
        <v>72477</v>
      </c>
      <c r="AG34" s="311">
        <f>AF34</f>
        <v>72477</v>
      </c>
      <c r="AH34" s="111">
        <v>69969</v>
      </c>
      <c r="AI34" s="111">
        <v>67725</v>
      </c>
      <c r="AJ34" s="111">
        <v>65023</v>
      </c>
      <c r="AK34" s="111">
        <v>62847</v>
      </c>
      <c r="AL34" s="311">
        <f>AK34</f>
        <v>62847</v>
      </c>
      <c r="AM34" s="111">
        <v>60571</v>
      </c>
      <c r="AN34" s="111">
        <v>63400</v>
      </c>
      <c r="AO34" s="111">
        <v>60694</v>
      </c>
      <c r="AP34" s="111">
        <v>58372</v>
      </c>
      <c r="AQ34" s="311">
        <f>AP34</f>
        <v>58372</v>
      </c>
      <c r="AR34" s="111">
        <v>55947</v>
      </c>
      <c r="AS34" s="111">
        <v>53490</v>
      </c>
      <c r="AT34" s="111">
        <f t="shared" ref="AT34:AT36" si="84">AS34</f>
        <v>53490</v>
      </c>
      <c r="AU34" s="111">
        <f t="shared" ref="AU34:AU36" si="85">AT34</f>
        <v>53490</v>
      </c>
      <c r="AV34" s="311">
        <f>AU34</f>
        <v>53490</v>
      </c>
      <c r="AW34" s="111">
        <f t="shared" ref="AW34:AW36" si="86">AV34</f>
        <v>53490</v>
      </c>
      <c r="AX34" s="111">
        <f t="shared" ref="AX34:AX36" si="87">AW34</f>
        <v>53490</v>
      </c>
      <c r="AY34" s="111">
        <f t="shared" ref="AY34:AY36" si="88">AX34</f>
        <v>53490</v>
      </c>
      <c r="AZ34" s="111">
        <f t="shared" ref="AZ34:AZ36" si="89">AY34</f>
        <v>53490</v>
      </c>
      <c r="BA34" s="311">
        <f>AZ34</f>
        <v>53490</v>
      </c>
    </row>
    <row r="35" spans="2:53" x14ac:dyDescent="0.2">
      <c r="B35" s="138"/>
      <c r="C35" s="28" t="s">
        <v>200</v>
      </c>
      <c r="D35" s="109"/>
      <c r="E35" s="109"/>
      <c r="F35" s="109"/>
      <c r="G35" s="109"/>
      <c r="H35" s="110"/>
      <c r="I35" s="109"/>
      <c r="J35" s="109"/>
      <c r="K35" s="109"/>
      <c r="L35" s="109"/>
      <c r="M35" s="110"/>
      <c r="N35" s="109"/>
      <c r="O35" s="109"/>
      <c r="P35" s="109"/>
      <c r="Q35" s="109"/>
      <c r="R35" s="110"/>
      <c r="S35" s="109"/>
      <c r="T35" s="109"/>
      <c r="U35" s="109"/>
      <c r="V35" s="109">
        <v>79534</v>
      </c>
      <c r="W35" s="110">
        <f t="shared" si="82"/>
        <v>79534</v>
      </c>
      <c r="X35" s="109">
        <v>79014</v>
      </c>
      <c r="Y35" s="109">
        <v>78713</v>
      </c>
      <c r="Z35" s="109">
        <v>48071</v>
      </c>
      <c r="AA35" s="109">
        <v>0</v>
      </c>
      <c r="AB35" s="110">
        <f t="shared" si="83"/>
        <v>0</v>
      </c>
      <c r="AC35" s="109">
        <v>75083</v>
      </c>
      <c r="AD35" s="109">
        <v>112570</v>
      </c>
      <c r="AE35" s="109">
        <v>135058</v>
      </c>
      <c r="AF35" s="111">
        <v>0</v>
      </c>
      <c r="AG35" s="311">
        <f>AF35</f>
        <v>0</v>
      </c>
      <c r="AH35" s="111">
        <f t="shared" ref="AH35:AI35" si="90">AG35</f>
        <v>0</v>
      </c>
      <c r="AI35" s="111">
        <f t="shared" si="90"/>
        <v>0</v>
      </c>
      <c r="AJ35" s="111">
        <v>180011</v>
      </c>
      <c r="AK35" s="111">
        <v>180009</v>
      </c>
      <c r="AL35" s="311">
        <f>AK35</f>
        <v>180009</v>
      </c>
      <c r="AM35" s="111">
        <v>180008</v>
      </c>
      <c r="AN35" s="111">
        <v>180007</v>
      </c>
      <c r="AO35" s="111">
        <v>180006</v>
      </c>
      <c r="AP35" s="111">
        <v>0</v>
      </c>
      <c r="AQ35" s="311">
        <f>AP35</f>
        <v>0</v>
      </c>
      <c r="AR35" s="111">
        <v>330003</v>
      </c>
      <c r="AS35" s="111">
        <v>330000</v>
      </c>
      <c r="AT35" s="111">
        <f t="shared" si="84"/>
        <v>330000</v>
      </c>
      <c r="AU35" s="111">
        <f t="shared" si="85"/>
        <v>330000</v>
      </c>
      <c r="AV35" s="311">
        <f>AU35</f>
        <v>330000</v>
      </c>
      <c r="AW35" s="111">
        <f t="shared" si="86"/>
        <v>330000</v>
      </c>
      <c r="AX35" s="111">
        <f t="shared" si="87"/>
        <v>330000</v>
      </c>
      <c r="AY35" s="111">
        <f t="shared" si="88"/>
        <v>330000</v>
      </c>
      <c r="AZ35" s="111">
        <f t="shared" si="89"/>
        <v>330000</v>
      </c>
      <c r="BA35" s="311">
        <f>AZ35</f>
        <v>330000</v>
      </c>
    </row>
    <row r="36" spans="2:53" x14ac:dyDescent="0.2">
      <c r="B36" s="138"/>
      <c r="C36" s="28" t="s">
        <v>201</v>
      </c>
      <c r="D36" s="109">
        <v>127</v>
      </c>
      <c r="E36" s="109">
        <v>7083</v>
      </c>
      <c r="F36" s="109">
        <v>6458.3332700000001</v>
      </c>
      <c r="G36" s="109">
        <v>5833</v>
      </c>
      <c r="H36" s="110">
        <f>G36</f>
        <v>5833</v>
      </c>
      <c r="I36" s="109">
        <v>5208</v>
      </c>
      <c r="J36" s="109">
        <v>4583</v>
      </c>
      <c r="K36" s="109">
        <v>4166.6667200000002</v>
      </c>
      <c r="L36" s="109">
        <v>-4.6566128730773927E-13</v>
      </c>
      <c r="M36" s="110">
        <f>L36</f>
        <v>-4.6566128730773927E-13</v>
      </c>
      <c r="N36" s="109">
        <v>0</v>
      </c>
      <c r="O36" s="109">
        <f t="shared" ref="O36:AB37" si="91">N36</f>
        <v>0</v>
      </c>
      <c r="P36" s="109">
        <f t="shared" si="91"/>
        <v>0</v>
      </c>
      <c r="Q36" s="109">
        <f t="shared" si="91"/>
        <v>0</v>
      </c>
      <c r="R36" s="110">
        <f t="shared" si="91"/>
        <v>0</v>
      </c>
      <c r="S36" s="109">
        <f t="shared" si="91"/>
        <v>0</v>
      </c>
      <c r="T36" s="109">
        <v>886052</v>
      </c>
      <c r="U36" s="109">
        <v>897871</v>
      </c>
      <c r="V36" s="109">
        <v>909847</v>
      </c>
      <c r="W36" s="110">
        <f t="shared" si="91"/>
        <v>909847</v>
      </c>
      <c r="X36" s="109">
        <v>560113</v>
      </c>
      <c r="Y36" s="109">
        <v>560788</v>
      </c>
      <c r="Z36" s="109">
        <v>561457</v>
      </c>
      <c r="AA36" s="109">
        <v>1697985</v>
      </c>
      <c r="AB36" s="110">
        <f t="shared" si="91"/>
        <v>1697985</v>
      </c>
      <c r="AC36" s="109">
        <v>1699690</v>
      </c>
      <c r="AD36" s="109">
        <v>1701397</v>
      </c>
      <c r="AE36" s="109">
        <v>1703083</v>
      </c>
      <c r="AF36" s="111">
        <v>1704782</v>
      </c>
      <c r="AG36" s="110">
        <f t="shared" ref="AG36:AG37" si="92">AF36</f>
        <v>1704782</v>
      </c>
      <c r="AH36" s="109">
        <v>1706494</v>
      </c>
      <c r="AI36" s="109">
        <v>1708208</v>
      </c>
      <c r="AJ36" s="109">
        <v>966242</v>
      </c>
      <c r="AK36" s="111">
        <v>733991</v>
      </c>
      <c r="AL36" s="110">
        <f t="shared" ref="AL36:AL37" si="93">AK36</f>
        <v>733991</v>
      </c>
      <c r="AM36" s="109">
        <v>734814</v>
      </c>
      <c r="AN36" s="109">
        <v>1498490</v>
      </c>
      <c r="AO36" s="109">
        <v>1499780</v>
      </c>
      <c r="AP36" s="111">
        <v>1501044</v>
      </c>
      <c r="AQ36" s="110">
        <f t="shared" ref="AQ36:AQ37" si="94">AP36</f>
        <v>1501044</v>
      </c>
      <c r="AR36" s="109">
        <v>1502321</v>
      </c>
      <c r="AS36" s="109">
        <v>1503600</v>
      </c>
      <c r="AT36" s="109">
        <f t="shared" si="84"/>
        <v>1503600</v>
      </c>
      <c r="AU36" s="109">
        <f t="shared" si="85"/>
        <v>1503600</v>
      </c>
      <c r="AV36" s="110">
        <f t="shared" ref="AV36:AV37" si="95">AU36</f>
        <v>1503600</v>
      </c>
      <c r="AW36" s="109">
        <f t="shared" si="86"/>
        <v>1503600</v>
      </c>
      <c r="AX36" s="109">
        <f t="shared" si="87"/>
        <v>1503600</v>
      </c>
      <c r="AY36" s="109">
        <f t="shared" si="88"/>
        <v>1503600</v>
      </c>
      <c r="AZ36" s="109">
        <f t="shared" si="89"/>
        <v>1503600</v>
      </c>
      <c r="BA36" s="110">
        <f t="shared" ref="BA36:BA37" si="96">AZ36</f>
        <v>1503600</v>
      </c>
    </row>
    <row r="37" spans="2:53" x14ac:dyDescent="0.2">
      <c r="B37" s="138"/>
      <c r="C37" s="28" t="s">
        <v>202</v>
      </c>
      <c r="D37" s="109"/>
      <c r="E37" s="109"/>
      <c r="F37" s="109"/>
      <c r="G37" s="109"/>
      <c r="H37" s="110"/>
      <c r="I37" s="109"/>
      <c r="J37" s="109"/>
      <c r="K37" s="109"/>
      <c r="L37" s="109"/>
      <c r="M37" s="110"/>
      <c r="N37" s="109"/>
      <c r="O37" s="109"/>
      <c r="P37" s="109"/>
      <c r="Q37" s="109"/>
      <c r="R37" s="110"/>
      <c r="S37" s="109"/>
      <c r="T37" s="109">
        <v>1832</v>
      </c>
      <c r="U37" s="109">
        <v>1832</v>
      </c>
      <c r="V37" s="109">
        <v>9090</v>
      </c>
      <c r="W37" s="110">
        <f t="shared" si="91"/>
        <v>9090</v>
      </c>
      <c r="X37" s="109">
        <v>3877</v>
      </c>
      <c r="Y37" s="109"/>
      <c r="Z37" s="109"/>
      <c r="AA37" s="109"/>
      <c r="AB37" s="110">
        <f t="shared" si="91"/>
        <v>0</v>
      </c>
      <c r="AC37" s="109"/>
      <c r="AD37" s="109"/>
      <c r="AE37" s="109"/>
      <c r="AF37" s="109"/>
      <c r="AG37" s="110">
        <f t="shared" si="92"/>
        <v>0</v>
      </c>
      <c r="AH37" s="109"/>
      <c r="AI37" s="109"/>
      <c r="AJ37" s="109"/>
      <c r="AK37" s="109"/>
      <c r="AL37" s="110">
        <f t="shared" si="93"/>
        <v>0</v>
      </c>
      <c r="AM37" s="109"/>
      <c r="AN37" s="109"/>
      <c r="AO37" s="109"/>
      <c r="AP37" s="109"/>
      <c r="AQ37" s="110">
        <f t="shared" si="94"/>
        <v>0</v>
      </c>
      <c r="AR37" s="109"/>
      <c r="AS37" s="109"/>
      <c r="AT37" s="109"/>
      <c r="AU37" s="109"/>
      <c r="AV37" s="110">
        <f t="shared" si="95"/>
        <v>0</v>
      </c>
      <c r="AW37" s="109"/>
      <c r="AX37" s="109"/>
      <c r="AY37" s="109"/>
      <c r="AZ37" s="109"/>
      <c r="BA37" s="110">
        <f t="shared" si="96"/>
        <v>0</v>
      </c>
    </row>
    <row r="38" spans="2:53" x14ac:dyDescent="0.2">
      <c r="B38" s="138"/>
      <c r="C38" s="28" t="s">
        <v>203</v>
      </c>
      <c r="D38" s="109">
        <v>420</v>
      </c>
      <c r="E38" s="109">
        <v>392</v>
      </c>
      <c r="F38" s="109">
        <v>334.67993000000001</v>
      </c>
      <c r="G38" s="109">
        <v>1698</v>
      </c>
      <c r="H38" s="110">
        <f>G38</f>
        <v>1698</v>
      </c>
      <c r="I38" s="109">
        <v>1404</v>
      </c>
      <c r="J38" s="109">
        <v>1254</v>
      </c>
      <c r="K38" s="109">
        <v>1023.3871</v>
      </c>
      <c r="L38" s="109">
        <v>1446.7352700000001</v>
      </c>
      <c r="M38" s="110">
        <f>L38</f>
        <v>1446.7352700000001</v>
      </c>
      <c r="N38" s="109">
        <v>1412.2347799999998</v>
      </c>
      <c r="O38" s="109">
        <v>1375</v>
      </c>
      <c r="P38" s="109">
        <v>11745</v>
      </c>
      <c r="Q38" s="109">
        <v>13827</v>
      </c>
      <c r="R38" s="110">
        <f>Q38</f>
        <v>13827</v>
      </c>
      <c r="S38" s="109">
        <v>2361</v>
      </c>
      <c r="T38" s="109">
        <v>4412</v>
      </c>
      <c r="U38" s="109">
        <v>3459</v>
      </c>
      <c r="V38" s="109">
        <v>25888</v>
      </c>
      <c r="W38" s="110">
        <f>V38</f>
        <v>25888</v>
      </c>
      <c r="X38" s="109">
        <v>26372</v>
      </c>
      <c r="Y38" s="109">
        <v>27060</v>
      </c>
      <c r="Z38" s="109">
        <v>29278</v>
      </c>
      <c r="AA38" s="109">
        <v>20803</v>
      </c>
      <c r="AB38" s="110">
        <f>AA38</f>
        <v>20803</v>
      </c>
      <c r="AC38" s="109">
        <v>22014</v>
      </c>
      <c r="AD38" s="109">
        <v>28970</v>
      </c>
      <c r="AE38" s="109">
        <v>26058</v>
      </c>
      <c r="AF38" s="109">
        <v>18944</v>
      </c>
      <c r="AG38" s="110">
        <f>AF38</f>
        <v>18944</v>
      </c>
      <c r="AH38" s="109">
        <v>20504</v>
      </c>
      <c r="AI38" s="109">
        <v>22267</v>
      </c>
      <c r="AJ38" s="109">
        <v>21582</v>
      </c>
      <c r="AK38" s="109">
        <v>574</v>
      </c>
      <c r="AL38" s="110">
        <f>AK38</f>
        <v>574</v>
      </c>
      <c r="AM38" s="109">
        <v>609</v>
      </c>
      <c r="AN38" s="109">
        <v>504</v>
      </c>
      <c r="AO38" s="109">
        <v>3874</v>
      </c>
      <c r="AP38" s="109">
        <v>1581</v>
      </c>
      <c r="AQ38" s="110">
        <f>AP38</f>
        <v>1581</v>
      </c>
      <c r="AR38" s="109">
        <v>1661</v>
      </c>
      <c r="AS38" s="109">
        <v>1871</v>
      </c>
      <c r="AT38" s="109">
        <f>AT73*IS!AT$17</f>
        <v>8057.1815116704747</v>
      </c>
      <c r="AU38" s="109">
        <f>AU73*IS!AU$17</f>
        <v>8596.9521811662435</v>
      </c>
      <c r="AV38" s="110">
        <f>AU38</f>
        <v>8596.9521811662435</v>
      </c>
      <c r="AW38" s="109">
        <f>AW73*IS!AW$17</f>
        <v>8784.5403147620364</v>
      </c>
      <c r="AX38" s="109">
        <f>AX73*IS!AX$17</f>
        <v>9103.8056456610684</v>
      </c>
      <c r="AY38" s="109">
        <f>AY73*IS!AY$17</f>
        <v>8991.1777730763242</v>
      </c>
      <c r="AZ38" s="109">
        <f>AZ73*IS!AZ$17</f>
        <v>9660.2782584932957</v>
      </c>
      <c r="BA38" s="110">
        <f>AZ38</f>
        <v>9660.2782584932957</v>
      </c>
    </row>
    <row r="39" spans="2:53" s="20" customFormat="1" x14ac:dyDescent="0.2">
      <c r="B39" s="159" t="s">
        <v>204</v>
      </c>
      <c r="D39" s="183">
        <f t="shared" ref="D39:AH39" si="97">D32+SUM(D33:D38)</f>
        <v>723017</v>
      </c>
      <c r="E39" s="183">
        <f t="shared" si="97"/>
        <v>923930</v>
      </c>
      <c r="F39" s="183">
        <f t="shared" si="97"/>
        <v>806535.18489999999</v>
      </c>
      <c r="G39" s="183">
        <f t="shared" si="97"/>
        <v>940040</v>
      </c>
      <c r="H39" s="184">
        <f t="shared" si="97"/>
        <v>940040</v>
      </c>
      <c r="I39" s="183">
        <f t="shared" si="97"/>
        <v>1039632</v>
      </c>
      <c r="J39" s="183">
        <f t="shared" si="97"/>
        <v>1242941</v>
      </c>
      <c r="K39" s="183">
        <f t="shared" si="97"/>
        <v>1211217.2590900001</v>
      </c>
      <c r="L39" s="183">
        <f t="shared" si="97"/>
        <v>1352646.8689099995</v>
      </c>
      <c r="M39" s="184">
        <f t="shared" si="97"/>
        <v>1352646.8689099995</v>
      </c>
      <c r="N39" s="183">
        <f t="shared" si="97"/>
        <v>1491831.4731100001</v>
      </c>
      <c r="O39" s="183">
        <f t="shared" si="97"/>
        <v>1521772</v>
      </c>
      <c r="P39" s="183">
        <f t="shared" si="97"/>
        <v>1399890</v>
      </c>
      <c r="Q39" s="183">
        <f t="shared" si="97"/>
        <v>1693296</v>
      </c>
      <c r="R39" s="184">
        <f t="shared" si="97"/>
        <v>1693296</v>
      </c>
      <c r="S39" s="183">
        <f t="shared" si="97"/>
        <v>1760440</v>
      </c>
      <c r="T39" s="183">
        <f t="shared" si="97"/>
        <v>3205669</v>
      </c>
      <c r="U39" s="183">
        <f t="shared" si="97"/>
        <v>2929704</v>
      </c>
      <c r="V39" s="183">
        <f t="shared" si="97"/>
        <v>3440385</v>
      </c>
      <c r="W39" s="184">
        <f t="shared" si="97"/>
        <v>3440385</v>
      </c>
      <c r="X39" s="183">
        <f t="shared" si="97"/>
        <v>4454994</v>
      </c>
      <c r="Y39" s="183">
        <f t="shared" si="97"/>
        <v>5417631</v>
      </c>
      <c r="Z39" s="183">
        <f t="shared" si="97"/>
        <v>5115520</v>
      </c>
      <c r="AA39" s="183">
        <f t="shared" si="97"/>
        <v>5212332</v>
      </c>
      <c r="AB39" s="184">
        <f t="shared" si="97"/>
        <v>5212332</v>
      </c>
      <c r="AC39" s="183">
        <f t="shared" si="97"/>
        <v>5205568</v>
      </c>
      <c r="AD39" s="183">
        <f t="shared" si="97"/>
        <v>5654397</v>
      </c>
      <c r="AE39" s="183">
        <f t="shared" si="97"/>
        <v>5276818</v>
      </c>
      <c r="AF39" s="183">
        <f t="shared" si="97"/>
        <v>5550049</v>
      </c>
      <c r="AG39" s="184">
        <f t="shared" si="97"/>
        <v>5550049</v>
      </c>
      <c r="AH39" s="183">
        <f t="shared" si="97"/>
        <v>5502270</v>
      </c>
      <c r="AI39" s="183">
        <f t="shared" ref="AI39" si="98">AI32+SUM(AI33:AI38)</f>
        <v>5920566</v>
      </c>
      <c r="AJ39" s="183">
        <f t="shared" ref="AJ39:AN39" si="99">AJ32+SUM(AJ33:AJ38)</f>
        <v>5063525</v>
      </c>
      <c r="AK39" s="183">
        <f t="shared" si="99"/>
        <v>5044612</v>
      </c>
      <c r="AL39" s="184">
        <f t="shared" si="99"/>
        <v>5044612</v>
      </c>
      <c r="AM39" s="183">
        <f t="shared" si="99"/>
        <v>5031816</v>
      </c>
      <c r="AN39" s="183">
        <f t="shared" si="99"/>
        <v>5864812</v>
      </c>
      <c r="AO39" s="183">
        <f t="shared" ref="AO39:AP39" si="100">AO32+SUM(AO33:AO38)</f>
        <v>5762175</v>
      </c>
      <c r="AP39" s="183">
        <f t="shared" si="100"/>
        <v>6149942</v>
      </c>
      <c r="AQ39" s="184">
        <f t="shared" ref="AQ39:AS39" si="101">AQ32+SUM(AQ33:AQ38)</f>
        <v>6149942</v>
      </c>
      <c r="AR39" s="183">
        <f t="shared" si="101"/>
        <v>6268534</v>
      </c>
      <c r="AS39" s="183">
        <f t="shared" si="101"/>
        <v>6319625</v>
      </c>
      <c r="AT39" s="183">
        <f t="shared" ref="AT39:AX39" si="102">AT32+SUM(AT33:AT38)</f>
        <v>6385329.095757667</v>
      </c>
      <c r="AU39" s="183">
        <f t="shared" si="102"/>
        <v>6486013.9340166068</v>
      </c>
      <c r="AV39" s="184">
        <f t="shared" si="102"/>
        <v>6486013.9340166068</v>
      </c>
      <c r="AW39" s="183">
        <f t="shared" si="102"/>
        <v>6668332.0036921492</v>
      </c>
      <c r="AX39" s="183">
        <f t="shared" si="102"/>
        <v>6966206.6498205019</v>
      </c>
      <c r="AY39" s="183">
        <f t="shared" ref="AY39:BA39" si="103">AY32+SUM(AY33:AY38)</f>
        <v>6769233.1967238216</v>
      </c>
      <c r="AZ39" s="183">
        <f t="shared" si="103"/>
        <v>7074018.8109383285</v>
      </c>
      <c r="BA39" s="184">
        <f t="shared" si="103"/>
        <v>7074018.8109383285</v>
      </c>
    </row>
    <row r="40" spans="2:53" s="20" customFormat="1" hidden="1" x14ac:dyDescent="0.2">
      <c r="B40" s="159"/>
      <c r="D40" s="183"/>
      <c r="E40" s="183"/>
      <c r="F40" s="183"/>
      <c r="G40" s="183"/>
      <c r="H40" s="184"/>
      <c r="I40" s="183"/>
      <c r="J40" s="183"/>
      <c r="K40" s="183"/>
      <c r="L40" s="183"/>
      <c r="M40" s="184"/>
      <c r="N40" s="183"/>
      <c r="O40" s="183"/>
      <c r="P40" s="183"/>
      <c r="Q40" s="183"/>
      <c r="R40" s="184"/>
      <c r="S40" s="183"/>
      <c r="T40" s="183"/>
      <c r="U40" s="183"/>
      <c r="V40" s="183"/>
      <c r="W40" s="184"/>
      <c r="X40" s="183"/>
      <c r="Y40" s="183"/>
      <c r="Z40" s="183"/>
      <c r="AA40" s="183"/>
      <c r="AB40" s="184"/>
      <c r="AC40" s="183"/>
      <c r="AD40" s="183"/>
      <c r="AE40" s="183"/>
      <c r="AF40" s="183"/>
      <c r="AG40" s="184"/>
      <c r="AH40" s="183"/>
      <c r="AI40" s="183"/>
      <c r="AJ40" s="183"/>
      <c r="AK40" s="183"/>
      <c r="AL40" s="184"/>
      <c r="AM40" s="183"/>
      <c r="AN40" s="183"/>
      <c r="AO40" s="183"/>
      <c r="AP40" s="183"/>
      <c r="AQ40" s="184"/>
      <c r="AR40" s="183"/>
      <c r="AS40" s="183"/>
      <c r="AT40" s="183"/>
      <c r="AU40" s="183"/>
      <c r="AV40" s="184"/>
      <c r="AW40" s="183"/>
      <c r="AX40" s="183"/>
      <c r="AY40" s="183"/>
      <c r="AZ40" s="183"/>
      <c r="BA40" s="184"/>
    </row>
    <row r="41" spans="2:53" hidden="1" x14ac:dyDescent="0.2">
      <c r="B41" s="138"/>
      <c r="C41" s="28" t="s">
        <v>205</v>
      </c>
      <c r="D41" s="109">
        <v>188702</v>
      </c>
      <c r="E41" s="109">
        <v>191150</v>
      </c>
      <c r="F41" s="109">
        <v>191147</v>
      </c>
      <c r="G41" s="109">
        <v>191146.57564999998</v>
      </c>
      <c r="H41" s="110">
        <f>G41</f>
        <v>191146.57564999998</v>
      </c>
      <c r="I41" s="109">
        <v>191147</v>
      </c>
      <c r="J41" s="109">
        <v>258248.26598999996</v>
      </c>
      <c r="K41" s="109">
        <v>276293.21188999998</v>
      </c>
      <c r="L41" s="109">
        <v>276307.08989</v>
      </c>
      <c r="M41" s="110">
        <f t="shared" ref="M41:AG41" si="104">L41</f>
        <v>276307.08989</v>
      </c>
      <c r="N41" s="109">
        <f t="shared" si="104"/>
        <v>276307.08989</v>
      </c>
      <c r="O41" s="109">
        <f t="shared" si="104"/>
        <v>276307.08989</v>
      </c>
      <c r="P41" s="109">
        <f t="shared" si="104"/>
        <v>276307.08989</v>
      </c>
      <c r="Q41" s="109">
        <f t="shared" si="104"/>
        <v>276307.08989</v>
      </c>
      <c r="R41" s="110">
        <f t="shared" si="104"/>
        <v>276307.08989</v>
      </c>
      <c r="S41" s="109">
        <f t="shared" si="104"/>
        <v>276307.08989</v>
      </c>
      <c r="T41" s="109">
        <f t="shared" si="104"/>
        <v>276307.08989</v>
      </c>
      <c r="U41" s="109">
        <f t="shared" si="104"/>
        <v>276307.08989</v>
      </c>
      <c r="V41" s="109">
        <f t="shared" si="104"/>
        <v>276307.08989</v>
      </c>
      <c r="W41" s="110">
        <f t="shared" si="104"/>
        <v>276307.08989</v>
      </c>
      <c r="X41" s="109">
        <f t="shared" si="104"/>
        <v>276307.08989</v>
      </c>
      <c r="Y41" s="109">
        <f t="shared" si="104"/>
        <v>276307.08989</v>
      </c>
      <c r="Z41" s="109">
        <v>0</v>
      </c>
      <c r="AA41" s="109">
        <f t="shared" si="104"/>
        <v>0</v>
      </c>
      <c r="AB41" s="110">
        <f t="shared" si="104"/>
        <v>0</v>
      </c>
      <c r="AC41" s="109">
        <f t="shared" si="104"/>
        <v>0</v>
      </c>
      <c r="AD41" s="109">
        <f t="shared" si="104"/>
        <v>0</v>
      </c>
      <c r="AE41" s="109">
        <f t="shared" si="104"/>
        <v>0</v>
      </c>
      <c r="AF41" s="109">
        <f t="shared" si="104"/>
        <v>0</v>
      </c>
      <c r="AG41" s="110">
        <f t="shared" si="104"/>
        <v>0</v>
      </c>
      <c r="AH41" s="109">
        <f t="shared" ref="AH41:AS41" si="105">AG41</f>
        <v>0</v>
      </c>
      <c r="AI41" s="109">
        <f t="shared" si="105"/>
        <v>0</v>
      </c>
      <c r="AJ41" s="109">
        <f t="shared" si="105"/>
        <v>0</v>
      </c>
      <c r="AK41" s="109">
        <f t="shared" si="105"/>
        <v>0</v>
      </c>
      <c r="AL41" s="110">
        <f t="shared" ref="AL41" si="106">AK41</f>
        <v>0</v>
      </c>
      <c r="AM41" s="109">
        <f t="shared" si="105"/>
        <v>0</v>
      </c>
      <c r="AN41" s="109">
        <f t="shared" si="105"/>
        <v>0</v>
      </c>
      <c r="AO41" s="109">
        <f t="shared" si="105"/>
        <v>0</v>
      </c>
      <c r="AP41" s="109">
        <f t="shared" si="105"/>
        <v>0</v>
      </c>
      <c r="AQ41" s="110">
        <f t="shared" ref="AQ41" si="107">AP41</f>
        <v>0</v>
      </c>
      <c r="AR41" s="109">
        <f t="shared" si="105"/>
        <v>0</v>
      </c>
      <c r="AS41" s="109">
        <f t="shared" si="105"/>
        <v>0</v>
      </c>
      <c r="AT41" s="109">
        <f t="shared" ref="AT41" si="108">AS41</f>
        <v>0</v>
      </c>
      <c r="AU41" s="109">
        <f t="shared" ref="AU41" si="109">AT41</f>
        <v>0</v>
      </c>
      <c r="AV41" s="110">
        <f t="shared" ref="AV41" si="110">AU41</f>
        <v>0</v>
      </c>
      <c r="AW41" s="109">
        <f t="shared" ref="AW41" si="111">AV41</f>
        <v>0</v>
      </c>
      <c r="AX41" s="109">
        <f t="shared" ref="AX41" si="112">AW41</f>
        <v>0</v>
      </c>
      <c r="AY41" s="109">
        <f t="shared" ref="AY41" si="113">AX41</f>
        <v>0</v>
      </c>
      <c r="AZ41" s="109">
        <f t="shared" ref="AZ41" si="114">AY41</f>
        <v>0</v>
      </c>
      <c r="BA41" s="110">
        <f t="shared" ref="BA41" si="115">AZ41</f>
        <v>0</v>
      </c>
    </row>
    <row r="42" spans="2:53" x14ac:dyDescent="0.2">
      <c r="B42" s="138"/>
      <c r="D42" s="109"/>
      <c r="E42" s="109"/>
      <c r="F42" s="109"/>
      <c r="G42" s="109"/>
      <c r="H42" s="110"/>
      <c r="I42" s="109"/>
      <c r="J42" s="109"/>
      <c r="K42" s="109"/>
      <c r="L42" s="109"/>
      <c r="M42" s="110"/>
      <c r="N42" s="109"/>
      <c r="O42" s="109"/>
      <c r="P42" s="109"/>
      <c r="Q42" s="109"/>
      <c r="R42" s="110"/>
      <c r="S42" s="109"/>
      <c r="T42" s="109"/>
      <c r="U42" s="109"/>
      <c r="V42" s="109"/>
      <c r="W42" s="110"/>
      <c r="X42" s="109"/>
      <c r="Y42" s="109"/>
      <c r="Z42" s="109"/>
      <c r="AA42" s="109"/>
      <c r="AB42" s="110"/>
      <c r="AC42" s="109"/>
      <c r="AD42" s="109"/>
      <c r="AE42" s="109"/>
      <c r="AF42" s="109"/>
      <c r="AG42" s="110"/>
      <c r="AH42" s="109"/>
      <c r="AI42" s="109"/>
      <c r="AJ42" s="109"/>
      <c r="AK42" s="109"/>
      <c r="AL42" s="110"/>
      <c r="AM42" s="109"/>
      <c r="AN42" s="109"/>
      <c r="AO42" s="109"/>
      <c r="AP42" s="109"/>
      <c r="AQ42" s="110"/>
      <c r="AR42" s="109"/>
      <c r="AS42" s="109"/>
      <c r="AT42" s="109"/>
      <c r="AU42" s="109"/>
      <c r="AV42" s="110"/>
      <c r="AW42" s="109"/>
      <c r="AX42" s="109"/>
      <c r="AY42" s="109"/>
      <c r="AZ42" s="109"/>
      <c r="BA42" s="110"/>
    </row>
    <row r="43" spans="2:53" x14ac:dyDescent="0.2">
      <c r="B43" s="159" t="s">
        <v>206</v>
      </c>
      <c r="D43" s="109"/>
      <c r="E43" s="109"/>
      <c r="F43" s="109"/>
      <c r="G43" s="109"/>
      <c r="H43" s="110"/>
      <c r="I43" s="109"/>
      <c r="J43" s="109"/>
      <c r="K43" s="109"/>
      <c r="L43" s="109"/>
      <c r="M43" s="110"/>
      <c r="N43" s="109"/>
      <c r="O43" s="109"/>
      <c r="P43" s="109"/>
      <c r="Q43" s="109"/>
      <c r="R43" s="110"/>
      <c r="S43" s="109"/>
      <c r="T43" s="109"/>
      <c r="U43" s="109"/>
      <c r="V43" s="109"/>
      <c r="W43" s="110"/>
      <c r="X43" s="109"/>
      <c r="Y43" s="109"/>
      <c r="Z43" s="109"/>
      <c r="AA43" s="109"/>
      <c r="AB43" s="110"/>
      <c r="AC43" s="109"/>
      <c r="AD43" s="109"/>
      <c r="AE43" s="109"/>
      <c r="AF43" s="109"/>
      <c r="AG43" s="110"/>
      <c r="AH43" s="109"/>
      <c r="AI43" s="109"/>
      <c r="AJ43" s="109"/>
      <c r="AK43" s="109"/>
      <c r="AL43" s="110"/>
      <c r="AM43" s="109"/>
      <c r="AN43" s="109"/>
      <c r="AO43" s="109"/>
      <c r="AP43" s="109"/>
      <c r="AQ43" s="110"/>
      <c r="AR43" s="109"/>
      <c r="AS43" s="109"/>
      <c r="AT43" s="109"/>
      <c r="AU43" s="109"/>
      <c r="AV43" s="110"/>
      <c r="AW43" s="109"/>
      <c r="AX43" s="109"/>
      <c r="AY43" s="109"/>
      <c r="AZ43" s="109"/>
      <c r="BA43" s="110"/>
    </row>
    <row r="44" spans="2:53" x14ac:dyDescent="0.2">
      <c r="B44" s="138"/>
      <c r="C44" s="28" t="s">
        <v>207</v>
      </c>
      <c r="D44" s="109">
        <f>D20-D39</f>
        <v>89443.798569999984</v>
      </c>
      <c r="E44" s="109">
        <f>E20-E39</f>
        <v>90661.325459999964</v>
      </c>
      <c r="F44" s="109">
        <f>F20-F39</f>
        <v>89652.079440000001</v>
      </c>
      <c r="G44" s="109">
        <f>G20-G39</f>
        <v>89244.894959999947</v>
      </c>
      <c r="H44" s="110">
        <f>G44</f>
        <v>89244.894959999947</v>
      </c>
      <c r="I44" s="109">
        <f>I20-I39</f>
        <v>89581.670459999936</v>
      </c>
      <c r="J44" s="109">
        <f>J20-J39</f>
        <v>157889.92550999997</v>
      </c>
      <c r="K44" s="109">
        <f>K20-K39</f>
        <v>175927.62055999972</v>
      </c>
      <c r="L44" s="109">
        <f>L20-L39</f>
        <v>173650.73083000048</v>
      </c>
      <c r="M44" s="110">
        <f>L44</f>
        <v>173650.73083000048</v>
      </c>
      <c r="N44" s="109">
        <f>N20-N39</f>
        <v>170325.19273999985</v>
      </c>
      <c r="O44" s="109">
        <f>O20-O39</f>
        <v>383352</v>
      </c>
      <c r="P44" s="109">
        <f>P20-P39</f>
        <v>389949</v>
      </c>
      <c r="Q44" s="109">
        <f>Q20-Q39</f>
        <v>710719</v>
      </c>
      <c r="R44" s="110">
        <f>Q44</f>
        <v>710719</v>
      </c>
      <c r="S44" s="109">
        <f>S20-S39</f>
        <v>718768</v>
      </c>
      <c r="T44" s="109">
        <f>T20-T39</f>
        <v>876748</v>
      </c>
      <c r="U44" s="109">
        <f>U20-U39</f>
        <v>870461</v>
      </c>
      <c r="V44" s="109">
        <f>V20-V39</f>
        <v>2528788</v>
      </c>
      <c r="W44" s="110">
        <f>V44</f>
        <v>2528788</v>
      </c>
      <c r="X44" s="109">
        <f>X20-X39</f>
        <v>4109201</v>
      </c>
      <c r="Y44" s="109">
        <f>Y20-Y39</f>
        <v>4093327</v>
      </c>
      <c r="Z44" s="109">
        <f>Z20-Z39</f>
        <v>4068316</v>
      </c>
      <c r="AA44" s="109">
        <f>AA20-AA39</f>
        <v>4043694</v>
      </c>
      <c r="AB44" s="110">
        <f>AA44</f>
        <v>4043694</v>
      </c>
      <c r="AC44" s="109">
        <f>AC20-AC39</f>
        <v>4047531</v>
      </c>
      <c r="AD44" s="109">
        <f>AD20-AD39</f>
        <v>4083877</v>
      </c>
      <c r="AE44" s="109">
        <f>AE20-AE39</f>
        <v>4104067</v>
      </c>
      <c r="AF44" s="109">
        <f>AF20-AF39</f>
        <v>4085969</v>
      </c>
      <c r="AG44" s="110">
        <f>AF44</f>
        <v>4085969</v>
      </c>
      <c r="AH44" s="109">
        <f>AH20-AH39</f>
        <v>4118113</v>
      </c>
      <c r="AI44" s="109">
        <f>AI20-AI39</f>
        <v>3951845</v>
      </c>
      <c r="AJ44" s="109">
        <f>AJ20-AJ39</f>
        <v>4058733</v>
      </c>
      <c r="AK44" s="109">
        <f>AK20-AK39</f>
        <v>4134201</v>
      </c>
      <c r="AL44" s="110">
        <f>AK44</f>
        <v>4134201</v>
      </c>
      <c r="AM44" s="109">
        <f>AM20-AM39</f>
        <v>4013245</v>
      </c>
      <c r="AN44" s="109">
        <f>AN20-AN39</f>
        <v>3809394</v>
      </c>
      <c r="AO44" s="109">
        <f>AO20-AO39</f>
        <v>3870461</v>
      </c>
      <c r="AP44" s="109">
        <f>AP20-AP39</f>
        <v>3914040</v>
      </c>
      <c r="AQ44" s="110">
        <f>AP44</f>
        <v>3914040</v>
      </c>
      <c r="AR44" s="109">
        <f>AR20-AR39</f>
        <v>3882711</v>
      </c>
      <c r="AS44" s="109">
        <f>AS20-AS39</f>
        <v>3806809</v>
      </c>
      <c r="AT44" s="109">
        <f>AT20-AT39</f>
        <v>3879470.7407067399</v>
      </c>
      <c r="AU44" s="109">
        <f>AU20-AU39</f>
        <v>3960073.788529369</v>
      </c>
      <c r="AV44" s="110">
        <f>AU44</f>
        <v>3960073.788529369</v>
      </c>
      <c r="AW44" s="109">
        <f>AW20-AW39</f>
        <v>4038231.6729377015</v>
      </c>
      <c r="AX44" s="109">
        <f>AX20-AX39</f>
        <v>4126110.7334663691</v>
      </c>
      <c r="AY44" s="109">
        <f>AY20-AY39</f>
        <v>4208486.1856488632</v>
      </c>
      <c r="AZ44" s="109">
        <f>AZ20-AZ39</f>
        <v>4296515.5369331315</v>
      </c>
      <c r="BA44" s="110">
        <f>AZ44</f>
        <v>4296515.5369331315</v>
      </c>
    </row>
    <row r="45" spans="2:53" s="20" customFormat="1" ht="13.5" thickBot="1" x14ac:dyDescent="0.25">
      <c r="B45" s="291" t="s">
        <v>208</v>
      </c>
      <c r="C45" s="292"/>
      <c r="D45" s="293">
        <f>D44+D39</f>
        <v>812460.79856999998</v>
      </c>
      <c r="E45" s="293">
        <f>E44+E39</f>
        <v>1014591.32546</v>
      </c>
      <c r="F45" s="293">
        <f>F44+F39</f>
        <v>896187.26433999999</v>
      </c>
      <c r="G45" s="293">
        <f>G44+G39</f>
        <v>1029284.8949599999</v>
      </c>
      <c r="H45" s="294">
        <f>G45</f>
        <v>1029284.8949599999</v>
      </c>
      <c r="I45" s="293">
        <f>I44+I39</f>
        <v>1129213.6704599999</v>
      </c>
      <c r="J45" s="293">
        <f>J44+J39</f>
        <v>1400830.92551</v>
      </c>
      <c r="K45" s="293">
        <f>K44+K39</f>
        <v>1387144.8796499998</v>
      </c>
      <c r="L45" s="293">
        <f>L44+L39</f>
        <v>1526297.59974</v>
      </c>
      <c r="M45" s="294">
        <f>L45</f>
        <v>1526297.59974</v>
      </c>
      <c r="N45" s="293">
        <f>N44+N39</f>
        <v>1662156.66585</v>
      </c>
      <c r="O45" s="293">
        <f>O44+O39</f>
        <v>1905124</v>
      </c>
      <c r="P45" s="293">
        <f>P44+P39</f>
        <v>1789839</v>
      </c>
      <c r="Q45" s="293">
        <f>Q44+Q39</f>
        <v>2404015</v>
      </c>
      <c r="R45" s="294">
        <f>Q45</f>
        <v>2404015</v>
      </c>
      <c r="S45" s="293">
        <f>S44+S39</f>
        <v>2479208</v>
      </c>
      <c r="T45" s="293">
        <f>T44+T39</f>
        <v>4082417</v>
      </c>
      <c r="U45" s="293">
        <f>U44+U39</f>
        <v>3800165</v>
      </c>
      <c r="V45" s="293">
        <f>V44+V39</f>
        <v>5969173</v>
      </c>
      <c r="W45" s="294">
        <f>V45</f>
        <v>5969173</v>
      </c>
      <c r="X45" s="293">
        <f>X44+X39</f>
        <v>8564195</v>
      </c>
      <c r="Y45" s="293">
        <f>Y44+Y39</f>
        <v>9510958</v>
      </c>
      <c r="Z45" s="293">
        <f>Z44+Z39</f>
        <v>9183836</v>
      </c>
      <c r="AA45" s="293">
        <f>AA44+AA39</f>
        <v>9256026</v>
      </c>
      <c r="AB45" s="294">
        <f>AA45</f>
        <v>9256026</v>
      </c>
      <c r="AC45" s="293">
        <f>AC44+AC39</f>
        <v>9253099</v>
      </c>
      <c r="AD45" s="293">
        <f>AD44+AD39</f>
        <v>9738274</v>
      </c>
      <c r="AE45" s="293">
        <f>AE44+AE39</f>
        <v>9380885</v>
      </c>
      <c r="AF45" s="293">
        <f>AF44+AF39</f>
        <v>9636018</v>
      </c>
      <c r="AG45" s="294">
        <f>AF45</f>
        <v>9636018</v>
      </c>
      <c r="AH45" s="293">
        <f>AH44+AH39</f>
        <v>9620383</v>
      </c>
      <c r="AI45" s="293">
        <f>AI44+AI39</f>
        <v>9872411</v>
      </c>
      <c r="AJ45" s="293">
        <f>AJ44+AJ39</f>
        <v>9122258</v>
      </c>
      <c r="AK45" s="293">
        <f>AK44+AK39</f>
        <v>9178813</v>
      </c>
      <c r="AL45" s="294">
        <f>AK45</f>
        <v>9178813</v>
      </c>
      <c r="AM45" s="293">
        <f>AM44+AM39</f>
        <v>9045061</v>
      </c>
      <c r="AN45" s="293">
        <f>AN44+AN39</f>
        <v>9674206</v>
      </c>
      <c r="AO45" s="293">
        <f>AO44+AO39</f>
        <v>9632636</v>
      </c>
      <c r="AP45" s="293">
        <f>AP44+AP39</f>
        <v>10063982</v>
      </c>
      <c r="AQ45" s="294">
        <f>AP45</f>
        <v>10063982</v>
      </c>
      <c r="AR45" s="293">
        <f>AR44+AR39</f>
        <v>10151245</v>
      </c>
      <c r="AS45" s="293">
        <f>AS44+AS39</f>
        <v>10126434</v>
      </c>
      <c r="AT45" s="293">
        <f>AT44+AT39</f>
        <v>10264799.836464407</v>
      </c>
      <c r="AU45" s="293">
        <f>AU44+AU39</f>
        <v>10446087.722545976</v>
      </c>
      <c r="AV45" s="294">
        <f>AU45</f>
        <v>10446087.722545976</v>
      </c>
      <c r="AW45" s="293">
        <f>AW44+AW39</f>
        <v>10706563.676629851</v>
      </c>
      <c r="AX45" s="293">
        <f>AX44+AX39</f>
        <v>11092317.383286871</v>
      </c>
      <c r="AY45" s="293">
        <f>AY44+AY39</f>
        <v>10977719.382372685</v>
      </c>
      <c r="AZ45" s="293">
        <f>AZ44+AZ39</f>
        <v>11370534.34787146</v>
      </c>
      <c r="BA45" s="294">
        <f>AZ45</f>
        <v>11370534.34787146</v>
      </c>
    </row>
    <row r="46" spans="2:53" s="20" customFormat="1" x14ac:dyDescent="0.2">
      <c r="B46" s="245" t="s">
        <v>128</v>
      </c>
      <c r="C46" s="215"/>
      <c r="H46" s="246"/>
      <c r="R46" s="246"/>
      <c r="W46" s="246"/>
      <c r="AB46" s="246"/>
      <c r="AG46" s="246" t="s">
        <v>129</v>
      </c>
      <c r="AM46" s="295"/>
      <c r="AR46" s="295"/>
    </row>
    <row r="47" spans="2:53" s="20" customFormat="1" x14ac:dyDescent="0.2">
      <c r="B47" s="245" t="s">
        <v>130</v>
      </c>
      <c r="C47" s="215"/>
      <c r="H47" s="247"/>
      <c r="R47" s="247"/>
      <c r="W47" s="247"/>
      <c r="Z47" s="295"/>
      <c r="AA47" s="295"/>
      <c r="AB47" s="247"/>
      <c r="AG47" s="247" t="s">
        <v>131</v>
      </c>
    </row>
    <row r="48" spans="2:53" x14ac:dyDescent="0.2">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K48" s="4"/>
      <c r="AM48" s="4"/>
      <c r="AP48" s="4"/>
      <c r="AR48" s="4"/>
      <c r="AW48" s="4"/>
    </row>
    <row r="49" spans="2:52" x14ac:dyDescent="0.2">
      <c r="D49" s="296"/>
      <c r="E49" s="296"/>
      <c r="F49" s="296"/>
      <c r="G49" s="296"/>
      <c r="H49" s="296"/>
      <c r="I49" s="296"/>
      <c r="J49" s="296"/>
      <c r="K49" s="296"/>
      <c r="L49" s="296"/>
      <c r="M49" s="296"/>
    </row>
    <row r="50" spans="2:52" hidden="1" outlineLevel="1" x14ac:dyDescent="0.2">
      <c r="C50" s="28" t="s">
        <v>209</v>
      </c>
      <c r="D50" s="306">
        <v>14021.903726401106</v>
      </c>
      <c r="E50" s="297">
        <v>16544.280138530041</v>
      </c>
      <c r="F50" s="297">
        <v>13190.713351443808</v>
      </c>
      <c r="G50" s="297">
        <v>14375.019747851633</v>
      </c>
      <c r="H50" s="296"/>
      <c r="I50" s="297">
        <v>14159.115034359462</v>
      </c>
      <c r="J50" s="297">
        <v>16937.964359532987</v>
      </c>
      <c r="K50" s="297">
        <v>15365.412163042063</v>
      </c>
      <c r="L50" s="297">
        <v>16335.7598230393</v>
      </c>
      <c r="M50" s="296"/>
      <c r="N50" s="297">
        <v>16062.341373603502</v>
      </c>
      <c r="O50" s="297">
        <v>15104.617737003058</v>
      </c>
      <c r="P50" s="297">
        <v>13065.173745173744</v>
      </c>
      <c r="Q50" s="297">
        <v>15057.234432234432</v>
      </c>
      <c r="S50" s="297">
        <v>13769.826732673268</v>
      </c>
      <c r="T50" s="298" t="e">
        <v>#DIV/0!</v>
      </c>
      <c r="U50" s="298" t="e">
        <v>#DIV/0!</v>
      </c>
      <c r="V50" s="297" t="e">
        <v>#DIV/0!</v>
      </c>
      <c r="X50" s="297" t="e">
        <v>#DIV/0!</v>
      </c>
      <c r="Y50" s="297" t="e">
        <v>#DIV/0!</v>
      </c>
      <c r="Z50" s="297" t="e">
        <v>#DIV/0!</v>
      </c>
      <c r="AA50" s="297" t="e">
        <v>#DIV/0!</v>
      </c>
      <c r="AC50" s="297" t="e">
        <v>#DIV/0!</v>
      </c>
      <c r="AD50" s="297" t="e">
        <v>#DIV/0!</v>
      </c>
      <c r="AE50" s="297" t="e">
        <v>#DIV/0!</v>
      </c>
      <c r="AF50" s="297" t="e">
        <v>#DIV/0!</v>
      </c>
      <c r="AH50" s="297" t="e">
        <v>#DIV/0!</v>
      </c>
      <c r="AI50" s="297" t="e">
        <v>#DIV/0!</v>
      </c>
      <c r="AJ50" s="297" t="e">
        <v>#DIV/0!</v>
      </c>
      <c r="AK50" s="297" t="e">
        <v>#DIV/0!</v>
      </c>
      <c r="AM50" s="297" t="e">
        <v>#DIV/0!</v>
      </c>
      <c r="AN50" s="297" t="e">
        <v>#DIV/0!</v>
      </c>
      <c r="AO50" s="297" t="e">
        <v>#DIV/0!</v>
      </c>
      <c r="AP50" s="297" t="e">
        <v>#DIV/0!</v>
      </c>
      <c r="AR50" s="297" t="e">
        <v>#DIV/0!</v>
      </c>
      <c r="AS50" s="297" t="e">
        <v>#DIV/0!</v>
      </c>
      <c r="AT50" s="297" t="e">
        <v>#DIV/0!</v>
      </c>
      <c r="AU50" s="297" t="e">
        <v>#DIV/0!</v>
      </c>
      <c r="AW50" s="297" t="e">
        <v>#DIV/0!</v>
      </c>
      <c r="AX50" s="297" t="e">
        <v>#DIV/0!</v>
      </c>
      <c r="AY50" s="297" t="e">
        <v>#DIV/0!</v>
      </c>
      <c r="AZ50" s="297" t="e">
        <v>#DIV/0!</v>
      </c>
    </row>
    <row r="51" spans="2:52" hidden="1" outlineLevel="1" x14ac:dyDescent="0.2">
      <c r="C51" s="28" t="s">
        <v>223</v>
      </c>
      <c r="D51" s="308">
        <f>D13/IS!D17</f>
        <v>54.134019434801232</v>
      </c>
      <c r="E51" s="308">
        <f>E13/IS!E17</f>
        <v>59.543888515587987</v>
      </c>
      <c r="F51" s="308">
        <f>F13/IS!F17</f>
        <v>46.007052765413157</v>
      </c>
      <c r="G51" s="308">
        <f>G13/IS!G17</f>
        <v>46.922128514162061</v>
      </c>
      <c r="H51" s="308"/>
      <c r="I51" s="308">
        <f>I13/IS!I17</f>
        <v>45.207373440445494</v>
      </c>
      <c r="J51" s="308">
        <f>J13/IS!J17</f>
        <v>46.649575766532628</v>
      </c>
      <c r="K51" s="308">
        <f>K13/IS!K17</f>
        <v>41.776063700871013</v>
      </c>
      <c r="L51" s="308">
        <f>L13/IS!L17</f>
        <v>41.954689343579048</v>
      </c>
      <c r="M51" s="308"/>
      <c r="N51" s="308">
        <f>N13/IS!N17</f>
        <v>41.685999430653304</v>
      </c>
      <c r="O51" s="308">
        <f>O13/IS!O17</f>
        <v>37.916146366427839</v>
      </c>
      <c r="P51" s="308">
        <f>P13/IS!P17</f>
        <v>32.829299054086832</v>
      </c>
      <c r="Q51" s="308">
        <f>Q13/IS!Q17</f>
        <v>39.046544763714081</v>
      </c>
      <c r="R51" s="308"/>
      <c r="S51" s="308">
        <f>S13/IS!S17</f>
        <v>36.116405894955527</v>
      </c>
      <c r="T51" s="308">
        <f>T13/IS!T17</f>
        <v>41.033953187158851</v>
      </c>
      <c r="U51" s="308">
        <f>U13/IS!U17</f>
        <v>32.305065452475809</v>
      </c>
      <c r="V51" s="308">
        <f>V13/IS!V17</f>
        <v>28.216600871309392</v>
      </c>
      <c r="W51" s="308"/>
      <c r="X51" s="308">
        <f>X13/IS!X17</f>
        <v>20.553794286390254</v>
      </c>
      <c r="Y51" s="308">
        <f>Y13/IS!Y17</f>
        <v>21.603004895256841</v>
      </c>
      <c r="Z51" s="308">
        <f>Z13/IS!Z17</f>
        <v>18.23450821096273</v>
      </c>
      <c r="AA51" s="308">
        <f>AA13/IS!AA17</f>
        <v>15.695955968654637</v>
      </c>
      <c r="AB51" s="308"/>
      <c r="AC51" s="308">
        <f>AC13/IS!AC17</f>
        <v>13.576894973991406</v>
      </c>
      <c r="AD51" s="308">
        <f>AD13/IS!AD17</f>
        <v>13.361414736583002</v>
      </c>
      <c r="AE51" s="308">
        <v>11.397185889086606</v>
      </c>
      <c r="AF51" s="308">
        <v>12.066219164149327</v>
      </c>
      <c r="AH51" s="308">
        <f>AH13/IS!AH17</f>
        <v>10.700618063183436</v>
      </c>
      <c r="AI51" s="308">
        <f>AI13/IS!AI17</f>
        <v>11.477213143063471</v>
      </c>
      <c r="AJ51" s="308">
        <v>11.087666774829998</v>
      </c>
      <c r="AK51" s="308">
        <v>12.066219164149327</v>
      </c>
      <c r="AM51" s="308">
        <f>AM13/IS!AM17</f>
        <v>10.56540940159018</v>
      </c>
      <c r="AN51" s="308">
        <f>AN13/IS!AN17</f>
        <v>10.388910341631867</v>
      </c>
      <c r="AO51" s="308">
        <v>11.087666774829998</v>
      </c>
      <c r="AP51" s="308">
        <v>12.066219164149327</v>
      </c>
      <c r="AR51" s="308">
        <f>AR13/IS!AR17</f>
        <v>10.043624491776187</v>
      </c>
      <c r="AS51" s="308">
        <f>AS13/IS!AS17</f>
        <v>9.7238798951457905</v>
      </c>
      <c r="AT51" s="308" t="e">
        <v>#DIV/0!</v>
      </c>
      <c r="AU51" s="308" t="e">
        <v>#DIV/0!</v>
      </c>
      <c r="AW51" s="308">
        <f>AW13/IS!AW17</f>
        <v>10.015582699546568</v>
      </c>
      <c r="AX51" s="308">
        <f>AX13/IS!AX17</f>
        <v>10.273227333733209</v>
      </c>
      <c r="AY51" s="308" t="e">
        <v>#DIV/0!</v>
      </c>
      <c r="AZ51" s="308" t="e">
        <v>#DIV/0!</v>
      </c>
    </row>
    <row r="52" spans="2:52" collapsed="1" x14ac:dyDescent="0.2"/>
    <row r="53" spans="2:52" x14ac:dyDescent="0.2">
      <c r="C53" s="28" t="s">
        <v>210</v>
      </c>
      <c r="D53" s="282"/>
      <c r="E53" s="282">
        <f>((E9+D9)/2)/IS!E17*91</f>
        <v>10.517460944857774</v>
      </c>
      <c r="F53" s="282">
        <f>((F9+E9)/2)/IS!F17*91</f>
        <v>8.760591147537454</v>
      </c>
      <c r="G53" s="282">
        <f>((G9+F9)/2)/IS!G17*91</f>
        <v>9.1113517362982677</v>
      </c>
      <c r="I53" s="282">
        <f>((I9+H9)/2)/IS!I17*91</f>
        <v>11.557550052295053</v>
      </c>
      <c r="J53" s="282">
        <f>((J9+I9)/2)/IS!J17*91</f>
        <v>14.119733058525732</v>
      </c>
      <c r="K53" s="282">
        <f>((K9+J9)/2)/IS!K17*91</f>
        <v>13.977544676049092</v>
      </c>
      <c r="L53" s="282">
        <f>((L9+K9)/2)/IS!L17*91</f>
        <v>12.065719191327537</v>
      </c>
      <c r="N53" s="282">
        <f>((N9+M9)/2)/IS!N17*91</f>
        <v>10.46106544298565</v>
      </c>
      <c r="O53" s="282">
        <f>((O9+N9)/2)/IS!O17*91</f>
        <v>9.8749363819089062</v>
      </c>
      <c r="P53" s="282">
        <f>((P9+O9)/2)/IS!P17*91</f>
        <v>9.0834465195246175</v>
      </c>
      <c r="Q53" s="282">
        <f>((Q9+P9)/2)/IS!Q17*91</f>
        <v>8.3112324863452862</v>
      </c>
      <c r="S53" s="282">
        <f>((S9+R9)/2)/IS!S17*91</f>
        <v>9.1513990781016687</v>
      </c>
      <c r="T53" s="282">
        <f>((T9+S9)/2)/IS!T17*91</f>
        <v>10.169201591266537</v>
      </c>
      <c r="U53" s="282">
        <f>((U9+T9)/2)/IS!U17*91</f>
        <v>12.65953831731896</v>
      </c>
      <c r="V53" s="282">
        <f>((V9+U9)/2)/IS!V17*91</f>
        <v>16.163594087360902</v>
      </c>
      <c r="X53" s="282">
        <f>((X9+W9)/2)/IS!X17*91</f>
        <v>14.623558289465901</v>
      </c>
      <c r="Y53" s="282">
        <f>((Y9+X9)/2)/IS!Y17*91</f>
        <v>12.866243177954729</v>
      </c>
      <c r="Z53" s="282">
        <f>((Z9+Y9)/2)/IS!Z17*91</f>
        <v>13.982218068311855</v>
      </c>
      <c r="AA53" s="282">
        <f>((AA9+Z9)/2)/IS!AA17*91</f>
        <v>11.567877495367618</v>
      </c>
      <c r="AC53" s="282">
        <f>((AC9+AB9)/2)/IS!AC17*91</f>
        <v>10.509026895843844</v>
      </c>
      <c r="AD53" s="282">
        <f>((AD9+AC9)/2)/IS!AD17*91</f>
        <v>10.55593140158304</v>
      </c>
      <c r="AE53" s="282">
        <f>((AE9+AD9)/2)/IS!AE17*91</f>
        <v>10.905442938122581</v>
      </c>
      <c r="AF53" s="282">
        <f>((AF9+AE9)/2)/IS!AF17*91</f>
        <v>9.5767628546234072</v>
      </c>
      <c r="AH53" s="282">
        <f>((AH9+AG9)/2)/IS!AH17*91</f>
        <v>7.8074380707247899</v>
      </c>
      <c r="AI53" s="282">
        <f>((AI9+AH9)/2)/IS!AI17*91</f>
        <v>7.2503995353145259</v>
      </c>
      <c r="AJ53" s="282">
        <f>((AJ9+AI9)/2)/IS!AJ17*91</f>
        <v>7.964345196082073</v>
      </c>
      <c r="AK53" s="282">
        <f>((AK9+AJ9)/2)/IS!AK17*91</f>
        <v>7.6710459313575727</v>
      </c>
      <c r="AM53" s="282">
        <f>((AM9+AL9)/2)/IS!AM17*91</f>
        <v>7.6139670804854234</v>
      </c>
      <c r="AN53" s="282">
        <f>((AN9+AM9)/2)/IS!AN17*91</f>
        <v>7.6359590571335572</v>
      </c>
      <c r="AO53" s="282">
        <f>((AO9+AN9)/2)/IS!AO17*91</f>
        <v>7.0588972605990232</v>
      </c>
      <c r="AP53" s="282">
        <f>((AP9+AO9)/2)/IS!AP17*91</f>
        <v>7.0032320418208993</v>
      </c>
      <c r="AR53" s="282">
        <f>((AR9+AQ9)/2)/IS!AR17*91</f>
        <v>7.4105462916402391</v>
      </c>
      <c r="AS53" s="282">
        <f>((AS9+AR9)/2)/IS!AS17*91</f>
        <v>8.0402487755353036</v>
      </c>
      <c r="AT53" s="282">
        <f>((AT9+AS9)/2)/IS!AT17*91</f>
        <v>9.4265612065451485</v>
      </c>
      <c r="AU53" s="282">
        <f>((AU9+AT9)/2)/IS!AU17*91</f>
        <v>9.2550385346837878</v>
      </c>
      <c r="AW53" s="282">
        <f>((AW9+AV9)/2)/IS!AW17*91</f>
        <v>9.4529796009646763</v>
      </c>
      <c r="AX53" s="282">
        <f>((AX9+AW9)/2)/IS!AX17*91</f>
        <v>9.3874557687479747</v>
      </c>
      <c r="AY53" s="282">
        <f>((AY9+AX9)/2)/IS!AY17*91</f>
        <v>9.6148452922246594</v>
      </c>
      <c r="AZ53" s="282">
        <f>((AZ9+AY9)/2)/IS!AZ17*91</f>
        <v>9.2240957047464853</v>
      </c>
    </row>
    <row r="55" spans="2:52" x14ac:dyDescent="0.2">
      <c r="C55" s="28" t="s">
        <v>211</v>
      </c>
      <c r="D55" s="109">
        <f>D38+D28</f>
        <v>3464</v>
      </c>
      <c r="E55" s="109">
        <f>E38+E28</f>
        <v>2809</v>
      </c>
      <c r="F55" s="109">
        <f>F38+F28</f>
        <v>3376.6799300000002</v>
      </c>
      <c r="G55" s="109">
        <f>G38+G28</f>
        <v>5365</v>
      </c>
      <c r="I55" s="109">
        <f>I38+I28</f>
        <v>5696</v>
      </c>
      <c r="J55" s="109">
        <f>J38+J28</f>
        <v>5754</v>
      </c>
      <c r="K55" s="109">
        <f>K38+K28</f>
        <v>5523.3870600000009</v>
      </c>
      <c r="L55" s="109">
        <f>L38+L28</f>
        <v>1446.735270000001</v>
      </c>
      <c r="N55" s="142">
        <f>N38+N28</f>
        <v>1412.2347799999998</v>
      </c>
      <c r="O55" s="142">
        <f>O38+O28</f>
        <v>1375</v>
      </c>
      <c r="P55" s="142">
        <f>P38+P28</f>
        <v>14045</v>
      </c>
      <c r="Q55" s="142">
        <f>Q38+Q28</f>
        <v>16127</v>
      </c>
      <c r="S55" s="142">
        <f>S38+S28</f>
        <v>4661</v>
      </c>
      <c r="T55" s="142">
        <f>T38+T28</f>
        <v>6712</v>
      </c>
      <c r="U55" s="142">
        <f>U38+U28</f>
        <v>3459</v>
      </c>
      <c r="V55" s="142">
        <f>V38+V28</f>
        <v>25888</v>
      </c>
      <c r="X55" s="142">
        <f>X38+X28</f>
        <v>26372</v>
      </c>
      <c r="Y55" s="142">
        <f>Y38+Y28</f>
        <v>27060</v>
      </c>
      <c r="Z55" s="142">
        <f>Z38+Z28</f>
        <v>29278</v>
      </c>
      <c r="AA55" s="142">
        <f>AA38+AA28</f>
        <v>20803</v>
      </c>
      <c r="AC55" s="142">
        <f>AC38+AC28</f>
        <v>22014</v>
      </c>
      <c r="AD55" s="142">
        <f>AD38+AD28</f>
        <v>28970</v>
      </c>
      <c r="AE55" s="142">
        <f>AE38+AE28</f>
        <v>26058</v>
      </c>
      <c r="AF55" s="142">
        <f>AF38+AF28</f>
        <v>153990</v>
      </c>
      <c r="AH55" s="142">
        <f>AH38+AH28</f>
        <v>155537</v>
      </c>
      <c r="AI55" s="142">
        <f>AI38+AI28</f>
        <v>157288</v>
      </c>
      <c r="AJ55" s="142">
        <f>AJ38+AJ28</f>
        <v>21582</v>
      </c>
      <c r="AK55" s="142">
        <f>AK38+AK28</f>
        <v>574</v>
      </c>
      <c r="AM55" s="142">
        <f>AM38+AM28</f>
        <v>609</v>
      </c>
      <c r="AN55" s="142">
        <f>AN38+AN28</f>
        <v>504</v>
      </c>
      <c r="AO55" s="142">
        <f>AO38+AO28</f>
        <v>3874</v>
      </c>
      <c r="AP55" s="142">
        <f>AP38+AP28</f>
        <v>181586</v>
      </c>
      <c r="AR55" s="142">
        <f>AR38+AR28</f>
        <v>1661</v>
      </c>
      <c r="AS55" s="142">
        <f>AS38+AS28</f>
        <v>1871</v>
      </c>
      <c r="AT55" s="142">
        <f>AT38+AT28</f>
        <v>8057.1815116704747</v>
      </c>
      <c r="AU55" s="142">
        <f>AU38+AU28</f>
        <v>8596.9521811662435</v>
      </c>
      <c r="AW55" s="142">
        <f>AW38+AW28</f>
        <v>8784.5403147620364</v>
      </c>
      <c r="AX55" s="142">
        <f>AX38+AX28</f>
        <v>9103.8056456610684</v>
      </c>
      <c r="AY55" s="142">
        <f>AY38+AY28</f>
        <v>8991.1777730763242</v>
      </c>
      <c r="AZ55" s="142">
        <f>AZ38+AZ28</f>
        <v>9660.2782584932957</v>
      </c>
    </row>
    <row r="56" spans="2:52" x14ac:dyDescent="0.2">
      <c r="C56" s="299" t="s">
        <v>212</v>
      </c>
      <c r="D56" s="300"/>
      <c r="E56" s="300"/>
      <c r="F56" s="300"/>
      <c r="G56" s="300"/>
      <c r="I56" s="300">
        <f>I55/D55-1</f>
        <v>0.6443418013856812</v>
      </c>
      <c r="J56" s="300">
        <f>J55/E55-1</f>
        <v>1.0484158063367746</v>
      </c>
      <c r="K56" s="300">
        <f>K55/F55-1</f>
        <v>0.63574492534150262</v>
      </c>
      <c r="L56" s="300">
        <f>L55/G55-1</f>
        <v>-0.73033825349487391</v>
      </c>
      <c r="N56" s="301">
        <f>N55/I55-1</f>
        <v>-0.75206552317415731</v>
      </c>
      <c r="O56" s="301">
        <f>O55/J55-1</f>
        <v>-0.7610358011817866</v>
      </c>
      <c r="P56" s="301">
        <f>P55/K55-1</f>
        <v>1.542823786823297</v>
      </c>
      <c r="Q56" s="301">
        <f>Q55/L55-1</f>
        <v>10.147167235371256</v>
      </c>
      <c r="S56" s="301">
        <f>S55/N55-1</f>
        <v>2.3004427210042233</v>
      </c>
      <c r="T56" s="301">
        <f>T55/O55-1</f>
        <v>3.8814545454545453</v>
      </c>
      <c r="U56" s="301">
        <f>U55/P55-1</f>
        <v>-0.75372018511925953</v>
      </c>
      <c r="V56" s="301">
        <f>V55/Q55-1</f>
        <v>0.60525826254108028</v>
      </c>
      <c r="X56" s="301">
        <f>X55/S55-1</f>
        <v>4.6580133018665526</v>
      </c>
      <c r="Y56" s="301">
        <f>Y55/T55-1</f>
        <v>3.0315852205005962</v>
      </c>
      <c r="Z56" s="301">
        <f>Z55/U55-1</f>
        <v>7.4642960393177216</v>
      </c>
      <c r="AA56" s="301">
        <f>AA55/V55-1</f>
        <v>-0.19642305315203956</v>
      </c>
      <c r="AC56" s="301">
        <f>AC55/X55-1</f>
        <v>-0.16525102381313517</v>
      </c>
      <c r="AD56" s="301">
        <f>AD55/Y55-1</f>
        <v>7.0583887657058364E-2</v>
      </c>
      <c r="AE56" s="301">
        <f>AE55/Z55-1</f>
        <v>-0.10998018990368197</v>
      </c>
      <c r="AF56" s="301">
        <f>AF55/AA55-1</f>
        <v>6.4022977455174734</v>
      </c>
      <c r="AH56" s="301">
        <f>AH55/AC55-1</f>
        <v>6.0653674934132829</v>
      </c>
      <c r="AI56" s="301">
        <f>AI55/AD55-1</f>
        <v>4.4293406972730409</v>
      </c>
      <c r="AJ56" s="301">
        <f>AJ55/AE55-1</f>
        <v>-0.17177066543863684</v>
      </c>
      <c r="AK56" s="301">
        <f>AK55/AF55-1</f>
        <v>-0.9962724852263134</v>
      </c>
      <c r="AM56" s="301">
        <f>AM55/AH55-1</f>
        <v>-0.99608453294071508</v>
      </c>
      <c r="AN56" s="301">
        <f>AN55/AI55-1</f>
        <v>-0.99679568689283349</v>
      </c>
      <c r="AO56" s="301">
        <f>AO55/AJ55-1</f>
        <v>-0.82049856361782969</v>
      </c>
      <c r="AP56" s="301">
        <f>AP55/AK55-1</f>
        <v>315.35191637630663</v>
      </c>
      <c r="AR56" s="301">
        <f>AR55/AM55-1</f>
        <v>1.7274220032840724</v>
      </c>
      <c r="AS56" s="301">
        <f>AS55/AN55-1</f>
        <v>2.7123015873015874</v>
      </c>
      <c r="AT56" s="301">
        <f>AT55/AO55-1</f>
        <v>1.0798093731725542</v>
      </c>
      <c r="AU56" s="301">
        <f>AU55/AP55-1</f>
        <v>-0.95265630510520505</v>
      </c>
      <c r="AW56" s="301">
        <f>AW55/AR55-1</f>
        <v>4.2887057885382518</v>
      </c>
      <c r="AX56" s="301">
        <f>AX55/AS55-1</f>
        <v>3.8657432633143074</v>
      </c>
      <c r="AY56" s="301">
        <f>AY55/AT55-1</f>
        <v>0.11592096566932208</v>
      </c>
      <c r="AZ56" s="301">
        <f>AZ55/AU55-1</f>
        <v>0.12368640128725295</v>
      </c>
    </row>
    <row r="57" spans="2:52" x14ac:dyDescent="0.2">
      <c r="C57" s="299" t="s">
        <v>213</v>
      </c>
      <c r="D57" s="300"/>
      <c r="E57" s="300">
        <f>E55/D55-1</f>
        <v>-0.18908775981524251</v>
      </c>
      <c r="F57" s="300">
        <f>F55/E55-1</f>
        <v>0.20209324670701334</v>
      </c>
      <c r="G57" s="300">
        <f>G55/F55-1</f>
        <v>0.58883877394917894</v>
      </c>
      <c r="I57" s="300">
        <f>I55/G55-1</f>
        <v>6.1696178937558299E-2</v>
      </c>
      <c r="J57" s="300">
        <f>J55/I55-1</f>
        <v>1.0182584269663009E-2</v>
      </c>
      <c r="K57" s="300">
        <f>K55/J55-1</f>
        <v>-4.0078717413972731E-2</v>
      </c>
      <c r="L57" s="300">
        <f>L55/K55-1</f>
        <v>-0.73807099624120842</v>
      </c>
      <c r="N57" s="301">
        <f>N55/L55-1</f>
        <v>-2.3847134106298018E-2</v>
      </c>
      <c r="O57" s="301">
        <f>O55/N55-1</f>
        <v>-2.6365856815960709E-2</v>
      </c>
      <c r="P57" s="301">
        <f>P55/O55-1</f>
        <v>9.2145454545454548</v>
      </c>
      <c r="Q57" s="301">
        <f>Q55/P55-1</f>
        <v>0.14823780704877176</v>
      </c>
      <c r="S57" s="301">
        <f>S55/Q55-1</f>
        <v>-0.71098158367954367</v>
      </c>
      <c r="T57" s="301">
        <f>T55/S55-1</f>
        <v>0.44003432739755421</v>
      </c>
      <c r="U57" s="301">
        <f>U55/T55-1</f>
        <v>-0.48465435041716332</v>
      </c>
      <c r="V57" s="301">
        <f>V55/U55-1</f>
        <v>6.4842440011564033</v>
      </c>
      <c r="X57" s="301">
        <f>X55/V55-1</f>
        <v>1.8695920889987727E-2</v>
      </c>
      <c r="Y57" s="301">
        <f>Y55/X55-1</f>
        <v>2.6088275443652442E-2</v>
      </c>
      <c r="Z57" s="301">
        <f>Z55/Y55-1</f>
        <v>8.1966001478196659E-2</v>
      </c>
      <c r="AA57" s="301">
        <f>AA55/Z55-1</f>
        <v>-0.28946649361295174</v>
      </c>
      <c r="AC57" s="301">
        <f>AC55/AA55-1</f>
        <v>5.8212757775320867E-2</v>
      </c>
      <c r="AD57" s="301">
        <f>AD55/AC55-1</f>
        <v>0.31598073952939032</v>
      </c>
      <c r="AE57" s="301">
        <f>AE55/AD55-1</f>
        <v>-0.10051777701070075</v>
      </c>
      <c r="AF57" s="301">
        <f>AF55/AE55-1</f>
        <v>4.9095095556067232</v>
      </c>
      <c r="AH57" s="301">
        <f>AH55/AF55-1</f>
        <v>1.0046106890057693E-2</v>
      </c>
      <c r="AI57" s="301">
        <f>AI55/AH55-1</f>
        <v>1.1257771462738875E-2</v>
      </c>
      <c r="AJ57" s="301">
        <f>AJ55/AI55-1</f>
        <v>-0.86278673516097859</v>
      </c>
      <c r="AK57" s="301">
        <f>AK55/AJ55-1</f>
        <v>-0.97340376239458803</v>
      </c>
      <c r="AM57" s="301">
        <f>AM55/AK55-1</f>
        <v>6.0975609756097615E-2</v>
      </c>
      <c r="AN57" s="301">
        <f>AN55/AM55-1</f>
        <v>-0.17241379310344829</v>
      </c>
      <c r="AO57" s="301">
        <f>AO55/AN55-1</f>
        <v>6.6865079365079367</v>
      </c>
      <c r="AP57" s="301">
        <f>AP55/AO55-1</f>
        <v>45.872999483737736</v>
      </c>
      <c r="AR57" s="301">
        <f>AR55/AP55-1</f>
        <v>-0.99085281904992673</v>
      </c>
      <c r="AS57" s="301">
        <f>AS55/AR55-1</f>
        <v>0.12642986152919922</v>
      </c>
      <c r="AT57" s="301">
        <f>AT55/AS55-1</f>
        <v>3.3063503536453629</v>
      </c>
      <c r="AU57" s="301">
        <f>AU55/AT55-1</f>
        <v>6.6992492190219854E-2</v>
      </c>
      <c r="AW57" s="301">
        <f>AW55/AU55-1</f>
        <v>2.1820306736933137E-2</v>
      </c>
      <c r="AX57" s="301">
        <f>AX55/AW55-1</f>
        <v>3.6343999738098987E-2</v>
      </c>
      <c r="AY57" s="301">
        <f>AY55/AX55-1</f>
        <v>-1.2371515492361485E-2</v>
      </c>
      <c r="AZ57" s="301">
        <f>AZ55/AY55-1</f>
        <v>7.4417445890188283E-2</v>
      </c>
    </row>
    <row r="59" spans="2:52" x14ac:dyDescent="0.2">
      <c r="B59" s="28" t="s">
        <v>214</v>
      </c>
    </row>
    <row r="60" spans="2:52" x14ac:dyDescent="0.2">
      <c r="C60" s="28" t="s">
        <v>215</v>
      </c>
      <c r="D60" s="302">
        <f>D9/IS!D17</f>
        <v>0.13875077517837162</v>
      </c>
      <c r="E60" s="302">
        <f>E9/IS!E17</f>
        <v>0.11125680183082294</v>
      </c>
      <c r="F60" s="302">
        <f>F9/IS!F17</f>
        <v>9.3872249688205942E-2</v>
      </c>
      <c r="G60" s="302">
        <f>G9/IS!G17</f>
        <v>0.11794464123755691</v>
      </c>
      <c r="H60" s="302"/>
      <c r="I60" s="302">
        <f>I9/IS!I17</f>
        <v>0.15144400534631589</v>
      </c>
      <c r="J60" s="302">
        <f>J9/IS!J17</f>
        <v>0.1797016373175051</v>
      </c>
      <c r="K60" s="302">
        <f>K9/IS!K17</f>
        <v>0.14178127799914569</v>
      </c>
      <c r="L60" s="302">
        <f>L9/IS!L17</f>
        <v>0.13879557619369595</v>
      </c>
      <c r="M60" s="302"/>
      <c r="N60" s="302">
        <f>N9/IS!N17</f>
        <v>0.10490756969303912</v>
      </c>
      <c r="O60" s="302">
        <f>O9/IS!O17</f>
        <v>0.12259467758444217</v>
      </c>
      <c r="P60" s="302">
        <f>P9/IS!P17</f>
        <v>8.343439243269464E-2</v>
      </c>
      <c r="Q60" s="302">
        <f>Q9/IS!Q17</f>
        <v>0.10097364046544764</v>
      </c>
      <c r="R60" s="302"/>
      <c r="S60" s="302">
        <f>S9/IS!S17</f>
        <v>0.10911294336601095</v>
      </c>
      <c r="T60" s="302">
        <f>T9/IS!T17</f>
        <v>0.13020630955685078</v>
      </c>
      <c r="U60" s="302">
        <f>U9/IS!U17</f>
        <v>0.16043389467340721</v>
      </c>
      <c r="V60" s="302">
        <f>V9/IS!V17</f>
        <v>0.23280058257636732</v>
      </c>
      <c r="W60" s="302"/>
      <c r="X60" s="302">
        <f>X9/IS!X17</f>
        <v>0.16742853763022925</v>
      </c>
      <c r="Y60" s="302">
        <f>Y9/IS!Y17</f>
        <v>0.1561433556154859</v>
      </c>
      <c r="Z60" s="302">
        <f>Z9/IS!Z17</f>
        <v>0.16091809407408739</v>
      </c>
      <c r="AA60" s="302">
        <f>AA9/IS!AA17</f>
        <v>0.12009229801069818</v>
      </c>
      <c r="AB60" s="302"/>
      <c r="AC60" s="302">
        <f>AC9/IS!AC17</f>
        <v>0.12638958960352117</v>
      </c>
      <c r="AD60" s="302">
        <f>AD9/IS!AD17</f>
        <v>0.12023184080367376</v>
      </c>
      <c r="AE60" s="302">
        <f>AE9/IS!AE17</f>
        <v>0.12498394819394251</v>
      </c>
      <c r="AF60" s="302">
        <f>AF9/IS!AF17</f>
        <v>9.5387235077690272E-2</v>
      </c>
      <c r="AH60" s="302">
        <f>AH9/IS!AH17</f>
        <v>7.9020279685886194E-2</v>
      </c>
      <c r="AI60" s="302">
        <f>AI9/IS!AI17</f>
        <v>8.3681062497056466E-2</v>
      </c>
      <c r="AJ60" s="302">
        <f>AJ9/IS!AJ17</f>
        <v>9.2533774161992155E-2</v>
      </c>
      <c r="AK60" s="302">
        <f>AK9/IS!AK17</f>
        <v>8.1617272634687849E-2</v>
      </c>
      <c r="AM60" s="302">
        <f>AM9/IS!AM17</f>
        <v>8.9089133770400342E-2</v>
      </c>
      <c r="AN60" s="302">
        <f>AN9/IS!AN17</f>
        <v>7.9742603860390449E-2</v>
      </c>
      <c r="AO60" s="302">
        <f>AO9/IS!AO17</f>
        <v>7.4432536702613225E-2</v>
      </c>
      <c r="AP60" s="302">
        <f>AP9/IS!AP17</f>
        <v>8.4364378151501634E-2</v>
      </c>
      <c r="AR60" s="302">
        <f>AR9/IS!AR17</f>
        <v>8.114650743794552E-2</v>
      </c>
      <c r="AS60" s="302">
        <f>AS9/IS!AS17</f>
        <v>9.9266647535033795E-2</v>
      </c>
      <c r="AT60" s="303">
        <v>0.105</v>
      </c>
      <c r="AU60" s="303">
        <v>0.105</v>
      </c>
      <c r="AW60" s="303">
        <v>0.105</v>
      </c>
      <c r="AX60" s="303">
        <v>0.105</v>
      </c>
      <c r="AY60" s="303">
        <v>0.105</v>
      </c>
      <c r="AZ60" s="303">
        <v>0.105</v>
      </c>
    </row>
    <row r="61" spans="2:52" x14ac:dyDescent="0.2">
      <c r="C61" s="28" t="s">
        <v>178</v>
      </c>
      <c r="D61" s="302">
        <f>D11/IS!D17</f>
        <v>0.17759793940597954</v>
      </c>
      <c r="E61" s="302">
        <f>E11/IS!E17</f>
        <v>0.16737982397547635</v>
      </c>
      <c r="F61" s="302">
        <f>F11/IS!F17</f>
        <v>0.17008130971545349</v>
      </c>
      <c r="G61" s="302">
        <f>G11/IS!G17</f>
        <v>0.15625998662596993</v>
      </c>
      <c r="H61" s="302"/>
      <c r="I61" s="302">
        <f>I11/IS!I17</f>
        <v>0.15898052975842644</v>
      </c>
      <c r="J61" s="302">
        <f>J11/IS!J17</f>
        <v>0.1511561887762084</v>
      </c>
      <c r="K61" s="302">
        <f>K11/IS!K17</f>
        <v>0.15691144618007652</v>
      </c>
      <c r="L61" s="302">
        <f>L11/IS!L17</f>
        <v>0.15133971932715362</v>
      </c>
      <c r="M61" s="302"/>
      <c r="N61" s="302">
        <f>N11/IS!N17</f>
        <v>0.15394095445690392</v>
      </c>
      <c r="O61" s="302">
        <f>O11/IS!O17</f>
        <v>0.15120266120777892</v>
      </c>
      <c r="P61" s="302">
        <f>P11/IS!P17</f>
        <v>0.14918748484113509</v>
      </c>
      <c r="Q61" s="302">
        <f>Q11/IS!Q17</f>
        <v>0.15552125385894086</v>
      </c>
      <c r="R61" s="302"/>
      <c r="S61" s="302">
        <f>S11/IS!S17</f>
        <v>0.14986258088251206</v>
      </c>
      <c r="T61" s="302">
        <f>T11/IS!T17</f>
        <v>0.13636784161347026</v>
      </c>
      <c r="U61" s="302">
        <f>U11/IS!U17</f>
        <v>0.13165824098563728</v>
      </c>
      <c r="V61" s="302">
        <f>V11/IS!V17</f>
        <v>0.10371392434172703</v>
      </c>
      <c r="W61" s="302"/>
      <c r="X61" s="302">
        <f>X11/IS!X17</f>
        <v>0</v>
      </c>
      <c r="Y61" s="302">
        <f>Y11/IS!Y17</f>
        <v>0</v>
      </c>
      <c r="Z61" s="302">
        <f>Z11/IS!Z17</f>
        <v>0</v>
      </c>
      <c r="AA61" s="302">
        <f>AA11/IS!AA17</f>
        <v>0</v>
      </c>
      <c r="AB61" s="302"/>
      <c r="AC61" s="302">
        <f>AC11/IS!AC17</f>
        <v>0</v>
      </c>
      <c r="AD61" s="302">
        <f>AD11/IS!AD17</f>
        <v>0</v>
      </c>
      <c r="AE61" s="302">
        <f>AE11/IS!AE17</f>
        <v>0</v>
      </c>
      <c r="AF61" s="302">
        <f>AF11/IS!AF17</f>
        <v>0</v>
      </c>
      <c r="AH61" s="302">
        <f>AH11/IS!AH17</f>
        <v>0</v>
      </c>
      <c r="AI61" s="302">
        <f>AI11/IS!AI17</f>
        <v>0</v>
      </c>
      <c r="AJ61" s="302">
        <f>AJ11/IS!AJ17</f>
        <v>0</v>
      </c>
      <c r="AK61" s="302">
        <f>AK11/IS!AK17</f>
        <v>0</v>
      </c>
      <c r="AM61" s="302">
        <f>AM11/IS!AM17</f>
        <v>0</v>
      </c>
      <c r="AN61" s="302">
        <f>AN11/IS!AN17</f>
        <v>0</v>
      </c>
      <c r="AO61" s="302">
        <f>AO11/IS!AO17</f>
        <v>0</v>
      </c>
      <c r="AP61" s="302">
        <f>AP11/IS!AP17</f>
        <v>0</v>
      </c>
      <c r="AR61" s="302">
        <f>AR11/IS!AR17</f>
        <v>0</v>
      </c>
      <c r="AS61" s="302">
        <f>AS11/IS!AS17</f>
        <v>0</v>
      </c>
      <c r="AT61" s="303">
        <v>0</v>
      </c>
      <c r="AU61" s="303">
        <v>0</v>
      </c>
      <c r="AW61" s="303">
        <v>0</v>
      </c>
      <c r="AX61" s="303">
        <v>0</v>
      </c>
      <c r="AY61" s="303">
        <v>0</v>
      </c>
      <c r="AZ61" s="303">
        <v>0</v>
      </c>
    </row>
    <row r="62" spans="2:52" x14ac:dyDescent="0.2">
      <c r="C62" s="28" t="s">
        <v>216</v>
      </c>
      <c r="D62" s="302">
        <f>D12/IS!D17</f>
        <v>0.19971452905693471</v>
      </c>
      <c r="E62" s="302">
        <f>E12/IS!E17</f>
        <v>0.30496143666790604</v>
      </c>
      <c r="F62" s="302">
        <f>F12/IS!F17</f>
        <v>0.30443074123402875</v>
      </c>
      <c r="G62" s="302">
        <f>G12/IS!G17</f>
        <v>0.29874111310268503</v>
      </c>
      <c r="H62" s="302"/>
      <c r="I62" s="302">
        <f>I12/IS!I17</f>
        <v>0.315127635379995</v>
      </c>
      <c r="J62" s="302">
        <f>J12/IS!J17</f>
        <v>0.34455487797700146</v>
      </c>
      <c r="K62" s="302">
        <f>K12/IS!K17</f>
        <v>0.37332668964416621</v>
      </c>
      <c r="L62" s="302">
        <f>L12/IS!L17</f>
        <v>0.38095852301559785</v>
      </c>
      <c r="M62" s="302"/>
      <c r="N62" s="302">
        <f>N12/IS!N17</f>
        <v>0.38814333320147043</v>
      </c>
      <c r="O62" s="302">
        <f>O12/IS!O17</f>
        <v>0.40348004094165812</v>
      </c>
      <c r="P62" s="302">
        <f>P12/IS!P17</f>
        <v>0.60967741935483866</v>
      </c>
      <c r="Q62" s="302">
        <f>Q12/IS!Q17</f>
        <v>0.63597720256471146</v>
      </c>
      <c r="R62" s="302"/>
      <c r="S62" s="302">
        <f>S12/IS!S17</f>
        <v>0.33372286783959837</v>
      </c>
      <c r="T62" s="302">
        <f>T12/IS!T17</f>
        <v>0.34689610509760382</v>
      </c>
      <c r="U62" s="302">
        <f>U12/IS!U17</f>
        <v>0.30580200207573072</v>
      </c>
      <c r="V62" s="302">
        <f>V12/IS!V17</f>
        <v>0.75475579063023013</v>
      </c>
      <c r="W62" s="302"/>
      <c r="X62" s="302">
        <f>X12/IS!X17</f>
        <v>0.60457629553270409</v>
      </c>
      <c r="Y62" s="302">
        <f>Y12/IS!Y17</f>
        <v>0.54140518155906903</v>
      </c>
      <c r="Z62" s="302">
        <f>Z12/IS!Z17</f>
        <v>0.55038313831922403</v>
      </c>
      <c r="AA62" s="302">
        <f>AA12/IS!AA17</f>
        <v>0.75545522197971238</v>
      </c>
      <c r="AB62" s="302"/>
      <c r="AC62" s="302">
        <f>AC12/IS!AC17</f>
        <v>0.60897948887458464</v>
      </c>
      <c r="AD62" s="302">
        <f>AD12/IS!AD17</f>
        <v>0.68724567894587052</v>
      </c>
      <c r="AE62" s="302">
        <f>AE12/IS!AE17</f>
        <v>0.6241675992001614</v>
      </c>
      <c r="AF62" s="302">
        <f>AF12/IS!AF17</f>
        <v>0.57473233260018308</v>
      </c>
      <c r="AH62" s="302">
        <f>AH12/IS!AH17</f>
        <v>0.63946423594603008</v>
      </c>
      <c r="AI62" s="302">
        <f>AI12/IS!AI17</f>
        <v>0.64279188056327419</v>
      </c>
      <c r="AJ62" s="302">
        <f>AJ12/IS!AJ17</f>
        <v>0.79311700533699869</v>
      </c>
      <c r="AK62" s="302">
        <f>AK12/IS!AK17</f>
        <v>0.86470545443964331</v>
      </c>
      <c r="AM62" s="302">
        <f>AM12/IS!AM17</f>
        <v>0.79161947272980893</v>
      </c>
      <c r="AN62" s="302">
        <f>AN12/IS!AN17</f>
        <v>0.69472961269217826</v>
      </c>
      <c r="AO62" s="302">
        <f>AO12/IS!AO17</f>
        <v>0.67370336974515443</v>
      </c>
      <c r="AP62" s="302">
        <f>AP12/IS!AP17</f>
        <v>0.67410636260952816</v>
      </c>
      <c r="AR62" s="302">
        <f>AR12/IS!AR17</f>
        <v>0.68056127618821405</v>
      </c>
      <c r="AS62" s="302">
        <f>AS12/IS!AS17</f>
        <v>0.67155166384917198</v>
      </c>
      <c r="AT62" s="303">
        <v>0.65</v>
      </c>
      <c r="AU62" s="303">
        <v>0.65</v>
      </c>
      <c r="AW62" s="303">
        <v>0.65</v>
      </c>
      <c r="AX62" s="303">
        <v>0.65</v>
      </c>
      <c r="AY62" s="303">
        <v>0.65</v>
      </c>
      <c r="AZ62" s="303">
        <v>0.65</v>
      </c>
    </row>
    <row r="63" spans="2:52" x14ac:dyDescent="0.2">
      <c r="C63" s="28" t="s">
        <v>180</v>
      </c>
      <c r="D63" s="302">
        <f>D13/IS!D17</f>
        <v>54.134019434801232</v>
      </c>
      <c r="E63" s="302">
        <f>E13/IS!E17</f>
        <v>59.543888515587987</v>
      </c>
      <c r="F63" s="302">
        <f>F13/IS!F17</f>
        <v>46.007052765413157</v>
      </c>
      <c r="G63" s="302">
        <f>G13/IS!G17</f>
        <v>46.922128514162061</v>
      </c>
      <c r="H63" s="302"/>
      <c r="I63" s="302">
        <f>I13/IS!I17</f>
        <v>45.207373440445494</v>
      </c>
      <c r="J63" s="302">
        <f>J13/IS!J17</f>
        <v>46.649575766532628</v>
      </c>
      <c r="K63" s="302">
        <f>K13/IS!K17</f>
        <v>41.776063700871013</v>
      </c>
      <c r="L63" s="302">
        <f>L13/IS!L17</f>
        <v>41.954689343579048</v>
      </c>
      <c r="M63" s="302"/>
      <c r="N63" s="302">
        <f>N13/IS!N17</f>
        <v>41.685999430653304</v>
      </c>
      <c r="O63" s="302">
        <f>O13/IS!O17</f>
        <v>37.916146366427839</v>
      </c>
      <c r="P63" s="302">
        <f>P13/IS!P17</f>
        <v>32.829299054086832</v>
      </c>
      <c r="Q63" s="302">
        <f>Q13/IS!Q17</f>
        <v>39.046544763714081</v>
      </c>
      <c r="R63" s="302"/>
      <c r="S63" s="302">
        <f>S13/IS!S17</f>
        <v>36.116405894955527</v>
      </c>
      <c r="T63" s="302">
        <f>T13/IS!T17</f>
        <v>41.033953187158851</v>
      </c>
      <c r="U63" s="302">
        <f>U13/IS!U17</f>
        <v>32.305065452475809</v>
      </c>
      <c r="V63" s="302">
        <f>V13/IS!V17</f>
        <v>28.216600871309392</v>
      </c>
      <c r="W63" s="302"/>
      <c r="X63" s="302">
        <f>X13/IS!X17</f>
        <v>20.553794286390254</v>
      </c>
      <c r="Y63" s="302">
        <f>Y13/IS!Y17</f>
        <v>21.603004895256841</v>
      </c>
      <c r="Z63" s="302">
        <f>Z13/IS!Z17</f>
        <v>18.23450821096273</v>
      </c>
      <c r="AA63" s="302">
        <f>AA13/IS!AA17</f>
        <v>15.695955968654637</v>
      </c>
      <c r="AB63" s="302"/>
      <c r="AC63" s="302">
        <f>AC13/IS!AC17</f>
        <v>13.576894973991406</v>
      </c>
      <c r="AD63" s="302">
        <f>AD13/IS!AD17</f>
        <v>13.361414736583002</v>
      </c>
      <c r="AE63" s="302">
        <f>AE13/IS!AE17</f>
        <v>11.397185889086606</v>
      </c>
      <c r="AF63" s="302">
        <f>AF13/IS!AF17</f>
        <v>11.338181584753178</v>
      </c>
      <c r="AH63" s="302">
        <f>AH13/IS!AH17</f>
        <v>10.700618063183436</v>
      </c>
      <c r="AI63" s="302">
        <f>AI13/IS!AI17</f>
        <v>11.477213143063471</v>
      </c>
      <c r="AJ63" s="302">
        <f>AJ13/IS!AJ17</f>
        <v>10.868772985623536</v>
      </c>
      <c r="AK63" s="302">
        <f>AK13/IS!AK17</f>
        <v>10.780577015407447</v>
      </c>
      <c r="AM63" s="302">
        <f>AM13/IS!AM17</f>
        <v>10.56540940159018</v>
      </c>
      <c r="AN63" s="302">
        <f>AN13/IS!AN17</f>
        <v>10.388910341631867</v>
      </c>
      <c r="AO63" s="302">
        <f>AO13/IS!AO17</f>
        <v>10.209504294882711</v>
      </c>
      <c r="AP63" s="302">
        <f>AP13/IS!AP17</f>
        <v>10.550360115717011</v>
      </c>
      <c r="AR63" s="302">
        <f>AR13/IS!AR17</f>
        <v>10.043624491776187</v>
      </c>
      <c r="AS63" s="302">
        <f>AS13/IS!AS17</f>
        <v>9.7238798951457905</v>
      </c>
      <c r="AT63" s="302">
        <f>AT13/IS!AT17</f>
        <v>10.295788158656137</v>
      </c>
      <c r="AU63" s="302">
        <f>AU13/IS!AU17</f>
        <v>9.8139636259503487</v>
      </c>
      <c r="AW63" s="302">
        <f>AW13/IS!AW17</f>
        <v>10.015582699546568</v>
      </c>
      <c r="AX63" s="302">
        <f>AX13/IS!AX17</f>
        <v>10.273227333733209</v>
      </c>
      <c r="AY63" s="302">
        <f>AY13/IS!AY17</f>
        <v>9.9898524463461928</v>
      </c>
      <c r="AZ63" s="302">
        <f>AZ13/IS!AZ17</f>
        <v>9.8536737154863889</v>
      </c>
    </row>
    <row r="64" spans="2:52" x14ac:dyDescent="0.2">
      <c r="C64" s="28" t="s">
        <v>217</v>
      </c>
      <c r="D64" s="302">
        <f>D19/IS!D17</f>
        <v>0.19478422403686221</v>
      </c>
      <c r="E64" s="302">
        <f>E19/IS!E17</f>
        <v>0.18479049124479305</v>
      </c>
      <c r="F64" s="302">
        <f>F19/IS!F17</f>
        <v>0.21587693059138199</v>
      </c>
      <c r="G64" s="302">
        <f>G19/IS!G17</f>
        <v>0.2372466950438499</v>
      </c>
      <c r="H64" s="302"/>
      <c r="I64" s="302">
        <f>I19/IS!I17</f>
        <v>0.24420122887998405</v>
      </c>
      <c r="J64" s="302">
        <f>J19/IS!J17</f>
        <v>0.20105104379813352</v>
      </c>
      <c r="K64" s="302">
        <f>K19/IS!K17</f>
        <v>0.2117239990967057</v>
      </c>
      <c r="L64" s="302">
        <f>L19/IS!L17</f>
        <v>0.20959275930424701</v>
      </c>
      <c r="M64" s="302"/>
      <c r="N64" s="302">
        <f>N19/IS!N17</f>
        <v>0.21030696900342608</v>
      </c>
      <c r="O64" s="302">
        <f>O19/IS!O17</f>
        <v>0.1625639713408393</v>
      </c>
      <c r="P64" s="302">
        <f>P19/IS!P17</f>
        <v>0.16538927965073974</v>
      </c>
      <c r="Q64" s="302">
        <f>Q19/IS!Q17</f>
        <v>0.25409641415340772</v>
      </c>
      <c r="R64" s="302"/>
      <c r="S64" s="302">
        <f>S19/IS!S17</f>
        <v>0.3783678504187496</v>
      </c>
      <c r="T64" s="302">
        <f>T19/IS!T17</f>
        <v>0.40645758164492551</v>
      </c>
      <c r="U64" s="302">
        <f>U19/IS!U17</f>
        <v>0.37662794201345878</v>
      </c>
      <c r="V64" s="302">
        <f>V19/IS!V17</f>
        <v>0.67615908423083315</v>
      </c>
      <c r="W64" s="302"/>
      <c r="X64" s="302">
        <f>X19/IS!X17</f>
        <v>0.45814497798882964</v>
      </c>
      <c r="Y64" s="302">
        <f>Y19/IS!Y17</f>
        <v>0.34468104142435357</v>
      </c>
      <c r="Z64" s="302">
        <f>Z19/IS!Z17</f>
        <v>0.32235143279951589</v>
      </c>
      <c r="AA64" s="302">
        <f>AA19/IS!AA17</f>
        <v>0.2383865828259773</v>
      </c>
      <c r="AB64" s="302"/>
      <c r="AC64" s="302">
        <f>AC19/IS!AC17</f>
        <v>0.21244846123066752</v>
      </c>
      <c r="AD64" s="302">
        <f>AD19/IS!AD17</f>
        <v>0.1907648285039576</v>
      </c>
      <c r="AE64" s="302">
        <f>AE19/IS!AE17</f>
        <v>0.18234851681312028</v>
      </c>
      <c r="AF64" s="302">
        <f>AF19/IS!AF17</f>
        <v>0.1836794680775585</v>
      </c>
      <c r="AH64" s="302">
        <f>AH19/IS!AH17</f>
        <v>0.15952915717166419</v>
      </c>
      <c r="AI64" s="302">
        <f>AI19/IS!AI17</f>
        <v>0.15318293850766887</v>
      </c>
      <c r="AJ64" s="302">
        <f>AJ19/IS!AJ17</f>
        <v>0.14777666332330325</v>
      </c>
      <c r="AK64" s="302">
        <f>AK19/IS!AK17</f>
        <v>0.11222556850421195</v>
      </c>
      <c r="AM64" s="302">
        <f>AM19/IS!AM17</f>
        <v>8.9415539126795923E-2</v>
      </c>
      <c r="AN64" s="302">
        <f>AN19/IS!AN17</f>
        <v>8.2798700331536815E-2</v>
      </c>
      <c r="AO64" s="302">
        <f>AO19/IS!AO17</f>
        <v>8.7684280757194658E-2</v>
      </c>
      <c r="AP64" s="302">
        <f>AP19/IS!AP17</f>
        <v>8.6547767178210971E-2</v>
      </c>
      <c r="AR64" s="302">
        <f>AR19/IS!AR17</f>
        <v>8.6490911985364169E-2</v>
      </c>
      <c r="AS64" s="302">
        <f>AS19/IS!AS17</f>
        <v>7.9518461623793321E-2</v>
      </c>
      <c r="AT64" s="303">
        <v>0.24387983782566378</v>
      </c>
      <c r="AU64" s="303">
        <v>0.22097984291587036</v>
      </c>
      <c r="AW64" s="303">
        <v>0.24387983782566378</v>
      </c>
      <c r="AX64" s="303">
        <v>0.24387983782566378</v>
      </c>
      <c r="AY64" s="303">
        <v>0.24387983782566378</v>
      </c>
      <c r="AZ64" s="303">
        <v>0.22097984291587036</v>
      </c>
    </row>
    <row r="65" spans="2:52" x14ac:dyDescent="0.2">
      <c r="D65" s="304"/>
      <c r="E65" s="304"/>
      <c r="F65" s="304"/>
      <c r="G65" s="304"/>
      <c r="H65" s="304"/>
      <c r="I65" s="304"/>
      <c r="J65" s="304"/>
      <c r="K65" s="304"/>
      <c r="L65" s="304"/>
      <c r="N65" s="304"/>
      <c r="O65" s="304"/>
      <c r="P65" s="304"/>
      <c r="Q65" s="304"/>
      <c r="S65" s="305"/>
      <c r="T65" s="305"/>
      <c r="U65" s="305"/>
      <c r="V65" s="305"/>
      <c r="X65" s="305"/>
      <c r="Y65" s="305"/>
      <c r="Z65" s="305"/>
      <c r="AA65" s="305"/>
      <c r="AC65" s="305"/>
      <c r="AD65" s="303"/>
      <c r="AE65" s="303"/>
      <c r="AF65" s="303"/>
      <c r="AH65" s="303"/>
      <c r="AI65" s="303"/>
      <c r="AJ65" s="303"/>
      <c r="AK65" s="303"/>
      <c r="AM65" s="303"/>
      <c r="AN65" s="303"/>
      <c r="AO65" s="303"/>
      <c r="AP65" s="303"/>
      <c r="AR65" s="303"/>
      <c r="AS65" s="303"/>
      <c r="AT65" s="303"/>
      <c r="AU65" s="303"/>
      <c r="AW65" s="305"/>
      <c r="AX65" s="303"/>
      <c r="AY65" s="303"/>
      <c r="AZ65" s="303"/>
    </row>
    <row r="66" spans="2:52" x14ac:dyDescent="0.2">
      <c r="B66" s="28" t="s">
        <v>218</v>
      </c>
      <c r="D66" s="304"/>
      <c r="E66" s="304"/>
      <c r="F66" s="304"/>
      <c r="G66" s="304"/>
      <c r="H66" s="304"/>
      <c r="I66" s="304"/>
      <c r="J66" s="304"/>
      <c r="K66" s="304"/>
      <c r="L66" s="304"/>
      <c r="N66" s="304"/>
      <c r="O66" s="304"/>
      <c r="P66" s="304"/>
      <c r="Q66" s="304"/>
      <c r="S66" s="305"/>
      <c r="T66" s="305"/>
      <c r="U66" s="305"/>
      <c r="V66" s="305"/>
      <c r="X66" s="305"/>
      <c r="Y66" s="305"/>
      <c r="Z66" s="305"/>
      <c r="AA66" s="305"/>
      <c r="AC66" s="305"/>
      <c r="AD66" s="303"/>
      <c r="AE66" s="303"/>
      <c r="AF66" s="303"/>
      <c r="AH66" s="303"/>
      <c r="AI66" s="303"/>
      <c r="AJ66" s="303"/>
      <c r="AK66" s="303"/>
      <c r="AM66" s="303"/>
      <c r="AN66" s="303"/>
      <c r="AO66" s="303"/>
      <c r="AP66" s="303"/>
      <c r="AR66" s="303"/>
      <c r="AS66" s="303"/>
      <c r="AT66" s="303"/>
      <c r="AU66" s="303"/>
      <c r="AW66" s="305"/>
      <c r="AX66" s="303"/>
      <c r="AY66" s="303"/>
      <c r="AZ66" s="303"/>
    </row>
    <row r="67" spans="2:52" x14ac:dyDescent="0.2">
      <c r="C67" s="28" t="s">
        <v>219</v>
      </c>
      <c r="D67" s="302">
        <f>D23/IS!D17</f>
        <v>0.11196225917858701</v>
      </c>
      <c r="E67" s="302">
        <f>E23/IS!E17</f>
        <v>0.15959778330206967</v>
      </c>
      <c r="F67" s="302">
        <f>F23/IS!F17</f>
        <v>7.7144858154980456E-2</v>
      </c>
      <c r="G67" s="302">
        <f>G23/IS!G17</f>
        <v>7.8561387119972681E-2</v>
      </c>
      <c r="H67" s="302"/>
      <c r="I67" s="302">
        <f>I23/IS!I17</f>
        <v>0.11505463303695378</v>
      </c>
      <c r="J67" s="302">
        <f>J23/IS!J17</f>
        <v>0.14581526264354919</v>
      </c>
      <c r="K67" s="302">
        <f>K23/IS!K17</f>
        <v>0.16542790310411401</v>
      </c>
      <c r="L67" s="302">
        <f>L23/IS!L17</f>
        <v>0.15980479656422286</v>
      </c>
      <c r="M67" s="302"/>
      <c r="N67" s="302">
        <f>N23/IS!N17</f>
        <v>0.16163696994446899</v>
      </c>
      <c r="O67" s="302">
        <f>O23/IS!O17</f>
        <v>0.15399181166837256</v>
      </c>
      <c r="P67" s="302">
        <f>P23/IS!P17</f>
        <v>0.15709434877516371</v>
      </c>
      <c r="Q67" s="302">
        <f>Q23/IS!Q17</f>
        <v>8.2593208264070295E-2</v>
      </c>
      <c r="R67" s="302"/>
      <c r="S67" s="302">
        <f>S23/IS!S17</f>
        <v>0.14209353156311541</v>
      </c>
      <c r="T67" s="302">
        <f>T23/IS!T17</f>
        <v>9.3921731890091592E-2</v>
      </c>
      <c r="U67" s="302">
        <f>U23/IS!U17</f>
        <v>7.2315778901201916E-2</v>
      </c>
      <c r="V67" s="302">
        <f>V23/IS!V17</f>
        <v>0.15208309378712967</v>
      </c>
      <c r="W67" s="302"/>
      <c r="X67" s="302">
        <f>X23/IS!X17</f>
        <v>0.11104445326956713</v>
      </c>
      <c r="Y67" s="302">
        <f>Y23/IS!Y17</f>
        <v>7.5218241541941996E-2</v>
      </c>
      <c r="Z67" s="302">
        <f>Z23/IS!Z17</f>
        <v>5.6515148791871118E-2</v>
      </c>
      <c r="AA67" s="302">
        <f>AA23/IS!AA17</f>
        <v>4.9685097966746743E-2</v>
      </c>
      <c r="AC67" s="302">
        <f>AC23/IS!AC17</f>
        <v>5.0051321306170737E-2</v>
      </c>
      <c r="AD67" s="302">
        <f>AD23/IS!AD17</f>
        <v>5.4852580325069421E-2</v>
      </c>
      <c r="AE67" s="302">
        <f>AE23/IS!AE17</f>
        <v>3.3549191906220764E-2</v>
      </c>
      <c r="AF67" s="302">
        <f>AF23/IS!AF17</f>
        <v>2.8782058429031396E-2</v>
      </c>
      <c r="AH67" s="302">
        <f>AH23/IS!AH17</f>
        <v>2.1283013918717314E-2</v>
      </c>
      <c r="AI67" s="302">
        <f>AI23/IS!AI17</f>
        <v>2.7542033626901521E-2</v>
      </c>
      <c r="AJ67" s="302">
        <f>AJ23/IS!AJ17</f>
        <v>2.112510370618027E-2</v>
      </c>
      <c r="AK67" s="302">
        <f>AK23/IS!AK17</f>
        <v>2.1669358241310579E-2</v>
      </c>
      <c r="AM67" s="302">
        <f>AM23/IS!AM17</f>
        <v>3.1192634956060818E-2</v>
      </c>
      <c r="AN67" s="302">
        <f>AN23/IS!AN17</f>
        <v>1.5785234751237057E-2</v>
      </c>
      <c r="AO67" s="302">
        <f>AO23/IS!AO17</f>
        <v>2.596750014655921E-2</v>
      </c>
      <c r="AP67" s="302">
        <f>AP23/IS!AP17</f>
        <v>4.2501741233184384E-2</v>
      </c>
      <c r="AR67" s="302">
        <f>AR23/IS!AR17</f>
        <v>1.7685809658337145E-2</v>
      </c>
      <c r="AS67" s="302">
        <f>AS23/IS!AS17</f>
        <v>1.216386002397081E-2</v>
      </c>
      <c r="AT67" s="303">
        <v>3.5000000000000003E-2</v>
      </c>
      <c r="AU67" s="303">
        <v>3.5000000000000003E-2</v>
      </c>
      <c r="AW67" s="303">
        <v>3.5000000000000003E-2</v>
      </c>
      <c r="AX67" s="303">
        <v>3.5000000000000003E-2</v>
      </c>
      <c r="AY67" s="303">
        <v>3.5000000000000003E-2</v>
      </c>
      <c r="AZ67" s="303">
        <v>3.5000000000000003E-2</v>
      </c>
    </row>
    <row r="68" spans="2:52" x14ac:dyDescent="0.2">
      <c r="C68" s="28" t="s">
        <v>190</v>
      </c>
      <c r="D68" s="302">
        <f>D24/IS!D17</f>
        <v>0.17133965361685605</v>
      </c>
      <c r="E68" s="302">
        <f>E24/IS!E17</f>
        <v>0.17311743023468298</v>
      </c>
      <c r="F68" s="302">
        <f>F24/IS!F17</f>
        <v>0.14861644016058023</v>
      </c>
      <c r="G68" s="302">
        <f>G24/IS!G17</f>
        <v>0.17563495488636191</v>
      </c>
      <c r="H68" s="302"/>
      <c r="I68" s="302">
        <f>I24/IS!I17</f>
        <v>0.12807632018687257</v>
      </c>
      <c r="J68" s="302">
        <f>J24/IS!J17</f>
        <v>0.12708352091118083</v>
      </c>
      <c r="K68" s="302">
        <f>K24/IS!K17</f>
        <v>0.1234748908240831</v>
      </c>
      <c r="L68" s="302">
        <f>L24/IS!L17</f>
        <v>0.13677041407281801</v>
      </c>
      <c r="M68" s="302"/>
      <c r="N68" s="302">
        <f>N24/IS!N17</f>
        <v>0.12532707781991914</v>
      </c>
      <c r="O68" s="302">
        <f>O24/IS!O17</f>
        <v>0.16322927328556808</v>
      </c>
      <c r="P68" s="302">
        <f>P24/IS!P17</f>
        <v>0.16306087800145525</v>
      </c>
      <c r="Q68" s="302">
        <f>Q24/IS!Q17</f>
        <v>0.2941581572073142</v>
      </c>
      <c r="R68" s="302"/>
      <c r="S68" s="302">
        <f>S24/IS!S17</f>
        <v>0.16457832889696813</v>
      </c>
      <c r="T68" s="302">
        <f>T24/IS!T17</f>
        <v>0.26466833194560091</v>
      </c>
      <c r="U68" s="302">
        <f>U24/IS!U17</f>
        <v>0.19471693059693998</v>
      </c>
      <c r="V68" s="302">
        <f>V24/IS!V17</f>
        <v>0.25918260447408431</v>
      </c>
      <c r="W68" s="302"/>
      <c r="X68" s="302">
        <f>X24/IS!X17</f>
        <v>0.15357966691733771</v>
      </c>
      <c r="Y68" s="302">
        <f>Y24/IS!Y17</f>
        <v>0.13513720778639809</v>
      </c>
      <c r="Z68" s="302">
        <f>Z24/IS!Z17</f>
        <v>0.11070570543583107</v>
      </c>
      <c r="AA68" s="302">
        <f>AA24/IS!AA17</f>
        <v>0.14485992977759576</v>
      </c>
      <c r="AC68" s="302">
        <f>AC24/IS!AC17</f>
        <v>8.9807936535550872E-2</v>
      </c>
      <c r="AD68" s="302">
        <f>AD24/IS!AD17</f>
        <v>0.11930878518188041</v>
      </c>
      <c r="AE68" s="302">
        <f>AE24/IS!AE17</f>
        <v>7.5724165764708043E-2</v>
      </c>
      <c r="AF68" s="302">
        <f>AF24/IS!AF17</f>
        <v>0.11115841112496326</v>
      </c>
      <c r="AH68" s="302">
        <f>AH24/IS!AH17</f>
        <v>7.5511910421824022E-2</v>
      </c>
      <c r="AI68" s="302">
        <f>AI24/IS!AI17</f>
        <v>0.10432816841708661</v>
      </c>
      <c r="AJ68" s="302">
        <f>AJ24/IS!AJ17</f>
        <v>8.5500328144928611E-2</v>
      </c>
      <c r="AK68" s="302">
        <f>AK24/IS!AK17</f>
        <v>9.9393304526210119E-2</v>
      </c>
      <c r="AM68" s="302">
        <f>AM24/IS!AM17</f>
        <v>6.5016041288882692E-2</v>
      </c>
      <c r="AN68" s="302">
        <f>AN24/IS!AN17</f>
        <v>8.0674878776678782E-2</v>
      </c>
      <c r="AO68" s="302">
        <f>AO24/IS!AO17</f>
        <v>9.2117347864562535E-2</v>
      </c>
      <c r="AP68" s="302">
        <f>AP24/IS!AP17</f>
        <v>0.10325056280308544</v>
      </c>
      <c r="AR68" s="302">
        <f>AR24/IS!AR17</f>
        <v>9.0842242780000054E-2</v>
      </c>
      <c r="AS68" s="302">
        <f>AS24/IS!AS17</f>
        <v>7.9776497512485806E-2</v>
      </c>
      <c r="AT68" s="303">
        <v>8.5000000000000006E-2</v>
      </c>
      <c r="AU68" s="303">
        <v>0.1</v>
      </c>
      <c r="AW68" s="303">
        <v>8.5000000000000006E-2</v>
      </c>
      <c r="AX68" s="303">
        <v>0.1</v>
      </c>
      <c r="AY68" s="303">
        <v>8.5000000000000006E-2</v>
      </c>
      <c r="AZ68" s="303">
        <v>0.1</v>
      </c>
    </row>
    <row r="69" spans="2:52" x14ac:dyDescent="0.2">
      <c r="C69" s="28" t="s">
        <v>191</v>
      </c>
      <c r="D69" s="302">
        <f>D26/IS!D17</f>
        <v>0.11532036374836058</v>
      </c>
      <c r="E69" s="302">
        <f>E26/IS!E17</f>
        <v>9.5890568975706317E-2</v>
      </c>
      <c r="F69" s="302">
        <f>F26/IS!F17</f>
        <v>0.10463392815713422</v>
      </c>
      <c r="G69" s="302">
        <f>G26/IS!G17</f>
        <v>0.15389211667561228</v>
      </c>
      <c r="H69" s="302"/>
      <c r="I69" s="302">
        <f>I26/IS!I17</f>
        <v>0.16914814849192467</v>
      </c>
      <c r="J69" s="302">
        <f>J26/IS!J17</f>
        <v>0.25705180697621716</v>
      </c>
      <c r="K69" s="302">
        <f>K26/IS!K17</f>
        <v>0.26420064863921783</v>
      </c>
      <c r="L69" s="302">
        <f>L26/IS!L17</f>
        <v>0.20675420261309782</v>
      </c>
      <c r="M69" s="302"/>
      <c r="N69" s="302">
        <f>N26/IS!N17</f>
        <v>0.21975115077043314</v>
      </c>
      <c r="O69" s="302">
        <f>O26/IS!O17</f>
        <v>0.2526100307062436</v>
      </c>
      <c r="P69" s="302">
        <f>P26/IS!P17</f>
        <v>0.26422507882609753</v>
      </c>
      <c r="Q69" s="302">
        <f>Q26/IS!Q17</f>
        <v>0.20282593208264071</v>
      </c>
      <c r="R69" s="302"/>
      <c r="S69" s="302">
        <f>S26/IS!S17</f>
        <v>0.18037611720660476</v>
      </c>
      <c r="T69" s="302">
        <f>T26/IS!T17</f>
        <v>0.12212045517624202</v>
      </c>
      <c r="U69" s="302">
        <f>U26/IS!U17</f>
        <v>0.15536174629214236</v>
      </c>
      <c r="V69" s="302">
        <f>V26/IS!V17</f>
        <v>0.92013848964521605</v>
      </c>
      <c r="W69" s="302"/>
      <c r="X69" s="302">
        <f>X26/IS!X17</f>
        <v>0.67001833560063884</v>
      </c>
      <c r="Y69" s="302">
        <f>Y26/IS!Y17</f>
        <v>0.55968251127954094</v>
      </c>
      <c r="Z69" s="302">
        <f>Z26/IS!Z17</f>
        <v>0.92939950033251251</v>
      </c>
      <c r="AA69" s="302">
        <f>AA26/IS!AA17</f>
        <v>0.59973729029422485</v>
      </c>
      <c r="AC69" s="302">
        <f>AC26/IS!AC17</f>
        <v>0.61675162227518654</v>
      </c>
      <c r="AD69" s="302">
        <f>AD26/IS!AD17</f>
        <v>0.69825696330084686</v>
      </c>
      <c r="AE69" s="302">
        <f>AE26/IS!AE17</f>
        <v>0.62825484764542938</v>
      </c>
      <c r="AF69" s="302">
        <f>AF26/IS!AF17</f>
        <v>0.65791954267643749</v>
      </c>
      <c r="AH69" s="302">
        <f>AH26/IS!AH17</f>
        <v>0.82932603242782432</v>
      </c>
      <c r="AI69" s="302">
        <f>AI26/IS!AI17</f>
        <v>0.84274164429582887</v>
      </c>
      <c r="AJ69" s="302">
        <f>AJ26/IS!AJ17</f>
        <v>0.81603761902992933</v>
      </c>
      <c r="AK69" s="302">
        <f>AK26/IS!AK17</f>
        <v>0.87150568140485651</v>
      </c>
      <c r="AM69" s="302">
        <f>AM26/IS!AM17</f>
        <v>0.59234760775561446</v>
      </c>
      <c r="AN69" s="302">
        <f>AN26/IS!AN17</f>
        <v>0.73243709902524867</v>
      </c>
      <c r="AO69" s="302">
        <f>AO26/IS!AO17</f>
        <v>0.73397130789437692</v>
      </c>
      <c r="AP69" s="302">
        <f>AP26/IS!AP17</f>
        <v>0.65855134616237421</v>
      </c>
      <c r="AR69" s="302">
        <f>AR26/IS!AR17</f>
        <v>0.774256394965394</v>
      </c>
      <c r="AS69" s="302">
        <f>AS26/IS!AS17</f>
        <v>0.81755656894260753</v>
      </c>
      <c r="AT69" s="303">
        <v>0.65</v>
      </c>
      <c r="AU69" s="303">
        <v>0.65</v>
      </c>
      <c r="AW69" s="303">
        <v>0.65</v>
      </c>
      <c r="AX69" s="303">
        <v>0.65</v>
      </c>
      <c r="AY69" s="303">
        <v>0.65</v>
      </c>
      <c r="AZ69" s="303">
        <v>0.65</v>
      </c>
    </row>
    <row r="70" spans="2:52" x14ac:dyDescent="0.2">
      <c r="C70" s="28" t="s">
        <v>193</v>
      </c>
      <c r="D70" s="302">
        <f>D25/IS!D17</f>
        <v>0.20263108256247342</v>
      </c>
      <c r="E70" s="302">
        <f>E25/IS!E17</f>
        <v>0.17555756163227662</v>
      </c>
      <c r="F70" s="302">
        <f>F25/IS!F17</f>
        <v>0.16054786628917464</v>
      </c>
      <c r="G70" s="302">
        <f>G25/IS!G17</f>
        <v>0.16804547362411912</v>
      </c>
      <c r="H70" s="302"/>
      <c r="I70" s="302">
        <f>I25/IS!I17</f>
        <v>0.12691685489270171</v>
      </c>
      <c r="J70" s="302">
        <f>J25/IS!J17</f>
        <v>0.14619989799739661</v>
      </c>
      <c r="K70" s="302">
        <f>K25/IS!K17</f>
        <v>0.11829669867314718</v>
      </c>
      <c r="L70" s="302">
        <f>L25/IS!L17</f>
        <v>0.10947293937141707</v>
      </c>
      <c r="M70" s="302"/>
      <c r="N70" s="302">
        <f>N25/IS!N17</f>
        <v>0.10535799818633017</v>
      </c>
      <c r="O70" s="302">
        <f>O25/IS!O17</f>
        <v>0.10936540429887411</v>
      </c>
      <c r="P70" s="302">
        <f>P25/IS!P17</f>
        <v>0.14797477564879941</v>
      </c>
      <c r="Q70" s="302">
        <f>Q25/IS!Q17</f>
        <v>0.13989551175492757</v>
      </c>
      <c r="R70" s="302"/>
      <c r="S70" s="302">
        <f>S25/IS!S17</f>
        <v>0.13343720920167068</v>
      </c>
      <c r="T70" s="302">
        <f>T25/IS!T17</f>
        <v>9.9528170968637253E-2</v>
      </c>
      <c r="U70" s="302">
        <f>U25/IS!U17</f>
        <v>0.14012856138471325</v>
      </c>
      <c r="V70" s="302">
        <f>V25/IS!V17</f>
        <v>0.16414344665465741</v>
      </c>
      <c r="W70" s="302"/>
      <c r="X70" s="302">
        <f>X25/IS!X17</f>
        <v>0.18021276056409433</v>
      </c>
      <c r="Y70" s="302">
        <f>Y25/IS!Y17</f>
        <v>0.19483250041539385</v>
      </c>
      <c r="Z70" s="302">
        <f>Z25/IS!Z17</f>
        <v>0.18195325652593297</v>
      </c>
      <c r="AA70" s="302">
        <f>AA25/IS!AA17</f>
        <v>0.15916412364337407</v>
      </c>
      <c r="AC70" s="302">
        <f>AC25/IS!AC17</f>
        <v>0.13222195160139871</v>
      </c>
      <c r="AD70" s="302">
        <f>AD25/IS!AD17</f>
        <v>0.1167588440266763</v>
      </c>
      <c r="AE70" s="302">
        <f>AE25/IS!AE17</f>
        <v>0.10303975344425896</v>
      </c>
      <c r="AF70" s="302">
        <f>AF25/IS!AF17</f>
        <v>8.8951054621380282E-2</v>
      </c>
      <c r="AH70" s="302">
        <f>AH25/IS!AH17</f>
        <v>6.3901503352623901E-2</v>
      </c>
      <c r="AI70" s="302">
        <f>AI25/IS!AI17</f>
        <v>5.440273787657577E-2</v>
      </c>
      <c r="AJ70" s="302">
        <f>AJ25/IS!AJ17</f>
        <v>5.4320368512946249E-2</v>
      </c>
      <c r="AK70" s="302">
        <f>AK25/IS!AK17</f>
        <v>4.9484236102017951E-2</v>
      </c>
      <c r="AM70" s="302">
        <f>AM25/IS!AM17</f>
        <v>6.0622123029711254E-2</v>
      </c>
      <c r="AN70" s="302">
        <f>AN25/IS!AN17</f>
        <v>6.0060018645498328E-2</v>
      </c>
      <c r="AO70" s="302">
        <f>AO25/IS!AO17</f>
        <v>6.0689470348978411E-2</v>
      </c>
      <c r="AP70" s="302">
        <f>AP25/IS!AP17</f>
        <v>5.8523695118547332E-2</v>
      </c>
      <c r="AR70" s="302">
        <f>AR25/IS!AR17</f>
        <v>5.2514144351987792E-2</v>
      </c>
      <c r="AS70" s="302">
        <f>AS25/IS!AS17</f>
        <v>5.0370052402989356E-2</v>
      </c>
      <c r="AT70" s="303">
        <v>7.0000000000000007E-2</v>
      </c>
      <c r="AU70" s="303">
        <v>7.0000000000000007E-2</v>
      </c>
      <c r="AW70" s="303">
        <v>7.0000000000000007E-2</v>
      </c>
      <c r="AX70" s="303">
        <v>7.0000000000000007E-2</v>
      </c>
      <c r="AY70" s="303">
        <v>7.0000000000000007E-2</v>
      </c>
      <c r="AZ70" s="303">
        <v>7.0000000000000007E-2</v>
      </c>
    </row>
    <row r="71" spans="2:52" x14ac:dyDescent="0.2">
      <c r="C71" s="28" t="s">
        <v>220</v>
      </c>
      <c r="D71" s="302">
        <f>D31/IS!D17</f>
        <v>54.134019434801232</v>
      </c>
      <c r="E71" s="302">
        <f>E31/IS!E17</f>
        <v>59.543888515587987</v>
      </c>
      <c r="F71" s="302">
        <f>F31/IS!F17</f>
        <v>46.007052765413157</v>
      </c>
      <c r="G71" s="302">
        <f>G31/IS!G17</f>
        <v>46.922121744652458</v>
      </c>
      <c r="H71" s="302"/>
      <c r="I71" s="302">
        <f>I31/IS!I17</f>
        <v>45.207373440445494</v>
      </c>
      <c r="J71" s="302">
        <f>J31/IS!J17</f>
        <v>46.649575766532628</v>
      </c>
      <c r="K71" s="302">
        <f>K31/IS!K17</f>
        <v>41.776063700871013</v>
      </c>
      <c r="L71" s="302">
        <f>L31/IS!L17</f>
        <v>41.954810991418732</v>
      </c>
      <c r="M71" s="302"/>
      <c r="N71" s="302">
        <f>N31/IS!N17</f>
        <v>41.685999430653311</v>
      </c>
      <c r="O71" s="302">
        <f>O31/IS!O17</f>
        <v>38.172031729785054</v>
      </c>
      <c r="P71" s="302">
        <f>P31/IS!P17</f>
        <v>32.829299054086832</v>
      </c>
      <c r="Q71" s="302">
        <f>Q31/IS!Q17</f>
        <v>39.046544763714081</v>
      </c>
      <c r="R71" s="302"/>
      <c r="S71" s="302">
        <f>S31/IS!S17</f>
        <v>36.116405894955527</v>
      </c>
      <c r="T71" s="302">
        <f>T31/IS!T17</f>
        <v>41.033953187158851</v>
      </c>
      <c r="U71" s="302">
        <f>U31/IS!U17</f>
        <v>32.305065452475809</v>
      </c>
      <c r="V71" s="302">
        <f>V31/IS!V17</f>
        <v>28.216600871309392</v>
      </c>
      <c r="W71" s="302"/>
      <c r="X71" s="302">
        <f>X31/IS!X17</f>
        <v>20.553794286390254</v>
      </c>
      <c r="Y71" s="302">
        <f>Y31/IS!Y17</f>
        <v>21.603004895256841</v>
      </c>
      <c r="Z71" s="302">
        <f>Z31/IS!Z17</f>
        <v>18.23450821096273</v>
      </c>
      <c r="AA71" s="302">
        <f>AA31/IS!AA17</f>
        <v>15.695955968654637</v>
      </c>
      <c r="AC71" s="302">
        <f>AC31/IS!AC17</f>
        <v>13.576894973991406</v>
      </c>
      <c r="AD71" s="302">
        <f>AD31/IS!AD17</f>
        <v>13.361414736583002</v>
      </c>
      <c r="AE71" s="302">
        <f>AE31/IS!AE17</f>
        <v>11.398176514831869</v>
      </c>
      <c r="AF71" s="302">
        <f>AF31/IS!AF17</f>
        <v>11.338181584753178</v>
      </c>
      <c r="AH71" s="302">
        <f>AH31/IS!AH17</f>
        <v>10.700618063183436</v>
      </c>
      <c r="AI71" s="302">
        <f>AI31/IS!AI17</f>
        <v>11.477213143063471</v>
      </c>
      <c r="AJ71" s="302">
        <f>AJ31/IS!AJ17</f>
        <v>10.868772985623536</v>
      </c>
      <c r="AK71" s="302">
        <f>AK31/IS!AK17</f>
        <v>10.780577015407447</v>
      </c>
      <c r="AM71" s="302">
        <f>AM31/IS!AM17</f>
        <v>10.56540940159018</v>
      </c>
      <c r="AN71" s="302">
        <f>AN31/IS!AN17</f>
        <v>10.388910341631867</v>
      </c>
      <c r="AO71" s="302">
        <f>AO31/IS!AO17</f>
        <v>10.209504294882711</v>
      </c>
      <c r="AP71" s="302">
        <f>AP31/IS!AP17</f>
        <v>10.550360115717011</v>
      </c>
      <c r="AQ71" s="302"/>
      <c r="AR71" s="302">
        <f>AR31/IS!AR17</f>
        <v>10.043624491776187</v>
      </c>
      <c r="AS71" s="302">
        <f>AS31/IS!AS17</f>
        <v>9.7238798951457905</v>
      </c>
      <c r="AT71" s="302">
        <f>AT31/IS!AT17</f>
        <v>10.295788158656137</v>
      </c>
      <c r="AU71" s="302">
        <f>AU31/IS!AU17</f>
        <v>9.8139636259503487</v>
      </c>
      <c r="AW71" s="302">
        <f>AW31/IS!AW17</f>
        <v>10.015582699546568</v>
      </c>
      <c r="AX71" s="302">
        <f>AX31/IS!AX17</f>
        <v>10.273227333733209</v>
      </c>
      <c r="AY71" s="302">
        <f>AY31/IS!AY17</f>
        <v>9.9898524463461928</v>
      </c>
      <c r="AZ71" s="302">
        <f>AZ31/IS!AZ17</f>
        <v>9.8536737154863889</v>
      </c>
    </row>
    <row r="72" spans="2:52" x14ac:dyDescent="0.2">
      <c r="C72" s="28" t="s">
        <v>221</v>
      </c>
      <c r="D72" s="302">
        <f>D33/IS!D17</f>
        <v>0.13432418279094283</v>
      </c>
      <c r="E72" s="302">
        <f>E33/IS!E17</f>
        <v>9.9847538809641923E-2</v>
      </c>
      <c r="F72" s="302">
        <f>F33/IS!F17</f>
        <v>6.9902464948708748E-2</v>
      </c>
      <c r="G72" s="302">
        <f>G33/IS!G17</f>
        <v>9.9022218360748857E-2</v>
      </c>
      <c r="H72" s="302"/>
      <c r="I72" s="302">
        <f>I33/IS!I17</f>
        <v>0.10029374794577869</v>
      </c>
      <c r="J72" s="302">
        <f>J33/IS!J17</f>
        <v>7.0811368643306269E-2</v>
      </c>
      <c r="K72" s="302">
        <f>K33/IS!K17</f>
        <v>7.5442237462198289E-2</v>
      </c>
      <c r="L72" s="302">
        <f>L33/IS!L17</f>
        <v>5.6354917951744597E-2</v>
      </c>
      <c r="M72" s="302"/>
      <c r="N72" s="302">
        <f>N33/IS!N17</f>
        <v>4.3822185451644825E-2</v>
      </c>
      <c r="O72" s="302">
        <f>O33/IS!O17</f>
        <v>5.3505629477993859E-2</v>
      </c>
      <c r="P72" s="302">
        <f>P33/IS!P17</f>
        <v>5.0885277710405047E-2</v>
      </c>
      <c r="Q72" s="302">
        <f>Q33/IS!Q17</f>
        <v>6.2265495131797674E-2</v>
      </c>
      <c r="R72" s="302"/>
      <c r="S72" s="302">
        <f>S33/IS!S17</f>
        <v>6.0269644441559002E-2</v>
      </c>
      <c r="T72" s="302">
        <f>T33/IS!T17</f>
        <v>5.8580812286057916E-2</v>
      </c>
      <c r="U72" s="302">
        <f>U33/IS!U17</f>
        <v>5.1324115303491916E-2</v>
      </c>
      <c r="V72" s="302">
        <f>V33/IS!V17</f>
        <v>4.7628173188711306E-2</v>
      </c>
      <c r="W72" s="302"/>
      <c r="X72" s="302">
        <f>X33/IS!X17</f>
        <v>2.2306905846268241E-2</v>
      </c>
      <c r="Y72" s="302">
        <f>Y33/IS!Y17</f>
        <v>1.4839146717110393E-2</v>
      </c>
      <c r="Z72" s="302">
        <f>Z33/IS!Z17</f>
        <v>0</v>
      </c>
      <c r="AA72" s="302">
        <f>AA33/IS!AA17</f>
        <v>1.0783084691415985E-2</v>
      </c>
      <c r="AC72" s="302">
        <f>AC33/IS!AC17</f>
        <v>1.0103338494459038E-2</v>
      </c>
      <c r="AD72" s="302">
        <f>AD33/IS!AD17</f>
        <v>7.742129027791666E-3</v>
      </c>
      <c r="AE72" s="302">
        <f>AE33/IS!AE17</f>
        <v>4.6119131918328409E-3</v>
      </c>
      <c r="AF72" s="302">
        <f>AF33/IS!AF17</f>
        <v>1.3852146913843025E-3</v>
      </c>
      <c r="AH72" s="302">
        <f>AH33/IS!AH17</f>
        <v>1.5738478941587291E-2</v>
      </c>
      <c r="AI72" s="302">
        <f>AI33/IS!AI17</f>
        <v>1.3105386269800155E-2</v>
      </c>
      <c r="AJ72" s="302">
        <f>AJ33/IS!AJ17</f>
        <v>1.2865757767128547E-2</v>
      </c>
      <c r="AK72" s="302">
        <f>AK33/IS!AK17</f>
        <v>1.2125180044520099E-2</v>
      </c>
      <c r="AM72" s="302">
        <f>AM33/IS!AM17</f>
        <v>2.7897893709024967E-4</v>
      </c>
      <c r="AN72" s="302">
        <f>AN33/IS!AN17</f>
        <v>5.5715838192379617E-4</v>
      </c>
      <c r="AO72" s="302">
        <f>AO33/IS!AO17</f>
        <v>6.839429731140622E-4</v>
      </c>
      <c r="AP72" s="302">
        <f>AP33/IS!AP17</f>
        <v>7.4344787647809176E-4</v>
      </c>
      <c r="AR72" s="302">
        <f>AR33/IS!AR17</f>
        <v>8.7430920728456232E-4</v>
      </c>
      <c r="AS72" s="302">
        <f>AS33/IS!AS17</f>
        <v>1.0224973533234781E-3</v>
      </c>
      <c r="AT72" s="303">
        <v>0.01</v>
      </c>
      <c r="AU72" s="303">
        <v>0.01</v>
      </c>
      <c r="AW72" s="303">
        <v>0.01</v>
      </c>
      <c r="AX72" s="303">
        <v>0.01</v>
      </c>
      <c r="AY72" s="303">
        <v>0.01</v>
      </c>
      <c r="AZ72" s="303">
        <v>0.01</v>
      </c>
    </row>
    <row r="73" spans="2:52" x14ac:dyDescent="0.2">
      <c r="C73" s="28" t="s">
        <v>222</v>
      </c>
      <c r="D73" s="302">
        <f>D38/IS!D17</f>
        <v>3.205463452965681E-2</v>
      </c>
      <c r="E73" s="302">
        <f>E38/IS!E17</f>
        <v>2.5852202915045995E-2</v>
      </c>
      <c r="F73" s="302">
        <f>F38/IS!F17</f>
        <v>1.9574553242736003E-2</v>
      </c>
      <c r="G73" s="302">
        <f>G38/IS!G17</f>
        <v>8.7073913400596351E-2</v>
      </c>
      <c r="H73" s="302"/>
      <c r="I73" s="302">
        <f>I38/IS!I17</f>
        <v>6.2611125885226007E-2</v>
      </c>
      <c r="J73" s="302">
        <f>J38/IS!J17</f>
        <v>4.8233273372463914E-2</v>
      </c>
      <c r="K73" s="302">
        <f>K38/IS!K17</f>
        <v>3.6234191319888517E-2</v>
      </c>
      <c r="L73" s="302">
        <f>L38/IS!L17</f>
        <v>4.5660911289985416E-2</v>
      </c>
      <c r="M73" s="302"/>
      <c r="N73" s="302">
        <f>N38/IS!N17</f>
        <v>4.014370864079312E-2</v>
      </c>
      <c r="O73" s="302">
        <f>O38/IS!O17</f>
        <v>3.5184237461617196E-2</v>
      </c>
      <c r="P73" s="302">
        <f>P38/IS!P17</f>
        <v>0.28486538927965072</v>
      </c>
      <c r="Q73" s="302">
        <f>Q38/IS!Q17</f>
        <v>0.32835431014010924</v>
      </c>
      <c r="R73" s="302"/>
      <c r="S73" s="302">
        <f>S38/IS!S17</f>
        <v>5.1093942738427579E-2</v>
      </c>
      <c r="T73" s="302">
        <f>T38/IS!T17</f>
        <v>8.1635673975390871E-2</v>
      </c>
      <c r="U73" s="302">
        <f>U38/IS!U17</f>
        <v>5.7902842411865142E-2</v>
      </c>
      <c r="V73" s="302">
        <f>V38/IS!V17</f>
        <v>0.33073984643491372</v>
      </c>
      <c r="W73" s="302"/>
      <c r="X73" s="302">
        <f>X38/IS!X17</f>
        <v>0.22283247006734319</v>
      </c>
      <c r="Y73" s="302">
        <f>Y38/IS!Y17</f>
        <v>0.17293165812446479</v>
      </c>
      <c r="Z73" s="302">
        <f>Z38/IS!Z17</f>
        <v>0.1754108476972758</v>
      </c>
      <c r="AA73" s="302">
        <f>AA38/IS!AA17</f>
        <v>0.10390019028972985</v>
      </c>
      <c r="AC73" s="302">
        <f>AC38/IS!AC17</f>
        <v>9.5744680851063829E-2</v>
      </c>
      <c r="AD73" s="302">
        <f>AD38/IS!AD17</f>
        <v>0.11142050568063813</v>
      </c>
      <c r="AE73" s="302">
        <f>AE38/IS!AE17</f>
        <v>9.5606391370549063E-2</v>
      </c>
      <c r="AF73" s="302">
        <f>AF38/IS!AF17</f>
        <v>6.400367588679079E-2</v>
      </c>
      <c r="AH73" s="302">
        <f>AH38/IS!AH17</f>
        <v>6.7229535878813709E-2</v>
      </c>
      <c r="AI73" s="302">
        <f>AI38/IS!AI17</f>
        <v>6.9913185450321047E-2</v>
      </c>
      <c r="AJ73" s="302">
        <f>AJ38/IS!AJ17</f>
        <v>6.6811545748356183E-2</v>
      </c>
      <c r="AK73" s="302">
        <f>AK38/IS!AK17</f>
        <v>1.6702311844383338E-3</v>
      </c>
      <c r="AM73" s="302">
        <f>AM38/IS!AM17</f>
        <v>1.6989817268796205E-3</v>
      </c>
      <c r="AN73" s="302">
        <f>AN38/IS!AN17</f>
        <v>1.3901377449979865E-3</v>
      </c>
      <c r="AO73" s="302">
        <f>AO38/IS!AO17</f>
        <v>1.0814673787117864E-2</v>
      </c>
      <c r="AP73" s="302">
        <f>AP38/IS!AP17</f>
        <v>4.1241792726732038E-3</v>
      </c>
      <c r="AR73" s="302">
        <f>AR38/IS!AR17</f>
        <v>4.1971895760105722E-3</v>
      </c>
      <c r="AS73" s="302">
        <f>AS38/IS!AS17</f>
        <v>4.512010726576008E-3</v>
      </c>
      <c r="AT73" s="303">
        <v>0.02</v>
      </c>
      <c r="AU73" s="303">
        <v>0.02</v>
      </c>
      <c r="AW73" s="303">
        <v>0.02</v>
      </c>
      <c r="AX73" s="303">
        <v>0.02</v>
      </c>
      <c r="AY73" s="303">
        <v>0.02</v>
      </c>
      <c r="AZ73" s="303">
        <v>0.02</v>
      </c>
    </row>
    <row r="78" spans="2:52" x14ac:dyDescent="0.2">
      <c r="N78" s="142"/>
    </row>
  </sheetData>
  <pageMargins left="0.17" right="0.17" top="0.75" bottom="0.75" header="0.3" footer="0.3"/>
  <pageSetup scale="3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1B3BF-6F28-428E-9C00-A45A58B60CAA}">
  <sheetPr>
    <pageSetUpPr fitToPage="1"/>
  </sheetPr>
  <dimension ref="A1:BA83"/>
  <sheetViews>
    <sheetView showGridLines="0" workbookViewId="0">
      <pane xSplit="3" ySplit="4" topLeftCell="AJ21" activePane="bottomRight" state="frozen"/>
      <selection pane="topRight" activeCell="D1" sqref="D1"/>
      <selection pane="bottomLeft" activeCell="A5" sqref="A5"/>
      <selection pane="bottomRight" activeCell="AS46" sqref="AS46"/>
    </sheetView>
  </sheetViews>
  <sheetFormatPr defaultColWidth="10.28515625" defaultRowHeight="12.75" outlineLevelCol="1" x14ac:dyDescent="0.2"/>
  <cols>
    <col min="1" max="2" width="1.85546875" style="93" customWidth="1"/>
    <col min="3" max="3" width="52.42578125" style="93" customWidth="1"/>
    <col min="4" max="7" width="9.7109375" style="93" hidden="1" customWidth="1" outlineLevel="1"/>
    <col min="8" max="8" width="10.42578125" style="93" customWidth="1" collapsed="1"/>
    <col min="9" max="12" width="10.42578125" style="93" hidden="1" customWidth="1" outlineLevel="1"/>
    <col min="13" max="13" width="10.42578125" style="93" customWidth="1" collapsed="1"/>
    <col min="14" max="17" width="10.42578125" style="93" customWidth="1" outlineLevel="1"/>
    <col min="18" max="18" width="10.85546875" style="93" bestFit="1" customWidth="1"/>
    <col min="19" max="22" width="10.42578125" style="93" hidden="1" customWidth="1" outlineLevel="1"/>
    <col min="23" max="23" width="10.85546875" style="93" bestFit="1" customWidth="1" collapsed="1"/>
    <col min="24" max="27" width="10.42578125" style="93" hidden="1" customWidth="1" outlineLevel="1"/>
    <col min="28" max="28" width="11.28515625" style="93" bestFit="1" customWidth="1" collapsed="1"/>
    <col min="29" max="32" width="0" style="93" hidden="1" customWidth="1" outlineLevel="1"/>
    <col min="33" max="33" width="12.140625" style="93" customWidth="1" collapsed="1"/>
    <col min="34" max="35" width="10.28515625" style="93" outlineLevel="1"/>
    <col min="36" max="36" width="11.28515625" style="93" bestFit="1" customWidth="1" outlineLevel="1"/>
    <col min="37" max="37" width="10.28515625" style="93" outlineLevel="1"/>
    <col min="38" max="38" width="10.85546875" style="93" bestFit="1" customWidth="1"/>
    <col min="39" max="40" width="10.28515625" style="93" outlineLevel="1"/>
    <col min="41" max="41" width="11.28515625" style="93" bestFit="1" customWidth="1" outlineLevel="1"/>
    <col min="42" max="42" width="10.28515625" style="93" outlineLevel="1"/>
    <col min="43" max="43" width="10.85546875" style="93" bestFit="1" customWidth="1"/>
    <col min="44" max="47" width="10.28515625" style="93" outlineLevel="1"/>
    <col min="48" max="48" width="10.28515625" style="93"/>
    <col min="49" max="52" width="10.28515625" style="93" outlineLevel="1"/>
    <col min="53" max="16384" width="10.28515625" style="93"/>
  </cols>
  <sheetData>
    <row r="1" spans="1:53" ht="10.35" customHeight="1" x14ac:dyDescent="0.2">
      <c r="A1" s="28"/>
      <c r="B1" s="28"/>
      <c r="C1" s="28"/>
    </row>
    <row r="2" spans="1:53" ht="15.75" x14ac:dyDescent="0.25">
      <c r="A2" s="28"/>
      <c r="B2" s="96" t="s">
        <v>74</v>
      </c>
      <c r="C2" s="96"/>
      <c r="T2" s="101">
        <f>T52+S52+Q52+P52</f>
        <v>-35005</v>
      </c>
      <c r="Y2" s="101"/>
      <c r="AC2" s="101"/>
      <c r="AD2" s="101"/>
      <c r="AE2" s="101"/>
      <c r="AF2" s="101"/>
      <c r="AH2" s="101"/>
      <c r="AI2" s="101"/>
      <c r="AK2" s="101"/>
      <c r="AM2" s="101"/>
      <c r="AN2" s="101"/>
      <c r="AP2" s="101"/>
      <c r="AR2" s="101"/>
      <c r="AS2" s="101"/>
    </row>
    <row r="3" spans="1:53" ht="5.0999999999999996" customHeight="1" thickBot="1" x14ac:dyDescent="0.25">
      <c r="A3" s="28"/>
      <c r="B3" s="28"/>
      <c r="C3" s="28"/>
      <c r="AC3" s="93" t="s">
        <v>295</v>
      </c>
    </row>
    <row r="4" spans="1:53" ht="13.5" thickBot="1" x14ac:dyDescent="0.25">
      <c r="A4" s="28"/>
      <c r="B4" s="104" t="s">
        <v>224</v>
      </c>
      <c r="C4" s="104"/>
      <c r="D4" s="71" t="s">
        <v>17</v>
      </c>
      <c r="E4" s="71" t="s">
        <v>18</v>
      </c>
      <c r="F4" s="71" t="s">
        <v>19</v>
      </c>
      <c r="G4" s="71" t="s">
        <v>20</v>
      </c>
      <c r="H4" s="72">
        <v>2018</v>
      </c>
      <c r="I4" s="71" t="s">
        <v>21</v>
      </c>
      <c r="J4" s="71" t="s">
        <v>22</v>
      </c>
      <c r="K4" s="71" t="s">
        <v>10</v>
      </c>
      <c r="L4" s="71" t="s">
        <v>11</v>
      </c>
      <c r="M4" s="72">
        <v>2019</v>
      </c>
      <c r="N4" s="71" t="s">
        <v>12</v>
      </c>
      <c r="O4" s="71" t="s">
        <v>13</v>
      </c>
      <c r="P4" s="71" t="s">
        <v>14</v>
      </c>
      <c r="Q4" s="71" t="s">
        <v>15</v>
      </c>
      <c r="R4" s="72">
        <v>2020</v>
      </c>
      <c r="S4" s="71" t="s">
        <v>6</v>
      </c>
      <c r="T4" s="71" t="s">
        <v>7</v>
      </c>
      <c r="U4" s="71" t="s">
        <v>8</v>
      </c>
      <c r="V4" s="71" t="s">
        <v>0</v>
      </c>
      <c r="W4" s="72">
        <v>2021</v>
      </c>
      <c r="X4" s="71" t="s">
        <v>1</v>
      </c>
      <c r="Y4" s="71" t="s">
        <v>2</v>
      </c>
      <c r="Z4" s="71" t="s">
        <v>3</v>
      </c>
      <c r="AA4" s="71" t="s">
        <v>4</v>
      </c>
      <c r="AB4" s="72">
        <v>2022</v>
      </c>
      <c r="AC4" s="71" t="s">
        <v>5</v>
      </c>
      <c r="AD4" s="71" t="s">
        <v>68</v>
      </c>
      <c r="AE4" s="71" t="s">
        <v>274</v>
      </c>
      <c r="AF4" s="71" t="s">
        <v>306</v>
      </c>
      <c r="AG4" s="72">
        <v>2023</v>
      </c>
      <c r="AH4" s="71" t="str">
        <f>IS!AH4</f>
        <v>1Q24</v>
      </c>
      <c r="AI4" s="71" t="str">
        <f>IS!AI4</f>
        <v>2Q24</v>
      </c>
      <c r="AJ4" s="71" t="str">
        <f>IS!AJ4</f>
        <v>3Q24</v>
      </c>
      <c r="AK4" s="71" t="s">
        <v>401</v>
      </c>
      <c r="AL4" s="71">
        <f>IS!AL4</f>
        <v>2024</v>
      </c>
      <c r="AM4" s="71" t="str">
        <f>IS!AM4</f>
        <v>1Q25</v>
      </c>
      <c r="AN4" s="71" t="str">
        <f>IS!AN4</f>
        <v>2Q25</v>
      </c>
      <c r="AO4" s="71" t="str">
        <f>IS!AO4</f>
        <v>3Q25</v>
      </c>
      <c r="AP4" s="71" t="str">
        <f>IS!AP4</f>
        <v>4Q25</v>
      </c>
      <c r="AQ4" s="71">
        <f>IS!AQ4</f>
        <v>2025</v>
      </c>
      <c r="AR4" s="71" t="str">
        <f>IS!AR4</f>
        <v>1Q26</v>
      </c>
      <c r="AS4" s="71" t="str">
        <f>IS!AS4</f>
        <v>2Q26</v>
      </c>
      <c r="AT4" s="71" t="str">
        <f>IS!AT4</f>
        <v>3Q26E</v>
      </c>
      <c r="AU4" s="71" t="str">
        <f>IS!AU4</f>
        <v>4Q26E</v>
      </c>
      <c r="AV4" s="71" t="str">
        <f>IS!AV4</f>
        <v>2026E</v>
      </c>
      <c r="AW4" s="71" t="str">
        <f>IS!AW4</f>
        <v>1Q27E</v>
      </c>
      <c r="AX4" s="71" t="str">
        <f>IS!AX4</f>
        <v>2Q27E</v>
      </c>
      <c r="AY4" s="71" t="str">
        <f>IS!AY4</f>
        <v>3Q27E</v>
      </c>
      <c r="AZ4" s="71" t="str">
        <f>IS!AZ4</f>
        <v>4Q27E</v>
      </c>
      <c r="BA4" s="71" t="str">
        <f>IS!BA4</f>
        <v>2027E</v>
      </c>
    </row>
    <row r="5" spans="1:53" x14ac:dyDescent="0.2">
      <c r="B5" s="309" t="s">
        <v>225</v>
      </c>
      <c r="C5" s="220"/>
      <c r="D5" s="28"/>
      <c r="E5" s="28"/>
      <c r="F5" s="28"/>
      <c r="G5" s="28"/>
      <c r="H5" s="227"/>
      <c r="I5" s="28"/>
      <c r="J5" s="28"/>
      <c r="K5" s="28"/>
      <c r="L5" s="28"/>
      <c r="M5" s="227"/>
      <c r="N5" s="28"/>
      <c r="O5" s="28"/>
      <c r="P5" s="28"/>
      <c r="Q5" s="28"/>
      <c r="R5" s="227"/>
      <c r="S5" s="28"/>
      <c r="T5" s="28"/>
      <c r="U5" s="28"/>
      <c r="V5" s="28"/>
      <c r="W5" s="227"/>
      <c r="X5" s="28"/>
      <c r="Y5" s="28"/>
      <c r="Z5" s="28"/>
      <c r="AA5" s="28"/>
      <c r="AB5" s="227"/>
      <c r="AC5" s="28"/>
      <c r="AD5" s="28"/>
      <c r="AE5" s="28"/>
      <c r="AF5" s="28"/>
      <c r="AG5" s="227"/>
      <c r="AH5" s="28"/>
      <c r="AI5" s="28"/>
      <c r="AJ5" s="28"/>
      <c r="AK5" s="28"/>
      <c r="AL5" s="227"/>
      <c r="AM5" s="28"/>
      <c r="AN5" s="28"/>
      <c r="AO5" s="28"/>
      <c r="AP5" s="28"/>
      <c r="AQ5" s="227"/>
      <c r="AR5" s="28"/>
      <c r="AS5" s="28"/>
      <c r="AT5" s="28"/>
      <c r="AU5" s="28"/>
      <c r="AV5" s="227"/>
      <c r="AW5" s="28"/>
      <c r="AX5" s="28"/>
      <c r="AY5" s="28"/>
      <c r="AZ5" s="28"/>
      <c r="BA5" s="227"/>
    </row>
    <row r="6" spans="1:53" x14ac:dyDescent="0.2">
      <c r="B6" s="314"/>
      <c r="C6" s="126"/>
      <c r="D6" s="28"/>
      <c r="E6" s="28"/>
      <c r="F6" s="28"/>
      <c r="G6" s="28"/>
      <c r="H6" s="310"/>
      <c r="I6" s="28"/>
      <c r="J6" s="28"/>
      <c r="K6" s="28"/>
      <c r="L6" s="28"/>
      <c r="M6" s="310"/>
      <c r="N6" s="28"/>
      <c r="O6" s="28"/>
      <c r="P6" s="28"/>
      <c r="Q6" s="28"/>
      <c r="R6" s="310"/>
      <c r="S6" s="28"/>
      <c r="T6" s="28"/>
      <c r="U6" s="28"/>
      <c r="V6" s="28"/>
      <c r="W6" s="310"/>
      <c r="X6" s="28"/>
      <c r="Y6" s="28"/>
      <c r="Z6" s="28"/>
      <c r="AA6" s="28"/>
      <c r="AB6" s="310"/>
      <c r="AC6" s="28"/>
      <c r="AD6" s="28"/>
      <c r="AE6" s="28"/>
      <c r="AF6" s="28"/>
      <c r="AG6" s="310"/>
      <c r="AH6" s="28"/>
      <c r="AI6" s="28"/>
      <c r="AJ6" s="28"/>
      <c r="AK6" s="28"/>
      <c r="AL6" s="310"/>
      <c r="AM6" s="28"/>
      <c r="AN6" s="28"/>
      <c r="AO6" s="28"/>
      <c r="AP6" s="28"/>
      <c r="AQ6" s="310"/>
      <c r="AR6" s="28"/>
      <c r="AS6" s="28"/>
      <c r="AT6" s="28"/>
      <c r="AU6" s="28"/>
      <c r="AV6" s="310"/>
      <c r="AW6" s="28"/>
      <c r="AX6" s="28"/>
      <c r="AY6" s="28"/>
      <c r="AZ6" s="28"/>
      <c r="BA6" s="310"/>
    </row>
    <row r="7" spans="1:53" x14ac:dyDescent="0.2">
      <c r="B7" s="138" t="s">
        <v>226</v>
      </c>
      <c r="C7" s="126"/>
      <c r="D7" s="109">
        <f>IS!D76</f>
        <v>-2994.7337499999994</v>
      </c>
      <c r="E7" s="109">
        <f>IS!E76</f>
        <v>-1587.3624600000012</v>
      </c>
      <c r="F7" s="109">
        <f>IS!F76</f>
        <v>-1190.4828399999965</v>
      </c>
      <c r="G7" s="109">
        <f>IS!G76</f>
        <v>-1422.1002599999995</v>
      </c>
      <c r="H7" s="110">
        <f>IS!H76</f>
        <v>-7194.6793099999913</v>
      </c>
      <c r="I7" s="109">
        <f>IS!I76</f>
        <v>-1063.2963000000041</v>
      </c>
      <c r="J7" s="109">
        <f>IS!J76</f>
        <v>281.17186000000248</v>
      </c>
      <c r="K7" s="109">
        <f>IS!K76</f>
        <v>-2032.5919599999997</v>
      </c>
      <c r="L7" s="109">
        <f>IS!L76</f>
        <v>-4500.1076799999992</v>
      </c>
      <c r="M7" s="110">
        <f>IS!M76</f>
        <v>-7314.8240800000003</v>
      </c>
      <c r="N7" s="109">
        <f>IS!N76</f>
        <v>-5696.2804999999971</v>
      </c>
      <c r="O7" s="109">
        <f>IS!O76</f>
        <v>-7578</v>
      </c>
      <c r="P7" s="109">
        <f>IS!P76</f>
        <v>-8319</v>
      </c>
      <c r="Q7" s="109">
        <f>IS!Q76</f>
        <v>-9498</v>
      </c>
      <c r="R7" s="110">
        <f>IS!R76</f>
        <v>-31091.280499999993</v>
      </c>
      <c r="S7" s="109">
        <f>IS!S76</f>
        <v>-12751</v>
      </c>
      <c r="T7" s="109">
        <f>IS!T76</f>
        <v>-17460</v>
      </c>
      <c r="U7" s="109">
        <f>IS!U76</f>
        <v>-26728</v>
      </c>
      <c r="V7" s="109">
        <f>IS!V76</f>
        <v>-41862</v>
      </c>
      <c r="W7" s="110">
        <f>IS!W76</f>
        <v>-98801</v>
      </c>
      <c r="X7" s="109">
        <v>-75685</v>
      </c>
      <c r="Y7" s="109">
        <f>IS!Y76</f>
        <v>-80440</v>
      </c>
      <c r="Z7" s="109">
        <f>IS!Z76</f>
        <v>-86720</v>
      </c>
      <c r="AA7" s="109">
        <f>IS!AA76</f>
        <v>-84942</v>
      </c>
      <c r="AB7" s="110">
        <f>IS!AB76</f>
        <v>-325841</v>
      </c>
      <c r="AC7" s="109">
        <f>IS!AC76</f>
        <v>-81640</v>
      </c>
      <c r="AD7" s="109">
        <f>IS!AD76</f>
        <v>-95076</v>
      </c>
      <c r="AE7" s="109">
        <f>IS!AE76</f>
        <v>-31138</v>
      </c>
      <c r="AF7" s="109">
        <f>IS!AF76</f>
        <v>-15871</v>
      </c>
      <c r="AG7" s="110">
        <f>SUM(AC7:AF7)</f>
        <v>-223725</v>
      </c>
      <c r="AH7" s="109">
        <f>IS!AH76</f>
        <v>-27861</v>
      </c>
      <c r="AI7" s="109">
        <f>IS!AI76</f>
        <v>-40421</v>
      </c>
      <c r="AJ7" s="109">
        <f>IS!AJ76</f>
        <v>31809</v>
      </c>
      <c r="AK7" s="109">
        <f>IS!AK76</f>
        <v>7596</v>
      </c>
      <c r="AL7" s="110">
        <f>SUM(AH7:AK7)</f>
        <v>-28877</v>
      </c>
      <c r="AM7" s="109">
        <f>IS!AM76</f>
        <v>8912</v>
      </c>
      <c r="AN7" s="109">
        <f>IS!AN76</f>
        <v>33548</v>
      </c>
      <c r="AO7" s="109">
        <f>IS!AO76</f>
        <v>-11589</v>
      </c>
      <c r="AP7" s="109">
        <v>-7072</v>
      </c>
      <c r="AQ7" s="110">
        <f>SUM(AM7:AP7)</f>
        <v>23799</v>
      </c>
      <c r="AR7" s="109">
        <f>IS!AR76</f>
        <v>-2962</v>
      </c>
      <c r="AS7" s="109">
        <f>IS!AS76</f>
        <v>-2588</v>
      </c>
      <c r="AT7" s="109">
        <f>IS!AT76</f>
        <v>-5188.2592932609259</v>
      </c>
      <c r="AU7" s="109">
        <f>IS!AU76</f>
        <v>103.04782263055677</v>
      </c>
      <c r="AV7" s="110">
        <f>SUM(AR7:AU7)</f>
        <v>-10635.211470630369</v>
      </c>
      <c r="AW7" s="109">
        <f>IS!AW76</f>
        <v>1447.0467069534934</v>
      </c>
      <c r="AX7" s="109">
        <f>IS!AX76</f>
        <v>3379.0605286665959</v>
      </c>
      <c r="AY7" s="109">
        <f>IS!AY76</f>
        <v>-5124.5478175050812</v>
      </c>
      <c r="AZ7" s="109">
        <f>IS!AZ76</f>
        <v>-2470.6487157316878</v>
      </c>
      <c r="BA7" s="110">
        <f>SUM(AW7:AZ7)</f>
        <v>-2769.0892976166797</v>
      </c>
    </row>
    <row r="8" spans="1:53" ht="7.5" customHeight="1" x14ac:dyDescent="0.2">
      <c r="B8" s="138"/>
      <c r="C8" s="126"/>
      <c r="D8" s="28"/>
      <c r="E8" s="28"/>
      <c r="F8" s="28"/>
      <c r="G8" s="28"/>
      <c r="H8" s="310"/>
      <c r="I8" s="28"/>
      <c r="J8" s="28"/>
      <c r="K8" s="28"/>
      <c r="L8" s="28"/>
      <c r="M8" s="310"/>
      <c r="N8" s="28"/>
      <c r="O8" s="28"/>
      <c r="P8" s="28"/>
      <c r="Q8" s="28"/>
      <c r="R8" s="310"/>
      <c r="S8" s="28"/>
      <c r="T8" s="28"/>
      <c r="U8" s="28"/>
      <c r="V8" s="28"/>
      <c r="W8" s="310"/>
      <c r="X8" s="28"/>
      <c r="Y8" s="28"/>
      <c r="Z8" s="28"/>
      <c r="AA8" s="28"/>
      <c r="AB8" s="310"/>
      <c r="AC8" s="28"/>
      <c r="AD8" s="28"/>
      <c r="AE8" s="28"/>
      <c r="AF8" s="28"/>
      <c r="AG8" s="310"/>
      <c r="AH8" s="28"/>
      <c r="AI8" s="28"/>
      <c r="AJ8" s="28"/>
      <c r="AK8" s="28"/>
      <c r="AL8" s="310"/>
      <c r="AM8" s="28"/>
      <c r="AN8" s="28"/>
      <c r="AO8" s="28"/>
      <c r="AP8" s="28"/>
      <c r="AQ8" s="310"/>
      <c r="AR8" s="28"/>
      <c r="AS8" s="28"/>
      <c r="AT8" s="28"/>
      <c r="AU8" s="28"/>
      <c r="AV8" s="310"/>
      <c r="AW8" s="28"/>
      <c r="AX8" s="28"/>
      <c r="AY8" s="28"/>
      <c r="AZ8" s="28"/>
      <c r="BA8" s="310"/>
    </row>
    <row r="9" spans="1:53" ht="13.5" customHeight="1" x14ac:dyDescent="0.2">
      <c r="B9" s="138"/>
      <c r="C9" s="126" t="s">
        <v>228</v>
      </c>
      <c r="D9" s="109">
        <v>370</v>
      </c>
      <c r="E9" s="109">
        <v>365</v>
      </c>
      <c r="F9" s="109">
        <v>369</v>
      </c>
      <c r="G9" s="109">
        <v>441</v>
      </c>
      <c r="H9" s="110">
        <f>SUM(D9:G9)</f>
        <v>1545</v>
      </c>
      <c r="I9" s="109">
        <v>786</v>
      </c>
      <c r="J9" s="109">
        <v>415</v>
      </c>
      <c r="K9" s="109">
        <v>1376</v>
      </c>
      <c r="L9" s="109">
        <v>1505</v>
      </c>
      <c r="M9" s="110">
        <f>SUM(I9:L9)</f>
        <v>4082</v>
      </c>
      <c r="N9" s="109">
        <v>2276</v>
      </c>
      <c r="O9" s="109">
        <v>3075</v>
      </c>
      <c r="P9" s="109">
        <v>5085</v>
      </c>
      <c r="Q9" s="109">
        <v>7628</v>
      </c>
      <c r="R9" s="110">
        <f>SUM(N9:Q9)</f>
        <v>18064</v>
      </c>
      <c r="S9" s="109">
        <v>9894</v>
      </c>
      <c r="T9" s="109">
        <v>10689</v>
      </c>
      <c r="U9" s="109">
        <v>10680</v>
      </c>
      <c r="V9" s="109">
        <v>37027</v>
      </c>
      <c r="W9" s="110">
        <f>SUM(S9:V9)</f>
        <v>68290</v>
      </c>
      <c r="X9" s="109">
        <v>37887</v>
      </c>
      <c r="Y9" s="109">
        <v>49684</v>
      </c>
      <c r="Z9" s="109">
        <v>52810</v>
      </c>
      <c r="AA9" s="111">
        <v>56776</v>
      </c>
      <c r="AB9" s="110">
        <f>SUM(X9:AA9)</f>
        <v>197157</v>
      </c>
      <c r="AC9" s="109">
        <v>72620</v>
      </c>
      <c r="AD9" s="109">
        <v>119305</v>
      </c>
      <c r="AE9" s="109">
        <v>63792</v>
      </c>
      <c r="AF9" s="109">
        <v>57850</v>
      </c>
      <c r="AG9" s="110">
        <f>SUM(AC9:AF9)</f>
        <v>313567</v>
      </c>
      <c r="AH9" s="109">
        <v>65147</v>
      </c>
      <c r="AI9" s="109">
        <v>65500</v>
      </c>
      <c r="AJ9" s="109">
        <v>59389</v>
      </c>
      <c r="AK9" s="109">
        <v>58339</v>
      </c>
      <c r="AL9" s="110">
        <f>SUM(AH9:AK9)</f>
        <v>248375</v>
      </c>
      <c r="AM9" s="109">
        <v>54657</v>
      </c>
      <c r="AN9" s="109">
        <v>65884</v>
      </c>
      <c r="AO9" s="109">
        <v>62230</v>
      </c>
      <c r="AP9" s="109">
        <v>59761</v>
      </c>
      <c r="AQ9" s="110">
        <f>SUM(AM9:AP9)</f>
        <v>242532</v>
      </c>
      <c r="AR9" s="109">
        <v>58805</v>
      </c>
      <c r="AS9" s="109">
        <v>64256</v>
      </c>
      <c r="AT9" s="109">
        <f>IS!AT50</f>
        <v>64350</v>
      </c>
      <c r="AU9" s="109">
        <f>IS!AU50</f>
        <v>67000</v>
      </c>
      <c r="AV9" s="110">
        <f>SUM(AR9:AU9)</f>
        <v>254411</v>
      </c>
      <c r="AW9" s="109">
        <f>IS!AW50</f>
        <v>67000</v>
      </c>
      <c r="AX9" s="109">
        <f>IS!AX50</f>
        <v>71000</v>
      </c>
      <c r="AY9" s="109">
        <f>IS!AY50</f>
        <v>74000</v>
      </c>
      <c r="AZ9" s="109">
        <f>IS!AZ50</f>
        <v>77000</v>
      </c>
      <c r="BA9" s="110">
        <f>SUM(AW9:AZ9)</f>
        <v>289000</v>
      </c>
    </row>
    <row r="10" spans="1:53" x14ac:dyDescent="0.2">
      <c r="B10" s="138"/>
      <c r="C10" s="126" t="s">
        <v>230</v>
      </c>
      <c r="D10" s="109"/>
      <c r="E10" s="109"/>
      <c r="F10" s="109"/>
      <c r="G10" s="109"/>
      <c r="H10" s="110"/>
      <c r="I10" s="109"/>
      <c r="J10" s="109"/>
      <c r="K10" s="109"/>
      <c r="L10" s="109"/>
      <c r="M10" s="110"/>
      <c r="N10" s="109"/>
      <c r="O10" s="109"/>
      <c r="P10" s="109"/>
      <c r="Q10" s="109"/>
      <c r="R10" s="110">
        <f>SUM(N10:Q10)</f>
        <v>0</v>
      </c>
      <c r="S10" s="109"/>
      <c r="T10" s="109"/>
      <c r="U10" s="109"/>
      <c r="V10" s="109">
        <v>5659</v>
      </c>
      <c r="W10" s="110">
        <f>SUM(S10:V10)</f>
        <v>5659</v>
      </c>
      <c r="X10" s="109">
        <v>16672</v>
      </c>
      <c r="Y10" s="109">
        <v>19768</v>
      </c>
      <c r="Z10" s="109">
        <v>19769</v>
      </c>
      <c r="AA10" s="111">
        <v>19768</v>
      </c>
      <c r="AB10" s="110">
        <f>SUM(X10:AA10)</f>
        <v>75977</v>
      </c>
      <c r="AC10" s="109">
        <v>19769</v>
      </c>
      <c r="AD10" s="109">
        <v>19994</v>
      </c>
      <c r="AE10" s="109">
        <v>20220</v>
      </c>
      <c r="AF10" s="109">
        <f>IS!AF46</f>
        <v>20221</v>
      </c>
      <c r="AG10" s="110">
        <f>SUM(AC10:AF10)</f>
        <v>80204</v>
      </c>
      <c r="AH10" s="109">
        <v>20221</v>
      </c>
      <c r="AI10" s="109">
        <v>20222</v>
      </c>
      <c r="AJ10" s="109">
        <v>20220</v>
      </c>
      <c r="AK10" s="109">
        <v>19293</v>
      </c>
      <c r="AL10" s="110">
        <f>SUM(AH10:AK10)</f>
        <v>79956</v>
      </c>
      <c r="AM10" s="109">
        <v>16938</v>
      </c>
      <c r="AN10" s="109">
        <v>14657</v>
      </c>
      <c r="AO10" s="109">
        <v>15165</v>
      </c>
      <c r="AP10" s="109">
        <v>15165</v>
      </c>
      <c r="AQ10" s="110">
        <f>SUM(AM10:AP10)</f>
        <v>61925</v>
      </c>
      <c r="AR10" s="109">
        <v>15165</v>
      </c>
      <c r="AS10" s="109">
        <v>15165</v>
      </c>
      <c r="AT10" s="109">
        <f>IS!AT46</f>
        <v>20000</v>
      </c>
      <c r="AU10" s="109">
        <f>IS!AU46</f>
        <v>20000</v>
      </c>
      <c r="AV10" s="110">
        <f>SUM(AR10:AU10)</f>
        <v>70330</v>
      </c>
      <c r="AW10" s="109">
        <f>IS!AW46</f>
        <v>20000</v>
      </c>
      <c r="AX10" s="109">
        <f>IS!AX46</f>
        <v>20000</v>
      </c>
      <c r="AY10" s="109">
        <f>IS!AY46</f>
        <v>20000</v>
      </c>
      <c r="AZ10" s="109">
        <f>IS!AZ46</f>
        <v>20000</v>
      </c>
      <c r="BA10" s="110">
        <f>SUM(AW10:AZ10)</f>
        <v>80000</v>
      </c>
    </row>
    <row r="11" spans="1:53" x14ac:dyDescent="0.2">
      <c r="B11" s="138"/>
      <c r="C11" s="126" t="s">
        <v>227</v>
      </c>
      <c r="D11" s="109">
        <v>521</v>
      </c>
      <c r="E11" s="109">
        <v>513</v>
      </c>
      <c r="F11" s="109">
        <v>586</v>
      </c>
      <c r="G11" s="109">
        <v>694</v>
      </c>
      <c r="H11" s="110">
        <f t="shared" ref="H11:H22" si="0">SUM(D11:G11)</f>
        <v>2314</v>
      </c>
      <c r="I11" s="109">
        <v>765</v>
      </c>
      <c r="J11" s="109">
        <v>808</v>
      </c>
      <c r="K11" s="109">
        <v>846</v>
      </c>
      <c r="L11" s="109">
        <v>735</v>
      </c>
      <c r="M11" s="110">
        <f t="shared" ref="M11:M22" si="1">SUM(I11:L11)</f>
        <v>3154</v>
      </c>
      <c r="N11" s="109">
        <v>985</v>
      </c>
      <c r="O11" s="109">
        <v>1120</v>
      </c>
      <c r="P11" s="109">
        <v>1100</v>
      </c>
      <c r="Q11" s="109">
        <v>1052</v>
      </c>
      <c r="R11" s="110">
        <f t="shared" ref="R11:R32" si="2">SUM(N11:Q11)</f>
        <v>4257</v>
      </c>
      <c r="S11" s="109">
        <v>924</v>
      </c>
      <c r="T11" s="109">
        <v>999</v>
      </c>
      <c r="U11" s="109">
        <v>1526</v>
      </c>
      <c r="V11" s="109">
        <v>1901</v>
      </c>
      <c r="W11" s="110">
        <f t="shared" ref="W11:W32" si="3">SUM(S11:V11)</f>
        <v>5350</v>
      </c>
      <c r="X11" s="109">
        <v>2388</v>
      </c>
      <c r="Y11" s="109">
        <v>2635</v>
      </c>
      <c r="Z11" s="109">
        <v>3197</v>
      </c>
      <c r="AA11" s="111">
        <v>2460</v>
      </c>
      <c r="AB11" s="110">
        <f t="shared" ref="AB11:AB32" si="4">SUM(X11:AA11)</f>
        <v>10680</v>
      </c>
      <c r="AC11" s="109">
        <v>2546</v>
      </c>
      <c r="AD11" s="109">
        <v>2535</v>
      </c>
      <c r="AE11" s="109">
        <v>2826</v>
      </c>
      <c r="AF11" s="109">
        <f>IS!AF47</f>
        <v>3351</v>
      </c>
      <c r="AG11" s="110">
        <f t="shared" ref="AG11:AG32" si="5">SUM(AC11:AF11)</f>
        <v>11258</v>
      </c>
      <c r="AH11" s="109">
        <v>3718</v>
      </c>
      <c r="AI11" s="109">
        <v>3240</v>
      </c>
      <c r="AJ11" s="109">
        <v>3209</v>
      </c>
      <c r="AK11" s="109">
        <v>3671</v>
      </c>
      <c r="AL11" s="110">
        <f t="shared" ref="AL11:AL32" si="6">SUM(AH11:AK11)</f>
        <v>13838</v>
      </c>
      <c r="AM11" s="109">
        <v>3169</v>
      </c>
      <c r="AN11" s="109">
        <v>3510</v>
      </c>
      <c r="AO11" s="109">
        <v>3171</v>
      </c>
      <c r="AP11" s="109">
        <v>3160</v>
      </c>
      <c r="AQ11" s="110">
        <f t="shared" ref="AQ11:AQ32" si="7">SUM(AM11:AP11)</f>
        <v>13010</v>
      </c>
      <c r="AR11" s="109">
        <v>3839</v>
      </c>
      <c r="AS11" s="109">
        <v>7615</v>
      </c>
      <c r="AT11" s="109">
        <f>IS!AT47</f>
        <v>0</v>
      </c>
      <c r="AU11" s="109">
        <f>IS!AU47</f>
        <v>0</v>
      </c>
      <c r="AV11" s="110">
        <f t="shared" ref="AV11:AV14" si="8">SUM(AR11:AU11)</f>
        <v>11454</v>
      </c>
      <c r="AW11" s="109">
        <f>IS!AW47</f>
        <v>0</v>
      </c>
      <c r="AX11" s="109">
        <f>IS!AX47</f>
        <v>0</v>
      </c>
      <c r="AY11" s="109">
        <f>IS!AY47</f>
        <v>0</v>
      </c>
      <c r="AZ11" s="109">
        <f>IS!AZ47</f>
        <v>0</v>
      </c>
      <c r="BA11" s="110">
        <f t="shared" ref="BA11:BA20" si="9">SUM(AW11:AZ11)</f>
        <v>0</v>
      </c>
    </row>
    <row r="12" spans="1:53" x14ac:dyDescent="0.2">
      <c r="B12" s="138"/>
      <c r="C12" s="126" t="s">
        <v>231</v>
      </c>
      <c r="D12" s="109"/>
      <c r="E12" s="109"/>
      <c r="F12" s="109"/>
      <c r="G12" s="109"/>
      <c r="H12" s="110"/>
      <c r="I12" s="109"/>
      <c r="J12" s="109"/>
      <c r="K12" s="109"/>
      <c r="L12" s="109"/>
      <c r="M12" s="110"/>
      <c r="N12" s="109"/>
      <c r="O12" s="109"/>
      <c r="P12" s="109"/>
      <c r="Q12" s="109"/>
      <c r="R12" s="110">
        <f>SUM(N12:Q12)</f>
        <v>0</v>
      </c>
      <c r="S12" s="109"/>
      <c r="T12" s="109"/>
      <c r="U12" s="109"/>
      <c r="V12" s="109"/>
      <c r="W12" s="110">
        <f>SUM(S12:V12)</f>
        <v>0</v>
      </c>
      <c r="X12" s="109"/>
      <c r="Y12" s="109"/>
      <c r="Z12" s="109"/>
      <c r="AA12" s="111">
        <v>847</v>
      </c>
      <c r="AB12" s="110">
        <f>SUM(X12:AA12)</f>
        <v>847</v>
      </c>
      <c r="AC12" s="109">
        <v>924</v>
      </c>
      <c r="AD12" s="109">
        <v>977</v>
      </c>
      <c r="AE12" s="109">
        <v>1108</v>
      </c>
      <c r="AF12" s="109">
        <v>1206</v>
      </c>
      <c r="AG12" s="110">
        <f>SUM(AC12:AF12)</f>
        <v>4215</v>
      </c>
      <c r="AH12" s="109">
        <v>1352</v>
      </c>
      <c r="AI12" s="109">
        <v>2387</v>
      </c>
      <c r="AJ12" s="109">
        <v>2593</v>
      </c>
      <c r="AK12" s="109">
        <v>3037</v>
      </c>
      <c r="AL12" s="110">
        <f>SUM(AH12:AK12)</f>
        <v>9369</v>
      </c>
      <c r="AM12" s="109">
        <v>3944</v>
      </c>
      <c r="AN12" s="109">
        <v>3889</v>
      </c>
      <c r="AO12" s="109">
        <v>3114</v>
      </c>
      <c r="AP12" s="109">
        <v>3561</v>
      </c>
      <c r="AQ12" s="110">
        <f>SUM(AM12:AP12)</f>
        <v>14508</v>
      </c>
      <c r="AR12" s="109">
        <v>4507</v>
      </c>
      <c r="AS12" s="109">
        <v>12610</v>
      </c>
      <c r="AT12" s="109"/>
      <c r="AU12" s="109"/>
      <c r="AV12" s="110">
        <f>SUM(AR12:AU12)</f>
        <v>17117</v>
      </c>
      <c r="AW12" s="109"/>
      <c r="AX12" s="109"/>
      <c r="AY12" s="109"/>
      <c r="AZ12" s="109"/>
      <c r="BA12" s="110">
        <f>SUM(AW12:AZ12)</f>
        <v>0</v>
      </c>
    </row>
    <row r="13" spans="1:53" x14ac:dyDescent="0.2">
      <c r="B13" s="138"/>
      <c r="C13" s="126" t="s">
        <v>229</v>
      </c>
      <c r="D13" s="109"/>
      <c r="E13" s="109"/>
      <c r="F13" s="109"/>
      <c r="G13" s="109"/>
      <c r="H13" s="110"/>
      <c r="I13" s="109"/>
      <c r="J13" s="109"/>
      <c r="K13" s="109"/>
      <c r="L13" s="109"/>
      <c r="M13" s="110"/>
      <c r="N13" s="109"/>
      <c r="O13" s="109"/>
      <c r="P13" s="109"/>
      <c r="Q13" s="109"/>
      <c r="R13" s="110">
        <f t="shared" si="2"/>
        <v>0</v>
      </c>
      <c r="S13" s="109"/>
      <c r="T13" s="109">
        <v>3905</v>
      </c>
      <c r="U13" s="109">
        <v>11819</v>
      </c>
      <c r="V13" s="109">
        <v>11807</v>
      </c>
      <c r="W13" s="110">
        <f t="shared" si="3"/>
        <v>27531</v>
      </c>
      <c r="X13" s="109">
        <v>556</v>
      </c>
      <c r="Y13" s="109">
        <v>1399</v>
      </c>
      <c r="Z13" s="109">
        <v>1407</v>
      </c>
      <c r="AA13" s="111">
        <v>1415</v>
      </c>
      <c r="AB13" s="110">
        <f t="shared" si="4"/>
        <v>4777</v>
      </c>
      <c r="AC13" s="109">
        <v>1712</v>
      </c>
      <c r="AD13" s="109">
        <v>1771</v>
      </c>
      <c r="AE13" s="109">
        <v>1734</v>
      </c>
      <c r="AF13" s="109">
        <v>1747</v>
      </c>
      <c r="AG13" s="110">
        <f t="shared" si="5"/>
        <v>6964</v>
      </c>
      <c r="AH13" s="109">
        <v>1761</v>
      </c>
      <c r="AI13" s="109">
        <v>1762</v>
      </c>
      <c r="AJ13" s="109">
        <v>1651</v>
      </c>
      <c r="AK13" s="109">
        <v>1064</v>
      </c>
      <c r="AL13" s="110">
        <f t="shared" si="6"/>
        <v>6238</v>
      </c>
      <c r="AM13" s="109">
        <v>895</v>
      </c>
      <c r="AN13" s="109">
        <v>1001</v>
      </c>
      <c r="AO13" s="109">
        <v>1384</v>
      </c>
      <c r="AP13" s="109">
        <v>1459</v>
      </c>
      <c r="AQ13" s="110">
        <f t="shared" si="7"/>
        <v>4739</v>
      </c>
      <c r="AR13" s="109">
        <v>1610</v>
      </c>
      <c r="AS13" s="109">
        <v>1625</v>
      </c>
      <c r="AT13" s="109"/>
      <c r="AU13" s="109"/>
      <c r="AV13" s="110">
        <f t="shared" si="8"/>
        <v>3235</v>
      </c>
      <c r="AW13" s="109"/>
      <c r="AX13" s="109"/>
      <c r="AY13" s="109"/>
      <c r="AZ13" s="109"/>
      <c r="BA13" s="110">
        <f t="shared" si="9"/>
        <v>0</v>
      </c>
    </row>
    <row r="14" spans="1:53" x14ac:dyDescent="0.2">
      <c r="B14" s="138"/>
      <c r="C14" s="126" t="s">
        <v>232</v>
      </c>
      <c r="D14" s="108">
        <v>0</v>
      </c>
      <c r="E14" s="108">
        <v>0</v>
      </c>
      <c r="F14" s="108">
        <v>0</v>
      </c>
      <c r="G14" s="108">
        <v>0</v>
      </c>
      <c r="H14" s="110">
        <f t="shared" si="0"/>
        <v>0</v>
      </c>
      <c r="I14" s="108">
        <v>-165</v>
      </c>
      <c r="J14" s="108">
        <v>-296</v>
      </c>
      <c r="K14" s="108">
        <v>-424</v>
      </c>
      <c r="L14" s="108">
        <v>-434</v>
      </c>
      <c r="M14" s="110">
        <f t="shared" si="1"/>
        <v>-1319</v>
      </c>
      <c r="N14" s="108">
        <v>-730</v>
      </c>
      <c r="O14" s="108">
        <v>-1616</v>
      </c>
      <c r="P14" s="108">
        <v>-509</v>
      </c>
      <c r="Q14" s="108">
        <v>-960</v>
      </c>
      <c r="R14" s="110">
        <f t="shared" si="2"/>
        <v>-3815</v>
      </c>
      <c r="S14" s="108">
        <v>46</v>
      </c>
      <c r="T14" s="108">
        <v>677</v>
      </c>
      <c r="U14" s="108">
        <v>1247</v>
      </c>
      <c r="V14" s="108">
        <v>2722</v>
      </c>
      <c r="W14" s="110">
        <f t="shared" si="3"/>
        <v>4692</v>
      </c>
      <c r="X14" s="108">
        <v>2857</v>
      </c>
      <c r="Y14" s="108">
        <v>3781</v>
      </c>
      <c r="Z14" s="108">
        <v>3401</v>
      </c>
      <c r="AA14" s="4">
        <v>1347</v>
      </c>
      <c r="AB14" s="110">
        <f t="shared" si="4"/>
        <v>11386</v>
      </c>
      <c r="AC14" s="108">
        <v>-2215</v>
      </c>
      <c r="AD14" s="108">
        <v>-8186</v>
      </c>
      <c r="AE14" s="108">
        <v>-13309</v>
      </c>
      <c r="AF14" s="4">
        <v>-13484</v>
      </c>
      <c r="AG14" s="110">
        <f t="shared" si="5"/>
        <v>-37194</v>
      </c>
      <c r="AH14" s="108">
        <v>-13093</v>
      </c>
      <c r="AI14" s="108">
        <v>-11078</v>
      </c>
      <c r="AJ14" s="4">
        <v>-15114</v>
      </c>
      <c r="AK14" s="4">
        <v>-15777</v>
      </c>
      <c r="AL14" s="110">
        <f t="shared" si="6"/>
        <v>-55062</v>
      </c>
      <c r="AM14" s="108">
        <f>-12241</f>
        <v>-12241</v>
      </c>
      <c r="AN14" s="108">
        <v>-9431</v>
      </c>
      <c r="AO14" s="4">
        <v>-7738</v>
      </c>
      <c r="AP14" s="4">
        <v>-7590</v>
      </c>
      <c r="AQ14" s="110">
        <f t="shared" si="7"/>
        <v>-37000</v>
      </c>
      <c r="AR14" s="108">
        <v>-7464</v>
      </c>
      <c r="AS14" s="108">
        <v>-6422</v>
      </c>
      <c r="AT14" s="4"/>
      <c r="AU14" s="4"/>
      <c r="AV14" s="110">
        <f t="shared" si="8"/>
        <v>-13886</v>
      </c>
      <c r="AW14" s="108"/>
      <c r="AX14" s="108"/>
      <c r="AY14" s="4"/>
      <c r="AZ14" s="4"/>
      <c r="BA14" s="110">
        <f t="shared" si="9"/>
        <v>0</v>
      </c>
    </row>
    <row r="15" spans="1:53" x14ac:dyDescent="0.2">
      <c r="B15" s="138"/>
      <c r="C15" s="126" t="s">
        <v>435</v>
      </c>
      <c r="D15" s="108"/>
      <c r="E15" s="108"/>
      <c r="F15" s="108"/>
      <c r="G15" s="108"/>
      <c r="H15" s="110"/>
      <c r="I15" s="108"/>
      <c r="J15" s="108"/>
      <c r="K15" s="108"/>
      <c r="L15" s="108"/>
      <c r="M15" s="110"/>
      <c r="N15" s="108"/>
      <c r="O15" s="108"/>
      <c r="P15" s="108"/>
      <c r="Q15" s="108"/>
      <c r="R15" s="110">
        <f t="shared" si="2"/>
        <v>0</v>
      </c>
      <c r="S15" s="108"/>
      <c r="T15" s="108"/>
      <c r="U15" s="108"/>
      <c r="V15" s="108"/>
      <c r="W15" s="110">
        <f t="shared" si="3"/>
        <v>0</v>
      </c>
      <c r="X15" s="108"/>
      <c r="Y15" s="108"/>
      <c r="Z15" s="108"/>
      <c r="AA15" s="4"/>
      <c r="AB15" s="110">
        <f t="shared" si="4"/>
        <v>0</v>
      </c>
      <c r="AC15" s="108"/>
      <c r="AD15" s="108"/>
      <c r="AE15" s="108"/>
      <c r="AF15" s="4"/>
      <c r="AG15" s="110">
        <f t="shared" si="5"/>
        <v>0</v>
      </c>
      <c r="AH15" s="108"/>
      <c r="AI15" s="108"/>
      <c r="AJ15" s="4">
        <v>-5531</v>
      </c>
      <c r="AK15" s="4">
        <v>-3678</v>
      </c>
      <c r="AL15" s="110">
        <f t="shared" si="6"/>
        <v>-9209</v>
      </c>
      <c r="AM15" s="108">
        <f>-4631</f>
        <v>-4631</v>
      </c>
      <c r="AN15" s="108">
        <v>-5329</v>
      </c>
      <c r="AO15" s="4">
        <v>-5279</v>
      </c>
      <c r="AP15" s="4">
        <v>-5976</v>
      </c>
      <c r="AQ15" s="110">
        <f t="shared" si="7"/>
        <v>-21215</v>
      </c>
      <c r="AR15" s="108">
        <v>-6533</v>
      </c>
      <c r="AS15" s="108">
        <v>-7144</v>
      </c>
      <c r="AT15" s="4"/>
      <c r="AU15" s="4"/>
      <c r="AV15" s="110">
        <f t="shared" ref="AV15:AV18" si="10">SUM(AR15:AU15)</f>
        <v>-13677</v>
      </c>
      <c r="AW15" s="108"/>
      <c r="AX15" s="108"/>
      <c r="AY15" s="4"/>
      <c r="AZ15" s="4"/>
      <c r="BA15" s="110">
        <f t="shared" si="9"/>
        <v>0</v>
      </c>
    </row>
    <row r="16" spans="1:53" x14ac:dyDescent="0.2">
      <c r="B16" s="138"/>
      <c r="C16" s="126" t="s">
        <v>273</v>
      </c>
      <c r="D16" s="108"/>
      <c r="E16" s="108"/>
      <c r="F16" s="108"/>
      <c r="G16" s="108"/>
      <c r="H16" s="110"/>
      <c r="I16" s="108"/>
      <c r="J16" s="108"/>
      <c r="K16" s="108"/>
      <c r="L16" s="108"/>
      <c r="M16" s="110"/>
      <c r="N16" s="108"/>
      <c r="O16" s="108"/>
      <c r="P16" s="108"/>
      <c r="Q16" s="108"/>
      <c r="R16" s="110">
        <f t="shared" si="2"/>
        <v>0</v>
      </c>
      <c r="S16" s="108"/>
      <c r="T16" s="108"/>
      <c r="U16" s="108"/>
      <c r="V16" s="108">
        <v>741</v>
      </c>
      <c r="W16" s="110">
        <f t="shared" si="3"/>
        <v>741</v>
      </c>
      <c r="X16" s="108">
        <v>4049</v>
      </c>
      <c r="Y16" s="108">
        <v>5486</v>
      </c>
      <c r="Z16" s="108">
        <v>6086</v>
      </c>
      <c r="AA16" s="4">
        <v>4258</v>
      </c>
      <c r="AB16" s="110">
        <f t="shared" si="4"/>
        <v>19879</v>
      </c>
      <c r="AC16" s="108">
        <v>6611</v>
      </c>
      <c r="AD16" s="108">
        <v>8431</v>
      </c>
      <c r="AE16" s="108">
        <v>8643</v>
      </c>
      <c r="AF16" s="108">
        <v>8504</v>
      </c>
      <c r="AG16" s="110">
        <f t="shared" si="5"/>
        <v>32189</v>
      </c>
      <c r="AH16" s="108">
        <v>12401</v>
      </c>
      <c r="AI16" s="108">
        <v>16288</v>
      </c>
      <c r="AJ16" s="108">
        <v>18590</v>
      </c>
      <c r="AK16" s="108">
        <v>12826</v>
      </c>
      <c r="AL16" s="110">
        <f t="shared" si="6"/>
        <v>60105</v>
      </c>
      <c r="AM16" s="108">
        <v>20661</v>
      </c>
      <c r="AN16" s="108">
        <v>21358</v>
      </c>
      <c r="AO16" s="108">
        <v>14945</v>
      </c>
      <c r="AP16" s="108">
        <v>15785</v>
      </c>
      <c r="AQ16" s="110">
        <f t="shared" si="7"/>
        <v>72749</v>
      </c>
      <c r="AR16" s="108">
        <v>16096</v>
      </c>
      <c r="AS16" s="108">
        <v>22624</v>
      </c>
      <c r="AT16" s="108"/>
      <c r="AU16" s="108"/>
      <c r="AV16" s="110">
        <f t="shared" si="10"/>
        <v>38720</v>
      </c>
      <c r="AW16" s="108"/>
      <c r="AX16" s="108"/>
      <c r="AY16" s="108"/>
      <c r="AZ16" s="108"/>
      <c r="BA16" s="110">
        <f t="shared" si="9"/>
        <v>0</v>
      </c>
    </row>
    <row r="17" spans="2:53" x14ac:dyDescent="0.2">
      <c r="B17" s="138"/>
      <c r="C17" s="126" t="s">
        <v>233</v>
      </c>
      <c r="D17" s="108"/>
      <c r="E17" s="108"/>
      <c r="F17" s="108"/>
      <c r="G17" s="108"/>
      <c r="H17" s="110"/>
      <c r="I17" s="108"/>
      <c r="J17" s="108"/>
      <c r="K17" s="108"/>
      <c r="L17" s="108"/>
      <c r="M17" s="110"/>
      <c r="N17" s="108"/>
      <c r="O17" s="108"/>
      <c r="P17" s="108"/>
      <c r="Q17" s="108"/>
      <c r="R17" s="110">
        <f>SUM(N17:Q17)</f>
        <v>0</v>
      </c>
      <c r="S17" s="108"/>
      <c r="T17" s="108"/>
      <c r="U17" s="108">
        <v>958</v>
      </c>
      <c r="V17" s="108">
        <v>1178</v>
      </c>
      <c r="W17" s="110">
        <f>SUM(S17:V17)</f>
        <v>2136</v>
      </c>
      <c r="X17" s="108">
        <v>1960</v>
      </c>
      <c r="Y17" s="108">
        <v>2123</v>
      </c>
      <c r="Z17" s="108">
        <v>2224</v>
      </c>
      <c r="AA17" s="4">
        <v>2294</v>
      </c>
      <c r="AB17" s="110">
        <f>SUM(X17:AA17)</f>
        <v>8601</v>
      </c>
      <c r="AC17" s="108">
        <v>2342</v>
      </c>
      <c r="AD17" s="108">
        <v>2376</v>
      </c>
      <c r="AE17" s="108">
        <v>2396</v>
      </c>
      <c r="AF17" s="4">
        <v>2379</v>
      </c>
      <c r="AG17" s="110">
        <f>SUM(AC17:AF17)</f>
        <v>9493</v>
      </c>
      <c r="AH17" s="108">
        <v>2388</v>
      </c>
      <c r="AI17" s="108">
        <v>2164</v>
      </c>
      <c r="AJ17" s="4">
        <v>2038</v>
      </c>
      <c r="AK17" s="4">
        <v>2052</v>
      </c>
      <c r="AL17" s="110">
        <f>SUM(AH17:AK17)</f>
        <v>8642</v>
      </c>
      <c r="AM17" s="108">
        <v>2045</v>
      </c>
      <c r="AN17" s="108">
        <v>2062</v>
      </c>
      <c r="AO17" s="4">
        <v>2067</v>
      </c>
      <c r="AP17" s="4">
        <v>1990</v>
      </c>
      <c r="AQ17" s="110">
        <f>SUM(AM17:AP17)</f>
        <v>8164</v>
      </c>
      <c r="AR17" s="108">
        <v>2019</v>
      </c>
      <c r="AS17" s="108">
        <v>2050</v>
      </c>
      <c r="AT17" s="4"/>
      <c r="AU17" s="4"/>
      <c r="AV17" s="110">
        <f>SUM(AR17:AU17)</f>
        <v>4069</v>
      </c>
      <c r="AW17" s="108"/>
      <c r="AX17" s="108"/>
      <c r="AY17" s="4"/>
      <c r="AZ17" s="4"/>
      <c r="BA17" s="110">
        <f>SUM(AW17:AZ17)</f>
        <v>0</v>
      </c>
    </row>
    <row r="18" spans="2:53" x14ac:dyDescent="0.2">
      <c r="B18" s="138"/>
      <c r="C18" s="126" t="s">
        <v>398</v>
      </c>
      <c r="D18" s="108"/>
      <c r="E18" s="108"/>
      <c r="F18" s="108"/>
      <c r="G18" s="108"/>
      <c r="H18" s="110"/>
      <c r="I18" s="108"/>
      <c r="J18" s="108"/>
      <c r="K18" s="108"/>
      <c r="L18" s="108"/>
      <c r="M18" s="110"/>
      <c r="N18" s="108"/>
      <c r="O18" s="108"/>
      <c r="P18" s="108"/>
      <c r="Q18" s="108"/>
      <c r="R18" s="110">
        <f t="shared" si="2"/>
        <v>0</v>
      </c>
      <c r="S18" s="108"/>
      <c r="T18" s="108"/>
      <c r="U18" s="108"/>
      <c r="V18" s="108"/>
      <c r="W18" s="110">
        <f t="shared" si="3"/>
        <v>0</v>
      </c>
      <c r="X18" s="108"/>
      <c r="Y18" s="108"/>
      <c r="Z18" s="108"/>
      <c r="AA18" s="4"/>
      <c r="AB18" s="110">
        <f t="shared" si="4"/>
        <v>0</v>
      </c>
      <c r="AC18" s="108"/>
      <c r="AD18" s="108"/>
      <c r="AE18" s="108"/>
      <c r="AF18" s="108"/>
      <c r="AG18" s="110">
        <f t="shared" si="5"/>
        <v>0</v>
      </c>
      <c r="AH18" s="108"/>
      <c r="AI18" s="108"/>
      <c r="AJ18" s="108">
        <v>-35715</v>
      </c>
      <c r="AK18" s="108">
        <v>-10939</v>
      </c>
      <c r="AL18" s="110">
        <f t="shared" si="6"/>
        <v>-46654</v>
      </c>
      <c r="AM18" s="108"/>
      <c r="AN18" s="108">
        <v>-40472</v>
      </c>
      <c r="AO18" s="108"/>
      <c r="AP18" s="108"/>
      <c r="AQ18" s="110">
        <f t="shared" si="7"/>
        <v>-40472</v>
      </c>
      <c r="AR18" s="108"/>
      <c r="AS18" s="108"/>
      <c r="AT18" s="108"/>
      <c r="AU18" s="108"/>
      <c r="AV18" s="110">
        <f t="shared" si="10"/>
        <v>0</v>
      </c>
      <c r="AW18" s="108"/>
      <c r="AX18" s="108"/>
      <c r="AY18" s="108"/>
      <c r="AZ18" s="108"/>
      <c r="BA18" s="110">
        <f t="shared" si="9"/>
        <v>0</v>
      </c>
    </row>
    <row r="19" spans="2:53" x14ac:dyDescent="0.2">
      <c r="B19" s="138"/>
      <c r="C19" s="126" t="s">
        <v>234</v>
      </c>
      <c r="D19" s="109">
        <v>9</v>
      </c>
      <c r="E19" s="109">
        <v>1.7023599999999999</v>
      </c>
      <c r="F19" s="109">
        <v>4</v>
      </c>
      <c r="G19" s="109">
        <v>167.29764</v>
      </c>
      <c r="H19" s="110">
        <f t="shared" si="0"/>
        <v>182</v>
      </c>
      <c r="I19" s="109">
        <v>-11</v>
      </c>
      <c r="J19" s="109">
        <v>-294</v>
      </c>
      <c r="K19" s="109">
        <v>166</v>
      </c>
      <c r="L19" s="109">
        <v>164</v>
      </c>
      <c r="M19" s="110">
        <f t="shared" si="1"/>
        <v>25</v>
      </c>
      <c r="N19" s="109">
        <v>165</v>
      </c>
      <c r="O19" s="109">
        <v>552</v>
      </c>
      <c r="P19" s="109">
        <v>0</v>
      </c>
      <c r="Q19" s="109">
        <v>0</v>
      </c>
      <c r="R19" s="110">
        <f t="shared" si="2"/>
        <v>717</v>
      </c>
      <c r="S19" s="109">
        <v>765</v>
      </c>
      <c r="T19" s="109">
        <v>912</v>
      </c>
      <c r="U19" s="109">
        <v>0</v>
      </c>
      <c r="V19" s="109">
        <v>0</v>
      </c>
      <c r="W19" s="110">
        <f t="shared" si="3"/>
        <v>1677</v>
      </c>
      <c r="X19" s="109">
        <v>0</v>
      </c>
      <c r="Y19" s="109">
        <v>0</v>
      </c>
      <c r="Z19" s="109">
        <v>0</v>
      </c>
      <c r="AA19" s="111">
        <v>0</v>
      </c>
      <c r="AB19" s="110">
        <f t="shared" si="4"/>
        <v>0</v>
      </c>
      <c r="AC19" s="109">
        <v>0</v>
      </c>
      <c r="AD19" s="109">
        <v>0</v>
      </c>
      <c r="AE19" s="109">
        <v>0</v>
      </c>
      <c r="AF19" s="109">
        <v>0</v>
      </c>
      <c r="AG19" s="110">
        <f t="shared" si="5"/>
        <v>0</v>
      </c>
      <c r="AH19" s="109"/>
      <c r="AI19" s="109"/>
      <c r="AJ19" s="109"/>
      <c r="AK19" s="109"/>
      <c r="AL19" s="110">
        <f t="shared" si="6"/>
        <v>0</v>
      </c>
      <c r="AM19" s="109"/>
      <c r="AN19" s="109"/>
      <c r="AO19" s="109"/>
      <c r="AP19" s="109"/>
      <c r="AQ19" s="110">
        <f t="shared" si="7"/>
        <v>0</v>
      </c>
      <c r="AR19" s="109"/>
      <c r="AS19" s="109"/>
      <c r="AT19" s="109"/>
      <c r="AU19" s="109">
        <v>0</v>
      </c>
      <c r="AV19" s="110">
        <f t="shared" ref="AV19:AV20" si="11">SUM(AR19:AU19)</f>
        <v>0</v>
      </c>
      <c r="AW19" s="109"/>
      <c r="AX19" s="109"/>
      <c r="AY19" s="109"/>
      <c r="AZ19" s="109">
        <v>0</v>
      </c>
      <c r="BA19" s="110">
        <f t="shared" si="9"/>
        <v>0</v>
      </c>
    </row>
    <row r="20" spans="2:53" x14ac:dyDescent="0.2">
      <c r="B20" s="138"/>
      <c r="C20" s="126" t="s">
        <v>235</v>
      </c>
      <c r="D20" s="109">
        <v>0</v>
      </c>
      <c r="E20" s="109">
        <v>0</v>
      </c>
      <c r="F20" s="109">
        <v>0</v>
      </c>
      <c r="G20" s="109">
        <v>0</v>
      </c>
      <c r="H20" s="110">
        <f t="shared" si="0"/>
        <v>0</v>
      </c>
      <c r="I20" s="109">
        <v>52</v>
      </c>
      <c r="J20" s="109">
        <v>0</v>
      </c>
      <c r="K20" s="109">
        <v>87</v>
      </c>
      <c r="L20" s="109">
        <v>135</v>
      </c>
      <c r="M20" s="110">
        <f t="shared" si="1"/>
        <v>274</v>
      </c>
      <c r="N20" s="109">
        <v>0</v>
      </c>
      <c r="O20" s="109"/>
      <c r="P20" s="109"/>
      <c r="Q20" s="109"/>
      <c r="R20" s="110">
        <f t="shared" si="2"/>
        <v>0</v>
      </c>
      <c r="S20" s="109"/>
      <c r="T20" s="109"/>
      <c r="U20" s="109"/>
      <c r="V20" s="109"/>
      <c r="W20" s="110">
        <f t="shared" si="3"/>
        <v>0</v>
      </c>
      <c r="X20" s="109"/>
      <c r="Y20" s="109"/>
      <c r="Z20" s="109"/>
      <c r="AA20" s="111"/>
      <c r="AB20" s="110">
        <f t="shared" si="4"/>
        <v>0</v>
      </c>
      <c r="AC20" s="109"/>
      <c r="AD20" s="109"/>
      <c r="AE20" s="109"/>
      <c r="AF20" s="109"/>
      <c r="AG20" s="110">
        <f t="shared" si="5"/>
        <v>0</v>
      </c>
      <c r="AH20" s="109"/>
      <c r="AI20" s="109"/>
      <c r="AJ20" s="109"/>
      <c r="AK20" s="109"/>
      <c r="AL20" s="110">
        <f t="shared" si="6"/>
        <v>0</v>
      </c>
      <c r="AM20" s="109"/>
      <c r="AN20" s="109"/>
      <c r="AO20" s="109"/>
      <c r="AP20" s="109"/>
      <c r="AQ20" s="110">
        <f t="shared" si="7"/>
        <v>0</v>
      </c>
      <c r="AR20" s="109"/>
      <c r="AS20" s="109"/>
      <c r="AT20" s="109"/>
      <c r="AU20" s="109"/>
      <c r="AV20" s="110">
        <f t="shared" si="11"/>
        <v>0</v>
      </c>
      <c r="AW20" s="109"/>
      <c r="AX20" s="109"/>
      <c r="AY20" s="109"/>
      <c r="AZ20" s="109"/>
      <c r="BA20" s="110">
        <f t="shared" si="9"/>
        <v>0</v>
      </c>
    </row>
    <row r="21" spans="2:53" x14ac:dyDescent="0.2">
      <c r="B21" s="138"/>
      <c r="C21" s="126" t="s">
        <v>98</v>
      </c>
      <c r="D21" s="109"/>
      <c r="E21" s="109"/>
      <c r="F21" s="109"/>
      <c r="G21" s="109"/>
      <c r="H21" s="110"/>
      <c r="I21" s="109"/>
      <c r="J21" s="109"/>
      <c r="K21" s="109"/>
      <c r="L21" s="109"/>
      <c r="M21" s="110"/>
      <c r="N21" s="109"/>
      <c r="O21" s="109"/>
      <c r="P21" s="109"/>
      <c r="Q21" s="109"/>
      <c r="R21" s="110">
        <f t="shared" si="2"/>
        <v>0</v>
      </c>
      <c r="S21" s="109"/>
      <c r="T21" s="109"/>
      <c r="U21" s="109"/>
      <c r="V21" s="109"/>
      <c r="W21" s="110">
        <f t="shared" si="3"/>
        <v>0</v>
      </c>
      <c r="X21" s="109"/>
      <c r="Y21" s="109"/>
      <c r="Z21" s="109"/>
      <c r="AA21" s="111">
        <v>-726</v>
      </c>
      <c r="AB21" s="110">
        <f t="shared" si="4"/>
        <v>-726</v>
      </c>
      <c r="AC21" s="109">
        <v>930</v>
      </c>
      <c r="AD21" s="109">
        <v>-414</v>
      </c>
      <c r="AE21" s="109">
        <v>833</v>
      </c>
      <c r="AF21" s="109">
        <v>-220</v>
      </c>
      <c r="AG21" s="110">
        <f t="shared" si="5"/>
        <v>1129</v>
      </c>
      <c r="AH21" s="109">
        <v>-562</v>
      </c>
      <c r="AI21" s="109">
        <v>-2052</v>
      </c>
      <c r="AJ21" s="109">
        <v>4402</v>
      </c>
      <c r="AK21" s="109">
        <v>-32</v>
      </c>
      <c r="AL21" s="110">
        <f t="shared" si="6"/>
        <v>1756</v>
      </c>
      <c r="AM21" s="109">
        <v>172</v>
      </c>
      <c r="AN21" s="109">
        <v>340</v>
      </c>
      <c r="AO21" s="109">
        <v>319</v>
      </c>
      <c r="AP21" s="109">
        <v>-515</v>
      </c>
      <c r="AQ21" s="110">
        <f t="shared" si="7"/>
        <v>316</v>
      </c>
      <c r="AR21" s="109">
        <v>368</v>
      </c>
      <c r="AS21" s="109">
        <v>468</v>
      </c>
      <c r="AT21" s="109"/>
      <c r="AU21" s="109"/>
      <c r="AV21" s="110">
        <f>SUM(AR21:AU21)</f>
        <v>836</v>
      </c>
      <c r="AW21" s="109"/>
      <c r="AX21" s="109"/>
      <c r="AY21" s="109"/>
      <c r="AZ21" s="109"/>
      <c r="BA21" s="110">
        <f>SUM(AW21:AZ21)</f>
        <v>0</v>
      </c>
    </row>
    <row r="22" spans="2:53" x14ac:dyDescent="0.2">
      <c r="B22" s="138"/>
      <c r="C22" s="126" t="s">
        <v>236</v>
      </c>
      <c r="D22" s="109">
        <v>0</v>
      </c>
      <c r="E22" s="109">
        <v>0</v>
      </c>
      <c r="F22" s="109">
        <v>0</v>
      </c>
      <c r="G22" s="109">
        <v>0</v>
      </c>
      <c r="H22" s="110">
        <f t="shared" si="0"/>
        <v>0</v>
      </c>
      <c r="I22" s="109">
        <v>-37</v>
      </c>
      <c r="J22" s="109">
        <v>-7</v>
      </c>
      <c r="K22" s="109">
        <v>-69</v>
      </c>
      <c r="L22" s="109">
        <v>-63</v>
      </c>
      <c r="M22" s="110">
        <f t="shared" si="1"/>
        <v>-176</v>
      </c>
      <c r="N22" s="109">
        <v>0</v>
      </c>
      <c r="O22" s="109">
        <v>0</v>
      </c>
      <c r="P22" s="109">
        <v>0</v>
      </c>
      <c r="Q22" s="109">
        <v>0</v>
      </c>
      <c r="R22" s="110">
        <f t="shared" si="2"/>
        <v>0</v>
      </c>
      <c r="S22" s="109">
        <v>0</v>
      </c>
      <c r="T22" s="109">
        <v>-333</v>
      </c>
      <c r="U22" s="109">
        <v>0</v>
      </c>
      <c r="V22" s="109">
        <v>-40284</v>
      </c>
      <c r="W22" s="110">
        <f t="shared" si="3"/>
        <v>-40617</v>
      </c>
      <c r="X22" s="109">
        <v>-3943</v>
      </c>
      <c r="Y22" s="109">
        <v>-399</v>
      </c>
      <c r="Z22" s="109">
        <v>-869</v>
      </c>
      <c r="AA22" s="111">
        <v>616</v>
      </c>
      <c r="AB22" s="110">
        <f t="shared" si="4"/>
        <v>-4595</v>
      </c>
      <c r="AC22" s="109">
        <v>-299</v>
      </c>
      <c r="AD22" s="109">
        <v>-527</v>
      </c>
      <c r="AE22" s="109">
        <v>-343</v>
      </c>
      <c r="AF22" s="109">
        <v>-193</v>
      </c>
      <c r="AG22" s="110">
        <f t="shared" si="5"/>
        <v>-1362</v>
      </c>
      <c r="AH22" s="109">
        <v>-42</v>
      </c>
      <c r="AI22" s="109">
        <v>-74</v>
      </c>
      <c r="AJ22" s="109">
        <v>-10</v>
      </c>
      <c r="AK22" s="109">
        <v>-235</v>
      </c>
      <c r="AL22" s="110">
        <f t="shared" si="6"/>
        <v>-361</v>
      </c>
      <c r="AM22" s="109"/>
      <c r="AN22" s="109"/>
      <c r="AO22" s="109"/>
      <c r="AP22" s="109"/>
      <c r="AQ22" s="110">
        <f t="shared" si="7"/>
        <v>0</v>
      </c>
      <c r="AR22" s="109"/>
      <c r="AS22" s="109"/>
      <c r="AT22" s="109"/>
      <c r="AU22" s="109"/>
      <c r="AV22" s="110">
        <f t="shared" ref="AV22" si="12">SUM(AR22:AU22)</f>
        <v>0</v>
      </c>
      <c r="AW22" s="109"/>
      <c r="AX22" s="109"/>
      <c r="AY22" s="109"/>
      <c r="AZ22" s="109"/>
      <c r="BA22" s="110">
        <f t="shared" ref="BA22" si="13">SUM(AW22:AZ22)</f>
        <v>0</v>
      </c>
    </row>
    <row r="23" spans="2:53" x14ac:dyDescent="0.2">
      <c r="B23" s="138" t="s">
        <v>513</v>
      </c>
      <c r="C23" s="126"/>
      <c r="D23" s="109"/>
      <c r="E23" s="109"/>
      <c r="F23" s="109"/>
      <c r="G23" s="109"/>
      <c r="H23" s="110"/>
      <c r="I23" s="109"/>
      <c r="J23" s="109"/>
      <c r="K23" s="109"/>
      <c r="L23" s="109"/>
      <c r="M23" s="110"/>
      <c r="N23" s="109"/>
      <c r="O23" s="109"/>
      <c r="P23" s="109"/>
      <c r="Q23" s="109"/>
      <c r="R23" s="110"/>
      <c r="S23" s="109"/>
      <c r="T23" s="109"/>
      <c r="U23" s="109"/>
      <c r="V23" s="109"/>
      <c r="W23" s="110"/>
      <c r="X23" s="109"/>
      <c r="Y23" s="109"/>
      <c r="Z23" s="109"/>
      <c r="AA23" s="111"/>
      <c r="AB23" s="110"/>
      <c r="AC23" s="109"/>
      <c r="AD23" s="109"/>
      <c r="AE23" s="109"/>
      <c r="AF23" s="109"/>
      <c r="AG23" s="110"/>
      <c r="AH23" s="109"/>
      <c r="AI23" s="109"/>
      <c r="AJ23" s="109"/>
      <c r="AK23" s="109"/>
      <c r="AL23" s="110"/>
      <c r="AM23" s="109"/>
      <c r="AN23" s="109"/>
      <c r="AO23" s="109"/>
      <c r="AP23" s="109"/>
      <c r="AQ23" s="110"/>
      <c r="AR23" s="109"/>
      <c r="AS23" s="109"/>
      <c r="AT23" s="109"/>
      <c r="AU23" s="109"/>
      <c r="AV23" s="110"/>
      <c r="AW23" s="109"/>
      <c r="AX23" s="109"/>
      <c r="AY23" s="109"/>
      <c r="AZ23" s="109"/>
      <c r="BA23" s="110"/>
    </row>
    <row r="24" spans="2:53" x14ac:dyDescent="0.2">
      <c r="B24" s="138"/>
      <c r="C24" s="126" t="s">
        <v>237</v>
      </c>
      <c r="D24" s="109">
        <v>289</v>
      </c>
      <c r="E24" s="109">
        <v>131</v>
      </c>
      <c r="F24" s="109">
        <v>82</v>
      </c>
      <c r="G24" s="109">
        <v>-781</v>
      </c>
      <c r="H24" s="110">
        <f t="shared" ref="H24:H32" si="14">SUM(D24:G24)</f>
        <v>-279</v>
      </c>
      <c r="I24" s="109">
        <v>-1096</v>
      </c>
      <c r="J24" s="109">
        <v>-1276</v>
      </c>
      <c r="K24" s="109">
        <v>668</v>
      </c>
      <c r="L24" s="109">
        <v>-394</v>
      </c>
      <c r="M24" s="110">
        <f t="shared" ref="M24:M32" si="15">SUM(I24:L24)</f>
        <v>-2098</v>
      </c>
      <c r="N24" s="109">
        <v>707</v>
      </c>
      <c r="O24" s="109">
        <v>-1100</v>
      </c>
      <c r="P24" s="109">
        <v>1351</v>
      </c>
      <c r="Q24" s="109">
        <v>-2012</v>
      </c>
      <c r="R24" s="110">
        <f t="shared" si="2"/>
        <v>-1054</v>
      </c>
      <c r="S24" s="109">
        <v>-790</v>
      </c>
      <c r="T24" s="109">
        <v>-1995</v>
      </c>
      <c r="U24" s="109">
        <v>-2547</v>
      </c>
      <c r="V24" s="109">
        <v>-1203</v>
      </c>
      <c r="W24" s="110">
        <f t="shared" si="3"/>
        <v>-6535</v>
      </c>
      <c r="X24" s="109">
        <v>1198</v>
      </c>
      <c r="Y24" s="109">
        <v>-4618</v>
      </c>
      <c r="Z24" s="109">
        <v>-2426</v>
      </c>
      <c r="AA24" s="111">
        <v>2814</v>
      </c>
      <c r="AB24" s="110">
        <f t="shared" si="4"/>
        <v>-3032</v>
      </c>
      <c r="AC24" s="109">
        <v>-4774</v>
      </c>
      <c r="AD24" s="109">
        <v>-2278</v>
      </c>
      <c r="AE24" s="109">
        <v>-2917</v>
      </c>
      <c r="AF24" s="109">
        <v>5487</v>
      </c>
      <c r="AG24" s="110">
        <f t="shared" si="5"/>
        <v>-4482</v>
      </c>
      <c r="AH24" s="109">
        <v>3707</v>
      </c>
      <c r="AI24" s="109">
        <v>-3317</v>
      </c>
      <c r="AJ24" s="109">
        <v>-4185</v>
      </c>
      <c r="AK24" s="109">
        <v>3864</v>
      </c>
      <c r="AL24" s="110">
        <f t="shared" si="6"/>
        <v>69</v>
      </c>
      <c r="AM24" s="109">
        <v>-4028</v>
      </c>
      <c r="AN24" s="109">
        <v>2868</v>
      </c>
      <c r="AO24" s="109">
        <v>2442</v>
      </c>
      <c r="AP24" s="109">
        <v>-5740</v>
      </c>
      <c r="AQ24" s="110">
        <f t="shared" si="7"/>
        <v>-4458</v>
      </c>
      <c r="AR24" s="109">
        <v>273</v>
      </c>
      <c r="AS24" s="109">
        <v>-9075</v>
      </c>
      <c r="AT24" s="109">
        <f>BS!AS9-BS!AT9</f>
        <v>-1137.2029362699905</v>
      </c>
      <c r="AU24" s="109">
        <f>BS!AT9-BS!AU9</f>
        <v>-2833.7960148527854</v>
      </c>
      <c r="AV24" s="110">
        <f t="shared" ref="AV24:AV30" si="16">SUM(AR24:AU24)</f>
        <v>-12772.998951122776</v>
      </c>
      <c r="AW24" s="109">
        <v>-4774</v>
      </c>
      <c r="AX24" s="109">
        <f>BS!AW9-BS!AX9</f>
        <v>-1676.1429872199224</v>
      </c>
      <c r="AY24" s="109">
        <f>BS!AX9-BS!AY9</f>
        <v>591.29633106991241</v>
      </c>
      <c r="AZ24" s="109">
        <f>BS!AY9-BS!AZ9</f>
        <v>-3512.7775484391022</v>
      </c>
      <c r="BA24" s="110">
        <f t="shared" ref="BA24:BA30" si="17">SUM(AW24:AZ24)</f>
        <v>-9371.6242045891122</v>
      </c>
    </row>
    <row r="25" spans="2:53" x14ac:dyDescent="0.2">
      <c r="B25" s="138"/>
      <c r="C25" s="126" t="s">
        <v>238</v>
      </c>
      <c r="D25" s="109">
        <v>130</v>
      </c>
      <c r="E25" s="109">
        <v>-211</v>
      </c>
      <c r="F25" s="109">
        <v>-370</v>
      </c>
      <c r="G25" s="109">
        <v>-52</v>
      </c>
      <c r="H25" s="110">
        <f t="shared" si="14"/>
        <v>-503</v>
      </c>
      <c r="I25" s="109">
        <v>-518</v>
      </c>
      <c r="J25" s="109">
        <v>-365</v>
      </c>
      <c r="K25" s="109">
        <v>-502</v>
      </c>
      <c r="L25" s="109">
        <v>-363</v>
      </c>
      <c r="M25" s="110">
        <f t="shared" si="15"/>
        <v>-1748</v>
      </c>
      <c r="N25" s="109">
        <v>-621</v>
      </c>
      <c r="O25" s="109">
        <v>-493</v>
      </c>
      <c r="P25" s="109">
        <v>-242</v>
      </c>
      <c r="Q25" s="109">
        <v>802</v>
      </c>
      <c r="R25" s="110">
        <f t="shared" si="2"/>
        <v>-554</v>
      </c>
      <c r="S25" s="109">
        <v>-376</v>
      </c>
      <c r="T25" s="109">
        <v>-445</v>
      </c>
      <c r="U25" s="109">
        <v>-495</v>
      </c>
      <c r="V25" s="109">
        <v>-253</v>
      </c>
      <c r="W25" s="110">
        <f t="shared" si="3"/>
        <v>-1569</v>
      </c>
      <c r="X25" s="109">
        <v>0</v>
      </c>
      <c r="Y25" s="109">
        <v>0</v>
      </c>
      <c r="Z25" s="109">
        <v>5581</v>
      </c>
      <c r="AA25" s="111">
        <v>0</v>
      </c>
      <c r="AB25" s="110">
        <f t="shared" si="4"/>
        <v>5581</v>
      </c>
      <c r="AC25" s="109"/>
      <c r="AD25" s="109"/>
      <c r="AE25" s="109"/>
      <c r="AF25" s="109"/>
      <c r="AG25" s="110">
        <f t="shared" si="5"/>
        <v>0</v>
      </c>
      <c r="AH25" s="109"/>
      <c r="AI25" s="109"/>
      <c r="AJ25" s="109"/>
      <c r="AK25" s="109"/>
      <c r="AL25" s="110">
        <f t="shared" si="6"/>
        <v>0</v>
      </c>
      <c r="AM25" s="109"/>
      <c r="AN25" s="109"/>
      <c r="AO25" s="109"/>
      <c r="AP25" s="109"/>
      <c r="AQ25" s="110">
        <f t="shared" si="7"/>
        <v>0</v>
      </c>
      <c r="AR25" s="109"/>
      <c r="AS25" s="109"/>
      <c r="AT25" s="109"/>
      <c r="AU25" s="109"/>
      <c r="AV25" s="110">
        <f t="shared" si="16"/>
        <v>0</v>
      </c>
      <c r="AW25" s="109"/>
      <c r="AX25" s="109"/>
      <c r="AY25" s="109"/>
      <c r="AZ25" s="109"/>
      <c r="BA25" s="110">
        <f t="shared" si="17"/>
        <v>0</v>
      </c>
    </row>
    <row r="26" spans="2:53" x14ac:dyDescent="0.2">
      <c r="B26" s="138"/>
      <c r="C26" s="126" t="s">
        <v>239</v>
      </c>
      <c r="D26" s="109">
        <v>-189</v>
      </c>
      <c r="E26" s="109">
        <v>-2124</v>
      </c>
      <c r="F26" s="109">
        <v>-790</v>
      </c>
      <c r="G26" s="109">
        <v>-374</v>
      </c>
      <c r="H26" s="110">
        <f t="shared" si="14"/>
        <v>-3477</v>
      </c>
      <c r="I26" s="109">
        <v>-1121</v>
      </c>
      <c r="J26" s="109">
        <v>-1875</v>
      </c>
      <c r="K26" s="109">
        <v>-1345</v>
      </c>
      <c r="L26" s="109">
        <v>-1349</v>
      </c>
      <c r="M26" s="110">
        <f t="shared" si="15"/>
        <v>-5690</v>
      </c>
      <c r="N26" s="109">
        <v>-1142</v>
      </c>
      <c r="O26" s="109">
        <v>-466</v>
      </c>
      <c r="P26" s="109">
        <v>-9235</v>
      </c>
      <c r="Q26" s="109">
        <v>409</v>
      </c>
      <c r="R26" s="110">
        <f t="shared" si="2"/>
        <v>-10434</v>
      </c>
      <c r="S26" s="109">
        <v>2314</v>
      </c>
      <c r="T26" s="109">
        <v>-6261</v>
      </c>
      <c r="U26" s="109">
        <v>-886</v>
      </c>
      <c r="V26" s="109">
        <v>7108</v>
      </c>
      <c r="W26" s="110">
        <f t="shared" si="3"/>
        <v>2275</v>
      </c>
      <c r="X26" s="109">
        <v>6321</v>
      </c>
      <c r="Y26" s="109">
        <v>-14868</v>
      </c>
      <c r="Z26" s="109">
        <v>131</v>
      </c>
      <c r="AA26" s="111">
        <v>-10004</v>
      </c>
      <c r="AB26" s="110">
        <f t="shared" si="4"/>
        <v>-18420</v>
      </c>
      <c r="AC26" s="109">
        <v>-1339</v>
      </c>
      <c r="AD26" s="109">
        <v>-3284</v>
      </c>
      <c r="AE26" s="109">
        <v>-2854</v>
      </c>
      <c r="AF26" s="109">
        <v>-9367</v>
      </c>
      <c r="AG26" s="110">
        <f t="shared" si="5"/>
        <v>-16844</v>
      </c>
      <c r="AH26" s="109">
        <v>-4704</v>
      </c>
      <c r="AI26" s="109">
        <v>4553</v>
      </c>
      <c r="AJ26" s="109">
        <v>5564</v>
      </c>
      <c r="AK26" s="109">
        <v>-12238</v>
      </c>
      <c r="AL26" s="110">
        <f t="shared" si="6"/>
        <v>-6825</v>
      </c>
      <c r="AM26" s="109">
        <v>-1143</v>
      </c>
      <c r="AN26" s="109">
        <v>-26164</v>
      </c>
      <c r="AO26" s="109">
        <v>9101</v>
      </c>
      <c r="AP26" s="109">
        <v>-8780</v>
      </c>
      <c r="AQ26" s="110">
        <f t="shared" si="7"/>
        <v>-26986</v>
      </c>
      <c r="AR26" s="109">
        <v>5403</v>
      </c>
      <c r="AS26" s="109">
        <v>7510</v>
      </c>
      <c r="AT26" s="109">
        <f>BS!AS12-BS!AT12</f>
        <v>16614.600870709575</v>
      </c>
      <c r="AU26" s="109">
        <f>BS!AT12-BS!AU12</f>
        <v>-17542.546758612501</v>
      </c>
      <c r="AV26" s="110">
        <f t="shared" si="16"/>
        <v>11985.054112097074</v>
      </c>
      <c r="AW26" s="109">
        <f>BS!AV12-BS!AW12</f>
        <v>-6096.6143418632564</v>
      </c>
      <c r="AX26" s="109">
        <f>BS!AW12-BS!AX12</f>
        <v>-10376.123254218546</v>
      </c>
      <c r="AY26" s="109">
        <f>BS!AX12-BS!AY12</f>
        <v>3660.4058590041823</v>
      </c>
      <c r="AZ26" s="109">
        <f>BS!AY12-BS!AZ12</f>
        <v>-21745.765776051558</v>
      </c>
      <c r="BA26" s="110">
        <f t="shared" si="17"/>
        <v>-34558.097513129178</v>
      </c>
    </row>
    <row r="27" spans="2:53" x14ac:dyDescent="0.2">
      <c r="B27" s="138"/>
      <c r="C27" s="126" t="s">
        <v>186</v>
      </c>
      <c r="D27" s="109">
        <v>-753</v>
      </c>
      <c r="E27" s="109">
        <v>-250</v>
      </c>
      <c r="F27" s="109">
        <v>-889</v>
      </c>
      <c r="G27" s="109">
        <v>-936</v>
      </c>
      <c r="H27" s="110">
        <f t="shared" si="14"/>
        <v>-2828</v>
      </c>
      <c r="I27" s="109">
        <v>-850</v>
      </c>
      <c r="J27" s="109">
        <v>249</v>
      </c>
      <c r="K27" s="109">
        <v>-203</v>
      </c>
      <c r="L27" s="109">
        <v>-191</v>
      </c>
      <c r="M27" s="110">
        <f t="shared" si="15"/>
        <v>-995</v>
      </c>
      <c r="N27" s="109">
        <v>-50</v>
      </c>
      <c r="O27" s="109">
        <v>-531</v>
      </c>
      <c r="P27" s="109">
        <v>-466</v>
      </c>
      <c r="Q27" s="109">
        <v>-3881</v>
      </c>
      <c r="R27" s="110">
        <f t="shared" si="2"/>
        <v>-4928</v>
      </c>
      <c r="S27" s="109">
        <v>-6784</v>
      </c>
      <c r="T27" s="109">
        <v>-4483</v>
      </c>
      <c r="U27" s="109">
        <v>-532</v>
      </c>
      <c r="V27" s="109">
        <v>-726</v>
      </c>
      <c r="W27" s="110">
        <f t="shared" si="3"/>
        <v>-12525</v>
      </c>
      <c r="X27" s="109">
        <v>-1385</v>
      </c>
      <c r="Y27" s="109">
        <v>286</v>
      </c>
      <c r="Z27" s="109">
        <v>-2412</v>
      </c>
      <c r="AA27" s="111">
        <v>6073</v>
      </c>
      <c r="AB27" s="110">
        <f t="shared" si="4"/>
        <v>2562</v>
      </c>
      <c r="AC27" s="109">
        <v>-1138</v>
      </c>
      <c r="AD27" s="109">
        <v>-742</v>
      </c>
      <c r="AE27" s="109">
        <v>-160</v>
      </c>
      <c r="AF27" s="109">
        <v>2360</v>
      </c>
      <c r="AG27" s="110">
        <f t="shared" si="5"/>
        <v>320</v>
      </c>
      <c r="AH27" s="109">
        <v>-1074</v>
      </c>
      <c r="AI27" s="109">
        <v>-166</v>
      </c>
      <c r="AJ27" s="109">
        <v>-828</v>
      </c>
      <c r="AK27" s="109">
        <v>9596</v>
      </c>
      <c r="AL27" s="110">
        <f t="shared" si="6"/>
        <v>7528</v>
      </c>
      <c r="AM27" s="109">
        <v>6910</v>
      </c>
      <c r="AN27" s="109">
        <v>2004</v>
      </c>
      <c r="AO27" s="109">
        <v>-516</v>
      </c>
      <c r="AP27" s="109">
        <v>19</v>
      </c>
      <c r="AQ27" s="110">
        <f t="shared" si="7"/>
        <v>8417</v>
      </c>
      <c r="AR27" s="109">
        <v>-1378</v>
      </c>
      <c r="AS27" s="109">
        <v>1168</v>
      </c>
      <c r="AT27" s="109">
        <f>BS!AS19-BS!AT19</f>
        <v>-65275.206019906589</v>
      </c>
      <c r="AU27" s="109">
        <f>BS!AT19-BS!AU19</f>
        <v>3261.5488924383244</v>
      </c>
      <c r="AV27" s="110">
        <f t="shared" si="16"/>
        <v>-62223.657127468265</v>
      </c>
      <c r="AW27" s="109">
        <f>BS!AV19-BS!AW19</f>
        <v>-12130.956239390274</v>
      </c>
      <c r="AX27" s="109">
        <f>BS!AW19-BS!AX19</f>
        <v>-3893.1188561506424</v>
      </c>
      <c r="AY27" s="109">
        <f>BS!AX19-BS!AY19</f>
        <v>1373.3833650308516</v>
      </c>
      <c r="AZ27" s="109">
        <f>BS!AY19-BS!AZ19</f>
        <v>2902.0102537060302</v>
      </c>
      <c r="BA27" s="110">
        <f t="shared" si="17"/>
        <v>-11748.681476804035</v>
      </c>
    </row>
    <row r="28" spans="2:53" x14ac:dyDescent="0.2">
      <c r="B28" s="138"/>
      <c r="C28" s="126" t="s">
        <v>219</v>
      </c>
      <c r="D28" s="109">
        <v>-628</v>
      </c>
      <c r="E28" s="109">
        <v>953</v>
      </c>
      <c r="F28" s="109">
        <v>-1101</v>
      </c>
      <c r="G28" s="109">
        <v>213</v>
      </c>
      <c r="H28" s="110">
        <f t="shared" si="14"/>
        <v>-563</v>
      </c>
      <c r="I28" s="109">
        <v>1048</v>
      </c>
      <c r="J28" s="109">
        <v>1211</v>
      </c>
      <c r="K28" s="109">
        <v>881</v>
      </c>
      <c r="L28" s="109">
        <v>31</v>
      </c>
      <c r="M28" s="110">
        <f t="shared" si="15"/>
        <v>3171</v>
      </c>
      <c r="N28" s="109">
        <v>508</v>
      </c>
      <c r="O28" s="109">
        <v>638</v>
      </c>
      <c r="P28" s="109">
        <v>-2621</v>
      </c>
      <c r="Q28" s="109">
        <v>-121</v>
      </c>
      <c r="R28" s="110">
        <f t="shared" si="2"/>
        <v>-1596</v>
      </c>
      <c r="S28" s="109">
        <v>1566</v>
      </c>
      <c r="T28" s="109">
        <v>-200</v>
      </c>
      <c r="U28" s="109">
        <v>-439</v>
      </c>
      <c r="V28" s="109">
        <v>6490</v>
      </c>
      <c r="W28" s="110">
        <f t="shared" si="3"/>
        <v>7417</v>
      </c>
      <c r="X28" s="109">
        <v>-732</v>
      </c>
      <c r="Y28" s="109">
        <v>-1291</v>
      </c>
      <c r="Z28" s="109">
        <v>24095</v>
      </c>
      <c r="AA28" s="111">
        <v>664</v>
      </c>
      <c r="AB28" s="110">
        <f t="shared" si="4"/>
        <v>22736</v>
      </c>
      <c r="AC28" s="109">
        <v>1511</v>
      </c>
      <c r="AD28" s="109">
        <v>2000</v>
      </c>
      <c r="AE28" s="109">
        <v>-4776</v>
      </c>
      <c r="AF28" s="109">
        <v>-421</v>
      </c>
      <c r="AG28" s="110">
        <f t="shared" si="5"/>
        <v>-1686</v>
      </c>
      <c r="AH28" s="109">
        <v>-2508</v>
      </c>
      <c r="AI28" s="109">
        <v>2741</v>
      </c>
      <c r="AJ28" s="109">
        <v>-2131</v>
      </c>
      <c r="AK28" s="109">
        <v>773</v>
      </c>
      <c r="AL28" s="110">
        <f t="shared" si="6"/>
        <v>-1125</v>
      </c>
      <c r="AM28" s="109">
        <v>3804</v>
      </c>
      <c r="AN28" s="109">
        <v>-5878</v>
      </c>
      <c r="AO28" s="109">
        <v>3834</v>
      </c>
      <c r="AP28" s="109">
        <v>6453</v>
      </c>
      <c r="AQ28" s="110">
        <f t="shared" si="7"/>
        <v>8213</v>
      </c>
      <c r="AR28" s="109">
        <v>-9797</v>
      </c>
      <c r="AS28" s="109">
        <v>-724</v>
      </c>
      <c r="AT28" s="109">
        <f>BS!AT23-BS!AS23</f>
        <v>9056.0676454233308</v>
      </c>
      <c r="AU28" s="109">
        <f>BS!AU23-BS!AT23</f>
        <v>944.59867161759576</v>
      </c>
      <c r="AV28" s="110">
        <f t="shared" si="16"/>
        <v>-520.33368295907349</v>
      </c>
      <c r="AW28" s="109">
        <f>BS!AW23-BS!AV23</f>
        <v>328.27923379263848</v>
      </c>
      <c r="AX28" s="109">
        <f>BS!AX23-BS!AW23</f>
        <v>558.71432907330745</v>
      </c>
      <c r="AY28" s="109">
        <f>BS!AY23-BS!AX23</f>
        <v>-197.09877702330414</v>
      </c>
      <c r="AZ28" s="109">
        <f>BS!AZ23-BS!AY23</f>
        <v>1170.9258494796977</v>
      </c>
      <c r="BA28" s="110">
        <f t="shared" si="17"/>
        <v>1860.8206353223395</v>
      </c>
    </row>
    <row r="29" spans="2:53" x14ac:dyDescent="0.2">
      <c r="B29" s="138"/>
      <c r="C29" s="126" t="s">
        <v>240</v>
      </c>
      <c r="D29" s="109">
        <v>-563</v>
      </c>
      <c r="E29" s="109">
        <v>351</v>
      </c>
      <c r="F29" s="109">
        <v>251</v>
      </c>
      <c r="G29" s="109">
        <v>1603</v>
      </c>
      <c r="H29" s="110">
        <f t="shared" si="14"/>
        <v>1642</v>
      </c>
      <c r="I29" s="109">
        <v>153</v>
      </c>
      <c r="J29" s="109">
        <v>702</v>
      </c>
      <c r="K29" s="109">
        <v>927</v>
      </c>
      <c r="L29" s="109">
        <v>2554</v>
      </c>
      <c r="M29" s="110">
        <f t="shared" si="15"/>
        <v>4336</v>
      </c>
      <c r="N29" s="109">
        <v>1132</v>
      </c>
      <c r="O29" s="109">
        <v>3419</v>
      </c>
      <c r="P29" s="109">
        <v>2342</v>
      </c>
      <c r="Q29" s="109">
        <v>2862</v>
      </c>
      <c r="R29" s="110">
        <f t="shared" si="2"/>
        <v>9755</v>
      </c>
      <c r="S29" s="109">
        <v>-4504</v>
      </c>
      <c r="T29" s="109">
        <v>4492</v>
      </c>
      <c r="U29" s="109">
        <v>70</v>
      </c>
      <c r="V29" s="109">
        <v>22922</v>
      </c>
      <c r="W29" s="110">
        <f t="shared" si="3"/>
        <v>22980</v>
      </c>
      <c r="X29" s="109">
        <v>-17930</v>
      </c>
      <c r="Y29" s="109">
        <v>6500</v>
      </c>
      <c r="Z29" s="109">
        <v>-2639</v>
      </c>
      <c r="AA29" s="111">
        <v>-5205</v>
      </c>
      <c r="AB29" s="110">
        <f t="shared" si="4"/>
        <v>-19274</v>
      </c>
      <c r="AC29" s="109">
        <v>4247</v>
      </c>
      <c r="AD29" s="109">
        <v>11161</v>
      </c>
      <c r="AE29" s="109">
        <v>-5769</v>
      </c>
      <c r="AF29" s="111">
        <v>24826</v>
      </c>
      <c r="AG29" s="110">
        <f t="shared" si="5"/>
        <v>34465</v>
      </c>
      <c r="AH29" s="111">
        <v>-2286</v>
      </c>
      <c r="AI29" s="111">
        <v>23230</v>
      </c>
      <c r="AJ29" s="111">
        <v>-14132</v>
      </c>
      <c r="AK29" s="111">
        <v>14180</v>
      </c>
      <c r="AL29" s="110">
        <f t="shared" si="6"/>
        <v>20992</v>
      </c>
      <c r="AM29" s="111">
        <v>-9791</v>
      </c>
      <c r="AN29" s="111">
        <v>16926</v>
      </c>
      <c r="AO29" s="111">
        <v>7246</v>
      </c>
      <c r="AP29" s="111">
        <v>15841</v>
      </c>
      <c r="AQ29" s="110">
        <f t="shared" si="7"/>
        <v>30222</v>
      </c>
      <c r="AR29" s="111">
        <v>20826</v>
      </c>
      <c r="AS29" s="111">
        <v>-1644</v>
      </c>
      <c r="AT29" s="111">
        <f>(BS!AT26-BS!AS26)+(BS!AT24-BS!AS24)</f>
        <v>-75996.57944611006</v>
      </c>
      <c r="AU29" s="111">
        <f>(BS!AU26-BS!AT26)+(BS!AU24-BS!AT24)</f>
        <v>26284.286239844201</v>
      </c>
      <c r="AV29" s="110">
        <f t="shared" si="16"/>
        <v>-30530.293206265858</v>
      </c>
      <c r="AW29" s="111">
        <f>(BS!AW26-BS!AV26)+(BS!AW24-BS!AV24)</f>
        <v>446.1497737706959</v>
      </c>
      <c r="AX29" s="111">
        <f>(BS!AX26-BS!AW26)+(BS!AX24-BS!AW24)</f>
        <v>18560.855144785237</v>
      </c>
      <c r="AY29" s="111">
        <f>(BS!AY26-BS!AX26)+(BS!AY24-BS!AX24)</f>
        <v>-10966.928551735153</v>
      </c>
      <c r="AZ29" s="111">
        <f>(BS!AZ26-BS!AY26)+(BS!AZ24-BS!AY24)</f>
        <v>31834.651532943659</v>
      </c>
      <c r="BA29" s="110">
        <f t="shared" si="17"/>
        <v>39874.727899764439</v>
      </c>
    </row>
    <row r="30" spans="2:53" x14ac:dyDescent="0.2">
      <c r="B30" s="138"/>
      <c r="C30" s="126" t="s">
        <v>195</v>
      </c>
      <c r="D30" s="109"/>
      <c r="E30" s="109"/>
      <c r="F30" s="109"/>
      <c r="G30" s="109"/>
      <c r="H30" s="110"/>
      <c r="I30" s="109"/>
      <c r="J30" s="109"/>
      <c r="K30" s="109"/>
      <c r="L30" s="109"/>
      <c r="M30" s="110"/>
      <c r="N30" s="109"/>
      <c r="O30" s="109"/>
      <c r="P30" s="109"/>
      <c r="Q30" s="109"/>
      <c r="R30" s="110">
        <f t="shared" si="2"/>
        <v>0</v>
      </c>
      <c r="S30" s="109">
        <v>5764</v>
      </c>
      <c r="T30" s="109">
        <v>1166</v>
      </c>
      <c r="U30" s="109">
        <v>852</v>
      </c>
      <c r="V30" s="109">
        <v>613</v>
      </c>
      <c r="W30" s="110">
        <f t="shared" si="3"/>
        <v>8395</v>
      </c>
      <c r="X30" s="109">
        <v>-792</v>
      </c>
      <c r="Y30" s="109">
        <v>-2160</v>
      </c>
      <c r="Z30" s="109"/>
      <c r="AA30" s="111">
        <v>-2286</v>
      </c>
      <c r="AB30" s="110">
        <f t="shared" si="4"/>
        <v>-5238</v>
      </c>
      <c r="AC30" s="109">
        <v>-2386</v>
      </c>
      <c r="AD30" s="109">
        <v>-2408</v>
      </c>
      <c r="AE30" s="109">
        <v>-2917</v>
      </c>
      <c r="AF30" s="109">
        <v>-2592</v>
      </c>
      <c r="AG30" s="110">
        <f t="shared" si="5"/>
        <v>-10303</v>
      </c>
      <c r="AH30" s="109">
        <v>-2423</v>
      </c>
      <c r="AI30" s="109">
        <v>-2494</v>
      </c>
      <c r="AJ30" s="109">
        <v>-2642</v>
      </c>
      <c r="AK30" s="109">
        <v>-2280</v>
      </c>
      <c r="AL30" s="110">
        <f t="shared" si="6"/>
        <v>-9839</v>
      </c>
      <c r="AM30" s="109">
        <v>-2348</v>
      </c>
      <c r="AN30" s="109">
        <v>-2080</v>
      </c>
      <c r="AO30" s="109">
        <v>-2759</v>
      </c>
      <c r="AP30" s="109">
        <v>-2225</v>
      </c>
      <c r="AQ30" s="110">
        <f t="shared" si="7"/>
        <v>-9412</v>
      </c>
      <c r="AR30" s="109">
        <v>-2331</v>
      </c>
      <c r="AS30" s="109">
        <v>-2360</v>
      </c>
      <c r="AT30" s="109">
        <f>BS!AT34-BS!AS34</f>
        <v>0</v>
      </c>
      <c r="AU30" s="109">
        <f>BS!AU34-BS!AT34</f>
        <v>0</v>
      </c>
      <c r="AV30" s="110">
        <f t="shared" si="16"/>
        <v>-4691</v>
      </c>
      <c r="AW30" s="109">
        <f>BS!AW34-BS!AV34</f>
        <v>0</v>
      </c>
      <c r="AX30" s="109">
        <f>BS!AX34-BS!AW34</f>
        <v>0</v>
      </c>
      <c r="AY30" s="109">
        <f>BS!AY34-BS!AX34</f>
        <v>0</v>
      </c>
      <c r="AZ30" s="109">
        <f>BS!AZ34-BS!AY34</f>
        <v>0</v>
      </c>
      <c r="BA30" s="110">
        <f t="shared" si="17"/>
        <v>0</v>
      </c>
    </row>
    <row r="31" spans="2:53" x14ac:dyDescent="0.2">
      <c r="B31" s="138"/>
      <c r="C31" s="126" t="s">
        <v>241</v>
      </c>
      <c r="D31" s="111">
        <v>171</v>
      </c>
      <c r="E31" s="111">
        <v>-28</v>
      </c>
      <c r="F31" s="111">
        <v>-57</v>
      </c>
      <c r="G31" s="111">
        <v>-51</v>
      </c>
      <c r="H31" s="311">
        <f t="shared" si="14"/>
        <v>35</v>
      </c>
      <c r="I31" s="111">
        <v>-85</v>
      </c>
      <c r="J31" s="111">
        <v>-24</v>
      </c>
      <c r="K31" s="111">
        <v>-103</v>
      </c>
      <c r="L31" s="111">
        <v>514</v>
      </c>
      <c r="M31" s="311">
        <f t="shared" si="15"/>
        <v>302</v>
      </c>
      <c r="N31" s="111">
        <v>93</v>
      </c>
      <c r="O31" s="111">
        <v>94</v>
      </c>
      <c r="P31" s="111">
        <v>10502</v>
      </c>
      <c r="Q31" s="111">
        <v>2302</v>
      </c>
      <c r="R31" s="110">
        <f t="shared" si="2"/>
        <v>12991</v>
      </c>
      <c r="S31" s="111">
        <v>1338</v>
      </c>
      <c r="T31" s="111">
        <v>-765</v>
      </c>
      <c r="U31" s="111">
        <v>3</v>
      </c>
      <c r="V31" s="111">
        <v>16</v>
      </c>
      <c r="W31" s="110">
        <f t="shared" si="3"/>
        <v>592</v>
      </c>
      <c r="X31" s="111">
        <v>-121</v>
      </c>
      <c r="Y31" s="111">
        <v>-1577</v>
      </c>
      <c r="Z31" s="111">
        <v>2000</v>
      </c>
      <c r="AA31" s="111">
        <v>-7051</v>
      </c>
      <c r="AB31" s="110">
        <f t="shared" si="4"/>
        <v>-6749</v>
      </c>
      <c r="AC31" s="111">
        <v>34</v>
      </c>
      <c r="AD31" s="111">
        <v>1</v>
      </c>
      <c r="AE31" s="111">
        <v>-307</v>
      </c>
      <c r="AF31" s="111">
        <v>-2825</v>
      </c>
      <c r="AG31" s="110">
        <f t="shared" si="5"/>
        <v>-3097</v>
      </c>
      <c r="AH31" s="111">
        <v>-32</v>
      </c>
      <c r="AI31" s="111">
        <v>-15</v>
      </c>
      <c r="AJ31" s="111">
        <v>-2570</v>
      </c>
      <c r="AK31" s="111">
        <v>-11963</v>
      </c>
      <c r="AL31" s="110">
        <f t="shared" si="6"/>
        <v>-14580</v>
      </c>
      <c r="AM31" s="111">
        <v>0</v>
      </c>
      <c r="AN31" s="111">
        <v>-124</v>
      </c>
      <c r="AO31" s="111">
        <v>2385</v>
      </c>
      <c r="AP31" s="111">
        <v>-2215</v>
      </c>
      <c r="AQ31" s="110">
        <f t="shared" si="7"/>
        <v>46</v>
      </c>
      <c r="AR31" s="111"/>
      <c r="AS31" s="111"/>
      <c r="AT31" s="111">
        <f>BS!AT38-BS!AS38</f>
        <v>6186.1815116704747</v>
      </c>
      <c r="AU31" s="111">
        <f>BS!AU38-BS!AT38</f>
        <v>539.77066949576874</v>
      </c>
      <c r="AV31" s="311">
        <f t="shared" ref="AV31:AV32" si="18">SUM(AR31:AU31)</f>
        <v>6725.9521811662435</v>
      </c>
      <c r="AW31" s="111">
        <f>BS!AW38-BS!AV38</f>
        <v>187.5881335957929</v>
      </c>
      <c r="AX31" s="111">
        <f>BS!AX38-BS!AW38</f>
        <v>319.26533089903205</v>
      </c>
      <c r="AY31" s="111">
        <f>BS!AY38-BS!AX38</f>
        <v>-112.62787258474418</v>
      </c>
      <c r="AZ31" s="111">
        <f>BS!AZ38-BS!AY38</f>
        <v>669.10048541697142</v>
      </c>
      <c r="BA31" s="311">
        <f t="shared" ref="BA31:BA32" si="19">SUM(AW31:AZ31)</f>
        <v>1063.3260773270522</v>
      </c>
    </row>
    <row r="32" spans="2:53" x14ac:dyDescent="0.2">
      <c r="B32" s="138"/>
      <c r="C32" s="126" t="s">
        <v>124</v>
      </c>
      <c r="D32" s="111">
        <v>-23</v>
      </c>
      <c r="E32" s="111">
        <v>-239</v>
      </c>
      <c r="F32" s="111">
        <v>-236</v>
      </c>
      <c r="G32" s="111">
        <v>1269</v>
      </c>
      <c r="H32" s="311">
        <f t="shared" si="14"/>
        <v>771</v>
      </c>
      <c r="I32" s="111">
        <v>-113</v>
      </c>
      <c r="J32" s="111">
        <v>547</v>
      </c>
      <c r="K32" s="111">
        <v>-170</v>
      </c>
      <c r="L32" s="111">
        <v>-217</v>
      </c>
      <c r="M32" s="311">
        <f t="shared" si="15"/>
        <v>47</v>
      </c>
      <c r="N32" s="111">
        <v>-7</v>
      </c>
      <c r="O32" s="111">
        <v>1117</v>
      </c>
      <c r="P32" s="111">
        <v>1834</v>
      </c>
      <c r="Q32" s="111">
        <v>314</v>
      </c>
      <c r="R32" s="110">
        <f t="shared" si="2"/>
        <v>3258</v>
      </c>
      <c r="S32" s="111">
        <v>438</v>
      </c>
      <c r="T32" s="111">
        <v>-406</v>
      </c>
      <c r="U32" s="111">
        <v>2892</v>
      </c>
      <c r="V32" s="111">
        <v>3930</v>
      </c>
      <c r="W32" s="110">
        <f t="shared" si="3"/>
        <v>6854</v>
      </c>
      <c r="X32" s="111">
        <v>5566</v>
      </c>
      <c r="Y32" s="111">
        <v>761</v>
      </c>
      <c r="Z32" s="111">
        <v>810</v>
      </c>
      <c r="AA32" s="111">
        <v>408</v>
      </c>
      <c r="AB32" s="110">
        <f t="shared" si="4"/>
        <v>7545</v>
      </c>
      <c r="AC32" s="111">
        <v>-1303</v>
      </c>
      <c r="AD32" s="111">
        <v>-406</v>
      </c>
      <c r="AE32" s="111">
        <v>-3031</v>
      </c>
      <c r="AF32" s="111">
        <v>-2603</v>
      </c>
      <c r="AG32" s="110">
        <f t="shared" si="5"/>
        <v>-7343</v>
      </c>
      <c r="AH32" s="111">
        <v>-2449</v>
      </c>
      <c r="AI32" s="111">
        <v>-2788</v>
      </c>
      <c r="AJ32" s="111">
        <v>202</v>
      </c>
      <c r="AK32" s="111">
        <v>-529</v>
      </c>
      <c r="AL32" s="110">
        <f t="shared" si="6"/>
        <v>-5564</v>
      </c>
      <c r="AM32" s="111">
        <v>657</v>
      </c>
      <c r="AN32" s="111">
        <v>147</v>
      </c>
      <c r="AO32" s="111">
        <v>8</v>
      </c>
      <c r="AP32" s="111">
        <v>734</v>
      </c>
      <c r="AQ32" s="110">
        <f t="shared" si="7"/>
        <v>1546</v>
      </c>
      <c r="AR32" s="111">
        <v>-1591</v>
      </c>
      <c r="AS32" s="111">
        <v>183</v>
      </c>
      <c r="AT32" s="111">
        <f>(BS!AT33-BS!AS33)+(BS!AT25-BS!AS25)</f>
        <v>10917.726046681899</v>
      </c>
      <c r="AU32" s="111">
        <f>(BS!AU33-BS!AT33)+(BS!AU25-BS!AT25)</f>
        <v>2159.0826779830759</v>
      </c>
      <c r="AV32" s="311">
        <f t="shared" si="18"/>
        <v>11668.808724664974</v>
      </c>
      <c r="AW32" s="111">
        <f>(BS!AW33-BS!AV33)+(BS!AW25-BS!AV25)</f>
        <v>750.35253438317341</v>
      </c>
      <c r="AX32" s="111">
        <f>(BS!AX33-BS!AW33)+(BS!AX25-BS!AW25)</f>
        <v>1277.0613235961309</v>
      </c>
      <c r="AY32" s="111">
        <f>(BS!AY33-BS!AX33)+(BS!AY25-BS!AX25)</f>
        <v>-450.51149033898037</v>
      </c>
      <c r="AZ32" s="111">
        <f>(BS!AZ33-BS!AY33)+(BS!AZ25-BS!AY25)</f>
        <v>2676.4019416678811</v>
      </c>
      <c r="BA32" s="311">
        <f t="shared" si="19"/>
        <v>4253.3043093082051</v>
      </c>
    </row>
    <row r="33" spans="2:53" s="133" customFormat="1" x14ac:dyDescent="0.2">
      <c r="B33" s="159" t="s">
        <v>242</v>
      </c>
      <c r="C33" s="312"/>
      <c r="D33" s="183">
        <f t="shared" ref="D33:AI33" si="20">SUM(D7:D32)</f>
        <v>-3660.7337499999994</v>
      </c>
      <c r="E33" s="183">
        <f t="shared" si="20"/>
        <v>-2124.660100000001</v>
      </c>
      <c r="F33" s="183">
        <f t="shared" si="20"/>
        <v>-3341.4828399999965</v>
      </c>
      <c r="G33" s="183">
        <f t="shared" si="20"/>
        <v>771.19738000000052</v>
      </c>
      <c r="H33" s="184">
        <f t="shared" si="20"/>
        <v>-8355.6793099999923</v>
      </c>
      <c r="I33" s="183">
        <f t="shared" si="20"/>
        <v>-2255.2963000000041</v>
      </c>
      <c r="J33" s="183">
        <f t="shared" si="20"/>
        <v>76.171860000002198</v>
      </c>
      <c r="K33" s="183">
        <f t="shared" si="20"/>
        <v>102.40804000000026</v>
      </c>
      <c r="L33" s="183">
        <f t="shared" si="20"/>
        <v>-1873.1076799999992</v>
      </c>
      <c r="M33" s="184">
        <f t="shared" si="20"/>
        <v>-3949.8240800000003</v>
      </c>
      <c r="N33" s="183">
        <f t="shared" si="20"/>
        <v>-2380.2804999999971</v>
      </c>
      <c r="O33" s="183">
        <f t="shared" si="20"/>
        <v>-1769</v>
      </c>
      <c r="P33" s="183">
        <f t="shared" si="20"/>
        <v>822</v>
      </c>
      <c r="Q33" s="183">
        <f t="shared" si="20"/>
        <v>-1103</v>
      </c>
      <c r="R33" s="184">
        <f t="shared" si="20"/>
        <v>-4430.2804999999935</v>
      </c>
      <c r="S33" s="183">
        <f t="shared" si="20"/>
        <v>-2156</v>
      </c>
      <c r="T33" s="183">
        <f t="shared" si="20"/>
        <v>-9508</v>
      </c>
      <c r="U33" s="183">
        <f t="shared" si="20"/>
        <v>-1580</v>
      </c>
      <c r="V33" s="183">
        <f t="shared" si="20"/>
        <v>17786</v>
      </c>
      <c r="W33" s="184">
        <f t="shared" si="20"/>
        <v>4542</v>
      </c>
      <c r="X33" s="183">
        <f t="shared" si="20"/>
        <v>-21134</v>
      </c>
      <c r="Y33" s="183">
        <f t="shared" si="20"/>
        <v>-12930</v>
      </c>
      <c r="Z33" s="183">
        <f t="shared" si="20"/>
        <v>26445</v>
      </c>
      <c r="AA33" s="19">
        <f t="shared" si="20"/>
        <v>-10474</v>
      </c>
      <c r="AB33" s="184">
        <f t="shared" si="20"/>
        <v>-16147</v>
      </c>
      <c r="AC33" s="183">
        <f t="shared" si="20"/>
        <v>18152</v>
      </c>
      <c r="AD33" s="183">
        <f t="shared" si="20"/>
        <v>55230</v>
      </c>
      <c r="AE33" s="183">
        <f t="shared" si="20"/>
        <v>34031</v>
      </c>
      <c r="AF33" s="183">
        <f t="shared" si="20"/>
        <v>80355</v>
      </c>
      <c r="AG33" s="184">
        <f t="shared" si="20"/>
        <v>187768</v>
      </c>
      <c r="AH33" s="183">
        <f t="shared" si="20"/>
        <v>53661</v>
      </c>
      <c r="AI33" s="183">
        <f t="shared" si="20"/>
        <v>79682</v>
      </c>
      <c r="AJ33" s="183">
        <f t="shared" ref="AJ33:BA33" si="21">SUM(AJ7:AJ32)</f>
        <v>66809</v>
      </c>
      <c r="AK33" s="183">
        <f t="shared" si="21"/>
        <v>78620</v>
      </c>
      <c r="AL33" s="184">
        <f t="shared" si="21"/>
        <v>278772</v>
      </c>
      <c r="AM33" s="183">
        <f t="shared" si="21"/>
        <v>88582</v>
      </c>
      <c r="AN33" s="183">
        <f t="shared" si="21"/>
        <v>78716</v>
      </c>
      <c r="AO33" s="183">
        <f t="shared" si="21"/>
        <v>99530</v>
      </c>
      <c r="AP33" s="183">
        <f t="shared" si="21"/>
        <v>83815</v>
      </c>
      <c r="AQ33" s="184">
        <f t="shared" si="21"/>
        <v>350643</v>
      </c>
      <c r="AR33" s="183">
        <f t="shared" si="21"/>
        <v>96855</v>
      </c>
      <c r="AS33" s="183">
        <f t="shared" si="21"/>
        <v>105317</v>
      </c>
      <c r="AT33" s="183">
        <f t="shared" si="21"/>
        <v>-20472.671621062276</v>
      </c>
      <c r="AU33" s="183">
        <f t="shared" si="21"/>
        <v>99915.992200544235</v>
      </c>
      <c r="AV33" s="184">
        <f t="shared" si="21"/>
        <v>281615.32057948201</v>
      </c>
      <c r="AW33" s="183">
        <f t="shared" si="21"/>
        <v>67157.845801242263</v>
      </c>
      <c r="AX33" s="183">
        <f t="shared" si="21"/>
        <v>99149.571559431191</v>
      </c>
      <c r="AY33" s="183">
        <f t="shared" si="21"/>
        <v>82773.37104591768</v>
      </c>
      <c r="AZ33" s="183">
        <f t="shared" si="21"/>
        <v>108523.89802299188</v>
      </c>
      <c r="BA33" s="184">
        <f t="shared" si="21"/>
        <v>357604.68642958306</v>
      </c>
    </row>
    <row r="34" spans="2:53" s="313" customFormat="1" ht="11.25" x14ac:dyDescent="0.2">
      <c r="B34" s="162"/>
      <c r="C34" s="122" t="s">
        <v>243</v>
      </c>
      <c r="D34" s="197">
        <v>-0.27938924396816678</v>
      </c>
      <c r="E34" s="197">
        <v>-0.14012026538444372</v>
      </c>
      <c r="F34" s="197">
        <v>-0.19543458659522439</v>
      </c>
      <c r="G34" s="197">
        <v>3.9547216655410396E-2</v>
      </c>
      <c r="H34" s="198">
        <f>H33/IS!H17</f>
        <v>-0.12881818998278718</v>
      </c>
      <c r="I34" s="197">
        <f>I33/IS!I17</f>
        <v>-0.10057453030468995</v>
      </c>
      <c r="J34" s="197">
        <f>J33/IS!J17</f>
        <v>2.9298390324315432E-3</v>
      </c>
      <c r="K34" s="197">
        <f>K33/IS!K17</f>
        <v>3.625873839971996E-3</v>
      </c>
      <c r="L34" s="197">
        <f>L33/IS!L17</f>
        <v>-5.9117798111793005E-2</v>
      </c>
      <c r="M34" s="198">
        <f>M33/IS!M17</f>
        <v>-3.6454039534951001E-2</v>
      </c>
      <c r="N34" s="197">
        <f>N33/IS!N17</f>
        <v>-6.7661049160226236E-2</v>
      </c>
      <c r="O34" s="197">
        <f>O33/IS!O17</f>
        <v>-4.5266120777891501E-2</v>
      </c>
      <c r="P34" s="197">
        <f>P33/IS!P17</f>
        <v>1.9936939121998544E-2</v>
      </c>
      <c r="Q34" s="197">
        <f>Q33/IS!Q17</f>
        <v>-2.6193303253383995E-2</v>
      </c>
      <c r="R34" s="198">
        <f>R33/IS!R17</f>
        <v>-2.8111009698015357E-2</v>
      </c>
      <c r="S34" s="197">
        <f>S33/IS!S17</f>
        <v>-4.6657577528187152E-2</v>
      </c>
      <c r="T34" s="197">
        <f>T33/IS!T17</f>
        <v>-0.17592746785086502</v>
      </c>
      <c r="U34" s="197">
        <f>U33/IS!U17</f>
        <v>-2.644882654256922E-2</v>
      </c>
      <c r="V34" s="197">
        <f>V33/IS!V17</f>
        <v>0.22723033485365324</v>
      </c>
      <c r="W34" s="198">
        <f>W33/IS!W17</f>
        <v>1.906280821774075E-2</v>
      </c>
      <c r="X34" s="197">
        <f>X33/IS!X17</f>
        <v>-0.17857354096781552</v>
      </c>
      <c r="Y34" s="197">
        <f>Y33/IS!Y17</f>
        <v>-8.2631424225769759E-2</v>
      </c>
      <c r="Z34" s="197">
        <f>Z33/IS!Z17</f>
        <v>0.15843773028739869</v>
      </c>
      <c r="AA34" s="199">
        <f>AA33/IS!AA17</f>
        <v>-5.231219502449793E-2</v>
      </c>
      <c r="AB34" s="198">
        <f>AB33/IS!AB17</f>
        <v>-2.5152696667544189E-2</v>
      </c>
      <c r="AC34" s="197">
        <f>AC33/IS!AC17</f>
        <v>7.894782623823525E-2</v>
      </c>
      <c r="AD34" s="197">
        <f>AD33/IS!AD17</f>
        <v>0.21241817496519311</v>
      </c>
      <c r="AE34" s="197">
        <f>AE33/IS!AE17</f>
        <v>0.12485920272972427</v>
      </c>
      <c r="AF34" s="197">
        <f>AF33/IS!AF17</f>
        <v>0.27148518664923321</v>
      </c>
      <c r="AG34" s="198">
        <f>AG33/IS!AG17</f>
        <v>0.17739601008249659</v>
      </c>
      <c r="AH34" s="197">
        <f>AH33/IS!AH17</f>
        <v>0.17594635801760741</v>
      </c>
      <c r="AI34" s="197">
        <f>AI33/IS!AI17</f>
        <v>0.25018289141116817</v>
      </c>
      <c r="AJ34" s="197">
        <f>AJ33/IS!AJ17</f>
        <v>0.2068210805255272</v>
      </c>
      <c r="AK34" s="197">
        <f>AK33/IS!AK17</f>
        <v>0.22876929568038643</v>
      </c>
      <c r="AL34" s="198">
        <f>AL33/IS!AL17</f>
        <v>0.21607334830290201</v>
      </c>
      <c r="AM34" s="197">
        <f>AM33/IS!AM17</f>
        <v>0.24712512205328499</v>
      </c>
      <c r="AN34" s="197">
        <f>AN33/IS!AN17</f>
        <v>0.21711524352234426</v>
      </c>
      <c r="AO34" s="197">
        <f>AO33/IS!AO17</f>
        <v>0.27784834332262287</v>
      </c>
      <c r="AP34" s="197">
        <f>AP33/IS!AP17</f>
        <v>0.21863889041056583</v>
      </c>
      <c r="AQ34" s="198">
        <f>AQ33/IS!AQ17</f>
        <v>0.23974442248918001</v>
      </c>
      <c r="AR34" s="197">
        <f>AR33/IS!AR17</f>
        <v>0.24474340540909331</v>
      </c>
      <c r="AS34" s="197">
        <f>AS33/IS!AS17</f>
        <v>0.25397724943388855</v>
      </c>
      <c r="AT34" s="197">
        <f>AT33/IS!AT17</f>
        <v>-5.0818444617161743E-2</v>
      </c>
      <c r="AU34" s="197">
        <f>AU33/IS!AU17</f>
        <v>0.23244515054866774</v>
      </c>
      <c r="AV34" s="198">
        <f>AV33/IS!AV17</f>
        <v>0.17139073592901663</v>
      </c>
      <c r="AW34" s="197">
        <f>AW33/IS!AW17</f>
        <v>0.15290007990147519</v>
      </c>
      <c r="AX34" s="197">
        <f>AX33/IS!AX17</f>
        <v>0.21782005332393384</v>
      </c>
      <c r="AY34" s="197">
        <f>AY33/IS!AY17</f>
        <v>0.1841213089875251</v>
      </c>
      <c r="AZ34" s="197">
        <f>AZ33/IS!AZ17</f>
        <v>0.2246806874896754</v>
      </c>
      <c r="BA34" s="198">
        <f>BA33/IS!BA17</f>
        <v>0.19573433184336797</v>
      </c>
    </row>
    <row r="35" spans="2:53" x14ac:dyDescent="0.2">
      <c r="B35" s="138"/>
      <c r="C35" s="126"/>
      <c r="D35" s="28"/>
      <c r="E35" s="142"/>
      <c r="F35" s="28"/>
      <c r="G35" s="28"/>
      <c r="H35" s="310"/>
      <c r="I35" s="28"/>
      <c r="J35" s="142"/>
      <c r="K35" s="28"/>
      <c r="L35" s="28"/>
      <c r="M35" s="310"/>
      <c r="N35" s="28"/>
      <c r="O35" s="142">
        <f>O33-J33</f>
        <v>-1845.1718600000022</v>
      </c>
      <c r="P35" s="28"/>
      <c r="Q35" s="28"/>
      <c r="R35" s="310"/>
      <c r="S35" s="28"/>
      <c r="T35" s="28"/>
      <c r="U35" s="28"/>
      <c r="V35" s="28"/>
      <c r="W35" s="310"/>
      <c r="X35" s="28"/>
      <c r="Y35" s="28"/>
      <c r="Z35" s="28"/>
      <c r="AA35" s="142"/>
      <c r="AB35" s="310"/>
      <c r="AC35" s="28"/>
      <c r="AD35" s="28"/>
      <c r="AE35" s="28"/>
      <c r="AF35" s="28"/>
      <c r="AG35" s="310"/>
      <c r="AH35" s="28"/>
      <c r="AI35" s="28"/>
      <c r="AJ35" s="142"/>
      <c r="AK35" s="28"/>
      <c r="AL35" s="310"/>
      <c r="AM35" s="28"/>
      <c r="AN35" s="28"/>
      <c r="AO35" s="142"/>
      <c r="AP35" s="28"/>
      <c r="AQ35" s="310"/>
      <c r="AR35" s="28"/>
      <c r="AS35" s="28"/>
      <c r="AT35" s="28"/>
      <c r="AU35" s="28"/>
      <c r="AV35" s="310"/>
      <c r="AW35" s="28"/>
      <c r="AX35" s="28"/>
      <c r="AY35" s="28"/>
      <c r="AZ35" s="28"/>
      <c r="BA35" s="310"/>
    </row>
    <row r="36" spans="2:53" ht="12.75" customHeight="1" x14ac:dyDescent="0.2">
      <c r="B36" s="314" t="s">
        <v>244</v>
      </c>
      <c r="C36" s="126"/>
      <c r="D36" s="28"/>
      <c r="E36" s="28"/>
      <c r="F36" s="28"/>
      <c r="G36" s="28"/>
      <c r="H36" s="310"/>
      <c r="I36" s="28"/>
      <c r="J36" s="28"/>
      <c r="K36" s="28"/>
      <c r="L36" s="28"/>
      <c r="M36" s="310"/>
      <c r="N36" s="28"/>
      <c r="O36" s="28"/>
      <c r="P36" s="28"/>
      <c r="Q36" s="28"/>
      <c r="R36" s="310"/>
      <c r="S36" s="28"/>
      <c r="T36" s="28"/>
      <c r="U36" s="28"/>
      <c r="V36" s="28"/>
      <c r="W36" s="310"/>
      <c r="X36" s="28"/>
      <c r="Y36" s="28"/>
      <c r="Z36" s="28"/>
      <c r="AA36" s="28"/>
      <c r="AB36" s="310"/>
      <c r="AC36" s="28"/>
      <c r="AD36" s="28"/>
      <c r="AE36" s="28"/>
      <c r="AF36" s="28"/>
      <c r="AG36" s="310"/>
      <c r="AH36" s="28"/>
      <c r="AI36" s="28"/>
      <c r="AJ36" s="28"/>
      <c r="AK36" s="28"/>
      <c r="AL36" s="310"/>
      <c r="AM36" s="28"/>
      <c r="AN36" s="28"/>
      <c r="AO36" s="28"/>
      <c r="AP36" s="28"/>
      <c r="AQ36" s="310"/>
      <c r="AR36" s="28"/>
      <c r="AS36" s="28"/>
      <c r="AT36" s="28"/>
      <c r="AU36" s="28"/>
      <c r="AV36" s="310"/>
      <c r="AW36" s="28"/>
      <c r="AX36" s="28"/>
      <c r="AY36" s="28"/>
      <c r="AZ36" s="28"/>
      <c r="BA36" s="310"/>
    </row>
    <row r="37" spans="2:53" ht="12.75" customHeight="1" x14ac:dyDescent="0.2">
      <c r="B37" s="314"/>
      <c r="C37" s="126" t="s">
        <v>245</v>
      </c>
      <c r="D37" s="28"/>
      <c r="E37" s="28"/>
      <c r="F37" s="28"/>
      <c r="G37" s="28"/>
      <c r="H37" s="286">
        <f t="shared" ref="H37:H49" si="22">SUM(D37:G37)</f>
        <v>0</v>
      </c>
      <c r="I37" s="28"/>
      <c r="J37" s="28"/>
      <c r="K37" s="28"/>
      <c r="L37" s="28"/>
      <c r="M37" s="286">
        <f t="shared" ref="M37:M49" si="23">SUM(I37:L37)</f>
        <v>0</v>
      </c>
      <c r="N37" s="28"/>
      <c r="O37" s="28"/>
      <c r="P37" s="28"/>
      <c r="Q37" s="28"/>
      <c r="R37" s="286">
        <f t="shared" ref="R37:R49" si="24">SUM(N37:Q37)</f>
        <v>0</v>
      </c>
      <c r="S37" s="28"/>
      <c r="T37" s="28"/>
      <c r="U37" s="28"/>
      <c r="V37" s="315">
        <v>-556090</v>
      </c>
      <c r="W37" s="286">
        <f t="shared" ref="W37:W49" si="25">SUM(S37:V37)</f>
        <v>-556090</v>
      </c>
      <c r="X37" s="315">
        <v>-144452</v>
      </c>
      <c r="Y37" s="315">
        <v>-89</v>
      </c>
      <c r="Z37" s="28"/>
      <c r="AA37" s="28"/>
      <c r="AB37" s="286">
        <f t="shared" ref="AB37:AB49" si="26">SUM(X37:AA37)</f>
        <v>-144541</v>
      </c>
      <c r="AC37" s="315"/>
      <c r="AD37" s="315">
        <v>-28902</v>
      </c>
      <c r="AE37" s="28"/>
      <c r="AF37" s="28"/>
      <c r="AG37" s="286">
        <f t="shared" ref="AG37:AG49" si="27">SUM(AC37:AF37)</f>
        <v>-28902</v>
      </c>
      <c r="AH37" s="315"/>
      <c r="AI37" s="315"/>
      <c r="AJ37" s="524"/>
      <c r="AK37" s="28"/>
      <c r="AL37" s="286">
        <f t="shared" ref="AL37:AL48" si="28">SUM(AH37:AK37)</f>
        <v>0</v>
      </c>
      <c r="AM37" s="315"/>
      <c r="AN37" s="315"/>
      <c r="AO37" s="524"/>
      <c r="AP37" s="28"/>
      <c r="AQ37" s="286">
        <f t="shared" ref="AQ37:AQ48" si="29">SUM(AM37:AP37)</f>
        <v>0</v>
      </c>
      <c r="AR37" s="315"/>
      <c r="AS37" s="315"/>
      <c r="AT37" s="28"/>
      <c r="AU37" s="28"/>
      <c r="AV37" s="286">
        <f t="shared" ref="AV37:AV48" si="30">SUM(AR37:AU37)</f>
        <v>0</v>
      </c>
      <c r="AW37" s="315"/>
      <c r="AX37" s="315"/>
      <c r="AY37" s="28"/>
      <c r="AZ37" s="28"/>
      <c r="BA37" s="286">
        <f t="shared" ref="BA37:BA48" si="31">SUM(AW37:AZ37)</f>
        <v>0</v>
      </c>
    </row>
    <row r="38" spans="2:53" ht="12.75" customHeight="1" x14ac:dyDescent="0.2">
      <c r="B38" s="138"/>
      <c r="C38" s="316" t="s">
        <v>246</v>
      </c>
      <c r="D38" s="315">
        <v>-256720</v>
      </c>
      <c r="E38" s="315">
        <v>-152202</v>
      </c>
      <c r="F38" s="315">
        <v>-151413</v>
      </c>
      <c r="G38" s="315">
        <v>-166453</v>
      </c>
      <c r="H38" s="286">
        <f t="shared" si="22"/>
        <v>-726788</v>
      </c>
      <c r="I38" s="315">
        <v>-191198</v>
      </c>
      <c r="J38" s="317">
        <v>-224128</v>
      </c>
      <c r="K38" s="315">
        <v>-218079</v>
      </c>
      <c r="L38" s="317">
        <v>-197217</v>
      </c>
      <c r="M38" s="286">
        <f t="shared" si="23"/>
        <v>-830622</v>
      </c>
      <c r="N38" s="315">
        <v>-189204</v>
      </c>
      <c r="O38" s="315">
        <v>-225444</v>
      </c>
      <c r="P38" s="315">
        <v>-416046</v>
      </c>
      <c r="Q38" s="315">
        <v>-257917</v>
      </c>
      <c r="R38" s="286">
        <f t="shared" si="24"/>
        <v>-1088611</v>
      </c>
      <c r="S38" s="315">
        <v>-343345</v>
      </c>
      <c r="T38" s="315">
        <v>-358097</v>
      </c>
      <c r="U38" s="315">
        <v>-784583</v>
      </c>
      <c r="V38" s="315">
        <v>-584271</v>
      </c>
      <c r="W38" s="286">
        <f t="shared" si="25"/>
        <v>-2070296</v>
      </c>
      <c r="X38" s="315">
        <v>-608552</v>
      </c>
      <c r="Y38" s="315">
        <v>-843867</v>
      </c>
      <c r="Z38" s="315">
        <v>-723708</v>
      </c>
      <c r="AA38" s="318">
        <v>-625570</v>
      </c>
      <c r="AB38" s="286">
        <f t="shared" si="26"/>
        <v>-2801697</v>
      </c>
      <c r="AC38" s="315">
        <v>-859911</v>
      </c>
      <c r="AD38" s="315">
        <v>-781282</v>
      </c>
      <c r="AE38" s="318">
        <v>-753325</v>
      </c>
      <c r="AF38" s="318">
        <v>-349245</v>
      </c>
      <c r="AG38" s="286">
        <f t="shared" si="27"/>
        <v>-2743763</v>
      </c>
      <c r="AH38" s="315">
        <v>-399588</v>
      </c>
      <c r="AI38" s="315">
        <v>-590652</v>
      </c>
      <c r="AJ38" s="318">
        <v>-1052609</v>
      </c>
      <c r="AK38" s="318">
        <v>-639810</v>
      </c>
      <c r="AL38" s="286">
        <f t="shared" si="28"/>
        <v>-2682659</v>
      </c>
      <c r="AM38" s="315">
        <v>-637992</v>
      </c>
      <c r="AN38" s="315">
        <v>-572575</v>
      </c>
      <c r="AO38" s="318">
        <v>-1104408</v>
      </c>
      <c r="AP38" s="318">
        <v>-532761</v>
      </c>
      <c r="AQ38" s="286">
        <f t="shared" si="29"/>
        <v>-2847736</v>
      </c>
      <c r="AR38" s="315">
        <v>-372347</v>
      </c>
      <c r="AS38" s="315">
        <v>-310786</v>
      </c>
      <c r="AT38" s="319"/>
      <c r="AU38" s="319"/>
      <c r="AV38" s="286">
        <f t="shared" si="30"/>
        <v>-683133</v>
      </c>
      <c r="AW38" s="315"/>
      <c r="AX38" s="315"/>
      <c r="AY38" s="319"/>
      <c r="AZ38" s="319"/>
      <c r="BA38" s="286">
        <f t="shared" si="31"/>
        <v>0</v>
      </c>
    </row>
    <row r="39" spans="2:53" ht="12.75" customHeight="1" x14ac:dyDescent="0.2">
      <c r="B39" s="138"/>
      <c r="C39" s="316" t="s">
        <v>247</v>
      </c>
      <c r="D39" s="317">
        <v>0</v>
      </c>
      <c r="E39" s="317">
        <v>14842</v>
      </c>
      <c r="F39" s="315">
        <v>122894</v>
      </c>
      <c r="G39" s="317">
        <v>153092</v>
      </c>
      <c r="H39" s="286">
        <f t="shared" si="22"/>
        <v>290828</v>
      </c>
      <c r="I39" s="317">
        <v>206434</v>
      </c>
      <c r="J39" s="317">
        <v>176550</v>
      </c>
      <c r="K39" s="315">
        <v>167830</v>
      </c>
      <c r="L39" s="317">
        <v>143489</v>
      </c>
      <c r="M39" s="286">
        <f t="shared" si="23"/>
        <v>694303</v>
      </c>
      <c r="N39" s="317">
        <v>255171</v>
      </c>
      <c r="O39" s="315">
        <v>152065</v>
      </c>
      <c r="P39" s="315">
        <v>189075</v>
      </c>
      <c r="Q39" s="315">
        <v>209689</v>
      </c>
      <c r="R39" s="286">
        <f t="shared" si="24"/>
        <v>806000</v>
      </c>
      <c r="S39" s="315">
        <v>244332</v>
      </c>
      <c r="T39" s="315">
        <v>256827</v>
      </c>
      <c r="U39" s="315">
        <v>329774</v>
      </c>
      <c r="V39" s="315">
        <v>273599</v>
      </c>
      <c r="W39" s="286">
        <f t="shared" si="25"/>
        <v>1104532</v>
      </c>
      <c r="X39" s="315">
        <v>318907</v>
      </c>
      <c r="Y39" s="315">
        <v>348947</v>
      </c>
      <c r="Z39" s="315">
        <v>640796</v>
      </c>
      <c r="AA39" s="315">
        <v>593824</v>
      </c>
      <c r="AB39" s="286">
        <f t="shared" si="26"/>
        <v>1902474</v>
      </c>
      <c r="AC39" s="315">
        <v>838099</v>
      </c>
      <c r="AD39" s="315">
        <v>845314</v>
      </c>
      <c r="AE39" s="315">
        <v>827416</v>
      </c>
      <c r="AF39" s="315">
        <v>773132</v>
      </c>
      <c r="AG39" s="286">
        <f t="shared" si="27"/>
        <v>3283961</v>
      </c>
      <c r="AH39" s="315">
        <v>757169</v>
      </c>
      <c r="AI39" s="315">
        <v>524336</v>
      </c>
      <c r="AJ39" s="318">
        <v>575715</v>
      </c>
      <c r="AK39" s="315">
        <v>654887</v>
      </c>
      <c r="AL39" s="286">
        <f t="shared" si="28"/>
        <v>2512107</v>
      </c>
      <c r="AM39" s="315">
        <v>563677</v>
      </c>
      <c r="AN39" s="315">
        <v>539073</v>
      </c>
      <c r="AO39" s="318">
        <v>624617</v>
      </c>
      <c r="AP39" s="315">
        <v>487261</v>
      </c>
      <c r="AQ39" s="286">
        <f t="shared" si="29"/>
        <v>2214628</v>
      </c>
      <c r="AR39" s="315">
        <v>328254</v>
      </c>
      <c r="AS39" s="315">
        <v>453200</v>
      </c>
      <c r="AT39" s="315"/>
      <c r="AU39" s="315"/>
      <c r="AV39" s="286">
        <f t="shared" si="30"/>
        <v>781454</v>
      </c>
      <c r="AW39" s="315"/>
      <c r="AX39" s="315"/>
      <c r="AY39" s="315"/>
      <c r="AZ39" s="315"/>
      <c r="BA39" s="286">
        <f t="shared" si="31"/>
        <v>0</v>
      </c>
    </row>
    <row r="40" spans="2:53" ht="12.75" customHeight="1" x14ac:dyDescent="0.2">
      <c r="B40" s="138"/>
      <c r="C40" s="316" t="s">
        <v>394</v>
      </c>
      <c r="D40" s="317"/>
      <c r="E40" s="317"/>
      <c r="F40" s="315"/>
      <c r="G40" s="317"/>
      <c r="H40" s="286">
        <f t="shared" si="22"/>
        <v>0</v>
      </c>
      <c r="I40" s="317"/>
      <c r="J40" s="317"/>
      <c r="K40" s="315"/>
      <c r="L40" s="317"/>
      <c r="M40" s="286">
        <f t="shared" si="23"/>
        <v>0</v>
      </c>
      <c r="N40" s="317"/>
      <c r="O40" s="315"/>
      <c r="P40" s="315"/>
      <c r="Q40" s="315"/>
      <c r="R40" s="286">
        <f t="shared" si="24"/>
        <v>0</v>
      </c>
      <c r="S40" s="315"/>
      <c r="T40" s="315"/>
      <c r="U40" s="315"/>
      <c r="V40" s="315"/>
      <c r="W40" s="286">
        <f t="shared" si="25"/>
        <v>0</v>
      </c>
      <c r="X40" s="315"/>
      <c r="Y40" s="315"/>
      <c r="Z40" s="315"/>
      <c r="AA40" s="315"/>
      <c r="AB40" s="286">
        <f t="shared" si="26"/>
        <v>0</v>
      </c>
      <c r="AC40" s="315"/>
      <c r="AD40" s="315"/>
      <c r="AE40" s="315"/>
      <c r="AF40" s="315"/>
      <c r="AG40" s="286">
        <f t="shared" si="27"/>
        <v>0</v>
      </c>
      <c r="AH40" s="315">
        <v>-32756</v>
      </c>
      <c r="AI40" s="315">
        <v>-77357</v>
      </c>
      <c r="AJ40" s="318">
        <v>-108830</v>
      </c>
      <c r="AK40" s="315">
        <v>-140711</v>
      </c>
      <c r="AL40" s="286">
        <f t="shared" si="28"/>
        <v>-359654</v>
      </c>
      <c r="AM40" s="315">
        <v>-181686</v>
      </c>
      <c r="AN40" s="315">
        <v>-198987</v>
      </c>
      <c r="AO40" s="318">
        <v>-196212</v>
      </c>
      <c r="AP40" s="315">
        <v>-222041</v>
      </c>
      <c r="AQ40" s="286">
        <f t="shared" si="29"/>
        <v>-798926</v>
      </c>
      <c r="AR40" s="315">
        <v>-241680</v>
      </c>
      <c r="AS40" s="315">
        <v>-268604</v>
      </c>
      <c r="AT40" s="315"/>
      <c r="AU40" s="315"/>
      <c r="AV40" s="286">
        <f t="shared" si="30"/>
        <v>-510284</v>
      </c>
      <c r="AW40" s="315"/>
      <c r="AX40" s="315"/>
      <c r="AY40" s="315"/>
      <c r="AZ40" s="315"/>
      <c r="BA40" s="286">
        <f t="shared" si="31"/>
        <v>0</v>
      </c>
    </row>
    <row r="41" spans="2:53" ht="12.75" customHeight="1" x14ac:dyDescent="0.2">
      <c r="B41" s="138"/>
      <c r="C41" s="316" t="s">
        <v>395</v>
      </c>
      <c r="D41" s="317"/>
      <c r="E41" s="317"/>
      <c r="F41" s="315"/>
      <c r="G41" s="317"/>
      <c r="H41" s="286">
        <f t="shared" si="22"/>
        <v>0</v>
      </c>
      <c r="I41" s="317"/>
      <c r="J41" s="317"/>
      <c r="K41" s="315"/>
      <c r="L41" s="317"/>
      <c r="M41" s="286">
        <f t="shared" si="23"/>
        <v>0</v>
      </c>
      <c r="N41" s="317"/>
      <c r="O41" s="315"/>
      <c r="P41" s="315"/>
      <c r="Q41" s="315"/>
      <c r="R41" s="286">
        <f t="shared" si="24"/>
        <v>0</v>
      </c>
      <c r="S41" s="315"/>
      <c r="T41" s="315"/>
      <c r="U41" s="315"/>
      <c r="V41" s="315"/>
      <c r="W41" s="286">
        <f t="shared" si="25"/>
        <v>0</v>
      </c>
      <c r="X41" s="315"/>
      <c r="Y41" s="315"/>
      <c r="Z41" s="315"/>
      <c r="AA41" s="315"/>
      <c r="AB41" s="286">
        <f t="shared" si="26"/>
        <v>0</v>
      </c>
      <c r="AC41" s="315"/>
      <c r="AD41" s="315"/>
      <c r="AE41" s="315"/>
      <c r="AF41" s="315"/>
      <c r="AG41" s="286">
        <f t="shared" si="27"/>
        <v>0</v>
      </c>
      <c r="AH41" s="315">
        <v>25330</v>
      </c>
      <c r="AI41" s="315">
        <v>68970</v>
      </c>
      <c r="AJ41" s="318">
        <v>97561</v>
      </c>
      <c r="AK41" s="315">
        <v>134311</v>
      </c>
      <c r="AL41" s="286">
        <f t="shared" si="28"/>
        <v>326172</v>
      </c>
      <c r="AM41" s="315">
        <v>171987</v>
      </c>
      <c r="AN41" s="315">
        <v>197462</v>
      </c>
      <c r="AO41" s="318">
        <v>194846</v>
      </c>
      <c r="AP41" s="315">
        <v>223218</v>
      </c>
      <c r="AQ41" s="286">
        <f t="shared" si="29"/>
        <v>787513</v>
      </c>
      <c r="AR41" s="315">
        <v>244471</v>
      </c>
      <c r="AS41" s="315">
        <v>271096</v>
      </c>
      <c r="AT41" s="315"/>
      <c r="AU41" s="315"/>
      <c r="AV41" s="286">
        <f t="shared" si="30"/>
        <v>515567</v>
      </c>
      <c r="AW41" s="315"/>
      <c r="AX41" s="315"/>
      <c r="AY41" s="315"/>
      <c r="AZ41" s="315"/>
      <c r="BA41" s="286">
        <f t="shared" si="31"/>
        <v>0</v>
      </c>
    </row>
    <row r="42" spans="2:53" ht="12.75" customHeight="1" x14ac:dyDescent="0.2">
      <c r="B42" s="138"/>
      <c r="C42" s="316" t="s">
        <v>248</v>
      </c>
      <c r="D42" s="317">
        <v>0</v>
      </c>
      <c r="E42" s="317">
        <v>10003</v>
      </c>
      <c r="F42" s="317">
        <v>4995</v>
      </c>
      <c r="G42" s="317">
        <v>1500</v>
      </c>
      <c r="H42" s="286">
        <f t="shared" si="22"/>
        <v>16498</v>
      </c>
      <c r="I42" s="317">
        <v>0</v>
      </c>
      <c r="J42" s="317">
        <v>29162</v>
      </c>
      <c r="K42" s="317">
        <v>25553</v>
      </c>
      <c r="L42" s="317">
        <v>0</v>
      </c>
      <c r="M42" s="286">
        <f t="shared" si="23"/>
        <v>54715</v>
      </c>
      <c r="N42" s="317">
        <v>10761</v>
      </c>
      <c r="O42" s="317">
        <v>11964</v>
      </c>
      <c r="P42" s="317">
        <v>2612</v>
      </c>
      <c r="Q42" s="317">
        <v>20822</v>
      </c>
      <c r="R42" s="286">
        <f t="shared" si="24"/>
        <v>46159</v>
      </c>
      <c r="S42" s="317">
        <f>33286-1522</f>
        <v>31764</v>
      </c>
      <c r="T42" s="317">
        <v>2000</v>
      </c>
      <c r="U42" s="317">
        <v>83786</v>
      </c>
      <c r="V42" s="317">
        <v>23593</v>
      </c>
      <c r="W42" s="286">
        <f t="shared" si="25"/>
        <v>141143</v>
      </c>
      <c r="X42" s="317">
        <v>17234</v>
      </c>
      <c r="Y42" s="317">
        <v>27510</v>
      </c>
      <c r="Z42" s="317">
        <v>6000</v>
      </c>
      <c r="AA42" s="317">
        <v>5000</v>
      </c>
      <c r="AB42" s="286">
        <f t="shared" si="26"/>
        <v>55744</v>
      </c>
      <c r="AC42" s="317"/>
      <c r="AD42" s="317">
        <v>5088</v>
      </c>
      <c r="AE42" s="317">
        <v>6519</v>
      </c>
      <c r="AF42" s="317">
        <v>0</v>
      </c>
      <c r="AG42" s="286">
        <f t="shared" si="27"/>
        <v>11607</v>
      </c>
      <c r="AH42" s="317"/>
      <c r="AI42" s="317"/>
      <c r="AJ42" s="318">
        <v>1539</v>
      </c>
      <c r="AK42" s="317"/>
      <c r="AL42" s="286">
        <f t="shared" si="28"/>
        <v>1539</v>
      </c>
      <c r="AM42" s="317"/>
      <c r="AN42" s="317"/>
      <c r="AO42" s="318"/>
      <c r="AP42" s="317"/>
      <c r="AQ42" s="286">
        <f t="shared" si="29"/>
        <v>0</v>
      </c>
      <c r="AR42" s="317"/>
      <c r="AS42" s="317"/>
      <c r="AT42" s="317"/>
      <c r="AU42" s="317"/>
      <c r="AV42" s="286">
        <f t="shared" si="30"/>
        <v>0</v>
      </c>
      <c r="AW42" s="317"/>
      <c r="AX42" s="317"/>
      <c r="AY42" s="317"/>
      <c r="AZ42" s="317"/>
      <c r="BA42" s="286">
        <f t="shared" si="31"/>
        <v>0</v>
      </c>
    </row>
    <row r="43" spans="2:53" ht="12.75" customHeight="1" x14ac:dyDescent="0.2">
      <c r="B43" s="138"/>
      <c r="C43" s="316" t="s">
        <v>249</v>
      </c>
      <c r="D43" s="317">
        <v>198523</v>
      </c>
      <c r="E43" s="317">
        <v>-104891</v>
      </c>
      <c r="F43" s="317">
        <v>109211</v>
      </c>
      <c r="G43" s="317">
        <v>-116967</v>
      </c>
      <c r="H43" s="286">
        <f t="shared" si="22"/>
        <v>85876</v>
      </c>
      <c r="I43" s="317">
        <v>-118000</v>
      </c>
      <c r="J43" s="317">
        <v>-180650</v>
      </c>
      <c r="K43" s="317">
        <v>57799</v>
      </c>
      <c r="L43" s="317">
        <v>-92497</v>
      </c>
      <c r="M43" s="286">
        <f t="shared" si="23"/>
        <v>-333348</v>
      </c>
      <c r="N43" s="317">
        <v>-213249</v>
      </c>
      <c r="O43" s="317">
        <v>39519</v>
      </c>
      <c r="P43" s="317">
        <v>276228</v>
      </c>
      <c r="Q43" s="317">
        <v>5642</v>
      </c>
      <c r="R43" s="286">
        <f t="shared" si="24"/>
        <v>108140</v>
      </c>
      <c r="S43" s="317"/>
      <c r="T43" s="317">
        <v>1541</v>
      </c>
      <c r="U43" s="317">
        <v>-9091</v>
      </c>
      <c r="V43" s="317">
        <v>-1720</v>
      </c>
      <c r="W43" s="286">
        <f t="shared" si="25"/>
        <v>-9270</v>
      </c>
      <c r="X43" s="317">
        <v>-946</v>
      </c>
      <c r="Y43" s="317">
        <v>-7289</v>
      </c>
      <c r="Z43" s="317">
        <v>-5312</v>
      </c>
      <c r="AA43" s="317">
        <v>0</v>
      </c>
      <c r="AB43" s="286">
        <f t="shared" si="26"/>
        <v>-13547</v>
      </c>
      <c r="AC43" s="317">
        <v>0</v>
      </c>
      <c r="AD43" s="317"/>
      <c r="AE43" s="317">
        <v>0</v>
      </c>
      <c r="AF43" s="317">
        <v>0</v>
      </c>
      <c r="AG43" s="286">
        <f t="shared" si="27"/>
        <v>0</v>
      </c>
      <c r="AH43" s="317"/>
      <c r="AI43" s="317"/>
      <c r="AJ43" s="318">
        <v>0</v>
      </c>
      <c r="AK43" s="317"/>
      <c r="AL43" s="286">
        <f t="shared" si="28"/>
        <v>0</v>
      </c>
      <c r="AM43" s="317"/>
      <c r="AN43" s="317"/>
      <c r="AO43" s="318"/>
      <c r="AP43" s="317"/>
      <c r="AQ43" s="286">
        <f t="shared" si="29"/>
        <v>0</v>
      </c>
      <c r="AR43" s="317"/>
      <c r="AS43" s="317"/>
      <c r="AT43" s="317"/>
      <c r="AU43" s="317"/>
      <c r="AV43" s="286">
        <f t="shared" si="30"/>
        <v>0</v>
      </c>
      <c r="AW43" s="317"/>
      <c r="AX43" s="317"/>
      <c r="AY43" s="317"/>
      <c r="AZ43" s="317"/>
      <c r="BA43" s="286">
        <f t="shared" si="31"/>
        <v>0</v>
      </c>
    </row>
    <row r="44" spans="2:53" ht="12.75" customHeight="1" x14ac:dyDescent="0.2">
      <c r="B44" s="138"/>
      <c r="C44" s="316" t="s">
        <v>250</v>
      </c>
      <c r="D44" s="317"/>
      <c r="E44" s="317"/>
      <c r="F44" s="317"/>
      <c r="G44" s="317"/>
      <c r="H44" s="286">
        <f t="shared" si="22"/>
        <v>0</v>
      </c>
      <c r="I44" s="317"/>
      <c r="J44" s="317"/>
      <c r="K44" s="317"/>
      <c r="L44" s="317"/>
      <c r="M44" s="286">
        <f t="shared" si="23"/>
        <v>0</v>
      </c>
      <c r="N44" s="317"/>
      <c r="O44" s="317"/>
      <c r="P44" s="317"/>
      <c r="Q44" s="317"/>
      <c r="R44" s="286">
        <f t="shared" si="24"/>
        <v>0</v>
      </c>
      <c r="S44" s="317"/>
      <c r="T44" s="317"/>
      <c r="U44" s="317"/>
      <c r="V44" s="317">
        <v>-15703</v>
      </c>
      <c r="W44" s="286">
        <f t="shared" si="25"/>
        <v>-15703</v>
      </c>
      <c r="X44" s="317">
        <v>-31717</v>
      </c>
      <c r="Y44" s="317">
        <v>-37507</v>
      </c>
      <c r="Z44" s="317">
        <v>-20685</v>
      </c>
      <c r="AA44" s="317">
        <v>-40436</v>
      </c>
      <c r="AB44" s="286">
        <f t="shared" si="26"/>
        <v>-130345</v>
      </c>
      <c r="AC44" s="317">
        <v>-107443</v>
      </c>
      <c r="AD44" s="317">
        <v>6090</v>
      </c>
      <c r="AE44" s="317">
        <v>-95936</v>
      </c>
      <c r="AF44" s="317">
        <v>-36011</v>
      </c>
      <c r="AG44" s="286">
        <f t="shared" si="27"/>
        <v>-233300</v>
      </c>
      <c r="AH44" s="318">
        <v>-42333</v>
      </c>
      <c r="AI44" s="317">
        <v>29991</v>
      </c>
      <c r="AJ44" s="318">
        <v>-127508</v>
      </c>
      <c r="AK44" s="317">
        <v>-45636</v>
      </c>
      <c r="AL44" s="286">
        <f t="shared" si="28"/>
        <v>-185486</v>
      </c>
      <c r="AM44" s="318">
        <v>-47968</v>
      </c>
      <c r="AN44" s="317">
        <v>54918</v>
      </c>
      <c r="AO44" s="318">
        <v>-153338</v>
      </c>
      <c r="AP44" s="317">
        <v>16949</v>
      </c>
      <c r="AQ44" s="286">
        <f t="shared" si="29"/>
        <v>-129439</v>
      </c>
      <c r="AR44" s="318">
        <v>-52826</v>
      </c>
      <c r="AS44" s="317">
        <v>6918</v>
      </c>
      <c r="AT44" s="317"/>
      <c r="AU44" s="317"/>
      <c r="AV44" s="286">
        <f t="shared" si="30"/>
        <v>-45908</v>
      </c>
      <c r="AW44" s="317"/>
      <c r="AX44" s="317"/>
      <c r="AY44" s="317"/>
      <c r="AZ44" s="317"/>
      <c r="BA44" s="286">
        <f t="shared" si="31"/>
        <v>0</v>
      </c>
    </row>
    <row r="45" spans="2:53" ht="12.75" customHeight="1" x14ac:dyDescent="0.2">
      <c r="B45" s="138"/>
      <c r="C45" s="126" t="s">
        <v>251</v>
      </c>
      <c r="D45" s="317">
        <v>-222</v>
      </c>
      <c r="E45" s="317">
        <v>-540</v>
      </c>
      <c r="F45" s="317">
        <v>-44</v>
      </c>
      <c r="G45" s="317">
        <v>-507</v>
      </c>
      <c r="H45" s="286">
        <f t="shared" si="22"/>
        <v>-1313</v>
      </c>
      <c r="I45" s="317">
        <v>-834</v>
      </c>
      <c r="J45" s="317">
        <v>-737</v>
      </c>
      <c r="K45" s="317">
        <v>-688</v>
      </c>
      <c r="L45" s="317">
        <v>-484</v>
      </c>
      <c r="M45" s="286">
        <f t="shared" si="23"/>
        <v>-2743</v>
      </c>
      <c r="N45" s="317">
        <v>-1946</v>
      </c>
      <c r="O45" s="317">
        <v>-1026</v>
      </c>
      <c r="P45" s="317">
        <v>-2764</v>
      </c>
      <c r="Q45" s="317">
        <v>-5701</v>
      </c>
      <c r="R45" s="286">
        <f t="shared" si="24"/>
        <v>-11437</v>
      </c>
      <c r="S45" s="317">
        <v>-5894</v>
      </c>
      <c r="T45" s="317">
        <v>-7742</v>
      </c>
      <c r="U45" s="317">
        <v>-3426</v>
      </c>
      <c r="V45" s="317">
        <v>-1840</v>
      </c>
      <c r="W45" s="286">
        <f t="shared" si="25"/>
        <v>-18902</v>
      </c>
      <c r="X45" s="317">
        <v>-1404</v>
      </c>
      <c r="Y45" s="317">
        <v>-1063</v>
      </c>
      <c r="Z45" s="317">
        <v>-1291</v>
      </c>
      <c r="AA45" s="317">
        <v>-1619</v>
      </c>
      <c r="AB45" s="286">
        <f t="shared" si="26"/>
        <v>-5377</v>
      </c>
      <c r="AC45" s="317">
        <v>-1376</v>
      </c>
      <c r="AD45" s="317">
        <v>-1785</v>
      </c>
      <c r="AE45" s="317">
        <v>-3338</v>
      </c>
      <c r="AF45" s="318">
        <v>-1090</v>
      </c>
      <c r="AG45" s="286">
        <f t="shared" si="27"/>
        <v>-7589</v>
      </c>
      <c r="AH45" s="318">
        <v>-403</v>
      </c>
      <c r="AI45" s="318">
        <v>-352</v>
      </c>
      <c r="AJ45" s="318">
        <v>-16</v>
      </c>
      <c r="AK45" s="318">
        <v>-205</v>
      </c>
      <c r="AL45" s="286">
        <f t="shared" si="28"/>
        <v>-976</v>
      </c>
      <c r="AM45" s="318">
        <v>-517</v>
      </c>
      <c r="AN45" s="318">
        <v>-2868</v>
      </c>
      <c r="AO45" s="318">
        <v>-1147</v>
      </c>
      <c r="AP45" s="318">
        <v>-2789</v>
      </c>
      <c r="AQ45" s="286">
        <f t="shared" si="29"/>
        <v>-7321</v>
      </c>
      <c r="AR45" s="318">
        <v>-1299</v>
      </c>
      <c r="AS45" s="318">
        <v>-1492</v>
      </c>
      <c r="AT45" s="319">
        <v>-1200</v>
      </c>
      <c r="AU45" s="319">
        <v>-1200</v>
      </c>
      <c r="AV45" s="286">
        <f t="shared" si="30"/>
        <v>-5191</v>
      </c>
      <c r="AW45" s="319">
        <v>-1200</v>
      </c>
      <c r="AX45" s="319">
        <v>-1200</v>
      </c>
      <c r="AY45" s="319">
        <v>-1200</v>
      </c>
      <c r="AZ45" s="319">
        <v>-1200</v>
      </c>
      <c r="BA45" s="286">
        <f t="shared" si="31"/>
        <v>-4800</v>
      </c>
    </row>
    <row r="46" spans="2:53" ht="12.75" customHeight="1" x14ac:dyDescent="0.2">
      <c r="B46" s="138"/>
      <c r="C46" s="126" t="s">
        <v>252</v>
      </c>
      <c r="D46" s="317">
        <v>-261</v>
      </c>
      <c r="E46" s="317">
        <v>-235</v>
      </c>
      <c r="F46" s="317">
        <v>-119.18219999999999</v>
      </c>
      <c r="G46" s="317">
        <v>-117.81780000000003</v>
      </c>
      <c r="H46" s="286">
        <f t="shared" si="22"/>
        <v>-733</v>
      </c>
      <c r="I46" s="317">
        <v>-421</v>
      </c>
      <c r="J46" s="317">
        <v>-412</v>
      </c>
      <c r="K46" s="317">
        <v>-482</v>
      </c>
      <c r="L46" s="317">
        <v>-241</v>
      </c>
      <c r="M46" s="286">
        <f t="shared" si="23"/>
        <v>-1556</v>
      </c>
      <c r="N46" s="317">
        <v>-215</v>
      </c>
      <c r="O46" s="317">
        <v>-125</v>
      </c>
      <c r="P46" s="317">
        <v>-149</v>
      </c>
      <c r="Q46" s="317">
        <v>-150</v>
      </c>
      <c r="R46" s="286">
        <f t="shared" si="24"/>
        <v>-639</v>
      </c>
      <c r="S46" s="317">
        <v>-314</v>
      </c>
      <c r="T46" s="317">
        <v>-346</v>
      </c>
      <c r="U46" s="317">
        <v>-378</v>
      </c>
      <c r="V46" s="317">
        <v>-1266</v>
      </c>
      <c r="W46" s="286">
        <f t="shared" si="25"/>
        <v>-2304</v>
      </c>
      <c r="X46" s="317">
        <v>-2942</v>
      </c>
      <c r="Y46" s="317">
        <v>-2081</v>
      </c>
      <c r="Z46" s="317">
        <v>-2386</v>
      </c>
      <c r="AA46" s="317">
        <v>-2850</v>
      </c>
      <c r="AB46" s="286">
        <f t="shared" si="26"/>
        <v>-10259</v>
      </c>
      <c r="AC46" s="317">
        <v>-4764</v>
      </c>
      <c r="AD46" s="317">
        <v>-5746</v>
      </c>
      <c r="AE46" s="317">
        <v>-6721</v>
      </c>
      <c r="AF46" s="318">
        <v>-6383</v>
      </c>
      <c r="AG46" s="286">
        <f t="shared" si="27"/>
        <v>-23614</v>
      </c>
      <c r="AH46" s="318">
        <v>-5645</v>
      </c>
      <c r="AI46" s="318">
        <v>-5117</v>
      </c>
      <c r="AJ46" s="318">
        <v>-3833</v>
      </c>
      <c r="AK46" s="318">
        <v>-5322</v>
      </c>
      <c r="AL46" s="286">
        <f t="shared" si="28"/>
        <v>-19917</v>
      </c>
      <c r="AM46" s="318">
        <v>-7039</v>
      </c>
      <c r="AN46" s="318">
        <v>-6720</v>
      </c>
      <c r="AO46" s="318">
        <v>-7460</v>
      </c>
      <c r="AP46" s="318">
        <v>-12548</v>
      </c>
      <c r="AQ46" s="286">
        <f t="shared" si="29"/>
        <v>-33767</v>
      </c>
      <c r="AR46" s="318">
        <v>-13294</v>
      </c>
      <c r="AS46" s="318">
        <v>-12692</v>
      </c>
      <c r="AT46" s="319">
        <v>-6500</v>
      </c>
      <c r="AU46" s="319">
        <v>-6500</v>
      </c>
      <c r="AV46" s="286">
        <f t="shared" si="30"/>
        <v>-38986</v>
      </c>
      <c r="AW46" s="319">
        <v>-6500</v>
      </c>
      <c r="AX46" s="319">
        <v>-6500</v>
      </c>
      <c r="AY46" s="319">
        <v>-6500</v>
      </c>
      <c r="AZ46" s="319">
        <v>-6500</v>
      </c>
      <c r="BA46" s="286">
        <f t="shared" si="31"/>
        <v>-26000</v>
      </c>
    </row>
    <row r="47" spans="2:53" ht="12.75" customHeight="1" x14ac:dyDescent="0.2">
      <c r="B47" s="138"/>
      <c r="C47" s="126" t="s">
        <v>253</v>
      </c>
      <c r="D47" s="317"/>
      <c r="E47" s="317"/>
      <c r="F47" s="317"/>
      <c r="G47" s="317"/>
      <c r="H47" s="286">
        <f t="shared" si="22"/>
        <v>0</v>
      </c>
      <c r="I47" s="317"/>
      <c r="J47" s="317"/>
      <c r="K47" s="317"/>
      <c r="L47" s="317"/>
      <c r="M47" s="286">
        <f t="shared" si="23"/>
        <v>0</v>
      </c>
      <c r="N47" s="317"/>
      <c r="O47" s="317"/>
      <c r="P47" s="317"/>
      <c r="Q47" s="317"/>
      <c r="R47" s="286">
        <f t="shared" si="24"/>
        <v>0</v>
      </c>
      <c r="S47" s="317"/>
      <c r="T47" s="317"/>
      <c r="U47" s="317"/>
      <c r="V47" s="317"/>
      <c r="W47" s="286">
        <f t="shared" si="25"/>
        <v>0</v>
      </c>
      <c r="X47" s="317"/>
      <c r="Y47" s="317"/>
      <c r="Z47" s="317"/>
      <c r="AA47" s="317">
        <v>6699</v>
      </c>
      <c r="AB47" s="286">
        <f t="shared" si="26"/>
        <v>6699</v>
      </c>
      <c r="AC47" s="317">
        <v>2080</v>
      </c>
      <c r="AD47" s="317"/>
      <c r="AE47" s="317"/>
      <c r="AF47" s="317"/>
      <c r="AG47" s="286">
        <f t="shared" si="27"/>
        <v>2080</v>
      </c>
      <c r="AH47" s="317"/>
      <c r="AI47" s="318"/>
      <c r="AJ47" s="318"/>
      <c r="AK47" s="317"/>
      <c r="AL47" s="286">
        <f t="shared" si="28"/>
        <v>0</v>
      </c>
      <c r="AM47" s="317"/>
      <c r="AN47" s="318"/>
      <c r="AO47" s="318"/>
      <c r="AP47" s="317"/>
      <c r="AQ47" s="286">
        <f t="shared" si="29"/>
        <v>0</v>
      </c>
      <c r="AR47" s="317"/>
      <c r="AS47" s="318"/>
      <c r="AT47" s="317"/>
      <c r="AU47" s="317"/>
      <c r="AV47" s="286">
        <f t="shared" si="30"/>
        <v>0</v>
      </c>
      <c r="AW47" s="317"/>
      <c r="AX47" s="317"/>
      <c r="AY47" s="317"/>
      <c r="AZ47" s="317"/>
      <c r="BA47" s="286">
        <f t="shared" si="31"/>
        <v>0</v>
      </c>
    </row>
    <row r="48" spans="2:53" ht="12.75" customHeight="1" x14ac:dyDescent="0.2">
      <c r="B48" s="138"/>
      <c r="C48" s="126" t="s">
        <v>98</v>
      </c>
      <c r="D48" s="317"/>
      <c r="E48" s="317"/>
      <c r="F48" s="317"/>
      <c r="G48" s="317"/>
      <c r="H48" s="286">
        <f t="shared" si="22"/>
        <v>0</v>
      </c>
      <c r="I48" s="317"/>
      <c r="J48" s="317"/>
      <c r="K48" s="317"/>
      <c r="L48" s="317"/>
      <c r="M48" s="286">
        <f t="shared" si="23"/>
        <v>0</v>
      </c>
      <c r="N48" s="317"/>
      <c r="O48" s="317"/>
      <c r="P48" s="317"/>
      <c r="Q48" s="317"/>
      <c r="R48" s="286">
        <f t="shared" si="24"/>
        <v>0</v>
      </c>
      <c r="S48" s="317"/>
      <c r="T48" s="317"/>
      <c r="U48" s="317"/>
      <c r="V48" s="317"/>
      <c r="W48" s="286">
        <f t="shared" si="25"/>
        <v>0</v>
      </c>
      <c r="X48" s="317"/>
      <c r="Y48" s="317"/>
      <c r="Z48" s="317"/>
      <c r="AA48" s="317"/>
      <c r="AB48" s="286">
        <f t="shared" si="26"/>
        <v>0</v>
      </c>
      <c r="AC48" s="317"/>
      <c r="AD48" s="317"/>
      <c r="AE48" s="317"/>
      <c r="AF48" s="317">
        <v>-1194</v>
      </c>
      <c r="AG48" s="286">
        <f t="shared" si="27"/>
        <v>-1194</v>
      </c>
      <c r="AH48" s="317"/>
      <c r="AI48" s="317"/>
      <c r="AJ48" s="318"/>
      <c r="AK48" s="317">
        <v>-500</v>
      </c>
      <c r="AL48" s="286">
        <f t="shared" si="28"/>
        <v>-500</v>
      </c>
      <c r="AM48" s="317"/>
      <c r="AN48" s="317">
        <v>-461</v>
      </c>
      <c r="AO48" s="318">
        <v>-1003</v>
      </c>
      <c r="AP48" s="317">
        <v>-878</v>
      </c>
      <c r="AQ48" s="286">
        <f t="shared" si="29"/>
        <v>-2342</v>
      </c>
      <c r="AR48" s="317"/>
      <c r="AS48" s="317">
        <v>-1066</v>
      </c>
      <c r="AT48" s="317"/>
      <c r="AU48" s="317"/>
      <c r="AV48" s="286">
        <f t="shared" si="30"/>
        <v>-1066</v>
      </c>
      <c r="AW48" s="317"/>
      <c r="AX48" s="317"/>
      <c r="AY48" s="317"/>
      <c r="AZ48" s="317"/>
      <c r="BA48" s="286">
        <f t="shared" si="31"/>
        <v>0</v>
      </c>
    </row>
    <row r="49" spans="2:53" ht="12.75" customHeight="1" x14ac:dyDescent="0.2">
      <c r="B49" s="138"/>
      <c r="C49" s="126" t="s">
        <v>254</v>
      </c>
      <c r="D49" s="317">
        <v>221</v>
      </c>
      <c r="E49" s="317">
        <v>0</v>
      </c>
      <c r="F49" s="317">
        <v>-10.03819</v>
      </c>
      <c r="G49" s="317">
        <v>3.8189999999985957E-2</v>
      </c>
      <c r="H49" s="286">
        <f t="shared" si="22"/>
        <v>211</v>
      </c>
      <c r="I49" s="317">
        <v>-5.0699999999999999E-3</v>
      </c>
      <c r="J49" s="317">
        <v>0</v>
      </c>
      <c r="K49" s="317">
        <v>-550</v>
      </c>
      <c r="L49" s="317">
        <v>5.0700000000460932E-3</v>
      </c>
      <c r="M49" s="286">
        <f t="shared" si="23"/>
        <v>-550</v>
      </c>
      <c r="N49" s="317">
        <v>550</v>
      </c>
      <c r="O49" s="317"/>
      <c r="P49" s="317"/>
      <c r="Q49" s="317"/>
      <c r="R49" s="286">
        <f t="shared" si="24"/>
        <v>550</v>
      </c>
      <c r="S49" s="317"/>
      <c r="T49" s="317"/>
      <c r="U49" s="317"/>
      <c r="V49" s="317"/>
      <c r="W49" s="286">
        <f t="shared" si="25"/>
        <v>0</v>
      </c>
      <c r="X49" s="317"/>
      <c r="Y49" s="317"/>
      <c r="Z49" s="317"/>
      <c r="AA49" s="317"/>
      <c r="AB49" s="286">
        <f t="shared" si="26"/>
        <v>0</v>
      </c>
      <c r="AC49" s="317"/>
      <c r="AD49" s="317"/>
      <c r="AE49" s="317"/>
      <c r="AF49" s="317"/>
      <c r="AG49" s="286">
        <f t="shared" si="27"/>
        <v>0</v>
      </c>
      <c r="AH49" s="317"/>
      <c r="AI49" s="317"/>
      <c r="AJ49" s="317"/>
      <c r="AK49" s="317"/>
      <c r="AL49" s="286"/>
      <c r="AM49" s="317"/>
      <c r="AN49" s="317"/>
      <c r="AO49" s="317"/>
      <c r="AP49" s="317"/>
      <c r="AQ49" s="286"/>
      <c r="AR49" s="317"/>
      <c r="AS49" s="317"/>
      <c r="AT49" s="317"/>
      <c r="AU49" s="317"/>
      <c r="AV49" s="286"/>
      <c r="AW49" s="317"/>
      <c r="AX49" s="317"/>
      <c r="AY49" s="317"/>
      <c r="AZ49" s="317"/>
      <c r="BA49" s="286"/>
    </row>
    <row r="50" spans="2:53" s="133" customFormat="1" x14ac:dyDescent="0.2">
      <c r="B50" s="159" t="s">
        <v>255</v>
      </c>
      <c r="C50" s="312"/>
      <c r="D50" s="183">
        <f t="shared" ref="D50:U50" si="32">SUM(D38:D49)</f>
        <v>-58459</v>
      </c>
      <c r="E50" s="183">
        <f t="shared" si="32"/>
        <v>-233023</v>
      </c>
      <c r="F50" s="183">
        <f t="shared" si="32"/>
        <v>85513.779609999998</v>
      </c>
      <c r="G50" s="183">
        <f t="shared" si="32"/>
        <v>-129452.77961</v>
      </c>
      <c r="H50" s="184">
        <f t="shared" si="32"/>
        <v>-335421</v>
      </c>
      <c r="I50" s="183">
        <f t="shared" si="32"/>
        <v>-104019.00507</v>
      </c>
      <c r="J50" s="183">
        <f t="shared" si="32"/>
        <v>-200215</v>
      </c>
      <c r="K50" s="183">
        <f t="shared" si="32"/>
        <v>31383</v>
      </c>
      <c r="L50" s="183">
        <f t="shared" si="32"/>
        <v>-146949.99492999999</v>
      </c>
      <c r="M50" s="184">
        <f t="shared" si="32"/>
        <v>-419801</v>
      </c>
      <c r="N50" s="183">
        <f t="shared" si="32"/>
        <v>-138132</v>
      </c>
      <c r="O50" s="183">
        <f t="shared" si="32"/>
        <v>-23047</v>
      </c>
      <c r="P50" s="183">
        <f t="shared" si="32"/>
        <v>48956</v>
      </c>
      <c r="Q50" s="183">
        <f t="shared" si="32"/>
        <v>-27615</v>
      </c>
      <c r="R50" s="184">
        <f t="shared" si="32"/>
        <v>-139838</v>
      </c>
      <c r="S50" s="183">
        <f t="shared" si="32"/>
        <v>-73457</v>
      </c>
      <c r="T50" s="183">
        <f t="shared" si="32"/>
        <v>-105817</v>
      </c>
      <c r="U50" s="183">
        <f t="shared" si="32"/>
        <v>-383918</v>
      </c>
      <c r="V50" s="183">
        <f>SUM(V37:V49)</f>
        <v>-863698</v>
      </c>
      <c r="W50" s="184">
        <f>SUM(W37:W49)</f>
        <v>-1426890</v>
      </c>
      <c r="X50" s="19">
        <f t="shared" ref="X50:AD50" si="33">SUM(X37:X49)</f>
        <v>-453872</v>
      </c>
      <c r="Y50" s="19">
        <f t="shared" si="33"/>
        <v>-515439</v>
      </c>
      <c r="Z50" s="19">
        <f t="shared" si="33"/>
        <v>-106586</v>
      </c>
      <c r="AA50" s="19">
        <f t="shared" si="33"/>
        <v>-64952</v>
      </c>
      <c r="AB50" s="184">
        <f t="shared" si="33"/>
        <v>-1140849</v>
      </c>
      <c r="AC50" s="183">
        <f t="shared" si="33"/>
        <v>-133315</v>
      </c>
      <c r="AD50" s="183">
        <f t="shared" si="33"/>
        <v>38777</v>
      </c>
      <c r="AE50" s="183">
        <f>SUM(AE38:AE49)</f>
        <v>-25385</v>
      </c>
      <c r="AF50" s="183">
        <f t="shared" ref="AF50:AS50" si="34">SUM(AF37:AF49)</f>
        <v>379209</v>
      </c>
      <c r="AG50" s="184">
        <f t="shared" si="34"/>
        <v>259286</v>
      </c>
      <c r="AH50" s="183">
        <f t="shared" si="34"/>
        <v>301774</v>
      </c>
      <c r="AI50" s="19">
        <f t="shared" si="34"/>
        <v>-50181</v>
      </c>
      <c r="AJ50" s="183">
        <f t="shared" si="34"/>
        <v>-617981</v>
      </c>
      <c r="AK50" s="183">
        <f t="shared" ref="AK50" si="35">SUM(AK37:AK49)</f>
        <v>-42986</v>
      </c>
      <c r="AL50" s="184">
        <f t="shared" si="34"/>
        <v>-409374</v>
      </c>
      <c r="AM50" s="183">
        <f t="shared" ref="AM50:AP50" si="36">SUM(AM37:AM49)</f>
        <v>-139538</v>
      </c>
      <c r="AN50" s="19">
        <f t="shared" si="36"/>
        <v>9842</v>
      </c>
      <c r="AO50" s="183">
        <f t="shared" si="36"/>
        <v>-644105</v>
      </c>
      <c r="AP50" s="183">
        <f t="shared" si="36"/>
        <v>-43589</v>
      </c>
      <c r="AQ50" s="184">
        <f t="shared" si="34"/>
        <v>-817390</v>
      </c>
      <c r="AR50" s="183">
        <f t="shared" si="34"/>
        <v>-108721</v>
      </c>
      <c r="AS50" s="19">
        <f t="shared" si="34"/>
        <v>136574</v>
      </c>
      <c r="AT50" s="183">
        <f t="shared" ref="AT50:AV50" si="37">SUM(AT37:AT49)</f>
        <v>-7700</v>
      </c>
      <c r="AU50" s="183">
        <f t="shared" si="37"/>
        <v>-7700</v>
      </c>
      <c r="AV50" s="184">
        <f t="shared" si="37"/>
        <v>12453</v>
      </c>
      <c r="AW50" s="183">
        <f t="shared" ref="AW50:BA50" si="38">SUM(AW37:AW49)</f>
        <v>-7700</v>
      </c>
      <c r="AX50" s="183">
        <f t="shared" si="38"/>
        <v>-7700</v>
      </c>
      <c r="AY50" s="183">
        <f t="shared" si="38"/>
        <v>-7700</v>
      </c>
      <c r="AZ50" s="183">
        <f t="shared" si="38"/>
        <v>-7700</v>
      </c>
      <c r="BA50" s="184">
        <f t="shared" si="38"/>
        <v>-30800</v>
      </c>
    </row>
    <row r="51" spans="2:53" x14ac:dyDescent="0.2">
      <c r="B51" s="159"/>
      <c r="C51" s="126"/>
      <c r="D51" s="28"/>
      <c r="E51" s="28"/>
      <c r="F51" s="28"/>
      <c r="G51" s="28"/>
      <c r="H51" s="310"/>
      <c r="I51" s="28"/>
      <c r="J51" s="28"/>
      <c r="K51" s="28"/>
      <c r="L51" s="28"/>
      <c r="M51" s="310"/>
      <c r="N51" s="28"/>
      <c r="O51" s="28"/>
      <c r="P51" s="28"/>
      <c r="Q51" s="28"/>
      <c r="R51" s="310"/>
      <c r="S51" s="28"/>
      <c r="T51" s="28"/>
      <c r="U51" s="28"/>
      <c r="V51" s="28"/>
      <c r="W51" s="310"/>
      <c r="X51" s="28"/>
      <c r="Y51" s="28"/>
      <c r="Z51" s="28"/>
      <c r="AA51" s="28"/>
      <c r="AB51" s="310"/>
      <c r="AC51" s="28"/>
      <c r="AD51" s="28"/>
      <c r="AE51" s="28"/>
      <c r="AF51" s="28"/>
      <c r="AG51" s="143"/>
      <c r="AH51" s="28"/>
      <c r="AI51" s="28"/>
      <c r="AJ51" s="28"/>
      <c r="AK51" s="28"/>
      <c r="AL51" s="310"/>
      <c r="AM51" s="28"/>
      <c r="AN51" s="28"/>
      <c r="AO51" s="28"/>
      <c r="AP51" s="28"/>
      <c r="AQ51" s="310"/>
      <c r="AR51" s="28"/>
      <c r="AS51" s="28"/>
      <c r="AT51" s="28"/>
      <c r="AU51" s="28"/>
      <c r="AV51" s="310"/>
      <c r="AW51" s="28"/>
      <c r="AX51" s="28"/>
      <c r="AY51" s="28"/>
      <c r="AZ51" s="28"/>
      <c r="BA51" s="310"/>
    </row>
    <row r="52" spans="2:53" s="133" customFormat="1" x14ac:dyDescent="0.2">
      <c r="B52" s="159" t="s">
        <v>256</v>
      </c>
      <c r="C52" s="312"/>
      <c r="D52" s="183">
        <f>D33+D45+D46</f>
        <v>-4143.7337499999994</v>
      </c>
      <c r="E52" s="183">
        <f>E33+E45+E46</f>
        <v>-2899.660100000001</v>
      </c>
      <c r="F52" s="183">
        <f>F33+F45+F46</f>
        <v>-3504.6650399999967</v>
      </c>
      <c r="G52" s="183">
        <f>G33+G45+G46</f>
        <v>146.37958000000049</v>
      </c>
      <c r="H52" s="184">
        <f>SUM(D52:G52)</f>
        <v>-10401.679309999996</v>
      </c>
      <c r="I52" s="183">
        <f>I33+I45+I46</f>
        <v>-3510.2963000000041</v>
      </c>
      <c r="J52" s="183">
        <f>J33+J45+J46</f>
        <v>-1072.8281399999978</v>
      </c>
      <c r="K52" s="183">
        <f>K33+K45+K46</f>
        <v>-1067.5919599999997</v>
      </c>
      <c r="L52" s="183">
        <f>L33+L45+L46</f>
        <v>-2598.1076799999992</v>
      </c>
      <c r="M52" s="184">
        <f>SUM(I52:L52)</f>
        <v>-8248.8240800000003</v>
      </c>
      <c r="N52" s="19">
        <f>N33+N45+N46</f>
        <v>-4541.2804999999971</v>
      </c>
      <c r="O52" s="183">
        <f>O33+O45+O46</f>
        <v>-2920</v>
      </c>
      <c r="P52" s="183">
        <f>P33+P45+P46</f>
        <v>-2091</v>
      </c>
      <c r="Q52" s="183">
        <f>Q33+Q45+Q46</f>
        <v>-6954</v>
      </c>
      <c r="R52" s="184">
        <f>SUM(N52:Q52)</f>
        <v>-16506.280499999997</v>
      </c>
      <c r="S52" s="19">
        <f>S33+S45+S46</f>
        <v>-8364</v>
      </c>
      <c r="T52" s="19">
        <f>T33+T45+T46</f>
        <v>-17596</v>
      </c>
      <c r="U52" s="19">
        <f>U33+U45+U46</f>
        <v>-5384</v>
      </c>
      <c r="V52" s="19">
        <f>V33+V45+V46</f>
        <v>14680</v>
      </c>
      <c r="W52" s="59">
        <f>SUM(S52:V52)</f>
        <v>-16664</v>
      </c>
      <c r="X52" s="19">
        <f>X33+X45+X46</f>
        <v>-25480</v>
      </c>
      <c r="Y52" s="19">
        <f>Y33+Y45+Y46</f>
        <v>-16074</v>
      </c>
      <c r="Z52" s="19">
        <f>Z33+Z45+Z46</f>
        <v>22768</v>
      </c>
      <c r="AA52" s="19">
        <f>AA33+AA45+AA46</f>
        <v>-14943</v>
      </c>
      <c r="AB52" s="59">
        <f>SUM(X52:AA52)</f>
        <v>-33729</v>
      </c>
      <c r="AC52" s="19">
        <f>AC33+AC45+AC46</f>
        <v>12012</v>
      </c>
      <c r="AD52" s="19">
        <f>AD33+AD45+AD46</f>
        <v>47699</v>
      </c>
      <c r="AE52" s="19">
        <f>AE33+AE45+AE46</f>
        <v>23972</v>
      </c>
      <c r="AF52" s="19">
        <f>AF33+AF45+AF46</f>
        <v>72882</v>
      </c>
      <c r="AG52" s="184">
        <f>SUM(AC52:AF52)</f>
        <v>156565</v>
      </c>
      <c r="AH52" s="183">
        <f>AH33+AH45+AH46</f>
        <v>47613</v>
      </c>
      <c r="AI52" s="19">
        <f>AI33+AI45+AI46</f>
        <v>74213</v>
      </c>
      <c r="AJ52" s="183">
        <f>AJ33+AJ45+AJ46</f>
        <v>62960</v>
      </c>
      <c r="AK52" s="19">
        <f>AK33+AK45+AK46</f>
        <v>73093</v>
      </c>
      <c r="AL52" s="184">
        <f>SUM(AH52:AK52)</f>
        <v>257879</v>
      </c>
      <c r="AM52" s="183">
        <f>AM33+AM45+AM46</f>
        <v>81026</v>
      </c>
      <c r="AN52" s="19">
        <f>AN33+AN45+AN46</f>
        <v>69128</v>
      </c>
      <c r="AO52" s="183">
        <f>AO33+AO45+AO46</f>
        <v>90923</v>
      </c>
      <c r="AP52" s="19">
        <f>AP33+AP45+AP46</f>
        <v>68478</v>
      </c>
      <c r="AQ52" s="184">
        <f>SUM(AM52:AP52)</f>
        <v>309555</v>
      </c>
      <c r="AR52" s="183">
        <f>AR33+AR45+AR46</f>
        <v>82262</v>
      </c>
      <c r="AS52" s="19">
        <f>AS33+AS45+AS46</f>
        <v>91133</v>
      </c>
      <c r="AT52" s="183">
        <f>AT33+AT45+AT46</f>
        <v>-28172.671621062276</v>
      </c>
      <c r="AU52" s="183">
        <f>AU33+AU45+AU46</f>
        <v>92215.992200544235</v>
      </c>
      <c r="AV52" s="184">
        <f>SUM(AR52:AU52)</f>
        <v>237438.32057948195</v>
      </c>
      <c r="AW52" s="183">
        <f>AW33+AW45+AW46</f>
        <v>59457.845801242263</v>
      </c>
      <c r="AX52" s="183">
        <f>AX33+AX45+AX46</f>
        <v>91449.571559431191</v>
      </c>
      <c r="AY52" s="183">
        <f>AY33+AY45+AY46</f>
        <v>75073.37104591768</v>
      </c>
      <c r="AZ52" s="183">
        <f>AZ33+AZ45+AZ46</f>
        <v>100823.89802299188</v>
      </c>
      <c r="BA52" s="184">
        <f>SUM(AW52:AZ52)</f>
        <v>326804.686429583</v>
      </c>
    </row>
    <row r="53" spans="2:53" s="163" customFormat="1" x14ac:dyDescent="0.2">
      <c r="B53" s="320"/>
      <c r="C53" s="321" t="s">
        <v>257</v>
      </c>
      <c r="D53" s="322">
        <f>D52/IS!D17</f>
        <v>-0.31625207367727209</v>
      </c>
      <c r="E53" s="322">
        <f>E52/IS!E17</f>
        <v>-0.19123112573944537</v>
      </c>
      <c r="F53" s="322">
        <f>F52/IS!F17</f>
        <v>-0.20497868642268283</v>
      </c>
      <c r="G53" s="322">
        <f>G52/IS!G17</f>
        <v>7.5063856728714426E-3</v>
      </c>
      <c r="H53" s="323">
        <f>H52/IS!H17</f>
        <v>-0.16036104926765163</v>
      </c>
      <c r="I53" s="322">
        <f>I52/IS!I17</f>
        <v>-0.15654102815793686</v>
      </c>
      <c r="J53" s="322">
        <f>J52/IS!J17</f>
        <v>-4.1264763124634674E-2</v>
      </c>
      <c r="K53" s="322">
        <f>K52/IS!K17</f>
        <v>-3.7799314971055195E-2</v>
      </c>
      <c r="L53" s="322">
        <f>L52/IS!L17</f>
        <v>-8.1999773392066239E-2</v>
      </c>
      <c r="M53" s="323">
        <f>M52/IS!M17</f>
        <v>-7.6130722036910528E-2</v>
      </c>
      <c r="N53" s="322">
        <f>N52/IS!N17</f>
        <v>-0.12908890492564928</v>
      </c>
      <c r="O53" s="322">
        <f>O52/IS!O17</f>
        <v>-7.4718526100307062E-2</v>
      </c>
      <c r="P53" s="322">
        <f>P52/IS!P17</f>
        <v>-5.0715498423478049E-2</v>
      </c>
      <c r="Q53" s="322">
        <f>Q52/IS!Q17</f>
        <v>-0.16513892187128948</v>
      </c>
      <c r="R53" s="323">
        <f>R52/IS!R17</f>
        <v>-0.10473562818734894</v>
      </c>
      <c r="S53" s="322">
        <f>S52/IS!S17</f>
        <v>-0.18100370057780951</v>
      </c>
      <c r="T53" s="322">
        <f>T52/IS!T17</f>
        <v>-0.32558053473956888</v>
      </c>
      <c r="U53" s="322">
        <f>U52/IS!U17</f>
        <v>-9.0126887408349787E-2</v>
      </c>
      <c r="V53" s="322">
        <f>V52/IS!V17</f>
        <v>0.18754870772807994</v>
      </c>
      <c r="W53" s="323">
        <f>W52/IS!W17</f>
        <v>-6.9938933540385703E-2</v>
      </c>
      <c r="X53" s="322">
        <f>X52/IS!X17</f>
        <v>-0.21529543975867985</v>
      </c>
      <c r="Y53" s="322">
        <f>Y52/IS!Y17</f>
        <v>-0.10272370556883395</v>
      </c>
      <c r="Z53" s="322">
        <f>Z52/IS!Z17</f>
        <v>0.13640802583412717</v>
      </c>
      <c r="AA53" s="322">
        <f>AA52/IS!AA17</f>
        <v>-7.4632531053186235E-2</v>
      </c>
      <c r="AB53" s="323">
        <f>AB52/IS!AB17</f>
        <v>-5.2540738582993615E-2</v>
      </c>
      <c r="AC53" s="322">
        <f>AC52/IS!AC17</f>
        <v>5.2243349976513975E-2</v>
      </c>
      <c r="AD53" s="322">
        <f>AD52/IS!AD17</f>
        <v>0.18345345876633617</v>
      </c>
      <c r="AE53" s="322">
        <f>AE52/IS!AE17</f>
        <v>8.7952890242336407E-2</v>
      </c>
      <c r="AF53" s="322">
        <f>AF52/IS!AF17</f>
        <v>0.24623711496944081</v>
      </c>
      <c r="AG53" s="323">
        <f>AG52/IS!AG17</f>
        <v>0.14791661155556898</v>
      </c>
      <c r="AH53" s="322">
        <f>AH52/IS!AH17</f>
        <v>0.15611587455120743</v>
      </c>
      <c r="AI53" s="322">
        <f>AI52/IS!AI17</f>
        <v>0.23301150724501168</v>
      </c>
      <c r="AJ53" s="322">
        <f>AJ52/IS!AJ17</f>
        <v>0.19490570476862687</v>
      </c>
      <c r="AK53" s="322">
        <f>AK52/IS!AK17</f>
        <v>0.2126867734567093</v>
      </c>
      <c r="AL53" s="323">
        <f>AL52/IS!AL17</f>
        <v>0.1998793960189835</v>
      </c>
      <c r="AM53" s="322">
        <f>AM52/IS!AM17</f>
        <v>0.2260454735667457</v>
      </c>
      <c r="AN53" s="322">
        <f>AN52/IS!AN17</f>
        <v>0.19066952784964447</v>
      </c>
      <c r="AO53" s="322">
        <f>AO52/IS!AO17</f>
        <v>0.25382100793653012</v>
      </c>
      <c r="AP53" s="322">
        <f>AP52/IS!AP17</f>
        <v>0.1786309602998834</v>
      </c>
      <c r="AQ53" s="323">
        <f>AQ52/IS!AQ17</f>
        <v>0.21165140813773017</v>
      </c>
      <c r="AR53" s="322">
        <f>AR52/IS!AR17</f>
        <v>0.20786827748451639</v>
      </c>
      <c r="AS53" s="322">
        <f>AS52/IS!AS17</f>
        <v>0.21977181910478427</v>
      </c>
      <c r="AT53" s="322">
        <f>AT52/IS!AT17</f>
        <v>-6.9931828097096721E-2</v>
      </c>
      <c r="AU53" s="322">
        <f>AU52/IS!AU17</f>
        <v>0.21453182536612511</v>
      </c>
      <c r="AV53" s="323">
        <f>AV52/IS!AV17</f>
        <v>0.14450466834733752</v>
      </c>
      <c r="AW53" s="322">
        <f>AW52/IS!AW17</f>
        <v>0.13536928210421201</v>
      </c>
      <c r="AX53" s="322">
        <f>AX52/IS!AX17</f>
        <v>0.20090405072084691</v>
      </c>
      <c r="AY53" s="322">
        <f>AY52/IS!AY17</f>
        <v>0.16699340829567735</v>
      </c>
      <c r="AZ53" s="322">
        <f>AZ52/IS!AZ17</f>
        <v>0.20873911770470532</v>
      </c>
      <c r="BA53" s="323">
        <f>BA52/IS!BA17</f>
        <v>0.17887600294123021</v>
      </c>
    </row>
    <row r="54" spans="2:53" s="163" customFormat="1" ht="11.25" x14ac:dyDescent="0.2">
      <c r="B54" s="320"/>
      <c r="C54" s="324"/>
      <c r="D54" s="322"/>
      <c r="E54" s="322"/>
      <c r="F54" s="322"/>
      <c r="G54" s="322"/>
      <c r="H54" s="323"/>
      <c r="I54" s="322"/>
      <c r="J54" s="322"/>
      <c r="K54" s="322"/>
      <c r="L54" s="322"/>
      <c r="M54" s="323"/>
      <c r="N54" s="322"/>
      <c r="O54" s="322"/>
      <c r="P54" s="322"/>
      <c r="Q54" s="322"/>
      <c r="R54" s="323"/>
      <c r="S54" s="322"/>
      <c r="T54" s="322"/>
      <c r="U54" s="322"/>
      <c r="V54" s="322"/>
      <c r="W54" s="323"/>
      <c r="X54" s="322"/>
      <c r="Y54" s="322"/>
      <c r="Z54" s="322"/>
      <c r="AA54" s="322"/>
      <c r="AB54" s="323"/>
      <c r="AC54" s="322"/>
      <c r="AD54" s="322"/>
      <c r="AE54" s="322"/>
      <c r="AF54" s="322"/>
      <c r="AG54" s="323"/>
      <c r="AH54" s="322"/>
      <c r="AI54" s="322"/>
      <c r="AJ54" s="322"/>
      <c r="AK54" s="322"/>
      <c r="AL54" s="323"/>
      <c r="AM54" s="322"/>
      <c r="AN54" s="322"/>
      <c r="AO54" s="322"/>
      <c r="AP54" s="322"/>
      <c r="AQ54" s="323"/>
      <c r="AR54" s="322"/>
      <c r="AS54" s="322"/>
      <c r="AT54" s="322"/>
      <c r="AU54" s="322"/>
      <c r="AV54" s="323"/>
      <c r="AW54" s="322"/>
      <c r="AX54" s="322"/>
      <c r="AY54" s="322"/>
      <c r="AZ54" s="322"/>
      <c r="BA54" s="323"/>
    </row>
    <row r="55" spans="2:53" x14ac:dyDescent="0.2">
      <c r="B55" s="314" t="s">
        <v>258</v>
      </c>
      <c r="C55" s="126"/>
      <c r="D55" s="28"/>
      <c r="E55" s="28"/>
      <c r="F55" s="28"/>
      <c r="G55" s="28"/>
      <c r="H55" s="325"/>
      <c r="I55" s="28"/>
      <c r="J55" s="28"/>
      <c r="K55" s="28"/>
      <c r="L55" s="28"/>
      <c r="M55" s="325"/>
      <c r="N55" s="28"/>
      <c r="O55" s="28"/>
      <c r="P55" s="28"/>
      <c r="Q55" s="28"/>
      <c r="R55" s="325"/>
      <c r="S55" s="28"/>
      <c r="T55" s="28"/>
      <c r="U55" s="28"/>
      <c r="V55" s="28"/>
      <c r="W55" s="325"/>
      <c r="X55" s="28"/>
      <c r="Y55" s="28"/>
      <c r="Z55" s="28"/>
      <c r="AA55" s="28"/>
      <c r="AB55" s="325"/>
      <c r="AC55" s="28"/>
      <c r="AD55" s="28"/>
      <c r="AE55" s="28"/>
      <c r="AF55" s="28"/>
      <c r="AG55" s="325"/>
      <c r="AH55" s="28"/>
      <c r="AI55" s="28"/>
      <c r="AJ55" s="28"/>
      <c r="AK55" s="28"/>
      <c r="AL55" s="325"/>
      <c r="AM55" s="28"/>
      <c r="AN55" s="28"/>
      <c r="AO55" s="28"/>
      <c r="AP55" s="28"/>
      <c r="AQ55" s="325"/>
      <c r="AR55" s="28"/>
      <c r="AS55" s="28"/>
      <c r="AT55" s="28"/>
      <c r="AU55" s="28"/>
      <c r="AV55" s="325"/>
      <c r="AW55" s="28"/>
      <c r="AX55" s="28"/>
      <c r="AY55" s="28"/>
      <c r="AZ55" s="28"/>
      <c r="BA55" s="325"/>
    </row>
    <row r="56" spans="2:53" x14ac:dyDescent="0.2">
      <c r="B56" s="314"/>
      <c r="C56" s="126" t="s">
        <v>399</v>
      </c>
      <c r="D56" s="28"/>
      <c r="E56" s="28"/>
      <c r="F56" s="28"/>
      <c r="G56" s="28"/>
      <c r="H56" s="325"/>
      <c r="I56" s="28"/>
      <c r="J56" s="28"/>
      <c r="K56" s="28"/>
      <c r="L56" s="28"/>
      <c r="M56" s="325"/>
      <c r="N56" s="28"/>
      <c r="O56" s="28"/>
      <c r="P56" s="28"/>
      <c r="Q56" s="28"/>
      <c r="R56" s="325"/>
      <c r="S56" s="28"/>
      <c r="T56" s="28"/>
      <c r="U56" s="28"/>
      <c r="V56" s="28"/>
      <c r="W56" s="325"/>
      <c r="X56" s="28"/>
      <c r="Y56" s="28"/>
      <c r="Z56" s="28"/>
      <c r="AA56" s="28"/>
      <c r="AB56" s="325"/>
      <c r="AC56" s="28"/>
      <c r="AD56" s="28"/>
      <c r="AE56" s="28"/>
      <c r="AF56" s="28"/>
      <c r="AG56" s="325"/>
      <c r="AH56" s="28"/>
      <c r="AI56" s="28"/>
      <c r="AJ56" s="317">
        <v>-710931</v>
      </c>
      <c r="AK56" s="317">
        <v>-222256</v>
      </c>
      <c r="AL56" s="110">
        <f>SUM(AH56:AK56)</f>
        <v>-933187</v>
      </c>
      <c r="AM56" s="28"/>
      <c r="AN56" s="317">
        <v>-539403</v>
      </c>
      <c r="AO56" s="317"/>
      <c r="AP56" s="317"/>
      <c r="AQ56" s="110">
        <f>SUM(AM56:AP56)</f>
        <v>-539403</v>
      </c>
      <c r="AR56" s="28"/>
      <c r="AS56" s="317">
        <v>-33463</v>
      </c>
      <c r="AT56" s="317"/>
      <c r="AU56" s="317"/>
      <c r="AV56" s="110">
        <f>SUM(AR56:AU56)</f>
        <v>-33463</v>
      </c>
      <c r="AW56" s="28"/>
      <c r="AX56" s="28"/>
      <c r="AY56" s="317"/>
      <c r="AZ56" s="317"/>
      <c r="BA56" s="110">
        <f>SUM(AW56:AZ56)</f>
        <v>0</v>
      </c>
    </row>
    <row r="57" spans="2:53" x14ac:dyDescent="0.2">
      <c r="B57" s="314"/>
      <c r="C57" s="126" t="s">
        <v>514</v>
      </c>
      <c r="D57" s="317">
        <v>58197</v>
      </c>
      <c r="E57" s="317">
        <v>193573</v>
      </c>
      <c r="F57" s="317">
        <v>-116256</v>
      </c>
      <c r="G57" s="317">
        <v>128157</v>
      </c>
      <c r="H57" s="110">
        <f>SUM(D57:G57)</f>
        <v>263671</v>
      </c>
      <c r="I57" s="317">
        <v>98723</v>
      </c>
      <c r="J57" s="317">
        <v>199090</v>
      </c>
      <c r="K57" s="317">
        <v>-32916</v>
      </c>
      <c r="L57" s="317">
        <v>149396</v>
      </c>
      <c r="M57" s="110">
        <f>SUM(I57:L57)</f>
        <v>414293</v>
      </c>
      <c r="N57" s="317">
        <v>137186</v>
      </c>
      <c r="O57" s="317">
        <v>25271</v>
      </c>
      <c r="P57" s="317">
        <v>-138211</v>
      </c>
      <c r="Q57" s="317">
        <v>290698</v>
      </c>
      <c r="R57" s="110">
        <f>SUM(N57:Q57)</f>
        <v>314944</v>
      </c>
      <c r="S57" s="317">
        <v>24653</v>
      </c>
      <c r="T57" s="317">
        <v>548777</v>
      </c>
      <c r="U57" s="317">
        <v>-287840</v>
      </c>
      <c r="V57" s="317">
        <v>278758</v>
      </c>
      <c r="W57" s="110">
        <f>SUM(S57:V57)</f>
        <v>564348</v>
      </c>
      <c r="X57" s="317">
        <v>223923</v>
      </c>
      <c r="Y57" s="317">
        <v>947874</v>
      </c>
      <c r="Z57" s="317">
        <v>-336855</v>
      </c>
      <c r="AA57" s="317">
        <v>149846</v>
      </c>
      <c r="AB57" s="110">
        <f>SUM(X57:AA57)</f>
        <v>984788</v>
      </c>
      <c r="AC57" s="317">
        <v>-14549</v>
      </c>
      <c r="AD57" s="317">
        <v>347210</v>
      </c>
      <c r="AE57" s="317">
        <v>-357689</v>
      </c>
      <c r="AF57" s="317">
        <v>250482</v>
      </c>
      <c r="AG57" s="110">
        <f>SUM(AC57:AF57)</f>
        <v>225454</v>
      </c>
      <c r="AH57" s="317">
        <f>+-91190-13979</f>
        <v>-105169</v>
      </c>
      <c r="AI57" s="317">
        <v>390960</v>
      </c>
      <c r="AJ57" s="317">
        <v>-144394</v>
      </c>
      <c r="AK57" s="317">
        <v>198588</v>
      </c>
      <c r="AL57" s="110">
        <f>SUM(AH57:AK57)</f>
        <v>339985</v>
      </c>
      <c r="AM57" s="317">
        <v>78512</v>
      </c>
      <c r="AN57" s="317">
        <v>-25781</v>
      </c>
      <c r="AO57" s="317">
        <v>-114587</v>
      </c>
      <c r="AP57" s="317">
        <v>380539</v>
      </c>
      <c r="AQ57" s="110">
        <f>SUM(AM57:AP57)</f>
        <v>318683</v>
      </c>
      <c r="AR57" s="317">
        <v>-68715</v>
      </c>
      <c r="AS57" s="317">
        <v>51771</v>
      </c>
      <c r="AT57" s="317"/>
      <c r="AU57" s="317"/>
      <c r="AV57" s="110">
        <f>SUM(AR57:AU57)</f>
        <v>-16944</v>
      </c>
      <c r="AW57" s="317"/>
      <c r="AX57" s="317"/>
      <c r="AY57" s="317"/>
      <c r="AZ57" s="317"/>
      <c r="BA57" s="110">
        <f>SUM(AW57:AZ57)</f>
        <v>0</v>
      </c>
    </row>
    <row r="58" spans="2:53" x14ac:dyDescent="0.2">
      <c r="B58" s="314"/>
      <c r="C58" s="126" t="s">
        <v>259</v>
      </c>
      <c r="D58" s="317">
        <v>53361</v>
      </c>
      <c r="E58" s="317">
        <v>2448</v>
      </c>
      <c r="F58" s="317">
        <v>0</v>
      </c>
      <c r="G58" s="317">
        <v>-4</v>
      </c>
      <c r="H58" s="110">
        <f t="shared" ref="H58:H71" si="39">SUM(D58:G58)</f>
        <v>55805</v>
      </c>
      <c r="I58" s="317">
        <v>0</v>
      </c>
      <c r="J58" s="317">
        <v>69801</v>
      </c>
      <c r="K58" s="317">
        <v>18074</v>
      </c>
      <c r="L58" s="317">
        <v>-2715</v>
      </c>
      <c r="M58" s="110">
        <f t="shared" ref="M58:M71" si="40">SUM(I58:L58)</f>
        <v>85160</v>
      </c>
      <c r="N58" s="317">
        <v>0.27400000000000002</v>
      </c>
      <c r="O58" s="317"/>
      <c r="P58" s="317"/>
      <c r="Q58" s="317"/>
      <c r="R58" s="110">
        <f t="shared" ref="R58:R71" si="41">SUM(N58:Q58)</f>
        <v>0.27400000000000002</v>
      </c>
      <c r="S58" s="317"/>
      <c r="T58" s="317">
        <v>1129603</v>
      </c>
      <c r="U58" s="317">
        <v>-224</v>
      </c>
      <c r="V58" s="317"/>
      <c r="W58" s="110">
        <f t="shared" ref="W58:W71" si="42">SUM(S58:V58)</f>
        <v>1129379</v>
      </c>
      <c r="X58" s="317">
        <v>562704</v>
      </c>
      <c r="Y58" s="317">
        <v>-2629</v>
      </c>
      <c r="Z58" s="317"/>
      <c r="AA58" s="317"/>
      <c r="AB58" s="110">
        <f t="shared" ref="AB58:AB71" si="43">SUM(X58:AA58)</f>
        <v>560075</v>
      </c>
      <c r="AC58" s="317"/>
      <c r="AD58" s="317"/>
      <c r="AE58" s="317"/>
      <c r="AF58" s="317"/>
      <c r="AG58" s="110">
        <f t="shared" ref="AG58:AG71" si="44">SUM(AC58:AF58)</f>
        <v>0</v>
      </c>
      <c r="AH58" s="317"/>
      <c r="AI58" s="317"/>
      <c r="AJ58" s="317"/>
      <c r="AK58" s="317"/>
      <c r="AL58" s="110">
        <f t="shared" ref="AL58:AL68" si="45">SUM(AH58:AK58)</f>
        <v>0</v>
      </c>
      <c r="AM58" s="317"/>
      <c r="AN58" s="317">
        <f>1400000-23100</f>
        <v>1376900</v>
      </c>
      <c r="AO58" s="317">
        <v>-906</v>
      </c>
      <c r="AP58" s="317"/>
      <c r="AQ58" s="110">
        <f t="shared" ref="AQ58:AQ71" si="46">SUM(AM58:AP58)</f>
        <v>1375994</v>
      </c>
      <c r="AR58" s="317"/>
      <c r="AS58" s="317"/>
      <c r="AT58" s="317"/>
      <c r="AU58" s="317"/>
      <c r="AV58" s="110">
        <f t="shared" ref="AV58:AV71" si="47">SUM(AR58:AU58)</f>
        <v>0</v>
      </c>
      <c r="AW58" s="317"/>
      <c r="AX58" s="317"/>
      <c r="AY58" s="317"/>
      <c r="AZ58" s="317"/>
      <c r="BA58" s="110">
        <f t="shared" ref="BA58:BA71" si="48">SUM(AW58:AZ58)</f>
        <v>0</v>
      </c>
    </row>
    <row r="59" spans="2:53" x14ac:dyDescent="0.2">
      <c r="B59" s="314"/>
      <c r="C59" s="126" t="s">
        <v>311</v>
      </c>
      <c r="D59" s="317"/>
      <c r="E59" s="317"/>
      <c r="F59" s="317"/>
      <c r="G59" s="317"/>
      <c r="H59" s="110">
        <f t="shared" si="39"/>
        <v>0</v>
      </c>
      <c r="I59" s="317"/>
      <c r="J59" s="317"/>
      <c r="K59" s="317"/>
      <c r="L59" s="317"/>
      <c r="M59" s="110">
        <f t="shared" si="40"/>
        <v>0</v>
      </c>
      <c r="N59" s="317"/>
      <c r="O59" s="317"/>
      <c r="P59" s="317"/>
      <c r="Q59" s="317"/>
      <c r="R59" s="110">
        <f t="shared" si="41"/>
        <v>0</v>
      </c>
      <c r="S59" s="317"/>
      <c r="T59" s="317"/>
      <c r="U59" s="317"/>
      <c r="V59" s="317"/>
      <c r="W59" s="110">
        <f t="shared" si="42"/>
        <v>0</v>
      </c>
      <c r="X59" s="317"/>
      <c r="Y59" s="317"/>
      <c r="Z59" s="317"/>
      <c r="AA59" s="317"/>
      <c r="AB59" s="110">
        <f t="shared" si="43"/>
        <v>0</v>
      </c>
      <c r="AC59" s="317"/>
      <c r="AD59" s="317"/>
      <c r="AE59" s="317">
        <v>-24001</v>
      </c>
      <c r="AF59" s="317">
        <v>-63614</v>
      </c>
      <c r="AG59" s="110">
        <f t="shared" si="44"/>
        <v>-87615</v>
      </c>
      <c r="AH59" s="317">
        <v>-12061</v>
      </c>
      <c r="AI59" s="317">
        <v>-199841</v>
      </c>
      <c r="AJ59" s="317"/>
      <c r="AK59" s="317"/>
      <c r="AL59" s="110">
        <f t="shared" si="45"/>
        <v>-211902</v>
      </c>
      <c r="AM59" s="317">
        <v>-200002</v>
      </c>
      <c r="AN59" s="317">
        <v>-199999</v>
      </c>
      <c r="AO59" s="317"/>
      <c r="AP59" s="317">
        <v>-30001</v>
      </c>
      <c r="AQ59" s="110">
        <f t="shared" si="46"/>
        <v>-430002</v>
      </c>
      <c r="AR59" s="317">
        <v>-83145</v>
      </c>
      <c r="AS59" s="317">
        <v>-132651</v>
      </c>
      <c r="AT59" s="317"/>
      <c r="AU59" s="317"/>
      <c r="AV59" s="110">
        <f t="shared" si="47"/>
        <v>-215796</v>
      </c>
      <c r="AW59" s="317"/>
      <c r="AX59" s="317"/>
      <c r="AY59" s="317"/>
      <c r="AZ59" s="317"/>
      <c r="BA59" s="110">
        <f t="shared" si="48"/>
        <v>0</v>
      </c>
    </row>
    <row r="60" spans="2:53" x14ac:dyDescent="0.2">
      <c r="B60" s="314"/>
      <c r="C60" s="126" t="s">
        <v>260</v>
      </c>
      <c r="D60" s="317"/>
      <c r="E60" s="317"/>
      <c r="F60" s="317"/>
      <c r="G60" s="317"/>
      <c r="H60" s="110">
        <f t="shared" si="39"/>
        <v>0</v>
      </c>
      <c r="I60" s="317"/>
      <c r="J60" s="317"/>
      <c r="K60" s="317"/>
      <c r="L60" s="317"/>
      <c r="M60" s="110">
        <f t="shared" si="40"/>
        <v>0</v>
      </c>
      <c r="N60" s="317"/>
      <c r="O60" s="317"/>
      <c r="P60" s="317"/>
      <c r="Q60" s="317"/>
      <c r="R60" s="110">
        <f t="shared" si="41"/>
        <v>0</v>
      </c>
      <c r="S60" s="317"/>
      <c r="T60" s="317">
        <v>-87860</v>
      </c>
      <c r="U60" s="317"/>
      <c r="V60" s="317"/>
      <c r="W60" s="110">
        <f t="shared" si="42"/>
        <v>-87860</v>
      </c>
      <c r="X60" s="317">
        <v>-37893</v>
      </c>
      <c r="Y60" s="317"/>
      <c r="Z60" s="317"/>
      <c r="AA60" s="317"/>
      <c r="AB60" s="110">
        <f t="shared" si="43"/>
        <v>-37893</v>
      </c>
      <c r="AC60" s="317"/>
      <c r="AD60" s="317"/>
      <c r="AE60" s="317"/>
      <c r="AF60" s="317"/>
      <c r="AG60" s="110">
        <f t="shared" si="44"/>
        <v>0</v>
      </c>
      <c r="AH60" s="317"/>
      <c r="AI60" s="317"/>
      <c r="AJ60" s="317">
        <v>10252</v>
      </c>
      <c r="AK60" s="317">
        <v>1190</v>
      </c>
      <c r="AL60" s="110">
        <f t="shared" si="45"/>
        <v>11442</v>
      </c>
      <c r="AM60" s="317"/>
      <c r="AN60" s="317">
        <v>-92960</v>
      </c>
      <c r="AO60" s="317"/>
      <c r="AP60" s="317"/>
      <c r="AQ60" s="110">
        <f t="shared" si="46"/>
        <v>-92960</v>
      </c>
      <c r="AR60" s="317"/>
      <c r="AS60" s="317"/>
      <c r="AT60" s="317"/>
      <c r="AU60" s="317"/>
      <c r="AV60" s="110">
        <f t="shared" si="47"/>
        <v>0</v>
      </c>
      <c r="AW60" s="317"/>
      <c r="AX60" s="317"/>
      <c r="AY60" s="317"/>
      <c r="AZ60" s="317"/>
      <c r="BA60" s="110">
        <f t="shared" si="48"/>
        <v>0</v>
      </c>
    </row>
    <row r="61" spans="2:53" x14ac:dyDescent="0.2">
      <c r="B61" s="314"/>
      <c r="C61" s="126" t="s">
        <v>433</v>
      </c>
      <c r="D61" s="317"/>
      <c r="E61" s="317"/>
      <c r="F61" s="317"/>
      <c r="G61" s="317"/>
      <c r="H61" s="110">
        <f t="shared" si="39"/>
        <v>0</v>
      </c>
      <c r="I61" s="317"/>
      <c r="J61" s="317"/>
      <c r="K61" s="317"/>
      <c r="L61" s="317"/>
      <c r="M61" s="110">
        <f t="shared" si="40"/>
        <v>0</v>
      </c>
      <c r="N61" s="317"/>
      <c r="O61" s="317">
        <v>227439</v>
      </c>
      <c r="P61" s="317">
        <v>-1021</v>
      </c>
      <c r="Q61" s="317"/>
      <c r="R61" s="110">
        <f t="shared" si="41"/>
        <v>226418</v>
      </c>
      <c r="S61" s="317"/>
      <c r="T61" s="317"/>
      <c r="U61" s="317"/>
      <c r="V61" s="317"/>
      <c r="W61" s="110">
        <f t="shared" si="42"/>
        <v>0</v>
      </c>
      <c r="X61" s="317"/>
      <c r="Y61" s="317"/>
      <c r="Z61" s="317">
        <v>-30</v>
      </c>
      <c r="AA61" s="317"/>
      <c r="AB61" s="110">
        <f t="shared" si="43"/>
        <v>-30</v>
      </c>
      <c r="AC61" s="317"/>
      <c r="AD61" s="317"/>
      <c r="AE61" s="317"/>
      <c r="AF61" s="317"/>
      <c r="AG61" s="110">
        <f t="shared" si="44"/>
        <v>0</v>
      </c>
      <c r="AH61" s="317"/>
      <c r="AI61" s="317"/>
      <c r="AJ61" s="317"/>
      <c r="AK61" s="317"/>
      <c r="AL61" s="110">
        <f t="shared" si="45"/>
        <v>0</v>
      </c>
      <c r="AM61" s="317"/>
      <c r="AN61" s="317"/>
      <c r="AO61" s="317"/>
      <c r="AP61" s="317"/>
      <c r="AQ61" s="110">
        <f t="shared" si="46"/>
        <v>0</v>
      </c>
      <c r="AR61" s="317"/>
      <c r="AS61" s="317"/>
      <c r="AT61" s="317"/>
      <c r="AU61" s="317"/>
      <c r="AV61" s="110">
        <f t="shared" si="47"/>
        <v>0</v>
      </c>
      <c r="AW61" s="317"/>
      <c r="AX61" s="317"/>
      <c r="AY61" s="317"/>
      <c r="AZ61" s="317"/>
      <c r="BA61" s="110">
        <f t="shared" si="48"/>
        <v>0</v>
      </c>
    </row>
    <row r="62" spans="2:53" x14ac:dyDescent="0.2">
      <c r="B62" s="314"/>
      <c r="C62" s="126" t="s">
        <v>261</v>
      </c>
      <c r="D62" s="317">
        <v>215</v>
      </c>
      <c r="E62" s="317">
        <v>81</v>
      </c>
      <c r="F62" s="317">
        <v>110</v>
      </c>
      <c r="G62" s="317">
        <v>287</v>
      </c>
      <c r="H62" s="110">
        <f t="shared" si="39"/>
        <v>693</v>
      </c>
      <c r="I62" s="317">
        <v>458.31789000000003</v>
      </c>
      <c r="J62" s="317">
        <v>491</v>
      </c>
      <c r="K62" s="317">
        <v>367</v>
      </c>
      <c r="L62" s="317">
        <v>385.68210999999997</v>
      </c>
      <c r="M62" s="110">
        <f t="shared" si="40"/>
        <v>1702</v>
      </c>
      <c r="N62" s="317">
        <v>294</v>
      </c>
      <c r="O62" s="317">
        <v>607</v>
      </c>
      <c r="P62" s="317">
        <v>845</v>
      </c>
      <c r="Q62" s="317">
        <v>308176</v>
      </c>
      <c r="R62" s="110">
        <f t="shared" si="41"/>
        <v>309922</v>
      </c>
      <c r="S62" s="317">
        <f>8962+4327</f>
        <v>13289</v>
      </c>
      <c r="T62" s="317">
        <v>8480</v>
      </c>
      <c r="U62" s="317">
        <v>5592</v>
      </c>
      <c r="V62" s="317"/>
      <c r="W62" s="110">
        <f t="shared" si="42"/>
        <v>27361</v>
      </c>
      <c r="X62" s="317">
        <v>1341597</v>
      </c>
      <c r="Y62" s="317">
        <v>-445</v>
      </c>
      <c r="Z62" s="317">
        <v>6332</v>
      </c>
      <c r="AA62" s="317">
        <v>4908</v>
      </c>
      <c r="AB62" s="110">
        <f t="shared" si="43"/>
        <v>1352392</v>
      </c>
      <c r="AC62" s="317"/>
      <c r="AD62" s="317"/>
      <c r="AE62" s="317"/>
      <c r="AF62" s="317"/>
      <c r="AG62" s="110">
        <f t="shared" si="44"/>
        <v>0</v>
      </c>
      <c r="AH62" s="317"/>
      <c r="AI62" s="317"/>
      <c r="AJ62" s="317"/>
      <c r="AK62" s="317"/>
      <c r="AL62" s="110">
        <f t="shared" si="45"/>
        <v>0</v>
      </c>
      <c r="AM62" s="317"/>
      <c r="AN62" s="317"/>
      <c r="AO62" s="317"/>
      <c r="AP62" s="317"/>
      <c r="AQ62" s="110">
        <f t="shared" si="46"/>
        <v>0</v>
      </c>
      <c r="AR62" s="317"/>
      <c r="AS62" s="317"/>
      <c r="AT62" s="317"/>
      <c r="AU62" s="317"/>
      <c r="AV62" s="110">
        <f t="shared" si="47"/>
        <v>0</v>
      </c>
      <c r="AW62" s="317"/>
      <c r="AX62" s="317"/>
      <c r="AY62" s="317"/>
      <c r="AZ62" s="317"/>
      <c r="BA62" s="110">
        <f t="shared" si="48"/>
        <v>0</v>
      </c>
    </row>
    <row r="63" spans="2:53" x14ac:dyDescent="0.2">
      <c r="B63" s="314"/>
      <c r="C63" s="126" t="s">
        <v>262</v>
      </c>
      <c r="D63" s="317"/>
      <c r="E63" s="317"/>
      <c r="F63" s="317"/>
      <c r="G63" s="317"/>
      <c r="H63" s="110">
        <f t="shared" si="39"/>
        <v>0</v>
      </c>
      <c r="I63" s="317"/>
      <c r="J63" s="317"/>
      <c r="K63" s="317"/>
      <c r="L63" s="317"/>
      <c r="M63" s="110">
        <f t="shared" si="40"/>
        <v>0</v>
      </c>
      <c r="N63" s="317"/>
      <c r="O63" s="317">
        <v>144</v>
      </c>
      <c r="P63" s="317"/>
      <c r="Q63" s="317">
        <v>10486</v>
      </c>
      <c r="R63" s="110">
        <f t="shared" si="41"/>
        <v>10630</v>
      </c>
      <c r="S63" s="317"/>
      <c r="T63" s="317"/>
      <c r="U63" s="317">
        <v>4537</v>
      </c>
      <c r="V63" s="317">
        <v>5175</v>
      </c>
      <c r="W63" s="110">
        <f t="shared" si="42"/>
        <v>9712</v>
      </c>
      <c r="X63" s="317">
        <v>8336</v>
      </c>
      <c r="Y63" s="317"/>
      <c r="Z63" s="317"/>
      <c r="AA63" s="317"/>
      <c r="AB63" s="110">
        <f t="shared" si="43"/>
        <v>8336</v>
      </c>
      <c r="AC63" s="317">
        <v>3901</v>
      </c>
      <c r="AD63" s="317">
        <v>4316</v>
      </c>
      <c r="AE63" s="317">
        <v>2643</v>
      </c>
      <c r="AF63" s="317">
        <v>3012</v>
      </c>
      <c r="AG63" s="110">
        <f t="shared" si="44"/>
        <v>13872</v>
      </c>
      <c r="AH63" s="317">
        <v>2946</v>
      </c>
      <c r="AI63" s="317">
        <v>2106</v>
      </c>
      <c r="AJ63" s="317">
        <v>1473</v>
      </c>
      <c r="AK63" s="317">
        <v>1589</v>
      </c>
      <c r="AL63" s="110">
        <f t="shared" si="45"/>
        <v>8114</v>
      </c>
      <c r="AM63" s="317">
        <v>1017</v>
      </c>
      <c r="AN63" s="317">
        <v>1235</v>
      </c>
      <c r="AO63" s="317">
        <v>520</v>
      </c>
      <c r="AP63" s="317">
        <v>929</v>
      </c>
      <c r="AQ63" s="110">
        <f t="shared" si="46"/>
        <v>3701</v>
      </c>
      <c r="AR63" s="317">
        <v>276</v>
      </c>
      <c r="AS63" s="317">
        <v>558</v>
      </c>
      <c r="AT63" s="317"/>
      <c r="AU63" s="317"/>
      <c r="AV63" s="110">
        <f t="shared" si="47"/>
        <v>834</v>
      </c>
      <c r="AW63" s="317"/>
      <c r="AX63" s="317"/>
      <c r="AY63" s="317"/>
      <c r="AZ63" s="317"/>
      <c r="BA63" s="110">
        <f t="shared" si="48"/>
        <v>0</v>
      </c>
    </row>
    <row r="64" spans="2:53" x14ac:dyDescent="0.2">
      <c r="B64" s="314"/>
      <c r="C64" s="126" t="s">
        <v>263</v>
      </c>
      <c r="D64" s="317"/>
      <c r="E64" s="317"/>
      <c r="F64" s="317"/>
      <c r="G64" s="317"/>
      <c r="H64" s="110">
        <f t="shared" si="39"/>
        <v>0</v>
      </c>
      <c r="I64" s="317"/>
      <c r="J64" s="317"/>
      <c r="K64" s="317"/>
      <c r="L64" s="317"/>
      <c r="M64" s="110">
        <f t="shared" si="40"/>
        <v>0</v>
      </c>
      <c r="N64" s="317"/>
      <c r="O64" s="317"/>
      <c r="P64" s="317"/>
      <c r="Q64" s="317"/>
      <c r="R64" s="110">
        <f t="shared" si="41"/>
        <v>0</v>
      </c>
      <c r="S64" s="317"/>
      <c r="T64" s="317"/>
      <c r="U64" s="317"/>
      <c r="V64" s="317"/>
      <c r="W64" s="110">
        <f t="shared" si="42"/>
        <v>0</v>
      </c>
      <c r="X64" s="317">
        <v>5726</v>
      </c>
      <c r="Y64" s="317">
        <v>14448</v>
      </c>
      <c r="Z64" s="317">
        <v>7123</v>
      </c>
      <c r="AA64" s="317"/>
      <c r="AB64" s="110">
        <f t="shared" si="43"/>
        <v>27297</v>
      </c>
      <c r="AC64" s="317"/>
      <c r="AD64" s="317"/>
      <c r="AE64" s="317"/>
      <c r="AF64" s="317"/>
      <c r="AG64" s="110">
        <f t="shared" si="44"/>
        <v>0</v>
      </c>
      <c r="AH64" s="317"/>
      <c r="AI64" s="317"/>
      <c r="AJ64" s="317">
        <v>8649</v>
      </c>
      <c r="AK64" s="317"/>
      <c r="AL64" s="110">
        <f t="shared" si="45"/>
        <v>8649</v>
      </c>
      <c r="AM64" s="317">
        <v>5302</v>
      </c>
      <c r="AN64" s="317"/>
      <c r="AO64" s="317"/>
      <c r="AP64" s="317">
        <v>6251</v>
      </c>
      <c r="AQ64" s="110">
        <f t="shared" si="46"/>
        <v>11553</v>
      </c>
      <c r="AR64" s="317"/>
      <c r="AS64" s="317">
        <v>4648</v>
      </c>
      <c r="AT64" s="317"/>
      <c r="AU64" s="317"/>
      <c r="AV64" s="110">
        <f t="shared" si="47"/>
        <v>4648</v>
      </c>
      <c r="AW64" s="317"/>
      <c r="AX64" s="317"/>
      <c r="AY64" s="317"/>
      <c r="AZ64" s="317"/>
      <c r="BA64" s="110">
        <f t="shared" si="48"/>
        <v>0</v>
      </c>
    </row>
    <row r="65" spans="2:53" x14ac:dyDescent="0.2">
      <c r="B65" s="314"/>
      <c r="C65" s="126" t="s">
        <v>428</v>
      </c>
      <c r="D65" s="317"/>
      <c r="E65" s="317"/>
      <c r="F65" s="317"/>
      <c r="G65" s="317"/>
      <c r="H65" s="110">
        <f t="shared" si="39"/>
        <v>0</v>
      </c>
      <c r="I65" s="317"/>
      <c r="J65" s="317"/>
      <c r="K65" s="317"/>
      <c r="L65" s="317"/>
      <c r="M65" s="110">
        <f t="shared" si="40"/>
        <v>0</v>
      </c>
      <c r="N65" s="317"/>
      <c r="O65" s="317"/>
      <c r="P65" s="317"/>
      <c r="Q65" s="317"/>
      <c r="R65" s="110">
        <f t="shared" si="41"/>
        <v>0</v>
      </c>
      <c r="S65" s="317"/>
      <c r="T65" s="317"/>
      <c r="U65" s="317"/>
      <c r="V65" s="317"/>
      <c r="W65" s="110">
        <f t="shared" si="42"/>
        <v>0</v>
      </c>
      <c r="X65" s="317"/>
      <c r="Y65" s="317"/>
      <c r="Z65" s="317"/>
      <c r="AA65" s="317"/>
      <c r="AB65" s="110">
        <f t="shared" si="43"/>
        <v>0</v>
      </c>
      <c r="AC65" s="317"/>
      <c r="AD65" s="317"/>
      <c r="AE65" s="317"/>
      <c r="AF65" s="317"/>
      <c r="AG65" s="110">
        <f t="shared" si="44"/>
        <v>0</v>
      </c>
      <c r="AH65" s="317"/>
      <c r="AI65" s="317"/>
      <c r="AJ65" s="317">
        <v>-1681</v>
      </c>
      <c r="AK65" s="317">
        <v>-2181</v>
      </c>
      <c r="AL65" s="110">
        <f t="shared" si="45"/>
        <v>-3862</v>
      </c>
      <c r="AM65" s="317">
        <v>-1304</v>
      </c>
      <c r="AN65" s="317">
        <v>-3410</v>
      </c>
      <c r="AO65" s="317">
        <v>-1702</v>
      </c>
      <c r="AP65" s="317">
        <v>-1424</v>
      </c>
      <c r="AQ65" s="110">
        <f t="shared" si="46"/>
        <v>-7840</v>
      </c>
      <c r="AR65" s="317">
        <v>-14080</v>
      </c>
      <c r="AS65" s="317">
        <v>-15397</v>
      </c>
      <c r="AT65" s="317"/>
      <c r="AU65" s="317"/>
      <c r="AV65" s="110">
        <f t="shared" si="47"/>
        <v>-29477</v>
      </c>
      <c r="AW65" s="317"/>
      <c r="AX65" s="317"/>
      <c r="AY65" s="317"/>
      <c r="AZ65" s="317"/>
      <c r="BA65" s="110">
        <f t="shared" si="48"/>
        <v>0</v>
      </c>
    </row>
    <row r="66" spans="2:53" x14ac:dyDescent="0.2">
      <c r="B66" s="314"/>
      <c r="C66" s="126" t="s">
        <v>264</v>
      </c>
      <c r="D66" s="317"/>
      <c r="E66" s="317"/>
      <c r="F66" s="317"/>
      <c r="G66" s="317"/>
      <c r="H66" s="110">
        <f t="shared" si="39"/>
        <v>0</v>
      </c>
      <c r="I66" s="317"/>
      <c r="J66" s="317"/>
      <c r="K66" s="317"/>
      <c r="L66" s="317"/>
      <c r="M66" s="110">
        <f t="shared" si="40"/>
        <v>0</v>
      </c>
      <c r="N66" s="317"/>
      <c r="O66" s="317"/>
      <c r="P66" s="317"/>
      <c r="Q66" s="317"/>
      <c r="R66" s="110">
        <f t="shared" si="41"/>
        <v>0</v>
      </c>
      <c r="S66" s="317"/>
      <c r="T66" s="317"/>
      <c r="U66" s="317"/>
      <c r="V66" s="317"/>
      <c r="W66" s="110">
        <f t="shared" si="42"/>
        <v>0</v>
      </c>
      <c r="X66" s="317"/>
      <c r="Y66" s="317"/>
      <c r="Z66" s="317"/>
      <c r="AA66" s="317"/>
      <c r="AB66" s="110">
        <f t="shared" si="43"/>
        <v>0</v>
      </c>
      <c r="AC66" s="317">
        <v>8494</v>
      </c>
      <c r="AD66" s="317">
        <v>37500</v>
      </c>
      <c r="AE66" s="317">
        <v>9385</v>
      </c>
      <c r="AF66" s="317">
        <v>0</v>
      </c>
      <c r="AG66" s="110">
        <f t="shared" si="44"/>
        <v>55379</v>
      </c>
      <c r="AH66" s="317">
        <v>7846</v>
      </c>
      <c r="AI66" s="317">
        <v>0</v>
      </c>
      <c r="AJ66" s="317">
        <v>45000</v>
      </c>
      <c r="AK66" s="317"/>
      <c r="AL66" s="110">
        <f t="shared" si="45"/>
        <v>52846</v>
      </c>
      <c r="AM66" s="317"/>
      <c r="AN66" s="317"/>
      <c r="AO66" s="317"/>
      <c r="AP66" s="317"/>
      <c r="AQ66" s="110">
        <f t="shared" si="46"/>
        <v>0</v>
      </c>
      <c r="AR66" s="317">
        <v>150000</v>
      </c>
      <c r="AS66" s="317"/>
      <c r="AT66" s="317"/>
      <c r="AU66" s="317"/>
      <c r="AV66" s="110">
        <f t="shared" si="47"/>
        <v>150000</v>
      </c>
      <c r="AW66" s="317"/>
      <c r="AX66" s="317"/>
      <c r="AY66" s="317"/>
      <c r="AZ66" s="317"/>
      <c r="BA66" s="110">
        <f t="shared" si="48"/>
        <v>0</v>
      </c>
    </row>
    <row r="67" spans="2:53" x14ac:dyDescent="0.2">
      <c r="B67" s="314"/>
      <c r="C67" s="126" t="s">
        <v>312</v>
      </c>
      <c r="D67" s="317"/>
      <c r="E67" s="317"/>
      <c r="F67" s="317"/>
      <c r="G67" s="317"/>
      <c r="H67" s="110">
        <f t="shared" si="39"/>
        <v>0</v>
      </c>
      <c r="I67" s="317"/>
      <c r="J67" s="317"/>
      <c r="K67" s="317"/>
      <c r="L67" s="317"/>
      <c r="M67" s="110">
        <f t="shared" si="40"/>
        <v>0</v>
      </c>
      <c r="N67" s="317"/>
      <c r="O67" s="317"/>
      <c r="P67" s="317"/>
      <c r="Q67" s="317"/>
      <c r="R67" s="110">
        <f t="shared" si="41"/>
        <v>0</v>
      </c>
      <c r="S67" s="317"/>
      <c r="T67" s="317"/>
      <c r="U67" s="317"/>
      <c r="V67" s="317"/>
      <c r="W67" s="110">
        <f t="shared" si="42"/>
        <v>0</v>
      </c>
      <c r="X67" s="317"/>
      <c r="Y67" s="317"/>
      <c r="Z67" s="317"/>
      <c r="AA67" s="317"/>
      <c r="AB67" s="110">
        <f t="shared" si="43"/>
        <v>0</v>
      </c>
      <c r="AC67" s="317"/>
      <c r="AD67" s="317"/>
      <c r="AE67" s="317"/>
      <c r="AF67" s="317">
        <v>5520</v>
      </c>
      <c r="AG67" s="110">
        <f t="shared" si="44"/>
        <v>5520</v>
      </c>
      <c r="AH67" s="317"/>
      <c r="AI67" s="317"/>
      <c r="AJ67" s="317">
        <v>-4292</v>
      </c>
      <c r="AK67" s="317">
        <v>2875</v>
      </c>
      <c r="AL67" s="110">
        <f t="shared" si="45"/>
        <v>-1417</v>
      </c>
      <c r="AM67" s="317">
        <v>11322</v>
      </c>
      <c r="AN67" s="317">
        <v>21049</v>
      </c>
      <c r="AO67" s="317">
        <v>11102</v>
      </c>
      <c r="AP67" s="317">
        <v>-14956</v>
      </c>
      <c r="AQ67" s="110">
        <f t="shared" si="46"/>
        <v>28517</v>
      </c>
      <c r="AR67" s="317">
        <v>16764</v>
      </c>
      <c r="AS67" s="317">
        <v>12330</v>
      </c>
      <c r="AT67" s="317"/>
      <c r="AU67" s="317"/>
      <c r="AV67" s="110">
        <f t="shared" si="47"/>
        <v>29094</v>
      </c>
      <c r="AW67" s="317"/>
      <c r="AX67" s="317"/>
      <c r="AY67" s="317"/>
      <c r="AZ67" s="317"/>
      <c r="BA67" s="110">
        <f t="shared" si="48"/>
        <v>0</v>
      </c>
    </row>
    <row r="68" spans="2:53" x14ac:dyDescent="0.2">
      <c r="B68" s="314"/>
      <c r="C68" s="126" t="s">
        <v>265</v>
      </c>
      <c r="D68" s="317"/>
      <c r="E68" s="317"/>
      <c r="F68" s="317"/>
      <c r="G68" s="317"/>
      <c r="H68" s="110">
        <f t="shared" si="39"/>
        <v>0</v>
      </c>
      <c r="I68" s="317"/>
      <c r="J68" s="317"/>
      <c r="K68" s="317"/>
      <c r="L68" s="317"/>
      <c r="M68" s="110">
        <f t="shared" si="40"/>
        <v>0</v>
      </c>
      <c r="N68" s="317"/>
      <c r="O68" s="317"/>
      <c r="P68" s="317"/>
      <c r="Q68" s="317"/>
      <c r="R68" s="110">
        <f t="shared" si="41"/>
        <v>0</v>
      </c>
      <c r="S68" s="317"/>
      <c r="T68" s="317"/>
      <c r="U68" s="317"/>
      <c r="V68" s="317"/>
      <c r="W68" s="110">
        <f t="shared" si="42"/>
        <v>0</v>
      </c>
      <c r="X68" s="317"/>
      <c r="Y68" s="317"/>
      <c r="Z68" s="317"/>
      <c r="AA68" s="317"/>
      <c r="AB68" s="110">
        <f t="shared" si="43"/>
        <v>0</v>
      </c>
      <c r="AC68" s="317"/>
      <c r="AD68" s="317"/>
      <c r="AE68" s="317"/>
      <c r="AF68" s="317"/>
      <c r="AG68" s="110">
        <f t="shared" si="44"/>
        <v>0</v>
      </c>
      <c r="AH68" s="317"/>
      <c r="AI68" s="317"/>
      <c r="AJ68" s="317"/>
      <c r="AK68" s="317"/>
      <c r="AL68" s="110">
        <f t="shared" si="45"/>
        <v>0</v>
      </c>
      <c r="AM68" s="317"/>
      <c r="AN68" s="317"/>
      <c r="AO68" s="317"/>
      <c r="AP68" s="317"/>
      <c r="AQ68" s="110">
        <f t="shared" si="46"/>
        <v>0</v>
      </c>
      <c r="AR68" s="317"/>
      <c r="AS68" s="317"/>
      <c r="AT68" s="317"/>
      <c r="AU68" s="317"/>
      <c r="AV68" s="110">
        <f t="shared" si="47"/>
        <v>0</v>
      </c>
      <c r="AW68" s="317"/>
      <c r="AX68" s="317"/>
      <c r="AY68" s="317"/>
      <c r="AZ68" s="317"/>
      <c r="BA68" s="110">
        <f t="shared" si="48"/>
        <v>0</v>
      </c>
    </row>
    <row r="69" spans="2:53" x14ac:dyDescent="0.2">
      <c r="B69" s="314"/>
      <c r="C69" s="126" t="s">
        <v>266</v>
      </c>
      <c r="D69" s="317">
        <v>-216</v>
      </c>
      <c r="E69" s="317">
        <v>6329.4444399999993</v>
      </c>
      <c r="F69" s="317">
        <v>0</v>
      </c>
      <c r="G69" s="317">
        <v>0</v>
      </c>
      <c r="H69" s="110">
        <f t="shared" si="39"/>
        <v>6113.4444399999993</v>
      </c>
      <c r="I69" s="317">
        <v>0</v>
      </c>
      <c r="J69" s="317">
        <v>-417</v>
      </c>
      <c r="K69" s="317">
        <v>-416</v>
      </c>
      <c r="L69" s="317">
        <v>-8667</v>
      </c>
      <c r="M69" s="110">
        <f t="shared" si="40"/>
        <v>-9500</v>
      </c>
      <c r="N69" s="317">
        <v>-874</v>
      </c>
      <c r="O69" s="317"/>
      <c r="P69" s="317">
        <v>2300</v>
      </c>
      <c r="Q69" s="317"/>
      <c r="R69" s="110">
        <f t="shared" si="41"/>
        <v>1426</v>
      </c>
      <c r="S69" s="317">
        <v>-664</v>
      </c>
      <c r="T69" s="317"/>
      <c r="U69" s="317">
        <v>-2300</v>
      </c>
      <c r="V69" s="317"/>
      <c r="W69" s="110">
        <f t="shared" si="42"/>
        <v>-2964</v>
      </c>
      <c r="X69" s="317"/>
      <c r="Y69" s="317"/>
      <c r="Z69" s="317"/>
      <c r="AA69" s="317">
        <f>+-40000+37500</f>
        <v>-2500</v>
      </c>
      <c r="AB69" s="110">
        <f t="shared" si="43"/>
        <v>-2500</v>
      </c>
      <c r="AC69" s="317"/>
      <c r="AD69" s="317"/>
      <c r="AE69" s="317">
        <v>22500</v>
      </c>
      <c r="AF69" s="317"/>
      <c r="AG69" s="110">
        <f t="shared" si="44"/>
        <v>22500</v>
      </c>
      <c r="AH69" s="317"/>
      <c r="AI69" s="317"/>
      <c r="AJ69" s="317"/>
      <c r="AK69" s="317"/>
      <c r="AL69" s="110">
        <f>SUM(AH69:AK69)</f>
        <v>0</v>
      </c>
      <c r="AM69" s="317"/>
      <c r="AN69" s="317"/>
      <c r="AO69" s="317"/>
      <c r="AP69" s="317">
        <v>-1721</v>
      </c>
      <c r="AQ69" s="110">
        <f t="shared" si="46"/>
        <v>-1721</v>
      </c>
      <c r="AR69" s="317"/>
      <c r="AS69" s="317"/>
      <c r="AT69" s="317"/>
      <c r="AU69" s="317"/>
      <c r="AV69" s="110">
        <f t="shared" si="47"/>
        <v>0</v>
      </c>
      <c r="AW69" s="317"/>
      <c r="AX69" s="317"/>
      <c r="AY69" s="317"/>
      <c r="AZ69" s="317"/>
      <c r="BA69" s="110">
        <f t="shared" si="48"/>
        <v>0</v>
      </c>
    </row>
    <row r="70" spans="2:53" x14ac:dyDescent="0.2">
      <c r="B70" s="314"/>
      <c r="C70" s="126" t="s">
        <v>267</v>
      </c>
      <c r="D70" s="317">
        <v>0</v>
      </c>
      <c r="E70" s="317">
        <v>0</v>
      </c>
      <c r="F70" s="317">
        <v>0</v>
      </c>
      <c r="G70" s="317">
        <v>0</v>
      </c>
      <c r="H70" s="110">
        <f t="shared" si="39"/>
        <v>0</v>
      </c>
      <c r="I70" s="317">
        <v>0</v>
      </c>
      <c r="J70" s="317">
        <v>0</v>
      </c>
      <c r="K70" s="317">
        <v>0</v>
      </c>
      <c r="L70" s="317">
        <v>0</v>
      </c>
      <c r="M70" s="110">
        <f t="shared" si="40"/>
        <v>0</v>
      </c>
      <c r="N70" s="317">
        <v>-151</v>
      </c>
      <c r="O70" s="317"/>
      <c r="P70" s="317"/>
      <c r="Q70" s="317">
        <v>-63</v>
      </c>
      <c r="R70" s="110">
        <f t="shared" si="41"/>
        <v>-214</v>
      </c>
      <c r="S70" s="317"/>
      <c r="T70" s="317"/>
      <c r="U70" s="317"/>
      <c r="V70" s="317"/>
      <c r="W70" s="110">
        <f t="shared" si="42"/>
        <v>0</v>
      </c>
      <c r="X70" s="317"/>
      <c r="Y70" s="317"/>
      <c r="Z70" s="317"/>
      <c r="AA70" s="317"/>
      <c r="AB70" s="110">
        <f t="shared" si="43"/>
        <v>0</v>
      </c>
      <c r="AC70" s="317"/>
      <c r="AD70" s="317"/>
      <c r="AE70" s="317"/>
      <c r="AF70" s="317"/>
      <c r="AG70" s="110">
        <f t="shared" si="44"/>
        <v>0</v>
      </c>
      <c r="AH70" s="317"/>
      <c r="AI70" s="317"/>
      <c r="AJ70" s="317"/>
      <c r="AK70" s="317"/>
      <c r="AL70" s="110">
        <f>SUM(AH70:AK70)</f>
        <v>0</v>
      </c>
      <c r="AM70" s="317"/>
      <c r="AN70" s="317"/>
      <c r="AO70" s="317"/>
      <c r="AP70" s="317"/>
      <c r="AQ70" s="110">
        <f t="shared" si="46"/>
        <v>0</v>
      </c>
      <c r="AR70" s="317"/>
      <c r="AS70" s="317"/>
      <c r="AT70" s="317"/>
      <c r="AU70" s="317"/>
      <c r="AV70" s="110">
        <f t="shared" si="47"/>
        <v>0</v>
      </c>
      <c r="AW70" s="317"/>
      <c r="AX70" s="317"/>
      <c r="AY70" s="317"/>
      <c r="AZ70" s="317"/>
      <c r="BA70" s="110">
        <f t="shared" si="48"/>
        <v>0</v>
      </c>
    </row>
    <row r="71" spans="2:53" x14ac:dyDescent="0.2">
      <c r="B71" s="314"/>
      <c r="C71" s="126" t="s">
        <v>98</v>
      </c>
      <c r="D71" s="317"/>
      <c r="E71" s="317"/>
      <c r="F71" s="317"/>
      <c r="G71" s="317"/>
      <c r="H71" s="110">
        <f t="shared" si="39"/>
        <v>0</v>
      </c>
      <c r="I71" s="317"/>
      <c r="J71" s="317"/>
      <c r="K71" s="317"/>
      <c r="L71" s="317"/>
      <c r="M71" s="110">
        <f t="shared" si="40"/>
        <v>0</v>
      </c>
      <c r="N71" s="317"/>
      <c r="O71" s="317"/>
      <c r="P71" s="317"/>
      <c r="Q71" s="317"/>
      <c r="R71" s="110">
        <f t="shared" si="41"/>
        <v>0</v>
      </c>
      <c r="S71" s="317"/>
      <c r="T71" s="317"/>
      <c r="U71" s="317"/>
      <c r="V71" s="317">
        <v>-393</v>
      </c>
      <c r="W71" s="110">
        <f t="shared" si="42"/>
        <v>-393</v>
      </c>
      <c r="X71" s="317">
        <v>-282</v>
      </c>
      <c r="Y71" s="317">
        <v>-69</v>
      </c>
      <c r="Z71" s="317"/>
      <c r="AA71" s="317"/>
      <c r="AB71" s="110">
        <f t="shared" si="43"/>
        <v>-351</v>
      </c>
      <c r="AC71" s="317"/>
      <c r="AD71" s="317"/>
      <c r="AE71" s="317"/>
      <c r="AF71" s="317"/>
      <c r="AG71" s="110">
        <f t="shared" si="44"/>
        <v>0</v>
      </c>
      <c r="AH71" s="317">
        <v>-5471</v>
      </c>
      <c r="AI71" s="317">
        <v>-2505</v>
      </c>
      <c r="AJ71" s="317">
        <v>-5291</v>
      </c>
      <c r="AK71" s="317"/>
      <c r="AL71" s="110">
        <f>SUM(AH71:AK71)</f>
        <v>-13267</v>
      </c>
      <c r="AM71" s="317"/>
      <c r="AN71" s="317"/>
      <c r="AO71" s="317"/>
      <c r="AP71" s="317"/>
      <c r="AQ71" s="110">
        <f t="shared" si="46"/>
        <v>0</v>
      </c>
      <c r="AR71" s="317"/>
      <c r="AS71" s="317">
        <v>-812</v>
      </c>
      <c r="AT71" s="317"/>
      <c r="AU71" s="317"/>
      <c r="AV71" s="110">
        <f t="shared" si="47"/>
        <v>-812</v>
      </c>
      <c r="AW71" s="317"/>
      <c r="AX71" s="317"/>
      <c r="AY71" s="317"/>
      <c r="AZ71" s="317"/>
      <c r="BA71" s="110">
        <f t="shared" si="48"/>
        <v>0</v>
      </c>
    </row>
    <row r="72" spans="2:53" s="133" customFormat="1" x14ac:dyDescent="0.2">
      <c r="B72" s="159" t="s">
        <v>268</v>
      </c>
      <c r="C72" s="312"/>
      <c r="D72" s="326">
        <f t="shared" ref="D72:U72" si="49">SUM(D57:D70)</f>
        <v>111557</v>
      </c>
      <c r="E72" s="326">
        <f t="shared" si="49"/>
        <v>202431.44443999999</v>
      </c>
      <c r="F72" s="326">
        <f t="shared" si="49"/>
        <v>-116146</v>
      </c>
      <c r="G72" s="326">
        <f t="shared" si="49"/>
        <v>128440</v>
      </c>
      <c r="H72" s="184">
        <f t="shared" si="49"/>
        <v>326282.44443999999</v>
      </c>
      <c r="I72" s="326">
        <f t="shared" si="49"/>
        <v>99181.317890000006</v>
      </c>
      <c r="J72" s="326">
        <f t="shared" si="49"/>
        <v>268965</v>
      </c>
      <c r="K72" s="326">
        <f t="shared" si="49"/>
        <v>-14891</v>
      </c>
      <c r="L72" s="326">
        <f t="shared" si="49"/>
        <v>138399.68210999999</v>
      </c>
      <c r="M72" s="184">
        <f t="shared" si="49"/>
        <v>491655</v>
      </c>
      <c r="N72" s="326">
        <f t="shared" si="49"/>
        <v>136455.274</v>
      </c>
      <c r="O72" s="326">
        <f t="shared" si="49"/>
        <v>253461</v>
      </c>
      <c r="P72" s="326">
        <f t="shared" si="49"/>
        <v>-136087</v>
      </c>
      <c r="Q72" s="326">
        <f t="shared" si="49"/>
        <v>609297</v>
      </c>
      <c r="R72" s="184">
        <f t="shared" si="49"/>
        <v>863126.27399999998</v>
      </c>
      <c r="S72" s="326">
        <f t="shared" si="49"/>
        <v>37278</v>
      </c>
      <c r="T72" s="326">
        <f t="shared" si="49"/>
        <v>1599000</v>
      </c>
      <c r="U72" s="326">
        <f t="shared" si="49"/>
        <v>-280235</v>
      </c>
      <c r="V72" s="326">
        <f>SUM(V57:V71)</f>
        <v>283540</v>
      </c>
      <c r="W72" s="184">
        <f>SUM(W57:W70)</f>
        <v>1639976</v>
      </c>
      <c r="X72" s="326">
        <f>SUM(X57:X71)</f>
        <v>2104111</v>
      </c>
      <c r="Y72" s="326">
        <f>SUM(Y57:Y71)</f>
        <v>959179</v>
      </c>
      <c r="Z72" s="326">
        <f t="shared" ref="Z72:AG72" si="50">SUM(Z57:Z70)</f>
        <v>-323430</v>
      </c>
      <c r="AA72" s="326">
        <f t="shared" si="50"/>
        <v>152254</v>
      </c>
      <c r="AB72" s="184">
        <f t="shared" si="50"/>
        <v>2892465</v>
      </c>
      <c r="AC72" s="326">
        <f t="shared" si="50"/>
        <v>-2154</v>
      </c>
      <c r="AD72" s="326">
        <f t="shared" si="50"/>
        <v>389026</v>
      </c>
      <c r="AE72" s="326">
        <f t="shared" ref="AE72" si="51">SUM(AE57:AE70)</f>
        <v>-347162</v>
      </c>
      <c r="AF72" s="326">
        <f t="shared" si="50"/>
        <v>195400</v>
      </c>
      <c r="AG72" s="184">
        <f t="shared" si="50"/>
        <v>235110</v>
      </c>
      <c r="AH72" s="326">
        <f>SUM(AH57:AH71)</f>
        <v>-111909</v>
      </c>
      <c r="AI72" s="326">
        <f>SUM(AI57:AI71)</f>
        <v>190720</v>
      </c>
      <c r="AJ72" s="326">
        <f>SUM(AJ56:AJ71)</f>
        <v>-801215</v>
      </c>
      <c r="AK72" s="326">
        <f>SUM(AK56:AK70)</f>
        <v>-20195</v>
      </c>
      <c r="AL72" s="636">
        <f t="shared" ref="AL72:AQ72" si="52">SUM(AL56:AL71)</f>
        <v>-742599</v>
      </c>
      <c r="AM72" s="326">
        <f>SUM(AM57:AM71)</f>
        <v>-105153</v>
      </c>
      <c r="AN72" s="326">
        <f>SUM(AN56:AN71)</f>
        <v>537631</v>
      </c>
      <c r="AO72" s="326">
        <f>SUM(AO56:AO71)</f>
        <v>-105573</v>
      </c>
      <c r="AP72" s="790">
        <f>SUM(AP56:AP70)</f>
        <v>339617</v>
      </c>
      <c r="AQ72" s="636">
        <f t="shared" si="52"/>
        <v>666522</v>
      </c>
      <c r="AR72" s="326">
        <f>SUM(AR57:AR71)</f>
        <v>1100</v>
      </c>
      <c r="AS72" s="326">
        <f>SUM(AS56:AS71)</f>
        <v>-113016</v>
      </c>
      <c r="AT72" s="790">
        <f t="shared" ref="AT72:AV72" si="53">SUM(AT56:AT71)</f>
        <v>0</v>
      </c>
      <c r="AU72" s="790">
        <f t="shared" si="53"/>
        <v>0</v>
      </c>
      <c r="AV72" s="791">
        <f t="shared" si="53"/>
        <v>-111916</v>
      </c>
      <c r="AW72" s="790">
        <f t="shared" ref="AW72:BA72" si="54">SUM(AW56:AW71)</f>
        <v>0</v>
      </c>
      <c r="AX72" s="790">
        <f t="shared" si="54"/>
        <v>0</v>
      </c>
      <c r="AY72" s="790">
        <f t="shared" si="54"/>
        <v>0</v>
      </c>
      <c r="AZ72" s="790">
        <f t="shared" si="54"/>
        <v>0</v>
      </c>
      <c r="BA72" s="791">
        <f t="shared" si="54"/>
        <v>0</v>
      </c>
    </row>
    <row r="73" spans="2:53" s="133" customFormat="1" x14ac:dyDescent="0.2">
      <c r="B73" s="159"/>
      <c r="C73" s="312"/>
      <c r="D73" s="326"/>
      <c r="E73" s="326"/>
      <c r="F73" s="326"/>
      <c r="G73" s="326"/>
      <c r="H73" s="184"/>
      <c r="I73" s="326"/>
      <c r="J73" s="326"/>
      <c r="K73" s="326"/>
      <c r="L73" s="326"/>
      <c r="M73" s="184"/>
      <c r="N73" s="326"/>
      <c r="O73" s="326"/>
      <c r="P73" s="326"/>
      <c r="Q73" s="326"/>
      <c r="R73" s="184"/>
      <c r="S73" s="326"/>
      <c r="T73" s="326"/>
      <c r="U73" s="326"/>
      <c r="V73" s="326"/>
      <c r="W73" s="184"/>
      <c r="X73" s="326"/>
      <c r="Y73" s="326"/>
      <c r="Z73" s="326"/>
      <c r="AA73" s="326"/>
      <c r="AB73" s="184"/>
      <c r="AC73" s="326"/>
      <c r="AD73" s="326"/>
      <c r="AE73" s="326"/>
      <c r="AF73" s="326"/>
      <c r="AG73" s="184"/>
      <c r="AH73" s="326"/>
      <c r="AI73" s="326"/>
      <c r="AJ73" s="326"/>
      <c r="AK73" s="326"/>
      <c r="AL73" s="184"/>
      <c r="AM73" s="326"/>
      <c r="AN73" s="326"/>
      <c r="AO73" s="326"/>
      <c r="AP73" s="326"/>
      <c r="AQ73" s="184"/>
      <c r="AR73" s="326"/>
      <c r="AS73" s="326"/>
      <c r="AT73" s="326"/>
      <c r="AU73" s="326"/>
      <c r="AV73" s="184"/>
      <c r="AW73" s="326"/>
      <c r="AX73" s="326"/>
      <c r="AY73" s="326"/>
      <c r="AZ73" s="326"/>
      <c r="BA73" s="184"/>
    </row>
    <row r="74" spans="2:53" x14ac:dyDescent="0.2">
      <c r="B74" s="138" t="s">
        <v>313</v>
      </c>
      <c r="C74" s="126"/>
      <c r="D74" s="317"/>
      <c r="E74" s="317"/>
      <c r="F74" s="317"/>
      <c r="G74" s="317"/>
      <c r="H74" s="110"/>
      <c r="I74" s="317"/>
      <c r="J74" s="317"/>
      <c r="K74" s="317"/>
      <c r="L74" s="317"/>
      <c r="M74" s="110"/>
      <c r="N74" s="317"/>
      <c r="O74" s="317"/>
      <c r="P74" s="317"/>
      <c r="Q74" s="317"/>
      <c r="R74" s="110"/>
      <c r="S74" s="317"/>
      <c r="T74" s="317"/>
      <c r="U74" s="317"/>
      <c r="V74" s="317"/>
      <c r="W74" s="110"/>
      <c r="X74" s="317"/>
      <c r="Y74" s="317"/>
      <c r="Z74" s="317"/>
      <c r="AA74" s="317">
        <v>-149</v>
      </c>
      <c r="AB74" s="110">
        <f>SUM(X74:AA74)</f>
        <v>-149</v>
      </c>
      <c r="AC74" s="317">
        <v>-277</v>
      </c>
      <c r="AD74" s="317">
        <v>459</v>
      </c>
      <c r="AE74" s="317">
        <v>-170</v>
      </c>
      <c r="AF74" s="317">
        <v>-51</v>
      </c>
      <c r="AG74" s="110">
        <f>SUM(AC74:AF74)</f>
        <v>-39</v>
      </c>
      <c r="AH74" s="317">
        <v>-180</v>
      </c>
      <c r="AI74" s="317">
        <v>173</v>
      </c>
      <c r="AJ74" s="317">
        <v>-390</v>
      </c>
      <c r="AK74" s="317">
        <v>157</v>
      </c>
      <c r="AL74" s="110">
        <f>SUM(AH74:AK74)</f>
        <v>-240</v>
      </c>
      <c r="AM74" s="317">
        <v>-127</v>
      </c>
      <c r="AN74" s="317">
        <v>-645</v>
      </c>
      <c r="AO74" s="317">
        <v>591</v>
      </c>
      <c r="AP74" s="317">
        <v>-109</v>
      </c>
      <c r="AQ74" s="110">
        <f>SUM(AM74:AP74)</f>
        <v>-290</v>
      </c>
      <c r="AR74" s="317">
        <v>75</v>
      </c>
      <c r="AS74" s="317">
        <v>-2</v>
      </c>
      <c r="AT74" s="317"/>
      <c r="AU74" s="317"/>
      <c r="AV74" s="110">
        <f>SUM(AR74:AU74)</f>
        <v>73</v>
      </c>
      <c r="AW74" s="317"/>
      <c r="AX74" s="317"/>
      <c r="AY74" s="317"/>
      <c r="AZ74" s="317"/>
      <c r="BA74" s="110">
        <f>SUM(AW74:AZ74)</f>
        <v>0</v>
      </c>
    </row>
    <row r="75" spans="2:53" ht="13.5" thickBot="1" x14ac:dyDescent="0.25">
      <c r="B75" s="224"/>
      <c r="C75" s="225"/>
      <c r="D75" s="317"/>
      <c r="E75" s="317"/>
      <c r="F75" s="317"/>
      <c r="G75" s="317"/>
      <c r="H75" s="327"/>
      <c r="I75" s="317"/>
      <c r="J75" s="317"/>
      <c r="K75" s="317"/>
      <c r="L75" s="317"/>
      <c r="M75" s="327"/>
      <c r="N75" s="317"/>
      <c r="O75" s="317"/>
      <c r="P75" s="317"/>
      <c r="Q75" s="317"/>
      <c r="R75" s="327"/>
      <c r="S75" s="317"/>
      <c r="T75" s="317"/>
      <c r="U75" s="317"/>
      <c r="V75" s="317"/>
      <c r="W75" s="327"/>
      <c r="X75" s="317"/>
      <c r="Y75" s="317"/>
      <c r="Z75" s="317"/>
      <c r="AA75" s="317"/>
      <c r="AB75" s="327"/>
      <c r="AC75" s="317"/>
      <c r="AD75" s="317"/>
      <c r="AE75" s="317"/>
      <c r="AF75" s="317"/>
      <c r="AG75" s="327"/>
      <c r="AH75" s="317"/>
      <c r="AI75" s="317"/>
      <c r="AJ75" s="317"/>
      <c r="AK75" s="317"/>
      <c r="AL75" s="327"/>
      <c r="AM75" s="317"/>
      <c r="AN75" s="317"/>
      <c r="AO75" s="317"/>
      <c r="AP75" s="317"/>
      <c r="AQ75" s="327"/>
      <c r="AR75" s="317"/>
      <c r="AS75" s="317"/>
      <c r="AT75" s="317"/>
      <c r="AU75" s="317"/>
      <c r="AV75" s="327"/>
      <c r="AW75" s="317"/>
      <c r="AX75" s="317"/>
      <c r="AY75" s="317"/>
      <c r="AZ75" s="317"/>
      <c r="BA75" s="327"/>
    </row>
    <row r="76" spans="2:53" ht="13.5" thickBot="1" x14ac:dyDescent="0.25">
      <c r="B76" s="190" t="s">
        <v>269</v>
      </c>
      <c r="C76" s="328"/>
      <c r="D76" s="193">
        <f t="shared" ref="D76:W76" si="55">D33+D50+D72</f>
        <v>49437.266250000001</v>
      </c>
      <c r="E76" s="193">
        <f t="shared" si="55"/>
        <v>-32716.215660000016</v>
      </c>
      <c r="F76" s="193">
        <f t="shared" si="55"/>
        <v>-33973.703229999999</v>
      </c>
      <c r="G76" s="193">
        <f t="shared" si="55"/>
        <v>-241.58222999999998</v>
      </c>
      <c r="H76" s="329">
        <f t="shared" si="55"/>
        <v>-17494.234869999986</v>
      </c>
      <c r="I76" s="193">
        <f t="shared" si="55"/>
        <v>-7092.9834799999953</v>
      </c>
      <c r="J76" s="193">
        <f t="shared" si="55"/>
        <v>68826.171860000002</v>
      </c>
      <c r="K76" s="193">
        <f t="shared" si="55"/>
        <v>16594.408040000002</v>
      </c>
      <c r="L76" s="193">
        <f t="shared" si="55"/>
        <v>-10423.420499999978</v>
      </c>
      <c r="M76" s="329">
        <f t="shared" si="55"/>
        <v>67904.175920000009</v>
      </c>
      <c r="N76" s="193">
        <f t="shared" si="55"/>
        <v>-4057.0064999999886</v>
      </c>
      <c r="O76" s="193">
        <f t="shared" si="55"/>
        <v>228645</v>
      </c>
      <c r="P76" s="193">
        <f t="shared" si="55"/>
        <v>-86309</v>
      </c>
      <c r="Q76" s="193">
        <f t="shared" si="55"/>
        <v>580579</v>
      </c>
      <c r="R76" s="329">
        <f t="shared" si="55"/>
        <v>718857.99349999998</v>
      </c>
      <c r="S76" s="193">
        <f t="shared" si="55"/>
        <v>-38335</v>
      </c>
      <c r="T76" s="193">
        <f t="shared" si="55"/>
        <v>1483675</v>
      </c>
      <c r="U76" s="193">
        <f t="shared" si="55"/>
        <v>-665733</v>
      </c>
      <c r="V76" s="193">
        <f t="shared" si="55"/>
        <v>-562372</v>
      </c>
      <c r="W76" s="329">
        <f t="shared" si="55"/>
        <v>217628</v>
      </c>
      <c r="X76" s="193">
        <f t="shared" ref="X76:AS76" si="56">X33+X50+X72+X74</f>
        <v>1629105</v>
      </c>
      <c r="Y76" s="193">
        <f t="shared" si="56"/>
        <v>430810</v>
      </c>
      <c r="Z76" s="193">
        <f t="shared" si="56"/>
        <v>-403571</v>
      </c>
      <c r="AA76" s="193">
        <f t="shared" si="56"/>
        <v>76679</v>
      </c>
      <c r="AB76" s="329">
        <f t="shared" si="56"/>
        <v>1735320</v>
      </c>
      <c r="AC76" s="193">
        <f t="shared" si="56"/>
        <v>-117594</v>
      </c>
      <c r="AD76" s="193">
        <f t="shared" si="56"/>
        <v>483492</v>
      </c>
      <c r="AE76" s="193">
        <f t="shared" si="56"/>
        <v>-338686</v>
      </c>
      <c r="AF76" s="193">
        <f t="shared" si="56"/>
        <v>654913</v>
      </c>
      <c r="AG76" s="329">
        <f t="shared" si="56"/>
        <v>682125</v>
      </c>
      <c r="AH76" s="193">
        <f t="shared" si="56"/>
        <v>243346</v>
      </c>
      <c r="AI76" s="193">
        <f t="shared" si="56"/>
        <v>220394</v>
      </c>
      <c r="AJ76" s="193">
        <f t="shared" si="56"/>
        <v>-1352777</v>
      </c>
      <c r="AK76" s="193">
        <f t="shared" ref="AK76" si="57">AK33+AK50+AK72+AK74</f>
        <v>15596</v>
      </c>
      <c r="AL76" s="329">
        <f t="shared" si="56"/>
        <v>-873441</v>
      </c>
      <c r="AM76" s="193">
        <f t="shared" ref="AM76:AP76" si="58">AM33+AM50+AM72+AM74</f>
        <v>-156236</v>
      </c>
      <c r="AN76" s="193">
        <f t="shared" si="58"/>
        <v>625544</v>
      </c>
      <c r="AO76" s="193">
        <f t="shared" si="58"/>
        <v>-649557</v>
      </c>
      <c r="AP76" s="193">
        <f t="shared" si="58"/>
        <v>379734</v>
      </c>
      <c r="AQ76" s="329">
        <f t="shared" si="56"/>
        <v>199485</v>
      </c>
      <c r="AR76" s="193">
        <f t="shared" si="56"/>
        <v>-10691</v>
      </c>
      <c r="AS76" s="193">
        <f t="shared" si="56"/>
        <v>128873</v>
      </c>
      <c r="AT76" s="193">
        <f t="shared" ref="AT76:AV76" si="59">AT33+AT50+AT72+AT74</f>
        <v>-28172.671621062276</v>
      </c>
      <c r="AU76" s="193">
        <f t="shared" si="59"/>
        <v>92215.992200544235</v>
      </c>
      <c r="AV76" s="329">
        <f t="shared" si="59"/>
        <v>182225.32057948201</v>
      </c>
      <c r="AW76" s="193">
        <f t="shared" ref="AW76:BA76" si="60">AW33+AW50+AW72+AW74</f>
        <v>59457.845801242263</v>
      </c>
      <c r="AX76" s="193">
        <f t="shared" si="60"/>
        <v>91449.571559431191</v>
      </c>
      <c r="AY76" s="193">
        <f t="shared" si="60"/>
        <v>75073.37104591768</v>
      </c>
      <c r="AZ76" s="193">
        <f t="shared" si="60"/>
        <v>100823.89802299188</v>
      </c>
      <c r="BA76" s="329">
        <f t="shared" si="60"/>
        <v>326804.68642958306</v>
      </c>
    </row>
    <row r="77" spans="2:53" x14ac:dyDescent="0.2">
      <c r="B77" s="219"/>
      <c r="C77" s="220"/>
      <c r="D77" s="28"/>
      <c r="E77" s="28"/>
      <c r="F77" s="28"/>
      <c r="G77" s="28"/>
      <c r="H77" s="310"/>
      <c r="I77" s="28"/>
      <c r="J77" s="28"/>
      <c r="K77" s="28"/>
      <c r="L77" s="28"/>
      <c r="M77" s="310"/>
      <c r="N77" s="28"/>
      <c r="O77" s="28"/>
      <c r="P77" s="28"/>
      <c r="Q77" s="28"/>
      <c r="R77" s="310"/>
      <c r="S77" s="28"/>
      <c r="T77" s="28"/>
      <c r="U77" s="28"/>
      <c r="V77" s="28"/>
      <c r="W77" s="310"/>
      <c r="X77" s="28"/>
      <c r="Y77" s="28"/>
      <c r="Z77" s="28"/>
      <c r="AA77" s="28"/>
      <c r="AB77" s="310"/>
      <c r="AC77" s="28"/>
      <c r="AD77" s="28"/>
      <c r="AE77" s="28"/>
      <c r="AF77" s="28"/>
      <c r="AG77" s="310"/>
      <c r="AH77" s="28"/>
      <c r="AI77" s="28"/>
      <c r="AJ77" s="28"/>
      <c r="AK77" s="28"/>
      <c r="AL77" s="310"/>
      <c r="AM77" s="28"/>
      <c r="AN77" s="28"/>
      <c r="AO77" s="28"/>
      <c r="AP77" s="28"/>
      <c r="AQ77" s="310"/>
      <c r="AR77" s="28"/>
      <c r="AS77" s="28"/>
      <c r="AT77" s="28"/>
      <c r="AU77" s="28"/>
      <c r="AV77" s="310"/>
      <c r="AW77" s="28"/>
      <c r="AX77" s="28"/>
      <c r="AY77" s="28"/>
      <c r="AZ77" s="28"/>
      <c r="BA77" s="310"/>
    </row>
    <row r="78" spans="2:53" x14ac:dyDescent="0.2">
      <c r="B78" s="138" t="s">
        <v>270</v>
      </c>
      <c r="C78" s="126"/>
      <c r="D78" s="109">
        <v>39896</v>
      </c>
      <c r="E78" s="142">
        <f>D79</f>
        <v>89333.266250000001</v>
      </c>
      <c r="F78" s="142">
        <f>E79</f>
        <v>56617.050589999984</v>
      </c>
      <c r="G78" s="142">
        <f>F79</f>
        <v>22643.347359999985</v>
      </c>
      <c r="H78" s="110">
        <f>D78</f>
        <v>39896</v>
      </c>
      <c r="I78" s="109">
        <f>G79</f>
        <v>22401.765129999985</v>
      </c>
      <c r="J78" s="142">
        <f>I79</f>
        <v>15308.78164999999</v>
      </c>
      <c r="K78" s="142">
        <f>J79</f>
        <v>84134.953509999992</v>
      </c>
      <c r="L78" s="142">
        <f>K79</f>
        <v>100729.36155</v>
      </c>
      <c r="M78" s="110">
        <f>H79</f>
        <v>22401.765130000014</v>
      </c>
      <c r="N78" s="109">
        <f>L79</f>
        <v>90305.941050000023</v>
      </c>
      <c r="O78" s="142">
        <f>N79</f>
        <v>86248.934550000035</v>
      </c>
      <c r="P78" s="142">
        <f>O79</f>
        <v>314893.93455000001</v>
      </c>
      <c r="Q78" s="142">
        <f>P79</f>
        <v>228584.93455000001</v>
      </c>
      <c r="R78" s="110">
        <f>M79</f>
        <v>90305.941050000023</v>
      </c>
      <c r="S78" s="109">
        <f>Q79</f>
        <v>1592377</v>
      </c>
      <c r="T78" s="142">
        <f>S79</f>
        <v>1554042</v>
      </c>
      <c r="U78" s="142">
        <f>T79</f>
        <v>3037717</v>
      </c>
      <c r="V78" s="142">
        <f>U79</f>
        <v>2371984</v>
      </c>
      <c r="W78" s="110">
        <f>R79</f>
        <v>1592377</v>
      </c>
      <c r="X78" s="109">
        <f>V79</f>
        <v>1809612</v>
      </c>
      <c r="Y78" s="142">
        <f>X79</f>
        <v>3438717</v>
      </c>
      <c r="Z78" s="142">
        <f>Y79</f>
        <v>3869527</v>
      </c>
      <c r="AA78" s="142">
        <f>Z79</f>
        <v>3465956</v>
      </c>
      <c r="AB78" s="110">
        <f>W79</f>
        <v>1810005</v>
      </c>
      <c r="AC78" s="109">
        <f>AA79</f>
        <v>3542715</v>
      </c>
      <c r="AD78" s="142">
        <f>AC79</f>
        <v>3425121</v>
      </c>
      <c r="AE78" s="142">
        <f>AD79</f>
        <v>3908613</v>
      </c>
      <c r="AF78" s="142">
        <f>AE79</f>
        <v>3569927</v>
      </c>
      <c r="AG78" s="110">
        <f>AB79</f>
        <v>3542715</v>
      </c>
      <c r="AH78" s="109">
        <f>AF79</f>
        <v>4224840</v>
      </c>
      <c r="AI78" s="142">
        <f>AH79</f>
        <v>4468186</v>
      </c>
      <c r="AJ78" s="142">
        <f>AI79</f>
        <v>4688580</v>
      </c>
      <c r="AK78" s="142">
        <f>AJ79</f>
        <v>3335803</v>
      </c>
      <c r="AL78" s="110">
        <f>AG79</f>
        <v>4224840</v>
      </c>
      <c r="AM78" s="109">
        <f>AK79</f>
        <v>3351399</v>
      </c>
      <c r="AN78" s="142">
        <f>AM79</f>
        <v>3195163</v>
      </c>
      <c r="AO78" s="142">
        <f>AN79</f>
        <v>3820707</v>
      </c>
      <c r="AP78" s="142">
        <f>AO79</f>
        <v>3171150</v>
      </c>
      <c r="AQ78" s="110">
        <f>AL79</f>
        <v>3351399</v>
      </c>
      <c r="AR78" s="109">
        <f>AP79</f>
        <v>3550884</v>
      </c>
      <c r="AS78" s="142">
        <f>AR79</f>
        <v>3540193</v>
      </c>
      <c r="AT78" s="142">
        <f>AS79</f>
        <v>3669066</v>
      </c>
      <c r="AU78" s="142">
        <f>AT79</f>
        <v>3640893.3283789377</v>
      </c>
      <c r="AV78" s="110">
        <f>AQ79</f>
        <v>3550884</v>
      </c>
      <c r="AW78" s="109">
        <f>AU79</f>
        <v>3733109.3205794818</v>
      </c>
      <c r="AX78" s="142">
        <f>AW79</f>
        <v>3792567.1663807239</v>
      </c>
      <c r="AY78" s="142">
        <f>AX79</f>
        <v>3884016.737940155</v>
      </c>
      <c r="AZ78" s="142">
        <f>AY79</f>
        <v>3959090.1089860727</v>
      </c>
      <c r="BA78" s="110">
        <f>AV79</f>
        <v>3733109.3205794822</v>
      </c>
    </row>
    <row r="79" spans="2:53" ht="13.5" thickBot="1" x14ac:dyDescent="0.25">
      <c r="B79" s="224" t="s">
        <v>271</v>
      </c>
      <c r="C79" s="225"/>
      <c r="D79" s="147">
        <f t="shared" ref="D79:AG79" si="61">D76+D78</f>
        <v>89333.266250000001</v>
      </c>
      <c r="E79" s="147">
        <f t="shared" si="61"/>
        <v>56617.050589999984</v>
      </c>
      <c r="F79" s="147">
        <f t="shared" si="61"/>
        <v>22643.347359999985</v>
      </c>
      <c r="G79" s="147">
        <f t="shared" si="61"/>
        <v>22401.765129999985</v>
      </c>
      <c r="H79" s="194">
        <f t="shared" si="61"/>
        <v>22401.765130000014</v>
      </c>
      <c r="I79" s="147">
        <f t="shared" si="61"/>
        <v>15308.78164999999</v>
      </c>
      <c r="J79" s="147">
        <f t="shared" si="61"/>
        <v>84134.953509999992</v>
      </c>
      <c r="K79" s="147">
        <f t="shared" si="61"/>
        <v>100729.36155</v>
      </c>
      <c r="L79" s="147">
        <f t="shared" si="61"/>
        <v>90305.941050000023</v>
      </c>
      <c r="M79" s="194">
        <f t="shared" si="61"/>
        <v>90305.941050000023</v>
      </c>
      <c r="N79" s="147">
        <f t="shared" si="61"/>
        <v>86248.934550000035</v>
      </c>
      <c r="O79" s="147">
        <f t="shared" si="61"/>
        <v>314893.93455000001</v>
      </c>
      <c r="P79" s="147">
        <f t="shared" si="61"/>
        <v>228584.93455000001</v>
      </c>
      <c r="Q79" s="147">
        <v>1592377</v>
      </c>
      <c r="R79" s="194">
        <v>1592377</v>
      </c>
      <c r="S79" s="147">
        <f t="shared" si="61"/>
        <v>1554042</v>
      </c>
      <c r="T79" s="147">
        <f t="shared" si="61"/>
        <v>3037717</v>
      </c>
      <c r="U79" s="147">
        <f t="shared" si="61"/>
        <v>2371984</v>
      </c>
      <c r="V79" s="147">
        <f t="shared" si="61"/>
        <v>1809612</v>
      </c>
      <c r="W79" s="194">
        <f t="shared" si="61"/>
        <v>1810005</v>
      </c>
      <c r="X79" s="147">
        <f t="shared" si="61"/>
        <v>3438717</v>
      </c>
      <c r="Y79" s="147">
        <f t="shared" si="61"/>
        <v>3869527</v>
      </c>
      <c r="Z79" s="147">
        <f t="shared" si="61"/>
        <v>3465956</v>
      </c>
      <c r="AA79" s="147">
        <v>3542715</v>
      </c>
      <c r="AB79" s="194">
        <v>3542715</v>
      </c>
      <c r="AC79" s="147">
        <f t="shared" si="61"/>
        <v>3425121</v>
      </c>
      <c r="AD79" s="147">
        <f t="shared" si="61"/>
        <v>3908613</v>
      </c>
      <c r="AE79" s="147">
        <f t="shared" ref="AE79" si="62">AE76+AE78</f>
        <v>3569927</v>
      </c>
      <c r="AF79" s="147">
        <f t="shared" si="61"/>
        <v>4224840</v>
      </c>
      <c r="AG79" s="194">
        <f t="shared" si="61"/>
        <v>4224840</v>
      </c>
      <c r="AH79" s="147">
        <f t="shared" ref="AH79:AL79" si="63">AH76+AH78</f>
        <v>4468186</v>
      </c>
      <c r="AI79" s="147">
        <f t="shared" si="63"/>
        <v>4688580</v>
      </c>
      <c r="AJ79" s="147">
        <f t="shared" si="63"/>
        <v>3335803</v>
      </c>
      <c r="AK79" s="147">
        <f t="shared" si="63"/>
        <v>3351399</v>
      </c>
      <c r="AL79" s="194">
        <f t="shared" si="63"/>
        <v>3351399</v>
      </c>
      <c r="AM79" s="147">
        <f t="shared" ref="AM79:AP79" si="64">AM76+AM78</f>
        <v>3195163</v>
      </c>
      <c r="AN79" s="147">
        <f t="shared" si="64"/>
        <v>3820707</v>
      </c>
      <c r="AO79" s="147">
        <f t="shared" si="64"/>
        <v>3171150</v>
      </c>
      <c r="AP79" s="147">
        <f t="shared" si="64"/>
        <v>3550884</v>
      </c>
      <c r="AQ79" s="194">
        <f t="shared" ref="AQ79:AS79" si="65">AQ76+AQ78</f>
        <v>3550884</v>
      </c>
      <c r="AR79" s="147">
        <f t="shared" si="65"/>
        <v>3540193</v>
      </c>
      <c r="AS79" s="147">
        <f t="shared" si="65"/>
        <v>3669066</v>
      </c>
      <c r="AT79" s="147">
        <f t="shared" ref="AT79:AV79" si="66">AT76+AT78</f>
        <v>3640893.3283789377</v>
      </c>
      <c r="AU79" s="147">
        <f t="shared" si="66"/>
        <v>3733109.3205794818</v>
      </c>
      <c r="AV79" s="194">
        <f t="shared" si="66"/>
        <v>3733109.3205794822</v>
      </c>
      <c r="AW79" s="147">
        <f t="shared" ref="AW79:BA79" si="67">AW76+AW78</f>
        <v>3792567.1663807239</v>
      </c>
      <c r="AX79" s="147">
        <f t="shared" si="67"/>
        <v>3884016.737940155</v>
      </c>
      <c r="AY79" s="147">
        <f t="shared" si="67"/>
        <v>3959090.1089860727</v>
      </c>
      <c r="AZ79" s="147">
        <f t="shared" si="67"/>
        <v>4059914.0070090648</v>
      </c>
      <c r="BA79" s="194">
        <f t="shared" si="67"/>
        <v>4059914.0070090652</v>
      </c>
    </row>
    <row r="80" spans="2:53" x14ac:dyDescent="0.2">
      <c r="B80" s="245" t="s">
        <v>128</v>
      </c>
      <c r="C80" s="215"/>
      <c r="H80" s="246"/>
      <c r="W80" s="246"/>
      <c r="AB80" s="246"/>
      <c r="AE80" s="142"/>
      <c r="AG80" s="246" t="s">
        <v>129</v>
      </c>
    </row>
    <row r="81" spans="2:52" x14ac:dyDescent="0.2">
      <c r="B81" s="245" t="s">
        <v>130</v>
      </c>
      <c r="C81" s="215"/>
      <c r="D81" s="330"/>
      <c r="E81" s="330"/>
      <c r="F81" s="330"/>
      <c r="G81" s="330"/>
      <c r="H81" s="330"/>
      <c r="I81" s="330"/>
      <c r="J81" s="330"/>
      <c r="K81" s="330"/>
      <c r="L81" s="330"/>
      <c r="M81" s="330"/>
      <c r="AE81" s="142"/>
    </row>
    <row r="82" spans="2:52" s="331" customFormat="1" x14ac:dyDescent="0.2"/>
    <row r="83" spans="2:52" x14ac:dyDescent="0.2">
      <c r="C83" s="332" t="s">
        <v>272</v>
      </c>
      <c r="D83" s="333">
        <f>D11/BS!D$16</f>
        <v>0.1220235299214061</v>
      </c>
      <c r="E83" s="333">
        <f>E11/BS!E$16</f>
        <v>0.11319505736981465</v>
      </c>
      <c r="F83" s="333">
        <f>F11/BS!F$16</f>
        <v>0.14261377464103189</v>
      </c>
      <c r="G83" s="333">
        <f>G11/BS!G$16</f>
        <v>0.11667273743163066</v>
      </c>
      <c r="H83" s="333"/>
      <c r="I83" s="333">
        <f>I11/BS!I$16</f>
        <v>0.12114014251781473</v>
      </c>
      <c r="J83" s="333">
        <f>J11/BS!J$16</f>
        <v>0.12527445338104715</v>
      </c>
      <c r="K83" s="333">
        <f>K11/BS!K$16</f>
        <v>0.12722714634974291</v>
      </c>
      <c r="L83" s="333">
        <f>L11/BS!L$16</f>
        <v>0.11210168173432995</v>
      </c>
      <c r="N83" s="333">
        <f>N11/BS!N$16</f>
        <v>0.12947774053124544</v>
      </c>
      <c r="O83" s="333">
        <f>O11/BS!O$16</f>
        <v>0.14911463187325255</v>
      </c>
      <c r="P83" s="333">
        <f>P11/BS!P$16</f>
        <v>8.9307461232442958E-2</v>
      </c>
      <c r="Q83" s="333">
        <f>Q11/BS!Q$16</f>
        <v>7.5869032165007927E-2</v>
      </c>
      <c r="S83" s="333">
        <f>S11/BS!S$16</f>
        <v>4.2562992307337968E-2</v>
      </c>
      <c r="T83" s="333">
        <f>T11/BS!T$16</f>
        <v>3.2676959309171791E-2</v>
      </c>
      <c r="U83" s="333">
        <f>U11/BS!U$16</f>
        <v>4.8078134845620665E-2</v>
      </c>
      <c r="V83" s="333">
        <f>V11/BS!V$16</f>
        <v>3.8873665698744425E-2</v>
      </c>
      <c r="X83" s="333">
        <f>X11/BS!X$16</f>
        <v>4.6693520003128541E-2</v>
      </c>
      <c r="Y83" s="333">
        <f>Y11/BS!Y$16</f>
        <v>5.0008540357935893E-2</v>
      </c>
      <c r="Z83" s="333">
        <f>Z11/BS!Z$16</f>
        <v>6.0004879971470935E-2</v>
      </c>
      <c r="AA83" s="333">
        <f>AA11/BS!AA$16</f>
        <v>4.3169255067122929E-2</v>
      </c>
      <c r="AC83" s="333">
        <f>AC11/BS!AC$16</f>
        <v>4.1047964530431275E-2</v>
      </c>
      <c r="AD83" s="333">
        <f>AD11/BS!AD$16</f>
        <v>3.6536327342432583E-2</v>
      </c>
      <c r="AE83" s="333">
        <f>AE11/BS!AE$16</f>
        <v>3.6480991415477955E-2</v>
      </c>
      <c r="AF83" s="333">
        <f>AF11/BS!AF$16</f>
        <v>4.1084301897896129E-2</v>
      </c>
      <c r="AH83" s="333">
        <f>AH11/BS!AH$16</f>
        <v>4.3590404952282689E-2</v>
      </c>
      <c r="AI83" s="333">
        <f>AI11/BS!AI$16</f>
        <v>3.7423334141862157E-2</v>
      </c>
      <c r="AJ83" s="333">
        <f>AJ11/BS!AJ$16</f>
        <v>3.6758304696449029E-2</v>
      </c>
      <c r="AK83" s="333">
        <f>AK11/BS!AK$16</f>
        <v>4.1699797805393374E-2</v>
      </c>
      <c r="AM83" s="333">
        <f>AM11/BS!AM$16</f>
        <v>3.5204852470671878E-2</v>
      </c>
      <c r="AN83" s="333">
        <f>AN11/BS!AN$16</f>
        <v>3.715583219536981E-2</v>
      </c>
      <c r="AO83" s="333">
        <f>AO11/BS!AO$16</f>
        <v>3.0246954796493603E-2</v>
      </c>
      <c r="AP83" s="333">
        <f>AP11/BS!AP$16</f>
        <v>2.7098644210237458E-2</v>
      </c>
      <c r="AR83" s="333">
        <f>AR11/BS!AR$16</f>
        <v>2.9769613126856238E-2</v>
      </c>
      <c r="AS83" s="333">
        <f>AS11/BS!AS$16</f>
        <v>5.9947413168750199E-2</v>
      </c>
      <c r="AT83" s="334">
        <v>0.04</v>
      </c>
      <c r="AU83" s="334">
        <v>0.04</v>
      </c>
      <c r="AW83" s="334">
        <v>0.04</v>
      </c>
      <c r="AX83" s="334">
        <v>0.04</v>
      </c>
      <c r="AY83" s="334">
        <v>0.04</v>
      </c>
      <c r="AZ83" s="334">
        <v>0.04</v>
      </c>
    </row>
  </sheetData>
  <pageMargins left="0.17" right="0.17" top="0.75" bottom="0.75" header="0.3" footer="0.3"/>
  <pageSetup scale="3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5FD3-0BC3-4AAC-AD97-04CBE0AD8217}">
  <sheetPr>
    <pageSetUpPr fitToPage="1"/>
  </sheetPr>
  <dimension ref="A1:BC157"/>
  <sheetViews>
    <sheetView showGridLines="0" tabSelected="1" workbookViewId="0">
      <pane xSplit="28" ySplit="3" topLeftCell="AC130" activePane="bottomRight" state="frozen"/>
      <selection activeCell="AM93" sqref="AM93"/>
      <selection pane="topRight" activeCell="AM93" sqref="AM93"/>
      <selection pane="bottomLeft" activeCell="AM93" sqref="AM93"/>
      <selection pane="bottomRight" activeCell="AR143" sqref="AR143:AS143"/>
    </sheetView>
  </sheetViews>
  <sheetFormatPr defaultColWidth="9.140625" defaultRowHeight="12.75" outlineLevelRow="1" outlineLevelCol="1" x14ac:dyDescent="0.2"/>
  <cols>
    <col min="1" max="1" width="3.42578125" style="652" customWidth="1"/>
    <col min="2" max="2" width="2" style="652" customWidth="1"/>
    <col min="3" max="3" width="35" style="652" customWidth="1"/>
    <col min="4" max="4" width="10.28515625" style="652" hidden="1" customWidth="1" outlineLevel="1"/>
    <col min="5" max="7" width="9.140625" style="652" hidden="1" customWidth="1" outlineLevel="1"/>
    <col min="8" max="8" width="9.140625" style="652" hidden="1" customWidth="1" collapsed="1"/>
    <col min="9" max="12" width="9.140625" style="652" hidden="1" customWidth="1" outlineLevel="1"/>
    <col min="13" max="13" width="9.140625" style="652" hidden="1" customWidth="1" collapsed="1"/>
    <col min="14" max="17" width="9.140625" style="652" hidden="1" customWidth="1" outlineLevel="1"/>
    <col min="18" max="18" width="9.140625" style="652" hidden="1" customWidth="1" collapsed="1"/>
    <col min="19" max="22" width="9.140625" style="652" hidden="1" customWidth="1" outlineLevel="1"/>
    <col min="23" max="23" width="9.140625" style="652" hidden="1" customWidth="1" collapsed="1"/>
    <col min="24" max="27" width="9.140625" style="652" hidden="1" customWidth="1" outlineLevel="1"/>
    <col min="28" max="28" width="9.140625" style="652" hidden="1" customWidth="1" collapsed="1"/>
    <col min="29" max="29" width="7.85546875" style="652" customWidth="1" outlineLevel="1"/>
    <col min="30" max="32" width="9.140625" style="652" customWidth="1" outlineLevel="1"/>
    <col min="33" max="33" width="9.140625" style="652"/>
    <col min="34" max="37" width="9.140625" style="652" customWidth="1" outlineLevel="1"/>
    <col min="38" max="38" width="9.140625" style="652"/>
    <col min="39" max="42" width="9.140625" style="652" outlineLevel="1"/>
    <col min="43" max="43" width="9.140625" style="652"/>
    <col min="44" max="47" width="9.140625" style="652" outlineLevel="1"/>
    <col min="48" max="48" width="9.140625" style="652"/>
    <col min="49" max="52" width="9.140625" style="652" outlineLevel="1"/>
    <col min="53" max="54" width="9.140625" style="652"/>
    <col min="55" max="55" width="10.28515625" style="652" bestFit="1" customWidth="1"/>
    <col min="56" max="16384" width="9.140625" style="652"/>
  </cols>
  <sheetData>
    <row r="1" spans="1:53" x14ac:dyDescent="0.2">
      <c r="A1" s="762"/>
      <c r="C1" s="762"/>
      <c r="AT1" s="762"/>
      <c r="AV1" s="673"/>
    </row>
    <row r="2" spans="1:53" ht="17.25" customHeight="1" thickBot="1" x14ac:dyDescent="0.3">
      <c r="B2" s="96" t="s">
        <v>74</v>
      </c>
      <c r="AV2" s="762"/>
    </row>
    <row r="3" spans="1:53" ht="13.5" thickBot="1" x14ac:dyDescent="0.25">
      <c r="B3" s="868" t="s">
        <v>405</v>
      </c>
      <c r="C3" s="869"/>
      <c r="D3" s="670" t="str">
        <f t="shared" ref="D3:BA3" si="0">D$104</f>
        <v>1Q18</v>
      </c>
      <c r="E3" s="670" t="str">
        <f t="shared" si="0"/>
        <v>2Q18</v>
      </c>
      <c r="F3" s="670" t="str">
        <f t="shared" si="0"/>
        <v>3Q18</v>
      </c>
      <c r="G3" s="670" t="str">
        <f t="shared" si="0"/>
        <v>4Q18</v>
      </c>
      <c r="H3" s="671">
        <f t="shared" si="0"/>
        <v>2018</v>
      </c>
      <c r="I3" s="670" t="str">
        <f t="shared" si="0"/>
        <v>1Q19</v>
      </c>
      <c r="J3" s="670" t="str">
        <f t="shared" si="0"/>
        <v>2Q19</v>
      </c>
      <c r="K3" s="670" t="str">
        <f t="shared" si="0"/>
        <v>3Q19</v>
      </c>
      <c r="L3" s="670" t="str">
        <f t="shared" si="0"/>
        <v>4Q19</v>
      </c>
      <c r="M3" s="671">
        <f t="shared" si="0"/>
        <v>2019</v>
      </c>
      <c r="N3" s="670" t="str">
        <f t="shared" si="0"/>
        <v>1Q20</v>
      </c>
      <c r="O3" s="670" t="str">
        <f t="shared" si="0"/>
        <v>2Q20</v>
      </c>
      <c r="P3" s="670" t="str">
        <f t="shared" si="0"/>
        <v>3Q20</v>
      </c>
      <c r="Q3" s="670" t="str">
        <f t="shared" si="0"/>
        <v>4Q20</v>
      </c>
      <c r="R3" s="671">
        <f t="shared" si="0"/>
        <v>2020</v>
      </c>
      <c r="S3" s="670" t="str">
        <f t="shared" si="0"/>
        <v>1Q21</v>
      </c>
      <c r="T3" s="670" t="str">
        <f t="shared" si="0"/>
        <v>2Q21</v>
      </c>
      <c r="U3" s="670" t="str">
        <f t="shared" si="0"/>
        <v>3Q21</v>
      </c>
      <c r="V3" s="670" t="str">
        <f t="shared" si="0"/>
        <v>4Q21</v>
      </c>
      <c r="W3" s="671">
        <f t="shared" si="0"/>
        <v>2021</v>
      </c>
      <c r="X3" s="670" t="str">
        <f t="shared" si="0"/>
        <v>1Q22</v>
      </c>
      <c r="Y3" s="670" t="str">
        <f t="shared" si="0"/>
        <v>2Q22</v>
      </c>
      <c r="Z3" s="670" t="str">
        <f t="shared" si="0"/>
        <v>3Q22</v>
      </c>
      <c r="AA3" s="670" t="str">
        <f t="shared" si="0"/>
        <v>4Q22</v>
      </c>
      <c r="AB3" s="671">
        <f t="shared" si="0"/>
        <v>2022</v>
      </c>
      <c r="AC3" s="670" t="str">
        <f t="shared" si="0"/>
        <v>1Q23</v>
      </c>
      <c r="AD3" s="670" t="str">
        <f t="shared" si="0"/>
        <v>2Q23</v>
      </c>
      <c r="AE3" s="670" t="str">
        <f t="shared" si="0"/>
        <v>3Q23</v>
      </c>
      <c r="AF3" s="670" t="str">
        <f t="shared" si="0"/>
        <v>4Q23</v>
      </c>
      <c r="AG3" s="671">
        <f t="shared" si="0"/>
        <v>2023</v>
      </c>
      <c r="AH3" s="670" t="str">
        <f t="shared" si="0"/>
        <v>1Q24</v>
      </c>
      <c r="AI3" s="670" t="str">
        <f t="shared" si="0"/>
        <v>2Q24</v>
      </c>
      <c r="AJ3" s="670" t="str">
        <f t="shared" si="0"/>
        <v>3Q24</v>
      </c>
      <c r="AK3" s="670" t="str">
        <f t="shared" si="0"/>
        <v>4Q24</v>
      </c>
      <c r="AL3" s="671">
        <f t="shared" si="0"/>
        <v>2024</v>
      </c>
      <c r="AM3" s="670" t="str">
        <f t="shared" si="0"/>
        <v>1Q25</v>
      </c>
      <c r="AN3" s="670" t="str">
        <f t="shared" si="0"/>
        <v>2Q25</v>
      </c>
      <c r="AO3" s="670" t="str">
        <f>AO$104</f>
        <v>3Q25</v>
      </c>
      <c r="AP3" s="670" t="str">
        <f t="shared" si="0"/>
        <v>4Q25</v>
      </c>
      <c r="AQ3" s="671">
        <f t="shared" si="0"/>
        <v>2025</v>
      </c>
      <c r="AR3" s="670" t="str">
        <f t="shared" si="0"/>
        <v>1Q26</v>
      </c>
      <c r="AS3" s="670" t="str">
        <f t="shared" si="0"/>
        <v>2Q26</v>
      </c>
      <c r="AT3" s="670" t="str">
        <f t="shared" si="0"/>
        <v>3Q26E</v>
      </c>
      <c r="AU3" s="670" t="str">
        <f t="shared" si="0"/>
        <v>4Q26E</v>
      </c>
      <c r="AV3" s="671" t="str">
        <f t="shared" si="0"/>
        <v>2026E</v>
      </c>
      <c r="AW3" s="670" t="str">
        <f t="shared" si="0"/>
        <v>1Q27E</v>
      </c>
      <c r="AX3" s="670" t="str">
        <f t="shared" si="0"/>
        <v>2Q27E</v>
      </c>
      <c r="AY3" s="670" t="str">
        <f t="shared" si="0"/>
        <v>3Q27E</v>
      </c>
      <c r="AZ3" s="670" t="str">
        <f t="shared" si="0"/>
        <v>4Q27E</v>
      </c>
      <c r="BA3" s="671" t="str">
        <f t="shared" si="0"/>
        <v>2027E</v>
      </c>
    </row>
    <row r="4" spans="1:53" s="654" customFormat="1" ht="19.5" customHeight="1" outlineLevel="1" x14ac:dyDescent="0.2">
      <c r="A4" s="654" t="s">
        <v>420</v>
      </c>
      <c r="B4" s="691" t="s">
        <v>290</v>
      </c>
      <c r="C4" s="692"/>
      <c r="D4" s="693"/>
      <c r="E4" s="693"/>
      <c r="F4" s="693"/>
      <c r="G4" s="693"/>
      <c r="H4" s="694"/>
      <c r="I4" s="693"/>
      <c r="J4" s="693"/>
      <c r="K4" s="693"/>
      <c r="L4" s="693"/>
      <c r="M4" s="694"/>
      <c r="N4" s="693"/>
      <c r="O4" s="693"/>
      <c r="P4" s="693"/>
      <c r="Q4" s="693"/>
      <c r="R4" s="694"/>
      <c r="S4" s="693"/>
      <c r="T4" s="693"/>
      <c r="U4" s="693"/>
      <c r="V4" s="693"/>
      <c r="W4" s="694"/>
      <c r="X4" s="744">
        <f>126800-23600+6200</f>
        <v>109400</v>
      </c>
      <c r="Y4" s="693">
        <v>111400</v>
      </c>
      <c r="Z4" s="693">
        <v>116700</v>
      </c>
      <c r="AA4" s="693">
        <v>121800</v>
      </c>
      <c r="AB4" s="694"/>
      <c r="AC4" s="693">
        <v>126900</v>
      </c>
      <c r="AD4" s="693">
        <v>130400</v>
      </c>
      <c r="AE4" s="693">
        <v>134100</v>
      </c>
      <c r="AF4" s="693">
        <v>139400</v>
      </c>
      <c r="AG4" s="694">
        <f>AF4</f>
        <v>139400</v>
      </c>
      <c r="AH4" s="693">
        <v>143100</v>
      </c>
      <c r="AI4" s="693">
        <v>143200</v>
      </c>
      <c r="AJ4" s="693">
        <v>146700</v>
      </c>
      <c r="AK4" s="693">
        <v>151200</v>
      </c>
      <c r="AL4" s="694">
        <f>AK4</f>
        <v>151200</v>
      </c>
      <c r="AM4" s="693">
        <v>156100</v>
      </c>
      <c r="AN4" s="693">
        <v>160600</v>
      </c>
      <c r="AO4" s="693">
        <v>164800</v>
      </c>
      <c r="AP4" s="693">
        <v>169500</v>
      </c>
      <c r="AQ4" s="694">
        <f>AP4</f>
        <v>169500</v>
      </c>
      <c r="AR4" s="693">
        <v>173500</v>
      </c>
      <c r="AS4" s="693">
        <v>177500</v>
      </c>
      <c r="AT4" s="693">
        <f>AS4+AT5</f>
        <v>181250</v>
      </c>
      <c r="AU4" s="693">
        <f>AT4+AU5</f>
        <v>185000</v>
      </c>
      <c r="AV4" s="694">
        <f>AU4</f>
        <v>185000</v>
      </c>
      <c r="AW4" s="693">
        <f>AU4+AW5</f>
        <v>188750</v>
      </c>
      <c r="AX4" s="693">
        <f>AW4+AX5</f>
        <v>192500</v>
      </c>
      <c r="AY4" s="693">
        <f>AX4+AY5</f>
        <v>196250</v>
      </c>
      <c r="AZ4" s="693">
        <f>AY4+AZ5</f>
        <v>200000</v>
      </c>
      <c r="BA4" s="694">
        <f>AZ4</f>
        <v>200000</v>
      </c>
    </row>
    <row r="5" spans="1:53" s="673" customFormat="1" outlineLevel="1" x14ac:dyDescent="0.2">
      <c r="B5" s="695"/>
      <c r="C5" s="696" t="s">
        <v>28</v>
      </c>
      <c r="D5" s="696"/>
      <c r="E5" s="696"/>
      <c r="F5" s="696"/>
      <c r="G5" s="697"/>
      <c r="H5" s="698"/>
      <c r="I5" s="696"/>
      <c r="J5" s="696"/>
      <c r="K5" s="696"/>
      <c r="L5" s="697"/>
      <c r="M5" s="698"/>
      <c r="N5" s="696"/>
      <c r="O5" s="696"/>
      <c r="P5" s="696"/>
      <c r="Q5" s="697"/>
      <c r="R5" s="698"/>
      <c r="S5" s="696"/>
      <c r="T5" s="696"/>
      <c r="U5" s="696"/>
      <c r="V5" s="697"/>
      <c r="W5" s="698"/>
      <c r="X5" s="696"/>
      <c r="Y5" s="696">
        <f>Y4-X4</f>
        <v>2000</v>
      </c>
      <c r="Z5" s="696">
        <f>Z4-Y4</f>
        <v>5300</v>
      </c>
      <c r="AA5" s="696">
        <f>AA4-Z4</f>
        <v>5100</v>
      </c>
      <c r="AB5" s="698"/>
      <c r="AC5" s="696">
        <f>AC4-AA4</f>
        <v>5100</v>
      </c>
      <c r="AD5" s="696">
        <f>AD4-AC4</f>
        <v>3500</v>
      </c>
      <c r="AE5" s="696">
        <f>AE4-AD4</f>
        <v>3700</v>
      </c>
      <c r="AF5" s="696">
        <f>AF4-AE4</f>
        <v>5300</v>
      </c>
      <c r="AG5" s="698">
        <f>SUM(AC5:AF5)</f>
        <v>17600</v>
      </c>
      <c r="AH5" s="696">
        <f>AH4-AF4</f>
        <v>3700</v>
      </c>
      <c r="AI5" s="696">
        <f>AI4-AH4</f>
        <v>100</v>
      </c>
      <c r="AJ5" s="696">
        <f>AJ4-AI4</f>
        <v>3500</v>
      </c>
      <c r="AK5" s="696">
        <f>AK4-AJ4</f>
        <v>4500</v>
      </c>
      <c r="AL5" s="698">
        <f>SUM(AH5:AK5)</f>
        <v>11800</v>
      </c>
      <c r="AM5" s="696">
        <f>AM4-AK4</f>
        <v>4900</v>
      </c>
      <c r="AN5" s="696">
        <f>AN4-AM4</f>
        <v>4500</v>
      </c>
      <c r="AO5" s="696">
        <f>AO4-AN4</f>
        <v>4200</v>
      </c>
      <c r="AP5" s="696">
        <f>AP4-AO4</f>
        <v>4700</v>
      </c>
      <c r="AQ5" s="698">
        <f>SUM(AM5:AP5)</f>
        <v>18300</v>
      </c>
      <c r="AR5" s="696">
        <f>AR4-AP4</f>
        <v>4000</v>
      </c>
      <c r="AS5" s="696">
        <f>AS4-AR4</f>
        <v>4000</v>
      </c>
      <c r="AT5" s="721">
        <v>3750</v>
      </c>
      <c r="AU5" s="721">
        <v>3750</v>
      </c>
      <c r="AV5" s="698">
        <f>SUM(AR5:AU5)</f>
        <v>15500</v>
      </c>
      <c r="AW5" s="721">
        <v>3750</v>
      </c>
      <c r="AX5" s="721">
        <v>3750</v>
      </c>
      <c r="AY5" s="721">
        <v>3750</v>
      </c>
      <c r="AZ5" s="721">
        <v>3750</v>
      </c>
      <c r="BA5" s="698">
        <f>SUM(AW5:AZ5)</f>
        <v>15000</v>
      </c>
    </row>
    <row r="6" spans="1:53" s="659" customFormat="1" outlineLevel="1" x14ac:dyDescent="0.2">
      <c r="B6" s="699"/>
      <c r="C6" s="700" t="s">
        <v>29</v>
      </c>
      <c r="D6" s="701"/>
      <c r="E6" s="701"/>
      <c r="F6" s="701"/>
      <c r="G6" s="701"/>
      <c r="H6" s="702"/>
      <c r="I6" s="701"/>
      <c r="J6" s="701"/>
      <c r="K6" s="701"/>
      <c r="L6" s="701"/>
      <c r="M6" s="702"/>
      <c r="N6" s="701"/>
      <c r="O6" s="701"/>
      <c r="P6" s="701"/>
      <c r="Q6" s="701"/>
      <c r="R6" s="702"/>
      <c r="S6" s="701"/>
      <c r="T6" s="701"/>
      <c r="U6" s="701"/>
      <c r="V6" s="701"/>
      <c r="W6" s="702"/>
      <c r="X6" s="701"/>
      <c r="Y6" s="701"/>
      <c r="Z6" s="701"/>
      <c r="AA6" s="701"/>
      <c r="AB6" s="702"/>
      <c r="AC6" s="701">
        <f t="shared" ref="AC6" si="1">AC4/X4-1</f>
        <v>0.15996343692870196</v>
      </c>
      <c r="AD6" s="701">
        <f t="shared" ref="AD6" si="2">AD4/Y4-1</f>
        <v>0.1705565529622981</v>
      </c>
      <c r="AE6" s="701">
        <f t="shared" ref="AE6" si="3">AE4/Z4-1</f>
        <v>0.14910025706940866</v>
      </c>
      <c r="AF6" s="701">
        <f t="shared" ref="AF6" si="4">AF4/AA4-1</f>
        <v>0.14449917898193765</v>
      </c>
      <c r="AG6" s="702">
        <f>AG4/AA4-1</f>
        <v>0.14449917898193765</v>
      </c>
      <c r="AH6" s="701">
        <f t="shared" ref="AH6" si="5">AH4/AC4-1</f>
        <v>0.12765957446808507</v>
      </c>
      <c r="AI6" s="701">
        <f t="shared" ref="AI6" si="6">AI4/AD4-1</f>
        <v>9.8159509202454087E-2</v>
      </c>
      <c r="AJ6" s="701">
        <f t="shared" ref="AJ6:AS6" si="7">AJ4/AE4-1</f>
        <v>9.3959731543624248E-2</v>
      </c>
      <c r="AK6" s="701">
        <f t="shared" si="7"/>
        <v>8.4648493543759029E-2</v>
      </c>
      <c r="AL6" s="702">
        <f t="shared" si="7"/>
        <v>8.4648493543759029E-2</v>
      </c>
      <c r="AM6" s="701">
        <f t="shared" si="7"/>
        <v>9.0845562543675706E-2</v>
      </c>
      <c r="AN6" s="701">
        <f t="shared" si="7"/>
        <v>0.12150837988826813</v>
      </c>
      <c r="AO6" s="701">
        <f t="shared" si="7"/>
        <v>0.12338104976141784</v>
      </c>
      <c r="AP6" s="701">
        <f t="shared" si="7"/>
        <v>0.12103174603174605</v>
      </c>
      <c r="AQ6" s="702">
        <f t="shared" ref="AQ6" si="8">AQ4/AL4-1</f>
        <v>0.12103174603174605</v>
      </c>
      <c r="AR6" s="701">
        <f t="shared" si="7"/>
        <v>0.11146700832799494</v>
      </c>
      <c r="AS6" s="701">
        <f t="shared" si="7"/>
        <v>0.10523038605230384</v>
      </c>
      <c r="AT6" s="701">
        <f t="shared" ref="AT6" si="9">AT4/AO4-1</f>
        <v>9.9817961165048485E-2</v>
      </c>
      <c r="AU6" s="701">
        <f t="shared" ref="AU6" si="10">AU4/AP4-1</f>
        <v>9.1445427728613637E-2</v>
      </c>
      <c r="AV6" s="702">
        <f t="shared" ref="AV6" si="11">AV4/AQ4-1</f>
        <v>9.1445427728613637E-2</v>
      </c>
      <c r="AW6" s="701">
        <f t="shared" ref="AW6" si="12">AW4/AR4-1</f>
        <v>8.7896253602305574E-2</v>
      </c>
      <c r="AX6" s="701">
        <f t="shared" ref="AX6" si="13">AX4/AS4-1</f>
        <v>8.4507042253521236E-2</v>
      </c>
      <c r="AY6" s="701">
        <f t="shared" ref="AY6" si="14">AY4/AT4-1</f>
        <v>8.2758620689655116E-2</v>
      </c>
      <c r="AZ6" s="701">
        <f t="shared" ref="AZ6" si="15">AZ4/AU4-1</f>
        <v>8.1081081081081141E-2</v>
      </c>
      <c r="BA6" s="702">
        <f t="shared" ref="BA6" si="16">BA4/AV4-1</f>
        <v>8.1081081081081141E-2</v>
      </c>
    </row>
    <row r="7" spans="1:53" s="659" customFormat="1" outlineLevel="1" x14ac:dyDescent="0.2">
      <c r="B7" s="699"/>
      <c r="C7" s="700" t="s">
        <v>76</v>
      </c>
      <c r="D7" s="701"/>
      <c r="E7" s="701"/>
      <c r="F7" s="701"/>
      <c r="G7" s="701"/>
      <c r="H7" s="703"/>
      <c r="I7" s="701"/>
      <c r="J7" s="701"/>
      <c r="K7" s="701"/>
      <c r="L7" s="701"/>
      <c r="M7" s="703"/>
      <c r="N7" s="701"/>
      <c r="O7" s="701"/>
      <c r="P7" s="701"/>
      <c r="Q7" s="701"/>
      <c r="R7" s="703"/>
      <c r="S7" s="701"/>
      <c r="T7" s="701"/>
      <c r="U7" s="701"/>
      <c r="V7" s="701"/>
      <c r="W7" s="703"/>
      <c r="X7" s="701"/>
      <c r="Y7" s="701">
        <f>Y4/X4-1</f>
        <v>1.8281535648994485E-2</v>
      </c>
      <c r="Z7" s="701">
        <f>Z4/Y4-1</f>
        <v>4.7576301615798844E-2</v>
      </c>
      <c r="AA7" s="701">
        <f>AA4/Z4-1</f>
        <v>4.3701799485861281E-2</v>
      </c>
      <c r="AB7" s="703"/>
      <c r="AC7" s="701">
        <f>AC4/AA4-1</f>
        <v>4.1871921182266014E-2</v>
      </c>
      <c r="AD7" s="701">
        <f>AD4/AC4-1</f>
        <v>2.7580772261623254E-2</v>
      </c>
      <c r="AE7" s="701">
        <f>AE4/AD4-1</f>
        <v>2.8374233128834359E-2</v>
      </c>
      <c r="AF7" s="701">
        <f>AF4/AE4-1</f>
        <v>3.9522744220730877E-2</v>
      </c>
      <c r="AG7" s="703"/>
      <c r="AH7" s="701">
        <f>AH4/AF4-1</f>
        <v>2.6542324246771942E-2</v>
      </c>
      <c r="AI7" s="701">
        <f>AI4/AH4-1</f>
        <v>6.9881201956678574E-4</v>
      </c>
      <c r="AJ7" s="701">
        <f>AJ4/AI4-1</f>
        <v>2.44413407821229E-2</v>
      </c>
      <c r="AK7" s="701">
        <f>AK4/AJ4-1</f>
        <v>3.0674846625766916E-2</v>
      </c>
      <c r="AL7" s="703"/>
      <c r="AM7" s="701">
        <f>AM4/AK4-1</f>
        <v>3.240740740740744E-2</v>
      </c>
      <c r="AN7" s="701">
        <f>AN4/AM4-1</f>
        <v>2.8827674567584838E-2</v>
      </c>
      <c r="AO7" s="701">
        <f>AO4/AN4-1</f>
        <v>2.6151930261519407E-2</v>
      </c>
      <c r="AP7" s="701">
        <f>AP4/AO4-1</f>
        <v>2.851941747572817E-2</v>
      </c>
      <c r="AQ7" s="703"/>
      <c r="AR7" s="701">
        <f>AR4/AP4-1</f>
        <v>2.3598820058997161E-2</v>
      </c>
      <c r="AS7" s="701">
        <f>AS4/AR4-1</f>
        <v>2.3054755043227626E-2</v>
      </c>
      <c r="AT7" s="701">
        <f>AT4/AS4-1</f>
        <v>2.1126760563380254E-2</v>
      </c>
      <c r="AU7" s="701">
        <f>AU4/AT4-1</f>
        <v>2.0689655172413834E-2</v>
      </c>
      <c r="AV7" s="703"/>
      <c r="AW7" s="701">
        <f>AW4/AU4-1</f>
        <v>2.0270270270270174E-2</v>
      </c>
      <c r="AX7" s="701">
        <f>AX4/AW4-1</f>
        <v>1.9867549668874274E-2</v>
      </c>
      <c r="AY7" s="701">
        <f>AY4/AX4-1</f>
        <v>1.9480519480519431E-2</v>
      </c>
      <c r="AZ7" s="701">
        <f>AZ4/AY4-1</f>
        <v>1.9108280254777066E-2</v>
      </c>
      <c r="BA7" s="703"/>
    </row>
    <row r="8" spans="1:53" s="677" customFormat="1" ht="19.5" customHeight="1" outlineLevel="1" x14ac:dyDescent="0.2">
      <c r="B8" s="704" t="s">
        <v>410</v>
      </c>
      <c r="C8" s="705"/>
      <c r="D8" s="705"/>
      <c r="E8" s="705"/>
      <c r="F8" s="705"/>
      <c r="G8" s="706"/>
      <c r="H8" s="707"/>
      <c r="I8" s="705"/>
      <c r="J8" s="705"/>
      <c r="K8" s="705"/>
      <c r="L8" s="706"/>
      <c r="M8" s="707"/>
      <c r="N8" s="705"/>
      <c r="O8" s="705"/>
      <c r="P8" s="705"/>
      <c r="Q8" s="706"/>
      <c r="R8" s="707"/>
      <c r="S8" s="705"/>
      <c r="T8" s="705"/>
      <c r="U8" s="705"/>
      <c r="V8" s="706"/>
      <c r="W8" s="707"/>
      <c r="X8" s="705"/>
      <c r="Y8" s="705"/>
      <c r="Z8" s="705"/>
      <c r="AA8" s="706">
        <f>AA11/AA4*1000</f>
        <v>308.70279146141218</v>
      </c>
      <c r="AB8" s="707"/>
      <c r="AC8" s="705">
        <f>AC11/AC4*1000</f>
        <v>317.57289204097714</v>
      </c>
      <c r="AD8" s="705">
        <f>AD11/AD4*1000</f>
        <v>327.45398773006133</v>
      </c>
      <c r="AE8" s="705">
        <f>AE11/AE4*1000</f>
        <v>346.01043997017149</v>
      </c>
      <c r="AF8" s="706">
        <f>AF11/AF4*1000</f>
        <v>342.89813486370156</v>
      </c>
      <c r="AG8" s="707"/>
      <c r="AH8" s="705">
        <f>AH11/AH4*1000</f>
        <v>344.51432564640112</v>
      </c>
      <c r="AI8" s="705">
        <f>AI11/AI4*1000</f>
        <v>347.06703910614522</v>
      </c>
      <c r="AJ8" s="705">
        <f>AJ11/AJ4*1000</f>
        <v>345.60327198364013</v>
      </c>
      <c r="AK8" s="706">
        <f>AK11/AK4*1000</f>
        <v>339.28571428571428</v>
      </c>
      <c r="AL8" s="707"/>
      <c r="AM8" s="705">
        <f>AM11/AM4*1000</f>
        <v>340.1665598975016</v>
      </c>
      <c r="AN8" s="705">
        <f>AN11/AN4*1000</f>
        <v>339.35242839352429</v>
      </c>
      <c r="AO8" s="705">
        <f>AO11/AO4*1000</f>
        <v>334.95145631067965</v>
      </c>
      <c r="AP8" s="706">
        <f>AP11/AP4*1000</f>
        <v>326.84365781710915</v>
      </c>
      <c r="AQ8" s="707"/>
      <c r="AR8" s="705">
        <f>AR11/AR4*1000</f>
        <v>323.34293948126805</v>
      </c>
      <c r="AS8" s="705">
        <f>AS11/AS4*1000</f>
        <v>325.07042253521126</v>
      </c>
      <c r="AT8" s="705">
        <f t="shared" ref="AT8" si="17">AO8*(1+AT9)</f>
        <v>326.57766990291265</v>
      </c>
      <c r="AU8" s="705">
        <f t="shared" ref="AU8" si="18">AP8*(1+AU9)</f>
        <v>326.84365781710915</v>
      </c>
      <c r="AV8" s="707"/>
      <c r="AW8" s="705">
        <f>AR8*(1+AW9)</f>
        <v>328.19308357348706</v>
      </c>
      <c r="AX8" s="705">
        <f t="shared" ref="AX8" si="19">AS8*(1+AX9)</f>
        <v>329.94647887323941</v>
      </c>
      <c r="AY8" s="705">
        <f t="shared" ref="AY8" si="20">AT8*(1+AY9)</f>
        <v>331.47633495145629</v>
      </c>
      <c r="AZ8" s="705">
        <f t="shared" ref="AZ8" si="21">AU8*(1+AZ9)</f>
        <v>331.74631268436576</v>
      </c>
      <c r="BA8" s="707"/>
    </row>
    <row r="9" spans="1:53" s="659" customFormat="1" outlineLevel="1" x14ac:dyDescent="0.2">
      <c r="B9" s="699"/>
      <c r="C9" s="700" t="s">
        <v>29</v>
      </c>
      <c r="D9" s="701"/>
      <c r="E9" s="701"/>
      <c r="F9" s="701"/>
      <c r="G9" s="701"/>
      <c r="H9" s="702"/>
      <c r="I9" s="701"/>
      <c r="J9" s="701"/>
      <c r="K9" s="701"/>
      <c r="L9" s="701"/>
      <c r="M9" s="702"/>
      <c r="N9" s="701"/>
      <c r="O9" s="701"/>
      <c r="P9" s="701"/>
      <c r="Q9" s="701"/>
      <c r="R9" s="702"/>
      <c r="S9" s="701"/>
      <c r="T9" s="701"/>
      <c r="U9" s="701"/>
      <c r="V9" s="701"/>
      <c r="W9" s="702"/>
      <c r="X9" s="701"/>
      <c r="Y9" s="701"/>
      <c r="Z9" s="701"/>
      <c r="AA9" s="701"/>
      <c r="AB9" s="702"/>
      <c r="AC9" s="701"/>
      <c r="AD9" s="701"/>
      <c r="AE9" s="701"/>
      <c r="AF9" s="701">
        <f>AF8/AA8-1</f>
        <v>0.11077108580848005</v>
      </c>
      <c r="AG9" s="702"/>
      <c r="AH9" s="701">
        <f>AH8/AC8-1</f>
        <v>8.4835432370429453E-2</v>
      </c>
      <c r="AI9" s="701">
        <f>AI8/AD8-1</f>
        <v>5.9895594834691757E-2</v>
      </c>
      <c r="AJ9" s="701">
        <f>AJ8/AE8-1</f>
        <v>-1.176750581764141E-3</v>
      </c>
      <c r="AK9" s="701">
        <f>AK8/AF8-1</f>
        <v>-1.0534967124925299E-2</v>
      </c>
      <c r="AL9" s="702"/>
      <c r="AM9" s="701">
        <f>AM8/AH8-1</f>
        <v>-1.2619985368509612E-2</v>
      </c>
      <c r="AN9" s="701">
        <f>AN8/AI8-1</f>
        <v>-2.2228013159905746E-2</v>
      </c>
      <c r="AO9" s="701">
        <f>AO8/AJ8-1</f>
        <v>-3.0820934106968512E-2</v>
      </c>
      <c r="AP9" s="701">
        <f>AP8/AK8-1</f>
        <v>-3.6671324328520383E-2</v>
      </c>
      <c r="AQ9" s="702"/>
      <c r="AR9" s="701">
        <f>AR8/AM8-1</f>
        <v>-4.9457008417590487E-2</v>
      </c>
      <c r="AS9" s="701">
        <f>AS8/AN8-1</f>
        <v>-4.2086057630184803E-2</v>
      </c>
      <c r="AT9" s="722">
        <v>-2.5000000000000001E-2</v>
      </c>
      <c r="AU9" s="722">
        <v>0</v>
      </c>
      <c r="AV9" s="702"/>
      <c r="AW9" s="722">
        <v>1.4999999999999999E-2</v>
      </c>
      <c r="AX9" s="722">
        <v>1.4999999999999999E-2</v>
      </c>
      <c r="AY9" s="722">
        <v>1.4999999999999999E-2</v>
      </c>
      <c r="AZ9" s="722">
        <v>1.4999999999999999E-2</v>
      </c>
      <c r="BA9" s="702"/>
    </row>
    <row r="10" spans="1:53" s="659" customFormat="1" outlineLevel="1" x14ac:dyDescent="0.2">
      <c r="B10" s="699"/>
      <c r="C10" s="700" t="s">
        <v>76</v>
      </c>
      <c r="D10" s="701"/>
      <c r="E10" s="701"/>
      <c r="F10" s="701"/>
      <c r="G10" s="701"/>
      <c r="H10" s="703"/>
      <c r="I10" s="701"/>
      <c r="J10" s="701"/>
      <c r="K10" s="701"/>
      <c r="L10" s="701"/>
      <c r="M10" s="703"/>
      <c r="N10" s="701"/>
      <c r="O10" s="701"/>
      <c r="P10" s="701"/>
      <c r="Q10" s="701"/>
      <c r="R10" s="703"/>
      <c r="S10" s="701"/>
      <c r="T10" s="701"/>
      <c r="U10" s="701"/>
      <c r="V10" s="701"/>
      <c r="W10" s="703"/>
      <c r="X10" s="701"/>
      <c r="Y10" s="701"/>
      <c r="Z10" s="701"/>
      <c r="AA10" s="701"/>
      <c r="AB10" s="703"/>
      <c r="AC10" s="701">
        <f>AC8/AA8-1</f>
        <v>2.8733464111463158E-2</v>
      </c>
      <c r="AD10" s="701">
        <f>AD8/AC8-1</f>
        <v>3.1114417939076544E-2</v>
      </c>
      <c r="AE10" s="701">
        <f>AE8/AD8-1</f>
        <v>5.6668884592748547E-2</v>
      </c>
      <c r="AF10" s="701">
        <f>AF8/AE8-1</f>
        <v>-8.9948300598624575E-3</v>
      </c>
      <c r="AG10" s="703"/>
      <c r="AH10" s="701">
        <f>AH8/AF8-1</f>
        <v>4.7133262574963197E-3</v>
      </c>
      <c r="AI10" s="701">
        <f>AI8/AH8-1</f>
        <v>7.4096003263566246E-3</v>
      </c>
      <c r="AJ10" s="701">
        <f>AJ8/AI8-1</f>
        <v>-4.2175342443204755E-3</v>
      </c>
      <c r="AK10" s="701">
        <f>AK8/AJ8-1</f>
        <v>-1.8279797125951069E-2</v>
      </c>
      <c r="AL10" s="703"/>
      <c r="AM10" s="701">
        <f>AM8/AK8-1</f>
        <v>2.5961765400046577E-3</v>
      </c>
      <c r="AN10" s="701">
        <f>AN8/AM8-1</f>
        <v>-2.3933319730858882E-3</v>
      </c>
      <c r="AO10" s="701">
        <f>AO8/AN8-1</f>
        <v>-1.2968736082657806E-2</v>
      </c>
      <c r="AP10" s="701">
        <f>AP8/AO8-1</f>
        <v>-2.4205891154717718E-2</v>
      </c>
      <c r="AQ10" s="703"/>
      <c r="AR10" s="701">
        <f>AR8/AP8-1</f>
        <v>-1.0710681550993972E-2</v>
      </c>
      <c r="AS10" s="701">
        <f>AS8/AR8-1</f>
        <v>5.3425723682558601E-3</v>
      </c>
      <c r="AT10" s="701">
        <f>AT8/AS8-1</f>
        <v>4.6366795106931313E-3</v>
      </c>
      <c r="AU10" s="701">
        <f>AU8/AT8-1</f>
        <v>8.1447061054595871E-4</v>
      </c>
      <c r="AV10" s="703"/>
      <c r="AW10" s="701">
        <f>AW8/AU8-1</f>
        <v>4.1286582257411553E-3</v>
      </c>
      <c r="AX10" s="701">
        <f>AX8/AW8-1</f>
        <v>5.3425723682556381E-3</v>
      </c>
      <c r="AY10" s="701">
        <f>AY8/AX8-1</f>
        <v>4.6366795106931313E-3</v>
      </c>
      <c r="AZ10" s="701">
        <f>AZ8/AY8-1</f>
        <v>8.1447061054595871E-4</v>
      </c>
      <c r="BA10" s="703"/>
    </row>
    <row r="11" spans="1:53" s="654" customFormat="1" ht="18.75" customHeight="1" outlineLevel="1" x14ac:dyDescent="0.2">
      <c r="A11" s="654" t="s">
        <v>420</v>
      </c>
      <c r="B11" s="691" t="s">
        <v>304</v>
      </c>
      <c r="C11" s="692"/>
      <c r="D11" s="692"/>
      <c r="E11" s="692"/>
      <c r="F11" s="692"/>
      <c r="G11" s="708"/>
      <c r="H11" s="709"/>
      <c r="I11" s="692"/>
      <c r="J11" s="692"/>
      <c r="K11" s="692"/>
      <c r="L11" s="708"/>
      <c r="M11" s="709"/>
      <c r="N11" s="692"/>
      <c r="O11" s="692"/>
      <c r="P11" s="692"/>
      <c r="Q11" s="708"/>
      <c r="R11" s="709"/>
      <c r="S11" s="692"/>
      <c r="T11" s="692"/>
      <c r="U11" s="692"/>
      <c r="V11" s="708"/>
      <c r="W11" s="709"/>
      <c r="X11" s="692"/>
      <c r="Y11" s="692"/>
      <c r="Z11" s="692"/>
      <c r="AA11" s="708">
        <v>37600</v>
      </c>
      <c r="AB11" s="709"/>
      <c r="AC11" s="692">
        <v>40300</v>
      </c>
      <c r="AD11" s="692">
        <v>42700</v>
      </c>
      <c r="AE11" s="692">
        <v>46400</v>
      </c>
      <c r="AF11" s="708">
        <v>47800</v>
      </c>
      <c r="AG11" s="709">
        <f>SUM(AC11:AF11)</f>
        <v>177200</v>
      </c>
      <c r="AH11" s="692">
        <v>49300</v>
      </c>
      <c r="AI11" s="692">
        <v>49700</v>
      </c>
      <c r="AJ11" s="692">
        <v>50700</v>
      </c>
      <c r="AK11" s="708">
        <v>51300</v>
      </c>
      <c r="AL11" s="709">
        <f>SUM(AH11:AK11)</f>
        <v>201000</v>
      </c>
      <c r="AM11" s="692">
        <v>53100</v>
      </c>
      <c r="AN11" s="692">
        <v>54500</v>
      </c>
      <c r="AO11" s="692">
        <v>55200</v>
      </c>
      <c r="AP11" s="708">
        <v>55400</v>
      </c>
      <c r="AQ11" s="709">
        <f>SUM(AM11:AP11)</f>
        <v>218200</v>
      </c>
      <c r="AR11" s="692">
        <v>56100</v>
      </c>
      <c r="AS11" s="692">
        <v>57700</v>
      </c>
      <c r="AT11" s="692">
        <f t="shared" ref="AT11:AU11" si="22">AT4*AT8/1000</f>
        <v>59192.202669902923</v>
      </c>
      <c r="AU11" s="692">
        <f t="shared" si="22"/>
        <v>60466.07669616519</v>
      </c>
      <c r="AV11" s="709">
        <f>SUM(AR11:AU11)</f>
        <v>233458.27936606813</v>
      </c>
      <c r="AW11" s="692">
        <f>AW4*AW8/1000</f>
        <v>61946.444524495681</v>
      </c>
      <c r="AX11" s="692">
        <f t="shared" ref="AX11:AZ11" si="23">AX4*AX8/1000</f>
        <v>63514.697183098586</v>
      </c>
      <c r="AY11" s="692">
        <f t="shared" si="23"/>
        <v>65052.230734223296</v>
      </c>
      <c r="AZ11" s="692">
        <f t="shared" si="23"/>
        <v>66349.262536873153</v>
      </c>
      <c r="BA11" s="709">
        <f>SUM(AW11:AZ11)</f>
        <v>256862.63497869071</v>
      </c>
    </row>
    <row r="12" spans="1:53" s="659" customFormat="1" outlineLevel="1" x14ac:dyDescent="0.2">
      <c r="B12" s="699"/>
      <c r="C12" s="700" t="s">
        <v>29</v>
      </c>
      <c r="D12" s="701"/>
      <c r="E12" s="701"/>
      <c r="F12" s="701"/>
      <c r="G12" s="701"/>
      <c r="H12" s="702"/>
      <c r="I12" s="701"/>
      <c r="J12" s="701"/>
      <c r="K12" s="701"/>
      <c r="L12" s="701"/>
      <c r="M12" s="702"/>
      <c r="N12" s="701"/>
      <c r="O12" s="701"/>
      <c r="P12" s="701"/>
      <c r="Q12" s="701"/>
      <c r="R12" s="702"/>
      <c r="S12" s="701"/>
      <c r="T12" s="701"/>
      <c r="U12" s="701"/>
      <c r="V12" s="701"/>
      <c r="W12" s="702"/>
      <c r="X12" s="701"/>
      <c r="Y12" s="701"/>
      <c r="Z12" s="701"/>
      <c r="AA12" s="701"/>
      <c r="AB12" s="702"/>
      <c r="AC12" s="701"/>
      <c r="AD12" s="701"/>
      <c r="AE12" s="701"/>
      <c r="AF12" s="701">
        <f>AF11/AA11-1</f>
        <v>0.27127659574468077</v>
      </c>
      <c r="AG12" s="702"/>
      <c r="AH12" s="701">
        <f t="shared" ref="AH12:AS12" si="24">AH11/AC11-1</f>
        <v>0.22332506203473956</v>
      </c>
      <c r="AI12" s="701">
        <f t="shared" si="24"/>
        <v>0.16393442622950816</v>
      </c>
      <c r="AJ12" s="701">
        <f t="shared" si="24"/>
        <v>9.2672413793103425E-2</v>
      </c>
      <c r="AK12" s="701">
        <f t="shared" si="24"/>
        <v>7.322175732217584E-2</v>
      </c>
      <c r="AL12" s="702">
        <f t="shared" si="24"/>
        <v>0.13431151241534978</v>
      </c>
      <c r="AM12" s="701">
        <f t="shared" si="24"/>
        <v>7.7079107505070965E-2</v>
      </c>
      <c r="AN12" s="701">
        <f t="shared" si="24"/>
        <v>9.6579476861166969E-2</v>
      </c>
      <c r="AO12" s="701">
        <f t="shared" si="24"/>
        <v>8.8757396449704151E-2</v>
      </c>
      <c r="AP12" s="701">
        <f t="shared" si="24"/>
        <v>7.9922027290448394E-2</v>
      </c>
      <c r="AQ12" s="702">
        <f t="shared" si="24"/>
        <v>8.5572139303482508E-2</v>
      </c>
      <c r="AR12" s="701">
        <f t="shared" si="24"/>
        <v>5.6497175141242861E-2</v>
      </c>
      <c r="AS12" s="701">
        <f t="shared" si="24"/>
        <v>5.8715596330275233E-2</v>
      </c>
      <c r="AT12" s="701">
        <f t="shared" ref="AT12" si="25">AT11/AO11-1</f>
        <v>7.2322512135922556E-2</v>
      </c>
      <c r="AU12" s="701">
        <f t="shared" ref="AU12" si="26">AU11/AP11-1</f>
        <v>9.1445427728613637E-2</v>
      </c>
      <c r="AV12" s="702">
        <f t="shared" ref="AV12" si="27">AV11/AQ11-1</f>
        <v>6.9927953098387396E-2</v>
      </c>
      <c r="AW12" s="701">
        <f t="shared" ref="AW12" si="28">AW11/AR11-1</f>
        <v>0.10421469740634004</v>
      </c>
      <c r="AX12" s="701">
        <f t="shared" ref="AX12" si="29">AX11/AS11-1</f>
        <v>0.10077464788732393</v>
      </c>
      <c r="AY12" s="701">
        <f t="shared" ref="AY12" si="30">AY11/AT11-1</f>
        <v>9.8999999999999755E-2</v>
      </c>
      <c r="AZ12" s="701">
        <f t="shared" ref="AZ12" si="31">AZ11/AU11-1</f>
        <v>9.7297297297297192E-2</v>
      </c>
      <c r="BA12" s="702">
        <f t="shared" ref="BA12" si="32">BA11/AV11-1</f>
        <v>0.10025069865234459</v>
      </c>
    </row>
    <row r="13" spans="1:53" s="659" customFormat="1" outlineLevel="1" x14ac:dyDescent="0.2">
      <c r="B13" s="699"/>
      <c r="C13" s="700" t="s">
        <v>76</v>
      </c>
      <c r="D13" s="701"/>
      <c r="E13" s="701"/>
      <c r="F13" s="701"/>
      <c r="G13" s="701"/>
      <c r="H13" s="703"/>
      <c r="I13" s="701"/>
      <c r="J13" s="701"/>
      <c r="K13" s="701"/>
      <c r="L13" s="701"/>
      <c r="M13" s="703"/>
      <c r="N13" s="701"/>
      <c r="O13" s="701"/>
      <c r="P13" s="701"/>
      <c r="Q13" s="701"/>
      <c r="R13" s="703"/>
      <c r="S13" s="701"/>
      <c r="T13" s="701"/>
      <c r="U13" s="701"/>
      <c r="V13" s="701"/>
      <c r="W13" s="703"/>
      <c r="X13" s="701"/>
      <c r="Y13" s="701"/>
      <c r="Z13" s="701"/>
      <c r="AA13" s="701"/>
      <c r="AB13" s="703"/>
      <c r="AC13" s="701">
        <f>AC11/AA11-1</f>
        <v>7.1808510638297962E-2</v>
      </c>
      <c r="AD13" s="701">
        <f>AD11/AC11-1</f>
        <v>5.9553349875930417E-2</v>
      </c>
      <c r="AE13" s="701">
        <f>AE11/AD11-1</f>
        <v>8.6651053864168714E-2</v>
      </c>
      <c r="AF13" s="701">
        <f>AF11/AE11-1</f>
        <v>3.0172413793103425E-2</v>
      </c>
      <c r="AG13" s="703"/>
      <c r="AH13" s="701">
        <f>AH11/AF11-1</f>
        <v>3.1380753138075423E-2</v>
      </c>
      <c r="AI13" s="701">
        <f>AI11/AH11-1</f>
        <v>8.113590263691739E-3</v>
      </c>
      <c r="AJ13" s="701">
        <f>AJ11/AI11-1</f>
        <v>2.0120724346076369E-2</v>
      </c>
      <c r="AK13" s="701">
        <f>AK11/AJ11-1</f>
        <v>1.1834319526627279E-2</v>
      </c>
      <c r="AL13" s="703"/>
      <c r="AM13" s="701">
        <f>AM11/AK11-1</f>
        <v>3.5087719298245723E-2</v>
      </c>
      <c r="AN13" s="701">
        <f>AN11/AM11-1</f>
        <v>2.6365348399246757E-2</v>
      </c>
      <c r="AO13" s="701">
        <f>AO11/AN11-1</f>
        <v>1.2844036697247763E-2</v>
      </c>
      <c r="AP13" s="701">
        <f>AP11/AO11-1</f>
        <v>3.6231884057971175E-3</v>
      </c>
      <c r="AQ13" s="703"/>
      <c r="AR13" s="701">
        <f>AR11/AP11-1</f>
        <v>1.2635379061371799E-2</v>
      </c>
      <c r="AS13" s="701">
        <f>AS11/AR11-1</f>
        <v>2.8520499108734443E-2</v>
      </c>
      <c r="AT13" s="701">
        <f>AT11/AS11-1</f>
        <v>2.586139809190513E-2</v>
      </c>
      <c r="AU13" s="701">
        <f>AU11/AT11-1</f>
        <v>2.1520976899039868E-2</v>
      </c>
      <c r="AV13" s="703"/>
      <c r="AW13" s="701">
        <f>AW11/AU11-1</f>
        <v>2.4482617514100635E-2</v>
      </c>
      <c r="AX13" s="701">
        <f>AX11/AW11-1</f>
        <v>2.5316265859015807E-2</v>
      </c>
      <c r="AY13" s="701">
        <f>AY11/AX11-1</f>
        <v>2.4207523916745632E-2</v>
      </c>
      <c r="AZ13" s="701">
        <f>AZ11/AY11-1</f>
        <v>1.9938313998008717E-2</v>
      </c>
      <c r="BA13" s="703"/>
    </row>
    <row r="14" spans="1:53" s="677" customFormat="1" ht="19.5" customHeight="1" outlineLevel="1" x14ac:dyDescent="0.2">
      <c r="A14" s="677" t="s">
        <v>420</v>
      </c>
      <c r="B14" s="728" t="s">
        <v>407</v>
      </c>
      <c r="C14" s="729"/>
      <c r="D14" s="729"/>
      <c r="E14" s="729"/>
      <c r="F14" s="729"/>
      <c r="G14" s="730"/>
      <c r="H14" s="731"/>
      <c r="I14" s="729"/>
      <c r="J14" s="729"/>
      <c r="K14" s="729"/>
      <c r="L14" s="730"/>
      <c r="M14" s="731"/>
      <c r="N14" s="729"/>
      <c r="O14" s="729"/>
      <c r="P14" s="729"/>
      <c r="Q14" s="730"/>
      <c r="R14" s="731"/>
      <c r="S14" s="729"/>
      <c r="T14" s="729"/>
      <c r="U14" s="729"/>
      <c r="V14" s="730"/>
      <c r="W14" s="731"/>
      <c r="X14" s="729"/>
      <c r="Y14" s="729"/>
      <c r="Z14" s="729"/>
      <c r="AA14" s="730">
        <v>9.6</v>
      </c>
      <c r="AB14" s="731"/>
      <c r="AC14" s="729">
        <v>9.9</v>
      </c>
      <c r="AD14" s="729">
        <v>10</v>
      </c>
      <c r="AE14" s="729">
        <v>9.9</v>
      </c>
      <c r="AF14" s="730">
        <v>10.6</v>
      </c>
      <c r="AG14" s="731">
        <f>SUM(AC14:AF14)</f>
        <v>40.4</v>
      </c>
      <c r="AH14" s="729">
        <v>10.6</v>
      </c>
      <c r="AI14" s="729">
        <v>11</v>
      </c>
      <c r="AJ14" s="729">
        <v>10.7</v>
      </c>
      <c r="AK14" s="730">
        <v>11.5</v>
      </c>
      <c r="AL14" s="731">
        <f>SUM(AH14:AK14)</f>
        <v>43.8</v>
      </c>
      <c r="AM14" s="729">
        <v>11.7</v>
      </c>
      <c r="AN14" s="729">
        <v>12.2</v>
      </c>
      <c r="AO14" s="729">
        <v>11.5</v>
      </c>
      <c r="AP14" s="730">
        <v>12.4</v>
      </c>
      <c r="AQ14" s="731">
        <f>SUM(AM14:AP14)</f>
        <v>47.8</v>
      </c>
      <c r="AR14" s="729">
        <v>12.5</v>
      </c>
      <c r="AS14" s="729">
        <v>12.8</v>
      </c>
      <c r="AT14" s="729">
        <f t="shared" ref="AT14" si="33">AO14*(1+AT15)</f>
        <v>12.535</v>
      </c>
      <c r="AU14" s="730">
        <f t="shared" ref="AU14" si="34">AP14*(1+AU15)</f>
        <v>13.392000000000001</v>
      </c>
      <c r="AV14" s="731">
        <f>SUM(AR14:AU14)</f>
        <v>51.227000000000004</v>
      </c>
      <c r="AW14" s="729">
        <f>AR14*(1+AW15)</f>
        <v>13.375</v>
      </c>
      <c r="AX14" s="729">
        <f t="shared" ref="AX14" si="35">AS14*(1+AX15)</f>
        <v>13.696000000000002</v>
      </c>
      <c r="AY14" s="729">
        <f t="shared" ref="AY14" si="36">AT14*(1+AY15)</f>
        <v>13.412450000000002</v>
      </c>
      <c r="AZ14" s="730">
        <f t="shared" ref="AZ14" si="37">AU14*(1+AZ15)</f>
        <v>14.329440000000002</v>
      </c>
      <c r="BA14" s="731">
        <f>SUM(AW14:AZ14)</f>
        <v>54.81289000000001</v>
      </c>
    </row>
    <row r="15" spans="1:53" s="659" customFormat="1" outlineLevel="1" x14ac:dyDescent="0.2">
      <c r="B15" s="682"/>
      <c r="C15" s="683" t="s">
        <v>29</v>
      </c>
      <c r="D15" s="684"/>
      <c r="E15" s="684"/>
      <c r="F15" s="684"/>
      <c r="G15" s="684"/>
      <c r="H15" s="685"/>
      <c r="I15" s="684"/>
      <c r="J15" s="684"/>
      <c r="K15" s="684"/>
      <c r="L15" s="684"/>
      <c r="M15" s="685"/>
      <c r="N15" s="684"/>
      <c r="O15" s="684"/>
      <c r="P15" s="684"/>
      <c r="Q15" s="684"/>
      <c r="R15" s="685"/>
      <c r="S15" s="684"/>
      <c r="T15" s="684"/>
      <c r="U15" s="684"/>
      <c r="V15" s="684"/>
      <c r="W15" s="685"/>
      <c r="X15" s="684"/>
      <c r="Y15" s="684"/>
      <c r="Z15" s="684"/>
      <c r="AA15" s="684"/>
      <c r="AB15" s="685"/>
      <c r="AC15" s="684"/>
      <c r="AD15" s="684"/>
      <c r="AE15" s="684"/>
      <c r="AF15" s="684">
        <f>AF14/AA14-1</f>
        <v>0.10416666666666674</v>
      </c>
      <c r="AG15" s="685"/>
      <c r="AH15" s="684">
        <f t="shared" ref="AH15:AS15" si="38">AH14/AC14-1</f>
        <v>7.0707070707070718E-2</v>
      </c>
      <c r="AI15" s="684">
        <f t="shared" si="38"/>
        <v>0.10000000000000009</v>
      </c>
      <c r="AJ15" s="684">
        <f t="shared" si="38"/>
        <v>8.0808080808080662E-2</v>
      </c>
      <c r="AK15" s="684">
        <f t="shared" si="38"/>
        <v>8.4905660377358583E-2</v>
      </c>
      <c r="AL15" s="685">
        <f t="shared" si="38"/>
        <v>8.4158415841584233E-2</v>
      </c>
      <c r="AM15" s="684">
        <f t="shared" si="38"/>
        <v>0.10377358490566024</v>
      </c>
      <c r="AN15" s="684">
        <f t="shared" si="38"/>
        <v>0.10909090909090913</v>
      </c>
      <c r="AO15" s="684">
        <f t="shared" si="38"/>
        <v>7.4766355140186924E-2</v>
      </c>
      <c r="AP15" s="684">
        <f t="shared" si="38"/>
        <v>7.8260869565217384E-2</v>
      </c>
      <c r="AQ15" s="685">
        <f>AQ14/AL14-1</f>
        <v>9.1324200913242004E-2</v>
      </c>
      <c r="AR15" s="684">
        <f t="shared" si="38"/>
        <v>6.8376068376068355E-2</v>
      </c>
      <c r="AS15" s="684">
        <f t="shared" si="38"/>
        <v>4.9180327868852514E-2</v>
      </c>
      <c r="AT15" s="723">
        <v>0.09</v>
      </c>
      <c r="AU15" s="723">
        <v>0.08</v>
      </c>
      <c r="AV15" s="685">
        <f>AV14/AQ14-1</f>
        <v>7.169456066945612E-2</v>
      </c>
      <c r="AW15" s="723">
        <v>7.0000000000000007E-2</v>
      </c>
      <c r="AX15" s="723">
        <v>7.0000000000000007E-2</v>
      </c>
      <c r="AY15" s="723">
        <v>7.0000000000000007E-2</v>
      </c>
      <c r="AZ15" s="723">
        <v>7.0000000000000007E-2</v>
      </c>
      <c r="BA15" s="685">
        <f>BA14/AV14-1</f>
        <v>7.0000000000000062E-2</v>
      </c>
    </row>
    <row r="16" spans="1:53" s="659" customFormat="1" outlineLevel="1" x14ac:dyDescent="0.2">
      <c r="B16" s="682"/>
      <c r="C16" s="683" t="s">
        <v>76</v>
      </c>
      <c r="D16" s="684"/>
      <c r="E16" s="684"/>
      <c r="F16" s="684"/>
      <c r="G16" s="684"/>
      <c r="H16" s="686"/>
      <c r="I16" s="684"/>
      <c r="J16" s="684"/>
      <c r="K16" s="684"/>
      <c r="L16" s="684"/>
      <c r="M16" s="686"/>
      <c r="N16" s="684"/>
      <c r="O16" s="684"/>
      <c r="P16" s="684"/>
      <c r="Q16" s="684"/>
      <c r="R16" s="686"/>
      <c r="S16" s="684"/>
      <c r="T16" s="684"/>
      <c r="U16" s="684"/>
      <c r="V16" s="684"/>
      <c r="W16" s="686"/>
      <c r="X16" s="684"/>
      <c r="Y16" s="684"/>
      <c r="Z16" s="684"/>
      <c r="AA16" s="684"/>
      <c r="AB16" s="686"/>
      <c r="AC16" s="684">
        <f>AC14/AA14-1</f>
        <v>3.125E-2</v>
      </c>
      <c r="AD16" s="684">
        <f>AD14/AC14-1</f>
        <v>1.0101010101010166E-2</v>
      </c>
      <c r="AE16" s="684">
        <f>AE14/AD14-1</f>
        <v>-1.0000000000000009E-2</v>
      </c>
      <c r="AF16" s="684">
        <f>AF14/AE14-1</f>
        <v>7.0707070707070718E-2</v>
      </c>
      <c r="AG16" s="686"/>
      <c r="AH16" s="684">
        <f>AH14/AF14-1</f>
        <v>0</v>
      </c>
      <c r="AI16" s="684">
        <f>AI14/AH14-1</f>
        <v>3.7735849056603765E-2</v>
      </c>
      <c r="AJ16" s="684">
        <f>AJ14/AI14-1</f>
        <v>-2.7272727272727337E-2</v>
      </c>
      <c r="AK16" s="684">
        <f>AK14/AJ14-1</f>
        <v>7.4766355140186924E-2</v>
      </c>
      <c r="AL16" s="686"/>
      <c r="AM16" s="684">
        <f>AM14/AK14-1</f>
        <v>1.7391304347825987E-2</v>
      </c>
      <c r="AN16" s="684">
        <f>AN14/AM14-1</f>
        <v>4.2735042735042805E-2</v>
      </c>
      <c r="AO16" s="684">
        <f>AO14/AN14-1</f>
        <v>-5.7377049180327822E-2</v>
      </c>
      <c r="AP16" s="684">
        <f>AP14/AO14-1</f>
        <v>7.8260869565217384E-2</v>
      </c>
      <c r="AQ16" s="686"/>
      <c r="AR16" s="684">
        <f>AR14/AP14-1</f>
        <v>8.0645161290322509E-3</v>
      </c>
      <c r="AS16" s="684">
        <f>AS14/AR14-1</f>
        <v>2.4000000000000021E-2</v>
      </c>
      <c r="AT16" s="684">
        <f>AT14/AS14-1</f>
        <v>-2.0703125000000044E-2</v>
      </c>
      <c r="AU16" s="684">
        <f>AU14/AT14-1</f>
        <v>6.8368568009573361E-2</v>
      </c>
      <c r="AV16" s="686"/>
      <c r="AW16" s="684">
        <f>AW14/AU14-1</f>
        <v>-1.2694145758662678E-3</v>
      </c>
      <c r="AX16" s="684">
        <f>AX14/AW14-1</f>
        <v>2.4000000000000021E-2</v>
      </c>
      <c r="AY16" s="684">
        <f>AY14/AX14-1</f>
        <v>-2.0703125000000044E-2</v>
      </c>
      <c r="AZ16" s="684">
        <f>AZ14/AY14-1</f>
        <v>6.8368568009573139E-2</v>
      </c>
      <c r="BA16" s="686"/>
    </row>
    <row r="17" spans="1:53" s="673" customFormat="1" ht="19.5" customHeight="1" outlineLevel="1" x14ac:dyDescent="0.2">
      <c r="B17" s="724" t="s">
        <v>408</v>
      </c>
      <c r="C17" s="725"/>
      <c r="D17" s="725"/>
      <c r="E17" s="725"/>
      <c r="F17" s="725"/>
      <c r="G17" s="726"/>
      <c r="H17" s="727"/>
      <c r="I17" s="725"/>
      <c r="J17" s="725"/>
      <c r="K17" s="725"/>
      <c r="L17" s="726"/>
      <c r="M17" s="727"/>
      <c r="N17" s="725"/>
      <c r="O17" s="725"/>
      <c r="P17" s="725"/>
      <c r="Q17" s="726"/>
      <c r="R17" s="727"/>
      <c r="S17" s="725"/>
      <c r="T17" s="725"/>
      <c r="U17" s="725"/>
      <c r="V17" s="726"/>
      <c r="W17" s="727"/>
      <c r="X17" s="725"/>
      <c r="Y17" s="725"/>
      <c r="Z17" s="725"/>
      <c r="AA17" s="726">
        <f>AA20/AA14*1000</f>
        <v>5739.5833333333339</v>
      </c>
      <c r="AB17" s="727"/>
      <c r="AC17" s="725">
        <f t="shared" ref="AC17:AL17" si="39">AC20/AC14*1000</f>
        <v>5626.2626262626263</v>
      </c>
      <c r="AD17" s="725">
        <f t="shared" si="39"/>
        <v>5750</v>
      </c>
      <c r="AE17" s="725">
        <f t="shared" si="39"/>
        <v>5555.5555555555557</v>
      </c>
      <c r="AF17" s="726">
        <f t="shared" si="39"/>
        <v>5632.0754716981137</v>
      </c>
      <c r="AG17" s="727">
        <f t="shared" si="39"/>
        <v>5641.0891089108909</v>
      </c>
      <c r="AH17" s="725">
        <f t="shared" si="39"/>
        <v>5707.5471698113215</v>
      </c>
      <c r="AI17" s="725">
        <f t="shared" si="39"/>
        <v>5872.7272727272721</v>
      </c>
      <c r="AJ17" s="725">
        <f t="shared" si="39"/>
        <v>5691.5887850467288</v>
      </c>
      <c r="AK17" s="726">
        <f t="shared" si="39"/>
        <v>5600.0000000000009</v>
      </c>
      <c r="AL17" s="727">
        <f t="shared" si="39"/>
        <v>5716.8949771689504</v>
      </c>
      <c r="AM17" s="725">
        <f t="shared" ref="AM17:AP17" si="40">AM20/AM14*1000</f>
        <v>5786.3247863247871</v>
      </c>
      <c r="AN17" s="725">
        <f t="shared" si="40"/>
        <v>5893.4426229508199</v>
      </c>
      <c r="AO17" s="725">
        <f t="shared" si="40"/>
        <v>5817.3913043478269</v>
      </c>
      <c r="AP17" s="726">
        <f t="shared" si="40"/>
        <v>5846.7741935483873</v>
      </c>
      <c r="AQ17" s="727">
        <f>AQ20/AQ14*1000</f>
        <v>5836.8200836820088</v>
      </c>
      <c r="AR17" s="725">
        <f t="shared" ref="AR17:AS17" si="41">AR20/AR14*1000</f>
        <v>5976</v>
      </c>
      <c r="AS17" s="725">
        <f t="shared" si="41"/>
        <v>6242.1875</v>
      </c>
      <c r="AT17" s="725">
        <f t="shared" ref="AT17" si="42">AO17*(1+AT18)</f>
        <v>6108.2608695652189</v>
      </c>
      <c r="AU17" s="726">
        <f t="shared" ref="AU17" si="43">AP17*(1+AU18)</f>
        <v>6033.8709677419356</v>
      </c>
      <c r="AV17" s="727">
        <f>AV20/AV14*1000</f>
        <v>6090.0042946102649</v>
      </c>
      <c r="AW17" s="725">
        <f>AR17*(1+AW18)</f>
        <v>6035.76</v>
      </c>
      <c r="AX17" s="725">
        <f t="shared" ref="AX17" si="44">AS17*(1+AX18)</f>
        <v>6273.3984374999991</v>
      </c>
      <c r="AY17" s="725">
        <f t="shared" ref="AY17" si="45">AT17*(1+AY18)</f>
        <v>6138.8021739130445</v>
      </c>
      <c r="AZ17" s="726">
        <f t="shared" ref="AZ17" si="46">AU17*(1+AZ18)</f>
        <v>6064.0403225806449</v>
      </c>
      <c r="BA17" s="727">
        <f>BA20/BA14*1000</f>
        <v>6127.7453930544434</v>
      </c>
    </row>
    <row r="18" spans="1:53" s="659" customFormat="1" outlineLevel="1" x14ac:dyDescent="0.2">
      <c r="B18" s="682"/>
      <c r="C18" s="683" t="s">
        <v>29</v>
      </c>
      <c r="D18" s="684"/>
      <c r="E18" s="684"/>
      <c r="F18" s="684"/>
      <c r="G18" s="684"/>
      <c r="H18" s="685"/>
      <c r="I18" s="684"/>
      <c r="J18" s="684"/>
      <c r="K18" s="684"/>
      <c r="L18" s="684"/>
      <c r="M18" s="685"/>
      <c r="N18" s="684"/>
      <c r="O18" s="684"/>
      <c r="P18" s="684"/>
      <c r="Q18" s="684"/>
      <c r="R18" s="685"/>
      <c r="S18" s="684"/>
      <c r="T18" s="684"/>
      <c r="U18" s="684"/>
      <c r="V18" s="684"/>
      <c r="W18" s="685"/>
      <c r="X18" s="684"/>
      <c r="Y18" s="684"/>
      <c r="Z18" s="684"/>
      <c r="AA18" s="684"/>
      <c r="AB18" s="685"/>
      <c r="AC18" s="684"/>
      <c r="AD18" s="684"/>
      <c r="AE18" s="684"/>
      <c r="AF18" s="684">
        <f>AF17/AA17-1</f>
        <v>-1.8730952299421344E-2</v>
      </c>
      <c r="AG18" s="685"/>
      <c r="AH18" s="684">
        <f t="shared" ref="AH18:AS18" si="47">AH17/AC17-1</f>
        <v>1.4447342569696264E-2</v>
      </c>
      <c r="AI18" s="684">
        <f t="shared" si="47"/>
        <v>2.1343873517786438E-2</v>
      </c>
      <c r="AJ18" s="684">
        <f t="shared" si="47"/>
        <v>2.4485981308411064E-2</v>
      </c>
      <c r="AK18" s="684">
        <f t="shared" si="47"/>
        <v>-5.6951423785593924E-3</v>
      </c>
      <c r="AL18" s="685">
        <f t="shared" si="47"/>
        <v>1.3438161814943506E-2</v>
      </c>
      <c r="AM18" s="684">
        <f t="shared" si="47"/>
        <v>1.3802359256904762E-2</v>
      </c>
      <c r="AN18" s="684">
        <f t="shared" si="47"/>
        <v>3.5273816170127148E-3</v>
      </c>
      <c r="AO18" s="684">
        <f t="shared" si="47"/>
        <v>2.2103234097237356E-2</v>
      </c>
      <c r="AP18" s="684">
        <f t="shared" si="47"/>
        <v>4.4066820276497554E-2</v>
      </c>
      <c r="AQ18" s="685">
        <f>AQ17/AL17-1</f>
        <v>2.0977314957156379E-2</v>
      </c>
      <c r="AR18" s="684">
        <f t="shared" si="47"/>
        <v>3.2779911373707504E-2</v>
      </c>
      <c r="AS18" s="684">
        <f t="shared" si="47"/>
        <v>5.9175069541029135E-2</v>
      </c>
      <c r="AT18" s="723">
        <v>0.05</v>
      </c>
      <c r="AU18" s="723">
        <v>3.2000000000000001E-2</v>
      </c>
      <c r="AV18" s="685">
        <f>AV17/AQ17-1</f>
        <v>4.3377079865127843E-2</v>
      </c>
      <c r="AW18" s="723">
        <v>0.01</v>
      </c>
      <c r="AX18" s="723">
        <v>5.0000000000000001E-3</v>
      </c>
      <c r="AY18" s="723">
        <v>5.0000000000000001E-3</v>
      </c>
      <c r="AZ18" s="723">
        <v>5.0000000000000001E-3</v>
      </c>
      <c r="BA18" s="685">
        <f>BA17/AV17-1</f>
        <v>6.1972203332565368E-3</v>
      </c>
    </row>
    <row r="19" spans="1:53" s="659" customFormat="1" outlineLevel="1" x14ac:dyDescent="0.2">
      <c r="B19" s="682"/>
      <c r="C19" s="683" t="s">
        <v>76</v>
      </c>
      <c r="D19" s="684"/>
      <c r="E19" s="684"/>
      <c r="F19" s="684"/>
      <c r="G19" s="684"/>
      <c r="H19" s="686"/>
      <c r="I19" s="684"/>
      <c r="J19" s="684"/>
      <c r="K19" s="684"/>
      <c r="L19" s="684"/>
      <c r="M19" s="686"/>
      <c r="N19" s="684"/>
      <c r="O19" s="684"/>
      <c r="P19" s="684"/>
      <c r="Q19" s="684"/>
      <c r="R19" s="686"/>
      <c r="S19" s="684"/>
      <c r="T19" s="684"/>
      <c r="U19" s="684"/>
      <c r="V19" s="684"/>
      <c r="W19" s="686"/>
      <c r="X19" s="684"/>
      <c r="Y19" s="684"/>
      <c r="Z19" s="684"/>
      <c r="AA19" s="684"/>
      <c r="AB19" s="686"/>
      <c r="AC19" s="684">
        <f>AC17/AA17-1</f>
        <v>-1.9743716658417343E-2</v>
      </c>
      <c r="AD19" s="684">
        <f>AD17/AC17-1</f>
        <v>2.1992818671454195E-2</v>
      </c>
      <c r="AE19" s="684">
        <f>AE17/AD17-1</f>
        <v>-3.3816425120772875E-2</v>
      </c>
      <c r="AF19" s="684">
        <f>AF17/AE17-1</f>
        <v>1.3773584905660385E-2</v>
      </c>
      <c r="AG19" s="686"/>
      <c r="AH19" s="684">
        <f>AH17/AF17-1</f>
        <v>1.3400335008375341E-2</v>
      </c>
      <c r="AI19" s="684">
        <f>AI17/AH17-1</f>
        <v>2.8940646130728442E-2</v>
      </c>
      <c r="AJ19" s="684">
        <f>AJ17/AI17-1</f>
        <v>-3.0844014930123453E-2</v>
      </c>
      <c r="AK19" s="684">
        <f>AK17/AJ17-1</f>
        <v>-1.6091954022988353E-2</v>
      </c>
      <c r="AL19" s="686"/>
      <c r="AM19" s="684">
        <f>AM17/AK17-1</f>
        <v>3.3272283272283154E-2</v>
      </c>
      <c r="AN19" s="684">
        <f>AN17/AM17-1</f>
        <v>1.851224059859069E-2</v>
      </c>
      <c r="AO19" s="684">
        <f>AO17/AN17-1</f>
        <v>-1.2904396202454982E-2</v>
      </c>
      <c r="AP19" s="684">
        <f>AP17/AO17-1</f>
        <v>5.0508703409035682E-3</v>
      </c>
      <c r="AQ19" s="686"/>
      <c r="AR19" s="684">
        <f>AR17/AP17-1</f>
        <v>2.2102068965517141E-2</v>
      </c>
      <c r="AS19" s="684">
        <f>AS17/AR17-1</f>
        <v>4.454275435073618E-2</v>
      </c>
      <c r="AT19" s="684">
        <f>AT17/AS17-1</f>
        <v>-2.145507971921401E-2</v>
      </c>
      <c r="AU19" s="684">
        <f>AU17/AT17-1</f>
        <v>-1.2178573150654959E-2</v>
      </c>
      <c r="AV19" s="686"/>
      <c r="AW19" s="684">
        <f>AW17/AU17-1</f>
        <v>3.1307137129110707E-4</v>
      </c>
      <c r="AX19" s="684">
        <f>AX17/AW17-1</f>
        <v>3.9371750616326473E-2</v>
      </c>
      <c r="AY19" s="684">
        <f>AY17/AX17-1</f>
        <v>-2.1455079719213899E-2</v>
      </c>
      <c r="AZ19" s="684">
        <f>AZ17/AY17-1</f>
        <v>-1.2178573150654959E-2</v>
      </c>
      <c r="BA19" s="686"/>
    </row>
    <row r="20" spans="1:53" s="676" customFormat="1" ht="21.75" customHeight="1" outlineLevel="1" x14ac:dyDescent="0.2">
      <c r="A20" s="676" t="s">
        <v>420</v>
      </c>
      <c r="B20" s="678" t="s">
        <v>415</v>
      </c>
      <c r="C20" s="679"/>
      <c r="D20" s="679"/>
      <c r="E20" s="679"/>
      <c r="F20" s="679"/>
      <c r="G20" s="680"/>
      <c r="H20" s="681"/>
      <c r="I20" s="679"/>
      <c r="J20" s="679"/>
      <c r="K20" s="679"/>
      <c r="L20" s="680"/>
      <c r="M20" s="681"/>
      <c r="N20" s="679"/>
      <c r="O20" s="679"/>
      <c r="P20" s="679"/>
      <c r="Q20" s="680"/>
      <c r="R20" s="681"/>
      <c r="S20" s="679"/>
      <c r="T20" s="679"/>
      <c r="U20" s="679"/>
      <c r="V20" s="680"/>
      <c r="W20" s="681"/>
      <c r="X20" s="679"/>
      <c r="Y20" s="679"/>
      <c r="Z20" s="679"/>
      <c r="AA20" s="680">
        <v>55.1</v>
      </c>
      <c r="AB20" s="681"/>
      <c r="AC20" s="679">
        <v>55.7</v>
      </c>
      <c r="AD20" s="679">
        <v>57.5</v>
      </c>
      <c r="AE20" s="679">
        <v>55</v>
      </c>
      <c r="AF20" s="680">
        <v>59.7</v>
      </c>
      <c r="AG20" s="681">
        <f>SUM(AC20:AF20)</f>
        <v>227.89999999999998</v>
      </c>
      <c r="AH20" s="679">
        <v>60.5</v>
      </c>
      <c r="AI20" s="679">
        <v>64.599999999999994</v>
      </c>
      <c r="AJ20" s="679">
        <v>60.9</v>
      </c>
      <c r="AK20" s="680">
        <v>64.400000000000006</v>
      </c>
      <c r="AL20" s="681">
        <f>SUM(AH20:AK20)</f>
        <v>250.4</v>
      </c>
      <c r="AM20" s="679">
        <v>67.7</v>
      </c>
      <c r="AN20" s="679">
        <v>71.900000000000006</v>
      </c>
      <c r="AO20" s="679">
        <v>66.900000000000006</v>
      </c>
      <c r="AP20" s="680">
        <v>72.5</v>
      </c>
      <c r="AQ20" s="681">
        <f>SUM(AM20:AP20)</f>
        <v>279</v>
      </c>
      <c r="AR20" s="679">
        <v>74.7</v>
      </c>
      <c r="AS20" s="679">
        <v>79.900000000000006</v>
      </c>
      <c r="AT20" s="679">
        <f t="shared" ref="AT20:AU20" si="48">AT14*AT17/1000</f>
        <v>76.567050000000023</v>
      </c>
      <c r="AU20" s="679">
        <f t="shared" si="48"/>
        <v>80.805600000000013</v>
      </c>
      <c r="AV20" s="681">
        <f>SUM(AR20:AU20)</f>
        <v>311.97265000000004</v>
      </c>
      <c r="AW20" s="679">
        <f>AW14*AW17/1000</f>
        <v>80.728290000000001</v>
      </c>
      <c r="AX20" s="679">
        <f t="shared" ref="AX20:AZ20" si="49">AX14*AX17/1000</f>
        <v>85.920464999999993</v>
      </c>
      <c r="AY20" s="679">
        <f t="shared" si="49"/>
        <v>82.336377217500015</v>
      </c>
      <c r="AZ20" s="679">
        <f t="shared" si="49"/>
        <v>86.894301960000007</v>
      </c>
      <c r="BA20" s="681">
        <f>SUM(AW20:AZ20)</f>
        <v>335.8794341775</v>
      </c>
    </row>
    <row r="21" spans="1:53" s="659" customFormat="1" outlineLevel="1" x14ac:dyDescent="0.2">
      <c r="B21" s="682"/>
      <c r="C21" s="683" t="s">
        <v>29</v>
      </c>
      <c r="D21" s="684"/>
      <c r="E21" s="684"/>
      <c r="F21" s="684"/>
      <c r="G21" s="684"/>
      <c r="H21" s="685"/>
      <c r="I21" s="684"/>
      <c r="J21" s="684"/>
      <c r="K21" s="684"/>
      <c r="L21" s="684"/>
      <c r="M21" s="685"/>
      <c r="N21" s="684"/>
      <c r="O21" s="684"/>
      <c r="P21" s="684"/>
      <c r="Q21" s="684"/>
      <c r="R21" s="685"/>
      <c r="S21" s="684"/>
      <c r="T21" s="684"/>
      <c r="U21" s="684"/>
      <c r="V21" s="684"/>
      <c r="W21" s="685"/>
      <c r="X21" s="684"/>
      <c r="Y21" s="684"/>
      <c r="Z21" s="684"/>
      <c r="AA21" s="684"/>
      <c r="AB21" s="685"/>
      <c r="AC21" s="684"/>
      <c r="AD21" s="684"/>
      <c r="AE21" s="684"/>
      <c r="AF21" s="684">
        <f>AF20/AA20-1</f>
        <v>8.3484573502722315E-2</v>
      </c>
      <c r="AG21" s="685"/>
      <c r="AH21" s="684">
        <f t="shared" ref="AH21:AS21" si="50">AH20/AC20-1</f>
        <v>8.6175942549371554E-2</v>
      </c>
      <c r="AI21" s="684">
        <f t="shared" si="50"/>
        <v>0.12347826086956504</v>
      </c>
      <c r="AJ21" s="684">
        <f t="shared" si="50"/>
        <v>0.10727272727272719</v>
      </c>
      <c r="AK21" s="684">
        <f t="shared" si="50"/>
        <v>7.8726968174204437E-2</v>
      </c>
      <c r="AL21" s="685">
        <f t="shared" si="50"/>
        <v>9.8727512066695944E-2</v>
      </c>
      <c r="AM21" s="684">
        <f t="shared" si="50"/>
        <v>0.11900826446280988</v>
      </c>
      <c r="AN21" s="684">
        <f t="shared" si="50"/>
        <v>0.11300309597523239</v>
      </c>
      <c r="AO21" s="684">
        <f t="shared" si="50"/>
        <v>9.8522167487684831E-2</v>
      </c>
      <c r="AP21" s="684">
        <f t="shared" si="50"/>
        <v>0.12577639751552794</v>
      </c>
      <c r="AQ21" s="685">
        <f t="shared" si="50"/>
        <v>0.1142172523961662</v>
      </c>
      <c r="AR21" s="684">
        <f t="shared" si="50"/>
        <v>0.1033973412112259</v>
      </c>
      <c r="AS21" s="684">
        <f t="shared" si="50"/>
        <v>0.11126564673157158</v>
      </c>
      <c r="AT21" s="684">
        <f t="shared" ref="AT21" si="51">AT20/AO20-1</f>
        <v>0.14450000000000029</v>
      </c>
      <c r="AU21" s="684">
        <f t="shared" ref="AU21" si="52">AU20/AP20-1</f>
        <v>0.11456000000000022</v>
      </c>
      <c r="AV21" s="685">
        <f t="shared" ref="AV21" si="53">AV20/AQ20-1</f>
        <v>0.11818154121863822</v>
      </c>
      <c r="AW21" s="684">
        <f t="shared" ref="AW21" si="54">AW20/AR20-1</f>
        <v>8.0699999999999994E-2</v>
      </c>
      <c r="AX21" s="684">
        <f t="shared" ref="AX21" si="55">AX20/AS20-1</f>
        <v>7.5349999999999806E-2</v>
      </c>
      <c r="AY21" s="684">
        <f t="shared" ref="AY21" si="56">AY20/AT20-1</f>
        <v>7.5349999999999806E-2</v>
      </c>
      <c r="AZ21" s="684">
        <f t="shared" ref="AZ21" si="57">AZ20/AU20-1</f>
        <v>7.5350000000000028E-2</v>
      </c>
      <c r="BA21" s="685">
        <f t="shared" ref="BA21" si="58">BA20/AV20-1</f>
        <v>7.6631025756584537E-2</v>
      </c>
    </row>
    <row r="22" spans="1:53" s="659" customFormat="1" outlineLevel="1" x14ac:dyDescent="0.2">
      <c r="B22" s="682"/>
      <c r="C22" s="683" t="s">
        <v>76</v>
      </c>
      <c r="D22" s="684"/>
      <c r="E22" s="684"/>
      <c r="F22" s="684"/>
      <c r="G22" s="684"/>
      <c r="H22" s="686"/>
      <c r="I22" s="684"/>
      <c r="J22" s="684"/>
      <c r="K22" s="684"/>
      <c r="L22" s="684"/>
      <c r="M22" s="686"/>
      <c r="N22" s="684"/>
      <c r="O22" s="684"/>
      <c r="P22" s="684"/>
      <c r="Q22" s="684"/>
      <c r="R22" s="686"/>
      <c r="S22" s="684"/>
      <c r="T22" s="684"/>
      <c r="U22" s="684"/>
      <c r="V22" s="684"/>
      <c r="W22" s="686"/>
      <c r="X22" s="684"/>
      <c r="Y22" s="684"/>
      <c r="Z22" s="684"/>
      <c r="AA22" s="684"/>
      <c r="AB22" s="686"/>
      <c r="AC22" s="684">
        <f>AC20/AA20-1</f>
        <v>1.0889292196007316E-2</v>
      </c>
      <c r="AD22" s="684">
        <f>AD20/AC20-1</f>
        <v>3.2315978456014305E-2</v>
      </c>
      <c r="AE22" s="684">
        <f>AE20/AD20-1</f>
        <v>-4.3478260869565188E-2</v>
      </c>
      <c r="AF22" s="684">
        <f>AF20/AE20-1</f>
        <v>8.545454545454545E-2</v>
      </c>
      <c r="AG22" s="686"/>
      <c r="AH22" s="684">
        <f>AH20/AF20-1</f>
        <v>1.3400335008375119E-2</v>
      </c>
      <c r="AI22" s="684">
        <f>AI20/AH20-1</f>
        <v>6.7768595041322266E-2</v>
      </c>
      <c r="AJ22" s="684">
        <f>AJ20/AI20-1</f>
        <v>-5.7275541795665519E-2</v>
      </c>
      <c r="AK22" s="684">
        <f>AK20/AJ20-1</f>
        <v>5.7471264367816133E-2</v>
      </c>
      <c r="AL22" s="686"/>
      <c r="AM22" s="684">
        <f>AM20/AK20-1</f>
        <v>5.1242236024844567E-2</v>
      </c>
      <c r="AN22" s="684">
        <f>AN20/AM20-1</f>
        <v>6.2038404726735719E-2</v>
      </c>
      <c r="AO22" s="684">
        <f>AO20/AN20-1</f>
        <v>-6.9541029207232263E-2</v>
      </c>
      <c r="AP22" s="684">
        <f>AP20/AO20-1</f>
        <v>8.3707025411061231E-2</v>
      </c>
      <c r="AQ22" s="686"/>
      <c r="AR22" s="684">
        <f>AR20/AP20-1</f>
        <v>3.0344827586207046E-2</v>
      </c>
      <c r="AS22" s="684">
        <f>AS20/AR20-1</f>
        <v>6.9611780455153927E-2</v>
      </c>
      <c r="AT22" s="684">
        <f>AT20/AS20-1</f>
        <v>-4.171401752190218E-2</v>
      </c>
      <c r="AU22" s="684">
        <f>AU20/AT20-1</f>
        <v>5.5357363252208192E-2</v>
      </c>
      <c r="AV22" s="686"/>
      <c r="AW22" s="684">
        <f>AW20/AU20-1</f>
        <v>-9.567406219371799E-4</v>
      </c>
      <c r="AX22" s="684">
        <f>AX20/AW20-1</f>
        <v>6.4316672631118399E-2</v>
      </c>
      <c r="AY22" s="684">
        <f>AY20/AX20-1</f>
        <v>-4.1714017521902069E-2</v>
      </c>
      <c r="AZ22" s="684">
        <f>AZ20/AY20-1</f>
        <v>5.5357363252208192E-2</v>
      </c>
      <c r="BA22" s="686"/>
    </row>
    <row r="23" spans="1:53" s="654" customFormat="1" ht="22.5" customHeight="1" outlineLevel="1" x14ac:dyDescent="0.2">
      <c r="B23" s="687" t="s">
        <v>409</v>
      </c>
      <c r="C23" s="688"/>
      <c r="D23" s="688"/>
      <c r="E23" s="688"/>
      <c r="F23" s="688"/>
      <c r="G23" s="688"/>
      <c r="H23" s="690"/>
      <c r="I23" s="688"/>
      <c r="J23" s="688"/>
      <c r="K23" s="688"/>
      <c r="L23" s="688"/>
      <c r="M23" s="690"/>
      <c r="N23" s="688"/>
      <c r="O23" s="688"/>
      <c r="P23" s="688"/>
      <c r="Q23" s="688"/>
      <c r="R23" s="690"/>
      <c r="S23" s="688"/>
      <c r="T23" s="688"/>
      <c r="U23" s="688"/>
      <c r="V23" s="688"/>
      <c r="W23" s="690"/>
      <c r="X23" s="688"/>
      <c r="Y23" s="688"/>
      <c r="Z23" s="688"/>
      <c r="AA23" s="679">
        <f>AA26/AA20/100</f>
        <v>12.341197822141559</v>
      </c>
      <c r="AB23" s="681"/>
      <c r="AC23" s="679">
        <f t="shared" ref="AC23:AL23" si="59">AC26/AC20/100</f>
        <v>13.572710951526032</v>
      </c>
      <c r="AD23" s="679">
        <f t="shared" si="59"/>
        <v>13.843478260869565</v>
      </c>
      <c r="AE23" s="679">
        <f t="shared" si="59"/>
        <v>14.981818181818182</v>
      </c>
      <c r="AF23" s="679">
        <f t="shared" si="59"/>
        <v>15.209380234505861</v>
      </c>
      <c r="AG23" s="681">
        <f t="shared" si="59"/>
        <v>14.409828872312419</v>
      </c>
      <c r="AH23" s="679">
        <f t="shared" si="59"/>
        <v>15.553719008264464</v>
      </c>
      <c r="AI23" s="679">
        <f t="shared" si="59"/>
        <v>15.232198142414861</v>
      </c>
      <c r="AJ23" s="679">
        <f t="shared" si="59"/>
        <v>16.157635467980295</v>
      </c>
      <c r="AK23" s="679">
        <f t="shared" si="59"/>
        <v>16.086956521739129</v>
      </c>
      <c r="AL23" s="681">
        <f t="shared" si="59"/>
        <v>15.754792332268371</v>
      </c>
      <c r="AM23" s="679">
        <f>AM26/AM20/100</f>
        <v>16.12348596750369</v>
      </c>
      <c r="AN23" s="679">
        <f t="shared" ref="AN23:AP23" si="60">AN26/AN20/100</f>
        <v>15.624756606397773</v>
      </c>
      <c r="AO23" s="679">
        <f t="shared" si="60"/>
        <v>16.229446935724962</v>
      </c>
      <c r="AP23" s="679">
        <f t="shared" si="60"/>
        <v>16.484000000000002</v>
      </c>
      <c r="AQ23" s="681">
        <f>AQ26/AQ20/100</f>
        <v>16.114050179211471</v>
      </c>
      <c r="AR23" s="679">
        <f>AR26/AR20/100</f>
        <v>16.398393574297188</v>
      </c>
      <c r="AS23" s="679">
        <f t="shared" ref="AS23" si="61">AS26/AS20/100</f>
        <v>16.0360450563204</v>
      </c>
      <c r="AT23" s="732">
        <v>16.600000000000001</v>
      </c>
      <c r="AU23" s="732">
        <v>16.899999999999999</v>
      </c>
      <c r="AV23" s="681">
        <f>AV26/AV20/100</f>
        <v>16.484995303274182</v>
      </c>
      <c r="AW23" s="732">
        <v>16.899999999999999</v>
      </c>
      <c r="AX23" s="732">
        <v>16.600000000000001</v>
      </c>
      <c r="AY23" s="732">
        <v>17</v>
      </c>
      <c r="AZ23" s="732">
        <v>17.100000000000001</v>
      </c>
      <c r="BA23" s="681">
        <f>BA26/BA20/100</f>
        <v>16.899512797243304</v>
      </c>
    </row>
    <row r="24" spans="1:53" s="659" customFormat="1" outlineLevel="1" x14ac:dyDescent="0.2">
      <c r="B24" s="682"/>
      <c r="C24" s="683" t="s">
        <v>29</v>
      </c>
      <c r="D24" s="684"/>
      <c r="E24" s="684"/>
      <c r="F24" s="684"/>
      <c r="G24" s="684"/>
      <c r="H24" s="685"/>
      <c r="I24" s="684"/>
      <c r="J24" s="684"/>
      <c r="K24" s="684"/>
      <c r="L24" s="684"/>
      <c r="M24" s="685"/>
      <c r="N24" s="684"/>
      <c r="O24" s="684"/>
      <c r="P24" s="684"/>
      <c r="Q24" s="684"/>
      <c r="R24" s="685"/>
      <c r="S24" s="684"/>
      <c r="T24" s="684"/>
      <c r="U24" s="684"/>
      <c r="V24" s="684"/>
      <c r="W24" s="685"/>
      <c r="X24" s="684"/>
      <c r="Y24" s="684"/>
      <c r="Z24" s="684"/>
      <c r="AA24" s="684"/>
      <c r="AB24" s="685"/>
      <c r="AC24" s="684"/>
      <c r="AD24" s="684"/>
      <c r="AE24" s="684"/>
      <c r="AF24" s="684">
        <f>AF23/AA23-1</f>
        <v>0.23240713370775445</v>
      </c>
      <c r="AG24" s="685"/>
      <c r="AH24" s="684">
        <f t="shared" ref="AH24:AS24" si="62">AH23/AC23-1</f>
        <v>0.14595522322795063</v>
      </c>
      <c r="AI24" s="684">
        <f t="shared" si="62"/>
        <v>0.10031582058901312</v>
      </c>
      <c r="AJ24" s="684">
        <f t="shared" si="62"/>
        <v>7.8482949925869239E-2</v>
      </c>
      <c r="AK24" s="684">
        <f t="shared" si="62"/>
        <v>5.7699674391878952E-2</v>
      </c>
      <c r="AL24" s="685">
        <f t="shared" si="62"/>
        <v>9.3336532437259923E-2</v>
      </c>
      <c r="AM24" s="684">
        <f>AM23/AH23-1</f>
        <v>3.6632200886262734E-2</v>
      </c>
      <c r="AN24" s="684">
        <f t="shared" si="62"/>
        <v>2.5771622737089439E-2</v>
      </c>
      <c r="AO24" s="684">
        <f t="shared" si="62"/>
        <v>4.4444292537095809E-3</v>
      </c>
      <c r="AP24" s="684">
        <f t="shared" si="62"/>
        <v>2.4681081081081357E-2</v>
      </c>
      <c r="AQ24" s="685">
        <f t="shared" si="62"/>
        <v>2.2803083618391007E-2</v>
      </c>
      <c r="AR24" s="684">
        <f>AR23/AM23-1</f>
        <v>1.705013465125127E-2</v>
      </c>
      <c r="AS24" s="684">
        <f t="shared" si="62"/>
        <v>2.6322870831422707E-2</v>
      </c>
      <c r="AT24" s="684">
        <f t="shared" ref="AT24" si="63">AT23/AO23-1</f>
        <v>2.2832143679484274E-2</v>
      </c>
      <c r="AU24" s="684">
        <f t="shared" ref="AU24" si="64">AU23/AP23-1</f>
        <v>2.5236593059936752E-2</v>
      </c>
      <c r="AV24" s="685">
        <f t="shared" ref="AV24" si="65">AV23/AQ23-1</f>
        <v>2.3019980696179276E-2</v>
      </c>
      <c r="AW24" s="684">
        <f t="shared" ref="AW24" si="66">AW23/AR23-1</f>
        <v>3.0588753918495248E-2</v>
      </c>
      <c r="AX24" s="684">
        <f t="shared" ref="AX24" si="67">AX23/AS23-1</f>
        <v>3.5167957042957054E-2</v>
      </c>
      <c r="AY24" s="684">
        <f t="shared" ref="AY24" si="68">AY23/AT23-1</f>
        <v>2.409638554216853E-2</v>
      </c>
      <c r="AZ24" s="684">
        <f t="shared" ref="AZ24" si="69">AZ23/AU23-1</f>
        <v>1.1834319526627279E-2</v>
      </c>
      <c r="BA24" s="685">
        <f t="shared" ref="BA24" si="70">BA23/AV23-1</f>
        <v>2.5145138736363037E-2</v>
      </c>
    </row>
    <row r="25" spans="1:53" s="659" customFormat="1" outlineLevel="1" x14ac:dyDescent="0.2">
      <c r="B25" s="682"/>
      <c r="C25" s="683" t="s">
        <v>76</v>
      </c>
      <c r="D25" s="684"/>
      <c r="E25" s="684"/>
      <c r="F25" s="684"/>
      <c r="G25" s="684"/>
      <c r="H25" s="686"/>
      <c r="I25" s="684"/>
      <c r="J25" s="684"/>
      <c r="K25" s="684"/>
      <c r="L25" s="684"/>
      <c r="M25" s="686"/>
      <c r="N25" s="684"/>
      <c r="O25" s="684"/>
      <c r="P25" s="684"/>
      <c r="Q25" s="684"/>
      <c r="R25" s="686"/>
      <c r="S25" s="684"/>
      <c r="T25" s="684"/>
      <c r="U25" s="684"/>
      <c r="V25" s="684"/>
      <c r="W25" s="686"/>
      <c r="X25" s="684"/>
      <c r="Y25" s="684"/>
      <c r="Z25" s="684"/>
      <c r="AA25" s="684"/>
      <c r="AB25" s="686"/>
      <c r="AC25" s="684">
        <f>AC23/AA23-1</f>
        <v>9.9788784454535984E-2</v>
      </c>
      <c r="AD25" s="684">
        <f>AD23/AC23-1</f>
        <v>1.9949390384172982E-2</v>
      </c>
      <c r="AE25" s="684">
        <f>AE23/AD23-1</f>
        <v>8.2229328460484252E-2</v>
      </c>
      <c r="AF25" s="684">
        <f>AF23/AE23-1</f>
        <v>1.5189214681823326E-2</v>
      </c>
      <c r="AG25" s="686"/>
      <c r="AH25" s="684">
        <f>AH23/AF23-1</f>
        <v>2.2639895146903788E-2</v>
      </c>
      <c r="AI25" s="684">
        <f>AI23/AH23-1</f>
        <v>-2.0671639090224181E-2</v>
      </c>
      <c r="AJ25" s="684">
        <f>AJ23/AI23-1</f>
        <v>6.075533661740562E-2</v>
      </c>
      <c r="AK25" s="684">
        <f>AK23/AJ23-1</f>
        <v>-4.3743372216331622E-3</v>
      </c>
      <c r="AL25" s="686"/>
      <c r="AM25" s="684">
        <f>AM23/AK23-1</f>
        <v>2.2707493313105509E-3</v>
      </c>
      <c r="AN25" s="684">
        <f>AN23/AM23-1</f>
        <v>-3.0931856926665113E-2</v>
      </c>
      <c r="AO25" s="684">
        <f>AO23/AN23-1</f>
        <v>3.8700783926425508E-2</v>
      </c>
      <c r="AP25" s="684">
        <f>AP23/AO23-1</f>
        <v>1.568464195256758E-2</v>
      </c>
      <c r="AQ25" s="686"/>
      <c r="AR25" s="684">
        <f>AR23/AP23-1</f>
        <v>-5.1933041557155057E-3</v>
      </c>
      <c r="AS25" s="684">
        <f>AS23/AR23-1</f>
        <v>-2.2096586250053951E-2</v>
      </c>
      <c r="AT25" s="684">
        <f>AT23/AS23-1</f>
        <v>3.5167957042957054E-2</v>
      </c>
      <c r="AU25" s="684">
        <f>AU23/AT23-1</f>
        <v>1.8072289156626287E-2</v>
      </c>
      <c r="AV25" s="686"/>
      <c r="AW25" s="684">
        <f>AW23/AU23-1</f>
        <v>0</v>
      </c>
      <c r="AX25" s="684">
        <f>AX23/AW23-1</f>
        <v>-1.7751479289940697E-2</v>
      </c>
      <c r="AY25" s="684">
        <f>AY23/AX23-1</f>
        <v>2.409638554216853E-2</v>
      </c>
      <c r="AZ25" s="684">
        <f>AZ23/AY23-1</f>
        <v>5.8823529411764497E-3</v>
      </c>
      <c r="BA25" s="686"/>
    </row>
    <row r="26" spans="1:53" s="654" customFormat="1" ht="18.75" customHeight="1" outlineLevel="1" x14ac:dyDescent="0.2">
      <c r="A26" s="654" t="s">
        <v>420</v>
      </c>
      <c r="B26" s="687" t="s">
        <v>305</v>
      </c>
      <c r="C26" s="688"/>
      <c r="D26" s="688"/>
      <c r="E26" s="688"/>
      <c r="F26" s="688"/>
      <c r="G26" s="689"/>
      <c r="H26" s="690"/>
      <c r="I26" s="688"/>
      <c r="J26" s="688"/>
      <c r="K26" s="688"/>
      <c r="L26" s="689"/>
      <c r="M26" s="690"/>
      <c r="N26" s="688"/>
      <c r="O26" s="688"/>
      <c r="P26" s="688"/>
      <c r="Q26" s="689"/>
      <c r="R26" s="690"/>
      <c r="S26" s="688"/>
      <c r="T26" s="688"/>
      <c r="U26" s="688"/>
      <c r="V26" s="689"/>
      <c r="W26" s="690"/>
      <c r="X26" s="688"/>
      <c r="Y26" s="688"/>
      <c r="Z26" s="688"/>
      <c r="AA26" s="689">
        <v>68000</v>
      </c>
      <c r="AB26" s="690"/>
      <c r="AC26" s="688">
        <v>75600</v>
      </c>
      <c r="AD26" s="688">
        <v>79600</v>
      </c>
      <c r="AE26" s="688">
        <v>82400</v>
      </c>
      <c r="AF26" s="689">
        <v>90800</v>
      </c>
      <c r="AG26" s="690">
        <f>SUM(AC26:AF26)</f>
        <v>328400</v>
      </c>
      <c r="AH26" s="688">
        <v>94100</v>
      </c>
      <c r="AI26" s="688">
        <v>98400</v>
      </c>
      <c r="AJ26" s="688">
        <v>98400</v>
      </c>
      <c r="AK26" s="689">
        <v>103600</v>
      </c>
      <c r="AL26" s="690">
        <f>SUM(AH26:AK26)</f>
        <v>394500</v>
      </c>
      <c r="AM26" s="688">
        <f>109100+56</f>
        <v>109156</v>
      </c>
      <c r="AN26" s="688">
        <f>112400-84+26</f>
        <v>112342</v>
      </c>
      <c r="AO26" s="688">
        <f>108500+87-12</f>
        <v>108575</v>
      </c>
      <c r="AP26" s="689">
        <f>119400+667782-667673</f>
        <v>119509</v>
      </c>
      <c r="AQ26" s="690">
        <f>SUM(AM26:AP26)</f>
        <v>449582</v>
      </c>
      <c r="AR26" s="688">
        <f>122500-4</f>
        <v>122496</v>
      </c>
      <c r="AS26" s="688">
        <f>128200-72</f>
        <v>128128</v>
      </c>
      <c r="AT26" s="688">
        <f t="shared" ref="AT26:AU26" si="71">AT20*AT23*100</f>
        <v>127101.30300000006</v>
      </c>
      <c r="AU26" s="688">
        <f t="shared" si="71"/>
        <v>136561.46400000001</v>
      </c>
      <c r="AV26" s="690">
        <f>SUM(AR26:AU26)</f>
        <v>514286.76700000011</v>
      </c>
      <c r="AW26" s="688">
        <f>AW20*AW23*100</f>
        <v>136430.81009999997</v>
      </c>
      <c r="AX26" s="688">
        <f t="shared" ref="AX26:AZ26" si="72">AX20*AX23*100</f>
        <v>142627.9719</v>
      </c>
      <c r="AY26" s="688">
        <f t="shared" si="72"/>
        <v>139971.84126975003</v>
      </c>
      <c r="AZ26" s="688">
        <f t="shared" si="72"/>
        <v>148589.25635160002</v>
      </c>
      <c r="BA26" s="690">
        <f>SUM(AW26:AZ26)</f>
        <v>567619.87962135009</v>
      </c>
    </row>
    <row r="27" spans="1:53" s="659" customFormat="1" outlineLevel="1" x14ac:dyDescent="0.2">
      <c r="B27" s="682"/>
      <c r="C27" s="683" t="s">
        <v>29</v>
      </c>
      <c r="D27" s="684"/>
      <c r="E27" s="684"/>
      <c r="F27" s="684"/>
      <c r="G27" s="684"/>
      <c r="H27" s="685"/>
      <c r="I27" s="684"/>
      <c r="J27" s="684"/>
      <c r="K27" s="684"/>
      <c r="L27" s="684"/>
      <c r="M27" s="685"/>
      <c r="N27" s="684"/>
      <c r="O27" s="684"/>
      <c r="P27" s="684"/>
      <c r="Q27" s="684"/>
      <c r="R27" s="685"/>
      <c r="S27" s="684"/>
      <c r="T27" s="684"/>
      <c r="U27" s="684"/>
      <c r="V27" s="684"/>
      <c r="W27" s="685"/>
      <c r="X27" s="684"/>
      <c r="Y27" s="684"/>
      <c r="Z27" s="684"/>
      <c r="AA27" s="684"/>
      <c r="AB27" s="685"/>
      <c r="AC27" s="684"/>
      <c r="AD27" s="684"/>
      <c r="AE27" s="684"/>
      <c r="AF27" s="684">
        <f>AF26/AA26-1</f>
        <v>0.33529411764705874</v>
      </c>
      <c r="AG27" s="685"/>
      <c r="AH27" s="684">
        <f t="shared" ref="AH27:AS27" si="73">AH26/AC26-1</f>
        <v>0.24470899470899465</v>
      </c>
      <c r="AI27" s="684">
        <f t="shared" si="73"/>
        <v>0.23618090452261309</v>
      </c>
      <c r="AJ27" s="684">
        <f t="shared" si="73"/>
        <v>0.19417475728155331</v>
      </c>
      <c r="AK27" s="684">
        <f t="shared" si="73"/>
        <v>0.1409691629955947</v>
      </c>
      <c r="AL27" s="685">
        <f t="shared" si="73"/>
        <v>0.2012789281364189</v>
      </c>
      <c r="AM27" s="684">
        <f t="shared" si="73"/>
        <v>0.15999999999999992</v>
      </c>
      <c r="AN27" s="684">
        <f t="shared" si="73"/>
        <v>0.14168699186991862</v>
      </c>
      <c r="AO27" s="684">
        <f t="shared" si="73"/>
        <v>0.10340447154471555</v>
      </c>
      <c r="AP27" s="684">
        <f t="shared" si="73"/>
        <v>0.15356177606177601</v>
      </c>
      <c r="AQ27" s="685">
        <f t="shared" si="73"/>
        <v>0.1396248415716097</v>
      </c>
      <c r="AR27" s="684">
        <f t="shared" si="73"/>
        <v>0.12221041445270986</v>
      </c>
      <c r="AS27" s="684">
        <f t="shared" si="73"/>
        <v>0.14051734880988409</v>
      </c>
      <c r="AT27" s="684">
        <f t="shared" ref="AT27" si="74">AT26/AO26-1</f>
        <v>0.17063138844117032</v>
      </c>
      <c r="AU27" s="684">
        <f t="shared" ref="AU27" si="75">AU26/AP26-1</f>
        <v>0.14268769716088325</v>
      </c>
      <c r="AV27" s="685">
        <f t="shared" ref="AV27" si="76">AV26/AQ26-1</f>
        <v>0.14392205871231534</v>
      </c>
      <c r="AW27" s="684">
        <f t="shared" ref="AW27" si="77">AW26/AR26-1</f>
        <v>0.11375726635971772</v>
      </c>
      <c r="AX27" s="684">
        <f t="shared" ref="AX27" si="78">AX26/AS26-1</f>
        <v>0.11316786260614387</v>
      </c>
      <c r="AY27" s="684">
        <f t="shared" ref="AY27" si="79">AY26/AT26-1</f>
        <v>0.10126204819277085</v>
      </c>
      <c r="AZ27" s="684">
        <f t="shared" ref="AZ27" si="80">AZ26/AU26-1</f>
        <v>8.8076035502958616E-2</v>
      </c>
      <c r="BA27" s="685">
        <f t="shared" ref="BA27" si="81">BA26/AV26-1</f>
        <v>0.10370306226710668</v>
      </c>
    </row>
    <row r="28" spans="1:53" s="659" customFormat="1" outlineLevel="1" x14ac:dyDescent="0.2">
      <c r="B28" s="682"/>
      <c r="C28" s="683" t="s">
        <v>76</v>
      </c>
      <c r="D28" s="684"/>
      <c r="E28" s="684"/>
      <c r="F28" s="684"/>
      <c r="G28" s="684"/>
      <c r="H28" s="686"/>
      <c r="I28" s="684"/>
      <c r="J28" s="684"/>
      <c r="K28" s="684"/>
      <c r="L28" s="684"/>
      <c r="M28" s="686"/>
      <c r="N28" s="684"/>
      <c r="O28" s="684"/>
      <c r="P28" s="684"/>
      <c r="Q28" s="684"/>
      <c r="R28" s="686"/>
      <c r="S28" s="684"/>
      <c r="T28" s="684"/>
      <c r="U28" s="684"/>
      <c r="V28" s="684"/>
      <c r="W28" s="686"/>
      <c r="X28" s="684"/>
      <c r="Y28" s="684"/>
      <c r="Z28" s="684"/>
      <c r="AA28" s="684"/>
      <c r="AB28" s="686"/>
      <c r="AC28" s="684">
        <f>AC26/AA26-1</f>
        <v>0.11176470588235299</v>
      </c>
      <c r="AD28" s="684">
        <f>AD26/AC26-1</f>
        <v>5.2910052910053018E-2</v>
      </c>
      <c r="AE28" s="684">
        <f>AE26/AD26-1</f>
        <v>3.5175879396984966E-2</v>
      </c>
      <c r="AF28" s="684">
        <f>AF26/AE26-1</f>
        <v>0.10194174757281549</v>
      </c>
      <c r="AG28" s="686"/>
      <c r="AH28" s="684">
        <f>AH26/AF26-1</f>
        <v>3.6343612334801767E-2</v>
      </c>
      <c r="AI28" s="684">
        <f>AI26/AH26-1</f>
        <v>4.56960680127525E-2</v>
      </c>
      <c r="AJ28" s="684">
        <f>AJ26/AI26-1</f>
        <v>0</v>
      </c>
      <c r="AK28" s="684">
        <f>AK26/AJ26-1</f>
        <v>5.2845528455284452E-2</v>
      </c>
      <c r="AL28" s="686"/>
      <c r="AM28" s="684">
        <f>AM26/AK26-1</f>
        <v>5.3629343629343573E-2</v>
      </c>
      <c r="AN28" s="684">
        <f>AN26/AM26-1</f>
        <v>2.91875847411045E-2</v>
      </c>
      <c r="AO28" s="684">
        <f>AO26/AN26-1</f>
        <v>-3.3531537626177221E-2</v>
      </c>
      <c r="AP28" s="684">
        <f>AP26/AO26-1</f>
        <v>0.10070458208611566</v>
      </c>
      <c r="AQ28" s="686"/>
      <c r="AR28" s="684">
        <f>AR26/AP26-1</f>
        <v>2.499393351128365E-2</v>
      </c>
      <c r="AS28" s="684">
        <f>AS26/AR26-1</f>
        <v>4.5977011494252817E-2</v>
      </c>
      <c r="AT28" s="684">
        <f>AT26/AS26-1</f>
        <v>-8.0130572552442603E-3</v>
      </c>
      <c r="AU28" s="684">
        <f>AU26/AT26-1</f>
        <v>7.4430086684476704E-2</v>
      </c>
      <c r="AV28" s="686"/>
      <c r="AW28" s="684">
        <f>AW26/AU26-1</f>
        <v>-9.5674062193729092E-4</v>
      </c>
      <c r="AX28" s="684">
        <f>AX26/AW26-1</f>
        <v>4.5423477258968781E-2</v>
      </c>
      <c r="AY28" s="684">
        <f>AY26/AX26-1</f>
        <v>-1.8622789028454045E-2</v>
      </c>
      <c r="AZ28" s="684">
        <f>AZ26/AY26-1</f>
        <v>6.1565347741927123E-2</v>
      </c>
      <c r="BA28" s="686"/>
    </row>
    <row r="29" spans="1:53" s="654" customFormat="1" ht="18" customHeight="1" outlineLevel="1" x14ac:dyDescent="0.2">
      <c r="B29" s="710" t="s">
        <v>34</v>
      </c>
      <c r="C29" s="711"/>
      <c r="D29" s="711"/>
      <c r="E29" s="711"/>
      <c r="F29" s="711"/>
      <c r="G29" s="711"/>
      <c r="H29" s="712"/>
      <c r="I29" s="711"/>
      <c r="J29" s="711"/>
      <c r="K29" s="711"/>
      <c r="L29" s="711"/>
      <c r="M29" s="712"/>
      <c r="N29" s="711"/>
      <c r="O29" s="711"/>
      <c r="P29" s="711"/>
      <c r="Q29" s="711"/>
      <c r="R29" s="712"/>
      <c r="S29" s="711"/>
      <c r="T29" s="711"/>
      <c r="U29" s="711"/>
      <c r="V29" s="711"/>
      <c r="W29" s="712"/>
      <c r="X29" s="711"/>
      <c r="Y29" s="711"/>
      <c r="Z29" s="711"/>
      <c r="AA29" s="711">
        <f>SUM(AA11,AA26)</f>
        <v>105600</v>
      </c>
      <c r="AB29" s="712"/>
      <c r="AC29" s="711">
        <f t="shared" ref="AC29:AK29" si="82">SUM(AC11,AC26)</f>
        <v>115900</v>
      </c>
      <c r="AD29" s="711">
        <f t="shared" si="82"/>
        <v>122300</v>
      </c>
      <c r="AE29" s="711">
        <f t="shared" si="82"/>
        <v>128800</v>
      </c>
      <c r="AF29" s="711">
        <f t="shared" si="82"/>
        <v>138600</v>
      </c>
      <c r="AG29" s="712">
        <f>SUM(AC29:AF29)</f>
        <v>505600</v>
      </c>
      <c r="AH29" s="711">
        <f t="shared" si="82"/>
        <v>143400</v>
      </c>
      <c r="AI29" s="711">
        <f t="shared" si="82"/>
        <v>148100</v>
      </c>
      <c r="AJ29" s="711">
        <f t="shared" si="82"/>
        <v>149100</v>
      </c>
      <c r="AK29" s="711">
        <f t="shared" si="82"/>
        <v>154900</v>
      </c>
      <c r="AL29" s="712">
        <f>SUM(AH29:AK29)</f>
        <v>595500</v>
      </c>
      <c r="AM29" s="711">
        <f t="shared" ref="AM29:AP29" si="83">SUM(AM11,AM26)</f>
        <v>162256</v>
      </c>
      <c r="AN29" s="711">
        <f t="shared" si="83"/>
        <v>166842</v>
      </c>
      <c r="AO29" s="711">
        <f t="shared" si="83"/>
        <v>163775</v>
      </c>
      <c r="AP29" s="711">
        <f t="shared" si="83"/>
        <v>174909</v>
      </c>
      <c r="AQ29" s="712">
        <f>SUM(AM29:AP29)</f>
        <v>667782</v>
      </c>
      <c r="AR29" s="711">
        <f t="shared" ref="AR29:AS29" si="84">SUM(AR11,AR26)</f>
        <v>178596</v>
      </c>
      <c r="AS29" s="711">
        <f t="shared" si="84"/>
        <v>185828</v>
      </c>
      <c r="AT29" s="711">
        <f t="shared" ref="AT29:AU29" si="85">SUM(AT11,AT26)</f>
        <v>186293.50566990298</v>
      </c>
      <c r="AU29" s="711">
        <f t="shared" si="85"/>
        <v>197027.5406961652</v>
      </c>
      <c r="AV29" s="712">
        <f>SUM(AR29:AU29)</f>
        <v>747745.04636606819</v>
      </c>
      <c r="AW29" s="711">
        <f t="shared" ref="AW29:AZ29" si="86">SUM(AW11,AW26)</f>
        <v>198377.25462449566</v>
      </c>
      <c r="AX29" s="711">
        <f t="shared" si="86"/>
        <v>206142.66908309859</v>
      </c>
      <c r="AY29" s="711">
        <f t="shared" si="86"/>
        <v>205024.07200397333</v>
      </c>
      <c r="AZ29" s="711">
        <f t="shared" si="86"/>
        <v>214938.51888847316</v>
      </c>
      <c r="BA29" s="712">
        <f>SUM(AW29:AZ29)</f>
        <v>824482.51460004074</v>
      </c>
    </row>
    <row r="30" spans="1:53" s="659" customFormat="1" outlineLevel="1" x14ac:dyDescent="0.2">
      <c r="B30" s="713"/>
      <c r="C30" s="714" t="s">
        <v>29</v>
      </c>
      <c r="D30" s="715"/>
      <c r="E30" s="715"/>
      <c r="F30" s="715"/>
      <c r="G30" s="715"/>
      <c r="H30" s="716"/>
      <c r="I30" s="715"/>
      <c r="J30" s="715"/>
      <c r="K30" s="715"/>
      <c r="L30" s="715"/>
      <c r="M30" s="716"/>
      <c r="N30" s="715"/>
      <c r="O30" s="715"/>
      <c r="P30" s="715"/>
      <c r="Q30" s="715"/>
      <c r="R30" s="716"/>
      <c r="S30" s="715"/>
      <c r="T30" s="715"/>
      <c r="U30" s="715"/>
      <c r="V30" s="715"/>
      <c r="W30" s="716"/>
      <c r="X30" s="715"/>
      <c r="Y30" s="715"/>
      <c r="Z30" s="715"/>
      <c r="AA30" s="715"/>
      <c r="AB30" s="716"/>
      <c r="AC30" s="715"/>
      <c r="AD30" s="715"/>
      <c r="AE30" s="715"/>
      <c r="AF30" s="715">
        <f t="shared" ref="AF30" si="87">AF29/AA29-1</f>
        <v>0.3125</v>
      </c>
      <c r="AG30" s="716"/>
      <c r="AH30" s="715">
        <f t="shared" ref="AH30" si="88">AH29/AC29-1</f>
        <v>0.23727351164797228</v>
      </c>
      <c r="AI30" s="715">
        <f t="shared" ref="AI30" si="89">AI29/AD29-1</f>
        <v>0.21095666394112844</v>
      </c>
      <c r="AJ30" s="715">
        <f t="shared" ref="AJ30:AS30" si="90">AJ29/AE29-1</f>
        <v>0.15760869565217384</v>
      </c>
      <c r="AK30" s="715">
        <f t="shared" si="90"/>
        <v>0.11760461760461771</v>
      </c>
      <c r="AL30" s="716">
        <f t="shared" si="90"/>
        <v>0.17780854430379756</v>
      </c>
      <c r="AM30" s="715">
        <f t="shared" si="90"/>
        <v>0.13149232914923292</v>
      </c>
      <c r="AN30" s="715">
        <f t="shared" si="90"/>
        <v>0.12654962862930463</v>
      </c>
      <c r="AO30" s="715">
        <f t="shared" si="90"/>
        <v>9.8423876592890647E-2</v>
      </c>
      <c r="AP30" s="715">
        <f t="shared" si="90"/>
        <v>0.12917366042608136</v>
      </c>
      <c r="AQ30" s="716">
        <f t="shared" ref="AQ30" si="91">AQ29/AL29-1</f>
        <v>0.12138035264483626</v>
      </c>
      <c r="AR30" s="715">
        <f t="shared" si="90"/>
        <v>0.10070505867271473</v>
      </c>
      <c r="AS30" s="715">
        <f t="shared" si="90"/>
        <v>0.11379628630680516</v>
      </c>
      <c r="AT30" s="715">
        <f t="shared" ref="AT30" si="92">AT29/AO29-1</f>
        <v>0.13749660002993735</v>
      </c>
      <c r="AU30" s="715">
        <f t="shared" ref="AU30" si="93">AU29/AP29-1</f>
        <v>0.12645741897881302</v>
      </c>
      <c r="AV30" s="716">
        <f t="shared" ref="AV30" si="94">AV29/AQ29-1</f>
        <v>0.1197442374398654</v>
      </c>
      <c r="AW30" s="715">
        <f t="shared" ref="AW30" si="95">AW29/AR29-1</f>
        <v>0.1107597853507114</v>
      </c>
      <c r="AX30" s="715">
        <f t="shared" ref="AX30" si="96">AX29/AS29-1</f>
        <v>0.10931974235905573</v>
      </c>
      <c r="AY30" s="715">
        <f t="shared" ref="AY30" si="97">AY29/AT29-1</f>
        <v>0.10054331344893686</v>
      </c>
      <c r="AZ30" s="715">
        <f t="shared" ref="AZ30" si="98">AZ29/AU29-1</f>
        <v>9.0905962329034695E-2</v>
      </c>
      <c r="BA30" s="716">
        <f t="shared" ref="BA30" si="99">BA29/AV29-1</f>
        <v>0.10262517766838508</v>
      </c>
    </row>
    <row r="31" spans="1:53" s="659" customFormat="1" ht="13.5" outlineLevel="1" thickBot="1" x14ac:dyDescent="0.25">
      <c r="B31" s="717"/>
      <c r="C31" s="718" t="s">
        <v>76</v>
      </c>
      <c r="D31" s="719"/>
      <c r="E31" s="719"/>
      <c r="F31" s="719"/>
      <c r="G31" s="719"/>
      <c r="H31" s="720"/>
      <c r="I31" s="719"/>
      <c r="J31" s="719"/>
      <c r="K31" s="719"/>
      <c r="L31" s="719"/>
      <c r="M31" s="720"/>
      <c r="N31" s="719"/>
      <c r="O31" s="719"/>
      <c r="P31" s="719"/>
      <c r="Q31" s="719"/>
      <c r="R31" s="720"/>
      <c r="S31" s="719"/>
      <c r="T31" s="719"/>
      <c r="U31" s="719"/>
      <c r="V31" s="719"/>
      <c r="W31" s="720"/>
      <c r="X31" s="719"/>
      <c r="Y31" s="719"/>
      <c r="Z31" s="719"/>
      <c r="AA31" s="719"/>
      <c r="AB31" s="720"/>
      <c r="AC31" s="719">
        <f>AC29/AA29-1</f>
        <v>9.7537878787878896E-2</v>
      </c>
      <c r="AD31" s="719">
        <f>AD29/AC29-1</f>
        <v>5.522001725625536E-2</v>
      </c>
      <c r="AE31" s="719">
        <f>AE29/AD29-1</f>
        <v>5.3147996729353997E-2</v>
      </c>
      <c r="AF31" s="719">
        <f>AF29/AE29-1</f>
        <v>7.6086956521739024E-2</v>
      </c>
      <c r="AG31" s="720"/>
      <c r="AH31" s="719">
        <f>AH29/AF29-1</f>
        <v>3.463203463203457E-2</v>
      </c>
      <c r="AI31" s="719">
        <f>AI29/AH29-1</f>
        <v>3.2775453277545274E-2</v>
      </c>
      <c r="AJ31" s="719">
        <f>AJ29/AI29-1</f>
        <v>6.7521944632005226E-3</v>
      </c>
      <c r="AK31" s="719">
        <f>AK29/AJ29-1</f>
        <v>3.8900067069081112E-2</v>
      </c>
      <c r="AL31" s="720"/>
      <c r="AM31" s="719">
        <f>AM29/AK29-1</f>
        <v>4.7488702388637893E-2</v>
      </c>
      <c r="AN31" s="719">
        <f>AN29/AM29-1</f>
        <v>2.8263977911448634E-2</v>
      </c>
      <c r="AO31" s="719">
        <f>AO29/AN29-1</f>
        <v>-1.8382661440164982E-2</v>
      </c>
      <c r="AP31" s="719">
        <f>AP29/AO29-1</f>
        <v>6.7983513967333264E-2</v>
      </c>
      <c r="AQ31" s="720"/>
      <c r="AR31" s="719">
        <f>AR29/AP29-1</f>
        <v>2.1079532785619914E-2</v>
      </c>
      <c r="AS31" s="719">
        <f>AS29/AR29-1</f>
        <v>4.04936280767767E-2</v>
      </c>
      <c r="AT31" s="719">
        <f>AT29/AS29-1</f>
        <v>2.5050351394999559E-3</v>
      </c>
      <c r="AU31" s="719">
        <f>AU29/AT29-1</f>
        <v>5.7618943761153174E-2</v>
      </c>
      <c r="AV31" s="720"/>
      <c r="AW31" s="719">
        <f>AW29/AU29-1</f>
        <v>6.8503820509633329E-3</v>
      </c>
      <c r="AX31" s="719">
        <f>AX29/AW29-1</f>
        <v>3.9144681547801152E-2</v>
      </c>
      <c r="AY31" s="719">
        <f>AY29/AX29-1</f>
        <v>-5.4263248074776227E-3</v>
      </c>
      <c r="AZ31" s="719">
        <f>AZ29/AY29-1</f>
        <v>4.835747718593586E-2</v>
      </c>
      <c r="BA31" s="720"/>
    </row>
    <row r="32" spans="1:53" x14ac:dyDescent="0.2">
      <c r="AQ32" s="762"/>
    </row>
    <row r="33" spans="1:53" ht="13.5" thickBot="1" x14ac:dyDescent="0.25"/>
    <row r="34" spans="1:53" ht="13.5" thickBot="1" x14ac:dyDescent="0.25">
      <c r="B34" s="868" t="s">
        <v>411</v>
      </c>
      <c r="C34" s="869"/>
      <c r="D34" s="670" t="str">
        <f t="shared" ref="D34:BA34" si="100">D$104</f>
        <v>1Q18</v>
      </c>
      <c r="E34" s="670" t="str">
        <f t="shared" si="100"/>
        <v>2Q18</v>
      </c>
      <c r="F34" s="670" t="str">
        <f t="shared" si="100"/>
        <v>3Q18</v>
      </c>
      <c r="G34" s="670" t="str">
        <f t="shared" si="100"/>
        <v>4Q18</v>
      </c>
      <c r="H34" s="671">
        <f t="shared" si="100"/>
        <v>2018</v>
      </c>
      <c r="I34" s="670" t="str">
        <f t="shared" si="100"/>
        <v>1Q19</v>
      </c>
      <c r="J34" s="670" t="str">
        <f t="shared" si="100"/>
        <v>2Q19</v>
      </c>
      <c r="K34" s="670" t="str">
        <f t="shared" si="100"/>
        <v>3Q19</v>
      </c>
      <c r="L34" s="670" t="str">
        <f t="shared" si="100"/>
        <v>4Q19</v>
      </c>
      <c r="M34" s="671">
        <f t="shared" si="100"/>
        <v>2019</v>
      </c>
      <c r="N34" s="670" t="str">
        <f t="shared" si="100"/>
        <v>1Q20</v>
      </c>
      <c r="O34" s="670" t="str">
        <f t="shared" si="100"/>
        <v>2Q20</v>
      </c>
      <c r="P34" s="670" t="str">
        <f t="shared" si="100"/>
        <v>3Q20</v>
      </c>
      <c r="Q34" s="670" t="str">
        <f t="shared" si="100"/>
        <v>4Q20</v>
      </c>
      <c r="R34" s="671">
        <f t="shared" si="100"/>
        <v>2020</v>
      </c>
      <c r="S34" s="670" t="str">
        <f t="shared" si="100"/>
        <v>1Q21</v>
      </c>
      <c r="T34" s="670" t="str">
        <f t="shared" si="100"/>
        <v>2Q21</v>
      </c>
      <c r="U34" s="670" t="str">
        <f t="shared" si="100"/>
        <v>3Q21</v>
      </c>
      <c r="V34" s="670" t="str">
        <f t="shared" si="100"/>
        <v>4Q21</v>
      </c>
      <c r="W34" s="671">
        <f t="shared" si="100"/>
        <v>2021</v>
      </c>
      <c r="X34" s="670" t="str">
        <f t="shared" si="100"/>
        <v>1Q22</v>
      </c>
      <c r="Y34" s="670" t="str">
        <f t="shared" si="100"/>
        <v>2Q22</v>
      </c>
      <c r="Z34" s="670" t="str">
        <f t="shared" si="100"/>
        <v>3Q22</v>
      </c>
      <c r="AA34" s="670" t="str">
        <f t="shared" si="100"/>
        <v>4Q22</v>
      </c>
      <c r="AB34" s="671">
        <f t="shared" si="100"/>
        <v>2022</v>
      </c>
      <c r="AC34" s="670" t="str">
        <f t="shared" si="100"/>
        <v>1Q23</v>
      </c>
      <c r="AD34" s="670" t="str">
        <f t="shared" si="100"/>
        <v>2Q23</v>
      </c>
      <c r="AE34" s="670" t="str">
        <f t="shared" si="100"/>
        <v>3Q23</v>
      </c>
      <c r="AF34" s="670" t="str">
        <f t="shared" si="100"/>
        <v>4Q23</v>
      </c>
      <c r="AG34" s="671">
        <f t="shared" si="100"/>
        <v>2023</v>
      </c>
      <c r="AH34" s="670" t="str">
        <f t="shared" si="100"/>
        <v>1Q24</v>
      </c>
      <c r="AI34" s="670" t="str">
        <f t="shared" si="100"/>
        <v>2Q24</v>
      </c>
      <c r="AJ34" s="670" t="str">
        <f t="shared" si="100"/>
        <v>3Q24</v>
      </c>
      <c r="AK34" s="670" t="str">
        <f t="shared" si="100"/>
        <v>4Q24</v>
      </c>
      <c r="AL34" s="671">
        <f t="shared" si="100"/>
        <v>2024</v>
      </c>
      <c r="AM34" s="670" t="str">
        <f t="shared" si="100"/>
        <v>1Q25</v>
      </c>
      <c r="AN34" s="670" t="str">
        <f t="shared" si="100"/>
        <v>2Q25</v>
      </c>
      <c r="AO34" s="670" t="str">
        <f t="shared" si="100"/>
        <v>3Q25</v>
      </c>
      <c r="AP34" s="670" t="str">
        <f t="shared" si="100"/>
        <v>4Q25</v>
      </c>
      <c r="AQ34" s="671">
        <f t="shared" si="100"/>
        <v>2025</v>
      </c>
      <c r="AR34" s="670" t="str">
        <f t="shared" si="100"/>
        <v>1Q26</v>
      </c>
      <c r="AS34" s="670" t="str">
        <f t="shared" si="100"/>
        <v>2Q26</v>
      </c>
      <c r="AT34" s="670" t="str">
        <f t="shared" si="100"/>
        <v>3Q26E</v>
      </c>
      <c r="AU34" s="670" t="str">
        <f t="shared" si="100"/>
        <v>4Q26E</v>
      </c>
      <c r="AV34" s="671" t="str">
        <f t="shared" si="100"/>
        <v>2026E</v>
      </c>
      <c r="AW34" s="670" t="str">
        <f t="shared" si="100"/>
        <v>1Q27E</v>
      </c>
      <c r="AX34" s="670" t="str">
        <f t="shared" si="100"/>
        <v>2Q27E</v>
      </c>
      <c r="AY34" s="670" t="str">
        <f t="shared" si="100"/>
        <v>3Q27E</v>
      </c>
      <c r="AZ34" s="670" t="str">
        <f t="shared" si="100"/>
        <v>4Q27E</v>
      </c>
      <c r="BA34" s="671" t="str">
        <f t="shared" si="100"/>
        <v>2027E</v>
      </c>
    </row>
    <row r="35" spans="1:53" outlineLevel="1" x14ac:dyDescent="0.2">
      <c r="A35" s="669" t="s">
        <v>420</v>
      </c>
      <c r="B35" s="691" t="s">
        <v>290</v>
      </c>
      <c r="C35" s="692"/>
      <c r="D35" s="693"/>
      <c r="E35" s="693"/>
      <c r="F35" s="693"/>
      <c r="G35" s="693"/>
      <c r="H35" s="694"/>
      <c r="I35" s="693"/>
      <c r="J35" s="693"/>
      <c r="K35" s="693"/>
      <c r="L35" s="693"/>
      <c r="M35" s="694"/>
      <c r="N35" s="693"/>
      <c r="O35" s="693"/>
      <c r="P35" s="693"/>
      <c r="Q35" s="693"/>
      <c r="R35" s="694"/>
      <c r="S35" s="693"/>
      <c r="T35" s="693"/>
      <c r="U35" s="693"/>
      <c r="V35" s="693"/>
      <c r="W35" s="694"/>
      <c r="X35" s="693">
        <v>13500</v>
      </c>
      <c r="Y35" s="693">
        <v>15500</v>
      </c>
      <c r="Z35" s="693">
        <v>18100</v>
      </c>
      <c r="AA35" s="693">
        <v>20700</v>
      </c>
      <c r="AB35" s="694">
        <f>AA35</f>
        <v>20700</v>
      </c>
      <c r="AC35" s="693">
        <v>22800</v>
      </c>
      <c r="AD35" s="693">
        <v>24700</v>
      </c>
      <c r="AE35" s="693">
        <v>27100</v>
      </c>
      <c r="AF35" s="693">
        <v>29200</v>
      </c>
      <c r="AG35" s="694">
        <f>AF35</f>
        <v>29200</v>
      </c>
      <c r="AH35" s="693">
        <v>30700</v>
      </c>
      <c r="AI35" s="693">
        <v>31600</v>
      </c>
      <c r="AJ35" s="693">
        <v>33500</v>
      </c>
      <c r="AK35" s="693">
        <v>34800</v>
      </c>
      <c r="AL35" s="694">
        <f>AK35</f>
        <v>34800</v>
      </c>
      <c r="AM35" s="693">
        <v>36400</v>
      </c>
      <c r="AN35" s="693">
        <v>37800</v>
      </c>
      <c r="AO35" s="693">
        <v>39500</v>
      </c>
      <c r="AP35" s="693">
        <v>41100</v>
      </c>
      <c r="AQ35" s="694">
        <f>AP35</f>
        <v>41100</v>
      </c>
      <c r="AR35" s="693">
        <v>42500</v>
      </c>
      <c r="AS35" s="693">
        <v>44000</v>
      </c>
      <c r="AT35" s="693">
        <f>AS35+AT36</f>
        <v>45250</v>
      </c>
      <c r="AU35" s="693">
        <f>AT35+AU36</f>
        <v>46500</v>
      </c>
      <c r="AV35" s="694">
        <f>AU35</f>
        <v>46500</v>
      </c>
      <c r="AW35" s="693">
        <f>AU35+AW36</f>
        <v>47800</v>
      </c>
      <c r="AX35" s="693">
        <f>AW35+AX36</f>
        <v>49100</v>
      </c>
      <c r="AY35" s="693">
        <f>AX35+AY36</f>
        <v>50400</v>
      </c>
      <c r="AZ35" s="693">
        <f>AY35+AZ36</f>
        <v>51700</v>
      </c>
      <c r="BA35" s="694">
        <f>AZ35</f>
        <v>51700</v>
      </c>
    </row>
    <row r="36" spans="1:53" outlineLevel="1" x14ac:dyDescent="0.2">
      <c r="B36" s="695"/>
      <c r="C36" s="696" t="s">
        <v>28</v>
      </c>
      <c r="D36" s="696"/>
      <c r="E36" s="696"/>
      <c r="F36" s="696"/>
      <c r="G36" s="697"/>
      <c r="H36" s="698"/>
      <c r="I36" s="696"/>
      <c r="J36" s="696"/>
      <c r="K36" s="696"/>
      <c r="L36" s="697"/>
      <c r="M36" s="698"/>
      <c r="N36" s="696"/>
      <c r="O36" s="696"/>
      <c r="P36" s="696"/>
      <c r="Q36" s="697"/>
      <c r="R36" s="698"/>
      <c r="S36" s="696"/>
      <c r="T36" s="696"/>
      <c r="U36" s="696"/>
      <c r="V36" s="697"/>
      <c r="W36" s="698"/>
      <c r="X36" s="696"/>
      <c r="Y36" s="696">
        <f>Y35-X35</f>
        <v>2000</v>
      </c>
      <c r="Z36" s="696">
        <f>Z35-Y35</f>
        <v>2600</v>
      </c>
      <c r="AA36" s="696">
        <f>AA35-Z35</f>
        <v>2600</v>
      </c>
      <c r="AB36" s="698"/>
      <c r="AC36" s="696">
        <f>AC35-AA35</f>
        <v>2100</v>
      </c>
      <c r="AD36" s="696">
        <f>AD35-AC35</f>
        <v>1900</v>
      </c>
      <c r="AE36" s="696">
        <f>AE35-AD35</f>
        <v>2400</v>
      </c>
      <c r="AF36" s="696">
        <f>AF35-AE35</f>
        <v>2100</v>
      </c>
      <c r="AG36" s="698">
        <f>SUM(AC36:AF36)</f>
        <v>8500</v>
      </c>
      <c r="AH36" s="696">
        <f>AH35-AF35</f>
        <v>1500</v>
      </c>
      <c r="AI36" s="696">
        <f>AI35-AH35</f>
        <v>900</v>
      </c>
      <c r="AJ36" s="696">
        <f>AJ35-AI35</f>
        <v>1900</v>
      </c>
      <c r="AK36" s="696">
        <f>AK35-AJ35</f>
        <v>1300</v>
      </c>
      <c r="AL36" s="698">
        <f>SUM(AH36:AK36)</f>
        <v>5600</v>
      </c>
      <c r="AM36" s="696">
        <f>AM35-AK35</f>
        <v>1600</v>
      </c>
      <c r="AN36" s="696">
        <f>AN35-AM35</f>
        <v>1400</v>
      </c>
      <c r="AO36" s="696">
        <f>AO35-AN35</f>
        <v>1700</v>
      </c>
      <c r="AP36" s="696">
        <f>AP35-AO35</f>
        <v>1600</v>
      </c>
      <c r="AQ36" s="698">
        <f>SUM(AM36:AP36)</f>
        <v>6300</v>
      </c>
      <c r="AR36" s="696">
        <f>AR35-AP35</f>
        <v>1400</v>
      </c>
      <c r="AS36" s="696">
        <f>AS35-AR35</f>
        <v>1500</v>
      </c>
      <c r="AT36" s="721">
        <v>1250</v>
      </c>
      <c r="AU36" s="721">
        <v>1250</v>
      </c>
      <c r="AV36" s="698">
        <f>SUM(AR36:AU36)</f>
        <v>5400</v>
      </c>
      <c r="AW36" s="721">
        <v>1300</v>
      </c>
      <c r="AX36" s="721">
        <v>1300</v>
      </c>
      <c r="AY36" s="721">
        <v>1300</v>
      </c>
      <c r="AZ36" s="721">
        <v>1300</v>
      </c>
      <c r="BA36" s="698">
        <f>SUM(AW36:AZ36)</f>
        <v>5200</v>
      </c>
    </row>
    <row r="37" spans="1:53" outlineLevel="1" x14ac:dyDescent="0.2">
      <c r="B37" s="699"/>
      <c r="C37" s="700" t="s">
        <v>29</v>
      </c>
      <c r="D37" s="701"/>
      <c r="E37" s="701"/>
      <c r="F37" s="701"/>
      <c r="G37" s="701"/>
      <c r="H37" s="702"/>
      <c r="I37" s="701"/>
      <c r="J37" s="701"/>
      <c r="K37" s="701"/>
      <c r="L37" s="701"/>
      <c r="M37" s="702"/>
      <c r="N37" s="701"/>
      <c r="O37" s="701"/>
      <c r="P37" s="701"/>
      <c r="Q37" s="701"/>
      <c r="R37" s="702"/>
      <c r="S37" s="701"/>
      <c r="T37" s="701"/>
      <c r="U37" s="701"/>
      <c r="V37" s="701"/>
      <c r="W37" s="702"/>
      <c r="X37" s="701"/>
      <c r="Y37" s="701"/>
      <c r="Z37" s="701"/>
      <c r="AA37" s="701"/>
      <c r="AB37" s="702"/>
      <c r="AC37" s="701">
        <f t="shared" ref="AC37" si="101">AC35/X35-1</f>
        <v>0.68888888888888888</v>
      </c>
      <c r="AD37" s="701">
        <f t="shared" ref="AD37" si="102">AD35/Y35-1</f>
        <v>0.59354838709677415</v>
      </c>
      <c r="AE37" s="701">
        <f t="shared" ref="AE37" si="103">AE35/Z35-1</f>
        <v>0.49723756906077354</v>
      </c>
      <c r="AF37" s="701">
        <f t="shared" ref="AF37:AG37" si="104">AF35/AA35-1</f>
        <v>0.41062801932367154</v>
      </c>
      <c r="AG37" s="702">
        <f t="shared" si="104"/>
        <v>0.41062801932367154</v>
      </c>
      <c r="AH37" s="701">
        <f t="shared" ref="AH37" si="105">AH35/AC35-1</f>
        <v>0.34649122807017552</v>
      </c>
      <c r="AI37" s="701">
        <f t="shared" ref="AI37" si="106">AI35/AD35-1</f>
        <v>0.27935222672064786</v>
      </c>
      <c r="AJ37" s="701">
        <f t="shared" ref="AJ37" si="107">AJ35/AE35-1</f>
        <v>0.23616236162361615</v>
      </c>
      <c r="AK37" s="701">
        <f t="shared" ref="AK37:AS37" si="108">AK35/AF35-1</f>
        <v>0.19178082191780832</v>
      </c>
      <c r="AL37" s="702">
        <f t="shared" si="108"/>
        <v>0.19178082191780832</v>
      </c>
      <c r="AM37" s="701">
        <f t="shared" si="108"/>
        <v>0.18566775244299683</v>
      </c>
      <c r="AN37" s="701">
        <f t="shared" si="108"/>
        <v>0.19620253164556956</v>
      </c>
      <c r="AO37" s="701">
        <f t="shared" si="108"/>
        <v>0.17910447761194037</v>
      </c>
      <c r="AP37" s="701">
        <f t="shared" si="108"/>
        <v>0.18103448275862077</v>
      </c>
      <c r="AQ37" s="702">
        <f t="shared" ref="AQ37" si="109">AQ35/AL35-1</f>
        <v>0.18103448275862077</v>
      </c>
      <c r="AR37" s="701">
        <f t="shared" si="108"/>
        <v>0.16758241758241765</v>
      </c>
      <c r="AS37" s="701">
        <f t="shared" si="108"/>
        <v>0.16402116402116396</v>
      </c>
      <c r="AT37" s="701">
        <f t="shared" ref="AT37" si="110">AT35/AO35-1</f>
        <v>0.14556962025316467</v>
      </c>
      <c r="AU37" s="701">
        <f t="shared" ref="AU37" si="111">AU35/AP35-1</f>
        <v>0.13138686131386867</v>
      </c>
      <c r="AV37" s="702">
        <f t="shared" ref="AV37" si="112">AV35/AQ35-1</f>
        <v>0.13138686131386867</v>
      </c>
      <c r="AW37" s="701">
        <f t="shared" ref="AW37" si="113">AW35/AR35-1</f>
        <v>0.12470588235294122</v>
      </c>
      <c r="AX37" s="701">
        <f t="shared" ref="AX37" si="114">AX35/AS35-1</f>
        <v>0.11590909090909096</v>
      </c>
      <c r="AY37" s="701">
        <f t="shared" ref="AY37" si="115">AY35/AT35-1</f>
        <v>0.11381215469613259</v>
      </c>
      <c r="AZ37" s="701">
        <f t="shared" ref="AZ37" si="116">AZ35/AU35-1</f>
        <v>0.1118279569892473</v>
      </c>
      <c r="BA37" s="702">
        <f t="shared" ref="BA37" si="117">BA35/AV35-1</f>
        <v>0.1118279569892473</v>
      </c>
    </row>
    <row r="38" spans="1:53" outlineLevel="1" x14ac:dyDescent="0.2">
      <c r="B38" s="699"/>
      <c r="C38" s="700" t="s">
        <v>76</v>
      </c>
      <c r="D38" s="701"/>
      <c r="E38" s="701"/>
      <c r="F38" s="701"/>
      <c r="G38" s="701"/>
      <c r="H38" s="703"/>
      <c r="I38" s="701"/>
      <c r="J38" s="701"/>
      <c r="K38" s="701"/>
      <c r="L38" s="701"/>
      <c r="M38" s="703"/>
      <c r="N38" s="701"/>
      <c r="O38" s="701"/>
      <c r="P38" s="701"/>
      <c r="Q38" s="701"/>
      <c r="R38" s="703"/>
      <c r="S38" s="701"/>
      <c r="T38" s="701"/>
      <c r="U38" s="701"/>
      <c r="V38" s="701"/>
      <c r="W38" s="703"/>
      <c r="X38" s="701"/>
      <c r="Y38" s="701">
        <f>Y35/X35-1</f>
        <v>0.14814814814814814</v>
      </c>
      <c r="Z38" s="701">
        <f>Z35/Y35-1</f>
        <v>0.16774193548387095</v>
      </c>
      <c r="AA38" s="701">
        <f>AA35/Z35-1</f>
        <v>0.14364640883977908</v>
      </c>
      <c r="AB38" s="703"/>
      <c r="AC38" s="701">
        <f>AC35/AA35-1</f>
        <v>0.10144927536231885</v>
      </c>
      <c r="AD38" s="701">
        <f>AD35/AC35-1</f>
        <v>8.3333333333333259E-2</v>
      </c>
      <c r="AE38" s="701">
        <f>AE35/AD35-1</f>
        <v>9.7165991902834037E-2</v>
      </c>
      <c r="AF38" s="701">
        <f>AF35/AE35-1</f>
        <v>7.7490774907749138E-2</v>
      </c>
      <c r="AG38" s="703"/>
      <c r="AH38" s="701">
        <f>AH35/AF35-1</f>
        <v>5.1369863013698724E-2</v>
      </c>
      <c r="AI38" s="701">
        <f>AI35/AH35-1</f>
        <v>2.931596091205213E-2</v>
      </c>
      <c r="AJ38" s="701">
        <f>AJ35/AI35-1</f>
        <v>6.0126582278481111E-2</v>
      </c>
      <c r="AK38" s="701">
        <f>AK35/AJ35-1</f>
        <v>3.8805970149253799E-2</v>
      </c>
      <c r="AL38" s="703"/>
      <c r="AM38" s="701">
        <f>AM35/AK35-1</f>
        <v>4.5977011494252817E-2</v>
      </c>
      <c r="AN38" s="701">
        <f>AN35/AM35-1</f>
        <v>3.8461538461538547E-2</v>
      </c>
      <c r="AO38" s="701">
        <f>AO35/AN35-1</f>
        <v>4.4973544973544888E-2</v>
      </c>
      <c r="AP38" s="701">
        <f>AP35/AO35-1</f>
        <v>4.0506329113924044E-2</v>
      </c>
      <c r="AQ38" s="703"/>
      <c r="AR38" s="701">
        <f>AR35/AP35-1</f>
        <v>3.4063260340632562E-2</v>
      </c>
      <c r="AS38" s="701">
        <f>AS35/AR35-1</f>
        <v>3.529411764705892E-2</v>
      </c>
      <c r="AT38" s="701">
        <f>AT35/AS35-1</f>
        <v>2.8409090909090828E-2</v>
      </c>
      <c r="AU38" s="701">
        <f>AU35/AT35-1</f>
        <v>2.7624309392265234E-2</v>
      </c>
      <c r="AV38" s="703"/>
      <c r="AW38" s="701">
        <f>AW35/AU35-1</f>
        <v>2.7956989247311936E-2</v>
      </c>
      <c r="AX38" s="701">
        <f>AX35/AW35-1</f>
        <v>2.7196652719665204E-2</v>
      </c>
      <c r="AY38" s="701">
        <f>AY35/AX35-1</f>
        <v>2.6476578411405383E-2</v>
      </c>
      <c r="AZ38" s="701">
        <f>AZ35/AY35-1</f>
        <v>2.5793650793650702E-2</v>
      </c>
      <c r="BA38" s="703"/>
    </row>
    <row r="39" spans="1:53" ht="15.75" customHeight="1" outlineLevel="1" x14ac:dyDescent="0.2">
      <c r="A39" s="669" t="s">
        <v>420</v>
      </c>
      <c r="B39" s="728" t="s">
        <v>407</v>
      </c>
      <c r="C39" s="729"/>
      <c r="D39" s="729"/>
      <c r="E39" s="729"/>
      <c r="F39" s="729"/>
      <c r="G39" s="730"/>
      <c r="H39" s="731"/>
      <c r="I39" s="729"/>
      <c r="J39" s="729"/>
      <c r="K39" s="729"/>
      <c r="L39" s="730"/>
      <c r="M39" s="731"/>
      <c r="N39" s="729"/>
      <c r="O39" s="729"/>
      <c r="P39" s="729"/>
      <c r="Q39" s="730"/>
      <c r="R39" s="731"/>
      <c r="S39" s="729"/>
      <c r="T39" s="729"/>
      <c r="U39" s="729"/>
      <c r="V39" s="730"/>
      <c r="W39" s="731"/>
      <c r="X39" s="729">
        <v>4.5999999999999996</v>
      </c>
      <c r="Y39" s="729">
        <v>5.3</v>
      </c>
      <c r="Z39" s="729">
        <v>5.9</v>
      </c>
      <c r="AA39" s="730">
        <v>7.3</v>
      </c>
      <c r="AB39" s="731">
        <f>SUM(X39:AA39)</f>
        <v>23.099999999999998</v>
      </c>
      <c r="AC39" s="729">
        <v>8.5</v>
      </c>
      <c r="AD39" s="729">
        <v>9.4</v>
      </c>
      <c r="AE39" s="729">
        <v>10.199999999999999</v>
      </c>
      <c r="AF39" s="730">
        <v>11.4</v>
      </c>
      <c r="AG39" s="731">
        <f>SUM(AC39:AF39)</f>
        <v>39.5</v>
      </c>
      <c r="AH39" s="729">
        <v>12.8</v>
      </c>
      <c r="AI39" s="729">
        <v>13.2</v>
      </c>
      <c r="AJ39" s="729">
        <v>13.5</v>
      </c>
      <c r="AK39" s="730">
        <v>14.8</v>
      </c>
      <c r="AL39" s="731">
        <f>SUM(AH39:AK39)</f>
        <v>54.3</v>
      </c>
      <c r="AM39" s="729">
        <v>15.3</v>
      </c>
      <c r="AN39" s="729">
        <v>16.100000000000001</v>
      </c>
      <c r="AO39" s="729">
        <v>16.5</v>
      </c>
      <c r="AP39" s="730">
        <v>18.5</v>
      </c>
      <c r="AQ39" s="731">
        <f>SUM(AM39:AP39)</f>
        <v>66.400000000000006</v>
      </c>
      <c r="AR39" s="729">
        <v>18.8</v>
      </c>
      <c r="AS39" s="729">
        <v>19.8</v>
      </c>
      <c r="AT39" s="729">
        <f t="shared" ref="AT39" si="118">AO39*(1+AT40)</f>
        <v>20.047500000000003</v>
      </c>
      <c r="AU39" s="730">
        <f t="shared" ref="AU39" si="119">AP39*(1+AU40)</f>
        <v>22.2</v>
      </c>
      <c r="AV39" s="731">
        <f>SUM(AR39:AU39)</f>
        <v>80.847500000000011</v>
      </c>
      <c r="AW39" s="729">
        <f>AR39*(1+AW40)</f>
        <v>21.995999999999999</v>
      </c>
      <c r="AX39" s="729">
        <f t="shared" ref="AX39" si="120">AS39*(1+AX40)</f>
        <v>23.166</v>
      </c>
      <c r="AY39" s="729">
        <f t="shared" ref="AY39" si="121">AT39*(1+AY40)</f>
        <v>23.255100000000002</v>
      </c>
      <c r="AZ39" s="730">
        <f t="shared" ref="AZ39" si="122">AU39*(1+AZ40)</f>
        <v>25.751999999999999</v>
      </c>
      <c r="BA39" s="731">
        <f>SUM(AW39:AZ39)</f>
        <v>94.1691</v>
      </c>
    </row>
    <row r="40" spans="1:53" outlineLevel="1" x14ac:dyDescent="0.2">
      <c r="B40" s="682"/>
      <c r="C40" s="683" t="s">
        <v>29</v>
      </c>
      <c r="D40" s="684"/>
      <c r="E40" s="684"/>
      <c r="F40" s="684"/>
      <c r="G40" s="684"/>
      <c r="H40" s="685"/>
      <c r="I40" s="684"/>
      <c r="J40" s="684"/>
      <c r="K40" s="684"/>
      <c r="L40" s="684"/>
      <c r="M40" s="685"/>
      <c r="N40" s="684"/>
      <c r="O40" s="684"/>
      <c r="P40" s="684"/>
      <c r="Q40" s="684"/>
      <c r="R40" s="685"/>
      <c r="S40" s="684"/>
      <c r="T40" s="684"/>
      <c r="U40" s="684"/>
      <c r="V40" s="684"/>
      <c r="W40" s="685"/>
      <c r="X40" s="684"/>
      <c r="Y40" s="684"/>
      <c r="Z40" s="684"/>
      <c r="AA40" s="684"/>
      <c r="AB40" s="685"/>
      <c r="AC40" s="684">
        <f t="shared" ref="AC40:AS40" si="123">AC39/X39-1</f>
        <v>0.84782608695652195</v>
      </c>
      <c r="AD40" s="684">
        <f t="shared" si="123"/>
        <v>0.77358490566037741</v>
      </c>
      <c r="AE40" s="684">
        <f t="shared" si="123"/>
        <v>0.72881355932203373</v>
      </c>
      <c r="AF40" s="684">
        <f t="shared" si="123"/>
        <v>0.56164383561643838</v>
      </c>
      <c r="AG40" s="685">
        <f t="shared" si="123"/>
        <v>0.70995670995671012</v>
      </c>
      <c r="AH40" s="684">
        <f t="shared" si="123"/>
        <v>0.50588235294117645</v>
      </c>
      <c r="AI40" s="684">
        <f t="shared" si="123"/>
        <v>0.40425531914893598</v>
      </c>
      <c r="AJ40" s="684">
        <f t="shared" si="123"/>
        <v>0.32352941176470607</v>
      </c>
      <c r="AK40" s="684">
        <f t="shared" si="123"/>
        <v>0.29824561403508776</v>
      </c>
      <c r="AL40" s="685">
        <f t="shared" si="123"/>
        <v>0.37468354430379747</v>
      </c>
      <c r="AM40" s="684">
        <f t="shared" si="123"/>
        <v>0.1953125</v>
      </c>
      <c r="AN40" s="684">
        <f t="shared" si="123"/>
        <v>0.21969696969696995</v>
      </c>
      <c r="AO40" s="684">
        <f t="shared" si="123"/>
        <v>0.22222222222222232</v>
      </c>
      <c r="AP40" s="684">
        <f t="shared" si="123"/>
        <v>0.25</v>
      </c>
      <c r="AQ40" s="685">
        <f>AQ39/AL39-1</f>
        <v>0.22283609576427277</v>
      </c>
      <c r="AR40" s="684">
        <f t="shared" si="123"/>
        <v>0.2287581699346406</v>
      </c>
      <c r="AS40" s="684">
        <f t="shared" si="123"/>
        <v>0.22981366459627317</v>
      </c>
      <c r="AT40" s="723">
        <v>0.215</v>
      </c>
      <c r="AU40" s="723">
        <v>0.2</v>
      </c>
      <c r="AV40" s="685">
        <f>AV39/AQ39-1</f>
        <v>0.21758283132530121</v>
      </c>
      <c r="AW40" s="723">
        <v>0.17</v>
      </c>
      <c r="AX40" s="723">
        <v>0.17</v>
      </c>
      <c r="AY40" s="723">
        <v>0.16</v>
      </c>
      <c r="AZ40" s="723">
        <v>0.16</v>
      </c>
      <c r="BA40" s="685">
        <f>BA39/AV39-1</f>
        <v>0.16477442097776662</v>
      </c>
    </row>
    <row r="41" spans="1:53" outlineLevel="1" x14ac:dyDescent="0.2">
      <c r="B41" s="682"/>
      <c r="C41" s="683" t="s">
        <v>76</v>
      </c>
      <c r="D41" s="684"/>
      <c r="E41" s="684"/>
      <c r="F41" s="684"/>
      <c r="G41" s="684"/>
      <c r="H41" s="686"/>
      <c r="I41" s="684"/>
      <c r="J41" s="684"/>
      <c r="K41" s="684"/>
      <c r="L41" s="684"/>
      <c r="M41" s="686"/>
      <c r="N41" s="684"/>
      <c r="O41" s="684"/>
      <c r="P41" s="684"/>
      <c r="Q41" s="684"/>
      <c r="R41" s="686"/>
      <c r="S41" s="684"/>
      <c r="T41" s="684"/>
      <c r="U41" s="684"/>
      <c r="V41" s="684"/>
      <c r="W41" s="686"/>
      <c r="X41" s="684"/>
      <c r="Y41" s="684">
        <f>Y39/X39-1</f>
        <v>0.15217391304347827</v>
      </c>
      <c r="Z41" s="684">
        <f>Z39/Y39-1</f>
        <v>0.11320754716981152</v>
      </c>
      <c r="AA41" s="684">
        <f>AA39/Z39-1</f>
        <v>0.23728813559322015</v>
      </c>
      <c r="AB41" s="686"/>
      <c r="AC41" s="684">
        <f>AC39/AA39-1</f>
        <v>0.16438356164383561</v>
      </c>
      <c r="AD41" s="684">
        <f>AD39/AC39-1</f>
        <v>0.10588235294117654</v>
      </c>
      <c r="AE41" s="684">
        <f>AE39/AD39-1</f>
        <v>8.5106382978723305E-2</v>
      </c>
      <c r="AF41" s="684">
        <f>AF39/AE39-1</f>
        <v>0.11764705882352944</v>
      </c>
      <c r="AG41" s="686"/>
      <c r="AH41" s="684">
        <f>AH39/AF39-1</f>
        <v>0.12280701754385959</v>
      </c>
      <c r="AI41" s="684">
        <f>AI39/AH39-1</f>
        <v>3.1249999999999778E-2</v>
      </c>
      <c r="AJ41" s="684">
        <f>AJ39/AI39-1</f>
        <v>2.2727272727272707E-2</v>
      </c>
      <c r="AK41" s="684">
        <f>AK39/AJ39-1</f>
        <v>9.6296296296296324E-2</v>
      </c>
      <c r="AL41" s="686"/>
      <c r="AM41" s="684">
        <f>AM39/AK39-1</f>
        <v>3.3783783783783772E-2</v>
      </c>
      <c r="AN41" s="684">
        <f>AN39/AM39-1</f>
        <v>5.2287581699346442E-2</v>
      </c>
      <c r="AO41" s="684">
        <f>AO39/AN39-1</f>
        <v>2.4844720496894235E-2</v>
      </c>
      <c r="AP41" s="684">
        <f>AP39/AO39-1</f>
        <v>0.1212121212121211</v>
      </c>
      <c r="AQ41" s="686"/>
      <c r="AR41" s="684">
        <f>AR39/AP39-1</f>
        <v>1.6216216216216273E-2</v>
      </c>
      <c r="AS41" s="684">
        <f>AS39/AR39-1</f>
        <v>5.3191489361702038E-2</v>
      </c>
      <c r="AT41" s="684">
        <f>AT39/AS39-1</f>
        <v>1.2500000000000178E-2</v>
      </c>
      <c r="AU41" s="684">
        <f>AU39/AT39-1</f>
        <v>0.10736999625888499</v>
      </c>
      <c r="AV41" s="686"/>
      <c r="AW41" s="684">
        <f>AW39/AU39-1</f>
        <v>-9.1891891891892064E-3</v>
      </c>
      <c r="AX41" s="684">
        <f>AX39/AW39-1</f>
        <v>5.319148936170226E-2</v>
      </c>
      <c r="AY41" s="684">
        <f>AY39/AX39-1</f>
        <v>3.8461538461538325E-3</v>
      </c>
      <c r="AZ41" s="684">
        <f>AZ39/AY39-1</f>
        <v>0.10736999625888499</v>
      </c>
      <c r="BA41" s="686"/>
    </row>
    <row r="42" spans="1:53" ht="18" customHeight="1" outlineLevel="1" x14ac:dyDescent="0.2">
      <c r="B42" s="724" t="s">
        <v>408</v>
      </c>
      <c r="C42" s="725"/>
      <c r="D42" s="725"/>
      <c r="E42" s="725"/>
      <c r="F42" s="725"/>
      <c r="G42" s="726"/>
      <c r="H42" s="727"/>
      <c r="I42" s="725"/>
      <c r="J42" s="725"/>
      <c r="K42" s="725"/>
      <c r="L42" s="726"/>
      <c r="M42" s="727"/>
      <c r="N42" s="725"/>
      <c r="O42" s="725"/>
      <c r="P42" s="725"/>
      <c r="Q42" s="726"/>
      <c r="R42" s="727"/>
      <c r="S42" s="725"/>
      <c r="T42" s="725"/>
      <c r="U42" s="725"/>
      <c r="V42" s="726"/>
      <c r="W42" s="727"/>
      <c r="X42" s="725">
        <f t="shared" ref="X42:Z42" si="124">X45/X39*1000</f>
        <v>324.56521739130437</v>
      </c>
      <c r="Y42" s="725">
        <f t="shared" si="124"/>
        <v>358.49056603773585</v>
      </c>
      <c r="Z42" s="725">
        <f t="shared" si="124"/>
        <v>355.93220338983048</v>
      </c>
      <c r="AA42" s="726">
        <f t="shared" ref="AA42:AL42" si="125">AA45/AA39*1000</f>
        <v>369.8630136986302</v>
      </c>
      <c r="AB42" s="727">
        <f t="shared" si="125"/>
        <v>354.67532467532476</v>
      </c>
      <c r="AC42" s="725">
        <f t="shared" si="125"/>
        <v>352.94117647058823</v>
      </c>
      <c r="AD42" s="725">
        <f t="shared" si="125"/>
        <v>351.063829787234</v>
      </c>
      <c r="AE42" s="725">
        <f t="shared" si="125"/>
        <v>333.33333333333337</v>
      </c>
      <c r="AF42" s="726">
        <f t="shared" si="125"/>
        <v>333.33333333333331</v>
      </c>
      <c r="AG42" s="727">
        <f t="shared" si="125"/>
        <v>341.77215189873419</v>
      </c>
      <c r="AH42" s="725">
        <f t="shared" si="125"/>
        <v>312.5</v>
      </c>
      <c r="AI42" s="725">
        <f t="shared" si="125"/>
        <v>318.18181818181824</v>
      </c>
      <c r="AJ42" s="725">
        <f t="shared" si="125"/>
        <v>325.92592592592598</v>
      </c>
      <c r="AK42" s="726">
        <f t="shared" si="125"/>
        <v>324.32432432432427</v>
      </c>
      <c r="AL42" s="727">
        <f t="shared" si="125"/>
        <v>320.44198895027625</v>
      </c>
      <c r="AM42" s="725">
        <f t="shared" ref="AM42:AP42" si="126">AM45/AM39*1000</f>
        <v>333.33333333333331</v>
      </c>
      <c r="AN42" s="725">
        <f t="shared" si="126"/>
        <v>322.98136645962734</v>
      </c>
      <c r="AO42" s="725">
        <f t="shared" si="126"/>
        <v>321.21212121212125</v>
      </c>
      <c r="AP42" s="726">
        <f t="shared" si="126"/>
        <v>318.91891891891896</v>
      </c>
      <c r="AQ42" s="727">
        <f>AQ45/AQ39*1000</f>
        <v>323.79518072289153</v>
      </c>
      <c r="AR42" s="725">
        <f t="shared" ref="AR42:AS42" si="127">AR45/AR39*1000</f>
        <v>329.78723404255317</v>
      </c>
      <c r="AS42" s="725">
        <f t="shared" si="127"/>
        <v>328.28282828282829</v>
      </c>
      <c r="AT42" s="725">
        <f t="shared" ref="AT42" si="128">AO42*(1+AT43)</f>
        <v>318.64242424242428</v>
      </c>
      <c r="AU42" s="726">
        <f t="shared" ref="AU42" si="129">AP42*(1+AU43)</f>
        <v>318.91891891891896</v>
      </c>
      <c r="AV42" s="727">
        <f>AV45/AV39*1000</f>
        <v>323.67091128358948</v>
      </c>
      <c r="AW42" s="725">
        <f>AR42*(1+AW43)</f>
        <v>329.78723404255317</v>
      </c>
      <c r="AX42" s="725">
        <f t="shared" ref="AX42" si="130">AS42*(1+AX43)</f>
        <v>328.28282828282829</v>
      </c>
      <c r="AY42" s="725">
        <f t="shared" ref="AY42" si="131">AT42*(1+AY43)</f>
        <v>321.82884848484855</v>
      </c>
      <c r="AZ42" s="726">
        <f t="shared" ref="AZ42" si="132">AU42*(1+AZ43)</f>
        <v>322.10810810810813</v>
      </c>
      <c r="BA42" s="727">
        <f>BA45/BA39*1000</f>
        <v>325.35184104339959</v>
      </c>
    </row>
    <row r="43" spans="1:53" outlineLevel="1" x14ac:dyDescent="0.2">
      <c r="B43" s="682"/>
      <c r="C43" s="683" t="s">
        <v>29</v>
      </c>
      <c r="D43" s="684"/>
      <c r="E43" s="684"/>
      <c r="F43" s="684"/>
      <c r="G43" s="684"/>
      <c r="H43" s="685"/>
      <c r="I43" s="684"/>
      <c r="J43" s="684"/>
      <c r="K43" s="684"/>
      <c r="L43" s="684"/>
      <c r="M43" s="685"/>
      <c r="N43" s="684"/>
      <c r="O43" s="684"/>
      <c r="P43" s="684"/>
      <c r="Q43" s="684"/>
      <c r="R43" s="685"/>
      <c r="S43" s="684"/>
      <c r="T43" s="684"/>
      <c r="U43" s="684"/>
      <c r="V43" s="684"/>
      <c r="W43" s="685"/>
      <c r="X43" s="684"/>
      <c r="Y43" s="684"/>
      <c r="Z43" s="684"/>
      <c r="AA43" s="684"/>
      <c r="AB43" s="685"/>
      <c r="AC43" s="684">
        <f t="shared" ref="AC43:AS43" si="133">AC42/X42-1</f>
        <v>8.7427603325322067E-2</v>
      </c>
      <c r="AD43" s="684">
        <f t="shared" si="133"/>
        <v>-2.0716685330347206E-2</v>
      </c>
      <c r="AE43" s="684">
        <f t="shared" si="133"/>
        <v>-6.3492063492063266E-2</v>
      </c>
      <c r="AF43" s="684">
        <f t="shared" si="133"/>
        <v>-9.8765432098765649E-2</v>
      </c>
      <c r="AG43" s="685">
        <f t="shared" si="133"/>
        <v>-3.6380238147106336E-2</v>
      </c>
      <c r="AH43" s="684">
        <f t="shared" si="133"/>
        <v>-0.11458333333333337</v>
      </c>
      <c r="AI43" s="684">
        <f t="shared" si="133"/>
        <v>-9.3663911845729753E-2</v>
      </c>
      <c r="AJ43" s="684">
        <f t="shared" si="133"/>
        <v>-2.2222222222222143E-2</v>
      </c>
      <c r="AK43" s="684">
        <f t="shared" si="133"/>
        <v>-2.7027027027027195E-2</v>
      </c>
      <c r="AL43" s="685">
        <f t="shared" si="133"/>
        <v>-6.2410476775117685E-2</v>
      </c>
      <c r="AM43" s="684">
        <f t="shared" si="133"/>
        <v>6.6666666666666652E-2</v>
      </c>
      <c r="AN43" s="684">
        <f t="shared" si="133"/>
        <v>1.5084294587399905E-2</v>
      </c>
      <c r="AO43" s="684">
        <f t="shared" si="133"/>
        <v>-1.4462809917355379E-2</v>
      </c>
      <c r="AP43" s="684">
        <f t="shared" si="133"/>
        <v>-1.6666666666666385E-2</v>
      </c>
      <c r="AQ43" s="685">
        <f>AQ42/AL42-1</f>
        <v>1.0464270876609838E-2</v>
      </c>
      <c r="AR43" s="684">
        <f t="shared" si="133"/>
        <v>-1.0638297872340496E-2</v>
      </c>
      <c r="AS43" s="684">
        <f t="shared" si="133"/>
        <v>1.6414141414141437E-2</v>
      </c>
      <c r="AT43" s="723">
        <v>-8.0000000000000002E-3</v>
      </c>
      <c r="AU43" s="723">
        <v>0</v>
      </c>
      <c r="AV43" s="685">
        <f>AV42/AQ42-1</f>
        <v>-3.8379026835611008E-4</v>
      </c>
      <c r="AW43" s="723">
        <v>0</v>
      </c>
      <c r="AX43" s="723">
        <v>0</v>
      </c>
      <c r="AY43" s="723">
        <v>0.01</v>
      </c>
      <c r="AZ43" s="723">
        <v>0.01</v>
      </c>
      <c r="BA43" s="685">
        <f>BA42/AV42-1</f>
        <v>5.1933297099329145E-3</v>
      </c>
    </row>
    <row r="44" spans="1:53" outlineLevel="1" x14ac:dyDescent="0.2">
      <c r="B44" s="682"/>
      <c r="C44" s="683" t="s">
        <v>76</v>
      </c>
      <c r="D44" s="684"/>
      <c r="E44" s="684"/>
      <c r="F44" s="684"/>
      <c r="G44" s="684"/>
      <c r="H44" s="686"/>
      <c r="I44" s="684"/>
      <c r="J44" s="684"/>
      <c r="K44" s="684"/>
      <c r="L44" s="684"/>
      <c r="M44" s="686"/>
      <c r="N44" s="684"/>
      <c r="O44" s="684"/>
      <c r="P44" s="684"/>
      <c r="Q44" s="684"/>
      <c r="R44" s="686"/>
      <c r="S44" s="684"/>
      <c r="T44" s="684"/>
      <c r="U44" s="684"/>
      <c r="V44" s="684"/>
      <c r="W44" s="686"/>
      <c r="X44" s="684"/>
      <c r="Y44" s="684">
        <f>Y42/X42-1</f>
        <v>0.10452552161660056</v>
      </c>
      <c r="Z44" s="684">
        <f>Z42/Y42-1</f>
        <v>-7.1364852809991941E-3</v>
      </c>
      <c r="AA44" s="684">
        <f>AA42/Z42-1</f>
        <v>3.913894324853251E-2</v>
      </c>
      <c r="AB44" s="686"/>
      <c r="AC44" s="684">
        <f>AC42/AA42-1</f>
        <v>-4.5751633986928275E-2</v>
      </c>
      <c r="AD44" s="684">
        <f>AD42/AC42-1</f>
        <v>-5.3191489361703592E-3</v>
      </c>
      <c r="AE44" s="684">
        <f>AE42/AD42-1</f>
        <v>-5.0505050505050275E-2</v>
      </c>
      <c r="AF44" s="684">
        <f>AF42/AE42-1</f>
        <v>0</v>
      </c>
      <c r="AG44" s="686"/>
      <c r="AH44" s="684">
        <f>AH42/AF42-1</f>
        <v>-6.25E-2</v>
      </c>
      <c r="AI44" s="684">
        <f>AI42/AH42-1</f>
        <v>1.8181818181818299E-2</v>
      </c>
      <c r="AJ44" s="684">
        <f>AJ42/AI42-1</f>
        <v>2.4338624338624326E-2</v>
      </c>
      <c r="AK44" s="684">
        <f>AK42/AJ42-1</f>
        <v>-4.9140049140052877E-3</v>
      </c>
      <c r="AL44" s="686"/>
      <c r="AM44" s="684">
        <f>AM42/AK42-1</f>
        <v>2.7777777777777901E-2</v>
      </c>
      <c r="AN44" s="684">
        <f>AN42/AM42-1</f>
        <v>-3.105590062111796E-2</v>
      </c>
      <c r="AO44" s="684">
        <f>AO42/AN42-1</f>
        <v>-5.4778554778553978E-3</v>
      </c>
      <c r="AP44" s="684">
        <f>AP42/AO42-1</f>
        <v>-7.1392146863844541E-3</v>
      </c>
      <c r="AQ44" s="686"/>
      <c r="AR44" s="684">
        <f>AR42/AP42-1</f>
        <v>3.4078615218175123E-2</v>
      </c>
      <c r="AS44" s="684">
        <f>AS42/AR42-1</f>
        <v>-4.5617464972302901E-3</v>
      </c>
      <c r="AT44" s="684">
        <f>AT42/AS42-1</f>
        <v>-2.9366153846153709E-2</v>
      </c>
      <c r="AU44" s="684">
        <f>AU42/AT42-1</f>
        <v>8.6772713066074481E-4</v>
      </c>
      <c r="AV44" s="686"/>
      <c r="AW44" s="684">
        <f>AW42/AU42-1</f>
        <v>3.4078615218175123E-2</v>
      </c>
      <c r="AX44" s="684">
        <f>AX42/AW42-1</f>
        <v>-4.5617464972302901E-3</v>
      </c>
      <c r="AY44" s="684">
        <f>AY42/AX42-1</f>
        <v>-1.9659815384615253E-2</v>
      </c>
      <c r="AZ44" s="684">
        <f>AZ42/AY42-1</f>
        <v>8.6772713066074481E-4</v>
      </c>
      <c r="BA44" s="686"/>
    </row>
    <row r="45" spans="1:53" ht="16.5" customHeight="1" outlineLevel="1" x14ac:dyDescent="0.2">
      <c r="A45" s="669" t="s">
        <v>420</v>
      </c>
      <c r="B45" s="678" t="s">
        <v>415</v>
      </c>
      <c r="C45" s="679"/>
      <c r="D45" s="679"/>
      <c r="E45" s="679"/>
      <c r="F45" s="679"/>
      <c r="G45" s="680"/>
      <c r="H45" s="681"/>
      <c r="I45" s="679"/>
      <c r="J45" s="679"/>
      <c r="K45" s="679"/>
      <c r="L45" s="680"/>
      <c r="M45" s="681"/>
      <c r="N45" s="679"/>
      <c r="O45" s="679"/>
      <c r="P45" s="679"/>
      <c r="Q45" s="680"/>
      <c r="R45" s="681"/>
      <c r="S45" s="679"/>
      <c r="T45" s="679"/>
      <c r="U45" s="679"/>
      <c r="V45" s="680"/>
      <c r="W45" s="681"/>
      <c r="X45" s="679">
        <v>1.4930000000000001</v>
      </c>
      <c r="Y45" s="679">
        <v>1.9</v>
      </c>
      <c r="Z45" s="679">
        <v>2.1</v>
      </c>
      <c r="AA45" s="680">
        <v>2.7</v>
      </c>
      <c r="AB45" s="681">
        <f>SUM(X45:AA45)</f>
        <v>8.1930000000000014</v>
      </c>
      <c r="AC45" s="679">
        <v>3</v>
      </c>
      <c r="AD45" s="679">
        <v>3.3</v>
      </c>
      <c r="AE45" s="679">
        <v>3.4</v>
      </c>
      <c r="AF45" s="680">
        <v>3.8</v>
      </c>
      <c r="AG45" s="681">
        <f>SUM(AC45:AF45)</f>
        <v>13.5</v>
      </c>
      <c r="AH45" s="679">
        <v>4</v>
      </c>
      <c r="AI45" s="679">
        <v>4.2</v>
      </c>
      <c r="AJ45" s="679">
        <v>4.4000000000000004</v>
      </c>
      <c r="AK45" s="680">
        <v>4.8</v>
      </c>
      <c r="AL45" s="681">
        <f>SUM(AH45:AK45)</f>
        <v>17.399999999999999</v>
      </c>
      <c r="AM45" s="679">
        <v>5.0999999999999996</v>
      </c>
      <c r="AN45" s="679">
        <v>5.2</v>
      </c>
      <c r="AO45" s="679">
        <v>5.3</v>
      </c>
      <c r="AP45" s="680">
        <v>5.9</v>
      </c>
      <c r="AQ45" s="681">
        <f>SUM(AM45:AP45)</f>
        <v>21.5</v>
      </c>
      <c r="AR45" s="679">
        <v>6.2</v>
      </c>
      <c r="AS45" s="679">
        <v>6.5</v>
      </c>
      <c r="AT45" s="679">
        <f t="shared" ref="AT45:AU45" si="134">AT39*AT42/1000</f>
        <v>6.3879840000000021</v>
      </c>
      <c r="AU45" s="679">
        <f t="shared" si="134"/>
        <v>7.080000000000001</v>
      </c>
      <c r="AV45" s="681">
        <f>SUM(AR45:AU45)</f>
        <v>26.167984000000004</v>
      </c>
      <c r="AW45" s="679">
        <f>AW39*AW42/1000</f>
        <v>7.2539999999999987</v>
      </c>
      <c r="AX45" s="679">
        <f t="shared" ref="AX45:AZ45" si="135">AX39*AX42/1000</f>
        <v>7.6050000000000004</v>
      </c>
      <c r="AY45" s="679">
        <f t="shared" si="135"/>
        <v>7.4841620544000023</v>
      </c>
      <c r="AZ45" s="679">
        <f t="shared" si="135"/>
        <v>8.2949280000000005</v>
      </c>
      <c r="BA45" s="681">
        <f>SUM(AW45:AZ45)</f>
        <v>30.638090054400003</v>
      </c>
    </row>
    <row r="46" spans="1:53" outlineLevel="1" x14ac:dyDescent="0.2">
      <c r="B46" s="682"/>
      <c r="C46" s="683" t="s">
        <v>29</v>
      </c>
      <c r="D46" s="684"/>
      <c r="E46" s="684"/>
      <c r="F46" s="684"/>
      <c r="G46" s="684"/>
      <c r="H46" s="685"/>
      <c r="I46" s="684"/>
      <c r="J46" s="684"/>
      <c r="K46" s="684"/>
      <c r="L46" s="684"/>
      <c r="M46" s="685"/>
      <c r="N46" s="684"/>
      <c r="O46" s="684"/>
      <c r="P46" s="684"/>
      <c r="Q46" s="684"/>
      <c r="R46" s="685"/>
      <c r="S46" s="684"/>
      <c r="T46" s="684"/>
      <c r="U46" s="684"/>
      <c r="V46" s="684"/>
      <c r="W46" s="685"/>
      <c r="X46" s="684"/>
      <c r="Y46" s="684"/>
      <c r="Z46" s="684"/>
      <c r="AA46" s="684"/>
      <c r="AB46" s="685"/>
      <c r="AC46" s="684">
        <f t="shared" ref="AC46:AS46" si="136">AC45/X45-1</f>
        <v>1.0093770931011385</v>
      </c>
      <c r="AD46" s="684">
        <f t="shared" si="136"/>
        <v>0.73684210526315796</v>
      </c>
      <c r="AE46" s="684">
        <f t="shared" si="136"/>
        <v>0.61904761904761885</v>
      </c>
      <c r="AF46" s="684">
        <f t="shared" si="136"/>
        <v>0.40740740740740722</v>
      </c>
      <c r="AG46" s="685">
        <f t="shared" si="136"/>
        <v>0.6477480776272424</v>
      </c>
      <c r="AH46" s="684">
        <f t="shared" si="136"/>
        <v>0.33333333333333326</v>
      </c>
      <c r="AI46" s="684">
        <f t="shared" si="136"/>
        <v>0.27272727272727293</v>
      </c>
      <c r="AJ46" s="684">
        <f t="shared" si="136"/>
        <v>0.29411764705882359</v>
      </c>
      <c r="AK46" s="684">
        <f t="shared" si="136"/>
        <v>0.26315789473684204</v>
      </c>
      <c r="AL46" s="685">
        <f t="shared" si="136"/>
        <v>0.28888888888888875</v>
      </c>
      <c r="AM46" s="684">
        <f t="shared" si="136"/>
        <v>0.27499999999999991</v>
      </c>
      <c r="AN46" s="684">
        <f t="shared" si="136"/>
        <v>0.23809523809523814</v>
      </c>
      <c r="AO46" s="684">
        <f t="shared" si="136"/>
        <v>0.20454545454545436</v>
      </c>
      <c r="AP46" s="684">
        <f t="shared" si="136"/>
        <v>0.22916666666666674</v>
      </c>
      <c r="AQ46" s="685">
        <f t="shared" si="136"/>
        <v>0.23563218390804619</v>
      </c>
      <c r="AR46" s="684">
        <f t="shared" si="136"/>
        <v>0.21568627450980404</v>
      </c>
      <c r="AS46" s="684">
        <f t="shared" si="136"/>
        <v>0.25</v>
      </c>
      <c r="AT46" s="684">
        <f t="shared" ref="AT46" si="137">AT45/AO45-1</f>
        <v>0.20528000000000035</v>
      </c>
      <c r="AU46" s="684">
        <f t="shared" ref="AU46" si="138">AU45/AP45-1</f>
        <v>0.20000000000000018</v>
      </c>
      <c r="AV46" s="685">
        <f t="shared" ref="AV46" si="139">AV45/AQ45-1</f>
        <v>0.21711553488372104</v>
      </c>
      <c r="AW46" s="684">
        <f t="shared" ref="AW46" si="140">AW45/AR45-1</f>
        <v>0.16999999999999971</v>
      </c>
      <c r="AX46" s="684">
        <f t="shared" ref="AX46" si="141">AX45/AS45-1</f>
        <v>0.17000000000000015</v>
      </c>
      <c r="AY46" s="684">
        <f t="shared" ref="AY46" si="142">AY45/AT45-1</f>
        <v>0.17159999999999997</v>
      </c>
      <c r="AZ46" s="684">
        <f t="shared" ref="AZ46" si="143">AZ45/AU45-1</f>
        <v>0.17159999999999997</v>
      </c>
      <c r="BA46" s="685">
        <f t="shared" ref="BA46" si="144">BA45/AV45-1</f>
        <v>0.17082347858360047</v>
      </c>
    </row>
    <row r="47" spans="1:53" outlineLevel="1" x14ac:dyDescent="0.2">
      <c r="B47" s="682"/>
      <c r="C47" s="683" t="s">
        <v>76</v>
      </c>
      <c r="D47" s="684"/>
      <c r="E47" s="684"/>
      <c r="F47" s="684"/>
      <c r="G47" s="684"/>
      <c r="H47" s="686"/>
      <c r="I47" s="684"/>
      <c r="J47" s="684"/>
      <c r="K47" s="684"/>
      <c r="L47" s="684"/>
      <c r="M47" s="686"/>
      <c r="N47" s="684"/>
      <c r="O47" s="684"/>
      <c r="P47" s="684"/>
      <c r="Q47" s="684"/>
      <c r="R47" s="686"/>
      <c r="S47" s="684"/>
      <c r="T47" s="684"/>
      <c r="U47" s="684"/>
      <c r="V47" s="684"/>
      <c r="W47" s="686"/>
      <c r="X47" s="684"/>
      <c r="Y47" s="684">
        <f>Y45/X45-1</f>
        <v>0.27260549229738773</v>
      </c>
      <c r="Z47" s="684">
        <f>Z45/Y45-1</f>
        <v>0.10526315789473695</v>
      </c>
      <c r="AA47" s="684">
        <f>AA45/Z45-1</f>
        <v>0.28571428571428581</v>
      </c>
      <c r="AB47" s="686"/>
      <c r="AC47" s="684">
        <f>AC45/AA45-1</f>
        <v>0.11111111111111094</v>
      </c>
      <c r="AD47" s="684">
        <f>AD45/AC45-1</f>
        <v>9.9999999999999867E-2</v>
      </c>
      <c r="AE47" s="684">
        <f>AE45/AD45-1</f>
        <v>3.0303030303030276E-2</v>
      </c>
      <c r="AF47" s="684">
        <f>AF45/AE45-1</f>
        <v>0.11764705882352944</v>
      </c>
      <c r="AG47" s="686"/>
      <c r="AH47" s="684">
        <f>AH45/AF45-1</f>
        <v>5.2631578947368363E-2</v>
      </c>
      <c r="AI47" s="684">
        <f>AI45/AH45-1</f>
        <v>5.0000000000000044E-2</v>
      </c>
      <c r="AJ47" s="684">
        <f>AJ45/AI45-1</f>
        <v>4.7619047619047672E-2</v>
      </c>
      <c r="AK47" s="684">
        <f>AK45/AJ45-1</f>
        <v>9.0909090909090828E-2</v>
      </c>
      <c r="AL47" s="686"/>
      <c r="AM47" s="684">
        <f>AM45/AK45-1</f>
        <v>6.25E-2</v>
      </c>
      <c r="AN47" s="684">
        <f>AN45/AM45-1</f>
        <v>1.9607843137255054E-2</v>
      </c>
      <c r="AO47" s="684">
        <f>AO45/AN45-1</f>
        <v>1.9230769230769162E-2</v>
      </c>
      <c r="AP47" s="684">
        <f>AP45/AO45-1</f>
        <v>0.11320754716981152</v>
      </c>
      <c r="AQ47" s="686"/>
      <c r="AR47" s="684">
        <f>AR45/AP45-1</f>
        <v>5.0847457627118509E-2</v>
      </c>
      <c r="AS47" s="684">
        <f>AS45/AR45-1</f>
        <v>4.8387096774193505E-2</v>
      </c>
      <c r="AT47" s="684">
        <f>AT45/AS45-1</f>
        <v>-1.7233230769230445E-2</v>
      </c>
      <c r="AU47" s="684">
        <f>AU45/AT45-1</f>
        <v>0.10833089124831852</v>
      </c>
      <c r="AV47" s="686"/>
      <c r="AW47" s="684">
        <f>AW45/AU45-1</f>
        <v>2.4576271186440346E-2</v>
      </c>
      <c r="AX47" s="684">
        <f>AX45/AW45-1</f>
        <v>4.8387096774193727E-2</v>
      </c>
      <c r="AY47" s="684">
        <f>AY45/AX45-1</f>
        <v>-1.58892762130175E-2</v>
      </c>
      <c r="AZ47" s="684">
        <f>AZ45/AY45-1</f>
        <v>0.10833089124831852</v>
      </c>
      <c r="BA47" s="686"/>
    </row>
    <row r="48" spans="1:53" ht="14.25" customHeight="1" outlineLevel="1" x14ac:dyDescent="0.2">
      <c r="B48" s="687" t="s">
        <v>409</v>
      </c>
      <c r="C48" s="688"/>
      <c r="D48" s="688"/>
      <c r="E48" s="688"/>
      <c r="F48" s="688"/>
      <c r="G48" s="688"/>
      <c r="H48" s="690"/>
      <c r="I48" s="688"/>
      <c r="J48" s="688"/>
      <c r="K48" s="688"/>
      <c r="L48" s="688"/>
      <c r="M48" s="690"/>
      <c r="N48" s="688"/>
      <c r="O48" s="688"/>
      <c r="P48" s="688"/>
      <c r="Q48" s="688"/>
      <c r="R48" s="690"/>
      <c r="S48" s="688"/>
      <c r="T48" s="688"/>
      <c r="U48" s="688"/>
      <c r="V48" s="688"/>
      <c r="W48" s="690"/>
      <c r="X48" s="679">
        <f t="shared" ref="X48:AL48" si="145">X51/X45/100</f>
        <v>245.14400535833892</v>
      </c>
      <c r="Y48" s="679">
        <f t="shared" si="145"/>
        <v>256.31578947368422</v>
      </c>
      <c r="Z48" s="679">
        <f t="shared" si="145"/>
        <v>255.23809523809524</v>
      </c>
      <c r="AA48" s="679">
        <f t="shared" si="145"/>
        <v>257.40740740740739</v>
      </c>
      <c r="AB48" s="681">
        <f t="shared" si="145"/>
        <v>254.36348102038323</v>
      </c>
      <c r="AC48" s="679">
        <f t="shared" si="145"/>
        <v>260</v>
      </c>
      <c r="AD48" s="679">
        <f t="shared" si="145"/>
        <v>262.42424242424244</v>
      </c>
      <c r="AE48" s="679">
        <f t="shared" si="145"/>
        <v>260.58823529411768</v>
      </c>
      <c r="AF48" s="679">
        <f t="shared" si="145"/>
        <v>262.89473684210526</v>
      </c>
      <c r="AG48" s="681">
        <f t="shared" si="145"/>
        <v>261.55555555555554</v>
      </c>
      <c r="AH48" s="679">
        <f t="shared" si="145"/>
        <v>265.25</v>
      </c>
      <c r="AI48" s="679">
        <f t="shared" si="145"/>
        <v>263.33333333333331</v>
      </c>
      <c r="AJ48" s="679">
        <f t="shared" si="145"/>
        <v>259.77272727272725</v>
      </c>
      <c r="AK48" s="679">
        <f t="shared" si="145"/>
        <v>263.33333333333337</v>
      </c>
      <c r="AL48" s="681">
        <f t="shared" si="145"/>
        <v>262.87356321839081</v>
      </c>
      <c r="AM48" s="679">
        <f>AM51/AM45/100</f>
        <v>260.00784313725495</v>
      </c>
      <c r="AN48" s="679">
        <f t="shared" ref="AN48:AP48" si="146">AN51/AN45/100</f>
        <v>257.40961538461539</v>
      </c>
      <c r="AO48" s="679">
        <f t="shared" si="146"/>
        <v>260.20377358490566</v>
      </c>
      <c r="AP48" s="679">
        <f t="shared" si="146"/>
        <v>255.34067796610168</v>
      </c>
      <c r="AQ48" s="681">
        <f>AQ51/AQ45/100</f>
        <v>258.14697674418602</v>
      </c>
      <c r="AR48" s="679">
        <f>AR51/AR45/100</f>
        <v>253.68709677419352</v>
      </c>
      <c r="AS48" s="679">
        <f t="shared" ref="AS48" si="147">AS51/AS45/100</f>
        <v>256.15384615384619</v>
      </c>
      <c r="AT48" s="732">
        <v>252</v>
      </c>
      <c r="AU48" s="732">
        <v>252</v>
      </c>
      <c r="AV48" s="681">
        <f>AV51/AV45/100</f>
        <v>253.43152028830343</v>
      </c>
      <c r="AW48" s="732">
        <v>252</v>
      </c>
      <c r="AX48" s="732">
        <v>252</v>
      </c>
      <c r="AY48" s="732">
        <v>252</v>
      </c>
      <c r="AZ48" s="732">
        <v>252</v>
      </c>
      <c r="BA48" s="681">
        <f>BA51/BA45/100</f>
        <v>251.99999999999997</v>
      </c>
    </row>
    <row r="49" spans="1:53" outlineLevel="1" x14ac:dyDescent="0.2">
      <c r="B49" s="682"/>
      <c r="C49" s="683" t="s">
        <v>29</v>
      </c>
      <c r="D49" s="684"/>
      <c r="E49" s="684"/>
      <c r="F49" s="684"/>
      <c r="G49" s="684"/>
      <c r="H49" s="685"/>
      <c r="I49" s="684"/>
      <c r="J49" s="684"/>
      <c r="K49" s="684"/>
      <c r="L49" s="684"/>
      <c r="M49" s="685"/>
      <c r="N49" s="684"/>
      <c r="O49" s="684"/>
      <c r="P49" s="684"/>
      <c r="Q49" s="684"/>
      <c r="R49" s="685"/>
      <c r="S49" s="684"/>
      <c r="T49" s="684"/>
      <c r="U49" s="684"/>
      <c r="V49" s="684"/>
      <c r="W49" s="685"/>
      <c r="X49" s="684"/>
      <c r="Y49" s="684"/>
      <c r="Z49" s="684"/>
      <c r="AA49" s="684"/>
      <c r="AB49" s="685"/>
      <c r="AC49" s="684">
        <f t="shared" ref="AC49:AS49" si="148">AC48/X48-1</f>
        <v>6.060109289617488E-2</v>
      </c>
      <c r="AD49" s="684">
        <f t="shared" si="148"/>
        <v>2.38317466243545E-2</v>
      </c>
      <c r="AE49" s="684">
        <f t="shared" si="148"/>
        <v>2.0961369622475967E-2</v>
      </c>
      <c r="AF49" s="684">
        <f t="shared" si="148"/>
        <v>2.131768269594847E-2</v>
      </c>
      <c r="AG49" s="685">
        <f t="shared" si="148"/>
        <v>2.8274792066538712E-2</v>
      </c>
      <c r="AH49" s="684">
        <f t="shared" si="148"/>
        <v>2.0192307692307621E-2</v>
      </c>
      <c r="AI49" s="684">
        <f t="shared" si="148"/>
        <v>3.4642032332561357E-3</v>
      </c>
      <c r="AJ49" s="684">
        <f t="shared" si="148"/>
        <v>-3.1294890211370774E-3</v>
      </c>
      <c r="AK49" s="684">
        <f t="shared" si="148"/>
        <v>1.6683350016684084E-3</v>
      </c>
      <c r="AL49" s="685">
        <f t="shared" si="148"/>
        <v>5.0391117100754279E-3</v>
      </c>
      <c r="AM49" s="684">
        <f t="shared" si="148"/>
        <v>-1.9763079595645827E-2</v>
      </c>
      <c r="AN49" s="684">
        <f t="shared" si="148"/>
        <v>-2.2495131450827599E-2</v>
      </c>
      <c r="AO49" s="684">
        <f t="shared" si="148"/>
        <v>1.6593208867761167E-3</v>
      </c>
      <c r="AP49" s="684">
        <f t="shared" si="148"/>
        <v>-3.0351855824930496E-2</v>
      </c>
      <c r="AQ49" s="685">
        <f t="shared" si="148"/>
        <v>-1.798045576107643E-2</v>
      </c>
      <c r="AR49" s="684">
        <f t="shared" si="148"/>
        <v>-2.4309829606658395E-2</v>
      </c>
      <c r="AS49" s="684">
        <f t="shared" si="148"/>
        <v>-4.878486100423518E-3</v>
      </c>
      <c r="AT49" s="684">
        <f t="shared" ref="AT49" si="149">AT48/AO48-1</f>
        <v>-3.152826522029184E-2</v>
      </c>
      <c r="AU49" s="684">
        <f t="shared" ref="AU49" si="150">AU48/AP48-1</f>
        <v>-1.3083218830276522E-2</v>
      </c>
      <c r="AV49" s="685">
        <f t="shared" ref="AV49" si="151">AV48/AQ48-1</f>
        <v>-1.8266556964389391E-2</v>
      </c>
      <c r="AW49" s="684">
        <f t="shared" ref="AW49" si="152">AW48/AR48-1</f>
        <v>-6.6503058123417169E-3</v>
      </c>
      <c r="AX49" s="684">
        <f t="shared" ref="AX49" si="153">AX48/AS48-1</f>
        <v>-1.6216216216216384E-2</v>
      </c>
      <c r="AY49" s="684">
        <f t="shared" ref="AY49" si="154">AY48/AT48-1</f>
        <v>0</v>
      </c>
      <c r="AZ49" s="684">
        <f t="shared" ref="AZ49" si="155">AZ48/AU48-1</f>
        <v>0</v>
      </c>
      <c r="BA49" s="685">
        <f t="shared" ref="BA49" si="156">BA48/AV48-1</f>
        <v>-5.6485487151517466E-3</v>
      </c>
    </row>
    <row r="50" spans="1:53" outlineLevel="1" x14ac:dyDescent="0.2">
      <c r="B50" s="682"/>
      <c r="C50" s="683" t="s">
        <v>76</v>
      </c>
      <c r="D50" s="684"/>
      <c r="E50" s="684"/>
      <c r="F50" s="684"/>
      <c r="G50" s="684"/>
      <c r="H50" s="686"/>
      <c r="I50" s="684"/>
      <c r="J50" s="684"/>
      <c r="K50" s="684"/>
      <c r="L50" s="684"/>
      <c r="M50" s="686"/>
      <c r="N50" s="684"/>
      <c r="O50" s="684"/>
      <c r="P50" s="684"/>
      <c r="Q50" s="684"/>
      <c r="R50" s="686"/>
      <c r="S50" s="684"/>
      <c r="T50" s="684"/>
      <c r="U50" s="684"/>
      <c r="V50" s="684"/>
      <c r="W50" s="686"/>
      <c r="X50" s="684"/>
      <c r="Y50" s="684">
        <f>Y48/X48-1</f>
        <v>4.5572332470520616E-2</v>
      </c>
      <c r="Z50" s="684">
        <f>Z48/Y48-1</f>
        <v>-4.2045565659528661E-3</v>
      </c>
      <c r="AA50" s="684">
        <f>AA48/Z48-1</f>
        <v>8.4991708126036514E-3</v>
      </c>
      <c r="AB50" s="686"/>
      <c r="AC50" s="684">
        <f>AC48/AA48-1</f>
        <v>1.0071942446043147E-2</v>
      </c>
      <c r="AD50" s="684">
        <f>AD48/AC48-1</f>
        <v>9.3240093240094524E-3</v>
      </c>
      <c r="AE50" s="684">
        <f>AE48/AD48-1</f>
        <v>-6.9963320201058554E-3</v>
      </c>
      <c r="AF50" s="684">
        <f>AF48/AE48-1</f>
        <v>8.8511346085302645E-3</v>
      </c>
      <c r="AG50" s="686"/>
      <c r="AH50" s="684">
        <f>AH48/AF48-1</f>
        <v>8.9589589589589291E-3</v>
      </c>
      <c r="AI50" s="684">
        <f>AI48/AH48-1</f>
        <v>-7.2258875274898715E-3</v>
      </c>
      <c r="AJ50" s="684">
        <f>AJ48/AI48-1</f>
        <v>-1.3521288837744505E-2</v>
      </c>
      <c r="AK50" s="684">
        <f>AK48/AJ48-1</f>
        <v>1.3706620005832892E-2</v>
      </c>
      <c r="AL50" s="686"/>
      <c r="AM50" s="684">
        <f>AM48/AK48-1</f>
        <v>-1.2628443782576326E-2</v>
      </c>
      <c r="AN50" s="684">
        <f>AN48/AM48-1</f>
        <v>-9.9928822195874956E-3</v>
      </c>
      <c r="AO50" s="684">
        <f>AO48/AN48-1</f>
        <v>1.0854909969525872E-2</v>
      </c>
      <c r="AP50" s="684">
        <f>AP48/AO48-1</f>
        <v>-1.8689566072788488E-2</v>
      </c>
      <c r="AQ50" s="686"/>
      <c r="AR50" s="684">
        <f>AR48/AP48-1</f>
        <v>-6.4759802671460198E-3</v>
      </c>
      <c r="AS50" s="684">
        <f>AS48/AR48-1</f>
        <v>9.7235902456966894E-3</v>
      </c>
      <c r="AT50" s="684">
        <f>AT48/AS48-1</f>
        <v>-1.6216216216216384E-2</v>
      </c>
      <c r="AU50" s="684">
        <f>AU48/AT48-1</f>
        <v>0</v>
      </c>
      <c r="AV50" s="686"/>
      <c r="AW50" s="684">
        <f>AW48/AU48-1</f>
        <v>0</v>
      </c>
      <c r="AX50" s="684">
        <f>AX48/AW48-1</f>
        <v>0</v>
      </c>
      <c r="AY50" s="684">
        <f>AY48/AX48-1</f>
        <v>0</v>
      </c>
      <c r="AZ50" s="684">
        <f>AZ48/AY48-1</f>
        <v>0</v>
      </c>
      <c r="BA50" s="686"/>
    </row>
    <row r="51" spans="1:53" outlineLevel="1" x14ac:dyDescent="0.2">
      <c r="A51" s="669" t="s">
        <v>420</v>
      </c>
      <c r="B51" s="687" t="s">
        <v>305</v>
      </c>
      <c r="C51" s="688"/>
      <c r="D51" s="688"/>
      <c r="E51" s="688"/>
      <c r="F51" s="688"/>
      <c r="G51" s="689"/>
      <c r="H51" s="690"/>
      <c r="I51" s="688"/>
      <c r="J51" s="688"/>
      <c r="K51" s="688"/>
      <c r="L51" s="689"/>
      <c r="M51" s="690"/>
      <c r="N51" s="688"/>
      <c r="O51" s="688"/>
      <c r="P51" s="688"/>
      <c r="Q51" s="689"/>
      <c r="R51" s="690"/>
      <c r="S51" s="688"/>
      <c r="T51" s="688"/>
      <c r="U51" s="688"/>
      <c r="V51" s="689"/>
      <c r="W51" s="690"/>
      <c r="X51" s="688">
        <v>36600</v>
      </c>
      <c r="Y51" s="688">
        <v>48700</v>
      </c>
      <c r="Z51" s="688">
        <v>53600</v>
      </c>
      <c r="AA51" s="689">
        <v>69500</v>
      </c>
      <c r="AB51" s="690">
        <f>SUM(X51:AA51)</f>
        <v>208400</v>
      </c>
      <c r="AC51" s="688">
        <v>78000</v>
      </c>
      <c r="AD51" s="688">
        <v>86600</v>
      </c>
      <c r="AE51" s="688">
        <v>88600</v>
      </c>
      <c r="AF51" s="689">
        <v>99900</v>
      </c>
      <c r="AG51" s="690">
        <f>SUM(AC51:AF51)</f>
        <v>353100</v>
      </c>
      <c r="AH51" s="688">
        <v>106100</v>
      </c>
      <c r="AI51" s="688">
        <v>110600</v>
      </c>
      <c r="AJ51" s="688">
        <v>114300</v>
      </c>
      <c r="AK51" s="689">
        <v>126400</v>
      </c>
      <c r="AL51" s="690">
        <f>SUM(AH51:AK51)</f>
        <v>457400</v>
      </c>
      <c r="AM51" s="688">
        <v>132604</v>
      </c>
      <c r="AN51" s="688">
        <v>133853</v>
      </c>
      <c r="AO51" s="688">
        <f>137900+8</f>
        <v>137908</v>
      </c>
      <c r="AP51" s="689">
        <f>150600+51</f>
        <v>150651</v>
      </c>
      <c r="AQ51" s="690">
        <f>SUM(AM51:AP51)</f>
        <v>555016</v>
      </c>
      <c r="AR51" s="688">
        <v>157286</v>
      </c>
      <c r="AS51" s="688">
        <v>166500</v>
      </c>
      <c r="AT51" s="688">
        <f t="shared" ref="AT51:AU51" si="157">AT45*AT48*100</f>
        <v>160977.19680000003</v>
      </c>
      <c r="AU51" s="688">
        <f t="shared" si="157"/>
        <v>178416.00000000003</v>
      </c>
      <c r="AV51" s="690">
        <f>SUM(AR51:AU51)</f>
        <v>663179.19680000003</v>
      </c>
      <c r="AW51" s="688">
        <f>AW45*AW48*100</f>
        <v>182800.79999999996</v>
      </c>
      <c r="AX51" s="688">
        <f t="shared" ref="AX51:AZ51" si="158">AX45*AX48*100</f>
        <v>191646</v>
      </c>
      <c r="AY51" s="688">
        <f t="shared" si="158"/>
        <v>188600.88377088006</v>
      </c>
      <c r="AZ51" s="688">
        <f t="shared" si="158"/>
        <v>209032.1856</v>
      </c>
      <c r="BA51" s="690">
        <f>SUM(AW51:AZ51)</f>
        <v>772079.86937087995</v>
      </c>
    </row>
    <row r="52" spans="1:53" outlineLevel="1" x14ac:dyDescent="0.2">
      <c r="B52" s="682"/>
      <c r="C52" s="683" t="s">
        <v>29</v>
      </c>
      <c r="D52" s="684"/>
      <c r="E52" s="684"/>
      <c r="F52" s="684"/>
      <c r="G52" s="684"/>
      <c r="H52" s="685"/>
      <c r="I52" s="684"/>
      <c r="J52" s="684"/>
      <c r="K52" s="684"/>
      <c r="L52" s="684"/>
      <c r="M52" s="685"/>
      <c r="N52" s="684"/>
      <c r="O52" s="684"/>
      <c r="P52" s="684"/>
      <c r="Q52" s="684"/>
      <c r="R52" s="685"/>
      <c r="S52" s="684"/>
      <c r="T52" s="684"/>
      <c r="U52" s="684"/>
      <c r="V52" s="684"/>
      <c r="W52" s="685"/>
      <c r="X52" s="684"/>
      <c r="Y52" s="684"/>
      <c r="Z52" s="684"/>
      <c r="AA52" s="684"/>
      <c r="AB52" s="685"/>
      <c r="AC52" s="684">
        <f t="shared" ref="AC52:AS52" si="159">AC51/X51-1</f>
        <v>1.1311475409836067</v>
      </c>
      <c r="AD52" s="684">
        <f t="shared" si="159"/>
        <v>0.77823408624229984</v>
      </c>
      <c r="AE52" s="684">
        <f t="shared" si="159"/>
        <v>0.65298507462686572</v>
      </c>
      <c r="AF52" s="684">
        <f t="shared" si="159"/>
        <v>0.43741007194244608</v>
      </c>
      <c r="AG52" s="685">
        <f t="shared" si="159"/>
        <v>0.69433781190019195</v>
      </c>
      <c r="AH52" s="684">
        <f t="shared" si="159"/>
        <v>0.36025641025641031</v>
      </c>
      <c r="AI52" s="684">
        <f t="shared" si="159"/>
        <v>0.27713625866050817</v>
      </c>
      <c r="AJ52" s="684">
        <f t="shared" si="159"/>
        <v>0.29006772009029347</v>
      </c>
      <c r="AK52" s="684">
        <f t="shared" si="159"/>
        <v>0.26526526526526517</v>
      </c>
      <c r="AL52" s="685">
        <f t="shared" si="159"/>
        <v>0.29538374398187472</v>
      </c>
      <c r="AM52" s="684">
        <f t="shared" si="159"/>
        <v>0.24980207351555128</v>
      </c>
      <c r="AN52" s="684">
        <f t="shared" si="159"/>
        <v>0.21024412296564199</v>
      </c>
      <c r="AO52" s="684">
        <f t="shared" si="159"/>
        <v>0.20654418197725288</v>
      </c>
      <c r="AP52" s="684">
        <f t="shared" si="159"/>
        <v>0.19185917721518986</v>
      </c>
      <c r="AQ52" s="685">
        <f t="shared" si="159"/>
        <v>0.21341495408832523</v>
      </c>
      <c r="AR52" s="684">
        <f t="shared" si="159"/>
        <v>0.18613314832131755</v>
      </c>
      <c r="AS52" s="684">
        <f t="shared" si="159"/>
        <v>0.24390189237447046</v>
      </c>
      <c r="AT52" s="684">
        <f t="shared" ref="AT52" si="160">AT51/AO51-1</f>
        <v>0.16727961249528689</v>
      </c>
      <c r="AU52" s="684">
        <f t="shared" ref="AU52" si="161">AU51/AP51-1</f>
        <v>0.18430013740366835</v>
      </c>
      <c r="AV52" s="685">
        <f t="shared" ref="AV52" si="162">AV51/AQ51-1</f>
        <v>0.19488302463352425</v>
      </c>
      <c r="AW52" s="684">
        <f t="shared" ref="AW52" si="163">AW51/AR51-1</f>
        <v>0.1622191421995598</v>
      </c>
      <c r="AX52" s="684">
        <f t="shared" ref="AX52" si="164">AX51/AS51-1</f>
        <v>0.15102702702702708</v>
      </c>
      <c r="AY52" s="684">
        <f t="shared" ref="AY52" si="165">AY51/AT51-1</f>
        <v>0.1716000000000002</v>
      </c>
      <c r="AZ52" s="684">
        <f t="shared" ref="AZ52" si="166">AZ51/AU51-1</f>
        <v>0.17159999999999975</v>
      </c>
      <c r="BA52" s="685">
        <f t="shared" ref="BA52" si="167">BA51/AV51-1</f>
        <v>0.16421002512797744</v>
      </c>
    </row>
    <row r="53" spans="1:53" outlineLevel="1" x14ac:dyDescent="0.2">
      <c r="B53" s="682"/>
      <c r="C53" s="683" t="s">
        <v>76</v>
      </c>
      <c r="D53" s="684"/>
      <c r="E53" s="684"/>
      <c r="F53" s="684"/>
      <c r="G53" s="684"/>
      <c r="H53" s="686"/>
      <c r="I53" s="684"/>
      <c r="J53" s="684"/>
      <c r="K53" s="684"/>
      <c r="L53" s="684"/>
      <c r="M53" s="686"/>
      <c r="N53" s="684"/>
      <c r="O53" s="684"/>
      <c r="P53" s="684"/>
      <c r="Q53" s="684"/>
      <c r="R53" s="686"/>
      <c r="S53" s="684"/>
      <c r="T53" s="684"/>
      <c r="U53" s="684"/>
      <c r="V53" s="684"/>
      <c r="W53" s="686"/>
      <c r="X53" s="684"/>
      <c r="Y53" s="684">
        <f>Y51/X51-1</f>
        <v>0.3306010928961749</v>
      </c>
      <c r="Z53" s="684">
        <f>Z51/Y51-1</f>
        <v>0.10061601642710483</v>
      </c>
      <c r="AA53" s="684">
        <f>AA51/Z51-1</f>
        <v>0.29664179104477606</v>
      </c>
      <c r="AB53" s="686"/>
      <c r="AC53" s="684">
        <f>AC51/AA51-1</f>
        <v>0.1223021582733812</v>
      </c>
      <c r="AD53" s="684">
        <f>AD51/AC51-1</f>
        <v>0.11025641025641031</v>
      </c>
      <c r="AE53" s="684">
        <f>AE51/AD51-1</f>
        <v>2.3094688221708903E-2</v>
      </c>
      <c r="AF53" s="684">
        <f>AF51/AE51-1</f>
        <v>0.1275395033860045</v>
      </c>
      <c r="AG53" s="686"/>
      <c r="AH53" s="684">
        <f>AH51/AF51-1</f>
        <v>6.2062062062061996E-2</v>
      </c>
      <c r="AI53" s="684">
        <f>AI51/AH51-1</f>
        <v>4.2412818096135618E-2</v>
      </c>
      <c r="AJ53" s="684">
        <f>AJ51/AI51-1</f>
        <v>3.3453887884267619E-2</v>
      </c>
      <c r="AK53" s="684">
        <f>AK51/AJ51-1</f>
        <v>0.10586176727909002</v>
      </c>
      <c r="AL53" s="686"/>
      <c r="AM53" s="684">
        <f>AM51/AK51-1</f>
        <v>4.9082278481012764E-2</v>
      </c>
      <c r="AN53" s="684">
        <f>AN51/AM51-1</f>
        <v>9.4190220506169542E-3</v>
      </c>
      <c r="AO53" s="684">
        <f>AO51/AN51-1</f>
        <v>3.0294427468939844E-2</v>
      </c>
      <c r="AP53" s="684">
        <f>AP51/AO51-1</f>
        <v>9.240218116425436E-2</v>
      </c>
      <c r="AQ53" s="686"/>
      <c r="AR53" s="684">
        <f>AR51/AP51-1</f>
        <v>4.4042190227745026E-2</v>
      </c>
      <c r="AS53" s="684">
        <f>AS51/AR51-1</f>
        <v>5.8581183322101049E-2</v>
      </c>
      <c r="AT53" s="684">
        <f>AT51/AS51-1</f>
        <v>-3.3169989189189009E-2</v>
      </c>
      <c r="AU53" s="684">
        <f>AU51/AT51-1</f>
        <v>0.10833089124831874</v>
      </c>
      <c r="AV53" s="686"/>
      <c r="AW53" s="684">
        <f>AW51/AU51-1</f>
        <v>2.4576271186440346E-2</v>
      </c>
      <c r="AX53" s="684">
        <f>AX51/AW51-1</f>
        <v>4.8387096774193727E-2</v>
      </c>
      <c r="AY53" s="684">
        <f>AY51/AX51-1</f>
        <v>-1.58892762130175E-2</v>
      </c>
      <c r="AZ53" s="684">
        <f>AZ51/AY51-1</f>
        <v>0.1083308912483183</v>
      </c>
      <c r="BA53" s="686"/>
    </row>
    <row r="54" spans="1:53" ht="26.25" customHeight="1" outlineLevel="1" x14ac:dyDescent="0.2">
      <c r="A54" s="669" t="s">
        <v>420</v>
      </c>
      <c r="B54" s="687" t="s">
        <v>418</v>
      </c>
      <c r="C54" s="688"/>
      <c r="D54" s="688"/>
      <c r="E54" s="688"/>
      <c r="F54" s="688"/>
      <c r="G54" s="689"/>
      <c r="H54" s="690"/>
      <c r="I54" s="688"/>
      <c r="J54" s="688"/>
      <c r="K54" s="688"/>
      <c r="L54" s="689"/>
      <c r="M54" s="690"/>
      <c r="N54" s="688"/>
      <c r="O54" s="688"/>
      <c r="P54" s="688"/>
      <c r="Q54" s="689"/>
      <c r="R54" s="690"/>
      <c r="S54" s="688"/>
      <c r="T54" s="688"/>
      <c r="U54" s="688"/>
      <c r="V54" s="689"/>
      <c r="W54" s="690"/>
      <c r="X54" s="688"/>
      <c r="Y54" s="688"/>
      <c r="Z54" s="688"/>
      <c r="AA54" s="689">
        <v>34400</v>
      </c>
      <c r="AB54" s="690"/>
      <c r="AC54" s="688">
        <v>39000</v>
      </c>
      <c r="AD54" s="688">
        <v>44000</v>
      </c>
      <c r="AE54" s="688">
        <v>43000</v>
      </c>
      <c r="AF54" s="689">
        <v>48700</v>
      </c>
      <c r="AG54" s="690">
        <f>SUM(AC54:AF54)</f>
        <v>174700</v>
      </c>
      <c r="AH54" s="688">
        <v>51800</v>
      </c>
      <c r="AI54" s="688">
        <v>53700</v>
      </c>
      <c r="AJ54" s="688">
        <v>53800</v>
      </c>
      <c r="AK54" s="689">
        <v>60500</v>
      </c>
      <c r="AL54" s="690">
        <f>SUM(AH54:AK54)</f>
        <v>219800</v>
      </c>
      <c r="AM54" s="688">
        <v>62100</v>
      </c>
      <c r="AN54" s="688">
        <v>64700</v>
      </c>
      <c r="AO54" s="688">
        <v>68400</v>
      </c>
      <c r="AP54" s="689">
        <v>76800</v>
      </c>
      <c r="AQ54" s="690">
        <f>SUM(AM54:AP54)</f>
        <v>272000</v>
      </c>
      <c r="AR54" s="688">
        <v>81300</v>
      </c>
      <c r="AS54" s="688">
        <v>87000</v>
      </c>
      <c r="AT54" s="688"/>
      <c r="AU54" s="688"/>
      <c r="AV54" s="690"/>
      <c r="AW54" s="688"/>
      <c r="AX54" s="688"/>
      <c r="AY54" s="688"/>
      <c r="AZ54" s="688"/>
      <c r="BA54" s="690"/>
    </row>
    <row r="55" spans="1:53" outlineLevel="1" x14ac:dyDescent="0.2">
      <c r="B55" s="682"/>
      <c r="C55" s="683" t="s">
        <v>419</v>
      </c>
      <c r="D55" s="684"/>
      <c r="E55" s="684"/>
      <c r="F55" s="684"/>
      <c r="G55" s="684"/>
      <c r="H55" s="686"/>
      <c r="I55" s="684"/>
      <c r="J55" s="684"/>
      <c r="K55" s="684"/>
      <c r="L55" s="684"/>
      <c r="M55" s="686"/>
      <c r="N55" s="684"/>
      <c r="O55" s="684"/>
      <c r="P55" s="684"/>
      <c r="Q55" s="684"/>
      <c r="R55" s="686"/>
      <c r="S55" s="684"/>
      <c r="T55" s="684"/>
      <c r="U55" s="684"/>
      <c r="V55" s="684"/>
      <c r="W55" s="686"/>
      <c r="X55" s="684"/>
      <c r="Y55" s="684"/>
      <c r="Z55" s="684"/>
      <c r="AA55" s="684">
        <f>AA54/AA51</f>
        <v>0.49496402877697843</v>
      </c>
      <c r="AB55" s="686"/>
      <c r="AC55" s="684">
        <f>AC54/AC51</f>
        <v>0.5</v>
      </c>
      <c r="AD55" s="684">
        <f t="shared" ref="AD55:AF55" si="168">AD54/AD51</f>
        <v>0.5080831408775982</v>
      </c>
      <c r="AE55" s="684">
        <f t="shared" si="168"/>
        <v>0.48532731376975169</v>
      </c>
      <c r="AF55" s="684">
        <f t="shared" si="168"/>
        <v>0.48748748748748749</v>
      </c>
      <c r="AG55" s="686">
        <f>AG54/AG51</f>
        <v>0.49476069102237324</v>
      </c>
      <c r="AH55" s="684">
        <f>AH54/AH51</f>
        <v>0.4882186616399623</v>
      </c>
      <c r="AI55" s="684">
        <f t="shared" ref="AI55" si="169">AI54/AI51</f>
        <v>0.48553345388788427</v>
      </c>
      <c r="AJ55" s="684">
        <f t="shared" ref="AJ55" si="170">AJ54/AJ51</f>
        <v>0.47069116360454943</v>
      </c>
      <c r="AK55" s="684">
        <f t="shared" ref="AK55" si="171">AK54/AK51</f>
        <v>0.47863924050632911</v>
      </c>
      <c r="AL55" s="686">
        <f>AL54/AL51</f>
        <v>0.48054219501530387</v>
      </c>
      <c r="AM55" s="684">
        <f>AM54/AM51</f>
        <v>0.4683116648064915</v>
      </c>
      <c r="AN55" s="684">
        <f t="shared" ref="AN55:AP55" si="172">AN54/AN51</f>
        <v>0.48336608070046994</v>
      </c>
      <c r="AO55" s="684">
        <f t="shared" si="172"/>
        <v>0.49598282913246511</v>
      </c>
      <c r="AP55" s="684">
        <f t="shared" si="172"/>
        <v>0.50978752215385226</v>
      </c>
      <c r="AQ55" s="686">
        <f>AQ54/AQ51</f>
        <v>0.49007596177407498</v>
      </c>
      <c r="AR55" s="684">
        <f>AR54/AR51</f>
        <v>0.51689279401853949</v>
      </c>
      <c r="AS55" s="684">
        <f t="shared" ref="AS55" si="173">AS54/AS51</f>
        <v>0.52252252252252251</v>
      </c>
      <c r="AT55" s="684"/>
      <c r="AU55" s="684"/>
      <c r="AV55" s="686"/>
      <c r="AW55" s="684"/>
      <c r="AX55" s="684"/>
      <c r="AY55" s="684"/>
      <c r="AZ55" s="684"/>
      <c r="BA55" s="686"/>
    </row>
    <row r="56" spans="1:53" ht="13.5" outlineLevel="1" thickBot="1" x14ac:dyDescent="0.25">
      <c r="B56" s="745"/>
      <c r="C56" s="746" t="s">
        <v>512</v>
      </c>
      <c r="D56" s="747"/>
      <c r="E56" s="747"/>
      <c r="F56" s="747"/>
      <c r="G56" s="747"/>
      <c r="H56" s="748"/>
      <c r="I56" s="747"/>
      <c r="J56" s="747"/>
      <c r="K56" s="747"/>
      <c r="L56" s="747"/>
      <c r="M56" s="748"/>
      <c r="N56" s="747"/>
      <c r="O56" s="747"/>
      <c r="P56" s="747"/>
      <c r="Q56" s="747"/>
      <c r="R56" s="748"/>
      <c r="S56" s="747"/>
      <c r="T56" s="747"/>
      <c r="U56" s="747"/>
      <c r="V56" s="747"/>
      <c r="W56" s="748"/>
      <c r="X56" s="747"/>
      <c r="Y56" s="747"/>
      <c r="Z56" s="747"/>
      <c r="AA56" s="747" t="e">
        <f>AA55/AA52</f>
        <v>#DIV/0!</v>
      </c>
      <c r="AB56" s="748"/>
      <c r="AC56" s="862">
        <f>AC54/AC45/100</f>
        <v>130</v>
      </c>
      <c r="AD56" s="862">
        <f>AD54/AD45/100</f>
        <v>133.33333333333334</v>
      </c>
      <c r="AE56" s="862">
        <f>AE54/AE45/100</f>
        <v>126.47058823529413</v>
      </c>
      <c r="AF56" s="862">
        <f>AF54/AF45/100</f>
        <v>128.15789473684211</v>
      </c>
      <c r="AG56" s="748">
        <f>AG55/AG52</f>
        <v>0.7125648100142542</v>
      </c>
      <c r="AH56" s="862">
        <f>AH54/AH45/100</f>
        <v>129.5</v>
      </c>
      <c r="AI56" s="862">
        <f>AI54/AI45/100</f>
        <v>127.85714285714285</v>
      </c>
      <c r="AJ56" s="862">
        <f>AJ54/AJ45/100</f>
        <v>122.27272727272727</v>
      </c>
      <c r="AK56" s="862">
        <f>AK54/AK45/100</f>
        <v>126.04166666666669</v>
      </c>
      <c r="AL56" s="748">
        <f>AL55/AL52</f>
        <v>1.6268403553202671</v>
      </c>
      <c r="AM56" s="862">
        <f>AM54/AM45/100</f>
        <v>121.76470588235296</v>
      </c>
      <c r="AN56" s="862">
        <f>AN54/AN45/100</f>
        <v>124.42307692307692</v>
      </c>
      <c r="AO56" s="862">
        <f>AO54/AO45/100</f>
        <v>129.0566037735849</v>
      </c>
      <c r="AP56" s="862">
        <f>AP54/AP45/100</f>
        <v>130.16949152542372</v>
      </c>
      <c r="AQ56" s="748">
        <f>AQ55/AQ52</f>
        <v>2.2963524925776717</v>
      </c>
      <c r="AR56" s="862">
        <f>AR54/AR45/100</f>
        <v>131.12903225806451</v>
      </c>
      <c r="AS56" s="862">
        <f>AS54/AS45/100</f>
        <v>133.84615384615384</v>
      </c>
      <c r="AT56" s="747"/>
      <c r="AU56" s="747"/>
      <c r="AV56" s="748"/>
      <c r="AW56" s="747"/>
      <c r="AX56" s="747"/>
      <c r="AY56" s="747"/>
      <c r="AZ56" s="747"/>
      <c r="BA56" s="748"/>
    </row>
    <row r="58" spans="1:53" ht="13.5" thickBot="1" x14ac:dyDescent="0.25"/>
    <row r="59" spans="1:53" ht="13.5" thickBot="1" x14ac:dyDescent="0.25">
      <c r="B59" s="868" t="s">
        <v>412</v>
      </c>
      <c r="C59" s="869"/>
      <c r="D59" s="670" t="str">
        <f t="shared" ref="D59:BA59" si="174">D$104</f>
        <v>1Q18</v>
      </c>
      <c r="E59" s="670" t="str">
        <f t="shared" si="174"/>
        <v>2Q18</v>
      </c>
      <c r="F59" s="670" t="str">
        <f t="shared" si="174"/>
        <v>3Q18</v>
      </c>
      <c r="G59" s="670" t="str">
        <f t="shared" si="174"/>
        <v>4Q18</v>
      </c>
      <c r="H59" s="671">
        <f t="shared" si="174"/>
        <v>2018</v>
      </c>
      <c r="I59" s="670" t="str">
        <f t="shared" si="174"/>
        <v>1Q19</v>
      </c>
      <c r="J59" s="670" t="str">
        <f t="shared" si="174"/>
        <v>2Q19</v>
      </c>
      <c r="K59" s="670" t="str">
        <f t="shared" si="174"/>
        <v>3Q19</v>
      </c>
      <c r="L59" s="670" t="str">
        <f t="shared" si="174"/>
        <v>4Q19</v>
      </c>
      <c r="M59" s="671">
        <f t="shared" si="174"/>
        <v>2019</v>
      </c>
      <c r="N59" s="670" t="str">
        <f t="shared" si="174"/>
        <v>1Q20</v>
      </c>
      <c r="O59" s="670" t="str">
        <f t="shared" si="174"/>
        <v>2Q20</v>
      </c>
      <c r="P59" s="670" t="str">
        <f t="shared" si="174"/>
        <v>3Q20</v>
      </c>
      <c r="Q59" s="670" t="str">
        <f t="shared" si="174"/>
        <v>4Q20</v>
      </c>
      <c r="R59" s="671">
        <f t="shared" si="174"/>
        <v>2020</v>
      </c>
      <c r="S59" s="670" t="str">
        <f t="shared" si="174"/>
        <v>1Q21</v>
      </c>
      <c r="T59" s="670" t="str">
        <f t="shared" si="174"/>
        <v>2Q21</v>
      </c>
      <c r="U59" s="670" t="str">
        <f t="shared" si="174"/>
        <v>3Q21</v>
      </c>
      <c r="V59" s="670" t="str">
        <f t="shared" si="174"/>
        <v>4Q21</v>
      </c>
      <c r="W59" s="671">
        <f t="shared" si="174"/>
        <v>2021</v>
      </c>
      <c r="X59" s="670" t="str">
        <f t="shared" si="174"/>
        <v>1Q22</v>
      </c>
      <c r="Y59" s="670" t="str">
        <f t="shared" si="174"/>
        <v>2Q22</v>
      </c>
      <c r="Z59" s="670" t="str">
        <f t="shared" si="174"/>
        <v>3Q22</v>
      </c>
      <c r="AA59" s="670" t="str">
        <f t="shared" si="174"/>
        <v>4Q22</v>
      </c>
      <c r="AB59" s="671">
        <f t="shared" si="174"/>
        <v>2022</v>
      </c>
      <c r="AC59" s="670" t="str">
        <f t="shared" si="174"/>
        <v>1Q23</v>
      </c>
      <c r="AD59" s="670" t="str">
        <f t="shared" si="174"/>
        <v>2Q23</v>
      </c>
      <c r="AE59" s="670" t="str">
        <f t="shared" si="174"/>
        <v>3Q23</v>
      </c>
      <c r="AF59" s="670" t="str">
        <f t="shared" si="174"/>
        <v>4Q23</v>
      </c>
      <c r="AG59" s="671">
        <f t="shared" si="174"/>
        <v>2023</v>
      </c>
      <c r="AH59" s="670" t="str">
        <f t="shared" si="174"/>
        <v>1Q24</v>
      </c>
      <c r="AI59" s="670" t="str">
        <f t="shared" si="174"/>
        <v>2Q24</v>
      </c>
      <c r="AJ59" s="670" t="str">
        <f t="shared" si="174"/>
        <v>3Q24</v>
      </c>
      <c r="AK59" s="670" t="str">
        <f t="shared" si="174"/>
        <v>4Q24</v>
      </c>
      <c r="AL59" s="671">
        <f t="shared" si="174"/>
        <v>2024</v>
      </c>
      <c r="AM59" s="670" t="str">
        <f t="shared" si="174"/>
        <v>1Q25</v>
      </c>
      <c r="AN59" s="670" t="str">
        <f t="shared" si="174"/>
        <v>2Q25</v>
      </c>
      <c r="AO59" s="670" t="str">
        <f t="shared" si="174"/>
        <v>3Q25</v>
      </c>
      <c r="AP59" s="670" t="str">
        <f t="shared" si="174"/>
        <v>4Q25</v>
      </c>
      <c r="AQ59" s="671">
        <f t="shared" si="174"/>
        <v>2025</v>
      </c>
      <c r="AR59" s="670" t="str">
        <f t="shared" si="174"/>
        <v>1Q26</v>
      </c>
      <c r="AS59" s="670" t="str">
        <f t="shared" si="174"/>
        <v>2Q26</v>
      </c>
      <c r="AT59" s="670" t="str">
        <f t="shared" si="174"/>
        <v>3Q26E</v>
      </c>
      <c r="AU59" s="670" t="str">
        <f t="shared" si="174"/>
        <v>4Q26E</v>
      </c>
      <c r="AV59" s="671" t="str">
        <f t="shared" si="174"/>
        <v>2026E</v>
      </c>
      <c r="AW59" s="670" t="str">
        <f t="shared" si="174"/>
        <v>1Q27E</v>
      </c>
      <c r="AX59" s="670" t="str">
        <f t="shared" si="174"/>
        <v>2Q27E</v>
      </c>
      <c r="AY59" s="670" t="str">
        <f t="shared" si="174"/>
        <v>3Q27E</v>
      </c>
      <c r="AZ59" s="670" t="str">
        <f t="shared" si="174"/>
        <v>4Q27E</v>
      </c>
      <c r="BA59" s="671" t="str">
        <f t="shared" si="174"/>
        <v>2027E</v>
      </c>
    </row>
    <row r="60" spans="1:53" outlineLevel="1" x14ac:dyDescent="0.2">
      <c r="A60" s="669" t="s">
        <v>420</v>
      </c>
      <c r="B60" s="691" t="s">
        <v>290</v>
      </c>
      <c r="C60" s="692"/>
      <c r="D60" s="693"/>
      <c r="E60" s="693"/>
      <c r="F60" s="693"/>
      <c r="G60" s="693"/>
      <c r="H60" s="694"/>
      <c r="I60" s="693"/>
      <c r="J60" s="693"/>
      <c r="K60" s="693"/>
      <c r="L60" s="693"/>
      <c r="M60" s="694"/>
      <c r="N60" s="693"/>
      <c r="O60" s="693"/>
      <c r="P60" s="693"/>
      <c r="Q60" s="693"/>
      <c r="R60" s="694"/>
      <c r="S60" s="693"/>
      <c r="T60" s="693"/>
      <c r="U60" s="693"/>
      <c r="V60" s="693"/>
      <c r="W60" s="694"/>
      <c r="X60" s="693"/>
      <c r="Y60" s="693"/>
      <c r="Z60" s="693"/>
      <c r="AA60" s="693">
        <v>257600</v>
      </c>
      <c r="AB60" s="694"/>
      <c r="AC60" s="693">
        <v>270200</v>
      </c>
      <c r="AD60" s="693">
        <v>280700</v>
      </c>
      <c r="AE60" s="693">
        <v>294000</v>
      </c>
      <c r="AF60" s="693">
        <v>292400</v>
      </c>
      <c r="AG60" s="694">
        <f>AF60</f>
        <v>292400</v>
      </c>
      <c r="AH60" s="693">
        <v>297400</v>
      </c>
      <c r="AI60" s="693">
        <v>298700</v>
      </c>
      <c r="AJ60" s="693">
        <v>284700</v>
      </c>
      <c r="AK60" s="693">
        <v>288500</v>
      </c>
      <c r="AL60" s="694">
        <f>AK60</f>
        <v>288500</v>
      </c>
      <c r="AM60" s="693">
        <v>283700</v>
      </c>
      <c r="AN60" s="693">
        <v>282900</v>
      </c>
      <c r="AO60" s="693">
        <v>284200</v>
      </c>
      <c r="AP60" s="693">
        <v>283200</v>
      </c>
      <c r="AQ60" s="694">
        <f>AP60</f>
        <v>283200</v>
      </c>
      <c r="AR60" s="693">
        <v>282500</v>
      </c>
      <c r="AS60" s="693">
        <v>277000</v>
      </c>
      <c r="AT60" s="693">
        <f t="shared" ref="AT60" si="175">AS60+AT61</f>
        <v>276000</v>
      </c>
      <c r="AU60" s="693">
        <f t="shared" ref="AU60" si="176">AT60+AU61</f>
        <v>275000</v>
      </c>
      <c r="AV60" s="694">
        <f>AU60</f>
        <v>275000</v>
      </c>
      <c r="AW60" s="693">
        <f>AU60+AW61</f>
        <v>275100</v>
      </c>
      <c r="AX60" s="693">
        <f>AW60+AX61</f>
        <v>275200</v>
      </c>
      <c r="AY60" s="693">
        <f t="shared" ref="AY60" si="177">AX60+AY61</f>
        <v>275300</v>
      </c>
      <c r="AZ60" s="693">
        <f t="shared" ref="AZ60" si="178">AY60+AZ61</f>
        <v>275400</v>
      </c>
      <c r="BA60" s="694">
        <f>AZ60</f>
        <v>275400</v>
      </c>
    </row>
    <row r="61" spans="1:53" outlineLevel="1" x14ac:dyDescent="0.2">
      <c r="B61" s="695"/>
      <c r="C61" s="696" t="s">
        <v>28</v>
      </c>
      <c r="D61" s="696"/>
      <c r="E61" s="696"/>
      <c r="F61" s="696"/>
      <c r="G61" s="697"/>
      <c r="H61" s="698"/>
      <c r="I61" s="696"/>
      <c r="J61" s="696"/>
      <c r="K61" s="696"/>
      <c r="L61" s="697"/>
      <c r="M61" s="698"/>
      <c r="N61" s="696"/>
      <c r="O61" s="696"/>
      <c r="P61" s="696"/>
      <c r="Q61" s="697"/>
      <c r="R61" s="698"/>
      <c r="S61" s="696"/>
      <c r="T61" s="696"/>
      <c r="U61" s="696"/>
      <c r="V61" s="697"/>
      <c r="W61" s="698"/>
      <c r="X61" s="696"/>
      <c r="Y61" s="696"/>
      <c r="Z61" s="696"/>
      <c r="AA61" s="697"/>
      <c r="AB61" s="698"/>
      <c r="AC61" s="696">
        <f>AC60-AA60</f>
        <v>12600</v>
      </c>
      <c r="AD61" s="696">
        <f>AD60-AC60</f>
        <v>10500</v>
      </c>
      <c r="AE61" s="696">
        <f>AE60-AD60</f>
        <v>13300</v>
      </c>
      <c r="AF61" s="696">
        <f>AF60-AE60</f>
        <v>-1600</v>
      </c>
      <c r="AG61" s="698">
        <f>SUM(AC61:AF61)</f>
        <v>34800</v>
      </c>
      <c r="AH61" s="696">
        <f>AH60-AF60</f>
        <v>5000</v>
      </c>
      <c r="AI61" s="696">
        <f>AI60-AH60</f>
        <v>1300</v>
      </c>
      <c r="AJ61" s="696">
        <f>AJ60-AI60</f>
        <v>-14000</v>
      </c>
      <c r="AK61" s="696">
        <f>AK60-AJ60</f>
        <v>3800</v>
      </c>
      <c r="AL61" s="698">
        <f>SUM(AH61:AK61)</f>
        <v>-3900</v>
      </c>
      <c r="AM61" s="696">
        <f>AM60-AK60</f>
        <v>-4800</v>
      </c>
      <c r="AN61" s="696">
        <f>AN60-AM60</f>
        <v>-800</v>
      </c>
      <c r="AO61" s="696">
        <f>AO60-AN60</f>
        <v>1300</v>
      </c>
      <c r="AP61" s="696">
        <f>AP60-AO60</f>
        <v>-1000</v>
      </c>
      <c r="AQ61" s="698">
        <f>SUM(AM61:AP61)</f>
        <v>-5300</v>
      </c>
      <c r="AR61" s="696">
        <f>AR60-AP60</f>
        <v>-700</v>
      </c>
      <c r="AS61" s="696">
        <f>AS60-AR60</f>
        <v>-5500</v>
      </c>
      <c r="AT61" s="721">
        <v>-1000</v>
      </c>
      <c r="AU61" s="721">
        <v>-1000</v>
      </c>
      <c r="AV61" s="698">
        <f>SUM(AR61:AU61)</f>
        <v>-8200</v>
      </c>
      <c r="AW61" s="721">
        <v>100</v>
      </c>
      <c r="AX61" s="721">
        <v>100</v>
      </c>
      <c r="AY61" s="721">
        <v>100</v>
      </c>
      <c r="AZ61" s="721">
        <v>100</v>
      </c>
      <c r="BA61" s="698">
        <f>SUM(AW61:AZ61)</f>
        <v>400</v>
      </c>
    </row>
    <row r="62" spans="1:53" outlineLevel="1" x14ac:dyDescent="0.2">
      <c r="B62" s="699"/>
      <c r="C62" s="700" t="s">
        <v>29</v>
      </c>
      <c r="D62" s="701"/>
      <c r="E62" s="701"/>
      <c r="F62" s="701"/>
      <c r="G62" s="701"/>
      <c r="H62" s="702"/>
      <c r="I62" s="701"/>
      <c r="J62" s="701"/>
      <c r="K62" s="701"/>
      <c r="L62" s="701"/>
      <c r="M62" s="702"/>
      <c r="N62" s="701"/>
      <c r="O62" s="701"/>
      <c r="P62" s="701"/>
      <c r="Q62" s="701"/>
      <c r="R62" s="702"/>
      <c r="S62" s="701"/>
      <c r="T62" s="701"/>
      <c r="U62" s="701"/>
      <c r="V62" s="701"/>
      <c r="W62" s="702"/>
      <c r="X62" s="701"/>
      <c r="Y62" s="701"/>
      <c r="Z62" s="701"/>
      <c r="AA62" s="701"/>
      <c r="AB62" s="702"/>
      <c r="AC62" s="701"/>
      <c r="AD62" s="701"/>
      <c r="AE62" s="701"/>
      <c r="AF62" s="701">
        <f t="shared" ref="AF62" si="179">AF60/AA60-1</f>
        <v>0.13509316770186341</v>
      </c>
      <c r="AG62" s="702">
        <f>AG60/AA60-1</f>
        <v>0.13509316770186341</v>
      </c>
      <c r="AH62" s="701">
        <f t="shared" ref="AH62" si="180">AH60/AC60-1</f>
        <v>0.10066617320503335</v>
      </c>
      <c r="AI62" s="701">
        <f t="shared" ref="AI62" si="181">AI60/AD60-1</f>
        <v>6.4125400783754838E-2</v>
      </c>
      <c r="AJ62" s="701">
        <f t="shared" ref="AJ62" si="182">AJ60/AE60-1</f>
        <v>-3.1632653061224536E-2</v>
      </c>
      <c r="AK62" s="701">
        <f t="shared" ref="AK62:AS62" si="183">AK60/AF60-1</f>
        <v>-1.3337893296853642E-2</v>
      </c>
      <c r="AL62" s="702">
        <f t="shared" si="183"/>
        <v>-1.3337893296853642E-2</v>
      </c>
      <c r="AM62" s="701">
        <f t="shared" si="183"/>
        <v>-4.6065904505716238E-2</v>
      </c>
      <c r="AN62" s="701">
        <f t="shared" si="183"/>
        <v>-5.2895882156009377E-2</v>
      </c>
      <c r="AO62" s="701">
        <f t="shared" si="183"/>
        <v>-1.7562346329469403E-3</v>
      </c>
      <c r="AP62" s="701">
        <f t="shared" si="183"/>
        <v>-1.8370883882149025E-2</v>
      </c>
      <c r="AQ62" s="702">
        <f t="shared" ref="AQ62" si="184">AQ60/AL60-1</f>
        <v>-1.8370883882149025E-2</v>
      </c>
      <c r="AR62" s="701">
        <f t="shared" si="183"/>
        <v>-4.2298202326400691E-3</v>
      </c>
      <c r="AS62" s="701">
        <f t="shared" si="183"/>
        <v>-2.0855425945563777E-2</v>
      </c>
      <c r="AT62" s="701">
        <f t="shared" ref="AT62" si="185">AT60/AO60-1</f>
        <v>-2.885292047853627E-2</v>
      </c>
      <c r="AU62" s="701">
        <f t="shared" ref="AU62" si="186">AU60/AP60-1</f>
        <v>-2.8954802259887003E-2</v>
      </c>
      <c r="AV62" s="702">
        <f t="shared" ref="AV62" si="187">AV60/AQ60-1</f>
        <v>-2.8954802259887003E-2</v>
      </c>
      <c r="AW62" s="701">
        <f t="shared" ref="AW62" si="188">AW60/AR60-1</f>
        <v>-2.6194690265486709E-2</v>
      </c>
      <c r="AX62" s="701">
        <f t="shared" ref="AX62" si="189">AX60/AS60-1</f>
        <v>-6.4981949458483568E-3</v>
      </c>
      <c r="AY62" s="701">
        <f t="shared" ref="AY62" si="190">AY60/AT60-1</f>
        <v>-2.5362318840579379E-3</v>
      </c>
      <c r="AZ62" s="701">
        <f t="shared" ref="AZ62" si="191">AZ60/AU60-1</f>
        <v>1.4545454545453751E-3</v>
      </c>
      <c r="BA62" s="702">
        <f t="shared" ref="BA62" si="192">BA60/AV60-1</f>
        <v>1.4545454545453751E-3</v>
      </c>
    </row>
    <row r="63" spans="1:53" outlineLevel="1" x14ac:dyDescent="0.2">
      <c r="B63" s="699"/>
      <c r="C63" s="700" t="s">
        <v>76</v>
      </c>
      <c r="D63" s="701"/>
      <c r="E63" s="701"/>
      <c r="F63" s="701"/>
      <c r="G63" s="701"/>
      <c r="H63" s="703"/>
      <c r="I63" s="701"/>
      <c r="J63" s="701"/>
      <c r="K63" s="701"/>
      <c r="L63" s="701"/>
      <c r="M63" s="703"/>
      <c r="N63" s="701"/>
      <c r="O63" s="701"/>
      <c r="P63" s="701"/>
      <c r="Q63" s="701"/>
      <c r="R63" s="703"/>
      <c r="S63" s="701"/>
      <c r="T63" s="701"/>
      <c r="U63" s="701"/>
      <c r="V63" s="701"/>
      <c r="W63" s="703"/>
      <c r="X63" s="701"/>
      <c r="Y63" s="701"/>
      <c r="Z63" s="701"/>
      <c r="AA63" s="701"/>
      <c r="AB63" s="703"/>
      <c r="AC63" s="701">
        <f>AC60/AA60-1</f>
        <v>4.8913043478260976E-2</v>
      </c>
      <c r="AD63" s="701">
        <f>AD60/AC60-1</f>
        <v>3.8860103626942921E-2</v>
      </c>
      <c r="AE63" s="701">
        <f>AE60/AD60-1</f>
        <v>4.7381546134663388E-2</v>
      </c>
      <c r="AF63" s="701">
        <f>AF60/AE60-1</f>
        <v>-5.4421768707483276E-3</v>
      </c>
      <c r="AG63" s="703"/>
      <c r="AH63" s="701">
        <f>AH60/AF60-1</f>
        <v>1.7099863201094356E-2</v>
      </c>
      <c r="AI63" s="701">
        <f>AI60/AH60-1</f>
        <v>4.3712172158709706E-3</v>
      </c>
      <c r="AJ63" s="701">
        <f>AJ60/AI60-1</f>
        <v>-4.6869768998995642E-2</v>
      </c>
      <c r="AK63" s="701">
        <f>AK60/AJ60-1</f>
        <v>1.3347383210396968E-2</v>
      </c>
      <c r="AL63" s="703"/>
      <c r="AM63" s="701">
        <f>AM60/AK60-1</f>
        <v>-1.6637781629116111E-2</v>
      </c>
      <c r="AN63" s="701">
        <f>AN60/AM60-1</f>
        <v>-2.8198801550933794E-3</v>
      </c>
      <c r="AO63" s="701">
        <f>AO60/AN60-1</f>
        <v>4.5952633439378943E-3</v>
      </c>
      <c r="AP63" s="701">
        <f>AP60/AO60-1</f>
        <v>-3.5186488388458947E-3</v>
      </c>
      <c r="AQ63" s="703"/>
      <c r="AR63" s="701">
        <f>AR60/AP60-1</f>
        <v>-2.4717514124293904E-3</v>
      </c>
      <c r="AS63" s="701">
        <f>AS60/AR60-1</f>
        <v>-1.9469026548672552E-2</v>
      </c>
      <c r="AT63" s="701">
        <f>AT60/AS60-1</f>
        <v>-3.6101083032491488E-3</v>
      </c>
      <c r="AU63" s="701">
        <f>AU60/AT60-1</f>
        <v>-3.6231884057971175E-3</v>
      </c>
      <c r="AV63" s="703"/>
      <c r="AW63" s="701">
        <f>AW60/AU60-1</f>
        <v>3.6363636363634377E-4</v>
      </c>
      <c r="AX63" s="701">
        <f>AX60/AW60-1</f>
        <v>3.6350418029806875E-4</v>
      </c>
      <c r="AY63" s="701">
        <f>AY60/AX60-1</f>
        <v>3.6337209302317319E-4</v>
      </c>
      <c r="AZ63" s="701">
        <f>AZ60/AY60-1</f>
        <v>3.6324010170729615E-4</v>
      </c>
      <c r="BA63" s="703"/>
    </row>
    <row r="64" spans="1:53" ht="15.75" customHeight="1" outlineLevel="1" x14ac:dyDescent="0.2">
      <c r="B64" s="704" t="s">
        <v>410</v>
      </c>
      <c r="C64" s="705"/>
      <c r="D64" s="705"/>
      <c r="E64" s="705"/>
      <c r="F64" s="705"/>
      <c r="G64" s="706"/>
      <c r="H64" s="707"/>
      <c r="I64" s="705"/>
      <c r="J64" s="705"/>
      <c r="K64" s="705"/>
      <c r="L64" s="706"/>
      <c r="M64" s="707"/>
      <c r="N64" s="705"/>
      <c r="O64" s="705"/>
      <c r="P64" s="705"/>
      <c r="Q64" s="706"/>
      <c r="R64" s="707"/>
      <c r="S64" s="705"/>
      <c r="T64" s="705"/>
      <c r="U64" s="705"/>
      <c r="V64" s="706"/>
      <c r="W64" s="707"/>
      <c r="X64" s="705"/>
      <c r="Y64" s="705"/>
      <c r="Z64" s="705"/>
      <c r="AA64" s="706">
        <f>AA67/AA60*1000</f>
        <v>68.711180124223603</v>
      </c>
      <c r="AB64" s="707"/>
      <c r="AC64" s="705">
        <f>AC67/AC60*1000</f>
        <v>66.247224278312373</v>
      </c>
      <c r="AD64" s="705">
        <f>AD67/AD60*1000</f>
        <v>66.975418596366225</v>
      </c>
      <c r="AE64" s="705">
        <f>AE67/AE60*1000</f>
        <v>69.047619047619051</v>
      </c>
      <c r="AF64" s="706">
        <f>AF67/AF60*1000</f>
        <v>65.321477428180572</v>
      </c>
      <c r="AG64" s="707"/>
      <c r="AH64" s="705">
        <f>AH67/AH60*1000</f>
        <v>44.048419636852721</v>
      </c>
      <c r="AI64" s="705">
        <f>AI67/AI60*1000</f>
        <v>45.865416806160027</v>
      </c>
      <c r="AJ64" s="705">
        <f>AJ67/AJ60*1000</f>
        <v>52.335792061819461</v>
      </c>
      <c r="AK64" s="706">
        <f>AK67/AK60*1000</f>
        <v>50.259965337954938</v>
      </c>
      <c r="AL64" s="707"/>
      <c r="AM64" s="705">
        <f>AM67/AM60*1000</f>
        <v>50.345435318998938</v>
      </c>
      <c r="AN64" s="705">
        <f>AN67/AN60*1000</f>
        <v>46.733828207847296</v>
      </c>
      <c r="AO64" s="705">
        <f>AO67/AO60*1000</f>
        <v>45.443349753694577</v>
      </c>
      <c r="AP64" s="706">
        <f>AP67/AP60*1000</f>
        <v>47.270480225988706</v>
      </c>
      <c r="AQ64" s="707"/>
      <c r="AR64" s="705">
        <f>AR67/AR60*1000</f>
        <v>52.116814159292034</v>
      </c>
      <c r="AS64" s="705">
        <f>AS67/AS60*1000</f>
        <v>51.985559566787003</v>
      </c>
      <c r="AT64" s="705">
        <f t="shared" ref="AT64" si="193">AO64*(1+AT65)</f>
        <v>47.71551724137931</v>
      </c>
      <c r="AU64" s="705">
        <f t="shared" ref="AU64" si="194">AP64*(1+AU65)</f>
        <v>47.270480225988706</v>
      </c>
      <c r="AV64" s="707"/>
      <c r="AW64" s="705">
        <f>AR64*(1+AW65)</f>
        <v>54.462070796460168</v>
      </c>
      <c r="AX64" s="705">
        <f t="shared" ref="AX64" si="195">AS64*(1+AX65)</f>
        <v>54.324909747292416</v>
      </c>
      <c r="AY64" s="705">
        <f t="shared" ref="AY64" si="196">AT64*(1+AY65)</f>
        <v>49.862715517241377</v>
      </c>
      <c r="AZ64" s="705">
        <f t="shared" ref="AZ64" si="197">AU64*(1+AZ65)</f>
        <v>50.106709039548029</v>
      </c>
      <c r="BA64" s="707"/>
    </row>
    <row r="65" spans="1:53" outlineLevel="1" x14ac:dyDescent="0.2">
      <c r="B65" s="699"/>
      <c r="C65" s="700" t="s">
        <v>29</v>
      </c>
      <c r="D65" s="701"/>
      <c r="E65" s="701"/>
      <c r="F65" s="701"/>
      <c r="G65" s="701"/>
      <c r="H65" s="702"/>
      <c r="I65" s="701"/>
      <c r="J65" s="701"/>
      <c r="K65" s="701"/>
      <c r="L65" s="701"/>
      <c r="M65" s="702"/>
      <c r="N65" s="701"/>
      <c r="O65" s="701"/>
      <c r="P65" s="701"/>
      <c r="Q65" s="701"/>
      <c r="R65" s="702"/>
      <c r="S65" s="701"/>
      <c r="T65" s="701"/>
      <c r="U65" s="701"/>
      <c r="V65" s="701"/>
      <c r="W65" s="702"/>
      <c r="X65" s="701"/>
      <c r="Y65" s="701"/>
      <c r="Z65" s="701"/>
      <c r="AA65" s="701"/>
      <c r="AB65" s="702"/>
      <c r="AC65" s="701"/>
      <c r="AD65" s="701"/>
      <c r="AE65" s="701"/>
      <c r="AF65" s="701">
        <f>AF64/AA64-1</f>
        <v>-4.9332622288174255E-2</v>
      </c>
      <c r="AG65" s="702"/>
      <c r="AH65" s="701">
        <f>AH64/AC64-1</f>
        <v>-0.33509033598449145</v>
      </c>
      <c r="AI65" s="701">
        <f>AI64/AD64-1</f>
        <v>-0.31519029268674892</v>
      </c>
      <c r="AJ65" s="701">
        <f>AJ64/AE64-1</f>
        <v>-0.24203335634606304</v>
      </c>
      <c r="AK65" s="701">
        <f>AK64/AF64-1</f>
        <v>-0.23057519032366369</v>
      </c>
      <c r="AL65" s="702"/>
      <c r="AM65" s="701">
        <f>AM64/AH64-1</f>
        <v>0.1429566766313195</v>
      </c>
      <c r="AN65" s="701">
        <f>AN64/AI64-1</f>
        <v>1.8933904064524665E-2</v>
      </c>
      <c r="AO65" s="701">
        <f>AO64/AJ64-1</f>
        <v>-0.13169653188746</v>
      </c>
      <c r="AP65" s="701">
        <f>AP64/AK64-1</f>
        <v>-5.9480445158776374E-2</v>
      </c>
      <c r="AQ65" s="702"/>
      <c r="AR65" s="701">
        <f>AR64/AM64-1</f>
        <v>3.5184497443894847E-2</v>
      </c>
      <c r="AS65" s="701">
        <f>AS64/AN64-1</f>
        <v>0.11237537262264907</v>
      </c>
      <c r="AT65" s="722">
        <v>0.05</v>
      </c>
      <c r="AU65" s="722">
        <v>0</v>
      </c>
      <c r="AV65" s="702"/>
      <c r="AW65" s="722">
        <v>4.4999999999999998E-2</v>
      </c>
      <c r="AX65" s="722">
        <v>4.4999999999999998E-2</v>
      </c>
      <c r="AY65" s="722">
        <v>4.4999999999999998E-2</v>
      </c>
      <c r="AZ65" s="722">
        <v>0.06</v>
      </c>
      <c r="BA65" s="702"/>
    </row>
    <row r="66" spans="1:53" outlineLevel="1" x14ac:dyDescent="0.2">
      <c r="B66" s="699"/>
      <c r="C66" s="700" t="s">
        <v>76</v>
      </c>
      <c r="D66" s="701"/>
      <c r="E66" s="701"/>
      <c r="F66" s="701"/>
      <c r="G66" s="701"/>
      <c r="H66" s="703"/>
      <c r="I66" s="701"/>
      <c r="J66" s="701"/>
      <c r="K66" s="701"/>
      <c r="L66" s="701"/>
      <c r="M66" s="703"/>
      <c r="N66" s="701"/>
      <c r="O66" s="701"/>
      <c r="P66" s="701"/>
      <c r="Q66" s="701"/>
      <c r="R66" s="703"/>
      <c r="S66" s="701"/>
      <c r="T66" s="701"/>
      <c r="U66" s="701"/>
      <c r="V66" s="701"/>
      <c r="W66" s="703"/>
      <c r="X66" s="701"/>
      <c r="Y66" s="701"/>
      <c r="Z66" s="701"/>
      <c r="AA66" s="701"/>
      <c r="AB66" s="703"/>
      <c r="AC66" s="701">
        <f>AC64/AA64-1</f>
        <v>-3.5859605983431186E-2</v>
      </c>
      <c r="AD66" s="701">
        <f>AD64/AC64-1</f>
        <v>1.0992072890399385E-2</v>
      </c>
      <c r="AE66" s="701">
        <f>AE64/AD64-1</f>
        <v>3.0939716312056831E-2</v>
      </c>
      <c r="AF66" s="701">
        <f>AF64/AE64-1</f>
        <v>-5.3964809660833168E-2</v>
      </c>
      <c r="AG66" s="703"/>
      <c r="AH66" s="701">
        <f>AH64/AF64-1</f>
        <v>-0.3256671255593856</v>
      </c>
      <c r="AI66" s="701">
        <f>AI64/AH64-1</f>
        <v>4.124999680549557E-2</v>
      </c>
      <c r="AJ66" s="701">
        <f>AJ64/AI64-1</f>
        <v>0.14107307217996157</v>
      </c>
      <c r="AK66" s="701">
        <f>AK64/AJ64-1</f>
        <v>-3.9663615321089196E-2</v>
      </c>
      <c r="AL66" s="703"/>
      <c r="AM66" s="701">
        <f>AM64/AK64-1</f>
        <v>1.7005578987030479E-3</v>
      </c>
      <c r="AN66" s="701">
        <f>AN64/AM64-1</f>
        <v>-7.1736535562117232E-2</v>
      </c>
      <c r="AO66" s="701">
        <f>AO64/AN64-1</f>
        <v>-2.7613369236805352E-2</v>
      </c>
      <c r="AP66" s="701">
        <f>AP64/AO64-1</f>
        <v>4.0206773536662244E-2</v>
      </c>
      <c r="AQ66" s="703"/>
      <c r="AR66" s="701">
        <f>AR64/AP64-1</f>
        <v>0.102523475753455</v>
      </c>
      <c r="AS66" s="701">
        <f>AS64/AR64-1</f>
        <v>-2.5184692238450213E-3</v>
      </c>
      <c r="AT66" s="701">
        <f>AT64/AS64-1</f>
        <v>-8.213900862068968E-2</v>
      </c>
      <c r="AU66" s="701">
        <f>AU64/AT64-1</f>
        <v>-9.3268823460361805E-3</v>
      </c>
      <c r="AV66" s="703"/>
      <c r="AW66" s="701">
        <f>AW64/AU64-1</f>
        <v>0.1521370321623603</v>
      </c>
      <c r="AX66" s="701">
        <f>AX64/AW64-1</f>
        <v>-2.5184692238450213E-3</v>
      </c>
      <c r="AY66" s="701">
        <f>AY64/AX64-1</f>
        <v>-8.213900862068968E-2</v>
      </c>
      <c r="AZ66" s="701">
        <f>AZ64/AY64-1</f>
        <v>4.8933059456475192E-3</v>
      </c>
      <c r="BA66" s="703"/>
    </row>
    <row r="67" spans="1:53" ht="15" customHeight="1" outlineLevel="1" x14ac:dyDescent="0.2">
      <c r="A67" s="669" t="s">
        <v>420</v>
      </c>
      <c r="B67" s="691" t="s">
        <v>304</v>
      </c>
      <c r="C67" s="692"/>
      <c r="D67" s="692"/>
      <c r="E67" s="692"/>
      <c r="F67" s="692"/>
      <c r="G67" s="708"/>
      <c r="H67" s="709"/>
      <c r="I67" s="692"/>
      <c r="J67" s="692"/>
      <c r="K67" s="692"/>
      <c r="L67" s="708"/>
      <c r="M67" s="709"/>
      <c r="N67" s="692"/>
      <c r="O67" s="692"/>
      <c r="P67" s="692"/>
      <c r="Q67" s="708"/>
      <c r="R67" s="709"/>
      <c r="S67" s="692"/>
      <c r="T67" s="692"/>
      <c r="U67" s="692"/>
      <c r="V67" s="708"/>
      <c r="W67" s="709"/>
      <c r="X67" s="692"/>
      <c r="Y67" s="692"/>
      <c r="Z67" s="692"/>
      <c r="AA67" s="708">
        <v>17700</v>
      </c>
      <c r="AB67" s="709"/>
      <c r="AC67" s="692">
        <v>17900</v>
      </c>
      <c r="AD67" s="692">
        <v>18800</v>
      </c>
      <c r="AE67" s="692">
        <v>20300</v>
      </c>
      <c r="AF67" s="708">
        <v>19100</v>
      </c>
      <c r="AG67" s="709">
        <f>SUM(AC67:AF67)</f>
        <v>76100</v>
      </c>
      <c r="AH67" s="692">
        <v>13100</v>
      </c>
      <c r="AI67" s="692">
        <v>13700</v>
      </c>
      <c r="AJ67" s="692">
        <v>14900</v>
      </c>
      <c r="AK67" s="708">
        <v>14500</v>
      </c>
      <c r="AL67" s="709">
        <f>SUM(AH67:AK67)</f>
        <v>56200</v>
      </c>
      <c r="AM67" s="692">
        <f>14300-17</f>
        <v>14283</v>
      </c>
      <c r="AN67" s="692">
        <f>13200+21</f>
        <v>13221</v>
      </c>
      <c r="AO67" s="692">
        <f>12900+15</f>
        <v>12915</v>
      </c>
      <c r="AP67" s="708">
        <f>13400-13</f>
        <v>13387</v>
      </c>
      <c r="AQ67" s="709">
        <f>SUM(AM67:AP67)</f>
        <v>53806</v>
      </c>
      <c r="AR67" s="692">
        <f>14800+22123-22200</f>
        <v>14723</v>
      </c>
      <c r="AS67" s="692">
        <v>14400</v>
      </c>
      <c r="AT67" s="692">
        <f t="shared" ref="AT67:AU67" si="198">AT60*AT64/1000</f>
        <v>13169.482758620688</v>
      </c>
      <c r="AU67" s="692">
        <f t="shared" si="198"/>
        <v>12999.382062146895</v>
      </c>
      <c r="AV67" s="709">
        <f>SUM(AR67:AU67)</f>
        <v>55291.864820767587</v>
      </c>
      <c r="AW67" s="692">
        <f>AW60*AW64/1000</f>
        <v>14982.515676106192</v>
      </c>
      <c r="AX67" s="692">
        <f t="shared" ref="AX67:AZ67" si="199">AX60*AX64/1000</f>
        <v>14950.215162454873</v>
      </c>
      <c r="AY67" s="692">
        <f t="shared" si="199"/>
        <v>13727.205581896551</v>
      </c>
      <c r="AZ67" s="692">
        <f t="shared" si="199"/>
        <v>13799.387669491527</v>
      </c>
      <c r="BA67" s="709">
        <f>SUM(AW67:AZ67)</f>
        <v>57459.32408994915</v>
      </c>
    </row>
    <row r="68" spans="1:53" outlineLevel="1" x14ac:dyDescent="0.2">
      <c r="B68" s="699"/>
      <c r="C68" s="700" t="s">
        <v>29</v>
      </c>
      <c r="D68" s="701"/>
      <c r="E68" s="701"/>
      <c r="F68" s="701"/>
      <c r="G68" s="701"/>
      <c r="H68" s="702"/>
      <c r="I68" s="701"/>
      <c r="J68" s="701"/>
      <c r="K68" s="701"/>
      <c r="L68" s="701"/>
      <c r="M68" s="702"/>
      <c r="N68" s="701"/>
      <c r="O68" s="701"/>
      <c r="P68" s="701"/>
      <c r="Q68" s="701"/>
      <c r="R68" s="702"/>
      <c r="S68" s="701"/>
      <c r="T68" s="701"/>
      <c r="U68" s="701"/>
      <c r="V68" s="701"/>
      <c r="W68" s="702"/>
      <c r="X68" s="701"/>
      <c r="Y68" s="701"/>
      <c r="Z68" s="701"/>
      <c r="AA68" s="701"/>
      <c r="AB68" s="702"/>
      <c r="AC68" s="701"/>
      <c r="AD68" s="701"/>
      <c r="AE68" s="701"/>
      <c r="AF68" s="701">
        <f>AF67/AA67-1</f>
        <v>7.909604519774005E-2</v>
      </c>
      <c r="AG68" s="702"/>
      <c r="AH68" s="701">
        <f t="shared" ref="AH68:AS68" si="200">AH67/AC67-1</f>
        <v>-0.26815642458100564</v>
      </c>
      <c r="AI68" s="701">
        <f t="shared" si="200"/>
        <v>-0.27127659574468088</v>
      </c>
      <c r="AJ68" s="701">
        <f t="shared" si="200"/>
        <v>-0.26600985221674878</v>
      </c>
      <c r="AK68" s="701">
        <f t="shared" si="200"/>
        <v>-0.24083769633507857</v>
      </c>
      <c r="AL68" s="702">
        <f t="shared" si="200"/>
        <v>-0.26149802890932983</v>
      </c>
      <c r="AM68" s="701">
        <f t="shared" si="200"/>
        <v>9.0305343511450475E-2</v>
      </c>
      <c r="AN68" s="701">
        <f t="shared" si="200"/>
        <v>-3.4963503649635075E-2</v>
      </c>
      <c r="AO68" s="701">
        <f t="shared" si="200"/>
        <v>-0.13322147651006711</v>
      </c>
      <c r="AP68" s="701">
        <f t="shared" si="200"/>
        <v>-7.6758620689655221E-2</v>
      </c>
      <c r="AQ68" s="702">
        <f t="shared" si="200"/>
        <v>-4.2597864768683324E-2</v>
      </c>
      <c r="AR68" s="701">
        <f t="shared" si="200"/>
        <v>3.0805853112091386E-2</v>
      </c>
      <c r="AS68" s="701">
        <f t="shared" si="200"/>
        <v>8.9176310415248539E-2</v>
      </c>
      <c r="AT68" s="701">
        <f t="shared" ref="AT68" si="201">AT67/AO67-1</f>
        <v>1.9704433497536922E-2</v>
      </c>
      <c r="AU68" s="701">
        <f t="shared" ref="AU68" si="202">AU67/AP67-1</f>
        <v>-2.8954802259886891E-2</v>
      </c>
      <c r="AV68" s="702">
        <f t="shared" ref="AV68" si="203">AV67/AQ67-1</f>
        <v>2.761522545380779E-2</v>
      </c>
      <c r="AW68" s="701">
        <f t="shared" ref="AW68" si="204">AW67/AR67-1</f>
        <v>1.7626548672566189E-2</v>
      </c>
      <c r="AX68" s="701">
        <f t="shared" ref="AX68" si="205">AX67/AS67-1</f>
        <v>3.8209386281588431E-2</v>
      </c>
      <c r="AY68" s="701">
        <f t="shared" ref="AY68" si="206">AY67/AT67-1</f>
        <v>4.2349637681159402E-2</v>
      </c>
      <c r="AZ68" s="701">
        <f t="shared" ref="AZ68" si="207">AZ67/AU67-1</f>
        <v>6.1541818181818142E-2</v>
      </c>
      <c r="BA68" s="702">
        <f t="shared" ref="BA68" si="208">BA67/AV67-1</f>
        <v>3.9200328587352562E-2</v>
      </c>
    </row>
    <row r="69" spans="1:53" outlineLevel="1" x14ac:dyDescent="0.2">
      <c r="B69" s="699"/>
      <c r="C69" s="700" t="s">
        <v>76</v>
      </c>
      <c r="D69" s="701"/>
      <c r="E69" s="701"/>
      <c r="F69" s="701"/>
      <c r="G69" s="701"/>
      <c r="H69" s="703"/>
      <c r="I69" s="701"/>
      <c r="J69" s="701"/>
      <c r="K69" s="701"/>
      <c r="L69" s="701"/>
      <c r="M69" s="703"/>
      <c r="N69" s="701"/>
      <c r="O69" s="701"/>
      <c r="P69" s="701"/>
      <c r="Q69" s="701"/>
      <c r="R69" s="703"/>
      <c r="S69" s="701"/>
      <c r="T69" s="701"/>
      <c r="U69" s="701"/>
      <c r="V69" s="701"/>
      <c r="W69" s="703"/>
      <c r="X69" s="701"/>
      <c r="Y69" s="701"/>
      <c r="Z69" s="701"/>
      <c r="AA69" s="701"/>
      <c r="AB69" s="703"/>
      <c r="AC69" s="701">
        <f>AC67/AA67-1</f>
        <v>1.1299435028248483E-2</v>
      </c>
      <c r="AD69" s="701">
        <f>AD67/AC67-1</f>
        <v>5.027932960893855E-2</v>
      </c>
      <c r="AE69" s="701">
        <f>AE67/AD67-1</f>
        <v>7.9787234042553168E-2</v>
      </c>
      <c r="AF69" s="701">
        <f>AF67/AE67-1</f>
        <v>-5.9113300492610876E-2</v>
      </c>
      <c r="AG69" s="703"/>
      <c r="AH69" s="701">
        <f>AH67/AF67-1</f>
        <v>-0.31413612565445026</v>
      </c>
      <c r="AI69" s="701">
        <f>AI67/AH67-1</f>
        <v>4.5801526717557328E-2</v>
      </c>
      <c r="AJ69" s="701">
        <f>AJ67/AI67-1</f>
        <v>8.7591240875912302E-2</v>
      </c>
      <c r="AK69" s="701">
        <f>AK67/AJ67-1</f>
        <v>-2.6845637583892579E-2</v>
      </c>
      <c r="AL69" s="703"/>
      <c r="AM69" s="701">
        <f>AM67/AK67-1</f>
        <v>-1.4965517241379289E-2</v>
      </c>
      <c r="AN69" s="701">
        <f>AN67/AM67-1</f>
        <v>-7.4354127284184002E-2</v>
      </c>
      <c r="AO69" s="701">
        <f>AO67/AN67-1</f>
        <v>-2.3144996596324074E-2</v>
      </c>
      <c r="AP69" s="701">
        <f>AP67/AO67-1</f>
        <v>3.6546651180797474E-2</v>
      </c>
      <c r="AQ69" s="703"/>
      <c r="AR69" s="701">
        <f>AR67/AP67-1</f>
        <v>9.9798311795024963E-2</v>
      </c>
      <c r="AS69" s="701">
        <f>AS67/AR67-1</f>
        <v>-2.1938463628336624E-2</v>
      </c>
      <c r="AT69" s="701">
        <f>AT67/AS67-1</f>
        <v>-8.5452586206896664E-2</v>
      </c>
      <c r="AU69" s="701">
        <f>AU67/AT67-1</f>
        <v>-1.2916277699854706E-2</v>
      </c>
      <c r="AV69" s="703"/>
      <c r="AW69" s="701">
        <f>AW67/AU67-1</f>
        <v>0.15255599108314644</v>
      </c>
      <c r="AX69" s="701">
        <f>AX67/AW67-1</f>
        <v>-2.1558805176377094E-3</v>
      </c>
      <c r="AY69" s="701">
        <f>AY67/AX67-1</f>
        <v>-8.1805483551147806E-2</v>
      </c>
      <c r="AZ69" s="701">
        <f>AZ67/AY67-1</f>
        <v>5.2583234923042621E-3</v>
      </c>
      <c r="BA69" s="703"/>
    </row>
    <row r="70" spans="1:53" outlineLevel="1" x14ac:dyDescent="0.2">
      <c r="A70" s="669" t="s">
        <v>420</v>
      </c>
      <c r="B70" s="728" t="s">
        <v>407</v>
      </c>
      <c r="C70" s="729"/>
      <c r="D70" s="729"/>
      <c r="E70" s="729"/>
      <c r="F70" s="729"/>
      <c r="G70" s="730"/>
      <c r="H70" s="731"/>
      <c r="I70" s="729"/>
      <c r="J70" s="729"/>
      <c r="K70" s="729"/>
      <c r="L70" s="730"/>
      <c r="M70" s="731"/>
      <c r="N70" s="729"/>
      <c r="O70" s="729"/>
      <c r="P70" s="729"/>
      <c r="Q70" s="730"/>
      <c r="R70" s="731"/>
      <c r="S70" s="729"/>
      <c r="T70" s="729"/>
      <c r="U70" s="729"/>
      <c r="V70" s="730"/>
      <c r="W70" s="731"/>
      <c r="X70" s="729"/>
      <c r="Y70" s="729"/>
      <c r="Z70" s="729"/>
      <c r="AA70" s="730">
        <v>1.2</v>
      </c>
      <c r="AB70" s="731"/>
      <c r="AC70" s="729">
        <v>1.3</v>
      </c>
      <c r="AD70" s="729">
        <v>1.3</v>
      </c>
      <c r="AE70" s="729">
        <v>1.3</v>
      </c>
      <c r="AF70" s="730">
        <v>1.3</v>
      </c>
      <c r="AG70" s="731">
        <f>SUM(AC70:AF70)</f>
        <v>5.2</v>
      </c>
      <c r="AH70" s="729">
        <v>1.3</v>
      </c>
      <c r="AI70" s="729">
        <v>1.4</v>
      </c>
      <c r="AJ70" s="729">
        <v>1.4</v>
      </c>
      <c r="AK70" s="730">
        <v>1.6</v>
      </c>
      <c r="AL70" s="731">
        <f>SUM(AH70:AK70)</f>
        <v>5.6999999999999993</v>
      </c>
      <c r="AM70" s="729">
        <v>1.6</v>
      </c>
      <c r="AN70" s="729">
        <v>1.7</v>
      </c>
      <c r="AO70" s="729">
        <v>1.8</v>
      </c>
      <c r="AP70" s="730">
        <v>2</v>
      </c>
      <c r="AQ70" s="731">
        <f>SUM(AM70:AP70)</f>
        <v>7.1</v>
      </c>
      <c r="AR70" s="729">
        <v>2</v>
      </c>
      <c r="AS70" s="729">
        <v>2.1</v>
      </c>
      <c r="AT70" s="729">
        <f t="shared" ref="AT70" si="209">AO70*(1+AT71)</f>
        <v>2.2320000000000002</v>
      </c>
      <c r="AU70" s="730">
        <f t="shared" ref="AU70" si="210">AP70*(1+AU71)</f>
        <v>2.4900000000000002</v>
      </c>
      <c r="AV70" s="731">
        <f>SUM(AR70:AU70)</f>
        <v>8.8219999999999992</v>
      </c>
      <c r="AW70" s="729">
        <f>AR70*(1+AW71)</f>
        <v>2.56</v>
      </c>
      <c r="AX70" s="729">
        <f t="shared" ref="AX70" si="211">AS70*(1+AX71)</f>
        <v>2.6880000000000002</v>
      </c>
      <c r="AY70" s="729">
        <f t="shared" ref="AY70" si="212">AT70*(1+AY71)</f>
        <v>2.9016000000000002</v>
      </c>
      <c r="AZ70" s="730">
        <f t="shared" ref="AZ70" si="213">AU70*(1+AZ71)</f>
        <v>3.2370000000000005</v>
      </c>
      <c r="BA70" s="731">
        <f>SUM(AW70:AZ70)</f>
        <v>11.3866</v>
      </c>
    </row>
    <row r="71" spans="1:53" outlineLevel="1" x14ac:dyDescent="0.2">
      <c r="B71" s="682"/>
      <c r="C71" s="683" t="s">
        <v>29</v>
      </c>
      <c r="D71" s="684"/>
      <c r="E71" s="684"/>
      <c r="F71" s="684"/>
      <c r="G71" s="684"/>
      <c r="H71" s="685"/>
      <c r="I71" s="684"/>
      <c r="J71" s="684"/>
      <c r="K71" s="684"/>
      <c r="L71" s="684"/>
      <c r="M71" s="685"/>
      <c r="N71" s="684"/>
      <c r="O71" s="684"/>
      <c r="P71" s="684"/>
      <c r="Q71" s="684"/>
      <c r="R71" s="685"/>
      <c r="S71" s="684"/>
      <c r="T71" s="684"/>
      <c r="U71" s="684"/>
      <c r="V71" s="684"/>
      <c r="W71" s="685"/>
      <c r="X71" s="684"/>
      <c r="Y71" s="684"/>
      <c r="Z71" s="684"/>
      <c r="AA71" s="684"/>
      <c r="AB71" s="685"/>
      <c r="AC71" s="684"/>
      <c r="AD71" s="684"/>
      <c r="AE71" s="684"/>
      <c r="AF71" s="684">
        <f>AF70/AA70-1</f>
        <v>8.3333333333333481E-2</v>
      </c>
      <c r="AG71" s="685"/>
      <c r="AH71" s="684">
        <f t="shared" ref="AH71:AS71" si="214">AH70/AC70-1</f>
        <v>0</v>
      </c>
      <c r="AI71" s="684">
        <f t="shared" si="214"/>
        <v>7.6923076923076872E-2</v>
      </c>
      <c r="AJ71" s="684">
        <f t="shared" si="214"/>
        <v>7.6923076923076872E-2</v>
      </c>
      <c r="AK71" s="684">
        <f t="shared" si="214"/>
        <v>0.23076923076923084</v>
      </c>
      <c r="AL71" s="685">
        <f t="shared" si="214"/>
        <v>9.6153846153846034E-2</v>
      </c>
      <c r="AM71" s="684">
        <f t="shared" si="214"/>
        <v>0.23076923076923084</v>
      </c>
      <c r="AN71" s="684">
        <f t="shared" si="214"/>
        <v>0.21428571428571441</v>
      </c>
      <c r="AO71" s="684">
        <f t="shared" si="214"/>
        <v>0.28571428571428581</v>
      </c>
      <c r="AP71" s="684">
        <f t="shared" si="214"/>
        <v>0.25</v>
      </c>
      <c r="AQ71" s="685">
        <f>AQ70/AL70-1</f>
        <v>0.2456140350877194</v>
      </c>
      <c r="AR71" s="684">
        <f t="shared" si="214"/>
        <v>0.25</v>
      </c>
      <c r="AS71" s="684">
        <f t="shared" si="214"/>
        <v>0.23529411764705888</v>
      </c>
      <c r="AT71" s="723">
        <v>0.24</v>
      </c>
      <c r="AU71" s="723">
        <v>0.245</v>
      </c>
      <c r="AV71" s="685">
        <f>AV70/AQ70-1</f>
        <v>0.24253521126760558</v>
      </c>
      <c r="AW71" s="723">
        <v>0.28000000000000003</v>
      </c>
      <c r="AX71" s="723">
        <v>0.28000000000000003</v>
      </c>
      <c r="AY71" s="723">
        <v>0.3</v>
      </c>
      <c r="AZ71" s="723">
        <v>0.3</v>
      </c>
      <c r="BA71" s="685">
        <f>BA70/AV70-1</f>
        <v>0.29070505554296089</v>
      </c>
    </row>
    <row r="72" spans="1:53" outlineLevel="1" x14ac:dyDescent="0.2">
      <c r="B72" s="682"/>
      <c r="C72" s="683" t="s">
        <v>76</v>
      </c>
      <c r="D72" s="684"/>
      <c r="E72" s="684"/>
      <c r="F72" s="684"/>
      <c r="G72" s="684"/>
      <c r="H72" s="686"/>
      <c r="I72" s="684"/>
      <c r="J72" s="684"/>
      <c r="K72" s="684"/>
      <c r="L72" s="684"/>
      <c r="M72" s="686"/>
      <c r="N72" s="684"/>
      <c r="O72" s="684"/>
      <c r="P72" s="684"/>
      <c r="Q72" s="684"/>
      <c r="R72" s="686"/>
      <c r="S72" s="684"/>
      <c r="T72" s="684"/>
      <c r="U72" s="684"/>
      <c r="V72" s="684"/>
      <c r="W72" s="686"/>
      <c r="X72" s="684"/>
      <c r="Y72" s="684"/>
      <c r="Z72" s="684"/>
      <c r="AA72" s="684"/>
      <c r="AB72" s="686"/>
      <c r="AC72" s="684">
        <f>AC70/AA70-1</f>
        <v>8.3333333333333481E-2</v>
      </c>
      <c r="AD72" s="684">
        <f>AD70/AC70-1</f>
        <v>0</v>
      </c>
      <c r="AE72" s="684">
        <f>AE70/AD70-1</f>
        <v>0</v>
      </c>
      <c r="AF72" s="684">
        <f>AF70/AE70-1</f>
        <v>0</v>
      </c>
      <c r="AG72" s="686"/>
      <c r="AH72" s="684">
        <f>AH70/AF70-1</f>
        <v>0</v>
      </c>
      <c r="AI72" s="684">
        <f>AI70/AH70-1</f>
        <v>7.6923076923076872E-2</v>
      </c>
      <c r="AJ72" s="684">
        <f>AJ70/AI70-1</f>
        <v>0</v>
      </c>
      <c r="AK72" s="684">
        <f>AK70/AJ70-1</f>
        <v>0.14285714285714302</v>
      </c>
      <c r="AL72" s="686"/>
      <c r="AM72" s="684">
        <f>AM70/AK70-1</f>
        <v>0</v>
      </c>
      <c r="AN72" s="684">
        <f>AN70/AM70-1</f>
        <v>6.25E-2</v>
      </c>
      <c r="AO72" s="684">
        <f>AO70/AN70-1</f>
        <v>5.8823529411764719E-2</v>
      </c>
      <c r="AP72" s="684">
        <f>AP70/AO70-1</f>
        <v>0.11111111111111116</v>
      </c>
      <c r="AQ72" s="686"/>
      <c r="AR72" s="684">
        <f>AR70/AP70-1</f>
        <v>0</v>
      </c>
      <c r="AS72" s="684">
        <f>AS70/AR70-1</f>
        <v>5.0000000000000044E-2</v>
      </c>
      <c r="AT72" s="684">
        <f>AT70/AS70-1</f>
        <v>6.2857142857142945E-2</v>
      </c>
      <c r="AU72" s="684">
        <f>AU70/AT70-1</f>
        <v>0.11559139784946226</v>
      </c>
      <c r="AV72" s="686"/>
      <c r="AW72" s="684">
        <f>AW70/AU70-1</f>
        <v>2.8112449799196693E-2</v>
      </c>
      <c r="AX72" s="684">
        <f>AX70/AW70-1</f>
        <v>5.0000000000000044E-2</v>
      </c>
      <c r="AY72" s="684">
        <f>AY70/AX70-1</f>
        <v>7.9464285714285765E-2</v>
      </c>
      <c r="AZ72" s="684">
        <f>AZ70/AY70-1</f>
        <v>0.11559139784946248</v>
      </c>
      <c r="BA72" s="686"/>
    </row>
    <row r="73" spans="1:53" ht="15" customHeight="1" outlineLevel="1" x14ac:dyDescent="0.2">
      <c r="B73" s="724" t="s">
        <v>406</v>
      </c>
      <c r="C73" s="725"/>
      <c r="D73" s="725"/>
      <c r="E73" s="725"/>
      <c r="F73" s="725"/>
      <c r="G73" s="726"/>
      <c r="H73" s="727"/>
      <c r="I73" s="725"/>
      <c r="J73" s="725"/>
      <c r="K73" s="725"/>
      <c r="L73" s="726"/>
      <c r="M73" s="727"/>
      <c r="N73" s="725"/>
      <c r="O73" s="725"/>
      <c r="P73" s="725"/>
      <c r="Q73" s="726"/>
      <c r="R73" s="727"/>
      <c r="S73" s="725"/>
      <c r="T73" s="725"/>
      <c r="U73" s="725"/>
      <c r="V73" s="726"/>
      <c r="W73" s="727"/>
      <c r="X73" s="725"/>
      <c r="Y73" s="725"/>
      <c r="Z73" s="725"/>
      <c r="AA73" s="726">
        <f>AA76/AA70*1000</f>
        <v>4916.666666666667</v>
      </c>
      <c r="AB73" s="727"/>
      <c r="AC73" s="725">
        <f t="shared" ref="AC73:AL73" si="215">AC76/AC70*1000</f>
        <v>4769.2307692307695</v>
      </c>
      <c r="AD73" s="725">
        <f t="shared" si="215"/>
        <v>5000</v>
      </c>
      <c r="AE73" s="725">
        <f t="shared" si="215"/>
        <v>4846.1538461538457</v>
      </c>
      <c r="AF73" s="726">
        <f t="shared" si="215"/>
        <v>4384.6153846153848</v>
      </c>
      <c r="AG73" s="727">
        <f t="shared" si="215"/>
        <v>4750</v>
      </c>
      <c r="AH73" s="725">
        <f t="shared" si="215"/>
        <v>4307.6923076923076</v>
      </c>
      <c r="AI73" s="725">
        <f t="shared" si="215"/>
        <v>4357.1428571428569</v>
      </c>
      <c r="AJ73" s="725">
        <f t="shared" si="215"/>
        <v>4428.5714285714284</v>
      </c>
      <c r="AK73" s="726">
        <f t="shared" si="215"/>
        <v>4187.5</v>
      </c>
      <c r="AL73" s="727">
        <f t="shared" si="215"/>
        <v>4315.7894736842109</v>
      </c>
      <c r="AM73" s="725">
        <f t="shared" ref="AM73:AP73" si="216">AM76/AM70*1000</f>
        <v>4437.4999999999991</v>
      </c>
      <c r="AN73" s="725">
        <f t="shared" si="216"/>
        <v>4352.9411764705892</v>
      </c>
      <c r="AO73" s="725">
        <f t="shared" si="216"/>
        <v>3944.4444444444443</v>
      </c>
      <c r="AP73" s="726">
        <f t="shared" si="216"/>
        <v>3900</v>
      </c>
      <c r="AQ73" s="727">
        <f>AQ76/AQ70*1000</f>
        <v>4140.8450704225361</v>
      </c>
      <c r="AR73" s="725">
        <f>AR76/AR70*1000</f>
        <v>4200</v>
      </c>
      <c r="AS73" s="725">
        <f t="shared" ref="AS73" si="217">AS76/AS70*1000</f>
        <v>4142.8571428571422</v>
      </c>
      <c r="AT73" s="725">
        <f t="shared" ref="AT73" si="218">AO73*(1+AT74)</f>
        <v>4062.7777777777778</v>
      </c>
      <c r="AU73" s="726">
        <f t="shared" ref="AU73" si="219">AP73*(1+AU74)</f>
        <v>4017</v>
      </c>
      <c r="AV73" s="727">
        <f>AV76/AV70*1000</f>
        <v>4100.0283382452963</v>
      </c>
      <c r="AW73" s="725">
        <f>AR73*(1+AW74)</f>
        <v>4368</v>
      </c>
      <c r="AX73" s="725">
        <f t="shared" ref="AX73" si="220">AS73*(1+AX74)</f>
        <v>4308.5714285714284</v>
      </c>
      <c r="AY73" s="725">
        <f t="shared" ref="AY73" si="221">AT73*(1+AY74)</f>
        <v>4225.2888888888892</v>
      </c>
      <c r="AZ73" s="726">
        <f t="shared" ref="AZ73" si="222">AU73*(1+AZ74)</f>
        <v>4177.68</v>
      </c>
      <c r="BA73" s="727">
        <f>BA76/BA70*1000</f>
        <v>4263.4999385242309</v>
      </c>
    </row>
    <row r="74" spans="1:53" outlineLevel="1" x14ac:dyDescent="0.2">
      <c r="B74" s="682"/>
      <c r="C74" s="683" t="s">
        <v>29</v>
      </c>
      <c r="D74" s="684"/>
      <c r="E74" s="684"/>
      <c r="F74" s="684"/>
      <c r="G74" s="684"/>
      <c r="H74" s="685"/>
      <c r="I74" s="684"/>
      <c r="J74" s="684"/>
      <c r="K74" s="684"/>
      <c r="L74" s="684"/>
      <c r="M74" s="685"/>
      <c r="N74" s="684"/>
      <c r="O74" s="684"/>
      <c r="P74" s="684"/>
      <c r="Q74" s="684"/>
      <c r="R74" s="685"/>
      <c r="S74" s="684"/>
      <c r="T74" s="684"/>
      <c r="U74" s="684"/>
      <c r="V74" s="684"/>
      <c r="W74" s="685"/>
      <c r="X74" s="684"/>
      <c r="Y74" s="684"/>
      <c r="Z74" s="684"/>
      <c r="AA74" s="684"/>
      <c r="AB74" s="685"/>
      <c r="AC74" s="684"/>
      <c r="AD74" s="684"/>
      <c r="AE74" s="684"/>
      <c r="AF74" s="684">
        <f>AF73/AA73-1</f>
        <v>-0.10821382007822689</v>
      </c>
      <c r="AG74" s="685"/>
      <c r="AH74" s="684">
        <f t="shared" ref="AH74:AS74" si="223">AH73/AC73-1</f>
        <v>-9.6774193548387122E-2</v>
      </c>
      <c r="AI74" s="684">
        <f t="shared" si="223"/>
        <v>-0.12857142857142867</v>
      </c>
      <c r="AJ74" s="684">
        <f t="shared" si="223"/>
        <v>-8.6167800453514687E-2</v>
      </c>
      <c r="AK74" s="684">
        <f t="shared" si="223"/>
        <v>-4.4956140350877249E-2</v>
      </c>
      <c r="AL74" s="685">
        <f t="shared" si="223"/>
        <v>-9.1412742382271372E-2</v>
      </c>
      <c r="AM74" s="684">
        <f t="shared" si="223"/>
        <v>3.0133928571428381E-2</v>
      </c>
      <c r="AN74" s="684">
        <f t="shared" si="223"/>
        <v>-9.6432015429093187E-4</v>
      </c>
      <c r="AO74" s="684">
        <f t="shared" si="223"/>
        <v>-0.10931899641577059</v>
      </c>
      <c r="AP74" s="684">
        <f t="shared" si="223"/>
        <v>-6.8656716417910491E-2</v>
      </c>
      <c r="AQ74" s="685">
        <f>AQ73/AL73-1</f>
        <v>-4.0535898316729546E-2</v>
      </c>
      <c r="AR74" s="684">
        <f t="shared" si="223"/>
        <v>-5.3521126760563198E-2</v>
      </c>
      <c r="AS74" s="684">
        <f t="shared" si="223"/>
        <v>-4.826254826254861E-2</v>
      </c>
      <c r="AT74" s="723">
        <v>0.03</v>
      </c>
      <c r="AU74" s="723">
        <v>0.03</v>
      </c>
      <c r="AV74" s="685">
        <f>AV73/AQ73-1</f>
        <v>-9.8571019883810784E-3</v>
      </c>
      <c r="AW74" s="723">
        <v>0.04</v>
      </c>
      <c r="AX74" s="723">
        <v>0.04</v>
      </c>
      <c r="AY74" s="723">
        <v>0.04</v>
      </c>
      <c r="AZ74" s="723">
        <v>0.04</v>
      </c>
      <c r="BA74" s="685">
        <f>BA73/AV73-1</f>
        <v>3.9870846441245833E-2</v>
      </c>
    </row>
    <row r="75" spans="1:53" outlineLevel="1" x14ac:dyDescent="0.2">
      <c r="B75" s="682"/>
      <c r="C75" s="683" t="s">
        <v>76</v>
      </c>
      <c r="D75" s="684"/>
      <c r="E75" s="684"/>
      <c r="F75" s="684"/>
      <c r="G75" s="684"/>
      <c r="H75" s="686"/>
      <c r="I75" s="684"/>
      <c r="J75" s="684"/>
      <c r="K75" s="684"/>
      <c r="L75" s="684"/>
      <c r="M75" s="686"/>
      <c r="N75" s="684"/>
      <c r="O75" s="684"/>
      <c r="P75" s="684"/>
      <c r="Q75" s="684"/>
      <c r="R75" s="686"/>
      <c r="S75" s="684"/>
      <c r="T75" s="684"/>
      <c r="U75" s="684"/>
      <c r="V75" s="684"/>
      <c r="W75" s="686"/>
      <c r="X75" s="684"/>
      <c r="Y75" s="684"/>
      <c r="Z75" s="684"/>
      <c r="AA75" s="684"/>
      <c r="AB75" s="686"/>
      <c r="AC75" s="684">
        <f>AC73/AA73-1</f>
        <v>-2.9986962190352018E-2</v>
      </c>
      <c r="AD75" s="684">
        <f>AD73/AC73-1</f>
        <v>4.8387096774193505E-2</v>
      </c>
      <c r="AE75" s="684">
        <f>AE73/AD73-1</f>
        <v>-3.0769230769230882E-2</v>
      </c>
      <c r="AF75" s="684">
        <f>AF73/AE73-1</f>
        <v>-9.5238095238095122E-2</v>
      </c>
      <c r="AG75" s="686"/>
      <c r="AH75" s="684">
        <f>AH73/AF73-1</f>
        <v>-1.7543859649122862E-2</v>
      </c>
      <c r="AI75" s="684">
        <f>AI73/AH73-1</f>
        <v>1.1479591836734748E-2</v>
      </c>
      <c r="AJ75" s="684">
        <f>AJ73/AI73-1</f>
        <v>1.6393442622950838E-2</v>
      </c>
      <c r="AK75" s="684">
        <f>AK73/AJ73-1</f>
        <v>-5.4435483870967749E-2</v>
      </c>
      <c r="AL75" s="686"/>
      <c r="AM75" s="684">
        <f>AM73/AK73-1</f>
        <v>5.9701492537313161E-2</v>
      </c>
      <c r="AN75" s="684">
        <f>AN73/AM73-1</f>
        <v>-1.9055509527754366E-2</v>
      </c>
      <c r="AO75" s="684">
        <f>AO73/AN73-1</f>
        <v>-9.3843843843844033E-2</v>
      </c>
      <c r="AP75" s="684">
        <f>AP73/AO73-1</f>
        <v>-1.1267605633802802E-2</v>
      </c>
      <c r="AQ75" s="686"/>
      <c r="AR75" s="684">
        <f>AR73/AP73-1</f>
        <v>7.6923076923076872E-2</v>
      </c>
      <c r="AS75" s="684">
        <f>AS73/AR73-1</f>
        <v>-1.3605442176870874E-2</v>
      </c>
      <c r="AT75" s="684">
        <f>AT73/AS73-1</f>
        <v>-1.9329501915708591E-2</v>
      </c>
      <c r="AU75" s="684">
        <f>AU73/AT73-1</f>
        <v>-1.1267605633802802E-2</v>
      </c>
      <c r="AV75" s="686"/>
      <c r="AW75" s="684">
        <f>AW73/AU73-1</f>
        <v>8.737864077669899E-2</v>
      </c>
      <c r="AX75" s="684">
        <f>AX73/AW73-1</f>
        <v>-1.3605442176870763E-2</v>
      </c>
      <c r="AY75" s="684">
        <f>AY73/AX73-1</f>
        <v>-1.9329501915708702E-2</v>
      </c>
      <c r="AZ75" s="684">
        <f>AZ73/AY73-1</f>
        <v>-1.1267605633802802E-2</v>
      </c>
      <c r="BA75" s="686"/>
    </row>
    <row r="76" spans="1:53" ht="15" customHeight="1" outlineLevel="1" x14ac:dyDescent="0.2">
      <c r="A76" s="669" t="s">
        <v>420</v>
      </c>
      <c r="B76" s="678" t="s">
        <v>415</v>
      </c>
      <c r="C76" s="679"/>
      <c r="D76" s="679"/>
      <c r="E76" s="679"/>
      <c r="F76" s="679"/>
      <c r="G76" s="680"/>
      <c r="H76" s="681"/>
      <c r="I76" s="679"/>
      <c r="J76" s="679"/>
      <c r="K76" s="679"/>
      <c r="L76" s="680"/>
      <c r="M76" s="681"/>
      <c r="N76" s="679"/>
      <c r="O76" s="679"/>
      <c r="P76" s="679"/>
      <c r="Q76" s="680"/>
      <c r="R76" s="681"/>
      <c r="S76" s="679"/>
      <c r="T76" s="679"/>
      <c r="U76" s="679"/>
      <c r="V76" s="680"/>
      <c r="W76" s="681"/>
      <c r="X76" s="679"/>
      <c r="Y76" s="679"/>
      <c r="Z76" s="679"/>
      <c r="AA76" s="680">
        <v>5.9</v>
      </c>
      <c r="AB76" s="681"/>
      <c r="AC76" s="679">
        <v>6.2</v>
      </c>
      <c r="AD76" s="679">
        <v>6.5</v>
      </c>
      <c r="AE76" s="679">
        <v>6.3</v>
      </c>
      <c r="AF76" s="680">
        <v>5.7</v>
      </c>
      <c r="AG76" s="681">
        <f>SUM(AC76:AF76)</f>
        <v>24.7</v>
      </c>
      <c r="AH76" s="679">
        <v>5.6</v>
      </c>
      <c r="AI76" s="679">
        <v>6.1</v>
      </c>
      <c r="AJ76" s="679">
        <v>6.2</v>
      </c>
      <c r="AK76" s="680">
        <v>6.7</v>
      </c>
      <c r="AL76" s="681">
        <f>SUM(AH76:AK76)</f>
        <v>24.599999999999998</v>
      </c>
      <c r="AM76" s="679">
        <v>7.1</v>
      </c>
      <c r="AN76" s="679">
        <v>7.4</v>
      </c>
      <c r="AO76" s="679">
        <v>7.1</v>
      </c>
      <c r="AP76" s="680">
        <v>7.8</v>
      </c>
      <c r="AQ76" s="681">
        <f>SUM(AM76:AP76)</f>
        <v>29.400000000000002</v>
      </c>
      <c r="AR76" s="679">
        <v>8.4</v>
      </c>
      <c r="AS76" s="679">
        <v>8.6999999999999993</v>
      </c>
      <c r="AT76" s="679">
        <f t="shared" ref="AT76:AU76" si="224">AT70*AT73/1000</f>
        <v>9.0681200000000004</v>
      </c>
      <c r="AU76" s="679">
        <f t="shared" si="224"/>
        <v>10.002330000000002</v>
      </c>
      <c r="AV76" s="681">
        <f>SUM(AR76:AU76)</f>
        <v>36.170450000000002</v>
      </c>
      <c r="AW76" s="679">
        <f>AW70*AW73/1000</f>
        <v>11.182079999999999</v>
      </c>
      <c r="AX76" s="679">
        <f t="shared" ref="AX76:AZ76" si="225">AX70*AX73/1000</f>
        <v>11.581440000000001</v>
      </c>
      <c r="AY76" s="679">
        <f t="shared" si="225"/>
        <v>12.260098240000001</v>
      </c>
      <c r="AZ76" s="679">
        <f t="shared" si="225"/>
        <v>13.523150160000004</v>
      </c>
      <c r="BA76" s="681">
        <f>SUM(AW76:AZ76)</f>
        <v>48.546768400000005</v>
      </c>
    </row>
    <row r="77" spans="1:53" outlineLevel="1" x14ac:dyDescent="0.2">
      <c r="B77" s="682"/>
      <c r="C77" s="683" t="s">
        <v>29</v>
      </c>
      <c r="D77" s="684"/>
      <c r="E77" s="684"/>
      <c r="F77" s="684"/>
      <c r="G77" s="684"/>
      <c r="H77" s="685"/>
      <c r="I77" s="684"/>
      <c r="J77" s="684"/>
      <c r="K77" s="684"/>
      <c r="L77" s="684"/>
      <c r="M77" s="685"/>
      <c r="N77" s="684"/>
      <c r="O77" s="684"/>
      <c r="P77" s="684"/>
      <c r="Q77" s="684"/>
      <c r="R77" s="685"/>
      <c r="S77" s="684"/>
      <c r="T77" s="684"/>
      <c r="U77" s="684"/>
      <c r="V77" s="684"/>
      <c r="W77" s="685"/>
      <c r="X77" s="684"/>
      <c r="Y77" s="684"/>
      <c r="Z77" s="684"/>
      <c r="AA77" s="684"/>
      <c r="AB77" s="685"/>
      <c r="AC77" s="684"/>
      <c r="AD77" s="684"/>
      <c r="AE77" s="684"/>
      <c r="AF77" s="684">
        <f>AF76/AA76-1</f>
        <v>-3.3898305084745783E-2</v>
      </c>
      <c r="AG77" s="685"/>
      <c r="AH77" s="684">
        <f t="shared" ref="AH77:AS77" si="226">AH76/AC76-1</f>
        <v>-9.6774193548387233E-2</v>
      </c>
      <c r="AI77" s="684">
        <f t="shared" si="226"/>
        <v>-6.1538461538461542E-2</v>
      </c>
      <c r="AJ77" s="684">
        <f t="shared" si="226"/>
        <v>-1.5873015873015817E-2</v>
      </c>
      <c r="AK77" s="684">
        <f t="shared" si="226"/>
        <v>0.17543859649122817</v>
      </c>
      <c r="AL77" s="685">
        <f t="shared" si="226"/>
        <v>-4.0485829959514552E-3</v>
      </c>
      <c r="AM77" s="684">
        <f t="shared" si="226"/>
        <v>0.26785714285714279</v>
      </c>
      <c r="AN77" s="684">
        <f t="shared" si="226"/>
        <v>0.21311475409836089</v>
      </c>
      <c r="AO77" s="684">
        <f t="shared" si="226"/>
        <v>0.14516129032258052</v>
      </c>
      <c r="AP77" s="684">
        <f t="shared" si="226"/>
        <v>0.16417910447761197</v>
      </c>
      <c r="AQ77" s="685">
        <f t="shared" si="226"/>
        <v>0.19512195121951237</v>
      </c>
      <c r="AR77" s="684">
        <f t="shared" si="226"/>
        <v>0.18309859154929597</v>
      </c>
      <c r="AS77" s="684">
        <f t="shared" si="226"/>
        <v>0.17567567567567544</v>
      </c>
      <c r="AT77" s="684">
        <f t="shared" ref="AT77" si="227">AT76/AO76-1</f>
        <v>0.27720000000000011</v>
      </c>
      <c r="AU77" s="684">
        <f t="shared" ref="AU77" si="228">AU76/AP76-1</f>
        <v>0.28235000000000032</v>
      </c>
      <c r="AV77" s="685">
        <f t="shared" ref="AV77" si="229">AV76/AQ76-1</f>
        <v>0.23028741496598637</v>
      </c>
      <c r="AW77" s="684">
        <f t="shared" ref="AW77" si="230">AW76/AR76-1</f>
        <v>0.33119999999999994</v>
      </c>
      <c r="AX77" s="684">
        <f t="shared" ref="AX77" si="231">AX76/AS76-1</f>
        <v>0.33120000000000016</v>
      </c>
      <c r="AY77" s="684">
        <f t="shared" ref="AY77" si="232">AY76/AT76-1</f>
        <v>0.35200000000000009</v>
      </c>
      <c r="AZ77" s="684">
        <f t="shared" ref="AZ77" si="233">AZ76/AU76-1</f>
        <v>0.35200000000000009</v>
      </c>
      <c r="BA77" s="685">
        <f t="shared" ref="BA77" si="234">BA76/AV76-1</f>
        <v>0.34216655861345391</v>
      </c>
    </row>
    <row r="78" spans="1:53" outlineLevel="1" x14ac:dyDescent="0.2">
      <c r="B78" s="682"/>
      <c r="C78" s="683" t="s">
        <v>76</v>
      </c>
      <c r="D78" s="684"/>
      <c r="E78" s="684"/>
      <c r="F78" s="684"/>
      <c r="G78" s="684"/>
      <c r="H78" s="686"/>
      <c r="I78" s="684"/>
      <c r="J78" s="684"/>
      <c r="K78" s="684"/>
      <c r="L78" s="684"/>
      <c r="M78" s="686"/>
      <c r="N78" s="684"/>
      <c r="O78" s="684"/>
      <c r="P78" s="684"/>
      <c r="Q78" s="684"/>
      <c r="R78" s="686"/>
      <c r="S78" s="684"/>
      <c r="T78" s="684"/>
      <c r="U78" s="684"/>
      <c r="V78" s="684"/>
      <c r="W78" s="686"/>
      <c r="X78" s="684"/>
      <c r="Y78" s="684"/>
      <c r="Z78" s="684"/>
      <c r="AA78" s="684"/>
      <c r="AB78" s="686"/>
      <c r="AC78" s="684">
        <f>AC76/AA76-1</f>
        <v>5.0847457627118509E-2</v>
      </c>
      <c r="AD78" s="684">
        <f>AD76/AC76-1</f>
        <v>4.8387096774193505E-2</v>
      </c>
      <c r="AE78" s="684">
        <f>AE76/AD76-1</f>
        <v>-3.0769230769230771E-2</v>
      </c>
      <c r="AF78" s="684">
        <f>AF76/AE76-1</f>
        <v>-9.5238095238095233E-2</v>
      </c>
      <c r="AG78" s="686"/>
      <c r="AH78" s="684">
        <f>AH76/AF76-1</f>
        <v>-1.7543859649122862E-2</v>
      </c>
      <c r="AI78" s="684">
        <f>AI76/AH76-1</f>
        <v>8.9285714285714191E-2</v>
      </c>
      <c r="AJ78" s="684">
        <f>AJ76/AI76-1</f>
        <v>1.6393442622950838E-2</v>
      </c>
      <c r="AK78" s="684">
        <f>AK76/AJ76-1</f>
        <v>8.0645161290322509E-2</v>
      </c>
      <c r="AL78" s="686"/>
      <c r="AM78" s="684">
        <f>AM76/AK76-1</f>
        <v>5.9701492537313383E-2</v>
      </c>
      <c r="AN78" s="684">
        <f>AN76/AM76-1</f>
        <v>4.2253521126760729E-2</v>
      </c>
      <c r="AO78" s="684">
        <f>AO76/AN76-1</f>
        <v>-4.0540540540540682E-2</v>
      </c>
      <c r="AP78" s="684">
        <f>AP76/AO76-1</f>
        <v>9.8591549295774739E-2</v>
      </c>
      <c r="AQ78" s="686"/>
      <c r="AR78" s="684">
        <f>AR76/AP76-1</f>
        <v>7.6923076923077094E-2</v>
      </c>
      <c r="AS78" s="684">
        <f>AS76/AR76-1</f>
        <v>3.5714285714285587E-2</v>
      </c>
      <c r="AT78" s="684">
        <f>AT76/AS76-1</f>
        <v>4.2312643678161121E-2</v>
      </c>
      <c r="AU78" s="684">
        <f>AU76/AT76-1</f>
        <v>0.10302135393003198</v>
      </c>
      <c r="AV78" s="686"/>
      <c r="AW78" s="684">
        <f>AW76/AU76-1</f>
        <v>0.11794751822825256</v>
      </c>
      <c r="AX78" s="684">
        <f>AX76/AW76-1</f>
        <v>3.5714285714285809E-2</v>
      </c>
      <c r="AY78" s="684">
        <f>AY76/AX76-1</f>
        <v>5.8598778735632351E-2</v>
      </c>
      <c r="AZ78" s="684">
        <f>AZ76/AY76-1</f>
        <v>0.10302135393003198</v>
      </c>
      <c r="BA78" s="686"/>
    </row>
    <row r="79" spans="1:53" outlineLevel="1" x14ac:dyDescent="0.2">
      <c r="B79" s="687" t="s">
        <v>409</v>
      </c>
      <c r="C79" s="688"/>
      <c r="D79" s="688"/>
      <c r="E79" s="688"/>
      <c r="F79" s="688"/>
      <c r="G79" s="688"/>
      <c r="H79" s="690"/>
      <c r="I79" s="688"/>
      <c r="J79" s="688"/>
      <c r="K79" s="688"/>
      <c r="L79" s="688"/>
      <c r="M79" s="690"/>
      <c r="N79" s="688"/>
      <c r="O79" s="688"/>
      <c r="P79" s="688"/>
      <c r="Q79" s="688"/>
      <c r="R79" s="690"/>
      <c r="S79" s="688"/>
      <c r="T79" s="688"/>
      <c r="U79" s="688"/>
      <c r="V79" s="688"/>
      <c r="W79" s="690"/>
      <c r="X79" s="688"/>
      <c r="Y79" s="688"/>
      <c r="Z79" s="688"/>
      <c r="AA79" s="679">
        <f>AA82/AA76/100</f>
        <v>3.5593220338983049</v>
      </c>
      <c r="AB79" s="681"/>
      <c r="AC79" s="679">
        <f t="shared" ref="AC79:AL79" si="235">AC82/AC76/100</f>
        <v>4.838709677419355</v>
      </c>
      <c r="AD79" s="679">
        <f t="shared" si="235"/>
        <v>5.2307692307692308</v>
      </c>
      <c r="AE79" s="679">
        <f t="shared" si="235"/>
        <v>2.6984126984126982</v>
      </c>
      <c r="AF79" s="679">
        <f t="shared" si="235"/>
        <v>3.333333333333333</v>
      </c>
      <c r="AG79" s="681">
        <f t="shared" si="235"/>
        <v>4.048582995951417</v>
      </c>
      <c r="AH79" s="679">
        <f t="shared" si="235"/>
        <v>4.6428571428571432</v>
      </c>
      <c r="AI79" s="679">
        <f t="shared" si="235"/>
        <v>4.2622950819672134</v>
      </c>
      <c r="AJ79" s="679">
        <f t="shared" si="235"/>
        <v>4.838709677419355</v>
      </c>
      <c r="AK79" s="679">
        <f t="shared" si="235"/>
        <v>8.2089552238805972</v>
      </c>
      <c r="AL79" s="681">
        <f t="shared" si="235"/>
        <v>5.5691056910569117</v>
      </c>
      <c r="AM79" s="679">
        <f>AM82/AM76/100</f>
        <v>8.169014084507042</v>
      </c>
      <c r="AN79" s="679">
        <f t="shared" ref="AN79:AP79" si="236">AN82/AN76/100</f>
        <v>7.7027027027027017</v>
      </c>
      <c r="AO79" s="679">
        <f t="shared" si="236"/>
        <v>8.0281690140845061</v>
      </c>
      <c r="AP79" s="679">
        <f t="shared" si="236"/>
        <v>8.9743589743589745</v>
      </c>
      <c r="AQ79" s="681">
        <f>AQ82/AQ76/100</f>
        <v>8.2312925170068016</v>
      </c>
      <c r="AR79" s="679">
        <f>AR82/AR76/100</f>
        <v>8.8095238095238102</v>
      </c>
      <c r="AS79" s="679">
        <f t="shared" ref="AS79" si="237">AS82/AS76/100</f>
        <v>9.655172413793105</v>
      </c>
      <c r="AT79" s="732">
        <v>9.5</v>
      </c>
      <c r="AU79" s="732">
        <v>9.5</v>
      </c>
      <c r="AV79" s="681">
        <f>AV82/AV76/100</f>
        <v>9.3769713951582041</v>
      </c>
      <c r="AW79" s="732">
        <v>9.5</v>
      </c>
      <c r="AX79" s="732">
        <v>9.4</v>
      </c>
      <c r="AY79" s="732">
        <v>9.6999999999999993</v>
      </c>
      <c r="AZ79" s="732">
        <v>9.6999999999999993</v>
      </c>
      <c r="BA79" s="681">
        <f>BA82/BA76/100</f>
        <v>9.5823639927390101</v>
      </c>
    </row>
    <row r="80" spans="1:53" outlineLevel="1" x14ac:dyDescent="0.2">
      <c r="B80" s="682"/>
      <c r="C80" s="683" t="s">
        <v>29</v>
      </c>
      <c r="D80" s="684"/>
      <c r="E80" s="684"/>
      <c r="F80" s="684"/>
      <c r="G80" s="684"/>
      <c r="H80" s="685"/>
      <c r="I80" s="684"/>
      <c r="J80" s="684"/>
      <c r="K80" s="684"/>
      <c r="L80" s="684"/>
      <c r="M80" s="685"/>
      <c r="N80" s="684"/>
      <c r="O80" s="684"/>
      <c r="P80" s="684"/>
      <c r="Q80" s="684"/>
      <c r="R80" s="685"/>
      <c r="S80" s="684"/>
      <c r="T80" s="684"/>
      <c r="U80" s="684"/>
      <c r="V80" s="684"/>
      <c r="W80" s="685"/>
      <c r="X80" s="684"/>
      <c r="Y80" s="684"/>
      <c r="Z80" s="684"/>
      <c r="AA80" s="684"/>
      <c r="AB80" s="685"/>
      <c r="AC80" s="684"/>
      <c r="AD80" s="684"/>
      <c r="AE80" s="684"/>
      <c r="AF80" s="684">
        <f>AF79/AA79-1</f>
        <v>-6.3492063492063489E-2</v>
      </c>
      <c r="AG80" s="685"/>
      <c r="AH80" s="684">
        <f t="shared" ref="AH80:AS80" si="238">AH79/AC79-1</f>
        <v>-4.0476190476190443E-2</v>
      </c>
      <c r="AI80" s="684">
        <f t="shared" si="238"/>
        <v>-0.1851494696239151</v>
      </c>
      <c r="AJ80" s="684">
        <f t="shared" si="238"/>
        <v>0.79316888045540823</v>
      </c>
      <c r="AK80" s="684">
        <f t="shared" si="238"/>
        <v>1.4626865671641793</v>
      </c>
      <c r="AL80" s="685">
        <f t="shared" si="238"/>
        <v>0.37556910569105728</v>
      </c>
      <c r="AM80" s="684">
        <f t="shared" si="238"/>
        <v>0.75947995666305501</v>
      </c>
      <c r="AN80" s="684">
        <f t="shared" si="238"/>
        <v>0.80717255717255676</v>
      </c>
      <c r="AO80" s="684">
        <f t="shared" si="238"/>
        <v>0.65915492957746458</v>
      </c>
      <c r="AP80" s="684">
        <f t="shared" si="238"/>
        <v>9.3240093240093191E-2</v>
      </c>
      <c r="AQ80" s="685">
        <f t="shared" si="238"/>
        <v>0.47802770743333789</v>
      </c>
      <c r="AR80" s="684">
        <f t="shared" si="238"/>
        <v>7.840722495894914E-2</v>
      </c>
      <c r="AS80" s="684">
        <f t="shared" si="238"/>
        <v>0.25347852389594716</v>
      </c>
      <c r="AT80" s="684">
        <f t="shared" ref="AT80" si="239">AT79/AO79-1</f>
        <v>0.18333333333333357</v>
      </c>
      <c r="AU80" s="684">
        <f t="shared" ref="AU80" si="240">AU79/AP79-1</f>
        <v>5.8571428571428497E-2</v>
      </c>
      <c r="AV80" s="685">
        <f t="shared" ref="AV80" si="241">AV79/AQ79-1</f>
        <v>0.13918578106467461</v>
      </c>
      <c r="AW80" s="684">
        <f t="shared" ref="AW80" si="242">AW79/AR79-1</f>
        <v>7.8378378378378244E-2</v>
      </c>
      <c r="AX80" s="684">
        <f t="shared" ref="AX80" si="243">AX79/AS79-1</f>
        <v>-2.6428571428571579E-2</v>
      </c>
      <c r="AY80" s="684">
        <f t="shared" ref="AY80" si="244">AY79/AT79-1</f>
        <v>2.1052631578947212E-2</v>
      </c>
      <c r="AZ80" s="684">
        <f t="shared" ref="AZ80" si="245">AZ79/AU79-1</f>
        <v>2.1052631578947212E-2</v>
      </c>
      <c r="BA80" s="685">
        <f t="shared" ref="BA80" si="246">BA79/AV79-1</f>
        <v>2.1903937734827794E-2</v>
      </c>
    </row>
    <row r="81" spans="1:53" outlineLevel="1" x14ac:dyDescent="0.2">
      <c r="B81" s="682"/>
      <c r="C81" s="683" t="s">
        <v>76</v>
      </c>
      <c r="D81" s="684"/>
      <c r="E81" s="684"/>
      <c r="F81" s="684"/>
      <c r="G81" s="684"/>
      <c r="H81" s="686"/>
      <c r="I81" s="684"/>
      <c r="J81" s="684"/>
      <c r="K81" s="684"/>
      <c r="L81" s="684"/>
      <c r="M81" s="686"/>
      <c r="N81" s="684"/>
      <c r="O81" s="684"/>
      <c r="P81" s="684"/>
      <c r="Q81" s="684"/>
      <c r="R81" s="686"/>
      <c r="S81" s="684"/>
      <c r="T81" s="684"/>
      <c r="U81" s="684"/>
      <c r="V81" s="684"/>
      <c r="W81" s="686"/>
      <c r="X81" s="684"/>
      <c r="Y81" s="684"/>
      <c r="Z81" s="684"/>
      <c r="AA81" s="684" t="e">
        <f>AA79/Z79-1</f>
        <v>#DIV/0!</v>
      </c>
      <c r="AB81" s="686"/>
      <c r="AC81" s="684">
        <f>AC79/AA79-1</f>
        <v>0.35944700460829493</v>
      </c>
      <c r="AD81" s="684">
        <f>AD79/AC79-1</f>
        <v>8.1025641025640915E-2</v>
      </c>
      <c r="AE81" s="684">
        <f>AE79/AD79-1</f>
        <v>-0.48412698412698418</v>
      </c>
      <c r="AF81" s="684">
        <f>AF79/AE79-1</f>
        <v>0.23529411764705888</v>
      </c>
      <c r="AG81" s="686"/>
      <c r="AH81" s="684">
        <f>AH79/AF79-1</f>
        <v>0.39285714285714302</v>
      </c>
      <c r="AI81" s="684">
        <f>AI79/AH79-1</f>
        <v>-8.1967213114754078E-2</v>
      </c>
      <c r="AJ81" s="684">
        <f>AJ79/AI79-1</f>
        <v>0.13523573200992556</v>
      </c>
      <c r="AK81" s="684">
        <f>AK79/AJ79-1</f>
        <v>0.69651741293532332</v>
      </c>
      <c r="AL81" s="686"/>
      <c r="AM81" s="684">
        <f>AM79/AK79-1</f>
        <v>-4.8655569782330987E-3</v>
      </c>
      <c r="AN81" s="684">
        <f>AN79/AM79-1</f>
        <v>-5.7082945013979591E-2</v>
      </c>
      <c r="AO81" s="684">
        <f>AO79/AN79-1</f>
        <v>4.2253521126760507E-2</v>
      </c>
      <c r="AP81" s="684">
        <f>AP79/AO79-1</f>
        <v>0.11785874943769703</v>
      </c>
      <c r="AQ81" s="686"/>
      <c r="AR81" s="684">
        <f>AR79/AP79-1</f>
        <v>-1.8367346938775397E-2</v>
      </c>
      <c r="AS81" s="684">
        <f>AS79/AR79-1</f>
        <v>9.5992544268406421E-2</v>
      </c>
      <c r="AT81" s="684">
        <f>AT79/AS79-1</f>
        <v>-1.6071428571428736E-2</v>
      </c>
      <c r="AU81" s="684">
        <f>AU79/AT79-1</f>
        <v>0</v>
      </c>
      <c r="AV81" s="686"/>
      <c r="AW81" s="684">
        <f>AW79/AU79-1</f>
        <v>0</v>
      </c>
      <c r="AX81" s="684">
        <f>AX79/AW79-1</f>
        <v>-1.0526315789473606E-2</v>
      </c>
      <c r="AY81" s="684">
        <f>AY79/AX79-1</f>
        <v>3.1914893617021267E-2</v>
      </c>
      <c r="AZ81" s="684">
        <f>AZ79/AY79-1</f>
        <v>0</v>
      </c>
      <c r="BA81" s="686"/>
    </row>
    <row r="82" spans="1:53" outlineLevel="1" x14ac:dyDescent="0.2">
      <c r="A82" s="669" t="s">
        <v>420</v>
      </c>
      <c r="B82" s="687" t="s">
        <v>305</v>
      </c>
      <c r="C82" s="688"/>
      <c r="D82" s="688"/>
      <c r="E82" s="688"/>
      <c r="F82" s="688"/>
      <c r="G82" s="689"/>
      <c r="H82" s="690"/>
      <c r="I82" s="688"/>
      <c r="J82" s="688"/>
      <c r="K82" s="688"/>
      <c r="L82" s="689"/>
      <c r="M82" s="690"/>
      <c r="N82" s="688"/>
      <c r="O82" s="688"/>
      <c r="P82" s="688"/>
      <c r="Q82" s="689"/>
      <c r="R82" s="690"/>
      <c r="S82" s="688"/>
      <c r="T82" s="688"/>
      <c r="U82" s="688"/>
      <c r="V82" s="689"/>
      <c r="W82" s="690"/>
      <c r="X82" s="688"/>
      <c r="Y82" s="688"/>
      <c r="Z82" s="688"/>
      <c r="AA82" s="689">
        <v>2100</v>
      </c>
      <c r="AB82" s="690"/>
      <c r="AC82" s="688">
        <v>3000</v>
      </c>
      <c r="AD82" s="688">
        <v>3400</v>
      </c>
      <c r="AE82" s="688">
        <v>1700</v>
      </c>
      <c r="AF82" s="689">
        <v>1900</v>
      </c>
      <c r="AG82" s="690">
        <f>SUM(AC82:AF82)</f>
        <v>10000</v>
      </c>
      <c r="AH82" s="688">
        <v>2600</v>
      </c>
      <c r="AI82" s="688">
        <v>2600</v>
      </c>
      <c r="AJ82" s="688">
        <v>3000</v>
      </c>
      <c r="AK82" s="689">
        <v>5500</v>
      </c>
      <c r="AL82" s="690">
        <f>SUM(AH82:AK82)</f>
        <v>13700</v>
      </c>
      <c r="AM82" s="688">
        <v>5800</v>
      </c>
      <c r="AN82" s="688">
        <v>5700</v>
      </c>
      <c r="AO82" s="688">
        <v>5700</v>
      </c>
      <c r="AP82" s="689">
        <v>7000</v>
      </c>
      <c r="AQ82" s="690">
        <f>SUM(AM82:AP82)</f>
        <v>24200</v>
      </c>
      <c r="AR82" s="688">
        <v>7400</v>
      </c>
      <c r="AS82" s="688">
        <v>8400</v>
      </c>
      <c r="AT82" s="688">
        <f t="shared" ref="AT82:AU82" si="247">AT76*AT79*100</f>
        <v>8614.7139999999999</v>
      </c>
      <c r="AU82" s="688">
        <f t="shared" si="247"/>
        <v>9502.2135000000017</v>
      </c>
      <c r="AV82" s="690">
        <f>SUM(AR82:AU82)</f>
        <v>33916.927500000005</v>
      </c>
      <c r="AW82" s="688">
        <f>AW76*AW79*100</f>
        <v>10622.976000000001</v>
      </c>
      <c r="AX82" s="688">
        <f t="shared" ref="AX82:AZ82" si="248">AX76*AX79*100</f>
        <v>10886.553600000001</v>
      </c>
      <c r="AY82" s="688">
        <f t="shared" si="248"/>
        <v>11892.2952928</v>
      </c>
      <c r="AZ82" s="688">
        <f t="shared" si="248"/>
        <v>13117.455655200001</v>
      </c>
      <c r="BA82" s="690">
        <f>SUM(AW82:AZ82)</f>
        <v>46519.280548000002</v>
      </c>
    </row>
    <row r="83" spans="1:53" outlineLevel="1" x14ac:dyDescent="0.2">
      <c r="B83" s="682"/>
      <c r="C83" s="683" t="s">
        <v>29</v>
      </c>
      <c r="D83" s="684"/>
      <c r="E83" s="684"/>
      <c r="F83" s="684"/>
      <c r="G83" s="684"/>
      <c r="H83" s="685"/>
      <c r="I83" s="684"/>
      <c r="J83" s="684"/>
      <c r="K83" s="684"/>
      <c r="L83" s="684"/>
      <c r="M83" s="685"/>
      <c r="N83" s="684"/>
      <c r="O83" s="684"/>
      <c r="P83" s="684"/>
      <c r="Q83" s="684"/>
      <c r="R83" s="685"/>
      <c r="S83" s="684"/>
      <c r="T83" s="684"/>
      <c r="U83" s="684"/>
      <c r="V83" s="684"/>
      <c r="W83" s="685"/>
      <c r="X83" s="684"/>
      <c r="Y83" s="684"/>
      <c r="Z83" s="684"/>
      <c r="AA83" s="684" t="e">
        <f>AA82/V82-1</f>
        <v>#DIV/0!</v>
      </c>
      <c r="AB83" s="685"/>
      <c r="AC83" s="684" t="e">
        <f t="shared" ref="AC83:AS83" si="249">AC82/X82-1</f>
        <v>#DIV/0!</v>
      </c>
      <c r="AD83" s="684" t="e">
        <f t="shared" si="249"/>
        <v>#DIV/0!</v>
      </c>
      <c r="AE83" s="684" t="e">
        <f t="shared" si="249"/>
        <v>#DIV/0!</v>
      </c>
      <c r="AF83" s="684">
        <f t="shared" si="249"/>
        <v>-9.5238095238095233E-2</v>
      </c>
      <c r="AG83" s="685" t="e">
        <f t="shared" si="249"/>
        <v>#DIV/0!</v>
      </c>
      <c r="AH83" s="684">
        <f t="shared" si="249"/>
        <v>-0.1333333333333333</v>
      </c>
      <c r="AI83" s="684">
        <f t="shared" si="249"/>
        <v>-0.23529411764705888</v>
      </c>
      <c r="AJ83" s="684">
        <f t="shared" si="249"/>
        <v>0.76470588235294112</v>
      </c>
      <c r="AK83" s="684">
        <f t="shared" si="249"/>
        <v>1.8947368421052633</v>
      </c>
      <c r="AL83" s="685">
        <f t="shared" si="249"/>
        <v>0.37000000000000011</v>
      </c>
      <c r="AM83" s="684">
        <f t="shared" si="249"/>
        <v>1.2307692307692308</v>
      </c>
      <c r="AN83" s="684">
        <f t="shared" si="249"/>
        <v>1.1923076923076925</v>
      </c>
      <c r="AO83" s="684">
        <f t="shared" si="249"/>
        <v>0.89999999999999991</v>
      </c>
      <c r="AP83" s="684">
        <f t="shared" si="249"/>
        <v>0.27272727272727271</v>
      </c>
      <c r="AQ83" s="685">
        <f t="shared" si="249"/>
        <v>0.76642335766423364</v>
      </c>
      <c r="AR83" s="684">
        <f t="shared" si="249"/>
        <v>0.27586206896551735</v>
      </c>
      <c r="AS83" s="684">
        <f t="shared" si="249"/>
        <v>0.47368421052631571</v>
      </c>
      <c r="AT83" s="684">
        <f t="shared" ref="AT83" si="250">AT82/AO82-1</f>
        <v>0.51135333333333333</v>
      </c>
      <c r="AU83" s="684">
        <f t="shared" ref="AU83" si="251">AU82/AP82-1</f>
        <v>0.3574590714285717</v>
      </c>
      <c r="AV83" s="685">
        <f t="shared" ref="AV83" si="252">AV82/AQ82-1</f>
        <v>0.40152592975206636</v>
      </c>
      <c r="AW83" s="684">
        <f t="shared" ref="AW83" si="253">AW82/AR82-1</f>
        <v>0.43553729729729729</v>
      </c>
      <c r="AX83" s="684">
        <f t="shared" ref="AX83" si="254">AX82/AS82-1</f>
        <v>0.2960182857142859</v>
      </c>
      <c r="AY83" s="684">
        <f t="shared" ref="AY83" si="255">AY82/AT82-1</f>
        <v>0.38046315789473684</v>
      </c>
      <c r="AZ83" s="684">
        <f t="shared" ref="AZ83" si="256">AZ82/AU82-1</f>
        <v>0.38046315789473684</v>
      </c>
      <c r="BA83" s="685">
        <f t="shared" ref="BA83" si="257">BA82/AV82-1</f>
        <v>0.37156529134309091</v>
      </c>
    </row>
    <row r="84" spans="1:53" outlineLevel="1" x14ac:dyDescent="0.2">
      <c r="B84" s="682"/>
      <c r="C84" s="683" t="s">
        <v>76</v>
      </c>
      <c r="D84" s="684"/>
      <c r="E84" s="684"/>
      <c r="F84" s="684"/>
      <c r="G84" s="684"/>
      <c r="H84" s="686"/>
      <c r="I84" s="684"/>
      <c r="J84" s="684"/>
      <c r="K84" s="684"/>
      <c r="L84" s="684"/>
      <c r="M84" s="686"/>
      <c r="N84" s="684"/>
      <c r="O84" s="684"/>
      <c r="P84" s="684"/>
      <c r="Q84" s="684"/>
      <c r="R84" s="686"/>
      <c r="S84" s="684"/>
      <c r="T84" s="684"/>
      <c r="U84" s="684"/>
      <c r="V84" s="684"/>
      <c r="W84" s="686"/>
      <c r="X84" s="684"/>
      <c r="Y84" s="684"/>
      <c r="Z84" s="684"/>
      <c r="AA84" s="684" t="e">
        <f>AA82/Z82-1</f>
        <v>#DIV/0!</v>
      </c>
      <c r="AB84" s="686"/>
      <c r="AC84" s="684">
        <f>AC82/AA82-1</f>
        <v>0.4285714285714286</v>
      </c>
      <c r="AD84" s="684">
        <f>AD82/AC82-1</f>
        <v>0.1333333333333333</v>
      </c>
      <c r="AE84" s="684">
        <f>AE82/AD82-1</f>
        <v>-0.5</v>
      </c>
      <c r="AF84" s="684">
        <f>AF82/AE82-1</f>
        <v>0.11764705882352944</v>
      </c>
      <c r="AG84" s="686"/>
      <c r="AH84" s="684">
        <f>AH82/AF82-1</f>
        <v>0.36842105263157898</v>
      </c>
      <c r="AI84" s="684">
        <f>AI82/AH82-1</f>
        <v>0</v>
      </c>
      <c r="AJ84" s="684">
        <f>AJ82/AI82-1</f>
        <v>0.15384615384615374</v>
      </c>
      <c r="AK84" s="684">
        <f>AK82/AJ82-1</f>
        <v>0.83333333333333326</v>
      </c>
      <c r="AL84" s="686"/>
      <c r="AM84" s="684">
        <f>AM82/AK82-1</f>
        <v>5.4545454545454453E-2</v>
      </c>
      <c r="AN84" s="684">
        <f>AN82/AM82-1</f>
        <v>-1.7241379310344862E-2</v>
      </c>
      <c r="AO84" s="684">
        <f>AO82/AN82-1</f>
        <v>0</v>
      </c>
      <c r="AP84" s="684">
        <f>AP82/AO82-1</f>
        <v>0.22807017543859653</v>
      </c>
      <c r="AQ84" s="686"/>
      <c r="AR84" s="684">
        <f>AR82/AP82-1</f>
        <v>5.7142857142857162E-2</v>
      </c>
      <c r="AS84" s="684">
        <f>AS82/AR82-1</f>
        <v>0.13513513513513509</v>
      </c>
      <c r="AT84" s="684">
        <f>AT82/AS82-1</f>
        <v>2.5561190476190543E-2</v>
      </c>
      <c r="AU84" s="684">
        <f>AU82/AT82-1</f>
        <v>0.10302135393003198</v>
      </c>
      <c r="AV84" s="686"/>
      <c r="AW84" s="684">
        <f>AW82/AU82-1</f>
        <v>0.11794751822825278</v>
      </c>
      <c r="AX84" s="684">
        <f>AX82/AW82-1</f>
        <v>2.4812030075187952E-2</v>
      </c>
      <c r="AY84" s="684">
        <f>AY82/AX82-1</f>
        <v>9.2383846142088277E-2</v>
      </c>
      <c r="AZ84" s="684">
        <f>AZ82/AY82-1</f>
        <v>0.10302135393003198</v>
      </c>
      <c r="BA84" s="686"/>
    </row>
    <row r="85" spans="1:53" outlineLevel="1" x14ac:dyDescent="0.2">
      <c r="B85" s="710" t="s">
        <v>34</v>
      </c>
      <c r="C85" s="711"/>
      <c r="D85" s="711"/>
      <c r="E85" s="711"/>
      <c r="F85" s="711"/>
      <c r="G85" s="711"/>
      <c r="H85" s="712"/>
      <c r="I85" s="711"/>
      <c r="J85" s="711"/>
      <c r="K85" s="711"/>
      <c r="L85" s="711"/>
      <c r="M85" s="712"/>
      <c r="N85" s="711"/>
      <c r="O85" s="711"/>
      <c r="P85" s="711"/>
      <c r="Q85" s="711"/>
      <c r="R85" s="712"/>
      <c r="S85" s="711"/>
      <c r="T85" s="711"/>
      <c r="U85" s="711"/>
      <c r="V85" s="711"/>
      <c r="W85" s="712"/>
      <c r="X85" s="711"/>
      <c r="Y85" s="711"/>
      <c r="Z85" s="711"/>
      <c r="AA85" s="711">
        <f>SUM(AA67,AA82)</f>
        <v>19800</v>
      </c>
      <c r="AB85" s="712"/>
      <c r="AC85" s="711">
        <f t="shared" ref="AC85:AF85" si="258">SUM(AC67,AC82)</f>
        <v>20900</v>
      </c>
      <c r="AD85" s="711">
        <f t="shared" si="258"/>
        <v>22200</v>
      </c>
      <c r="AE85" s="711">
        <f t="shared" si="258"/>
        <v>22000</v>
      </c>
      <c r="AF85" s="711">
        <f t="shared" si="258"/>
        <v>21000</v>
      </c>
      <c r="AG85" s="712">
        <f>SUM(AC85:AF85)</f>
        <v>86100</v>
      </c>
      <c r="AH85" s="711">
        <f t="shared" ref="AH85:AK85" si="259">SUM(AH67,AH82)</f>
        <v>15700</v>
      </c>
      <c r="AI85" s="711">
        <f t="shared" si="259"/>
        <v>16300</v>
      </c>
      <c r="AJ85" s="711">
        <f t="shared" si="259"/>
        <v>17900</v>
      </c>
      <c r="AK85" s="711">
        <f t="shared" si="259"/>
        <v>20000</v>
      </c>
      <c r="AL85" s="712">
        <f>SUM(AH85:AK85)</f>
        <v>69900</v>
      </c>
      <c r="AM85" s="711">
        <f t="shared" ref="AM85:AP85" si="260">SUM(AM67,AM82)</f>
        <v>20083</v>
      </c>
      <c r="AN85" s="711">
        <f t="shared" si="260"/>
        <v>18921</v>
      </c>
      <c r="AO85" s="711">
        <f t="shared" si="260"/>
        <v>18615</v>
      </c>
      <c r="AP85" s="711">
        <f t="shared" si="260"/>
        <v>20387</v>
      </c>
      <c r="AQ85" s="712">
        <f>SUM(AM85:AP85)</f>
        <v>78006</v>
      </c>
      <c r="AR85" s="711">
        <f t="shared" ref="AR85:AS85" si="261">SUM(AR67,AR82)</f>
        <v>22123</v>
      </c>
      <c r="AS85" s="711">
        <f t="shared" si="261"/>
        <v>22800</v>
      </c>
      <c r="AT85" s="711">
        <f t="shared" ref="AT85:AU85" si="262">SUM(AT67,AT82)</f>
        <v>21784.196758620688</v>
      </c>
      <c r="AU85" s="711">
        <f t="shared" si="262"/>
        <v>22501.595562146897</v>
      </c>
      <c r="AV85" s="712">
        <f>SUM(AR85:AU85)</f>
        <v>89208.792320767592</v>
      </c>
      <c r="AW85" s="711">
        <f t="shared" ref="AW85:AZ85" si="263">SUM(AW67,AW82)</f>
        <v>25605.49167610619</v>
      </c>
      <c r="AX85" s="711">
        <f t="shared" si="263"/>
        <v>25836.768762454874</v>
      </c>
      <c r="AY85" s="711">
        <f t="shared" si="263"/>
        <v>25619.50087469655</v>
      </c>
      <c r="AZ85" s="711">
        <f t="shared" si="263"/>
        <v>26916.84332469153</v>
      </c>
      <c r="BA85" s="712">
        <f>SUM(AW85:AZ85)</f>
        <v>103978.60463794915</v>
      </c>
    </row>
    <row r="86" spans="1:53" outlineLevel="1" x14ac:dyDescent="0.2">
      <c r="B86" s="713"/>
      <c r="C86" s="714" t="s">
        <v>29</v>
      </c>
      <c r="D86" s="715"/>
      <c r="E86" s="715"/>
      <c r="F86" s="715"/>
      <c r="G86" s="715"/>
      <c r="H86" s="716"/>
      <c r="I86" s="715"/>
      <c r="J86" s="715"/>
      <c r="K86" s="715"/>
      <c r="L86" s="715"/>
      <c r="M86" s="716"/>
      <c r="N86" s="715"/>
      <c r="O86" s="715"/>
      <c r="P86" s="715"/>
      <c r="Q86" s="715"/>
      <c r="R86" s="716"/>
      <c r="S86" s="715"/>
      <c r="T86" s="715"/>
      <c r="U86" s="715"/>
      <c r="V86" s="715"/>
      <c r="W86" s="716"/>
      <c r="X86" s="715"/>
      <c r="Y86" s="715"/>
      <c r="Z86" s="715"/>
      <c r="AA86" s="715" t="e">
        <f t="shared" ref="AA86" si="264">AA85/V85-1</f>
        <v>#DIV/0!</v>
      </c>
      <c r="AB86" s="716"/>
      <c r="AC86" s="715" t="e">
        <f t="shared" ref="AC86" si="265">AC85/X85-1</f>
        <v>#DIV/0!</v>
      </c>
      <c r="AD86" s="715" t="e">
        <f t="shared" ref="AD86" si="266">AD85/Y85-1</f>
        <v>#DIV/0!</v>
      </c>
      <c r="AE86" s="715" t="e">
        <f t="shared" ref="AE86" si="267">AE85/Z85-1</f>
        <v>#DIV/0!</v>
      </c>
      <c r="AF86" s="715">
        <f t="shared" ref="AF86" si="268">AF85/AA85-1</f>
        <v>6.0606060606060552E-2</v>
      </c>
      <c r="AG86" s="716" t="e">
        <f t="shared" ref="AG86" si="269">AG85/AB85-1</f>
        <v>#DIV/0!</v>
      </c>
      <c r="AH86" s="715">
        <f t="shared" ref="AH86" si="270">AH85/AC85-1</f>
        <v>-0.24880382775119614</v>
      </c>
      <c r="AI86" s="715">
        <f t="shared" ref="AI86" si="271">AI85/AD85-1</f>
        <v>-0.26576576576576572</v>
      </c>
      <c r="AJ86" s="715">
        <f t="shared" ref="AJ86" si="272">AJ85/AE85-1</f>
        <v>-0.1863636363636364</v>
      </c>
      <c r="AK86" s="715">
        <f t="shared" ref="AK86:AS86" si="273">AK85/AF85-1</f>
        <v>-4.7619047619047672E-2</v>
      </c>
      <c r="AL86" s="716">
        <f t="shared" si="273"/>
        <v>-0.18815331010452963</v>
      </c>
      <c r="AM86" s="715">
        <f t="shared" si="273"/>
        <v>0.27917197452229292</v>
      </c>
      <c r="AN86" s="715">
        <f t="shared" si="273"/>
        <v>0.16079754601226992</v>
      </c>
      <c r="AO86" s="715">
        <f t="shared" si="273"/>
        <v>3.994413407821229E-2</v>
      </c>
      <c r="AP86" s="715">
        <f t="shared" si="273"/>
        <v>1.9349999999999978E-2</v>
      </c>
      <c r="AQ86" s="716">
        <f t="shared" ref="AQ86" si="274">AQ85/AL85-1</f>
        <v>0.11596566523605145</v>
      </c>
      <c r="AR86" s="715">
        <f t="shared" si="273"/>
        <v>0.10157844943484529</v>
      </c>
      <c r="AS86" s="715">
        <f t="shared" si="273"/>
        <v>0.20501030600919612</v>
      </c>
      <c r="AT86" s="715">
        <f t="shared" ref="AT86" si="275">AT85/AO85-1</f>
        <v>0.17024962442227709</v>
      </c>
      <c r="AU86" s="715">
        <f t="shared" ref="AU86" si="276">AU85/AP85-1</f>
        <v>0.10372274302971984</v>
      </c>
      <c r="AV86" s="716">
        <f t="shared" ref="AV86" si="277">AV85/AQ85-1</f>
        <v>0.14361449530507397</v>
      </c>
      <c r="AW86" s="715">
        <f t="shared" ref="AW86" si="278">AW85/AR85-1</f>
        <v>0.15741498332532622</v>
      </c>
      <c r="AX86" s="715">
        <f t="shared" ref="AX86" si="279">AX85/AS85-1</f>
        <v>0.13319161238837163</v>
      </c>
      <c r="AY86" s="715">
        <f t="shared" ref="AY86" si="280">AY85/AT85-1</f>
        <v>0.17605901005085767</v>
      </c>
      <c r="AZ86" s="715">
        <f t="shared" ref="AZ86" si="281">AZ85/AU85-1</f>
        <v>0.19621931921895097</v>
      </c>
      <c r="BA86" s="716">
        <f t="shared" ref="BA86" si="282">BA85/AV85-1</f>
        <v>0.16556453610619259</v>
      </c>
    </row>
    <row r="87" spans="1:53" ht="13.5" outlineLevel="1" thickBot="1" x14ac:dyDescent="0.25">
      <c r="B87" s="717"/>
      <c r="C87" s="718" t="s">
        <v>76</v>
      </c>
      <c r="D87" s="719"/>
      <c r="E87" s="719"/>
      <c r="F87" s="719"/>
      <c r="G87" s="719"/>
      <c r="H87" s="720"/>
      <c r="I87" s="719"/>
      <c r="J87" s="719"/>
      <c r="K87" s="719"/>
      <c r="L87" s="719"/>
      <c r="M87" s="720"/>
      <c r="N87" s="719"/>
      <c r="O87" s="719"/>
      <c r="P87" s="719"/>
      <c r="Q87" s="719"/>
      <c r="R87" s="720"/>
      <c r="S87" s="719"/>
      <c r="T87" s="719"/>
      <c r="U87" s="719"/>
      <c r="V87" s="719"/>
      <c r="W87" s="720"/>
      <c r="X87" s="719"/>
      <c r="Y87" s="719"/>
      <c r="Z87" s="719"/>
      <c r="AA87" s="719" t="e">
        <f>AA85/Z85-1</f>
        <v>#DIV/0!</v>
      </c>
      <c r="AB87" s="720"/>
      <c r="AC87" s="719">
        <f>AC85/AA85-1</f>
        <v>5.555555555555558E-2</v>
      </c>
      <c r="AD87" s="719">
        <f>AD85/AC85-1</f>
        <v>6.2200956937799035E-2</v>
      </c>
      <c r="AE87" s="719">
        <f>AE85/AD85-1</f>
        <v>-9.009009009009028E-3</v>
      </c>
      <c r="AF87" s="719">
        <f>AF85/AE85-1</f>
        <v>-4.5454545454545414E-2</v>
      </c>
      <c r="AG87" s="720"/>
      <c r="AH87" s="719">
        <f>AH85/AF85-1</f>
        <v>-0.25238095238095237</v>
      </c>
      <c r="AI87" s="719">
        <f>AI85/AH85-1</f>
        <v>3.8216560509554132E-2</v>
      </c>
      <c r="AJ87" s="719">
        <f>AJ85/AI85-1</f>
        <v>9.8159509202454087E-2</v>
      </c>
      <c r="AK87" s="719">
        <f>AK85/AJ85-1</f>
        <v>0.11731843575418988</v>
      </c>
      <c r="AL87" s="720"/>
      <c r="AM87" s="719">
        <f>AM85/AK85-1</f>
        <v>4.1500000000000981E-3</v>
      </c>
      <c r="AN87" s="719">
        <f>AN85/AM85-1</f>
        <v>-5.7859881491808984E-2</v>
      </c>
      <c r="AO87" s="719">
        <f>AO85/AN85-1</f>
        <v>-1.6172506738544423E-2</v>
      </c>
      <c r="AP87" s="719">
        <f>AP85/AO85-1</f>
        <v>9.5192049422508695E-2</v>
      </c>
      <c r="AQ87" s="720"/>
      <c r="AR87" s="719">
        <f>AR85/AP85-1</f>
        <v>8.5152302938146907E-2</v>
      </c>
      <c r="AS87" s="719">
        <f>AS85/AR85-1</f>
        <v>3.0601636306106794E-2</v>
      </c>
      <c r="AT87" s="719">
        <f>AT85/AS85-1</f>
        <v>-4.4552773744706675E-2</v>
      </c>
      <c r="AU87" s="719">
        <f>AU85/AT85-1</f>
        <v>3.2932075094405766E-2</v>
      </c>
      <c r="AV87" s="720"/>
      <c r="AW87" s="719">
        <f>AW85/AU85-1</f>
        <v>0.13794115645651339</v>
      </c>
      <c r="AX87" s="719">
        <f>AX85/AW85-1</f>
        <v>9.0323235841045513E-3</v>
      </c>
      <c r="AY87" s="719">
        <f>AY85/AX85-1</f>
        <v>-8.4092515498319642E-3</v>
      </c>
      <c r="AZ87" s="719">
        <f>AZ85/AY85-1</f>
        <v>5.063886514964544E-2</v>
      </c>
      <c r="BA87" s="720"/>
    </row>
    <row r="88" spans="1:53" ht="13.5" thickBot="1" x14ac:dyDescent="0.25"/>
    <row r="89" spans="1:53" s="792" customFormat="1" x14ac:dyDescent="0.2">
      <c r="B89" s="793" t="s">
        <v>451</v>
      </c>
      <c r="C89" s="794"/>
      <c r="D89" s="794"/>
      <c r="E89" s="794"/>
      <c r="F89" s="794"/>
      <c r="G89" s="794"/>
      <c r="H89" s="794"/>
      <c r="I89" s="794"/>
      <c r="J89" s="794"/>
      <c r="K89" s="794"/>
      <c r="L89" s="794"/>
      <c r="M89" s="794"/>
      <c r="N89" s="794"/>
      <c r="O89" s="794"/>
      <c r="P89" s="794"/>
      <c r="Q89" s="794"/>
      <c r="R89" s="794"/>
      <c r="S89" s="794"/>
      <c r="T89" s="794"/>
      <c r="U89" s="794"/>
      <c r="V89" s="794"/>
      <c r="W89" s="794"/>
      <c r="X89" s="794"/>
      <c r="Y89" s="794"/>
      <c r="Z89" s="794"/>
      <c r="AA89" s="794"/>
      <c r="AB89" s="794"/>
      <c r="AC89" s="655">
        <f t="shared" ref="AC89:AO89" si="283">AC51+AC29+AC85</f>
        <v>214800</v>
      </c>
      <c r="AD89" s="655">
        <f t="shared" si="283"/>
        <v>231100</v>
      </c>
      <c r="AE89" s="655">
        <f t="shared" si="283"/>
        <v>239400</v>
      </c>
      <c r="AF89" s="655">
        <f t="shared" si="283"/>
        <v>259500</v>
      </c>
      <c r="AG89" s="656">
        <f t="shared" si="283"/>
        <v>944800</v>
      </c>
      <c r="AH89" s="655">
        <f t="shared" si="283"/>
        <v>265200</v>
      </c>
      <c r="AI89" s="655">
        <f t="shared" si="283"/>
        <v>275000</v>
      </c>
      <c r="AJ89" s="655">
        <f t="shared" si="283"/>
        <v>281300</v>
      </c>
      <c r="AK89" s="655">
        <f t="shared" si="283"/>
        <v>301300</v>
      </c>
      <c r="AL89" s="656">
        <f t="shared" si="283"/>
        <v>1122800</v>
      </c>
      <c r="AM89" s="655">
        <f t="shared" si="283"/>
        <v>314943</v>
      </c>
      <c r="AN89" s="655">
        <f t="shared" si="283"/>
        <v>319616</v>
      </c>
      <c r="AO89" s="655">
        <f t="shared" si="283"/>
        <v>320298</v>
      </c>
      <c r="AP89" s="655">
        <f>AP51+AP29+AP85</f>
        <v>345947</v>
      </c>
      <c r="AQ89" s="656">
        <f t="shared" ref="AQ89:AV89" si="284">AQ51+AQ29+AQ85</f>
        <v>1300804</v>
      </c>
      <c r="AR89" s="655">
        <f t="shared" si="284"/>
        <v>358005</v>
      </c>
      <c r="AS89" s="655">
        <f t="shared" si="284"/>
        <v>375128</v>
      </c>
      <c r="AT89" s="655">
        <f t="shared" si="284"/>
        <v>369054.89922852372</v>
      </c>
      <c r="AU89" s="655">
        <f t="shared" si="284"/>
        <v>397945.13625831215</v>
      </c>
      <c r="AV89" s="656">
        <f t="shared" si="284"/>
        <v>1500133.0354868358</v>
      </c>
      <c r="AW89" s="655">
        <f t="shared" ref="AW89:BA89" si="285">AW51+AW29+AW85</f>
        <v>406783.5463006018</v>
      </c>
      <c r="AX89" s="655">
        <f t="shared" si="285"/>
        <v>423625.43784555345</v>
      </c>
      <c r="AY89" s="655">
        <f t="shared" si="285"/>
        <v>419244.45664954989</v>
      </c>
      <c r="AZ89" s="655">
        <f t="shared" si="285"/>
        <v>450887.54781316465</v>
      </c>
      <c r="BA89" s="656">
        <f t="shared" si="285"/>
        <v>1700540.9886088697</v>
      </c>
    </row>
    <row r="90" spans="1:53" s="779" customFormat="1" outlineLevel="1" x14ac:dyDescent="0.2">
      <c r="B90" s="780"/>
      <c r="C90" s="781" t="s">
        <v>29</v>
      </c>
      <c r="D90" s="782"/>
      <c r="E90" s="782"/>
      <c r="F90" s="782"/>
      <c r="G90" s="782"/>
      <c r="H90" s="783"/>
      <c r="I90" s="782"/>
      <c r="J90" s="782"/>
      <c r="K90" s="782"/>
      <c r="L90" s="782"/>
      <c r="M90" s="783"/>
      <c r="N90" s="782"/>
      <c r="O90" s="782"/>
      <c r="P90" s="782"/>
      <c r="Q90" s="782"/>
      <c r="R90" s="783"/>
      <c r="S90" s="782"/>
      <c r="T90" s="782"/>
      <c r="U90" s="782"/>
      <c r="V90" s="782"/>
      <c r="W90" s="783"/>
      <c r="X90" s="782"/>
      <c r="Y90" s="782"/>
      <c r="Z90" s="782"/>
      <c r="AA90" s="782"/>
      <c r="AB90" s="783"/>
      <c r="AC90" s="782"/>
      <c r="AD90" s="782"/>
      <c r="AE90" s="782"/>
      <c r="AF90" s="782"/>
      <c r="AG90" s="783"/>
      <c r="AH90" s="782">
        <f t="shared" ref="AH90" si="286">AH89/AC89-1</f>
        <v>0.23463687150837997</v>
      </c>
      <c r="AI90" s="782">
        <f t="shared" ref="AI90" si="287">AI89/AD89-1</f>
        <v>0.18996105581999134</v>
      </c>
      <c r="AJ90" s="782">
        <f t="shared" ref="AJ90" si="288">AJ89/AE89-1</f>
        <v>0.1750208855472013</v>
      </c>
      <c r="AK90" s="782">
        <f t="shared" ref="AK90" si="289">AK89/AF89-1</f>
        <v>0.16107899807321768</v>
      </c>
      <c r="AL90" s="783">
        <f t="shared" ref="AL90" si="290">AL89/AG89-1</f>
        <v>0.18839966130397978</v>
      </c>
      <c r="AM90" s="782">
        <f t="shared" ref="AM90" si="291">AM89/AH89-1</f>
        <v>0.18756787330316738</v>
      </c>
      <c r="AN90" s="782">
        <f t="shared" ref="AN90" si="292">AN89/AI89-1</f>
        <v>0.16223999999999994</v>
      </c>
      <c r="AO90" s="782">
        <f t="shared" ref="AO90:AP90" si="293">AO89/AJ89-1</f>
        <v>0.138634909349449</v>
      </c>
      <c r="AP90" s="782">
        <f t="shared" si="293"/>
        <v>0.14818121473614343</v>
      </c>
      <c r="AQ90" s="783">
        <f t="shared" ref="AQ90:AS90" si="294">AQ89/AL89-1</f>
        <v>0.15853580334877093</v>
      </c>
      <c r="AR90" s="782">
        <f t="shared" si="294"/>
        <v>0.13672950343395462</v>
      </c>
      <c r="AS90" s="782">
        <f t="shared" si="294"/>
        <v>0.17368342010412485</v>
      </c>
      <c r="AT90" s="782">
        <f t="shared" ref="AT90" si="295">AT89/AO89-1</f>
        <v>0.15222355190642367</v>
      </c>
      <c r="AU90" s="782">
        <f t="shared" ref="AU90" si="296">AU89/AP89-1</f>
        <v>0.15030665465609516</v>
      </c>
      <c r="AV90" s="783">
        <f t="shared" ref="AV90" si="297">AV89/AQ89-1</f>
        <v>0.15323525718466091</v>
      </c>
      <c r="AW90" s="782">
        <f t="shared" ref="AW90" si="298">AW89/AR89-1</f>
        <v>0.13625101968017717</v>
      </c>
      <c r="AX90" s="782">
        <f t="shared" ref="AX90" si="299">AX89/AS89-1</f>
        <v>0.12928237253831609</v>
      </c>
      <c r="AY90" s="782">
        <f t="shared" ref="AY90" si="300">AY89/AT89-1</f>
        <v>0.1359948276691163</v>
      </c>
      <c r="AZ90" s="782">
        <f t="shared" ref="AZ90" si="301">AZ89/AU89-1</f>
        <v>0.13303947386477621</v>
      </c>
      <c r="BA90" s="783">
        <f t="shared" ref="BA90" si="302">BA89/AV89-1</f>
        <v>0.13359345363459441</v>
      </c>
    </row>
    <row r="91" spans="1:53" s="779" customFormat="1" ht="13.5" outlineLevel="1" thickBot="1" x14ac:dyDescent="0.25">
      <c r="B91" s="784"/>
      <c r="C91" s="785" t="s">
        <v>76</v>
      </c>
      <c r="D91" s="786"/>
      <c r="E91" s="786"/>
      <c r="F91" s="786"/>
      <c r="G91" s="786"/>
      <c r="H91" s="787"/>
      <c r="I91" s="786"/>
      <c r="J91" s="786"/>
      <c r="K91" s="786"/>
      <c r="L91" s="786"/>
      <c r="M91" s="787"/>
      <c r="N91" s="786"/>
      <c r="O91" s="786"/>
      <c r="P91" s="786"/>
      <c r="Q91" s="786"/>
      <c r="R91" s="787"/>
      <c r="S91" s="786"/>
      <c r="T91" s="786"/>
      <c r="U91" s="786"/>
      <c r="V91" s="786"/>
      <c r="W91" s="787"/>
      <c r="X91" s="786"/>
      <c r="Y91" s="786" t="e">
        <f>Y89/X89-1</f>
        <v>#DIV/0!</v>
      </c>
      <c r="Z91" s="786" t="e">
        <f>Z89/Y89-1</f>
        <v>#DIV/0!</v>
      </c>
      <c r="AA91" s="786" t="e">
        <f>AA89/Z89-1</f>
        <v>#DIV/0!</v>
      </c>
      <c r="AB91" s="787"/>
      <c r="AC91" s="786"/>
      <c r="AD91" s="786">
        <f>AD89/AC89-1</f>
        <v>7.5884543761638668E-2</v>
      </c>
      <c r="AE91" s="786">
        <f>AE89/AD89-1</f>
        <v>3.5915188230203343E-2</v>
      </c>
      <c r="AF91" s="786">
        <f>AF89/AE89-1</f>
        <v>8.3959899749373346E-2</v>
      </c>
      <c r="AG91" s="787"/>
      <c r="AH91" s="786">
        <f>AH89/AF89-1</f>
        <v>2.1965317919075078E-2</v>
      </c>
      <c r="AI91" s="786">
        <f>AI89/AH89-1</f>
        <v>3.6953242835595868E-2</v>
      </c>
      <c r="AJ91" s="786">
        <f>AJ89/AI89-1</f>
        <v>2.290909090909099E-2</v>
      </c>
      <c r="AK91" s="786">
        <f>AK89/AJ89-1</f>
        <v>7.1098471382865291E-2</v>
      </c>
      <c r="AL91" s="787"/>
      <c r="AM91" s="786">
        <f>AM89/AK89-1</f>
        <v>4.5280451377364805E-2</v>
      </c>
      <c r="AN91" s="786">
        <f>AN89/AM89-1</f>
        <v>1.4837605534969711E-2</v>
      </c>
      <c r="AO91" s="786">
        <f>AO89/AN89-1</f>
        <v>2.1338105726871337E-3</v>
      </c>
      <c r="AP91" s="786">
        <f>AP89/AO89-1</f>
        <v>8.0078551848590918E-2</v>
      </c>
      <c r="AQ91" s="787"/>
      <c r="AR91" s="786">
        <f>AR89/AP89-1</f>
        <v>3.4855050051019409E-2</v>
      </c>
      <c r="AS91" s="786">
        <f>AS89/AR89-1</f>
        <v>4.7828940936579079E-2</v>
      </c>
      <c r="AT91" s="786">
        <f>AT89/AS89-1</f>
        <v>-1.6189409405526378E-2</v>
      </c>
      <c r="AU91" s="786">
        <f>AU89/AT89-1</f>
        <v>7.8281678661307197E-2</v>
      </c>
      <c r="AV91" s="787"/>
      <c r="AW91" s="786">
        <f>AW89/AU89-1</f>
        <v>2.221012204193018E-2</v>
      </c>
      <c r="AX91" s="786">
        <f>AX89/AW89-1</f>
        <v>4.1402587931877566E-2</v>
      </c>
      <c r="AY91" s="786">
        <f>AY89/AX89-1</f>
        <v>-1.0341638637859085E-2</v>
      </c>
      <c r="AZ91" s="786">
        <f>AZ89/AY89-1</f>
        <v>7.5476468827983867E-2</v>
      </c>
      <c r="BA91" s="787"/>
    </row>
    <row r="92" spans="1:53" ht="13.5" thickBot="1" x14ac:dyDescent="0.25"/>
    <row r="93" spans="1:53" ht="13.5" thickBot="1" x14ac:dyDescent="0.25">
      <c r="B93" s="868" t="s">
        <v>413</v>
      </c>
      <c r="C93" s="869"/>
      <c r="D93" s="670" t="str">
        <f t="shared" ref="D93:AV93" si="303">D3</f>
        <v>1Q18</v>
      </c>
      <c r="E93" s="670" t="str">
        <f t="shared" si="303"/>
        <v>2Q18</v>
      </c>
      <c r="F93" s="670" t="str">
        <f t="shared" si="303"/>
        <v>3Q18</v>
      </c>
      <c r="G93" s="670" t="str">
        <f t="shared" si="303"/>
        <v>4Q18</v>
      </c>
      <c r="H93" s="671">
        <f t="shared" si="303"/>
        <v>2018</v>
      </c>
      <c r="I93" s="670" t="str">
        <f t="shared" si="303"/>
        <v>1Q19</v>
      </c>
      <c r="J93" s="670" t="str">
        <f t="shared" si="303"/>
        <v>2Q19</v>
      </c>
      <c r="K93" s="670" t="str">
        <f t="shared" si="303"/>
        <v>3Q19</v>
      </c>
      <c r="L93" s="670" t="str">
        <f t="shared" si="303"/>
        <v>4Q19</v>
      </c>
      <c r="M93" s="671">
        <f t="shared" si="303"/>
        <v>2019</v>
      </c>
      <c r="N93" s="670" t="str">
        <f t="shared" si="303"/>
        <v>1Q20</v>
      </c>
      <c r="O93" s="670" t="str">
        <f t="shared" si="303"/>
        <v>2Q20</v>
      </c>
      <c r="P93" s="670" t="str">
        <f t="shared" si="303"/>
        <v>3Q20</v>
      </c>
      <c r="Q93" s="670" t="str">
        <f t="shared" si="303"/>
        <v>4Q20</v>
      </c>
      <c r="R93" s="671">
        <f t="shared" si="303"/>
        <v>2020</v>
      </c>
      <c r="S93" s="670" t="str">
        <f t="shared" si="303"/>
        <v>1Q21</v>
      </c>
      <c r="T93" s="670" t="str">
        <f t="shared" si="303"/>
        <v>2Q21</v>
      </c>
      <c r="U93" s="670" t="str">
        <f t="shared" si="303"/>
        <v>3Q21</v>
      </c>
      <c r="V93" s="670" t="str">
        <f t="shared" si="303"/>
        <v>4Q21</v>
      </c>
      <c r="W93" s="671">
        <f t="shared" si="303"/>
        <v>2021</v>
      </c>
      <c r="X93" s="670" t="str">
        <f t="shared" si="303"/>
        <v>1Q22</v>
      </c>
      <c r="Y93" s="670" t="str">
        <f t="shared" si="303"/>
        <v>2Q22</v>
      </c>
      <c r="Z93" s="670" t="str">
        <f t="shared" si="303"/>
        <v>3Q22</v>
      </c>
      <c r="AA93" s="670" t="str">
        <f t="shared" si="303"/>
        <v>4Q22</v>
      </c>
      <c r="AB93" s="671">
        <f t="shared" si="303"/>
        <v>2022</v>
      </c>
      <c r="AC93" s="670" t="str">
        <f t="shared" si="303"/>
        <v>1Q23</v>
      </c>
      <c r="AD93" s="670" t="str">
        <f t="shared" si="303"/>
        <v>2Q23</v>
      </c>
      <c r="AE93" s="670" t="str">
        <f t="shared" si="303"/>
        <v>3Q23</v>
      </c>
      <c r="AF93" s="670" t="str">
        <f t="shared" si="303"/>
        <v>4Q23</v>
      </c>
      <c r="AG93" s="671">
        <f t="shared" si="303"/>
        <v>2023</v>
      </c>
      <c r="AH93" s="670" t="str">
        <f t="shared" si="303"/>
        <v>1Q24</v>
      </c>
      <c r="AI93" s="670" t="str">
        <f t="shared" si="303"/>
        <v>2Q24</v>
      </c>
      <c r="AJ93" s="670" t="str">
        <f t="shared" si="303"/>
        <v>3Q24</v>
      </c>
      <c r="AK93" s="670" t="str">
        <f t="shared" si="303"/>
        <v>4Q24</v>
      </c>
      <c r="AL93" s="671">
        <f t="shared" si="303"/>
        <v>2024</v>
      </c>
      <c r="AM93" s="670" t="str">
        <f t="shared" si="303"/>
        <v>1Q25</v>
      </c>
      <c r="AN93" s="670" t="str">
        <f t="shared" si="303"/>
        <v>2Q25</v>
      </c>
      <c r="AO93" s="670" t="str">
        <f t="shared" si="303"/>
        <v>3Q25</v>
      </c>
      <c r="AP93" s="670" t="str">
        <f t="shared" si="303"/>
        <v>4Q25</v>
      </c>
      <c r="AQ93" s="671">
        <f t="shared" si="303"/>
        <v>2025</v>
      </c>
      <c r="AR93" s="670" t="str">
        <f t="shared" ref="AR93:AS93" si="304">AR3</f>
        <v>1Q26</v>
      </c>
      <c r="AS93" s="670" t="str">
        <f t="shared" si="304"/>
        <v>2Q26</v>
      </c>
      <c r="AT93" s="670" t="str">
        <f t="shared" si="303"/>
        <v>3Q26E</v>
      </c>
      <c r="AU93" s="670" t="str">
        <f t="shared" si="303"/>
        <v>4Q26E</v>
      </c>
      <c r="AV93" s="671" t="str">
        <f t="shared" si="303"/>
        <v>2026E</v>
      </c>
      <c r="AW93" s="670" t="str">
        <f t="shared" ref="AW93:BA93" si="305">AW3</f>
        <v>1Q27E</v>
      </c>
      <c r="AX93" s="670" t="str">
        <f t="shared" si="305"/>
        <v>2Q27E</v>
      </c>
      <c r="AY93" s="670" t="str">
        <f t="shared" si="305"/>
        <v>3Q27E</v>
      </c>
      <c r="AZ93" s="670" t="str">
        <f t="shared" si="305"/>
        <v>4Q27E</v>
      </c>
      <c r="BA93" s="671" t="str">
        <f t="shared" si="305"/>
        <v>2027E</v>
      </c>
    </row>
    <row r="94" spans="1:53" s="654" customFormat="1" ht="19.5" customHeight="1" outlineLevel="1" x14ac:dyDescent="0.2">
      <c r="B94" s="653" t="s">
        <v>416</v>
      </c>
      <c r="D94" s="655"/>
      <c r="E94" s="655"/>
      <c r="F94" s="655"/>
      <c r="G94" s="655"/>
      <c r="H94" s="656"/>
      <c r="I94" s="655"/>
      <c r="J94" s="655"/>
      <c r="K94" s="655"/>
      <c r="L94" s="655"/>
      <c r="M94" s="656"/>
      <c r="N94" s="655"/>
      <c r="O94" s="655"/>
      <c r="P94" s="655"/>
      <c r="Q94" s="655"/>
      <c r="R94" s="656"/>
      <c r="S94" s="655">
        <f>S99/(S98)*4/1000</f>
        <v>1561.9354838709678</v>
      </c>
      <c r="T94" s="655">
        <f t="shared" ref="T94:V94" si="306">T99/(T98)*4/1000</f>
        <v>1956.5714285714287</v>
      </c>
      <c r="U94" s="655">
        <f t="shared" si="306"/>
        <v>1940.8695652173913</v>
      </c>
      <c r="V94" s="655">
        <f t="shared" si="306"/>
        <v>2029.3333333333333</v>
      </c>
      <c r="W94" s="656"/>
      <c r="X94" s="655"/>
      <c r="Y94" s="655"/>
      <c r="Z94" s="655"/>
      <c r="AA94" s="655">
        <f t="shared" ref="AA94" si="307">AA99/(AA98)*4/1000</f>
        <v>3177.0588235294122</v>
      </c>
      <c r="AB94" s="656"/>
      <c r="AC94" s="655">
        <f>AC99/(AC98)*4/1000</f>
        <v>3192.5000000000005</v>
      </c>
      <c r="AD94" s="655">
        <f t="shared" ref="AD94:AF94" si="308">AD99/(AD98)*4/1000</f>
        <v>3390.0293255131965</v>
      </c>
      <c r="AE94" s="655">
        <f t="shared" si="308"/>
        <v>3086.2470862470859</v>
      </c>
      <c r="AF94" s="655">
        <f t="shared" si="308"/>
        <v>3220.5739514348788</v>
      </c>
      <c r="AG94" s="656">
        <f>AVERAGE(AC94:AF94)</f>
        <v>3222.3375907987902</v>
      </c>
      <c r="AH94" s="655">
        <f>AH99/(AH98)*4/1000</f>
        <v>3292.8099173553719</v>
      </c>
      <c r="AI94" s="655">
        <f t="shared" ref="AI94:AK94" si="309">AI99/(AI98)*4/1000</f>
        <v>3551.2653061224487</v>
      </c>
      <c r="AJ94" s="655">
        <f t="shared" si="309"/>
        <v>3406.8571428571427</v>
      </c>
      <c r="AK94" s="655">
        <f t="shared" si="309"/>
        <v>3567.0736842105262</v>
      </c>
      <c r="AL94" s="656">
        <f>AVERAGE(AH94:AK94)</f>
        <v>3454.5015126363724</v>
      </c>
      <c r="AM94" s="655">
        <f>AM99/(AM98)*4/1000</f>
        <v>3783.2173913043475</v>
      </c>
      <c r="AN94" s="655">
        <f>AN99/(AN98)*4/1000</f>
        <v>3877.020316027088</v>
      </c>
      <c r="AO94" s="655">
        <f t="shared" ref="AO94:AP94" si="310">AO99/(AO98)*4/1000</f>
        <v>3585.7210401891257</v>
      </c>
      <c r="AP94" s="655">
        <f t="shared" si="310"/>
        <v>3648.9756097560971</v>
      </c>
      <c r="AQ94" s="656">
        <f>AVERAGE(AM94:AP94)</f>
        <v>3723.7335893191644</v>
      </c>
      <c r="AR94" s="799" t="s">
        <v>459</v>
      </c>
      <c r="AS94" s="799" t="s">
        <v>459</v>
      </c>
      <c r="AT94" s="655">
        <f>AT95*AT112*1000</f>
        <v>4147.7517000000016</v>
      </c>
      <c r="AU94" s="655">
        <f>AU95*AU112*1000</f>
        <v>4218.5088000000005</v>
      </c>
      <c r="AV94" s="656">
        <f>AVERAGE(AR94:AU94)</f>
        <v>4183.1302500000011</v>
      </c>
      <c r="AW94" s="655">
        <f>AW95*AW112*1000</f>
        <v>4399.1145000000006</v>
      </c>
      <c r="AX94" s="655">
        <f>AX95*AX112*1000</f>
        <v>4676.2732500000002</v>
      </c>
      <c r="AY94" s="655">
        <f>AY95*AY112*1000</f>
        <v>4491.0269635950008</v>
      </c>
      <c r="AZ94" s="655">
        <f>AZ95*AZ112*1000</f>
        <v>4759.4614980000006</v>
      </c>
      <c r="BA94" s="656">
        <f>AVERAGE(AW94:AZ94)</f>
        <v>4581.4690528987503</v>
      </c>
    </row>
    <row r="95" spans="1:53" s="742" customFormat="1" outlineLevel="1" x14ac:dyDescent="0.2">
      <c r="B95" s="738"/>
      <c r="C95" s="739" t="s">
        <v>417</v>
      </c>
      <c r="D95" s="740"/>
      <c r="E95" s="740"/>
      <c r="F95" s="740"/>
      <c r="G95" s="740"/>
      <c r="H95" s="741"/>
      <c r="I95" s="740"/>
      <c r="J95" s="740"/>
      <c r="K95" s="740"/>
      <c r="L95" s="740"/>
      <c r="M95" s="741"/>
      <c r="N95" s="740"/>
      <c r="O95" s="740"/>
      <c r="P95" s="740"/>
      <c r="Q95" s="740"/>
      <c r="R95" s="741"/>
      <c r="S95" s="740" t="e">
        <f>S94/1000/S112</f>
        <v>#DIV/0!</v>
      </c>
      <c r="T95" s="740" t="e">
        <f t="shared" ref="T95" si="311">T94/1000/T112</f>
        <v>#DIV/0!</v>
      </c>
      <c r="U95" s="740" t="e">
        <f t="shared" ref="U95" si="312">U94/1000/U112</f>
        <v>#DIV/0!</v>
      </c>
      <c r="V95" s="740" t="e">
        <f t="shared" ref="V95" si="313">V94/1000/V112</f>
        <v>#DIV/0!</v>
      </c>
      <c r="W95" s="741"/>
      <c r="X95" s="740"/>
      <c r="Y95" s="740"/>
      <c r="Z95" s="740"/>
      <c r="AA95" s="740">
        <f t="shared" ref="AA95" si="314">AA94/1000/AA112</f>
        <v>5.4966415631996751E-2</v>
      </c>
      <c r="AB95" s="741"/>
      <c r="AC95" s="740">
        <f>AC94/1000/AC112</f>
        <v>5.4386712095400344E-2</v>
      </c>
      <c r="AD95" s="740">
        <f t="shared" ref="AD95:AF95" si="315">AD94/1000/AD112</f>
        <v>5.5757061274888102E-2</v>
      </c>
      <c r="AE95" s="740">
        <f t="shared" si="315"/>
        <v>5.2846696682313121E-2</v>
      </c>
      <c r="AF95" s="740">
        <f t="shared" si="315"/>
        <v>5.0717700022596519E-2</v>
      </c>
      <c r="AG95" s="741"/>
      <c r="AH95" s="740">
        <f>AH94/1000/AH112</f>
        <v>5.1051316548145299E-2</v>
      </c>
      <c r="AI95" s="740">
        <f t="shared" ref="AI95" si="316">AI94/1000/AI112</f>
        <v>5.16172282866635E-2</v>
      </c>
      <c r="AJ95" s="740">
        <f t="shared" ref="AJ95" si="317">AJ94/1000/AJ112</f>
        <v>5.2172391161671404E-2</v>
      </c>
      <c r="AK95" s="740">
        <f t="shared" ref="AK95" si="318">AK94/1000/AK112</f>
        <v>5.1547307575296616E-2</v>
      </c>
      <c r="AL95" s="741"/>
      <c r="AM95" s="740">
        <f>AM94/1000/AM112</f>
        <v>5.1967271858576206E-2</v>
      </c>
      <c r="AN95" s="740">
        <f t="shared" ref="AN95:AP95" si="319">AN94/1000/AN112</f>
        <v>5.0285607211765081E-2</v>
      </c>
      <c r="AO95" s="740">
        <f t="shared" si="319"/>
        <v>4.9663726318408943E-2</v>
      </c>
      <c r="AP95" s="740">
        <f t="shared" si="319"/>
        <v>4.6543056246888995E-2</v>
      </c>
      <c r="AQ95" s="741"/>
      <c r="AR95" s="740"/>
      <c r="AS95" s="740"/>
      <c r="AT95" s="743">
        <v>0.05</v>
      </c>
      <c r="AU95" s="743">
        <v>4.8000000000000001E-2</v>
      </c>
      <c r="AV95" s="741"/>
      <c r="AW95" s="743">
        <v>0.05</v>
      </c>
      <c r="AX95" s="743">
        <v>0.05</v>
      </c>
      <c r="AY95" s="743">
        <v>0.05</v>
      </c>
      <c r="AZ95" s="743">
        <v>0.05</v>
      </c>
      <c r="BA95" s="741"/>
    </row>
    <row r="96" spans="1:53" s="659" customFormat="1" outlineLevel="1" x14ac:dyDescent="0.2">
      <c r="B96" s="657"/>
      <c r="C96" s="658" t="s">
        <v>29</v>
      </c>
      <c r="D96" s="660"/>
      <c r="E96" s="660"/>
      <c r="F96" s="660"/>
      <c r="G96" s="660"/>
      <c r="H96" s="661"/>
      <c r="I96" s="660" t="e">
        <f t="shared" ref="I96:W96" si="320">I94/D94-1</f>
        <v>#DIV/0!</v>
      </c>
      <c r="J96" s="660" t="e">
        <f t="shared" si="320"/>
        <v>#DIV/0!</v>
      </c>
      <c r="K96" s="660" t="e">
        <f t="shared" si="320"/>
        <v>#DIV/0!</v>
      </c>
      <c r="L96" s="660" t="e">
        <f t="shared" si="320"/>
        <v>#DIV/0!</v>
      </c>
      <c r="M96" s="661" t="e">
        <f t="shared" si="320"/>
        <v>#DIV/0!</v>
      </c>
      <c r="N96" s="660" t="e">
        <f t="shared" si="320"/>
        <v>#DIV/0!</v>
      </c>
      <c r="O96" s="660" t="e">
        <f t="shared" si="320"/>
        <v>#DIV/0!</v>
      </c>
      <c r="P96" s="660" t="e">
        <f t="shared" si="320"/>
        <v>#DIV/0!</v>
      </c>
      <c r="Q96" s="660" t="e">
        <f t="shared" si="320"/>
        <v>#DIV/0!</v>
      </c>
      <c r="R96" s="661" t="e">
        <f t="shared" si="320"/>
        <v>#DIV/0!</v>
      </c>
      <c r="S96" s="660" t="e">
        <f t="shared" si="320"/>
        <v>#DIV/0!</v>
      </c>
      <c r="T96" s="660" t="e">
        <f t="shared" si="320"/>
        <v>#DIV/0!</v>
      </c>
      <c r="U96" s="660" t="e">
        <f t="shared" si="320"/>
        <v>#DIV/0!</v>
      </c>
      <c r="V96" s="660" t="e">
        <f t="shared" si="320"/>
        <v>#DIV/0!</v>
      </c>
      <c r="W96" s="661" t="e">
        <f t="shared" si="320"/>
        <v>#DIV/0!</v>
      </c>
      <c r="X96" s="660"/>
      <c r="Y96" s="660"/>
      <c r="Z96" s="660"/>
      <c r="AA96" s="660">
        <f>AA94/V94-1</f>
        <v>0.56556775141068272</v>
      </c>
      <c r="AB96" s="661"/>
      <c r="AC96" s="660"/>
      <c r="AD96" s="660"/>
      <c r="AE96" s="660"/>
      <c r="AF96" s="660">
        <f t="shared" ref="AF96:AQ96" si="321">AF94/AA94-1</f>
        <v>1.3696670512737041E-2</v>
      </c>
      <c r="AG96" s="661" t="e">
        <f t="shared" si="321"/>
        <v>#DIV/0!</v>
      </c>
      <c r="AH96" s="660">
        <f t="shared" si="321"/>
        <v>3.1420490949215729E-2</v>
      </c>
      <c r="AI96" s="660">
        <f t="shared" si="321"/>
        <v>4.7561824729891899E-2</v>
      </c>
      <c r="AJ96" s="660">
        <f t="shared" si="321"/>
        <v>0.10388347000431608</v>
      </c>
      <c r="AK96" s="660">
        <f t="shared" si="321"/>
        <v>0.10758943529965204</v>
      </c>
      <c r="AL96" s="661">
        <f t="shared" si="321"/>
        <v>7.204829267439683E-2</v>
      </c>
      <c r="AM96" s="660">
        <f t="shared" si="321"/>
        <v>0.14893282219668702</v>
      </c>
      <c r="AN96" s="660">
        <f t="shared" si="321"/>
        <v>9.1729280080266484E-2</v>
      </c>
      <c r="AO96" s="660">
        <f t="shared" si="321"/>
        <v>5.250114396695249E-2</v>
      </c>
      <c r="AP96" s="660">
        <f t="shared" si="321"/>
        <v>2.2960536505905571E-2</v>
      </c>
      <c r="AQ96" s="661">
        <f t="shared" si="321"/>
        <v>7.7936592500526203E-2</v>
      </c>
      <c r="AR96" s="660"/>
      <c r="AS96" s="660"/>
      <c r="AT96" s="660">
        <f t="shared" ref="AT96" si="322">AT94/AO94-1</f>
        <v>0.156741323017485</v>
      </c>
      <c r="AU96" s="660">
        <f t="shared" ref="AU96" si="323">AU94/AP94-1</f>
        <v>0.15608029517138156</v>
      </c>
      <c r="AV96" s="661">
        <f t="shared" ref="AV96" si="324">AV94/AQ94-1</f>
        <v>0.12336990540852066</v>
      </c>
      <c r="AW96" s="660"/>
      <c r="AX96" s="660"/>
      <c r="AY96" s="660">
        <f t="shared" ref="AY96" si="325">AY94/AT94-1</f>
        <v>8.2761767922366003E-2</v>
      </c>
      <c r="AZ96" s="660">
        <f t="shared" ref="AZ96" si="326">AZ94/AU94-1</f>
        <v>0.1282331562280965</v>
      </c>
      <c r="BA96" s="661">
        <f t="shared" ref="BA96" si="327">BA94/AV94-1</f>
        <v>9.5225053749820265E-2</v>
      </c>
    </row>
    <row r="97" spans="1:55" s="659" customFormat="1" outlineLevel="1" x14ac:dyDescent="0.2">
      <c r="B97" s="657"/>
      <c r="C97" s="658" t="s">
        <v>76</v>
      </c>
      <c r="D97" s="660" t="e">
        <f>D94/#REF!-1</f>
        <v>#REF!</v>
      </c>
      <c r="E97" s="660" t="e">
        <f>E94/D94-1</f>
        <v>#DIV/0!</v>
      </c>
      <c r="F97" s="660" t="e">
        <f>F94/E94-1</f>
        <v>#DIV/0!</v>
      </c>
      <c r="G97" s="660" t="e">
        <f>G94/F94-1</f>
        <v>#DIV/0!</v>
      </c>
      <c r="H97" s="663"/>
      <c r="I97" s="660" t="e">
        <f>I94/G94-1</f>
        <v>#DIV/0!</v>
      </c>
      <c r="J97" s="660" t="e">
        <f>J94/I94-1</f>
        <v>#DIV/0!</v>
      </c>
      <c r="K97" s="660" t="e">
        <f>K94/J94-1</f>
        <v>#DIV/0!</v>
      </c>
      <c r="L97" s="660" t="e">
        <f>L94/K94-1</f>
        <v>#DIV/0!</v>
      </c>
      <c r="M97" s="663"/>
      <c r="N97" s="660" t="e">
        <f>N94/L94-1</f>
        <v>#DIV/0!</v>
      </c>
      <c r="O97" s="660" t="e">
        <f>O94/N94-1</f>
        <v>#DIV/0!</v>
      </c>
      <c r="P97" s="660" t="e">
        <f>P94/O94-1</f>
        <v>#DIV/0!</v>
      </c>
      <c r="Q97" s="660" t="e">
        <f>Q94/P94-1</f>
        <v>#DIV/0!</v>
      </c>
      <c r="R97" s="663"/>
      <c r="S97" s="660" t="e">
        <f>S94/Q94-1</f>
        <v>#DIV/0!</v>
      </c>
      <c r="T97" s="660">
        <f>T94/S94-1</f>
        <v>0.25265828760252562</v>
      </c>
      <c r="U97" s="660">
        <f>U94/T94-1</f>
        <v>-8.0251930109712655E-3</v>
      </c>
      <c r="V97" s="660">
        <f>V94/U94-1</f>
        <v>4.5579450418160139E-2</v>
      </c>
      <c r="W97" s="663"/>
      <c r="X97" s="660"/>
      <c r="Y97" s="660"/>
      <c r="Z97" s="660"/>
      <c r="AA97" s="660"/>
      <c r="AB97" s="663"/>
      <c r="AC97" s="660">
        <f>AC94/AA94-1</f>
        <v>4.8602110720237235E-3</v>
      </c>
      <c r="AD97" s="660">
        <f>AD94/AC94-1</f>
        <v>6.1872928899983082E-2</v>
      </c>
      <c r="AE97" s="660">
        <f>AE94/AD94-1</f>
        <v>-8.9610504835418436E-2</v>
      </c>
      <c r="AF97" s="660">
        <f>AF94/AE94-1</f>
        <v>4.3524339248914856E-2</v>
      </c>
      <c r="AG97" s="663"/>
      <c r="AH97" s="660">
        <f>AH94/AF94-1</f>
        <v>2.2429531819416759E-2</v>
      </c>
      <c r="AI97" s="660">
        <f>AI94/AH94-1</f>
        <v>7.8490831616134127E-2</v>
      </c>
      <c r="AJ97" s="660">
        <f>AJ94/AI94-1</f>
        <v>-4.066386226237273E-2</v>
      </c>
      <c r="AK97" s="660">
        <f>AK94/AJ94-1</f>
        <v>4.7027666448913319E-2</v>
      </c>
      <c r="AL97" s="663"/>
      <c r="AM97" s="660">
        <f>AM94/AK94-1</f>
        <v>6.0594124548245532E-2</v>
      </c>
      <c r="AN97" s="660">
        <f>AN94/AM94-1</f>
        <v>2.4794484434953468E-2</v>
      </c>
      <c r="AO97" s="660">
        <f>AO94/AN94-1</f>
        <v>-7.513483347863037E-2</v>
      </c>
      <c r="AP97" s="660">
        <f>AP94/AO94-1</f>
        <v>1.7640683382228461E-2</v>
      </c>
      <c r="AQ97" s="663"/>
      <c r="AR97" s="660"/>
      <c r="AS97" s="660"/>
      <c r="AT97" s="660"/>
      <c r="AU97" s="660">
        <f>AU94/AT94-1</f>
        <v>1.7059145560714084E-2</v>
      </c>
      <c r="AV97" s="663"/>
      <c r="AW97" s="660">
        <f>AW94/AU94-1</f>
        <v>4.2812687744067324E-2</v>
      </c>
      <c r="AX97" s="660">
        <f>AX94/AW94-1</f>
        <v>6.3003304415013339E-2</v>
      </c>
      <c r="AY97" s="660">
        <f>AY94/AX94-1</f>
        <v>-3.961408508474118E-2</v>
      </c>
      <c r="AZ97" s="660">
        <f>AZ94/AY94-1</f>
        <v>5.9771303218834726E-2</v>
      </c>
      <c r="BA97" s="663"/>
    </row>
    <row r="98" spans="1:55" s="737" customFormat="1" ht="21.75" customHeight="1" outlineLevel="1" x14ac:dyDescent="0.2">
      <c r="A98" s="737" t="s">
        <v>420</v>
      </c>
      <c r="B98" s="733" t="s">
        <v>66</v>
      </c>
      <c r="C98" s="734"/>
      <c r="D98" s="734"/>
      <c r="E98" s="734"/>
      <c r="F98" s="734"/>
      <c r="G98" s="735"/>
      <c r="H98" s="736">
        <v>1.03E-2</v>
      </c>
      <c r="I98" s="734"/>
      <c r="J98" s="734"/>
      <c r="K98" s="734"/>
      <c r="L98" s="735"/>
      <c r="M98" s="736">
        <v>2.0500000000000001E-2</v>
      </c>
      <c r="N98" s="734"/>
      <c r="O98" s="734"/>
      <c r="P98" s="734">
        <v>1.4999999999999999E-2</v>
      </c>
      <c r="Q98" s="735">
        <v>9.4999999999999998E-3</v>
      </c>
      <c r="R98" s="736"/>
      <c r="S98" s="734">
        <v>6.1999999999999998E-3</v>
      </c>
      <c r="T98" s="734">
        <v>3.5000000000000001E-3</v>
      </c>
      <c r="U98" s="734">
        <v>2.3E-3</v>
      </c>
      <c r="V98" s="735">
        <v>1.5E-3</v>
      </c>
      <c r="W98" s="736"/>
      <c r="X98" s="734"/>
      <c r="Y98" s="734"/>
      <c r="Z98" s="734"/>
      <c r="AA98" s="735">
        <v>6.7999999999999996E-3</v>
      </c>
      <c r="AB98" s="736"/>
      <c r="AC98" s="734">
        <v>1.9199999999999998E-2</v>
      </c>
      <c r="AD98" s="734">
        <v>3.4099999999999998E-2</v>
      </c>
      <c r="AE98" s="734">
        <v>4.2900000000000001E-2</v>
      </c>
      <c r="AF98" s="735">
        <v>4.53E-2</v>
      </c>
      <c r="AG98" s="736">
        <f>AG99/AG94/1000</f>
        <v>3.5315045923475286E-2</v>
      </c>
      <c r="AH98" s="734">
        <v>4.8399999999999999E-2</v>
      </c>
      <c r="AI98" s="734">
        <v>4.9000000000000002E-2</v>
      </c>
      <c r="AJ98" s="734">
        <v>4.9000000000000002E-2</v>
      </c>
      <c r="AK98" s="735">
        <v>4.7500000000000001E-2</v>
      </c>
      <c r="AL98" s="736">
        <f>AL99/AL94/1000</f>
        <v>4.846980074766722E-2</v>
      </c>
      <c r="AM98" s="778">
        <v>4.5999999999999999E-2</v>
      </c>
      <c r="AN98" s="734">
        <v>4.4299999999999999E-2</v>
      </c>
      <c r="AO98" s="734">
        <v>4.2299999999999997E-2</v>
      </c>
      <c r="AP98" s="735">
        <v>4.1000000000000002E-2</v>
      </c>
      <c r="AQ98" s="736">
        <f>AQ99/AQ94/1000</f>
        <v>4.3441883292616751E-2</v>
      </c>
      <c r="AR98" s="800" t="s">
        <v>459</v>
      </c>
      <c r="AS98" s="800" t="s">
        <v>459</v>
      </c>
      <c r="AT98" s="761">
        <v>3.2599999999999997E-2</v>
      </c>
      <c r="AU98" s="777">
        <v>3.0249999999999999E-2</v>
      </c>
      <c r="AV98" s="736">
        <f>AV99/AV94/1000</f>
        <v>3.418149582002615E-2</v>
      </c>
      <c r="AW98" s="761">
        <v>2.9499999999999998E-2</v>
      </c>
      <c r="AX98" s="761">
        <v>2.7E-2</v>
      </c>
      <c r="AY98" s="761">
        <v>2.7E-2</v>
      </c>
      <c r="AZ98" s="777">
        <v>2.7E-2</v>
      </c>
      <c r="BA98" s="736">
        <f>BA99/BA94/1000</f>
        <v>2.760012335143034E-2</v>
      </c>
    </row>
    <row r="99" spans="1:55" s="654" customFormat="1" ht="20.25" customHeight="1" outlineLevel="1" x14ac:dyDescent="0.2">
      <c r="A99" s="673" t="s">
        <v>420</v>
      </c>
      <c r="B99" s="653" t="s">
        <v>413</v>
      </c>
      <c r="D99" s="654">
        <v>737.1711499999999</v>
      </c>
      <c r="E99" s="654">
        <v>1825.1479900000002</v>
      </c>
      <c r="F99" s="654">
        <v>2177.0098399999997</v>
      </c>
      <c r="G99" s="654">
        <v>3133.1164100000001</v>
      </c>
      <c r="H99" s="664"/>
      <c r="I99" s="654">
        <v>4253.8066700000008</v>
      </c>
      <c r="J99" s="654">
        <v>5554.82755</v>
      </c>
      <c r="K99" s="654">
        <v>6131.9238300000006</v>
      </c>
      <c r="L99" s="654">
        <v>6459.4120000000003</v>
      </c>
      <c r="M99" s="664"/>
      <c r="N99" s="654">
        <v>6631.7050600000002</v>
      </c>
      <c r="O99" s="654">
        <v>6116</v>
      </c>
      <c r="P99" s="654">
        <v>5138</v>
      </c>
      <c r="Q99" s="654">
        <v>3309</v>
      </c>
      <c r="R99" s="664"/>
      <c r="S99" s="654">
        <v>2421</v>
      </c>
      <c r="T99" s="654">
        <v>1712</v>
      </c>
      <c r="U99" s="654">
        <v>1116</v>
      </c>
      <c r="V99" s="654">
        <v>761</v>
      </c>
      <c r="W99" s="664"/>
      <c r="X99" s="654">
        <v>803</v>
      </c>
      <c r="Y99" s="654">
        <v>978</v>
      </c>
      <c r="Z99" s="654">
        <v>1411</v>
      </c>
      <c r="AA99" s="654">
        <v>5401</v>
      </c>
      <c r="AB99" s="664">
        <f>SUM(X99:AA99)</f>
        <v>8593</v>
      </c>
      <c r="AC99" s="283">
        <v>15324</v>
      </c>
      <c r="AD99" s="6">
        <v>28900</v>
      </c>
      <c r="AE99" s="6">
        <v>33100</v>
      </c>
      <c r="AF99" s="283">
        <v>36473</v>
      </c>
      <c r="AG99" s="664">
        <f>SUM(AC99:AF99)</f>
        <v>113797</v>
      </c>
      <c r="AH99" s="654">
        <v>39843</v>
      </c>
      <c r="AI99" s="654">
        <v>43503</v>
      </c>
      <c r="AJ99" s="654">
        <v>41734</v>
      </c>
      <c r="AK99" s="654">
        <v>42359</v>
      </c>
      <c r="AL99" s="664">
        <f>SUM(AH99:AK99)</f>
        <v>167439</v>
      </c>
      <c r="AM99" s="654">
        <v>43507</v>
      </c>
      <c r="AN99" s="654">
        <v>42938</v>
      </c>
      <c r="AO99" s="654">
        <v>37919</v>
      </c>
      <c r="AP99" s="654">
        <v>37402</v>
      </c>
      <c r="AQ99" s="664">
        <f>SUM(AM99:AP99)</f>
        <v>161766</v>
      </c>
      <c r="AR99" s="654">
        <v>37736</v>
      </c>
      <c r="AS99" s="654">
        <v>39543</v>
      </c>
      <c r="AT99" s="654">
        <f t="shared" ref="AT99:AU99" si="328">AT94*AT98/4*1000</f>
        <v>33804.176355000011</v>
      </c>
      <c r="AU99" s="654">
        <f t="shared" si="328"/>
        <v>31902.472800000003</v>
      </c>
      <c r="AV99" s="664">
        <f>SUM(AR99:AU99)</f>
        <v>142985.64915499999</v>
      </c>
      <c r="AW99" s="654">
        <f>AW94*AW98/4*1000</f>
        <v>32443.4694375</v>
      </c>
      <c r="AX99" s="654">
        <f t="shared" ref="AX99:AZ99" si="329">AX94*AX98/4*1000</f>
        <v>31564.8444375</v>
      </c>
      <c r="AY99" s="654">
        <f t="shared" si="329"/>
        <v>30314.432004266255</v>
      </c>
      <c r="AZ99" s="654">
        <f t="shared" si="329"/>
        <v>32126.365111499999</v>
      </c>
      <c r="BA99" s="664">
        <f>SUM(AW99:AZ99)</f>
        <v>126449.11099076625</v>
      </c>
      <c r="BC99" s="865"/>
    </row>
    <row r="100" spans="1:55" s="659" customFormat="1" outlineLevel="1" x14ac:dyDescent="0.2">
      <c r="B100" s="657"/>
      <c r="C100" s="658" t="s">
        <v>29</v>
      </c>
      <c r="D100" s="660"/>
      <c r="E100" s="660"/>
      <c r="F100" s="660"/>
      <c r="G100" s="660"/>
      <c r="H100" s="661"/>
      <c r="I100" s="660">
        <f t="shared" ref="I100" si="330">I99/D99-1</f>
        <v>4.7704464831538802</v>
      </c>
      <c r="J100" s="660">
        <f t="shared" ref="J100" si="331">J99/E99-1</f>
        <v>2.0434943250820989</v>
      </c>
      <c r="K100" s="660">
        <f t="shared" ref="K100" si="332">K99/F99-1</f>
        <v>1.8166725374103048</v>
      </c>
      <c r="L100" s="660">
        <f t="shared" ref="L100" si="333">L99/G99-1</f>
        <v>1.0616571983675511</v>
      </c>
      <c r="M100" s="661" t="e">
        <f t="shared" ref="M100" si="334">M99/H99-1</f>
        <v>#DIV/0!</v>
      </c>
      <c r="N100" s="660">
        <f t="shared" ref="N100" si="335">N99/I99-1</f>
        <v>0.55900481015513548</v>
      </c>
      <c r="O100" s="660">
        <f t="shared" ref="O100" si="336">O99/J99-1</f>
        <v>0.10102427932258662</v>
      </c>
      <c r="P100" s="660">
        <f t="shared" ref="P100" si="337">P99/K99-1</f>
        <v>-0.16209004833642893</v>
      </c>
      <c r="Q100" s="660">
        <f t="shared" ref="Q100" si="338">Q99/L99-1</f>
        <v>-0.48772426963940374</v>
      </c>
      <c r="R100" s="661" t="e">
        <f t="shared" ref="R100" si="339">R99/M99-1</f>
        <v>#DIV/0!</v>
      </c>
      <c r="S100" s="660">
        <f t="shared" ref="S100" si="340">S99/N99-1</f>
        <v>-0.63493551385410973</v>
      </c>
      <c r="T100" s="660">
        <f t="shared" ref="T100" si="341">T99/O99-1</f>
        <v>-0.72007848266841079</v>
      </c>
      <c r="U100" s="660">
        <f t="shared" ref="U100" si="342">U99/P99-1</f>
        <v>-0.78279486181393532</v>
      </c>
      <c r="V100" s="660">
        <f t="shared" ref="V100" si="343">V99/Q99-1</f>
        <v>-0.77002115442731944</v>
      </c>
      <c r="W100" s="661" t="e">
        <f t="shared" ref="W100" si="344">W99/R99-1</f>
        <v>#DIV/0!</v>
      </c>
      <c r="X100" s="660">
        <f t="shared" ref="X100" si="345">X99/S99-1</f>
        <v>-0.66831887649731514</v>
      </c>
      <c r="Y100" s="660">
        <f t="shared" ref="Y100" si="346">Y99/T99-1</f>
        <v>-0.42873831775700932</v>
      </c>
      <c r="Z100" s="660">
        <f t="shared" ref="Z100" si="347">Z99/U99-1</f>
        <v>0.26433691756272393</v>
      </c>
      <c r="AA100" s="660">
        <f t="shared" ref="AA100" si="348">AA99/V99-1</f>
        <v>6.0972404730617606</v>
      </c>
      <c r="AB100" s="661"/>
      <c r="AC100" s="660">
        <f t="shared" ref="AC100" si="349">AC99/X99-1</f>
        <v>18.083437110834371</v>
      </c>
      <c r="AD100" s="660">
        <f t="shared" ref="AD100" si="350">AD99/Y99-1</f>
        <v>28.550102249488752</v>
      </c>
      <c r="AE100" s="660">
        <f t="shared" ref="AE100" si="351">AE99/Z99-1</f>
        <v>22.458540042523033</v>
      </c>
      <c r="AF100" s="660">
        <f t="shared" ref="AF100" si="352">AF99/AA99-1</f>
        <v>5.7530087020922052</v>
      </c>
      <c r="AG100" s="661">
        <f t="shared" ref="AG100" si="353">AG99/AB99-1</f>
        <v>12.24298847899453</v>
      </c>
      <c r="AH100" s="660">
        <f t="shared" ref="AH100" si="354">AH99/AC99-1</f>
        <v>1.6000391542678152</v>
      </c>
      <c r="AI100" s="660">
        <f t="shared" ref="AI100" si="355">AI99/AD99-1</f>
        <v>0.50529411764705889</v>
      </c>
      <c r="AJ100" s="660">
        <f t="shared" ref="AJ100" si="356">AJ99/AE99-1</f>
        <v>0.26084592145015106</v>
      </c>
      <c r="AK100" s="660">
        <f t="shared" ref="AK100:AS100" si="357">AK99/AF99-1</f>
        <v>0.1613796507005183</v>
      </c>
      <c r="AL100" s="661">
        <f t="shared" si="357"/>
        <v>0.47138325263407643</v>
      </c>
      <c r="AM100" s="660">
        <f t="shared" si="357"/>
        <v>9.1960946715859748E-2</v>
      </c>
      <c r="AN100" s="660">
        <f t="shared" si="357"/>
        <v>-1.2987610049881582E-2</v>
      </c>
      <c r="AO100" s="660">
        <f t="shared" si="357"/>
        <v>-9.1412277759141181E-2</v>
      </c>
      <c r="AP100" s="660">
        <f t="shared" si="357"/>
        <v>-0.11702353691069189</v>
      </c>
      <c r="AQ100" s="661">
        <f t="shared" ref="AQ100" si="358">AQ99/AL99-1</f>
        <v>-3.3880995467005848E-2</v>
      </c>
      <c r="AR100" s="660">
        <f t="shared" si="357"/>
        <v>-0.1326453214425265</v>
      </c>
      <c r="AS100" s="660">
        <f t="shared" si="357"/>
        <v>-7.9067492663840833E-2</v>
      </c>
      <c r="AT100" s="660">
        <f t="shared" ref="AT100" si="359">AT99/AO99-1</f>
        <v>-0.10851614349007066</v>
      </c>
      <c r="AU100" s="660">
        <f t="shared" ref="AU100" si="360">AU99/AP99-1</f>
        <v>-0.14703831880648088</v>
      </c>
      <c r="AV100" s="661">
        <f t="shared" ref="AV100" si="361">AV99/AQ99-1</f>
        <v>-0.11609578554826117</v>
      </c>
      <c r="AW100" s="660">
        <f t="shared" ref="AW100" si="362">AW99/AR99-1</f>
        <v>-0.14025149890025446</v>
      </c>
      <c r="AX100" s="660">
        <f t="shared" ref="AX100" si="363">AX99/AS99-1</f>
        <v>-0.20175898547151205</v>
      </c>
      <c r="AY100" s="660">
        <f t="shared" ref="AY100" si="364">AY99/AT99-1</f>
        <v>-0.10323411859190545</v>
      </c>
      <c r="AZ100" s="660">
        <f t="shared" ref="AZ100" si="365">AZ99/AU99-1</f>
        <v>7.0180237407801993E-3</v>
      </c>
      <c r="BA100" s="661">
        <f t="shared" ref="BA100" si="366">BA99/AV99-1</f>
        <v>-0.11565173331701095</v>
      </c>
    </row>
    <row r="101" spans="1:55" s="659" customFormat="1" ht="13.5" outlineLevel="1" thickBot="1" x14ac:dyDescent="0.25">
      <c r="B101" s="665"/>
      <c r="C101" s="666" t="s">
        <v>76</v>
      </c>
      <c r="D101" s="667"/>
      <c r="E101" s="667">
        <f>E99/D99-1</f>
        <v>1.475880926702029</v>
      </c>
      <c r="F101" s="667">
        <f>F99/E99-1</f>
        <v>0.19278538065288586</v>
      </c>
      <c r="G101" s="667">
        <f>G99/F99-1</f>
        <v>0.43918339386100369</v>
      </c>
      <c r="H101" s="668"/>
      <c r="I101" s="667">
        <f>I99/G99-1</f>
        <v>0.35769186756772964</v>
      </c>
      <c r="J101" s="667">
        <f>J99/I99-1</f>
        <v>0.30584861535326868</v>
      </c>
      <c r="K101" s="667">
        <f>K99/J99-1</f>
        <v>0.10389094437324164</v>
      </c>
      <c r="L101" s="667">
        <f>L99/K99-1</f>
        <v>5.340708382543613E-2</v>
      </c>
      <c r="M101" s="668"/>
      <c r="N101" s="667">
        <f>N99/L99-1</f>
        <v>2.667318015943243E-2</v>
      </c>
      <c r="O101" s="667">
        <f>O99/N99-1</f>
        <v>-7.7763569901584284E-2</v>
      </c>
      <c r="P101" s="667">
        <f>P99/O99-1</f>
        <v>-0.15990843688685419</v>
      </c>
      <c r="Q101" s="667">
        <f>Q99/P99-1</f>
        <v>-0.35597508758271701</v>
      </c>
      <c r="R101" s="668"/>
      <c r="S101" s="667">
        <f>S99/Q99-1</f>
        <v>-0.26835902085222119</v>
      </c>
      <c r="T101" s="667">
        <f>T99/S99-1</f>
        <v>-0.29285419248244526</v>
      </c>
      <c r="U101" s="667">
        <f>U99/T99-1</f>
        <v>-0.34813084112149528</v>
      </c>
      <c r="V101" s="667">
        <f>V99/U99-1</f>
        <v>-0.31810035842293904</v>
      </c>
      <c r="W101" s="668"/>
      <c r="X101" s="667">
        <f>X99/V99-1</f>
        <v>5.5190538764783081E-2</v>
      </c>
      <c r="Y101" s="667">
        <f>Y99/X99-1</f>
        <v>0.2179327521793275</v>
      </c>
      <c r="Z101" s="667">
        <f>Z99/Y99-1</f>
        <v>0.44274028629856854</v>
      </c>
      <c r="AA101" s="667">
        <f>AA99/Z99-1</f>
        <v>2.8277817150956768</v>
      </c>
      <c r="AB101" s="668"/>
      <c r="AC101" s="667">
        <f>AC99/AA99-1</f>
        <v>1.8372523606739493</v>
      </c>
      <c r="AD101" s="667">
        <f>AD99/AC99-1</f>
        <v>0.88593056643174095</v>
      </c>
      <c r="AE101" s="667">
        <f>AE99/AD99-1</f>
        <v>0.1453287197231834</v>
      </c>
      <c r="AF101" s="667">
        <f>AF99/AE99-1</f>
        <v>0.10190332326283991</v>
      </c>
      <c r="AG101" s="668"/>
      <c r="AH101" s="667">
        <f>AH99/AF99-1</f>
        <v>9.2397115674608621E-2</v>
      </c>
      <c r="AI101" s="667">
        <f>AI99/AH99-1</f>
        <v>9.1860552669226658E-2</v>
      </c>
      <c r="AJ101" s="667">
        <f>AJ99/AI99-1</f>
        <v>-4.066386226237273E-2</v>
      </c>
      <c r="AK101" s="667">
        <f>AK99/AJ99-1</f>
        <v>1.4975799108640331E-2</v>
      </c>
      <c r="AL101" s="668"/>
      <c r="AM101" s="667">
        <f>AM99/AK99-1</f>
        <v>2.7101678509879878E-2</v>
      </c>
      <c r="AN101" s="667">
        <f>AN99/AM99-1</f>
        <v>-1.3078355207208014E-2</v>
      </c>
      <c r="AO101" s="667">
        <f>AO99/AN99-1</f>
        <v>-0.11688946853602866</v>
      </c>
      <c r="AP101" s="667">
        <f>AP99/AO99-1</f>
        <v>-1.3634325799731006E-2</v>
      </c>
      <c r="AQ101" s="668"/>
      <c r="AR101" s="667">
        <f>AR99/AP99-1</f>
        <v>8.9300037431152557E-3</v>
      </c>
      <c r="AS101" s="667">
        <f>AS99/AR99-1</f>
        <v>4.7885308458766263E-2</v>
      </c>
      <c r="AT101" s="667">
        <f>AT99/AS99-1</f>
        <v>-0.1451286863667397</v>
      </c>
      <c r="AU101" s="667">
        <f>AU99/AT99-1</f>
        <v>-5.6256467692895717E-2</v>
      </c>
      <c r="AV101" s="668"/>
      <c r="AW101" s="667">
        <f>AW99/AU99-1</f>
        <v>1.6957827717354768E-2</v>
      </c>
      <c r="AX101" s="667">
        <f>AX99/AW99-1</f>
        <v>-2.7081721382869017E-2</v>
      </c>
      <c r="AY101" s="667">
        <f>AY99/AX99-1</f>
        <v>-3.961408508474118E-2</v>
      </c>
      <c r="AZ101" s="667">
        <f>AZ99/AY99-1</f>
        <v>5.9771303218834726E-2</v>
      </c>
      <c r="BA101" s="668"/>
    </row>
    <row r="102" spans="1:55" s="659" customFormat="1" x14ac:dyDescent="0.2">
      <c r="C102" s="658"/>
      <c r="D102" s="660"/>
      <c r="E102" s="660"/>
      <c r="F102" s="660"/>
      <c r="G102" s="660"/>
      <c r="H102" s="662"/>
      <c r="I102" s="660"/>
      <c r="J102" s="660"/>
      <c r="K102" s="660"/>
      <c r="L102" s="660"/>
      <c r="M102" s="662"/>
      <c r="N102" s="660"/>
      <c r="O102" s="660"/>
      <c r="P102" s="660"/>
      <c r="Q102" s="660"/>
      <c r="R102" s="662"/>
      <c r="S102" s="660"/>
      <c r="T102" s="660"/>
      <c r="U102" s="660"/>
      <c r="V102" s="660"/>
      <c r="W102" s="662"/>
      <c r="X102" s="660"/>
      <c r="Y102" s="660"/>
      <c r="Z102" s="660"/>
      <c r="AA102" s="660"/>
      <c r="AB102" s="662"/>
      <c r="AC102" s="660"/>
      <c r="AD102" s="660"/>
      <c r="AE102" s="660"/>
      <c r="AF102" s="660"/>
      <c r="AG102" s="662"/>
      <c r="AH102" s="660"/>
      <c r="AI102" s="660"/>
      <c r="AJ102" s="660"/>
      <c r="AK102" s="660"/>
      <c r="AL102" s="662"/>
      <c r="AM102" s="660"/>
      <c r="AN102" s="660"/>
      <c r="AO102" s="660"/>
      <c r="AP102" s="660"/>
      <c r="AQ102" s="662">
        <f>160000/AL99</f>
        <v>0.95557187990850401</v>
      </c>
      <c r="AR102" s="660"/>
      <c r="AS102" s="660"/>
      <c r="AT102" s="660"/>
      <c r="AU102" s="660"/>
      <c r="AV102" s="662"/>
      <c r="AW102" s="660"/>
      <c r="AX102" s="660"/>
      <c r="AY102" s="660"/>
      <c r="AZ102" s="660"/>
      <c r="BA102" s="662"/>
    </row>
    <row r="103" spans="1:55" s="659" customFormat="1" ht="13.5" thickBot="1" x14ac:dyDescent="0.25">
      <c r="C103" s="658"/>
      <c r="D103" s="660"/>
      <c r="E103" s="660"/>
      <c r="F103" s="660"/>
      <c r="G103" s="660"/>
      <c r="H103" s="662"/>
      <c r="I103" s="660"/>
      <c r="J103" s="660"/>
      <c r="K103" s="660"/>
      <c r="L103" s="660"/>
      <c r="M103" s="662"/>
      <c r="N103" s="660"/>
      <c r="O103" s="660"/>
      <c r="P103" s="660"/>
      <c r="Q103" s="660"/>
      <c r="R103" s="662"/>
      <c r="S103" s="660"/>
      <c r="T103" s="660"/>
      <c r="U103" s="660"/>
      <c r="V103" s="660"/>
      <c r="W103" s="662"/>
      <c r="X103" s="660"/>
      <c r="Y103" s="660"/>
      <c r="Z103" s="660"/>
      <c r="AA103" s="660"/>
      <c r="AB103" s="662"/>
      <c r="AC103" s="660"/>
      <c r="AD103" s="660"/>
      <c r="AE103" s="660"/>
      <c r="AF103" s="660"/>
      <c r="AG103" s="662"/>
      <c r="AH103" s="660"/>
      <c r="AI103" s="660"/>
      <c r="AJ103" s="660"/>
      <c r="AK103" s="660"/>
      <c r="AL103" s="662"/>
      <c r="AM103" s="660"/>
      <c r="AN103" s="660"/>
      <c r="AO103" s="660"/>
      <c r="AP103" s="660"/>
      <c r="AQ103" s="662"/>
      <c r="AR103" s="660"/>
      <c r="AS103" s="660"/>
      <c r="AT103" s="660"/>
      <c r="AU103" s="660"/>
      <c r="AV103" s="662"/>
      <c r="AW103" s="660"/>
      <c r="AX103" s="660"/>
      <c r="AY103" s="660"/>
      <c r="AZ103" s="660"/>
      <c r="BA103" s="662"/>
    </row>
    <row r="104" spans="1:55" ht="13.5" thickBot="1" x14ac:dyDescent="0.25">
      <c r="B104" s="868" t="s">
        <v>425</v>
      </c>
      <c r="C104" s="869"/>
      <c r="D104" s="670" t="str">
        <f>IS!D4</f>
        <v>1Q18</v>
      </c>
      <c r="E104" s="670" t="str">
        <f>IS!E4</f>
        <v>2Q18</v>
      </c>
      <c r="F104" s="670" t="str">
        <f>IS!F4</f>
        <v>3Q18</v>
      </c>
      <c r="G104" s="670" t="str">
        <f>IS!G4</f>
        <v>4Q18</v>
      </c>
      <c r="H104" s="671">
        <f>IS!H4</f>
        <v>2018</v>
      </c>
      <c r="I104" s="670" t="str">
        <f>IS!I4</f>
        <v>1Q19</v>
      </c>
      <c r="J104" s="670" t="str">
        <f>IS!J4</f>
        <v>2Q19</v>
      </c>
      <c r="K104" s="670" t="str">
        <f>IS!K4</f>
        <v>3Q19</v>
      </c>
      <c r="L104" s="670" t="str">
        <f>IS!L4</f>
        <v>4Q19</v>
      </c>
      <c r="M104" s="671">
        <f>IS!M4</f>
        <v>2019</v>
      </c>
      <c r="N104" s="670" t="str">
        <f>IS!N4</f>
        <v>1Q20</v>
      </c>
      <c r="O104" s="670" t="str">
        <f>IS!O4</f>
        <v>2Q20</v>
      </c>
      <c r="P104" s="670" t="str">
        <f>IS!P4</f>
        <v>3Q20</v>
      </c>
      <c r="Q104" s="670" t="str">
        <f>IS!Q4</f>
        <v>4Q20</v>
      </c>
      <c r="R104" s="671">
        <f>IS!R4</f>
        <v>2020</v>
      </c>
      <c r="S104" s="670" t="str">
        <f>IS!S4</f>
        <v>1Q21</v>
      </c>
      <c r="T104" s="670" t="str">
        <f>IS!T4</f>
        <v>2Q21</v>
      </c>
      <c r="U104" s="670" t="str">
        <f>IS!U4</f>
        <v>3Q21</v>
      </c>
      <c r="V104" s="670" t="str">
        <f>IS!V4</f>
        <v>4Q21</v>
      </c>
      <c r="W104" s="671">
        <f>IS!W4</f>
        <v>2021</v>
      </c>
      <c r="X104" s="670" t="str">
        <f>IS!X4</f>
        <v>1Q22</v>
      </c>
      <c r="Y104" s="670" t="str">
        <f>IS!Y4</f>
        <v>2Q22</v>
      </c>
      <c r="Z104" s="670" t="str">
        <f>IS!Z4</f>
        <v>3Q22</v>
      </c>
      <c r="AA104" s="670" t="str">
        <f>IS!AA4</f>
        <v>4Q22</v>
      </c>
      <c r="AB104" s="671">
        <f>IS!AB4</f>
        <v>2022</v>
      </c>
      <c r="AC104" s="670" t="str">
        <f>IS!AC4</f>
        <v>1Q23</v>
      </c>
      <c r="AD104" s="670" t="str">
        <f>IS!AD4</f>
        <v>2Q23</v>
      </c>
      <c r="AE104" s="670" t="str">
        <f>IS!AE4</f>
        <v>3Q23</v>
      </c>
      <c r="AF104" s="670" t="str">
        <f>IS!AF4</f>
        <v>4Q23</v>
      </c>
      <c r="AG104" s="671">
        <f>IS!AG4</f>
        <v>2023</v>
      </c>
      <c r="AH104" s="670" t="str">
        <f>IS!AH4</f>
        <v>1Q24</v>
      </c>
      <c r="AI104" s="670" t="str">
        <f>IS!AI4</f>
        <v>2Q24</v>
      </c>
      <c r="AJ104" s="670" t="str">
        <f>IS!AJ4</f>
        <v>3Q24</v>
      </c>
      <c r="AK104" s="670" t="str">
        <f>IS!AK4</f>
        <v>4Q24</v>
      </c>
      <c r="AL104" s="671">
        <f>IS!AL4</f>
        <v>2024</v>
      </c>
      <c r="AM104" s="670" t="str">
        <f>IS!AM4</f>
        <v>1Q25</v>
      </c>
      <c r="AN104" s="670" t="str">
        <f>IS!AN4</f>
        <v>2Q25</v>
      </c>
      <c r="AO104" s="670" t="str">
        <f>IS!AO4</f>
        <v>3Q25</v>
      </c>
      <c r="AP104" s="670" t="str">
        <f>IS!AP4</f>
        <v>4Q25</v>
      </c>
      <c r="AQ104" s="671">
        <f>IS!AQ4</f>
        <v>2025</v>
      </c>
      <c r="AR104" s="670" t="str">
        <f>IS!AR4</f>
        <v>1Q26</v>
      </c>
      <c r="AS104" s="670" t="str">
        <f>IS!AS4</f>
        <v>2Q26</v>
      </c>
      <c r="AT104" s="670" t="str">
        <f>IS!AT4</f>
        <v>3Q26E</v>
      </c>
      <c r="AU104" s="670" t="str">
        <f>IS!AU4</f>
        <v>4Q26E</v>
      </c>
      <c r="AV104" s="671" t="str">
        <f>IS!AV4</f>
        <v>2026E</v>
      </c>
      <c r="AW104" s="670" t="str">
        <f>IS!AW4</f>
        <v>1Q27E</v>
      </c>
      <c r="AX104" s="670" t="str">
        <f>IS!AX4</f>
        <v>2Q27E</v>
      </c>
      <c r="AY104" s="670" t="str">
        <f>IS!AY4</f>
        <v>3Q27E</v>
      </c>
      <c r="AZ104" s="670" t="str">
        <f>IS!AZ4</f>
        <v>4Q27E</v>
      </c>
      <c r="BA104" s="671" t="str">
        <f>IS!BA4</f>
        <v>2027E</v>
      </c>
    </row>
    <row r="105" spans="1:55" s="654" customFormat="1" ht="19.5" hidden="1" customHeight="1" outlineLevel="1" x14ac:dyDescent="0.2">
      <c r="B105" s="691" t="s">
        <v>290</v>
      </c>
      <c r="C105" s="692"/>
      <c r="D105" s="693"/>
      <c r="E105" s="693"/>
      <c r="F105" s="693"/>
      <c r="G105" s="693"/>
      <c r="H105" s="694"/>
      <c r="I105" s="693"/>
      <c r="J105" s="693"/>
      <c r="K105" s="693"/>
      <c r="L105" s="693"/>
      <c r="M105" s="694"/>
      <c r="N105" s="693"/>
      <c r="O105" s="693"/>
      <c r="P105" s="693"/>
      <c r="Q105" s="693"/>
      <c r="R105" s="694"/>
      <c r="S105" s="693"/>
      <c r="T105" s="693"/>
      <c r="U105" s="693"/>
      <c r="V105" s="693"/>
      <c r="W105" s="694"/>
      <c r="X105" s="693"/>
      <c r="Y105" s="693"/>
      <c r="Z105" s="693"/>
      <c r="AA105" s="693">
        <f>SUM(AA4,AA35)</f>
        <v>142500</v>
      </c>
      <c r="AB105" s="694"/>
      <c r="AC105" s="693">
        <f>SUM(AC4,AC35)</f>
        <v>149700</v>
      </c>
      <c r="AD105" s="693">
        <f>SUM(AD4,AD35)</f>
        <v>155100</v>
      </c>
      <c r="AE105" s="693">
        <f>SUM(AE4,AE35)</f>
        <v>161200</v>
      </c>
      <c r="AF105" s="693">
        <f>SUM(AF4,AF35)</f>
        <v>168600</v>
      </c>
      <c r="AG105" s="694">
        <f>AF105</f>
        <v>168600</v>
      </c>
      <c r="AH105" s="693">
        <f>SUM(AH4,AH35)</f>
        <v>173800</v>
      </c>
      <c r="AI105" s="693">
        <f>SUM(AI4,AI35)</f>
        <v>174800</v>
      </c>
      <c r="AJ105" s="693">
        <f>SUM(AJ4,AJ35)</f>
        <v>180200</v>
      </c>
      <c r="AK105" s="693">
        <f>SUM(AK4,AK35)</f>
        <v>186000</v>
      </c>
      <c r="AL105" s="694">
        <f>AK105</f>
        <v>186000</v>
      </c>
      <c r="AM105" s="693">
        <f>SUM(AM4,AM35)</f>
        <v>192500</v>
      </c>
      <c r="AN105" s="693">
        <f>SUM(AN4,AN35)</f>
        <v>198400</v>
      </c>
      <c r="AO105" s="693">
        <f>SUM(AO4,AO35)</f>
        <v>204300</v>
      </c>
      <c r="AP105" s="693">
        <f>SUM(AP4,AP35)</f>
        <v>210600</v>
      </c>
      <c r="AQ105" s="694">
        <f>AP105</f>
        <v>210600</v>
      </c>
      <c r="AR105" s="693">
        <f>SUM(AR4,AR35)</f>
        <v>216000</v>
      </c>
      <c r="AS105" s="693">
        <f>SUM(AS4,AS35)</f>
        <v>221500</v>
      </c>
      <c r="AT105" s="693">
        <f>SUM(AT4,AT35)</f>
        <v>226500</v>
      </c>
      <c r="AU105" s="693">
        <f>SUM(AU4,AU35)</f>
        <v>231500</v>
      </c>
      <c r="AV105" s="694">
        <f>AU105</f>
        <v>231500</v>
      </c>
      <c r="AW105" s="693">
        <f>SUM(AW4,AW35)</f>
        <v>236550</v>
      </c>
      <c r="AX105" s="693">
        <f>SUM(AX4,AX35)</f>
        <v>241600</v>
      </c>
      <c r="AY105" s="693">
        <f>SUM(AY4,AY35)</f>
        <v>246650</v>
      </c>
      <c r="AZ105" s="693">
        <f>SUM(AZ4,AZ35)</f>
        <v>251700</v>
      </c>
      <c r="BA105" s="694">
        <f>AZ105</f>
        <v>251700</v>
      </c>
    </row>
    <row r="106" spans="1:55" s="673" customFormat="1" hidden="1" outlineLevel="1" x14ac:dyDescent="0.2">
      <c r="B106" s="695"/>
      <c r="C106" s="696" t="s">
        <v>28</v>
      </c>
      <c r="D106" s="696"/>
      <c r="E106" s="696"/>
      <c r="F106" s="696"/>
      <c r="G106" s="697"/>
      <c r="H106" s="698"/>
      <c r="I106" s="696"/>
      <c r="J106" s="696"/>
      <c r="K106" s="696"/>
      <c r="L106" s="697"/>
      <c r="M106" s="698"/>
      <c r="N106" s="696"/>
      <c r="O106" s="696"/>
      <c r="P106" s="696"/>
      <c r="Q106" s="697"/>
      <c r="R106" s="698"/>
      <c r="S106" s="696"/>
      <c r="T106" s="696"/>
      <c r="U106" s="696"/>
      <c r="V106" s="697"/>
      <c r="W106" s="698"/>
      <c r="X106" s="696"/>
      <c r="Y106" s="696"/>
      <c r="Z106" s="696"/>
      <c r="AA106" s="697"/>
      <c r="AB106" s="698"/>
      <c r="AC106" s="696">
        <f>AC105-AA105</f>
        <v>7200</v>
      </c>
      <c r="AD106" s="696">
        <f>AD105-AC105</f>
        <v>5400</v>
      </c>
      <c r="AE106" s="696">
        <f t="shared" ref="AE106:AF106" si="367">AE105-AD105</f>
        <v>6100</v>
      </c>
      <c r="AF106" s="696">
        <f t="shared" si="367"/>
        <v>7400</v>
      </c>
      <c r="AG106" s="698">
        <f>SUM(AC106:AF106)</f>
        <v>26100</v>
      </c>
      <c r="AH106" s="696">
        <f>AH105-AF105</f>
        <v>5200</v>
      </c>
      <c r="AI106" s="696">
        <f>AI105-AH105</f>
        <v>1000</v>
      </c>
      <c r="AJ106" s="696">
        <f t="shared" ref="AJ106" si="368">AJ105-AI105</f>
        <v>5400</v>
      </c>
      <c r="AK106" s="696">
        <f t="shared" ref="AK106" si="369">AK105-AJ105</f>
        <v>5800</v>
      </c>
      <c r="AL106" s="698">
        <f>SUM(AH106:AK106)</f>
        <v>17400</v>
      </c>
      <c r="AM106" s="696">
        <f>AM105-AK105</f>
        <v>6500</v>
      </c>
      <c r="AN106" s="696">
        <f>AN105-AM105</f>
        <v>5900</v>
      </c>
      <c r="AO106" s="696">
        <f t="shared" ref="AO106:AP106" si="370">AO105-AN105</f>
        <v>5900</v>
      </c>
      <c r="AP106" s="696">
        <f t="shared" si="370"/>
        <v>6300</v>
      </c>
      <c r="AQ106" s="698">
        <f>SUM(AM106:AP106)</f>
        <v>24600</v>
      </c>
      <c r="AR106" s="696">
        <f>AR105-AP105</f>
        <v>5400</v>
      </c>
      <c r="AS106" s="696">
        <f>AS105-AR105</f>
        <v>5500</v>
      </c>
      <c r="AT106" s="696">
        <f t="shared" ref="AT106" si="371">AT105-AS105</f>
        <v>5000</v>
      </c>
      <c r="AU106" s="696">
        <f t="shared" ref="AU106" si="372">AU105-AT105</f>
        <v>5000</v>
      </c>
      <c r="AV106" s="698">
        <f>SUM(AR106:AU106)</f>
        <v>20900</v>
      </c>
      <c r="AW106" s="696">
        <f>AW105-AU105</f>
        <v>5050</v>
      </c>
      <c r="AX106" s="696">
        <f>AX105-AW105</f>
        <v>5050</v>
      </c>
      <c r="AY106" s="696">
        <f t="shared" ref="AY106" si="373">AY105-AX105</f>
        <v>5050</v>
      </c>
      <c r="AZ106" s="696">
        <f t="shared" ref="AZ106" si="374">AZ105-AY105</f>
        <v>5050</v>
      </c>
      <c r="BA106" s="698">
        <f>SUM(AW106:AZ106)</f>
        <v>20200</v>
      </c>
    </row>
    <row r="107" spans="1:55" s="659" customFormat="1" hidden="1" outlineLevel="1" x14ac:dyDescent="0.2">
      <c r="B107" s="699"/>
      <c r="C107" s="700" t="s">
        <v>29</v>
      </c>
      <c r="D107" s="701"/>
      <c r="E107" s="701"/>
      <c r="F107" s="701"/>
      <c r="G107" s="701"/>
      <c r="H107" s="702"/>
      <c r="I107" s="701"/>
      <c r="J107" s="701"/>
      <c r="K107" s="701"/>
      <c r="L107" s="701"/>
      <c r="M107" s="702"/>
      <c r="N107" s="701"/>
      <c r="O107" s="701"/>
      <c r="P107" s="701"/>
      <c r="Q107" s="701"/>
      <c r="R107" s="702"/>
      <c r="S107" s="701"/>
      <c r="T107" s="701"/>
      <c r="U107" s="701"/>
      <c r="V107" s="701"/>
      <c r="W107" s="702"/>
      <c r="X107" s="701"/>
      <c r="Y107" s="701"/>
      <c r="Z107" s="701"/>
      <c r="AA107" s="701"/>
      <c r="AB107" s="702"/>
      <c r="AC107" s="701"/>
      <c r="AD107" s="701"/>
      <c r="AE107" s="701"/>
      <c r="AF107" s="701">
        <f t="shared" ref="AF107" si="375">AF105/AA105-1</f>
        <v>0.18315789473684219</v>
      </c>
      <c r="AG107" s="702">
        <f>AG105/AA105-1</f>
        <v>0.18315789473684219</v>
      </c>
      <c r="AH107" s="701">
        <f t="shared" ref="AH107" si="376">AH105/AC105-1</f>
        <v>0.16098864395457579</v>
      </c>
      <c r="AI107" s="701">
        <f t="shared" ref="AI107" si="377">AI105/AD105-1</f>
        <v>0.12701482914248863</v>
      </c>
      <c r="AJ107" s="701">
        <f t="shared" ref="AJ107" si="378">AJ105/AE105-1</f>
        <v>0.1178660049627791</v>
      </c>
      <c r="AK107" s="701">
        <f t="shared" ref="AK107:AS107" si="379">AK105/AF105-1</f>
        <v>0.10320284697508897</v>
      </c>
      <c r="AL107" s="702">
        <f t="shared" si="379"/>
        <v>0.10320284697508897</v>
      </c>
      <c r="AM107" s="701">
        <f t="shared" si="379"/>
        <v>0.10759493670886067</v>
      </c>
      <c r="AN107" s="701">
        <f t="shared" si="379"/>
        <v>0.13501144164759715</v>
      </c>
      <c r="AO107" s="701">
        <f t="shared" si="379"/>
        <v>0.13374028856825748</v>
      </c>
      <c r="AP107" s="701">
        <f t="shared" si="379"/>
        <v>0.13225806451612909</v>
      </c>
      <c r="AQ107" s="702">
        <f t="shared" ref="AQ107" si="380">AQ105/AL105-1</f>
        <v>0.13225806451612909</v>
      </c>
      <c r="AR107" s="701">
        <f t="shared" si="379"/>
        <v>0.12207792207792201</v>
      </c>
      <c r="AS107" s="701">
        <f t="shared" si="379"/>
        <v>0.11643145161290325</v>
      </c>
      <c r="AT107" s="701">
        <f t="shared" ref="AT107" si="381">AT105/AO105-1</f>
        <v>0.10866372980910421</v>
      </c>
      <c r="AU107" s="701">
        <f t="shared" ref="AU107" si="382">AU105/AP105-1</f>
        <v>9.9240265906932468E-2</v>
      </c>
      <c r="AV107" s="702">
        <f t="shared" ref="AV107" si="383">AV105/AQ105-1</f>
        <v>9.9240265906932468E-2</v>
      </c>
      <c r="AW107" s="701">
        <f t="shared" ref="AW107" si="384">AW105/AR105-1</f>
        <v>9.5138888888888884E-2</v>
      </c>
      <c r="AX107" s="701">
        <f t="shared" ref="AX107" si="385">AX105/AS105-1</f>
        <v>9.0744920993228062E-2</v>
      </c>
      <c r="AY107" s="701">
        <f t="shared" ref="AY107" si="386">AY105/AT105-1</f>
        <v>8.8962472406181048E-2</v>
      </c>
      <c r="AZ107" s="701">
        <f t="shared" ref="AZ107" si="387">AZ105/AU105-1</f>
        <v>8.7257019438444994E-2</v>
      </c>
      <c r="BA107" s="702">
        <f t="shared" ref="BA107" si="388">BA105/AV105-1</f>
        <v>8.7257019438444994E-2</v>
      </c>
    </row>
    <row r="108" spans="1:55" s="659" customFormat="1" hidden="1" outlineLevel="1" x14ac:dyDescent="0.2">
      <c r="B108" s="699"/>
      <c r="C108" s="700" t="s">
        <v>76</v>
      </c>
      <c r="D108" s="701"/>
      <c r="E108" s="701"/>
      <c r="F108" s="701"/>
      <c r="G108" s="701"/>
      <c r="H108" s="703"/>
      <c r="I108" s="701"/>
      <c r="J108" s="701"/>
      <c r="K108" s="701"/>
      <c r="L108" s="701"/>
      <c r="M108" s="703"/>
      <c r="N108" s="701"/>
      <c r="O108" s="701"/>
      <c r="P108" s="701"/>
      <c r="Q108" s="701"/>
      <c r="R108" s="703"/>
      <c r="S108" s="701"/>
      <c r="T108" s="701"/>
      <c r="U108" s="701"/>
      <c r="V108" s="701"/>
      <c r="W108" s="703"/>
      <c r="X108" s="701"/>
      <c r="Y108" s="701"/>
      <c r="Z108" s="701"/>
      <c r="AA108" s="701"/>
      <c r="AB108" s="703"/>
      <c r="AC108" s="701">
        <f>AC105/AA105-1</f>
        <v>5.0526315789473752E-2</v>
      </c>
      <c r="AD108" s="701">
        <f>AD105/AC105-1</f>
        <v>3.607214428857719E-2</v>
      </c>
      <c r="AE108" s="701">
        <f>AE105/AD105-1</f>
        <v>3.9329464861379781E-2</v>
      </c>
      <c r="AF108" s="701">
        <f>AF105/AE105-1</f>
        <v>4.5905707196029821E-2</v>
      </c>
      <c r="AG108" s="703"/>
      <c r="AH108" s="701">
        <f>AH105/AF105-1</f>
        <v>3.0842230130486259E-2</v>
      </c>
      <c r="AI108" s="701">
        <f>AI105/AH105-1</f>
        <v>5.7537399309550707E-3</v>
      </c>
      <c r="AJ108" s="701">
        <f>AJ105/AI105-1</f>
        <v>3.0892448512585879E-2</v>
      </c>
      <c r="AK108" s="701">
        <f>AK105/AJ105-1</f>
        <v>3.2186459489456087E-2</v>
      </c>
      <c r="AL108" s="703"/>
      <c r="AM108" s="701">
        <f>AM105/AK105-1</f>
        <v>3.4946236559139754E-2</v>
      </c>
      <c r="AN108" s="701">
        <f>AN105/AM105-1</f>
        <v>3.0649350649350593E-2</v>
      </c>
      <c r="AO108" s="701">
        <f>AO105/AN105-1</f>
        <v>2.9737903225806495E-2</v>
      </c>
      <c r="AP108" s="701">
        <f>AP105/AO105-1</f>
        <v>3.0837004405286361E-2</v>
      </c>
      <c r="AQ108" s="703"/>
      <c r="AR108" s="701">
        <f>AR105/AP105-1</f>
        <v>2.564102564102555E-2</v>
      </c>
      <c r="AS108" s="701">
        <f>AS105/AR105-1</f>
        <v>2.5462962962963021E-2</v>
      </c>
      <c r="AT108" s="701">
        <f>AT105/AS105-1</f>
        <v>2.257336343115135E-2</v>
      </c>
      <c r="AU108" s="701">
        <f>AU105/AT105-1</f>
        <v>2.207505518763786E-2</v>
      </c>
      <c r="AV108" s="703"/>
      <c r="AW108" s="701">
        <f>AW105/AU105-1</f>
        <v>2.1814254859611193E-2</v>
      </c>
      <c r="AX108" s="701">
        <f>AX105/AW105-1</f>
        <v>2.1348552103149343E-2</v>
      </c>
      <c r="AY108" s="701">
        <f>AY105/AX105-1</f>
        <v>2.0902317880794774E-2</v>
      </c>
      <c r="AZ108" s="701">
        <f>AZ105/AY105-1</f>
        <v>2.0474356375430824E-2</v>
      </c>
      <c r="BA108" s="703"/>
    </row>
    <row r="109" spans="1:55" s="676" customFormat="1" ht="19.5" hidden="1" customHeight="1" outlineLevel="1" x14ac:dyDescent="0.2">
      <c r="B109" s="678" t="s">
        <v>407</v>
      </c>
      <c r="C109" s="679"/>
      <c r="D109" s="679"/>
      <c r="E109" s="679"/>
      <c r="F109" s="679"/>
      <c r="G109" s="680"/>
      <c r="H109" s="681"/>
      <c r="I109" s="679"/>
      <c r="J109" s="679"/>
      <c r="K109" s="679"/>
      <c r="L109" s="680"/>
      <c r="M109" s="681"/>
      <c r="N109" s="679"/>
      <c r="O109" s="679"/>
      <c r="P109" s="679"/>
      <c r="Q109" s="680"/>
      <c r="R109" s="681"/>
      <c r="S109" s="679"/>
      <c r="T109" s="679"/>
      <c r="U109" s="679"/>
      <c r="V109" s="680"/>
      <c r="W109" s="681"/>
      <c r="X109" s="679"/>
      <c r="Y109" s="679"/>
      <c r="Z109" s="679"/>
      <c r="AA109" s="680">
        <f>SUM(AA14,AA39)</f>
        <v>16.899999999999999</v>
      </c>
      <c r="AB109" s="681"/>
      <c r="AC109" s="679">
        <f>SUM(AC14,AC39)</f>
        <v>18.399999999999999</v>
      </c>
      <c r="AD109" s="679">
        <f>SUM(AD14,AD39)</f>
        <v>19.399999999999999</v>
      </c>
      <c r="AE109" s="679">
        <f>SUM(AE14,AE39)</f>
        <v>20.100000000000001</v>
      </c>
      <c r="AF109" s="680">
        <f>SUM(AF14,AF39)</f>
        <v>22</v>
      </c>
      <c r="AG109" s="681">
        <f>SUM(AC109:AF109)</f>
        <v>79.900000000000006</v>
      </c>
      <c r="AH109" s="679">
        <f>SUM(AH14,AH39)</f>
        <v>23.4</v>
      </c>
      <c r="AI109" s="679">
        <f>SUM(AI14,AI39)</f>
        <v>24.2</v>
      </c>
      <c r="AJ109" s="679">
        <f>SUM(AJ14,AJ39)</f>
        <v>24.2</v>
      </c>
      <c r="AK109" s="680">
        <f>SUM(AK14,AK39)</f>
        <v>26.3</v>
      </c>
      <c r="AL109" s="681">
        <f>SUM(AH109:AK109)</f>
        <v>98.1</v>
      </c>
      <c r="AM109" s="679">
        <f>SUM(AM14,AM39)</f>
        <v>27</v>
      </c>
      <c r="AN109" s="679">
        <f>SUM(AN14,AN39)</f>
        <v>28.3</v>
      </c>
      <c r="AO109" s="679">
        <f>SUM(AO14,AO39)</f>
        <v>28</v>
      </c>
      <c r="AP109" s="680">
        <f>SUM(AP14,AP39)</f>
        <v>30.9</v>
      </c>
      <c r="AQ109" s="681">
        <f>SUM(AM109:AP109)</f>
        <v>114.19999999999999</v>
      </c>
      <c r="AR109" s="679">
        <f>SUM(AR14,AR39)</f>
        <v>31.3</v>
      </c>
      <c r="AS109" s="679">
        <f>SUM(AS14,AS39)</f>
        <v>32.6</v>
      </c>
      <c r="AT109" s="679">
        <f>SUM(AT14,AT39)</f>
        <v>32.582500000000003</v>
      </c>
      <c r="AU109" s="680">
        <f>SUM(AU14,AU39)</f>
        <v>35.591999999999999</v>
      </c>
      <c r="AV109" s="681">
        <f>SUM(AR109:AU109)</f>
        <v>132.0745</v>
      </c>
      <c r="AW109" s="679">
        <f>SUM(AW14,AW39)</f>
        <v>35.370999999999995</v>
      </c>
      <c r="AX109" s="679">
        <f>SUM(AX14,AX39)</f>
        <v>36.862000000000002</v>
      </c>
      <c r="AY109" s="679">
        <f>SUM(AY14,AY39)</f>
        <v>36.667550000000006</v>
      </c>
      <c r="AZ109" s="680">
        <f>SUM(AZ14,AZ39)</f>
        <v>40.081440000000001</v>
      </c>
      <c r="BA109" s="681">
        <f>SUM(AW109:AZ109)</f>
        <v>148.98199</v>
      </c>
    </row>
    <row r="110" spans="1:55" s="659" customFormat="1" hidden="1" outlineLevel="1" x14ac:dyDescent="0.2">
      <c r="B110" s="682"/>
      <c r="C110" s="683" t="s">
        <v>29</v>
      </c>
      <c r="D110" s="684"/>
      <c r="E110" s="684"/>
      <c r="F110" s="684"/>
      <c r="G110" s="684"/>
      <c r="H110" s="685"/>
      <c r="I110" s="684"/>
      <c r="J110" s="684"/>
      <c r="K110" s="684"/>
      <c r="L110" s="684"/>
      <c r="M110" s="685"/>
      <c r="N110" s="684"/>
      <c r="O110" s="684"/>
      <c r="P110" s="684"/>
      <c r="Q110" s="684"/>
      <c r="R110" s="685"/>
      <c r="S110" s="684"/>
      <c r="T110" s="684"/>
      <c r="U110" s="684"/>
      <c r="V110" s="684"/>
      <c r="W110" s="685"/>
      <c r="X110" s="684"/>
      <c r="Y110" s="684"/>
      <c r="Z110" s="684"/>
      <c r="AA110" s="684"/>
      <c r="AB110" s="685"/>
      <c r="AC110" s="684"/>
      <c r="AD110" s="684"/>
      <c r="AE110" s="684"/>
      <c r="AF110" s="684">
        <f>AF109/AA109-1</f>
        <v>0.30177514792899429</v>
      </c>
      <c r="AG110" s="685"/>
      <c r="AH110" s="684">
        <f t="shared" ref="AH110:AS110" si="389">AH109/AC109-1</f>
        <v>0.27173913043478271</v>
      </c>
      <c r="AI110" s="684">
        <f t="shared" si="389"/>
        <v>0.24742268041237114</v>
      </c>
      <c r="AJ110" s="684">
        <f t="shared" si="389"/>
        <v>0.20398009950248741</v>
      </c>
      <c r="AK110" s="684">
        <f t="shared" si="389"/>
        <v>0.19545454545454555</v>
      </c>
      <c r="AL110" s="685">
        <f t="shared" si="389"/>
        <v>0.22778473091364182</v>
      </c>
      <c r="AM110" s="684">
        <f t="shared" si="389"/>
        <v>0.15384615384615397</v>
      </c>
      <c r="AN110" s="684">
        <f t="shared" si="389"/>
        <v>0.16942148760330578</v>
      </c>
      <c r="AO110" s="684">
        <f t="shared" si="389"/>
        <v>0.1570247933884299</v>
      </c>
      <c r="AP110" s="684">
        <f t="shared" si="389"/>
        <v>0.17490494296577941</v>
      </c>
      <c r="AQ110" s="685">
        <f t="shared" si="389"/>
        <v>0.16411824668705388</v>
      </c>
      <c r="AR110" s="684">
        <f t="shared" si="389"/>
        <v>0.15925925925925921</v>
      </c>
      <c r="AS110" s="684">
        <f t="shared" si="389"/>
        <v>0.15194346289752647</v>
      </c>
      <c r="AT110" s="684">
        <f t="shared" ref="AT110" si="390">AT109/AO109-1</f>
        <v>0.16366071428571449</v>
      </c>
      <c r="AU110" s="684">
        <f t="shared" ref="AU110" si="391">AU109/AP109-1</f>
        <v>0.15184466019417475</v>
      </c>
      <c r="AV110" s="685">
        <f t="shared" ref="AV110" si="392">AV109/AQ109-1</f>
        <v>0.15651926444833641</v>
      </c>
      <c r="AW110" s="684">
        <f t="shared" ref="AW110" si="393">AW109/AR109-1</f>
        <v>0.13006389776357818</v>
      </c>
      <c r="AX110" s="684">
        <f t="shared" ref="AX110" si="394">AX109/AS109-1</f>
        <v>0.13073619631901834</v>
      </c>
      <c r="AY110" s="684">
        <f t="shared" ref="AY110" si="395">AY109/AT109-1</f>
        <v>0.12537558505332624</v>
      </c>
      <c r="AZ110" s="684">
        <f t="shared" ref="AZ110" si="396">AZ109/AU109-1</f>
        <v>0.12613621038435618</v>
      </c>
      <c r="BA110" s="685">
        <f t="shared" ref="BA110" si="397">BA109/AV109-1</f>
        <v>0.12801479468027521</v>
      </c>
    </row>
    <row r="111" spans="1:55" s="659" customFormat="1" hidden="1" outlineLevel="1" x14ac:dyDescent="0.2">
      <c r="B111" s="682"/>
      <c r="C111" s="683" t="s">
        <v>76</v>
      </c>
      <c r="D111" s="684"/>
      <c r="E111" s="684"/>
      <c r="F111" s="684"/>
      <c r="G111" s="684"/>
      <c r="H111" s="686"/>
      <c r="I111" s="684"/>
      <c r="J111" s="684"/>
      <c r="K111" s="684"/>
      <c r="L111" s="684"/>
      <c r="M111" s="686"/>
      <c r="N111" s="684"/>
      <c r="O111" s="684"/>
      <c r="P111" s="684"/>
      <c r="Q111" s="684"/>
      <c r="R111" s="686"/>
      <c r="S111" s="684"/>
      <c r="T111" s="684"/>
      <c r="U111" s="684"/>
      <c r="V111" s="684"/>
      <c r="W111" s="686"/>
      <c r="X111" s="684"/>
      <c r="Y111" s="684"/>
      <c r="Z111" s="684"/>
      <c r="AA111" s="684"/>
      <c r="AB111" s="686"/>
      <c r="AC111" s="684">
        <f>AC109/AA109-1</f>
        <v>8.8757396449704151E-2</v>
      </c>
      <c r="AD111" s="684">
        <f>AD109/AC109-1</f>
        <v>5.4347826086956541E-2</v>
      </c>
      <c r="AE111" s="684">
        <f>AE109/AD109-1</f>
        <v>3.6082474226804218E-2</v>
      </c>
      <c r="AF111" s="684">
        <f>AF109/AE109-1</f>
        <v>9.4527363184079505E-2</v>
      </c>
      <c r="AG111" s="686"/>
      <c r="AH111" s="684">
        <f>AH109/AF109-1</f>
        <v>6.3636363636363491E-2</v>
      </c>
      <c r="AI111" s="684">
        <f>AI109/AH109-1</f>
        <v>3.4188034188034289E-2</v>
      </c>
      <c r="AJ111" s="684">
        <f>AJ109/AI109-1</f>
        <v>0</v>
      </c>
      <c r="AK111" s="684">
        <f>AK109/AJ109-1</f>
        <v>8.6776859504132275E-2</v>
      </c>
      <c r="AL111" s="686"/>
      <c r="AM111" s="684">
        <f>AM109/AK109-1</f>
        <v>2.6615969581748944E-2</v>
      </c>
      <c r="AN111" s="684">
        <f>AN109/AM109-1</f>
        <v>4.8148148148148273E-2</v>
      </c>
      <c r="AO111" s="684">
        <f>AO109/AN109-1</f>
        <v>-1.0600706713780994E-2</v>
      </c>
      <c r="AP111" s="684">
        <f>AP109/AO109-1</f>
        <v>0.10357142857142843</v>
      </c>
      <c r="AQ111" s="686"/>
      <c r="AR111" s="684">
        <f>AR109/AP109-1</f>
        <v>1.2944983818770295E-2</v>
      </c>
      <c r="AS111" s="684">
        <f>AS109/AR109-1</f>
        <v>4.1533546325878579E-2</v>
      </c>
      <c r="AT111" s="684">
        <f>AT109/AS109-1</f>
        <v>-5.3680981595083388E-4</v>
      </c>
      <c r="AU111" s="684">
        <f>AU109/AT109-1</f>
        <v>9.2365533645361708E-2</v>
      </c>
      <c r="AV111" s="686"/>
      <c r="AW111" s="684">
        <f>AW109/AU109-1</f>
        <v>-6.2092605079794305E-3</v>
      </c>
      <c r="AX111" s="684">
        <f>AX109/AW109-1</f>
        <v>4.2153176330892661E-2</v>
      </c>
      <c r="AY111" s="684">
        <f>AY109/AX109-1</f>
        <v>-5.2750800282131971E-3</v>
      </c>
      <c r="AZ111" s="684">
        <f>AZ109/AY109-1</f>
        <v>9.3103847952753727E-2</v>
      </c>
      <c r="BA111" s="686"/>
    </row>
    <row r="112" spans="1:55" s="676" customFormat="1" ht="22.5" hidden="1" customHeight="1" outlineLevel="1" x14ac:dyDescent="0.2">
      <c r="B112" s="678" t="s">
        <v>415</v>
      </c>
      <c r="C112" s="679"/>
      <c r="D112" s="679"/>
      <c r="E112" s="679"/>
      <c r="F112" s="679"/>
      <c r="G112" s="679"/>
      <c r="H112" s="681"/>
      <c r="I112" s="679"/>
      <c r="J112" s="679"/>
      <c r="K112" s="679"/>
      <c r="L112" s="679"/>
      <c r="M112" s="681"/>
      <c r="N112" s="679"/>
      <c r="O112" s="679"/>
      <c r="P112" s="679"/>
      <c r="Q112" s="679"/>
      <c r="R112" s="681"/>
      <c r="S112" s="679"/>
      <c r="T112" s="679"/>
      <c r="U112" s="679"/>
      <c r="V112" s="679"/>
      <c r="W112" s="681"/>
      <c r="X112" s="679"/>
      <c r="Y112" s="679"/>
      <c r="Z112" s="679"/>
      <c r="AA112" s="679">
        <f>SUM(AA20,AA45)</f>
        <v>57.800000000000004</v>
      </c>
      <c r="AB112" s="681"/>
      <c r="AC112" s="679">
        <f>SUM(AC20,AC45)</f>
        <v>58.7</v>
      </c>
      <c r="AD112" s="679">
        <f>SUM(AD20,AD45)</f>
        <v>60.8</v>
      </c>
      <c r="AE112" s="679">
        <f>SUM(AE20,AE45)</f>
        <v>58.4</v>
      </c>
      <c r="AF112" s="679">
        <f>SUM(AF20,AF45)</f>
        <v>63.5</v>
      </c>
      <c r="AG112" s="681">
        <f>SUM(AC112:AF112)</f>
        <v>241.4</v>
      </c>
      <c r="AH112" s="679">
        <f>SUM(AH20,AH45)</f>
        <v>64.5</v>
      </c>
      <c r="AI112" s="679">
        <f>SUM(AI20,AI45)</f>
        <v>68.8</v>
      </c>
      <c r="AJ112" s="679">
        <f>SUM(AJ20,AJ45)</f>
        <v>65.3</v>
      </c>
      <c r="AK112" s="679">
        <f>SUM(AK20,AK45)</f>
        <v>69.2</v>
      </c>
      <c r="AL112" s="681">
        <f>SUM(AH112:AK112)</f>
        <v>267.8</v>
      </c>
      <c r="AM112" s="679">
        <f>SUM(AM20,AM45)</f>
        <v>72.8</v>
      </c>
      <c r="AN112" s="679">
        <f>SUM(AN20,AN45)</f>
        <v>77.100000000000009</v>
      </c>
      <c r="AO112" s="679">
        <f>SUM(AO20,AO45)</f>
        <v>72.2</v>
      </c>
      <c r="AP112" s="679">
        <f>SUM(AP20,AP45)</f>
        <v>78.400000000000006</v>
      </c>
      <c r="AQ112" s="681">
        <f>SUM(AM112:AP112)</f>
        <v>300.5</v>
      </c>
      <c r="AR112" s="679">
        <f>SUM(AR20,AR45)</f>
        <v>80.900000000000006</v>
      </c>
      <c r="AS112" s="679">
        <f>SUM(AS20,AS45)</f>
        <v>86.4</v>
      </c>
      <c r="AT112" s="679">
        <f>SUM(AT20,AT45)</f>
        <v>82.955034000000026</v>
      </c>
      <c r="AU112" s="679">
        <f>SUM(AU20,AU45)</f>
        <v>87.885600000000011</v>
      </c>
      <c r="AV112" s="681">
        <f>SUM(AR112:AU112)</f>
        <v>338.14063400000003</v>
      </c>
      <c r="AW112" s="679">
        <f>SUM(AW20,AW45)</f>
        <v>87.982290000000006</v>
      </c>
      <c r="AX112" s="679">
        <f>SUM(AX20,AX45)</f>
        <v>93.525464999999997</v>
      </c>
      <c r="AY112" s="679">
        <f>SUM(AY20,AY45)</f>
        <v>89.820539271900017</v>
      </c>
      <c r="AZ112" s="679">
        <f>SUM(AZ20,AZ45)</f>
        <v>95.189229960000006</v>
      </c>
      <c r="BA112" s="681">
        <f>SUM(AW112:AZ112)</f>
        <v>366.51752423189998</v>
      </c>
    </row>
    <row r="113" spans="2:53" s="659" customFormat="1" hidden="1" outlineLevel="1" x14ac:dyDescent="0.2">
      <c r="B113" s="682"/>
      <c r="C113" s="683" t="s">
        <v>29</v>
      </c>
      <c r="D113" s="684"/>
      <c r="E113" s="684"/>
      <c r="F113" s="684"/>
      <c r="G113" s="684"/>
      <c r="H113" s="685"/>
      <c r="I113" s="684"/>
      <c r="J113" s="684"/>
      <c r="K113" s="684"/>
      <c r="L113" s="684"/>
      <c r="M113" s="685"/>
      <c r="N113" s="684"/>
      <c r="O113" s="684"/>
      <c r="P113" s="684"/>
      <c r="Q113" s="684"/>
      <c r="R113" s="685"/>
      <c r="S113" s="684"/>
      <c r="T113" s="684"/>
      <c r="U113" s="684"/>
      <c r="V113" s="684"/>
      <c r="W113" s="685"/>
      <c r="X113" s="684"/>
      <c r="Y113" s="684"/>
      <c r="Z113" s="684"/>
      <c r="AA113" s="684"/>
      <c r="AB113" s="685"/>
      <c r="AC113" s="684"/>
      <c r="AD113" s="684"/>
      <c r="AE113" s="684"/>
      <c r="AF113" s="684">
        <f>AF112/AA112-1</f>
        <v>9.8615916955017147E-2</v>
      </c>
      <c r="AG113" s="685"/>
      <c r="AH113" s="684">
        <f t="shared" ref="AH113:AS113" si="398">AH112/AC112-1</f>
        <v>9.8807495741056073E-2</v>
      </c>
      <c r="AI113" s="684">
        <f t="shared" si="398"/>
        <v>0.13157894736842102</v>
      </c>
      <c r="AJ113" s="684">
        <f t="shared" si="398"/>
        <v>0.11815068493150682</v>
      </c>
      <c r="AK113" s="684">
        <f t="shared" si="398"/>
        <v>8.9763779527559207E-2</v>
      </c>
      <c r="AL113" s="685">
        <f t="shared" si="398"/>
        <v>0.10936205468102744</v>
      </c>
      <c r="AM113" s="684">
        <f t="shared" si="398"/>
        <v>0.12868217054263553</v>
      </c>
      <c r="AN113" s="684">
        <f t="shared" si="398"/>
        <v>0.12063953488372103</v>
      </c>
      <c r="AO113" s="684">
        <f t="shared" si="398"/>
        <v>0.10566615620214415</v>
      </c>
      <c r="AP113" s="684">
        <f t="shared" si="398"/>
        <v>0.13294797687861282</v>
      </c>
      <c r="AQ113" s="685">
        <f t="shared" si="398"/>
        <v>0.12210604929051527</v>
      </c>
      <c r="AR113" s="684">
        <f t="shared" si="398"/>
        <v>0.11126373626373631</v>
      </c>
      <c r="AS113" s="684">
        <f t="shared" si="398"/>
        <v>0.12062256809338523</v>
      </c>
      <c r="AT113" s="684">
        <f t="shared" ref="AT113" si="399">AT112/AO112-1</f>
        <v>0.1489616897506929</v>
      </c>
      <c r="AU113" s="684">
        <f t="shared" ref="AU113" si="400">AU112/AP112-1</f>
        <v>0.12098979591836745</v>
      </c>
      <c r="AV113" s="685">
        <f t="shared" ref="AV113" si="401">AV112/AQ112-1</f>
        <v>0.12526001331114811</v>
      </c>
      <c r="AW113" s="684">
        <f t="shared" ref="AW113" si="402">AW112/AR112-1</f>
        <v>8.754375772558709E-2</v>
      </c>
      <c r="AX113" s="684">
        <f t="shared" ref="AX113" si="403">AX112/AS112-1</f>
        <v>8.2470659722222006E-2</v>
      </c>
      <c r="AY113" s="684">
        <f t="shared" ref="AY113" si="404">AY112/AT112-1</f>
        <v>8.2761767922366003E-2</v>
      </c>
      <c r="AZ113" s="684">
        <f t="shared" ref="AZ113" si="405">AZ112/AU112-1</f>
        <v>8.3103829978972588E-2</v>
      </c>
      <c r="BA113" s="685">
        <f t="shared" ref="BA113" si="406">BA112/AV112-1</f>
        <v>8.3920379210917107E-2</v>
      </c>
    </row>
    <row r="114" spans="2:53" s="659" customFormat="1" hidden="1" outlineLevel="1" x14ac:dyDescent="0.2">
      <c r="B114" s="682"/>
      <c r="C114" s="683" t="s">
        <v>76</v>
      </c>
      <c r="D114" s="684"/>
      <c r="E114" s="684"/>
      <c r="F114" s="684"/>
      <c r="G114" s="684"/>
      <c r="H114" s="686"/>
      <c r="I114" s="684"/>
      <c r="J114" s="684"/>
      <c r="K114" s="684"/>
      <c r="L114" s="684"/>
      <c r="M114" s="686"/>
      <c r="N114" s="684"/>
      <c r="O114" s="684"/>
      <c r="P114" s="684"/>
      <c r="Q114" s="684"/>
      <c r="R114" s="686"/>
      <c r="S114" s="684"/>
      <c r="T114" s="684"/>
      <c r="U114" s="684"/>
      <c r="V114" s="684"/>
      <c r="W114" s="686"/>
      <c r="X114" s="684"/>
      <c r="Y114" s="684"/>
      <c r="Z114" s="684"/>
      <c r="AA114" s="684"/>
      <c r="AB114" s="686"/>
      <c r="AC114" s="684">
        <f>AC112/AA112-1</f>
        <v>1.5570934256055269E-2</v>
      </c>
      <c r="AD114" s="684">
        <f>AD112/AC112-1</f>
        <v>3.5775127768313375E-2</v>
      </c>
      <c r="AE114" s="684">
        <f>AE112/AD112-1</f>
        <v>-3.9473684210526327E-2</v>
      </c>
      <c r="AF114" s="684">
        <f>AF112/AE112-1</f>
        <v>8.7328767123287632E-2</v>
      </c>
      <c r="AG114" s="686"/>
      <c r="AH114" s="684">
        <f>AH112/AF112-1</f>
        <v>1.5748031496062964E-2</v>
      </c>
      <c r="AI114" s="684">
        <f>AI112/AH112-1</f>
        <v>6.6666666666666652E-2</v>
      </c>
      <c r="AJ114" s="684">
        <f>AJ112/AI112-1</f>
        <v>-5.0872093023255793E-2</v>
      </c>
      <c r="AK114" s="684">
        <f>AK112/AJ112-1</f>
        <v>5.9724349157733725E-2</v>
      </c>
      <c r="AL114" s="686"/>
      <c r="AM114" s="684">
        <f>AM112/AK112-1</f>
        <v>5.2023121387283044E-2</v>
      </c>
      <c r="AN114" s="684">
        <f>AN112/AM112-1</f>
        <v>5.90659340659343E-2</v>
      </c>
      <c r="AO114" s="684">
        <f>AO112/AN112-1</f>
        <v>-6.3553826199740704E-2</v>
      </c>
      <c r="AP114" s="684">
        <f>AP112/AO112-1</f>
        <v>8.5872576177285387E-2</v>
      </c>
      <c r="AQ114" s="686"/>
      <c r="AR114" s="684">
        <f>AR112/AP112-1</f>
        <v>3.1887755102040893E-2</v>
      </c>
      <c r="AS114" s="684">
        <f>AS112/AR112-1</f>
        <v>6.7985166872682301E-2</v>
      </c>
      <c r="AT114" s="684">
        <f>AT112/AS112-1</f>
        <v>-3.9872291666666393E-2</v>
      </c>
      <c r="AU114" s="684">
        <f>AU112/AT112-1</f>
        <v>5.9436609959077069E-2</v>
      </c>
      <c r="AV114" s="686"/>
      <c r="AW114" s="684">
        <f>AW112/AU112-1</f>
        <v>1.1001802343044709E-3</v>
      </c>
      <c r="AX114" s="684">
        <f>AX112/AW112-1</f>
        <v>6.3003304415013339E-2</v>
      </c>
      <c r="AY114" s="684">
        <f>AY112/AX112-1</f>
        <v>-3.961408508474118E-2</v>
      </c>
      <c r="AZ114" s="684">
        <f>AZ112/AY112-1</f>
        <v>5.9771303218834726E-2</v>
      </c>
      <c r="BA114" s="686"/>
    </row>
    <row r="115" spans="2:53" s="654" customFormat="1" ht="22.5" hidden="1" customHeight="1" outlineLevel="1" x14ac:dyDescent="0.2">
      <c r="B115" s="687" t="s">
        <v>305</v>
      </c>
      <c r="C115" s="688"/>
      <c r="D115" s="688"/>
      <c r="E115" s="688"/>
      <c r="F115" s="688"/>
      <c r="G115" s="688"/>
      <c r="H115" s="690"/>
      <c r="I115" s="688"/>
      <c r="J115" s="688"/>
      <c r="K115" s="688"/>
      <c r="L115" s="688"/>
      <c r="M115" s="690"/>
      <c r="N115" s="688"/>
      <c r="O115" s="688"/>
      <c r="P115" s="688"/>
      <c r="Q115" s="688"/>
      <c r="R115" s="690"/>
      <c r="S115" s="688"/>
      <c r="T115" s="688"/>
      <c r="U115" s="688"/>
      <c r="V115" s="688"/>
      <c r="W115" s="690"/>
      <c r="X115" s="688"/>
      <c r="Y115" s="688"/>
      <c r="Z115" s="688"/>
      <c r="AA115" s="688">
        <f>SUM(AA26,AA51)</f>
        <v>137500</v>
      </c>
      <c r="AB115" s="690"/>
      <c r="AC115" s="688">
        <f>SUM(AC26,AC51)</f>
        <v>153600</v>
      </c>
      <c r="AD115" s="688">
        <f>SUM(AD26,AD51)</f>
        <v>166200</v>
      </c>
      <c r="AE115" s="688">
        <f>SUM(AE26,AE51)</f>
        <v>171000</v>
      </c>
      <c r="AF115" s="688">
        <f>SUM(AF26,AF51)</f>
        <v>190700</v>
      </c>
      <c r="AG115" s="690">
        <f>SUM(AC115:AF115)</f>
        <v>681500</v>
      </c>
      <c r="AH115" s="688">
        <f>SUM(AH26,AH51)</f>
        <v>200200</v>
      </c>
      <c r="AI115" s="688">
        <f>SUM(AI26,AI51)</f>
        <v>209000</v>
      </c>
      <c r="AJ115" s="688">
        <f>SUM(AJ26,AJ51)</f>
        <v>212700</v>
      </c>
      <c r="AK115" s="688">
        <f>SUM(AK26,AK51)</f>
        <v>230000</v>
      </c>
      <c r="AL115" s="690">
        <f>SUM(AH115:AK115)</f>
        <v>851900</v>
      </c>
      <c r="AM115" s="688">
        <f>SUM(AM26,AM51)</f>
        <v>241760</v>
      </c>
      <c r="AN115" s="688">
        <f>SUM(AN26,AN51)</f>
        <v>246195</v>
      </c>
      <c r="AO115" s="688">
        <f>SUM(AO26,AO51)</f>
        <v>246483</v>
      </c>
      <c r="AP115" s="688">
        <f>SUM(AP26,AP51)</f>
        <v>270160</v>
      </c>
      <c r="AQ115" s="690">
        <f>SUM(AM115:AP115)</f>
        <v>1004598</v>
      </c>
      <c r="AR115" s="688">
        <f>SUM(AR26,AR51)</f>
        <v>279782</v>
      </c>
      <c r="AS115" s="688">
        <f>SUM(AS26,AS51)</f>
        <v>294628</v>
      </c>
      <c r="AT115" s="688">
        <f>SUM(AT26,AT51)</f>
        <v>288078.49980000011</v>
      </c>
      <c r="AU115" s="688">
        <f>SUM(AU26,AU51)</f>
        <v>314977.46400000004</v>
      </c>
      <c r="AV115" s="690">
        <f>SUM(AR115:AU115)</f>
        <v>1177465.9638</v>
      </c>
      <c r="AW115" s="688">
        <f>SUM(AW26,AW51)</f>
        <v>319231.61009999993</v>
      </c>
      <c r="AX115" s="688">
        <f>SUM(AX26,AX51)</f>
        <v>334273.9719</v>
      </c>
      <c r="AY115" s="688">
        <f>SUM(AY26,AY51)</f>
        <v>328572.72504063009</v>
      </c>
      <c r="AZ115" s="688">
        <f>SUM(AZ26,AZ51)</f>
        <v>357621.44195160002</v>
      </c>
      <c r="BA115" s="690">
        <f>SUM(AW115:AZ115)</f>
        <v>1339699.74899223</v>
      </c>
    </row>
    <row r="116" spans="2:53" s="659" customFormat="1" hidden="1" outlineLevel="1" x14ac:dyDescent="0.2">
      <c r="B116" s="682"/>
      <c r="C116" s="683" t="s">
        <v>83</v>
      </c>
      <c r="D116" s="684"/>
      <c r="E116" s="684"/>
      <c r="F116" s="684"/>
      <c r="G116" s="684"/>
      <c r="H116" s="685"/>
      <c r="I116" s="684"/>
      <c r="J116" s="684"/>
      <c r="K116" s="684"/>
      <c r="L116" s="684"/>
      <c r="M116" s="685"/>
      <c r="N116" s="684"/>
      <c r="O116" s="684"/>
      <c r="P116" s="684"/>
      <c r="Q116" s="684"/>
      <c r="R116" s="685"/>
      <c r="S116" s="684"/>
      <c r="T116" s="684"/>
      <c r="U116" s="684"/>
      <c r="V116" s="684"/>
      <c r="W116" s="685"/>
      <c r="X116" s="684"/>
      <c r="Y116" s="684"/>
      <c r="Z116" s="684"/>
      <c r="AA116" s="684">
        <f>AA115/AA123</f>
        <v>0.78526556253569391</v>
      </c>
      <c r="AB116" s="685"/>
      <c r="AC116" s="684">
        <f t="shared" ref="AC116:AS116" si="407">AC115/AC123</f>
        <v>0.79216090768437342</v>
      </c>
      <c r="AD116" s="684">
        <f t="shared" si="407"/>
        <v>0.79559597893729062</v>
      </c>
      <c r="AE116" s="684">
        <f t="shared" si="407"/>
        <v>0.78656853725850961</v>
      </c>
      <c r="AF116" s="684">
        <f t="shared" si="407"/>
        <v>0.79958071278825993</v>
      </c>
      <c r="AG116" s="685">
        <f t="shared" si="407"/>
        <v>0.79364155118201929</v>
      </c>
      <c r="AH116" s="684">
        <f t="shared" si="407"/>
        <v>0.80240480961923843</v>
      </c>
      <c r="AI116" s="684">
        <f t="shared" si="407"/>
        <v>0.80788558175492853</v>
      </c>
      <c r="AJ116" s="684">
        <f t="shared" si="407"/>
        <v>0.80751708428246016</v>
      </c>
      <c r="AK116" s="684">
        <f t="shared" si="407"/>
        <v>0.81763242090295063</v>
      </c>
      <c r="AL116" s="685">
        <f t="shared" si="407"/>
        <v>0.80909867983664163</v>
      </c>
      <c r="AM116" s="684">
        <f t="shared" ref="AM116:AP116" si="408">AM115/AM123</f>
        <v>0.81991453571186323</v>
      </c>
      <c r="AN116" s="684">
        <f t="shared" si="408"/>
        <v>0.81875322170305465</v>
      </c>
      <c r="AO116" s="684">
        <f t="shared" si="408"/>
        <v>0.81702648143912648</v>
      </c>
      <c r="AP116" s="684">
        <f t="shared" si="408"/>
        <v>0.82983167465290575</v>
      </c>
      <c r="AQ116" s="685">
        <f t="shared" si="407"/>
        <v>0.82155679024663109</v>
      </c>
      <c r="AR116" s="684">
        <f t="shared" si="407"/>
        <v>0.83297705741897454</v>
      </c>
      <c r="AS116" s="684">
        <f t="shared" si="407"/>
        <v>0.83623214731727258</v>
      </c>
      <c r="AT116" s="684">
        <f t="shared" ref="AT116:AV116" si="409">AT115/AT123</f>
        <v>0.82955025503473634</v>
      </c>
      <c r="AU116" s="684">
        <f t="shared" si="409"/>
        <v>0.83894761757241543</v>
      </c>
      <c r="AV116" s="685">
        <f t="shared" si="409"/>
        <v>0.83453521300180122</v>
      </c>
      <c r="AW116" s="684">
        <f t="shared" ref="AW116:BA116" si="410">AW115/AW123</f>
        <v>0.83748685483606844</v>
      </c>
      <c r="AX116" s="684">
        <f t="shared" si="410"/>
        <v>0.84033055207555374</v>
      </c>
      <c r="AY116" s="684">
        <f t="shared" si="410"/>
        <v>0.83473550195472868</v>
      </c>
      <c r="AZ116" s="684">
        <f t="shared" si="410"/>
        <v>0.84350507751019133</v>
      </c>
      <c r="BA116" s="685">
        <f t="shared" si="410"/>
        <v>0.83911519051336425</v>
      </c>
    </row>
    <row r="117" spans="2:53" s="659" customFormat="1" hidden="1" outlineLevel="1" x14ac:dyDescent="0.2">
      <c r="B117" s="682"/>
      <c r="C117" s="683" t="s">
        <v>29</v>
      </c>
      <c r="D117" s="684"/>
      <c r="E117" s="684"/>
      <c r="F117" s="684"/>
      <c r="G117" s="684"/>
      <c r="H117" s="685"/>
      <c r="I117" s="684"/>
      <c r="J117" s="684"/>
      <c r="K117" s="684"/>
      <c r="L117" s="684"/>
      <c r="M117" s="685"/>
      <c r="N117" s="684"/>
      <c r="O117" s="684"/>
      <c r="P117" s="684"/>
      <c r="Q117" s="684"/>
      <c r="R117" s="685"/>
      <c r="S117" s="684"/>
      <c r="T117" s="684"/>
      <c r="U117" s="684"/>
      <c r="V117" s="684"/>
      <c r="W117" s="685"/>
      <c r="X117" s="684"/>
      <c r="Y117" s="684"/>
      <c r="Z117" s="684"/>
      <c r="AA117" s="684"/>
      <c r="AB117" s="685"/>
      <c r="AC117" s="684"/>
      <c r="AD117" s="684"/>
      <c r="AE117" s="684"/>
      <c r="AF117" s="684">
        <f t="shared" ref="AF117" si="411">AF115/AA115-1</f>
        <v>0.38690909090909087</v>
      </c>
      <c r="AG117" s="685"/>
      <c r="AH117" s="684">
        <f t="shared" ref="AH117" si="412">AH115/AC115-1</f>
        <v>0.30338541666666674</v>
      </c>
      <c r="AI117" s="684">
        <f t="shared" ref="AI117" si="413">AI115/AD115-1</f>
        <v>0.25752105896510225</v>
      </c>
      <c r="AJ117" s="684">
        <f t="shared" ref="AJ117" si="414">AJ115/AE115-1</f>
        <v>0.24385964912280711</v>
      </c>
      <c r="AK117" s="684">
        <f t="shared" ref="AK117:AS117" si="415">AK115/AF115-1</f>
        <v>0.20608285264813841</v>
      </c>
      <c r="AL117" s="685">
        <f t="shared" si="415"/>
        <v>0.2500366837857666</v>
      </c>
      <c r="AM117" s="684">
        <f t="shared" si="415"/>
        <v>0.2075924075924076</v>
      </c>
      <c r="AN117" s="684">
        <f t="shared" si="415"/>
        <v>0.17796650717703355</v>
      </c>
      <c r="AO117" s="684">
        <f t="shared" si="415"/>
        <v>0.15882933709449931</v>
      </c>
      <c r="AP117" s="684">
        <f t="shared" si="415"/>
        <v>0.17460869565217396</v>
      </c>
      <c r="AQ117" s="685">
        <f t="shared" ref="AQ117" si="416">AQ115/AL115-1</f>
        <v>0.17924404272801975</v>
      </c>
      <c r="AR117" s="684">
        <f t="shared" si="415"/>
        <v>0.15727167438782264</v>
      </c>
      <c r="AS117" s="684">
        <f t="shared" si="415"/>
        <v>0.19672617234306133</v>
      </c>
      <c r="AT117" s="684">
        <f t="shared" ref="AT117" si="417">AT115/AO115-1</f>
        <v>0.16875605944426231</v>
      </c>
      <c r="AU117" s="684">
        <f t="shared" ref="AU117" si="418">AU115/AP115-1</f>
        <v>0.16589230085875051</v>
      </c>
      <c r="AV117" s="685">
        <f t="shared" ref="AV117" si="419">AV115/AQ115-1</f>
        <v>0.17207675488105689</v>
      </c>
      <c r="AW117" s="684">
        <f t="shared" ref="AW117" si="420">AW115/AR115-1</f>
        <v>0.14100124418297089</v>
      </c>
      <c r="AX117" s="684">
        <f t="shared" ref="AX117" si="421">AX115/AS115-1</f>
        <v>0.13456281107023105</v>
      </c>
      <c r="AY117" s="684">
        <f t="shared" ref="AY117" si="422">AY115/AT115-1</f>
        <v>0.14056663468028097</v>
      </c>
      <c r="AZ117" s="684">
        <f t="shared" ref="AZ117" si="423">AZ115/AU115-1</f>
        <v>0.13538739378382947</v>
      </c>
      <c r="BA117" s="685">
        <f t="shared" ref="BA117" si="424">BA115/AV115-1</f>
        <v>0.13778214418076073</v>
      </c>
    </row>
    <row r="118" spans="2:53" s="659" customFormat="1" hidden="1" outlineLevel="1" x14ac:dyDescent="0.2">
      <c r="B118" s="682"/>
      <c r="C118" s="683" t="s">
        <v>76</v>
      </c>
      <c r="D118" s="684"/>
      <c r="E118" s="684"/>
      <c r="F118" s="684"/>
      <c r="G118" s="684"/>
      <c r="H118" s="686"/>
      <c r="I118" s="684"/>
      <c r="J118" s="684"/>
      <c r="K118" s="684"/>
      <c r="L118" s="684"/>
      <c r="M118" s="686"/>
      <c r="N118" s="684"/>
      <c r="O118" s="684"/>
      <c r="P118" s="684"/>
      <c r="Q118" s="684"/>
      <c r="R118" s="686"/>
      <c r="S118" s="684"/>
      <c r="T118" s="684"/>
      <c r="U118" s="684"/>
      <c r="V118" s="684"/>
      <c r="W118" s="686"/>
      <c r="X118" s="684"/>
      <c r="Y118" s="684"/>
      <c r="Z118" s="684"/>
      <c r="AA118" s="684"/>
      <c r="AB118" s="686"/>
      <c r="AC118" s="684">
        <f>AC115/AA115-1</f>
        <v>0.11709090909090913</v>
      </c>
      <c r="AD118" s="684">
        <f>AD115/AC115-1</f>
        <v>8.203125E-2</v>
      </c>
      <c r="AE118" s="684">
        <f>AE115/AD115-1</f>
        <v>2.8880866425992746E-2</v>
      </c>
      <c r="AF118" s="684">
        <f>AF115/AE115-1</f>
        <v>0.11520467836257309</v>
      </c>
      <c r="AG118" s="686"/>
      <c r="AH118" s="684">
        <f>AH115/AF115-1</f>
        <v>4.9816465652857911E-2</v>
      </c>
      <c r="AI118" s="684">
        <f>AI115/AH115-1</f>
        <v>4.3956043956044022E-2</v>
      </c>
      <c r="AJ118" s="684">
        <f>AJ115/AI115-1</f>
        <v>1.7703349282296665E-2</v>
      </c>
      <c r="AK118" s="684">
        <f>AK115/AJ115-1</f>
        <v>8.1335213916314153E-2</v>
      </c>
      <c r="AL118" s="686"/>
      <c r="AM118" s="684">
        <f>AM115/AK115-1</f>
        <v>5.1130434782608702E-2</v>
      </c>
      <c r="AN118" s="684">
        <f>AN115/AM115-1</f>
        <v>1.834463931171415E-2</v>
      </c>
      <c r="AO118" s="684">
        <f>AO115/AN115-1</f>
        <v>1.1698044233230398E-3</v>
      </c>
      <c r="AP118" s="684">
        <f>AP115/AO115-1</f>
        <v>9.6059363120377439E-2</v>
      </c>
      <c r="AQ118" s="686"/>
      <c r="AR118" s="684">
        <f>AR115/AP115-1</f>
        <v>3.5615931299970427E-2</v>
      </c>
      <c r="AS118" s="684">
        <f>AS115/AR115-1</f>
        <v>5.3062741706042527E-2</v>
      </c>
      <c r="AT118" s="684">
        <f>AT115/AS115-1</f>
        <v>-2.2229727656569942E-2</v>
      </c>
      <c r="AU118" s="684">
        <f>AU115/AT115-1</f>
        <v>9.3373730488997442E-2</v>
      </c>
      <c r="AV118" s="686"/>
      <c r="AW118" s="684">
        <f>AW115/AU115-1</f>
        <v>1.3506191985849236E-2</v>
      </c>
      <c r="AX118" s="684">
        <f>AX115/AW115-1</f>
        <v>4.7120527303947224E-2</v>
      </c>
      <c r="AY118" s="684">
        <f>AY115/AX115-1</f>
        <v>-1.7055611081425948E-2</v>
      </c>
      <c r="AZ118" s="684">
        <f>AZ115/AY115-1</f>
        <v>8.8408789583426017E-2</v>
      </c>
      <c r="BA118" s="686"/>
    </row>
    <row r="119" spans="2:53" s="654" customFormat="1" ht="18.75" hidden="1" customHeight="1" outlineLevel="1" x14ac:dyDescent="0.2">
      <c r="B119" s="691" t="s">
        <v>304</v>
      </c>
      <c r="C119" s="692"/>
      <c r="D119" s="692"/>
      <c r="E119" s="692"/>
      <c r="F119" s="692"/>
      <c r="G119" s="708"/>
      <c r="H119" s="709"/>
      <c r="I119" s="692"/>
      <c r="J119" s="692"/>
      <c r="K119" s="692"/>
      <c r="L119" s="708"/>
      <c r="M119" s="709"/>
      <c r="N119" s="692"/>
      <c r="O119" s="692"/>
      <c r="P119" s="692"/>
      <c r="Q119" s="708"/>
      <c r="R119" s="709"/>
      <c r="S119" s="692"/>
      <c r="T119" s="692"/>
      <c r="U119" s="692"/>
      <c r="V119" s="708"/>
      <c r="W119" s="709"/>
      <c r="X119" s="692"/>
      <c r="Y119" s="692"/>
      <c r="Z119" s="692"/>
      <c r="AA119" s="708">
        <f>AA11</f>
        <v>37600</v>
      </c>
      <c r="AB119" s="709"/>
      <c r="AC119" s="692">
        <f>AC11</f>
        <v>40300</v>
      </c>
      <c r="AD119" s="692">
        <f>AD11</f>
        <v>42700</v>
      </c>
      <c r="AE119" s="692">
        <f>AE11</f>
        <v>46400</v>
      </c>
      <c r="AF119" s="708">
        <f>AF11</f>
        <v>47800</v>
      </c>
      <c r="AG119" s="709">
        <f>SUM(AC119:AF119)</f>
        <v>177200</v>
      </c>
      <c r="AH119" s="692">
        <f>AH11</f>
        <v>49300</v>
      </c>
      <c r="AI119" s="692">
        <f>AI11</f>
        <v>49700</v>
      </c>
      <c r="AJ119" s="692">
        <f>AJ11</f>
        <v>50700</v>
      </c>
      <c r="AK119" s="708">
        <f>AK11</f>
        <v>51300</v>
      </c>
      <c r="AL119" s="709">
        <f>SUM(AH119:AK119)</f>
        <v>201000</v>
      </c>
      <c r="AM119" s="692">
        <f>AM11</f>
        <v>53100</v>
      </c>
      <c r="AN119" s="692">
        <f>AN11</f>
        <v>54500</v>
      </c>
      <c r="AO119" s="692">
        <f>AO11</f>
        <v>55200</v>
      </c>
      <c r="AP119" s="708">
        <f>AP11</f>
        <v>55400</v>
      </c>
      <c r="AQ119" s="709">
        <f>SUM(AM119:AP119)</f>
        <v>218200</v>
      </c>
      <c r="AR119" s="692">
        <f>AR11</f>
        <v>56100</v>
      </c>
      <c r="AS119" s="692">
        <f>AS11</f>
        <v>57700</v>
      </c>
      <c r="AT119" s="692">
        <f>AT11</f>
        <v>59192.202669902923</v>
      </c>
      <c r="AU119" s="708">
        <f>AU11</f>
        <v>60466.07669616519</v>
      </c>
      <c r="AV119" s="709">
        <f>SUM(AR119:AU119)</f>
        <v>233458.27936606813</v>
      </c>
      <c r="AW119" s="692">
        <f>AW11</f>
        <v>61946.444524495681</v>
      </c>
      <c r="AX119" s="692">
        <f>AX11</f>
        <v>63514.697183098586</v>
      </c>
      <c r="AY119" s="692">
        <f>AY11</f>
        <v>65052.230734223296</v>
      </c>
      <c r="AZ119" s="708">
        <f>AZ11</f>
        <v>66349.262536873153</v>
      </c>
      <c r="BA119" s="709">
        <f>SUM(AW119:AZ119)</f>
        <v>256862.63497869071</v>
      </c>
    </row>
    <row r="120" spans="2:53" s="659" customFormat="1" hidden="1" outlineLevel="1" x14ac:dyDescent="0.2">
      <c r="B120" s="699"/>
      <c r="C120" s="700" t="s">
        <v>83</v>
      </c>
      <c r="D120" s="701"/>
      <c r="E120" s="701"/>
      <c r="F120" s="701"/>
      <c r="G120" s="701"/>
      <c r="H120" s="702"/>
      <c r="I120" s="701"/>
      <c r="J120" s="701"/>
      <c r="K120" s="701"/>
      <c r="L120" s="701"/>
      <c r="M120" s="702"/>
      <c r="N120" s="701"/>
      <c r="O120" s="701"/>
      <c r="P120" s="701"/>
      <c r="Q120" s="701"/>
      <c r="R120" s="702"/>
      <c r="S120" s="701"/>
      <c r="T120" s="701"/>
      <c r="U120" s="701"/>
      <c r="V120" s="701"/>
      <c r="W120" s="702"/>
      <c r="X120" s="701"/>
      <c r="Y120" s="701"/>
      <c r="Z120" s="701"/>
      <c r="AA120" s="701">
        <f>AA119/AA123</f>
        <v>0.21473443746430612</v>
      </c>
      <c r="AB120" s="702"/>
      <c r="AC120" s="701">
        <f t="shared" ref="AC120:AS120" si="425">AC119/AC123</f>
        <v>0.20783909231562661</v>
      </c>
      <c r="AD120" s="701">
        <f t="shared" si="425"/>
        <v>0.20440402106270944</v>
      </c>
      <c r="AE120" s="701">
        <f t="shared" si="425"/>
        <v>0.21343146274149033</v>
      </c>
      <c r="AF120" s="701">
        <f t="shared" si="425"/>
        <v>0.20041928721174004</v>
      </c>
      <c r="AG120" s="702">
        <f t="shared" si="425"/>
        <v>0.20635844881798066</v>
      </c>
      <c r="AH120" s="701">
        <f t="shared" si="425"/>
        <v>0.19759519038076151</v>
      </c>
      <c r="AI120" s="701">
        <f t="shared" si="425"/>
        <v>0.1921144182450715</v>
      </c>
      <c r="AJ120" s="701">
        <f t="shared" si="425"/>
        <v>0.19248291571753987</v>
      </c>
      <c r="AK120" s="701">
        <f t="shared" si="425"/>
        <v>0.18236757909704943</v>
      </c>
      <c r="AL120" s="702">
        <f t="shared" si="425"/>
        <v>0.19090132016335834</v>
      </c>
      <c r="AM120" s="701">
        <f t="shared" ref="AM120:AP120" si="426">AM119/AM123</f>
        <v>0.18008546428813674</v>
      </c>
      <c r="AN120" s="701">
        <f t="shared" si="426"/>
        <v>0.18124677829694541</v>
      </c>
      <c r="AO120" s="701">
        <f t="shared" si="426"/>
        <v>0.18297351856087349</v>
      </c>
      <c r="AP120" s="701">
        <f t="shared" si="426"/>
        <v>0.17016832534709425</v>
      </c>
      <c r="AQ120" s="702">
        <f t="shared" si="425"/>
        <v>0.17844320975336891</v>
      </c>
      <c r="AR120" s="701">
        <f t="shared" si="425"/>
        <v>0.16702294258102549</v>
      </c>
      <c r="AS120" s="701">
        <f t="shared" si="425"/>
        <v>0.16376785268272745</v>
      </c>
      <c r="AT120" s="701">
        <f t="shared" ref="AT120:AV120" si="427">AT119/AT123</f>
        <v>0.17044974496526363</v>
      </c>
      <c r="AU120" s="701">
        <f t="shared" si="427"/>
        <v>0.16105238242758452</v>
      </c>
      <c r="AV120" s="702">
        <f t="shared" si="427"/>
        <v>0.16546478699819864</v>
      </c>
      <c r="AW120" s="701">
        <f t="shared" ref="AW120:BA120" si="428">AW119/AW123</f>
        <v>0.16251314516393153</v>
      </c>
      <c r="AX120" s="701">
        <f t="shared" si="428"/>
        <v>0.15966944792444623</v>
      </c>
      <c r="AY120" s="701">
        <f t="shared" si="428"/>
        <v>0.16526449804527141</v>
      </c>
      <c r="AZ120" s="701">
        <f t="shared" si="428"/>
        <v>0.15649492248980859</v>
      </c>
      <c r="BA120" s="702">
        <f t="shared" si="428"/>
        <v>0.16088480948663583</v>
      </c>
    </row>
    <row r="121" spans="2:53" s="659" customFormat="1" hidden="1" outlineLevel="1" x14ac:dyDescent="0.2">
      <c r="B121" s="699"/>
      <c r="C121" s="700" t="s">
        <v>29</v>
      </c>
      <c r="D121" s="701"/>
      <c r="E121" s="701"/>
      <c r="F121" s="701"/>
      <c r="G121" s="701"/>
      <c r="H121" s="702"/>
      <c r="I121" s="701"/>
      <c r="J121" s="701"/>
      <c r="K121" s="701"/>
      <c r="L121" s="701"/>
      <c r="M121" s="702"/>
      <c r="N121" s="701"/>
      <c r="O121" s="701"/>
      <c r="P121" s="701"/>
      <c r="Q121" s="701"/>
      <c r="R121" s="702"/>
      <c r="S121" s="701"/>
      <c r="T121" s="701"/>
      <c r="U121" s="701"/>
      <c r="V121" s="701"/>
      <c r="W121" s="702"/>
      <c r="X121" s="701"/>
      <c r="Y121" s="701"/>
      <c r="Z121" s="701"/>
      <c r="AA121" s="701"/>
      <c r="AB121" s="702"/>
      <c r="AC121" s="701"/>
      <c r="AD121" s="701"/>
      <c r="AE121" s="701"/>
      <c r="AF121" s="701">
        <f t="shared" ref="AF121" si="429">AF119/AA119-1</f>
        <v>0.27127659574468077</v>
      </c>
      <c r="AG121" s="702"/>
      <c r="AH121" s="701">
        <f t="shared" ref="AH121" si="430">AH119/AC119-1</f>
        <v>0.22332506203473956</v>
      </c>
      <c r="AI121" s="701">
        <f t="shared" ref="AI121" si="431">AI119/AD119-1</f>
        <v>0.16393442622950816</v>
      </c>
      <c r="AJ121" s="701">
        <f t="shared" ref="AJ121" si="432">AJ119/AE119-1</f>
        <v>9.2672413793103425E-2</v>
      </c>
      <c r="AK121" s="701">
        <f t="shared" ref="AK121:AS121" si="433">AK119/AF119-1</f>
        <v>7.322175732217584E-2</v>
      </c>
      <c r="AL121" s="702">
        <f t="shared" si="433"/>
        <v>0.13431151241534978</v>
      </c>
      <c r="AM121" s="701">
        <f t="shared" si="433"/>
        <v>7.7079107505070965E-2</v>
      </c>
      <c r="AN121" s="701">
        <f t="shared" si="433"/>
        <v>9.6579476861166969E-2</v>
      </c>
      <c r="AO121" s="701">
        <f t="shared" si="433"/>
        <v>8.8757396449704151E-2</v>
      </c>
      <c r="AP121" s="701">
        <f t="shared" si="433"/>
        <v>7.9922027290448394E-2</v>
      </c>
      <c r="AQ121" s="702">
        <f t="shared" ref="AQ121" si="434">AQ119/AL119-1</f>
        <v>8.5572139303482508E-2</v>
      </c>
      <c r="AR121" s="701">
        <f t="shared" si="433"/>
        <v>5.6497175141242861E-2</v>
      </c>
      <c r="AS121" s="701">
        <f t="shared" si="433"/>
        <v>5.8715596330275233E-2</v>
      </c>
      <c r="AT121" s="701">
        <f t="shared" ref="AT121" si="435">AT119/AO119-1</f>
        <v>7.2322512135922556E-2</v>
      </c>
      <c r="AU121" s="701">
        <f t="shared" ref="AU121" si="436">AU119/AP119-1</f>
        <v>9.1445427728613637E-2</v>
      </c>
      <c r="AV121" s="702">
        <f t="shared" ref="AV121" si="437">AV119/AQ119-1</f>
        <v>6.9927953098387396E-2</v>
      </c>
      <c r="AW121" s="701">
        <f t="shared" ref="AW121" si="438">AW119/AR119-1</f>
        <v>0.10421469740634004</v>
      </c>
      <c r="AX121" s="701">
        <f t="shared" ref="AX121" si="439">AX119/AS119-1</f>
        <v>0.10077464788732393</v>
      </c>
      <c r="AY121" s="701">
        <f t="shared" ref="AY121" si="440">AY119/AT119-1</f>
        <v>9.8999999999999755E-2</v>
      </c>
      <c r="AZ121" s="701">
        <f t="shared" ref="AZ121" si="441">AZ119/AU119-1</f>
        <v>9.7297297297297192E-2</v>
      </c>
      <c r="BA121" s="702">
        <f t="shared" ref="BA121" si="442">BA119/AV119-1</f>
        <v>0.10025069865234459</v>
      </c>
    </row>
    <row r="122" spans="2:53" s="659" customFormat="1" hidden="1" outlineLevel="1" x14ac:dyDescent="0.2">
      <c r="B122" s="699"/>
      <c r="C122" s="700" t="s">
        <v>76</v>
      </c>
      <c r="D122" s="701"/>
      <c r="E122" s="701"/>
      <c r="F122" s="701"/>
      <c r="G122" s="701"/>
      <c r="H122" s="703"/>
      <c r="I122" s="701"/>
      <c r="J122" s="701"/>
      <c r="K122" s="701"/>
      <c r="L122" s="701"/>
      <c r="M122" s="703"/>
      <c r="N122" s="701"/>
      <c r="O122" s="701"/>
      <c r="P122" s="701"/>
      <c r="Q122" s="701"/>
      <c r="R122" s="703"/>
      <c r="S122" s="701"/>
      <c r="T122" s="701"/>
      <c r="U122" s="701"/>
      <c r="V122" s="701"/>
      <c r="W122" s="703"/>
      <c r="X122" s="701"/>
      <c r="Y122" s="701"/>
      <c r="Z122" s="701"/>
      <c r="AA122" s="701"/>
      <c r="AB122" s="703"/>
      <c r="AC122" s="701">
        <f>AC119/AA119-1</f>
        <v>7.1808510638297962E-2</v>
      </c>
      <c r="AD122" s="701">
        <f>AD119/AC119-1</f>
        <v>5.9553349875930417E-2</v>
      </c>
      <c r="AE122" s="701">
        <f>AE119/AD119-1</f>
        <v>8.6651053864168714E-2</v>
      </c>
      <c r="AF122" s="701">
        <f>AF119/AE119-1</f>
        <v>3.0172413793103425E-2</v>
      </c>
      <c r="AG122" s="703"/>
      <c r="AH122" s="701">
        <f>AH119/AF119-1</f>
        <v>3.1380753138075423E-2</v>
      </c>
      <c r="AI122" s="701">
        <f>AI119/AH119-1</f>
        <v>8.113590263691739E-3</v>
      </c>
      <c r="AJ122" s="701">
        <f>AJ119/AI119-1</f>
        <v>2.0120724346076369E-2</v>
      </c>
      <c r="AK122" s="701">
        <f>AK119/AJ119-1</f>
        <v>1.1834319526627279E-2</v>
      </c>
      <c r="AL122" s="703"/>
      <c r="AM122" s="701">
        <f>AM119/AK119-1</f>
        <v>3.5087719298245723E-2</v>
      </c>
      <c r="AN122" s="701">
        <f>AN119/AM119-1</f>
        <v>2.6365348399246757E-2</v>
      </c>
      <c r="AO122" s="701">
        <f>AO119/AN119-1</f>
        <v>1.2844036697247763E-2</v>
      </c>
      <c r="AP122" s="701">
        <f>AP119/AO119-1</f>
        <v>3.6231884057971175E-3</v>
      </c>
      <c r="AQ122" s="703"/>
      <c r="AR122" s="701">
        <f>AR119/AP119-1</f>
        <v>1.2635379061371799E-2</v>
      </c>
      <c r="AS122" s="701">
        <f>AS119/AR119-1</f>
        <v>2.8520499108734443E-2</v>
      </c>
      <c r="AT122" s="701">
        <f>AT119/AS119-1</f>
        <v>2.586139809190513E-2</v>
      </c>
      <c r="AU122" s="701">
        <f>AU119/AT119-1</f>
        <v>2.1520976899039868E-2</v>
      </c>
      <c r="AV122" s="703"/>
      <c r="AW122" s="701">
        <f>AW119/AU119-1</f>
        <v>2.4482617514100635E-2</v>
      </c>
      <c r="AX122" s="701">
        <f>AX119/AW119-1</f>
        <v>2.5316265859015807E-2</v>
      </c>
      <c r="AY122" s="701">
        <f>AY119/AX119-1</f>
        <v>2.4207523916745632E-2</v>
      </c>
      <c r="AZ122" s="701">
        <f>AZ119/AY119-1</f>
        <v>1.9938313998008717E-2</v>
      </c>
      <c r="BA122" s="703"/>
    </row>
    <row r="123" spans="2:53" s="654" customFormat="1" ht="18.75" hidden="1" customHeight="1" outlineLevel="1" x14ac:dyDescent="0.2">
      <c r="B123" s="710" t="s">
        <v>34</v>
      </c>
      <c r="C123" s="711"/>
      <c r="D123" s="711"/>
      <c r="E123" s="711"/>
      <c r="F123" s="711"/>
      <c r="G123" s="711"/>
      <c r="H123" s="712"/>
      <c r="I123" s="711"/>
      <c r="J123" s="711"/>
      <c r="K123" s="711"/>
      <c r="L123" s="711"/>
      <c r="M123" s="712"/>
      <c r="N123" s="711"/>
      <c r="O123" s="711"/>
      <c r="P123" s="711"/>
      <c r="Q123" s="711"/>
      <c r="R123" s="712"/>
      <c r="S123" s="711"/>
      <c r="T123" s="711"/>
      <c r="U123" s="711"/>
      <c r="V123" s="711"/>
      <c r="W123" s="712"/>
      <c r="X123" s="711"/>
      <c r="Y123" s="711"/>
      <c r="Z123" s="711"/>
      <c r="AA123" s="711">
        <f>AA115+AA119</f>
        <v>175100</v>
      </c>
      <c r="AB123" s="712"/>
      <c r="AC123" s="711">
        <f t="shared" ref="AC123:AE123" si="443">AC115+AC119</f>
        <v>193900</v>
      </c>
      <c r="AD123" s="711">
        <f t="shared" si="443"/>
        <v>208900</v>
      </c>
      <c r="AE123" s="711">
        <f t="shared" si="443"/>
        <v>217400</v>
      </c>
      <c r="AF123" s="711">
        <f>AF115+AF119</f>
        <v>238500</v>
      </c>
      <c r="AG123" s="712">
        <f>SUM(AC123:AF123)</f>
        <v>858700</v>
      </c>
      <c r="AH123" s="711">
        <f t="shared" ref="AH123:AJ123" si="444">AH115+AH119</f>
        <v>249500</v>
      </c>
      <c r="AI123" s="711">
        <f>AI115+AI119</f>
        <v>258700</v>
      </c>
      <c r="AJ123" s="711">
        <f t="shared" si="444"/>
        <v>263400</v>
      </c>
      <c r="AK123" s="711">
        <f>AK115+AK119</f>
        <v>281300</v>
      </c>
      <c r="AL123" s="712">
        <f>SUM(AH123:AK123)</f>
        <v>1052900</v>
      </c>
      <c r="AM123" s="711">
        <f t="shared" ref="AM123" si="445">AM115+AM119</f>
        <v>294860</v>
      </c>
      <c r="AN123" s="711">
        <f>AN115+AN119</f>
        <v>300695</v>
      </c>
      <c r="AO123" s="711">
        <f t="shared" ref="AO123" si="446">AO115+AO119</f>
        <v>301683</v>
      </c>
      <c r="AP123" s="711">
        <f>AP115+AP119</f>
        <v>325560</v>
      </c>
      <c r="AQ123" s="712">
        <f>SUM(AM123:AP123)</f>
        <v>1222798</v>
      </c>
      <c r="AR123" s="711">
        <f t="shared" ref="AR123" si="447">AR115+AR119</f>
        <v>335882</v>
      </c>
      <c r="AS123" s="711">
        <f>AS115+AS119</f>
        <v>352328</v>
      </c>
      <c r="AT123" s="711">
        <f t="shared" ref="AT123" si="448">AT115+AT119</f>
        <v>347270.70246990304</v>
      </c>
      <c r="AU123" s="711">
        <f>AU115+AU119</f>
        <v>375443.54069616523</v>
      </c>
      <c r="AV123" s="712">
        <f>SUM(AR123:AU123)</f>
        <v>1410924.2431660683</v>
      </c>
      <c r="AW123" s="711">
        <f t="shared" ref="AW123:AY123" si="449">AW115+AW119</f>
        <v>381178.05462449562</v>
      </c>
      <c r="AX123" s="711">
        <f t="shared" si="449"/>
        <v>397788.66908309859</v>
      </c>
      <c r="AY123" s="711">
        <f t="shared" si="449"/>
        <v>393624.95577485336</v>
      </c>
      <c r="AZ123" s="711">
        <f>AZ115+AZ119</f>
        <v>423970.70448847319</v>
      </c>
      <c r="BA123" s="712">
        <f>SUM(AW123:AZ123)</f>
        <v>1596562.3839709207</v>
      </c>
    </row>
    <row r="124" spans="2:53" s="659" customFormat="1" hidden="1" outlineLevel="1" x14ac:dyDescent="0.2">
      <c r="B124" s="713"/>
      <c r="C124" s="714" t="s">
        <v>29</v>
      </c>
      <c r="D124" s="715"/>
      <c r="E124" s="715"/>
      <c r="F124" s="715"/>
      <c r="G124" s="715"/>
      <c r="H124" s="716"/>
      <c r="I124" s="715"/>
      <c r="J124" s="715"/>
      <c r="K124" s="715"/>
      <c r="L124" s="715"/>
      <c r="M124" s="716"/>
      <c r="N124" s="715"/>
      <c r="O124" s="715"/>
      <c r="P124" s="715"/>
      <c r="Q124" s="715"/>
      <c r="R124" s="716"/>
      <c r="S124" s="715"/>
      <c r="T124" s="715"/>
      <c r="U124" s="715"/>
      <c r="V124" s="715"/>
      <c r="W124" s="716"/>
      <c r="X124" s="715"/>
      <c r="Y124" s="715"/>
      <c r="Z124" s="715"/>
      <c r="AA124" s="715"/>
      <c r="AB124" s="716"/>
      <c r="AC124" s="715"/>
      <c r="AD124" s="715"/>
      <c r="AE124" s="715"/>
      <c r="AF124" s="715">
        <f t="shared" ref="AF124" si="450">AF123/AA123-1</f>
        <v>0.36207881210736725</v>
      </c>
      <c r="AG124" s="716"/>
      <c r="AH124" s="715">
        <f t="shared" ref="AH124" si="451">AH123/AC123-1</f>
        <v>0.28674574522949969</v>
      </c>
      <c r="AI124" s="715">
        <f t="shared" ref="AI124" si="452">AI123/AD123-1</f>
        <v>0.23839157491622776</v>
      </c>
      <c r="AJ124" s="715">
        <f t="shared" ref="AJ124" si="453">AJ123/AE123-1</f>
        <v>0.21159153633854655</v>
      </c>
      <c r="AK124" s="715">
        <f t="shared" ref="AK124:AS124" si="454">AK123/AF123-1</f>
        <v>0.17945492662473805</v>
      </c>
      <c r="AL124" s="716">
        <f t="shared" si="454"/>
        <v>0.22615581693257258</v>
      </c>
      <c r="AM124" s="715">
        <f t="shared" si="454"/>
        <v>0.1818036072144289</v>
      </c>
      <c r="AN124" s="715">
        <f t="shared" si="454"/>
        <v>0.16233088519520678</v>
      </c>
      <c r="AO124" s="715">
        <f t="shared" si="454"/>
        <v>0.14534168564920269</v>
      </c>
      <c r="AP124" s="715">
        <f t="shared" si="454"/>
        <v>0.15734091717028087</v>
      </c>
      <c r="AQ124" s="716">
        <f t="shared" ref="AQ124" si="455">AQ123/AL123-1</f>
        <v>0.16136195270206088</v>
      </c>
      <c r="AR124" s="715">
        <f t="shared" si="454"/>
        <v>0.13912365190259779</v>
      </c>
      <c r="AS124" s="715">
        <f t="shared" si="454"/>
        <v>0.17171220006983812</v>
      </c>
      <c r="AT124" s="715">
        <f t="shared" ref="AT124" si="456">AT123/AO123-1</f>
        <v>0.15111127398594904</v>
      </c>
      <c r="AU124" s="715">
        <f t="shared" ref="AU124" si="457">AU123/AP123-1</f>
        <v>0.15322380113086753</v>
      </c>
      <c r="AV124" s="716">
        <f t="shared" ref="AV124" si="458">AV123/AQ123-1</f>
        <v>0.1538489948184969</v>
      </c>
      <c r="AW124" s="715">
        <f t="shared" ref="AW124" si="459">AW123/AR123-1</f>
        <v>0.13485704689294331</v>
      </c>
      <c r="AX124" s="715">
        <f t="shared" ref="AX124" si="460">AX123/AS123-1</f>
        <v>0.12902939613967268</v>
      </c>
      <c r="AY124" s="715">
        <f t="shared" ref="AY124" si="461">AY123/AT123-1</f>
        <v>0.13348161239996248</v>
      </c>
      <c r="AZ124" s="715">
        <f t="shared" ref="AZ124" si="462">AZ123/AU123-1</f>
        <v>0.12925289299777698</v>
      </c>
      <c r="BA124" s="716">
        <f t="shared" ref="BA124" si="463">BA123/AV123-1</f>
        <v>0.13157201154066667</v>
      </c>
    </row>
    <row r="125" spans="2:53" s="659" customFormat="1" ht="13.5" hidden="1" outlineLevel="1" thickBot="1" x14ac:dyDescent="0.25">
      <c r="B125" s="717"/>
      <c r="C125" s="718" t="s">
        <v>76</v>
      </c>
      <c r="D125" s="719"/>
      <c r="E125" s="719"/>
      <c r="F125" s="719"/>
      <c r="G125" s="719"/>
      <c r="H125" s="720"/>
      <c r="I125" s="719"/>
      <c r="J125" s="719"/>
      <c r="K125" s="719"/>
      <c r="L125" s="719"/>
      <c r="M125" s="720"/>
      <c r="N125" s="719"/>
      <c r="O125" s="719"/>
      <c r="P125" s="719"/>
      <c r="Q125" s="719"/>
      <c r="R125" s="720"/>
      <c r="S125" s="719"/>
      <c r="T125" s="719"/>
      <c r="U125" s="719"/>
      <c r="V125" s="719"/>
      <c r="W125" s="720"/>
      <c r="X125" s="719"/>
      <c r="Y125" s="719"/>
      <c r="Z125" s="719"/>
      <c r="AA125" s="719"/>
      <c r="AB125" s="720"/>
      <c r="AC125" s="719">
        <f>AC123/AA123-1</f>
        <v>0.10736721873215305</v>
      </c>
      <c r="AD125" s="719">
        <f>AD123/AC123-1</f>
        <v>7.7359463641052173E-2</v>
      </c>
      <c r="AE125" s="719">
        <f>AE123/AD123-1</f>
        <v>4.0689325035902391E-2</v>
      </c>
      <c r="AF125" s="719">
        <f>AF123/AE123-1</f>
        <v>9.7056117755289772E-2</v>
      </c>
      <c r="AG125" s="720"/>
      <c r="AH125" s="719">
        <f>AH123/AF123-1</f>
        <v>4.6121593291404528E-2</v>
      </c>
      <c r="AI125" s="719">
        <f>AI123/AH123-1</f>
        <v>3.6873747494990061E-2</v>
      </c>
      <c r="AJ125" s="719">
        <f>AJ123/AI123-1</f>
        <v>1.8167761886354938E-2</v>
      </c>
      <c r="AK125" s="719">
        <f>AK123/AJ123-1</f>
        <v>6.7957479119210351E-2</v>
      </c>
      <c r="AL125" s="720"/>
      <c r="AM125" s="719">
        <f>AM123/AK123-1</f>
        <v>4.8204763597582634E-2</v>
      </c>
      <c r="AN125" s="719">
        <f>AN123/AM123-1</f>
        <v>1.9789052431662402E-2</v>
      </c>
      <c r="AO125" s="719">
        <f>AO123/AN123-1</f>
        <v>3.2857214120620704E-3</v>
      </c>
      <c r="AP125" s="719">
        <f>AP123/AO123-1</f>
        <v>7.914599099054298E-2</v>
      </c>
      <c r="AQ125" s="720"/>
      <c r="AR125" s="719">
        <f>AR123/AP123-1</f>
        <v>3.1705369209976686E-2</v>
      </c>
      <c r="AS125" s="719">
        <f>AS123/AR123-1</f>
        <v>4.8963624129902739E-2</v>
      </c>
      <c r="AT125" s="719">
        <f>AT123/AS123-1</f>
        <v>-1.4353947259647115E-2</v>
      </c>
      <c r="AU125" s="719">
        <f>AU123/AT123-1</f>
        <v>8.1126446964537191E-2</v>
      </c>
      <c r="AV125" s="720"/>
      <c r="AW125" s="719">
        <f>AW123/AU123-1</f>
        <v>1.5273971467713032E-2</v>
      </c>
      <c r="AX125" s="719">
        <f>AX123/AW123-1</f>
        <v>4.357704819855468E-2</v>
      </c>
      <c r="AY125" s="719">
        <f>AY123/AX123-1</f>
        <v>-1.0467149096636152E-2</v>
      </c>
      <c r="AZ125" s="719">
        <f>AZ123/AY123-1</f>
        <v>7.7093050804881047E-2</v>
      </c>
      <c r="BA125" s="720"/>
    </row>
    <row r="126" spans="2:53" collapsed="1" x14ac:dyDescent="0.2"/>
    <row r="127" spans="2:53" ht="13.5" thickBot="1" x14ac:dyDescent="0.25"/>
    <row r="128" spans="2:53" ht="13.5" thickBot="1" x14ac:dyDescent="0.25">
      <c r="B128" s="868" t="s">
        <v>34</v>
      </c>
      <c r="C128" s="869"/>
      <c r="D128" s="670" t="str">
        <f t="shared" ref="D128:AV128" si="464">D3</f>
        <v>1Q18</v>
      </c>
      <c r="E128" s="670" t="str">
        <f t="shared" si="464"/>
        <v>2Q18</v>
      </c>
      <c r="F128" s="670" t="str">
        <f t="shared" si="464"/>
        <v>3Q18</v>
      </c>
      <c r="G128" s="670" t="str">
        <f t="shared" si="464"/>
        <v>4Q18</v>
      </c>
      <c r="H128" s="671">
        <f t="shared" si="464"/>
        <v>2018</v>
      </c>
      <c r="I128" s="670" t="str">
        <f t="shared" si="464"/>
        <v>1Q19</v>
      </c>
      <c r="J128" s="670" t="str">
        <f t="shared" si="464"/>
        <v>2Q19</v>
      </c>
      <c r="K128" s="670" t="str">
        <f t="shared" si="464"/>
        <v>3Q19</v>
      </c>
      <c r="L128" s="670" t="str">
        <f t="shared" si="464"/>
        <v>4Q19</v>
      </c>
      <c r="M128" s="671">
        <f t="shared" si="464"/>
        <v>2019</v>
      </c>
      <c r="N128" s="670" t="str">
        <f t="shared" si="464"/>
        <v>1Q20</v>
      </c>
      <c r="O128" s="670" t="str">
        <f t="shared" si="464"/>
        <v>2Q20</v>
      </c>
      <c r="P128" s="670" t="str">
        <f t="shared" si="464"/>
        <v>3Q20</v>
      </c>
      <c r="Q128" s="670" t="str">
        <f t="shared" si="464"/>
        <v>4Q20</v>
      </c>
      <c r="R128" s="671">
        <f t="shared" si="464"/>
        <v>2020</v>
      </c>
      <c r="S128" s="670" t="str">
        <f t="shared" si="464"/>
        <v>1Q21</v>
      </c>
      <c r="T128" s="670" t="str">
        <f t="shared" si="464"/>
        <v>2Q21</v>
      </c>
      <c r="U128" s="670" t="str">
        <f t="shared" si="464"/>
        <v>3Q21</v>
      </c>
      <c r="V128" s="670" t="str">
        <f t="shared" si="464"/>
        <v>4Q21</v>
      </c>
      <c r="W128" s="671">
        <f t="shared" si="464"/>
        <v>2021</v>
      </c>
      <c r="X128" s="670" t="str">
        <f t="shared" si="464"/>
        <v>1Q22</v>
      </c>
      <c r="Y128" s="670" t="str">
        <f t="shared" si="464"/>
        <v>2Q22</v>
      </c>
      <c r="Z128" s="670" t="str">
        <f t="shared" si="464"/>
        <v>3Q22</v>
      </c>
      <c r="AA128" s="670" t="str">
        <f t="shared" si="464"/>
        <v>4Q22</v>
      </c>
      <c r="AB128" s="671">
        <f t="shared" si="464"/>
        <v>2022</v>
      </c>
      <c r="AC128" s="670" t="str">
        <f t="shared" si="464"/>
        <v>1Q23</v>
      </c>
      <c r="AD128" s="670" t="str">
        <f t="shared" si="464"/>
        <v>2Q23</v>
      </c>
      <c r="AE128" s="670" t="str">
        <f t="shared" si="464"/>
        <v>3Q23</v>
      </c>
      <c r="AF128" s="670" t="str">
        <f t="shared" si="464"/>
        <v>4Q23</v>
      </c>
      <c r="AG128" s="671">
        <f t="shared" si="464"/>
        <v>2023</v>
      </c>
      <c r="AH128" s="670" t="str">
        <f t="shared" si="464"/>
        <v>1Q24</v>
      </c>
      <c r="AI128" s="670" t="str">
        <f t="shared" si="464"/>
        <v>2Q24</v>
      </c>
      <c r="AJ128" s="670" t="str">
        <f t="shared" si="464"/>
        <v>3Q24</v>
      </c>
      <c r="AK128" s="670" t="str">
        <f t="shared" si="464"/>
        <v>4Q24</v>
      </c>
      <c r="AL128" s="671">
        <f t="shared" si="464"/>
        <v>2024</v>
      </c>
      <c r="AM128" s="670" t="str">
        <f t="shared" si="464"/>
        <v>1Q25</v>
      </c>
      <c r="AN128" s="670" t="str">
        <f t="shared" si="464"/>
        <v>2Q25</v>
      </c>
      <c r="AO128" s="670" t="str">
        <f t="shared" si="464"/>
        <v>3Q25</v>
      </c>
      <c r="AP128" s="670" t="str">
        <f t="shared" si="464"/>
        <v>4Q25</v>
      </c>
      <c r="AQ128" s="671">
        <f t="shared" si="464"/>
        <v>2025</v>
      </c>
      <c r="AR128" s="670" t="str">
        <f t="shared" ref="AR128:AS128" si="465">AR3</f>
        <v>1Q26</v>
      </c>
      <c r="AS128" s="670" t="str">
        <f t="shared" si="465"/>
        <v>2Q26</v>
      </c>
      <c r="AT128" s="670" t="str">
        <f t="shared" si="464"/>
        <v>3Q26E</v>
      </c>
      <c r="AU128" s="670" t="str">
        <f t="shared" si="464"/>
        <v>4Q26E</v>
      </c>
      <c r="AV128" s="671" t="str">
        <f t="shared" si="464"/>
        <v>2026E</v>
      </c>
      <c r="AW128" s="670" t="str">
        <f t="shared" ref="AW128:BA128" si="466">AW3</f>
        <v>1Q27E</v>
      </c>
      <c r="AX128" s="670" t="str">
        <f t="shared" si="466"/>
        <v>2Q27E</v>
      </c>
      <c r="AY128" s="670" t="str">
        <f t="shared" si="466"/>
        <v>3Q27E</v>
      </c>
      <c r="AZ128" s="670" t="str">
        <f t="shared" si="466"/>
        <v>4Q27E</v>
      </c>
      <c r="BA128" s="671" t="str">
        <f t="shared" si="466"/>
        <v>2027E</v>
      </c>
    </row>
    <row r="129" spans="2:53" s="654" customFormat="1" ht="19.5" customHeight="1" outlineLevel="1" x14ac:dyDescent="0.2">
      <c r="B129" s="691" t="s">
        <v>290</v>
      </c>
      <c r="C129" s="692"/>
      <c r="D129" s="693"/>
      <c r="E129" s="693"/>
      <c r="F129" s="693"/>
      <c r="G129" s="693"/>
      <c r="H129" s="694"/>
      <c r="I129" s="693"/>
      <c r="J129" s="693"/>
      <c r="K129" s="693"/>
      <c r="L129" s="693"/>
      <c r="M129" s="694"/>
      <c r="N129" s="693"/>
      <c r="O129" s="693"/>
      <c r="P129" s="693"/>
      <c r="Q129" s="693"/>
      <c r="R129" s="694"/>
      <c r="S129" s="693"/>
      <c r="T129" s="693"/>
      <c r="U129" s="693"/>
      <c r="V129" s="693"/>
      <c r="W129" s="694"/>
      <c r="X129" s="693"/>
      <c r="Y129" s="693"/>
      <c r="Z129" s="693"/>
      <c r="AA129" s="693">
        <f>SUM(AA4,AA35,AA60)</f>
        <v>400100</v>
      </c>
      <c r="AB129" s="694"/>
      <c r="AC129" s="693">
        <f>SUM(AC4,AC35,AC60)</f>
        <v>419900</v>
      </c>
      <c r="AD129" s="693">
        <f>SUM(AD4,AD35,AD60)</f>
        <v>435800</v>
      </c>
      <c r="AE129" s="693">
        <f>SUM(AE4,AE35,AE60)</f>
        <v>455200</v>
      </c>
      <c r="AF129" s="693">
        <f>SUM(AF4,AF35,AF60)</f>
        <v>461000</v>
      </c>
      <c r="AG129" s="694">
        <f>AF129</f>
        <v>461000</v>
      </c>
      <c r="AH129" s="693">
        <f>SUM(AH4,AH35,AH60)</f>
        <v>471200</v>
      </c>
      <c r="AI129" s="693">
        <f>SUM(AI4,AI35,AI60)</f>
        <v>473500</v>
      </c>
      <c r="AJ129" s="693">
        <f>SUM(AJ4,AJ35,AJ60)</f>
        <v>464900</v>
      </c>
      <c r="AK129" s="693">
        <f>SUM(AK4,AK35,AK60)</f>
        <v>474500</v>
      </c>
      <c r="AL129" s="694">
        <f>AK129</f>
        <v>474500</v>
      </c>
      <c r="AM129" s="693">
        <f>SUM(AM4,AM35,AM60)</f>
        <v>476200</v>
      </c>
      <c r="AN129" s="693">
        <f>SUM(AN4,AN35,AN60)</f>
        <v>481300</v>
      </c>
      <c r="AO129" s="693">
        <f>SUM(AO4,AO35,AO60)</f>
        <v>488500</v>
      </c>
      <c r="AP129" s="693">
        <f>SUM(AP4,AP35,AP60)</f>
        <v>493800</v>
      </c>
      <c r="AQ129" s="694">
        <f>AP129</f>
        <v>493800</v>
      </c>
      <c r="AR129" s="693">
        <f>SUM(AR4,AR35,AR60)</f>
        <v>498500</v>
      </c>
      <c r="AS129" s="693">
        <f>SUM(AS4,AS35,AS60)</f>
        <v>498500</v>
      </c>
      <c r="AT129" s="693">
        <f>SUM(AT4,AT35,AT60)</f>
        <v>502500</v>
      </c>
      <c r="AU129" s="693">
        <f>SUM(AU4,AU35,AU60)</f>
        <v>506500</v>
      </c>
      <c r="AV129" s="694">
        <f>AU129</f>
        <v>506500</v>
      </c>
      <c r="AW129" s="693">
        <f>SUM(AW4,AW35,AW60)</f>
        <v>511650</v>
      </c>
      <c r="AX129" s="693">
        <f>SUM(AX4,AX35,AX60)</f>
        <v>516800</v>
      </c>
      <c r="AY129" s="693">
        <f>SUM(AY4,AY35,AY60)</f>
        <v>521950</v>
      </c>
      <c r="AZ129" s="693">
        <f>SUM(AZ4,AZ35,AZ60)</f>
        <v>527100</v>
      </c>
      <c r="BA129" s="694">
        <f>AZ129</f>
        <v>527100</v>
      </c>
    </row>
    <row r="130" spans="2:53" s="673" customFormat="1" outlineLevel="1" x14ac:dyDescent="0.2">
      <c r="B130" s="695"/>
      <c r="C130" s="696" t="s">
        <v>28</v>
      </c>
      <c r="D130" s="696"/>
      <c r="E130" s="696"/>
      <c r="F130" s="696"/>
      <c r="G130" s="697"/>
      <c r="H130" s="698"/>
      <c r="I130" s="696"/>
      <c r="J130" s="696"/>
      <c r="K130" s="696"/>
      <c r="L130" s="697"/>
      <c r="M130" s="698"/>
      <c r="N130" s="696"/>
      <c r="O130" s="696"/>
      <c r="P130" s="696"/>
      <c r="Q130" s="697"/>
      <c r="R130" s="698"/>
      <c r="S130" s="696"/>
      <c r="T130" s="696"/>
      <c r="U130" s="696"/>
      <c r="V130" s="697"/>
      <c r="W130" s="698"/>
      <c r="X130" s="696"/>
      <c r="Y130" s="696"/>
      <c r="Z130" s="696"/>
      <c r="AA130" s="697"/>
      <c r="AB130" s="698"/>
      <c r="AC130" s="696">
        <f>AC129-AA129</f>
        <v>19800</v>
      </c>
      <c r="AD130" s="696">
        <f>AD129-AC129</f>
        <v>15900</v>
      </c>
      <c r="AE130" s="696">
        <f t="shared" ref="AE130" si="467">AE129-AD129</f>
        <v>19400</v>
      </c>
      <c r="AF130" s="696">
        <f t="shared" ref="AF130" si="468">AF129-AE129</f>
        <v>5800</v>
      </c>
      <c r="AG130" s="698">
        <f>SUM(AC130:AF130)</f>
        <v>60900</v>
      </c>
      <c r="AH130" s="696">
        <f>AH129-AF129</f>
        <v>10200</v>
      </c>
      <c r="AI130" s="696">
        <f>AI129-AH129</f>
        <v>2300</v>
      </c>
      <c r="AJ130" s="696">
        <f t="shared" ref="AJ130" si="469">AJ129-AI129</f>
        <v>-8600</v>
      </c>
      <c r="AK130" s="696">
        <f t="shared" ref="AK130" si="470">AK129-AJ129</f>
        <v>9600</v>
      </c>
      <c r="AL130" s="698">
        <f>SUM(AH130:AK130)</f>
        <v>13500</v>
      </c>
      <c r="AM130" s="696">
        <f>AM129-AK129</f>
        <v>1700</v>
      </c>
      <c r="AN130" s="696">
        <f>AN129-AM129</f>
        <v>5100</v>
      </c>
      <c r="AO130" s="696">
        <f t="shared" ref="AO130:AP130" si="471">AO129-AN129</f>
        <v>7200</v>
      </c>
      <c r="AP130" s="696">
        <f t="shared" si="471"/>
        <v>5300</v>
      </c>
      <c r="AQ130" s="698">
        <f>SUM(AM130:AP130)</f>
        <v>19300</v>
      </c>
      <c r="AR130" s="696">
        <f>AR129-AP129</f>
        <v>4700</v>
      </c>
      <c r="AS130" s="696">
        <f>AS129-AR129</f>
        <v>0</v>
      </c>
      <c r="AT130" s="696">
        <f t="shared" ref="AT130" si="472">AT129-AS129</f>
        <v>4000</v>
      </c>
      <c r="AU130" s="696">
        <f t="shared" ref="AU130" si="473">AU129-AT129</f>
        <v>4000</v>
      </c>
      <c r="AV130" s="698">
        <f>SUM(AR130:AU130)</f>
        <v>12700</v>
      </c>
      <c r="AW130" s="696">
        <f>AW129-AU129</f>
        <v>5150</v>
      </c>
      <c r="AX130" s="696">
        <f>AX129-AW129</f>
        <v>5150</v>
      </c>
      <c r="AY130" s="696">
        <f t="shared" ref="AY130" si="474">AY129-AX129</f>
        <v>5150</v>
      </c>
      <c r="AZ130" s="696">
        <f t="shared" ref="AZ130" si="475">AZ129-AY129</f>
        <v>5150</v>
      </c>
      <c r="BA130" s="698">
        <f>SUM(AW130:AZ130)</f>
        <v>20600</v>
      </c>
    </row>
    <row r="131" spans="2:53" s="659" customFormat="1" outlineLevel="1" x14ac:dyDescent="0.2">
      <c r="B131" s="699"/>
      <c r="C131" s="700" t="s">
        <v>29</v>
      </c>
      <c r="D131" s="701"/>
      <c r="E131" s="701"/>
      <c r="F131" s="701"/>
      <c r="G131" s="701"/>
      <c r="H131" s="702"/>
      <c r="I131" s="701"/>
      <c r="J131" s="701"/>
      <c r="K131" s="701"/>
      <c r="L131" s="701"/>
      <c r="M131" s="702"/>
      <c r="N131" s="701"/>
      <c r="O131" s="701"/>
      <c r="P131" s="701"/>
      <c r="Q131" s="701"/>
      <c r="R131" s="702"/>
      <c r="S131" s="701"/>
      <c r="T131" s="701"/>
      <c r="U131" s="701"/>
      <c r="V131" s="701"/>
      <c r="W131" s="702"/>
      <c r="X131" s="701"/>
      <c r="Y131" s="701"/>
      <c r="Z131" s="701"/>
      <c r="AA131" s="701"/>
      <c r="AB131" s="702"/>
      <c r="AC131" s="701"/>
      <c r="AD131" s="701"/>
      <c r="AE131" s="701"/>
      <c r="AF131" s="701">
        <f t="shared" ref="AF131" si="476">AF129/AA129-1</f>
        <v>0.15221194701324658</v>
      </c>
      <c r="AG131" s="702">
        <f>AG129/AA129-1</f>
        <v>0.15221194701324658</v>
      </c>
      <c r="AH131" s="701">
        <f t="shared" ref="AH131" si="477">AH129/AC129-1</f>
        <v>0.12217194570135748</v>
      </c>
      <c r="AI131" s="701">
        <f t="shared" ref="AI131" si="478">AI129/AD129-1</f>
        <v>8.650757228086281E-2</v>
      </c>
      <c r="AJ131" s="701">
        <f t="shared" ref="AJ131" si="479">AJ129/AE129-1</f>
        <v>2.1309314586994699E-2</v>
      </c>
      <c r="AK131" s="701">
        <f t="shared" ref="AK131:AS131" si="480">AK129/AF129-1</f>
        <v>2.9284164859002093E-2</v>
      </c>
      <c r="AL131" s="702">
        <f t="shared" si="480"/>
        <v>2.9284164859002093E-2</v>
      </c>
      <c r="AM131" s="701">
        <f t="shared" si="480"/>
        <v>1.0611205432937254E-2</v>
      </c>
      <c r="AN131" s="701">
        <f t="shared" si="480"/>
        <v>1.6473072861668436E-2</v>
      </c>
      <c r="AO131" s="701">
        <f t="shared" si="480"/>
        <v>5.0763605076360463E-2</v>
      </c>
      <c r="AP131" s="701">
        <f t="shared" si="480"/>
        <v>4.0674394099051714E-2</v>
      </c>
      <c r="AQ131" s="702">
        <f t="shared" ref="AQ131" si="481">AQ129/AL129-1</f>
        <v>4.0674394099051714E-2</v>
      </c>
      <c r="AR131" s="701">
        <f t="shared" si="480"/>
        <v>4.6829063418731609E-2</v>
      </c>
      <c r="AS131" s="701">
        <f t="shared" si="480"/>
        <v>3.5736546852275008E-2</v>
      </c>
      <c r="AT131" s="701">
        <f t="shared" ref="AT131" si="482">AT129/AO129-1</f>
        <v>2.8659160696008268E-2</v>
      </c>
      <c r="AU131" s="701">
        <f t="shared" ref="AU131" si="483">AU129/AP129-1</f>
        <v>2.571891454029962E-2</v>
      </c>
      <c r="AV131" s="702">
        <f t="shared" ref="AV131" si="484">AV129/AQ129-1</f>
        <v>2.571891454029962E-2</v>
      </c>
      <c r="AW131" s="701">
        <f t="shared" ref="AW131" si="485">AW129/AR129-1</f>
        <v>2.6379137412236631E-2</v>
      </c>
      <c r="AX131" s="701">
        <f t="shared" ref="AX131" si="486">AX129/AS129-1</f>
        <v>3.6710130391173434E-2</v>
      </c>
      <c r="AY131" s="701">
        <f t="shared" ref="AY131" si="487">AY129/AT129-1</f>
        <v>3.8706467661691502E-2</v>
      </c>
      <c r="AZ131" s="701">
        <f t="shared" ref="AZ131" si="488">AZ129/AU129-1</f>
        <v>4.0671273445212153E-2</v>
      </c>
      <c r="BA131" s="702">
        <f t="shared" ref="BA131" si="489">BA129/AV129-1</f>
        <v>4.0671273445212153E-2</v>
      </c>
    </row>
    <row r="132" spans="2:53" s="659" customFormat="1" outlineLevel="1" x14ac:dyDescent="0.2">
      <c r="B132" s="699"/>
      <c r="C132" s="700" t="s">
        <v>76</v>
      </c>
      <c r="D132" s="701"/>
      <c r="E132" s="701"/>
      <c r="F132" s="701"/>
      <c r="G132" s="701"/>
      <c r="H132" s="703"/>
      <c r="I132" s="701"/>
      <c r="J132" s="701"/>
      <c r="K132" s="701"/>
      <c r="L132" s="701"/>
      <c r="M132" s="703"/>
      <c r="N132" s="701"/>
      <c r="O132" s="701"/>
      <c r="P132" s="701"/>
      <c r="Q132" s="701"/>
      <c r="R132" s="703"/>
      <c r="S132" s="701"/>
      <c r="T132" s="701"/>
      <c r="U132" s="701"/>
      <c r="V132" s="701"/>
      <c r="W132" s="703"/>
      <c r="X132" s="701"/>
      <c r="Y132" s="701"/>
      <c r="Z132" s="701"/>
      <c r="AA132" s="701"/>
      <c r="AB132" s="703"/>
      <c r="AC132" s="701">
        <f>AC129/AA129-1</f>
        <v>4.9487628092976799E-2</v>
      </c>
      <c r="AD132" s="701">
        <f>AD129/AC129-1</f>
        <v>3.7866158609192624E-2</v>
      </c>
      <c r="AE132" s="701">
        <f>AE129/AD129-1</f>
        <v>4.4515832950895007E-2</v>
      </c>
      <c r="AF132" s="701">
        <f>AF129/AE129-1</f>
        <v>1.2741652021089678E-2</v>
      </c>
      <c r="AG132" s="703"/>
      <c r="AH132" s="701">
        <f>AH129/AF129-1</f>
        <v>2.2125813449023868E-2</v>
      </c>
      <c r="AI132" s="701">
        <f>AI129/AH129-1</f>
        <v>4.8811544991511635E-3</v>
      </c>
      <c r="AJ132" s="701">
        <f>AJ129/AI129-1</f>
        <v>-1.8162618796198515E-2</v>
      </c>
      <c r="AK132" s="701">
        <f>AK129/AJ129-1</f>
        <v>2.0649602064960249E-2</v>
      </c>
      <c r="AL132" s="703"/>
      <c r="AM132" s="701">
        <f>AM129/AK129-1</f>
        <v>3.582718651211847E-3</v>
      </c>
      <c r="AN132" s="701">
        <f>AN129/AM129-1</f>
        <v>1.0709785804283944E-2</v>
      </c>
      <c r="AO132" s="701">
        <f>AO129/AN129-1</f>
        <v>1.495948472885944E-2</v>
      </c>
      <c r="AP132" s="701">
        <f>AP129/AO129-1</f>
        <v>1.0849539406345921E-2</v>
      </c>
      <c r="AQ132" s="703"/>
      <c r="AR132" s="701">
        <f>AR129/AP129-1</f>
        <v>9.5180234912919381E-3</v>
      </c>
      <c r="AS132" s="701">
        <f>AS129/AR129-1</f>
        <v>0</v>
      </c>
      <c r="AT132" s="701">
        <f>AT129/AS129-1</f>
        <v>8.0240722166500245E-3</v>
      </c>
      <c r="AU132" s="701">
        <f>AU129/AT129-1</f>
        <v>7.9601990049751326E-3</v>
      </c>
      <c r="AV132" s="703"/>
      <c r="AW132" s="701">
        <f>AW129/AU129-1</f>
        <v>1.0167818361302983E-2</v>
      </c>
      <c r="AX132" s="701">
        <f>AX129/AW129-1</f>
        <v>1.0065474445421607E-2</v>
      </c>
      <c r="AY132" s="701">
        <f>AY129/AX129-1</f>
        <v>9.9651702786378582E-3</v>
      </c>
      <c r="AZ132" s="701">
        <f>AZ129/AY129-1</f>
        <v>9.8668454832837593E-3</v>
      </c>
      <c r="BA132" s="703"/>
    </row>
    <row r="133" spans="2:53" s="676" customFormat="1" ht="19.5" customHeight="1" outlineLevel="1" x14ac:dyDescent="0.2">
      <c r="B133" s="678" t="s">
        <v>407</v>
      </c>
      <c r="C133" s="679"/>
      <c r="D133" s="679"/>
      <c r="E133" s="679"/>
      <c r="F133" s="679"/>
      <c r="G133" s="680"/>
      <c r="H133" s="681"/>
      <c r="I133" s="679"/>
      <c r="J133" s="679"/>
      <c r="K133" s="679"/>
      <c r="L133" s="680"/>
      <c r="M133" s="681"/>
      <c r="N133" s="679"/>
      <c r="O133" s="679"/>
      <c r="P133" s="679"/>
      <c r="Q133" s="680"/>
      <c r="R133" s="681"/>
      <c r="S133" s="679"/>
      <c r="T133" s="679"/>
      <c r="U133" s="679"/>
      <c r="V133" s="680"/>
      <c r="W133" s="681"/>
      <c r="X133" s="679"/>
      <c r="Y133" s="679"/>
      <c r="Z133" s="679"/>
      <c r="AA133" s="679">
        <f>SUM(AA14,AA39,AA70)</f>
        <v>18.099999999999998</v>
      </c>
      <c r="AB133" s="681"/>
      <c r="AC133" s="679">
        <f>SUM(AC14,AC39,AC70)</f>
        <v>19.7</v>
      </c>
      <c r="AD133" s="679">
        <f>SUM(AD14,AD39,AD70)</f>
        <v>20.7</v>
      </c>
      <c r="AE133" s="679">
        <f>SUM(AE14,AE39,AE70)</f>
        <v>21.400000000000002</v>
      </c>
      <c r="AF133" s="679">
        <f>SUM(AF14,AF39,AF70)</f>
        <v>23.3</v>
      </c>
      <c r="AG133" s="681">
        <f>SUM(AC133:AF133)</f>
        <v>85.1</v>
      </c>
      <c r="AH133" s="679">
        <f>SUM(AH14,AH39,AH70)</f>
        <v>24.7</v>
      </c>
      <c r="AI133" s="679">
        <f>SUM(AI14,AI39,AI70)</f>
        <v>25.599999999999998</v>
      </c>
      <c r="AJ133" s="679">
        <f>SUM(AJ14,AJ39,AJ70)</f>
        <v>25.599999999999998</v>
      </c>
      <c r="AK133" s="679">
        <f>SUM(AK14,AK39,AK70)</f>
        <v>27.900000000000002</v>
      </c>
      <c r="AL133" s="681">
        <f>SUM(AH133:AK133)</f>
        <v>103.8</v>
      </c>
      <c r="AM133" s="679">
        <f>SUM(AM14,AM39,AM70)</f>
        <v>28.6</v>
      </c>
      <c r="AN133" s="679">
        <f>SUM(AN14,AN39,AN70)</f>
        <v>30</v>
      </c>
      <c r="AO133" s="679">
        <f>SUM(AO14,AO39,AO70)</f>
        <v>29.8</v>
      </c>
      <c r="AP133" s="679">
        <f>SUM(AP14,AP39,AP70)</f>
        <v>32.9</v>
      </c>
      <c r="AQ133" s="681">
        <f>SUM(AM133:AP133)</f>
        <v>121.30000000000001</v>
      </c>
      <c r="AR133" s="679">
        <f>SUM(AR14,AR39,AR70)</f>
        <v>33.299999999999997</v>
      </c>
      <c r="AS133" s="679">
        <f>SUM(AS14,AS39,AS70)</f>
        <v>34.700000000000003</v>
      </c>
      <c r="AT133" s="679">
        <f>SUM(AT14,AT39,AT70)</f>
        <v>34.814500000000002</v>
      </c>
      <c r="AU133" s="679">
        <f>SUM(AU14,AU39,AU70)</f>
        <v>38.082000000000001</v>
      </c>
      <c r="AV133" s="681">
        <f>SUM(AR133:AU133)</f>
        <v>140.8965</v>
      </c>
      <c r="AW133" s="679">
        <f>SUM(AW14,AW39,AW70)</f>
        <v>37.930999999999997</v>
      </c>
      <c r="AX133" s="679">
        <f>SUM(AX14,AX39,AX70)</f>
        <v>39.550000000000004</v>
      </c>
      <c r="AY133" s="679">
        <f>SUM(AY14,AY39,AY70)</f>
        <v>39.569150000000008</v>
      </c>
      <c r="AZ133" s="679">
        <f>SUM(AZ14,AZ39,AZ70)</f>
        <v>43.318440000000002</v>
      </c>
      <c r="BA133" s="681">
        <f>SUM(AW133:AZ133)</f>
        <v>160.36859000000001</v>
      </c>
    </row>
    <row r="134" spans="2:53" s="659" customFormat="1" outlineLevel="1" x14ac:dyDescent="0.2">
      <c r="B134" s="682"/>
      <c r="C134" s="683" t="s">
        <v>29</v>
      </c>
      <c r="D134" s="684"/>
      <c r="E134" s="684"/>
      <c r="F134" s="684"/>
      <c r="G134" s="684"/>
      <c r="H134" s="685"/>
      <c r="I134" s="684"/>
      <c r="J134" s="684"/>
      <c r="K134" s="684"/>
      <c r="L134" s="684"/>
      <c r="M134" s="685"/>
      <c r="N134" s="684"/>
      <c r="O134" s="684"/>
      <c r="P134" s="684"/>
      <c r="Q134" s="684"/>
      <c r="R134" s="685"/>
      <c r="S134" s="684"/>
      <c r="T134" s="684"/>
      <c r="U134" s="684"/>
      <c r="V134" s="684"/>
      <c r="W134" s="685"/>
      <c r="X134" s="684"/>
      <c r="Y134" s="684"/>
      <c r="Z134" s="684"/>
      <c r="AA134" s="684"/>
      <c r="AB134" s="685"/>
      <c r="AC134" s="684"/>
      <c r="AD134" s="684"/>
      <c r="AE134" s="684"/>
      <c r="AF134" s="684">
        <f>AF133/AA133-1</f>
        <v>0.28729281767955817</v>
      </c>
      <c r="AG134" s="685"/>
      <c r="AH134" s="684">
        <f t="shared" ref="AH134:AS134" si="490">AH133/AC133-1</f>
        <v>0.25380710659898487</v>
      </c>
      <c r="AI134" s="684">
        <f t="shared" si="490"/>
        <v>0.23671497584541057</v>
      </c>
      <c r="AJ134" s="684">
        <f t="shared" si="490"/>
        <v>0.19626168224299034</v>
      </c>
      <c r="AK134" s="684">
        <f t="shared" si="490"/>
        <v>0.19742489270386265</v>
      </c>
      <c r="AL134" s="685">
        <f t="shared" si="490"/>
        <v>0.21974148061104581</v>
      </c>
      <c r="AM134" s="684">
        <f t="shared" si="490"/>
        <v>0.15789473684210531</v>
      </c>
      <c r="AN134" s="684">
        <f t="shared" si="490"/>
        <v>0.171875</v>
      </c>
      <c r="AO134" s="684">
        <f t="shared" si="490"/>
        <v>0.16406250000000022</v>
      </c>
      <c r="AP134" s="684">
        <f t="shared" si="490"/>
        <v>0.17921146953405009</v>
      </c>
      <c r="AQ134" s="685">
        <f t="shared" si="490"/>
        <v>0.16859344894026984</v>
      </c>
      <c r="AR134" s="684">
        <f t="shared" si="490"/>
        <v>0.16433566433566416</v>
      </c>
      <c r="AS134" s="684">
        <f t="shared" si="490"/>
        <v>0.15666666666666673</v>
      </c>
      <c r="AT134" s="684">
        <f t="shared" ref="AT134" si="491">AT133/AO133-1</f>
        <v>0.16827181208053688</v>
      </c>
      <c r="AU134" s="684">
        <f t="shared" ref="AU134" si="492">AU133/AP133-1</f>
        <v>0.15750759878419451</v>
      </c>
      <c r="AV134" s="685">
        <f t="shared" ref="AV134" si="493">AV133/AQ133-1</f>
        <v>0.16155399835119533</v>
      </c>
      <c r="AW134" s="684">
        <f t="shared" ref="AW134" si="494">AW133/AR133-1</f>
        <v>0.13906906906906902</v>
      </c>
      <c r="AX134" s="684">
        <f t="shared" ref="AX134" si="495">AX133/AS133-1</f>
        <v>0.13976945244956784</v>
      </c>
      <c r="AY134" s="684">
        <f t="shared" ref="AY134" si="496">AY133/AT133-1</f>
        <v>0.13657096899280496</v>
      </c>
      <c r="AZ134" s="684">
        <f t="shared" ref="AZ134" si="497">AZ133/AU133-1</f>
        <v>0.13750433275563267</v>
      </c>
      <c r="BA134" s="685">
        <f t="shared" ref="BA134" si="498">BA133/AV133-1</f>
        <v>0.13820137476800354</v>
      </c>
    </row>
    <row r="135" spans="2:53" s="659" customFormat="1" outlineLevel="1" x14ac:dyDescent="0.2">
      <c r="B135" s="682"/>
      <c r="C135" s="683" t="s">
        <v>76</v>
      </c>
      <c r="D135" s="684"/>
      <c r="E135" s="684"/>
      <c r="F135" s="684"/>
      <c r="G135" s="684"/>
      <c r="H135" s="686"/>
      <c r="I135" s="684"/>
      <c r="J135" s="684"/>
      <c r="K135" s="684"/>
      <c r="L135" s="684"/>
      <c r="M135" s="686"/>
      <c r="N135" s="684"/>
      <c r="O135" s="684"/>
      <c r="P135" s="684"/>
      <c r="Q135" s="684"/>
      <c r="R135" s="686"/>
      <c r="S135" s="684"/>
      <c r="T135" s="684"/>
      <c r="U135" s="684"/>
      <c r="V135" s="684"/>
      <c r="W135" s="686"/>
      <c r="X135" s="684"/>
      <c r="Y135" s="684"/>
      <c r="Z135" s="684"/>
      <c r="AA135" s="684"/>
      <c r="AB135" s="686"/>
      <c r="AC135" s="684">
        <f>AC133/AA133-1</f>
        <v>8.8397790055248615E-2</v>
      </c>
      <c r="AD135" s="684">
        <f>AD133/AC133-1</f>
        <v>5.0761421319796884E-2</v>
      </c>
      <c r="AE135" s="684">
        <f>AE133/AD133-1</f>
        <v>3.3816425120773097E-2</v>
      </c>
      <c r="AF135" s="684">
        <f>AF133/AE133-1</f>
        <v>8.8785046728971917E-2</v>
      </c>
      <c r="AG135" s="686"/>
      <c r="AH135" s="684">
        <f>AH133/AF133-1</f>
        <v>6.0085836909871126E-2</v>
      </c>
      <c r="AI135" s="684">
        <f>AI133/AH133-1</f>
        <v>3.6437246963562764E-2</v>
      </c>
      <c r="AJ135" s="684">
        <f>AJ133/AI133-1</f>
        <v>0</v>
      </c>
      <c r="AK135" s="684">
        <f>AK133/AJ133-1</f>
        <v>8.9843750000000222E-2</v>
      </c>
      <c r="AL135" s="686"/>
      <c r="AM135" s="684">
        <f>AM133/AK133-1</f>
        <v>2.5089605734766929E-2</v>
      </c>
      <c r="AN135" s="684">
        <f>AN133/AM133-1</f>
        <v>4.8951048951048959E-2</v>
      </c>
      <c r="AO135" s="684">
        <f>AO133/AN133-1</f>
        <v>-6.6666666666665986E-3</v>
      </c>
      <c r="AP135" s="684">
        <f>AP133/AO133-1</f>
        <v>0.10402684563758391</v>
      </c>
      <c r="AQ135" s="686"/>
      <c r="AR135" s="684">
        <f>AR133/AP133-1</f>
        <v>1.2158054711246091E-2</v>
      </c>
      <c r="AS135" s="684">
        <f>AS133/AR133-1</f>
        <v>4.2042042042042205E-2</v>
      </c>
      <c r="AT135" s="684">
        <f>AT133/AS133-1</f>
        <v>3.2997118155619898E-3</v>
      </c>
      <c r="AU135" s="684">
        <f>AU133/AT133-1</f>
        <v>9.385457208921566E-2</v>
      </c>
      <c r="AV135" s="686"/>
      <c r="AW135" s="684">
        <f>AW133/AU133-1</f>
        <v>-3.9651278819390345E-3</v>
      </c>
      <c r="AX135" s="684">
        <f>AX133/AW133-1</f>
        <v>4.2682766075242018E-2</v>
      </c>
      <c r="AY135" s="684">
        <f>AY133/AX133-1</f>
        <v>4.8419721871062471E-4</v>
      </c>
      <c r="AZ135" s="684">
        <f>AZ133/AY133-1</f>
        <v>9.4752856707813971E-2</v>
      </c>
      <c r="BA135" s="686"/>
    </row>
    <row r="136" spans="2:53" s="654" customFormat="1" ht="22.5" customHeight="1" outlineLevel="1" x14ac:dyDescent="0.2">
      <c r="B136" s="687" t="s">
        <v>415</v>
      </c>
      <c r="C136" s="688"/>
      <c r="D136" s="688"/>
      <c r="E136" s="688"/>
      <c r="F136" s="688"/>
      <c r="G136" s="688"/>
      <c r="H136" s="690"/>
      <c r="I136" s="688"/>
      <c r="J136" s="688"/>
      <c r="K136" s="688"/>
      <c r="L136" s="688"/>
      <c r="M136" s="690"/>
      <c r="N136" s="688"/>
      <c r="O136" s="688"/>
      <c r="P136" s="688"/>
      <c r="Q136" s="688"/>
      <c r="R136" s="690"/>
      <c r="S136" s="688"/>
      <c r="T136" s="688"/>
      <c r="U136" s="688"/>
      <c r="V136" s="688"/>
      <c r="W136" s="690"/>
      <c r="X136" s="688"/>
      <c r="Y136" s="688"/>
      <c r="Z136" s="688"/>
      <c r="AA136" s="679">
        <f>SUM(AA20,AA45,AA76)</f>
        <v>63.7</v>
      </c>
      <c r="AB136" s="681"/>
      <c r="AC136" s="679">
        <f>SUM(AC20,AC45,AC76)</f>
        <v>64.900000000000006</v>
      </c>
      <c r="AD136" s="679">
        <f>SUM(AD20,AD45,AD76)</f>
        <v>67.3</v>
      </c>
      <c r="AE136" s="679">
        <f>SUM(AE20,AE45,AE76)</f>
        <v>64.7</v>
      </c>
      <c r="AF136" s="679">
        <f>SUM(AF20,AF45,AF76)</f>
        <v>69.2</v>
      </c>
      <c r="AG136" s="681">
        <f>SUM(AC136:AF136)</f>
        <v>266.09999999999997</v>
      </c>
      <c r="AH136" s="679">
        <f>SUM(AH20,AH45,AH76)</f>
        <v>70.099999999999994</v>
      </c>
      <c r="AI136" s="679">
        <f>SUM(AI20,AI45,AI76)</f>
        <v>74.899999999999991</v>
      </c>
      <c r="AJ136" s="679">
        <f>SUM(AJ20,AJ45,AJ76)</f>
        <v>71.5</v>
      </c>
      <c r="AK136" s="679">
        <f>SUM(AK20,AK45,AK76)</f>
        <v>75.900000000000006</v>
      </c>
      <c r="AL136" s="681">
        <f>SUM(AH136:AK136)</f>
        <v>292.39999999999998</v>
      </c>
      <c r="AM136" s="679">
        <f>SUM(AM20,AM45,AM76)</f>
        <v>79.899999999999991</v>
      </c>
      <c r="AN136" s="679">
        <f>SUM(AN20,AN45,AN76)</f>
        <v>84.500000000000014</v>
      </c>
      <c r="AO136" s="679">
        <f>SUM(AO20,AO45,AO76)</f>
        <v>79.3</v>
      </c>
      <c r="AP136" s="679">
        <f>SUM(AP20,AP45,AP76)</f>
        <v>86.2</v>
      </c>
      <c r="AQ136" s="681">
        <f>SUM(AM136:AP136)</f>
        <v>329.9</v>
      </c>
      <c r="AR136" s="679">
        <f>SUM(AR20,AR45,AR76)</f>
        <v>89.300000000000011</v>
      </c>
      <c r="AS136" s="679">
        <f>SUM(AS20,AS45,AS76)</f>
        <v>95.100000000000009</v>
      </c>
      <c r="AT136" s="679">
        <f>SUM(AT20,AT45,AT76)</f>
        <v>92.023154000000034</v>
      </c>
      <c r="AU136" s="679">
        <f>SUM(AU20,AU45,AU76)</f>
        <v>97.887930000000011</v>
      </c>
      <c r="AV136" s="681">
        <f>SUM(AR136:AU136)</f>
        <v>374.31108400000005</v>
      </c>
      <c r="AW136" s="679">
        <f>SUM(AW20,AW45,AW76)</f>
        <v>99.164370000000005</v>
      </c>
      <c r="AX136" s="679">
        <f>SUM(AX20,AX45,AX76)</f>
        <v>105.106905</v>
      </c>
      <c r="AY136" s="679">
        <f>SUM(AY20,AY45,AY76)</f>
        <v>102.08063751190002</v>
      </c>
      <c r="AZ136" s="679">
        <f>SUM(AZ20,AZ45,AZ76)</f>
        <v>108.71238012000001</v>
      </c>
      <c r="BA136" s="681">
        <f>SUM(AW136:AZ136)</f>
        <v>415.0642926319</v>
      </c>
    </row>
    <row r="137" spans="2:53" s="659" customFormat="1" outlineLevel="1" x14ac:dyDescent="0.2">
      <c r="B137" s="682"/>
      <c r="C137" s="683" t="s">
        <v>29</v>
      </c>
      <c r="D137" s="684"/>
      <c r="E137" s="684"/>
      <c r="F137" s="684"/>
      <c r="G137" s="684"/>
      <c r="H137" s="685"/>
      <c r="I137" s="684"/>
      <c r="J137" s="684"/>
      <c r="K137" s="684"/>
      <c r="L137" s="684"/>
      <c r="M137" s="685"/>
      <c r="N137" s="684"/>
      <c r="O137" s="684"/>
      <c r="P137" s="684"/>
      <c r="Q137" s="684"/>
      <c r="R137" s="685"/>
      <c r="S137" s="684"/>
      <c r="T137" s="684"/>
      <c r="U137" s="684"/>
      <c r="V137" s="684"/>
      <c r="W137" s="685"/>
      <c r="X137" s="684"/>
      <c r="Y137" s="684"/>
      <c r="Z137" s="684"/>
      <c r="AA137" s="684"/>
      <c r="AB137" s="685"/>
      <c r="AC137" s="684"/>
      <c r="AD137" s="684"/>
      <c r="AE137" s="684"/>
      <c r="AF137" s="684">
        <f>AF136/AA136-1</f>
        <v>8.6342229199372067E-2</v>
      </c>
      <c r="AG137" s="685"/>
      <c r="AH137" s="684">
        <f t="shared" ref="AH137:AS137" si="499">AH136/AC136-1</f>
        <v>8.0123266563944417E-2</v>
      </c>
      <c r="AI137" s="684">
        <f t="shared" si="499"/>
        <v>0.11292719167904886</v>
      </c>
      <c r="AJ137" s="684">
        <f t="shared" si="499"/>
        <v>0.10510046367851622</v>
      </c>
      <c r="AK137" s="684">
        <f t="shared" si="499"/>
        <v>9.6820809248554962E-2</v>
      </c>
      <c r="AL137" s="685">
        <f t="shared" si="499"/>
        <v>9.883502442690717E-2</v>
      </c>
      <c r="AM137" s="684">
        <f t="shared" si="499"/>
        <v>0.13980028530670463</v>
      </c>
      <c r="AN137" s="684">
        <f t="shared" si="499"/>
        <v>0.12817089452603514</v>
      </c>
      <c r="AO137" s="684">
        <f t="shared" si="499"/>
        <v>0.10909090909090913</v>
      </c>
      <c r="AP137" s="684">
        <f t="shared" si="499"/>
        <v>0.13570487483530957</v>
      </c>
      <c r="AQ137" s="685">
        <f t="shared" si="499"/>
        <v>0.12824897400820801</v>
      </c>
      <c r="AR137" s="684">
        <f t="shared" si="499"/>
        <v>0.11764705882352966</v>
      </c>
      <c r="AS137" s="684">
        <f t="shared" si="499"/>
        <v>0.12544378698224845</v>
      </c>
      <c r="AT137" s="684">
        <f t="shared" ref="AT137" si="500">AT136/AO136-1</f>
        <v>0.16044330390920591</v>
      </c>
      <c r="AU137" s="684">
        <f t="shared" ref="AU137" si="501">AU136/AP136-1</f>
        <v>0.13559083526682136</v>
      </c>
      <c r="AV137" s="685">
        <f t="shared" ref="AV137" si="502">AV136/AQ136-1</f>
        <v>0.13461983631403474</v>
      </c>
      <c r="AW137" s="684">
        <f t="shared" ref="AW137" si="503">AW136/AR136-1</f>
        <v>0.11046326987681954</v>
      </c>
      <c r="AX137" s="684">
        <f t="shared" ref="AX137" si="504">AX136/AS136-1</f>
        <v>0.10522507886435317</v>
      </c>
      <c r="AY137" s="684">
        <f t="shared" ref="AY137" si="505">AY136/AT136-1</f>
        <v>0.10929296676682032</v>
      </c>
      <c r="AZ137" s="684">
        <f t="shared" ref="AZ137" si="506">AZ136/AU136-1</f>
        <v>0.11058002881458417</v>
      </c>
      <c r="BA137" s="685">
        <f t="shared" ref="BA137" si="507">BA136/AV136-1</f>
        <v>0.10887523873564997</v>
      </c>
    </row>
    <row r="138" spans="2:53" s="659" customFormat="1" outlineLevel="1" x14ac:dyDescent="0.2">
      <c r="B138" s="682"/>
      <c r="C138" s="683" t="s">
        <v>76</v>
      </c>
      <c r="D138" s="684"/>
      <c r="E138" s="684"/>
      <c r="F138" s="684"/>
      <c r="G138" s="684"/>
      <c r="H138" s="686"/>
      <c r="I138" s="684"/>
      <c r="J138" s="684"/>
      <c r="K138" s="684"/>
      <c r="L138" s="684"/>
      <c r="M138" s="686"/>
      <c r="N138" s="684"/>
      <c r="O138" s="684"/>
      <c r="P138" s="684"/>
      <c r="Q138" s="684"/>
      <c r="R138" s="686"/>
      <c r="S138" s="684"/>
      <c r="T138" s="684"/>
      <c r="U138" s="684"/>
      <c r="V138" s="684"/>
      <c r="W138" s="686"/>
      <c r="X138" s="684"/>
      <c r="Y138" s="684"/>
      <c r="Z138" s="684"/>
      <c r="AA138" s="684"/>
      <c r="AB138" s="686"/>
      <c r="AC138" s="684">
        <f>AC136/AA136-1</f>
        <v>1.883830455259039E-2</v>
      </c>
      <c r="AD138" s="684">
        <f>AD136/AC136-1</f>
        <v>3.6979969183358774E-2</v>
      </c>
      <c r="AE138" s="684">
        <f>AE136/AD136-1</f>
        <v>-3.8632986627042953E-2</v>
      </c>
      <c r="AF138" s="684">
        <f>AF136/AE136-1</f>
        <v>6.9551777434312179E-2</v>
      </c>
      <c r="AG138" s="686"/>
      <c r="AH138" s="684">
        <f>AH136/AF136-1</f>
        <v>1.300578034682065E-2</v>
      </c>
      <c r="AI138" s="684">
        <f>AI136/AH136-1</f>
        <v>6.8473609129814594E-2</v>
      </c>
      <c r="AJ138" s="684">
        <f>AJ136/AI136-1</f>
        <v>-4.5393858477970506E-2</v>
      </c>
      <c r="AK138" s="684">
        <f>AK136/AJ136-1</f>
        <v>6.1538461538461542E-2</v>
      </c>
      <c r="AL138" s="686"/>
      <c r="AM138" s="684">
        <f>AM136/AK136-1</f>
        <v>5.2700922266139427E-2</v>
      </c>
      <c r="AN138" s="684">
        <f>AN136/AM136-1</f>
        <v>5.7571964956195432E-2</v>
      </c>
      <c r="AO138" s="684">
        <f>AO136/AN136-1</f>
        <v>-6.1538461538461764E-2</v>
      </c>
      <c r="AP138" s="684">
        <f>AP136/AO136-1</f>
        <v>8.7011349306431285E-2</v>
      </c>
      <c r="AQ138" s="686"/>
      <c r="AR138" s="684">
        <f>AR136/AP136-1</f>
        <v>3.5962877030162543E-2</v>
      </c>
      <c r="AS138" s="684">
        <f>AS136/AR136-1</f>
        <v>6.4949608062709885E-2</v>
      </c>
      <c r="AT138" s="684">
        <f>AT136/AS136-1</f>
        <v>-3.2353796004205848E-2</v>
      </c>
      <c r="AU138" s="684">
        <f>AU136/AT136-1</f>
        <v>6.3731525654945331E-2</v>
      </c>
      <c r="AV138" s="686"/>
      <c r="AW138" s="684">
        <f>AW136/AU136-1</f>
        <v>1.3039809913234279E-2</v>
      </c>
      <c r="AX138" s="684">
        <f>AX136/AW136-1</f>
        <v>5.9926110557652734E-2</v>
      </c>
      <c r="AY138" s="684">
        <f>AY136/AX136-1</f>
        <v>-2.8792280470060216E-2</v>
      </c>
      <c r="AZ138" s="684">
        <f>AZ136/AY136-1</f>
        <v>6.4965724840098993E-2</v>
      </c>
      <c r="BA138" s="686"/>
    </row>
    <row r="139" spans="2:53" s="654" customFormat="1" ht="22.5" customHeight="1" outlineLevel="1" x14ac:dyDescent="0.2">
      <c r="B139" s="687" t="s">
        <v>305</v>
      </c>
      <c r="C139" s="688"/>
      <c r="D139" s="688"/>
      <c r="E139" s="688"/>
      <c r="F139" s="688"/>
      <c r="G139" s="688"/>
      <c r="H139" s="690"/>
      <c r="I139" s="688">
        <v>5100</v>
      </c>
      <c r="J139" s="688">
        <v>6040</v>
      </c>
      <c r="K139" s="688">
        <v>6700</v>
      </c>
      <c r="L139" s="688">
        <v>8560</v>
      </c>
      <c r="M139" s="690">
        <f>SUM(I139:L139)</f>
        <v>26400</v>
      </c>
      <c r="N139" s="688">
        <v>10500</v>
      </c>
      <c r="O139" s="688">
        <v>13100</v>
      </c>
      <c r="P139" s="688">
        <v>13800</v>
      </c>
      <c r="Q139" s="688">
        <v>15200</v>
      </c>
      <c r="R139" s="690">
        <f>SUM(N139:Q139)</f>
        <v>52600</v>
      </c>
      <c r="S139" s="688">
        <v>19200</v>
      </c>
      <c r="T139" s="688">
        <v>25700</v>
      </c>
      <c r="U139" s="688">
        <v>29300</v>
      </c>
      <c r="V139" s="688">
        <v>46300</v>
      </c>
      <c r="W139" s="690">
        <f>SUM(S139:V139)</f>
        <v>120500</v>
      </c>
      <c r="X139" s="688">
        <v>80600</v>
      </c>
      <c r="Y139" s="688">
        <v>106400</v>
      </c>
      <c r="Z139" s="688">
        <v>113400</v>
      </c>
      <c r="AA139" s="688">
        <f>SUM(AA26,AA51,AA82)</f>
        <v>139600</v>
      </c>
      <c r="AB139" s="690">
        <f>SUM(X139:AA139)</f>
        <v>440000</v>
      </c>
      <c r="AC139" s="688">
        <f>SUM(AC26,AC51,AC82)</f>
        <v>156600</v>
      </c>
      <c r="AD139" s="688">
        <f>SUM(AD26,AD51,AD82)</f>
        <v>169600</v>
      </c>
      <c r="AE139" s="688">
        <f>SUM(AE26,AE51,AE82)</f>
        <v>172700</v>
      </c>
      <c r="AF139" s="688">
        <f>SUM(AF26,AF51,AF82)</f>
        <v>192600</v>
      </c>
      <c r="AG139" s="690">
        <f>SUM(AC139:AF139)</f>
        <v>691500</v>
      </c>
      <c r="AH139" s="688">
        <f>SUM(AH26,AH51,AH82)</f>
        <v>202800</v>
      </c>
      <c r="AI139" s="688">
        <f>SUM(AI26,AI51,AI82)</f>
        <v>211600</v>
      </c>
      <c r="AJ139" s="688">
        <f>SUM(AJ26,AJ51,AJ82)</f>
        <v>215700</v>
      </c>
      <c r="AK139" s="688">
        <f>SUM(AK26,AK51,AK82)</f>
        <v>235500</v>
      </c>
      <c r="AL139" s="690">
        <f>SUM(AH139:AK139)</f>
        <v>865600</v>
      </c>
      <c r="AM139" s="688">
        <f>SUM(AM26,AM51,AM82)</f>
        <v>247560</v>
      </c>
      <c r="AN139" s="688">
        <f>SUM(AN26,AN51,AN82)</f>
        <v>251895</v>
      </c>
      <c r="AO139" s="688">
        <f>SUM(AO26,AO51,AO82)</f>
        <v>252183</v>
      </c>
      <c r="AP139" s="688">
        <f>SUM(AP26,AP51,AP82)</f>
        <v>277160</v>
      </c>
      <c r="AQ139" s="690">
        <f>SUM(AM139:AP139)</f>
        <v>1028798</v>
      </c>
      <c r="AR139" s="688">
        <f>SUM(AR26,AR51,AR82)</f>
        <v>287182</v>
      </c>
      <c r="AS139" s="688">
        <f>SUM(AS26,AS51,AS82)</f>
        <v>303028</v>
      </c>
      <c r="AT139" s="688">
        <f>SUM(AT26,AT51,AT82)</f>
        <v>296693.21380000009</v>
      </c>
      <c r="AU139" s="688">
        <f>SUM(AU26,AU51,AU82)</f>
        <v>324479.67750000005</v>
      </c>
      <c r="AV139" s="690">
        <f>SUM(AR139:AU139)</f>
        <v>1211382.8913</v>
      </c>
      <c r="AW139" s="688">
        <f>SUM(AW26,AW51,AW82)</f>
        <v>329854.58609999996</v>
      </c>
      <c r="AX139" s="688">
        <f>SUM(AX26,AX51,AX82)</f>
        <v>345160.52549999999</v>
      </c>
      <c r="AY139" s="688">
        <f>SUM(AY26,AY51,AY82)</f>
        <v>340465.02033343009</v>
      </c>
      <c r="AZ139" s="688">
        <f>SUM(AZ26,AZ51,AZ82)</f>
        <v>370738.89760680002</v>
      </c>
      <c r="BA139" s="690">
        <f>SUM(AW139:AZ139)</f>
        <v>1386219.0295402301</v>
      </c>
    </row>
    <row r="140" spans="2:53" s="659" customFormat="1" outlineLevel="1" x14ac:dyDescent="0.2">
      <c r="B140" s="682"/>
      <c r="C140" s="683" t="s">
        <v>83</v>
      </c>
      <c r="D140" s="684"/>
      <c r="E140" s="684"/>
      <c r="F140" s="684"/>
      <c r="G140" s="684"/>
      <c r="H140" s="685"/>
      <c r="I140" s="684"/>
      <c r="J140" s="684"/>
      <c r="K140" s="684"/>
      <c r="L140" s="684"/>
      <c r="M140" s="685">
        <f t="shared" ref="M140:AV140" si="508">M139/M154</f>
        <v>0.24354250271308078</v>
      </c>
      <c r="N140" s="684">
        <f t="shared" si="508"/>
        <v>0.2984675392272888</v>
      </c>
      <c r="O140" s="684">
        <f t="shared" si="508"/>
        <v>0.33490131915328764</v>
      </c>
      <c r="P140" s="684">
        <f t="shared" si="508"/>
        <v>0.33470773708464713</v>
      </c>
      <c r="Q140" s="684">
        <f t="shared" si="508"/>
        <v>0.36096796409318671</v>
      </c>
      <c r="R140" s="685">
        <f t="shared" si="508"/>
        <v>0.33368286495019622</v>
      </c>
      <c r="S140" s="684">
        <f t="shared" si="508"/>
        <v>0.4153955994028688</v>
      </c>
      <c r="T140" s="684">
        <f t="shared" si="508"/>
        <v>0.47582018810634674</v>
      </c>
      <c r="U140" s="684">
        <f t="shared" si="508"/>
        <v>0.49065577064773258</v>
      </c>
      <c r="V140" s="684">
        <f t="shared" si="508"/>
        <v>0.59161012509423594</v>
      </c>
      <c r="W140" s="685">
        <f t="shared" si="508"/>
        <v>0.50585617732253052</v>
      </c>
      <c r="X140" s="684">
        <f t="shared" si="508"/>
        <v>0.681301404021876</v>
      </c>
      <c r="Y140" s="684">
        <f t="shared" si="508"/>
        <v>0.67953352322803973</v>
      </c>
      <c r="Z140" s="684">
        <f t="shared" si="508"/>
        <v>0.67940399374516958</v>
      </c>
      <c r="AA140" s="684">
        <f t="shared" si="508"/>
        <v>0.69695108861163946</v>
      </c>
      <c r="AB140" s="685">
        <f t="shared" si="508"/>
        <v>0.68525898896265802</v>
      </c>
      <c r="AC140" s="684">
        <f t="shared" si="508"/>
        <v>0.68050268550868231</v>
      </c>
      <c r="AD140" s="684">
        <f t="shared" si="508"/>
        <v>0.65230769230769226</v>
      </c>
      <c r="AE140" s="684">
        <f t="shared" si="508"/>
        <v>0.63376146788990828</v>
      </c>
      <c r="AF140" s="684">
        <f t="shared" si="508"/>
        <v>0.65073503326316928</v>
      </c>
      <c r="AG140" s="685">
        <f t="shared" si="508"/>
        <v>0.65322308678373353</v>
      </c>
      <c r="AH140" s="684">
        <f t="shared" si="508"/>
        <v>0.66482430345885657</v>
      </c>
      <c r="AI140" s="684">
        <f t="shared" si="508"/>
        <v>0.66435794953265748</v>
      </c>
      <c r="AJ140" s="684">
        <f t="shared" si="508"/>
        <v>0.66773157005144967</v>
      </c>
      <c r="AK140" s="684">
        <f t="shared" si="508"/>
        <v>0.68527231936308952</v>
      </c>
      <c r="AL140" s="685">
        <f t="shared" si="508"/>
        <v>0.6708834564758932</v>
      </c>
      <c r="AM140" s="684">
        <f t="shared" si="508"/>
        <v>0.69064025666062212</v>
      </c>
      <c r="AN140" s="684">
        <f t="shared" ref="AN140:AP140" si="509">AN139/AN154</f>
        <v>0.69477926046878535</v>
      </c>
      <c r="AO140" s="684">
        <f t="shared" si="509"/>
        <v>0.7039950644441777</v>
      </c>
      <c r="AP140" s="684">
        <f t="shared" si="509"/>
        <v>0.72299653840234357</v>
      </c>
      <c r="AQ140" s="685">
        <f t="shared" si="508"/>
        <v>0.70341795606364144</v>
      </c>
      <c r="AR140" s="684">
        <f t="shared" ref="AR140:AS140" si="510">AR139/AR154</f>
        <v>0.72568169585663356</v>
      </c>
      <c r="AS140" s="684">
        <f t="shared" si="510"/>
        <v>0.73076728297855409</v>
      </c>
      <c r="AT140" s="684">
        <f t="shared" si="508"/>
        <v>0.73646898327970634</v>
      </c>
      <c r="AU140" s="684">
        <f t="shared" si="508"/>
        <v>0.75487142573818966</v>
      </c>
      <c r="AV140" s="685">
        <f t="shared" si="508"/>
        <v>0.73724612994955696</v>
      </c>
      <c r="AW140" s="684">
        <f t="shared" ref="AW140:BA140" si="511">AW139/AW154</f>
        <v>0.75098883784662873</v>
      </c>
      <c r="AX140" s="684">
        <f t="shared" si="511"/>
        <v>0.7582774477715386</v>
      </c>
      <c r="AY140" s="684">
        <f t="shared" si="511"/>
        <v>0.7573313061453133</v>
      </c>
      <c r="AZ140" s="684">
        <f t="shared" si="511"/>
        <v>0.76755324781839951</v>
      </c>
      <c r="BA140" s="685">
        <f t="shared" si="511"/>
        <v>0.75874468605166712</v>
      </c>
    </row>
    <row r="141" spans="2:53" s="659" customFormat="1" outlineLevel="1" x14ac:dyDescent="0.2">
      <c r="B141" s="682"/>
      <c r="C141" s="683" t="s">
        <v>29</v>
      </c>
      <c r="D141" s="684"/>
      <c r="E141" s="684"/>
      <c r="F141" s="684"/>
      <c r="G141" s="684"/>
      <c r="H141" s="685"/>
      <c r="I141" s="684"/>
      <c r="J141" s="684"/>
      <c r="K141" s="684"/>
      <c r="L141" s="684"/>
      <c r="M141" s="685"/>
      <c r="N141" s="684">
        <f t="shared" ref="N141" si="512">N139/I139-1</f>
        <v>1.0588235294117645</v>
      </c>
      <c r="O141" s="684">
        <f t="shared" ref="O141" si="513">O139/J139-1</f>
        <v>1.1688741721854305</v>
      </c>
      <c r="P141" s="684">
        <f t="shared" ref="P141" si="514">P139/K139-1</f>
        <v>1.0597014925373136</v>
      </c>
      <c r="Q141" s="684">
        <f t="shared" ref="Q141:R141" si="515">Q139/L139-1</f>
        <v>0.77570093457943923</v>
      </c>
      <c r="R141" s="685">
        <f t="shared" si="515"/>
        <v>0.99242424242424243</v>
      </c>
      <c r="S141" s="684">
        <f t="shared" ref="S141" si="516">S139/N139-1</f>
        <v>0.82857142857142851</v>
      </c>
      <c r="T141" s="684">
        <f t="shared" ref="T141" si="517">T139/O139-1</f>
        <v>0.96183206106870234</v>
      </c>
      <c r="U141" s="684">
        <f t="shared" ref="U141" si="518">U139/P139-1</f>
        <v>1.1231884057971016</v>
      </c>
      <c r="V141" s="684">
        <f t="shared" ref="V141:W141" si="519">V139/Q139-1</f>
        <v>2.0460526315789473</v>
      </c>
      <c r="W141" s="685">
        <f t="shared" si="519"/>
        <v>1.290874524714829</v>
      </c>
      <c r="X141" s="684">
        <f t="shared" ref="X141" si="520">X139/S139-1</f>
        <v>3.197916666666667</v>
      </c>
      <c r="Y141" s="684">
        <f t="shared" ref="Y141" si="521">Y139/T139-1</f>
        <v>3.1400778210116735</v>
      </c>
      <c r="Z141" s="684">
        <f t="shared" ref="Z141" si="522">Z139/U139-1</f>
        <v>2.8703071672354947</v>
      </c>
      <c r="AA141" s="684">
        <f t="shared" ref="AA141:AB141" si="523">AA139/V139-1</f>
        <v>2.0151187904967602</v>
      </c>
      <c r="AB141" s="685">
        <f t="shared" si="523"/>
        <v>2.6514522821576763</v>
      </c>
      <c r="AC141" s="684">
        <f t="shared" ref="AC141" si="524">AC139/X139-1</f>
        <v>0.94292803970223327</v>
      </c>
      <c r="AD141" s="684">
        <f t="shared" ref="AD141" si="525">AD139/Y139-1</f>
        <v>0.59398496240601495</v>
      </c>
      <c r="AE141" s="684">
        <f t="shared" ref="AE141" si="526">AE139/Z139-1</f>
        <v>0.5229276895943562</v>
      </c>
      <c r="AF141" s="684">
        <f t="shared" ref="AF141:AG141" si="527">AF139/AA139-1</f>
        <v>0.37965616045845274</v>
      </c>
      <c r="AG141" s="685">
        <f t="shared" si="527"/>
        <v>0.57159090909090904</v>
      </c>
      <c r="AH141" s="684">
        <f t="shared" ref="AH141" si="528">AH139/AC139-1</f>
        <v>0.29501915708812265</v>
      </c>
      <c r="AI141" s="684">
        <f t="shared" ref="AI141" si="529">AI139/AD139-1</f>
        <v>0.24764150943396235</v>
      </c>
      <c r="AJ141" s="684">
        <f t="shared" ref="AJ141" si="530">AJ139/AE139-1</f>
        <v>0.24898668210770114</v>
      </c>
      <c r="AK141" s="684">
        <f t="shared" ref="AK141:AS141" si="531">AK139/AF139-1</f>
        <v>0.22274143302180693</v>
      </c>
      <c r="AL141" s="685">
        <f t="shared" si="531"/>
        <v>0.25177151120751984</v>
      </c>
      <c r="AM141" s="684">
        <f t="shared" si="531"/>
        <v>0.22071005917159758</v>
      </c>
      <c r="AN141" s="684">
        <f t="shared" si="531"/>
        <v>0.19043005671077506</v>
      </c>
      <c r="AO141" s="684">
        <f t="shared" si="531"/>
        <v>0.1691376912378304</v>
      </c>
      <c r="AP141" s="684">
        <f t="shared" si="531"/>
        <v>0.17690021231422515</v>
      </c>
      <c r="AQ141" s="685">
        <f t="shared" ref="AQ141" si="532">AQ139/AL139-1</f>
        <v>0.18853743068391871</v>
      </c>
      <c r="AR141" s="684">
        <f t="shared" si="531"/>
        <v>0.16005008886734529</v>
      </c>
      <c r="AS141" s="684">
        <f t="shared" si="531"/>
        <v>0.20299331070485716</v>
      </c>
      <c r="AT141" s="684">
        <f t="shared" ref="AT141" si="533">AT139/AO139-1</f>
        <v>0.17649966016741847</v>
      </c>
      <c r="AU141" s="684">
        <f t="shared" ref="AU141" si="534">AU139/AP139-1</f>
        <v>0.17073054372925411</v>
      </c>
      <c r="AV141" s="685">
        <f t="shared" ref="AV141" si="535">AV139/AQ139-1</f>
        <v>0.17747399518661577</v>
      </c>
      <c r="AW141" s="684">
        <f t="shared" ref="AW141" si="536">AW139/AR139-1</f>
        <v>0.14859074071494716</v>
      </c>
      <c r="AX141" s="684">
        <f t="shared" ref="AX141" si="537">AX139/AS139-1</f>
        <v>0.13903839084177028</v>
      </c>
      <c r="AY141" s="684">
        <f t="shared" ref="AY141" si="538">AY139/AT139-1</f>
        <v>0.14753221340255007</v>
      </c>
      <c r="AZ141" s="684">
        <f t="shared" ref="AZ141" si="539">AZ139/AU139-1</f>
        <v>0.14256430622469396</v>
      </c>
      <c r="BA141" s="685">
        <f t="shared" ref="BA141" si="540">BA139/AV139-1</f>
        <v>0.14432772618457901</v>
      </c>
    </row>
    <row r="142" spans="2:53" s="659" customFormat="1" outlineLevel="1" x14ac:dyDescent="0.2">
      <c r="B142" s="682"/>
      <c r="C142" s="683" t="s">
        <v>76</v>
      </c>
      <c r="D142" s="684"/>
      <c r="E142" s="684"/>
      <c r="F142" s="684"/>
      <c r="G142" s="684"/>
      <c r="H142" s="686"/>
      <c r="I142" s="684"/>
      <c r="J142" s="684"/>
      <c r="K142" s="684"/>
      <c r="L142" s="684"/>
      <c r="M142" s="686"/>
      <c r="N142" s="684">
        <f>N139/L139-1</f>
        <v>0.22663551401869153</v>
      </c>
      <c r="O142" s="684">
        <f>O139/N139-1</f>
        <v>0.24761904761904763</v>
      </c>
      <c r="P142" s="684">
        <f>P139/O139-1</f>
        <v>5.3435114503816772E-2</v>
      </c>
      <c r="Q142" s="684">
        <f>Q139/P139-1</f>
        <v>0.10144927536231885</v>
      </c>
      <c r="R142" s="686"/>
      <c r="S142" s="684">
        <f>S139/Q139-1</f>
        <v>0.26315789473684204</v>
      </c>
      <c r="T142" s="684">
        <f>T139/S139-1</f>
        <v>0.33854166666666674</v>
      </c>
      <c r="U142" s="684">
        <f>U139/T139-1</f>
        <v>0.1400778210116731</v>
      </c>
      <c r="V142" s="684">
        <f>V139/U139-1</f>
        <v>0.58020477815699656</v>
      </c>
      <c r="W142" s="686"/>
      <c r="X142" s="684">
        <f>X139/V139-1</f>
        <v>0.74082073434125273</v>
      </c>
      <c r="Y142" s="684">
        <f>Y139/X139-1</f>
        <v>0.32009925558312657</v>
      </c>
      <c r="Z142" s="684">
        <f>Z139/Y139-1</f>
        <v>6.578947368421062E-2</v>
      </c>
      <c r="AA142" s="684">
        <f>AA139/Z139-1</f>
        <v>0.23104056437389775</v>
      </c>
      <c r="AB142" s="686"/>
      <c r="AC142" s="684">
        <f>AC139/AA139-1</f>
        <v>0.12177650429799436</v>
      </c>
      <c r="AD142" s="684">
        <f>AD139/AC139-1</f>
        <v>8.3014048531290019E-2</v>
      </c>
      <c r="AE142" s="684">
        <f>AE139/AD139-1</f>
        <v>1.827830188679247E-2</v>
      </c>
      <c r="AF142" s="684">
        <f>AF139/AE139-1</f>
        <v>0.11522872032426168</v>
      </c>
      <c r="AG142" s="686"/>
      <c r="AH142" s="684">
        <f>AH139/AF139-1</f>
        <v>5.2959501557632294E-2</v>
      </c>
      <c r="AI142" s="684">
        <f>AI139/AH139-1</f>
        <v>4.3392504930966469E-2</v>
      </c>
      <c r="AJ142" s="684">
        <f>AJ139/AI139-1</f>
        <v>1.937618147448017E-2</v>
      </c>
      <c r="AK142" s="684">
        <f>AK139/AJ139-1</f>
        <v>9.1794158553546668E-2</v>
      </c>
      <c r="AL142" s="686"/>
      <c r="AM142" s="684">
        <f>AM139/AK139-1</f>
        <v>5.1210191082802448E-2</v>
      </c>
      <c r="AN142" s="684">
        <f>AN139/AM139-1</f>
        <v>1.7510906446921881E-2</v>
      </c>
      <c r="AO142" s="684">
        <f>AO139/AN139-1</f>
        <v>1.1433335318287163E-3</v>
      </c>
      <c r="AP142" s="684">
        <f>AP139/AO139-1</f>
        <v>9.9043155169063812E-2</v>
      </c>
      <c r="AQ142" s="686"/>
      <c r="AR142" s="684">
        <f>AR139/AP139-1</f>
        <v>3.6159618992639642E-2</v>
      </c>
      <c r="AS142" s="684">
        <f>AS139/AR139-1</f>
        <v>5.5177552910697703E-2</v>
      </c>
      <c r="AT142" s="684">
        <f>AT139/AS139-1</f>
        <v>-2.0904953337645082E-2</v>
      </c>
      <c r="AU142" s="684">
        <f>AU139/AT139-1</f>
        <v>9.3653856601960239E-2</v>
      </c>
      <c r="AV142" s="686"/>
      <c r="AW142" s="684">
        <f>AW139/AU139-1</f>
        <v>1.6564700265396137E-2</v>
      </c>
      <c r="AX142" s="684">
        <f>AX139/AW139-1</f>
        <v>4.6402081538317042E-2</v>
      </c>
      <c r="AY142" s="684">
        <f>AY139/AX139-1</f>
        <v>-1.3603830159222285E-2</v>
      </c>
      <c r="AZ142" s="684">
        <f>AZ139/AY139-1</f>
        <v>8.8919200109666363E-2</v>
      </c>
      <c r="BA142" s="686"/>
    </row>
    <row r="143" spans="2:53" s="654" customFormat="1" ht="18.75" customHeight="1" outlineLevel="1" x14ac:dyDescent="0.2">
      <c r="B143" s="691" t="s">
        <v>304</v>
      </c>
      <c r="C143" s="692"/>
      <c r="D143" s="692"/>
      <c r="E143" s="692"/>
      <c r="F143" s="692"/>
      <c r="G143" s="708"/>
      <c r="H143" s="709"/>
      <c r="I143" s="692">
        <v>13070</v>
      </c>
      <c r="J143" s="692">
        <v>14317</v>
      </c>
      <c r="K143" s="692">
        <v>15400</v>
      </c>
      <c r="L143" s="708">
        <v>16813</v>
      </c>
      <c r="M143" s="709">
        <f>SUM(I143:L143)</f>
        <v>59600</v>
      </c>
      <c r="N143" s="692">
        <v>18048</v>
      </c>
      <c r="O143" s="692">
        <v>19900</v>
      </c>
      <c r="P143" s="692">
        <v>22292</v>
      </c>
      <c r="Q143" s="708">
        <v>23600</v>
      </c>
      <c r="R143" s="709">
        <f>SUM(N143:Q143)</f>
        <v>83840</v>
      </c>
      <c r="S143" s="692">
        <v>24600</v>
      </c>
      <c r="T143" s="692">
        <v>26600</v>
      </c>
      <c r="U143" s="692">
        <v>29300</v>
      </c>
      <c r="V143" s="708">
        <v>31200</v>
      </c>
      <c r="W143" s="709">
        <f>SUM(S143:V143)</f>
        <v>111700</v>
      </c>
      <c r="X143" s="692">
        <v>36900</v>
      </c>
      <c r="Y143" s="692">
        <v>49200</v>
      </c>
      <c r="Z143" s="692">
        <v>52100</v>
      </c>
      <c r="AA143" s="692">
        <f>SUM(AA11,AA67)</f>
        <v>55300</v>
      </c>
      <c r="AB143" s="709">
        <f>SUM(X143:AA143)</f>
        <v>193500</v>
      </c>
      <c r="AC143" s="692">
        <f>SUM(AC11,AC67)</f>
        <v>58200</v>
      </c>
      <c r="AD143" s="692">
        <f>SUM(AD11,AD67)</f>
        <v>61500</v>
      </c>
      <c r="AE143" s="692">
        <f>SUM(AE11,AE67)</f>
        <v>66700</v>
      </c>
      <c r="AF143" s="692">
        <f>SUM(AF11,AF67)</f>
        <v>66900</v>
      </c>
      <c r="AG143" s="709">
        <f>SUM(AC143:AF143)</f>
        <v>253300</v>
      </c>
      <c r="AH143" s="692">
        <f>SUM(AH11,AH67)</f>
        <v>62400</v>
      </c>
      <c r="AI143" s="692">
        <f>SUM(AI11,AI67)</f>
        <v>63400</v>
      </c>
      <c r="AJ143" s="692">
        <f>SUM(AJ11,AJ67)</f>
        <v>65600</v>
      </c>
      <c r="AK143" s="692">
        <f>SUM(AK11,AK67)</f>
        <v>65800</v>
      </c>
      <c r="AL143" s="709">
        <f>SUM(AH143:AK143)</f>
        <v>257200</v>
      </c>
      <c r="AM143" s="692">
        <f>SUM(AM11,AM67)</f>
        <v>67383</v>
      </c>
      <c r="AN143" s="692">
        <f>SUM(AN11,AN67)</f>
        <v>67721</v>
      </c>
      <c r="AO143" s="692">
        <f>SUM(AO11,AO67)</f>
        <v>68115</v>
      </c>
      <c r="AP143" s="692">
        <f>SUM(AP11,AP67)</f>
        <v>68787</v>
      </c>
      <c r="AQ143" s="709">
        <f>SUM(AM143:AP143)</f>
        <v>272006</v>
      </c>
      <c r="AR143" s="692">
        <f>SUM(AR11,AR67)</f>
        <v>70823</v>
      </c>
      <c r="AS143" s="692">
        <f>SUM(AS11,AS67)</f>
        <v>72100</v>
      </c>
      <c r="AT143" s="692">
        <f>SUM(AT11,AT67)</f>
        <v>72361.685428523604</v>
      </c>
      <c r="AU143" s="692">
        <f>SUM(AU11,AU67)</f>
        <v>73465.458758312088</v>
      </c>
      <c r="AV143" s="709">
        <f>SUM(AR143:AU143)</f>
        <v>288750.14418683568</v>
      </c>
      <c r="AW143" s="692">
        <f>SUM(AW11,AW67)</f>
        <v>76928.960200601869</v>
      </c>
      <c r="AX143" s="692">
        <f>SUM(AX11,AX67)</f>
        <v>78464.912345553457</v>
      </c>
      <c r="AY143" s="692">
        <f>SUM(AY11,AY67)</f>
        <v>78779.436316119842</v>
      </c>
      <c r="AZ143" s="692">
        <f>SUM(AZ11,AZ67)</f>
        <v>80148.650206364677</v>
      </c>
      <c r="BA143" s="709">
        <f>SUM(AW143:AZ143)</f>
        <v>314321.95906863984</v>
      </c>
    </row>
    <row r="144" spans="2:53" s="659" customFormat="1" outlineLevel="1" x14ac:dyDescent="0.2">
      <c r="B144" s="699"/>
      <c r="C144" s="700" t="s">
        <v>83</v>
      </c>
      <c r="D144" s="701"/>
      <c r="E144" s="701"/>
      <c r="F144" s="701"/>
      <c r="G144" s="701"/>
      <c r="H144" s="702"/>
      <c r="I144" s="701"/>
      <c r="J144" s="701"/>
      <c r="K144" s="701"/>
      <c r="L144" s="701"/>
      <c r="M144" s="702">
        <f t="shared" ref="M144:AV144" si="541">M143/M154</f>
        <v>0.54981565006437927</v>
      </c>
      <c r="N144" s="701">
        <f t="shared" si="541"/>
        <v>0.51302306171181977</v>
      </c>
      <c r="O144" s="701">
        <f t="shared" si="541"/>
        <v>0.50874322527865834</v>
      </c>
      <c r="P144" s="701">
        <f t="shared" si="541"/>
        <v>0.54067426631093862</v>
      </c>
      <c r="Q144" s="701">
        <f t="shared" si="541"/>
        <v>0.56045026003942156</v>
      </c>
      <c r="R144" s="702">
        <f t="shared" si="541"/>
        <v>0.53186257409552196</v>
      </c>
      <c r="S144" s="701">
        <f t="shared" si="541"/>
        <v>0.53222561173492566</v>
      </c>
      <c r="T144" s="701">
        <f t="shared" si="541"/>
        <v>0.49248315189217212</v>
      </c>
      <c r="U144" s="701">
        <f t="shared" si="541"/>
        <v>0.49065577064773258</v>
      </c>
      <c r="V144" s="701">
        <f t="shared" si="541"/>
        <v>0.39866600222332965</v>
      </c>
      <c r="W144" s="702">
        <f t="shared" si="541"/>
        <v>0.46891398345997232</v>
      </c>
      <c r="X144" s="701">
        <f t="shared" si="541"/>
        <v>0.31191094055095814</v>
      </c>
      <c r="Y144" s="701">
        <f t="shared" si="541"/>
        <v>0.31422038856033413</v>
      </c>
      <c r="Z144" s="701">
        <f t="shared" si="541"/>
        <v>0.3121423992427102</v>
      </c>
      <c r="AA144" s="701">
        <f t="shared" si="541"/>
        <v>0.27608449283827841</v>
      </c>
      <c r="AB144" s="702">
        <f t="shared" si="541"/>
        <v>0.30135821446425987</v>
      </c>
      <c r="AC144" s="701">
        <f t="shared" si="541"/>
        <v>0.25290712833081297</v>
      </c>
      <c r="AD144" s="701">
        <f t="shared" si="541"/>
        <v>0.23653846153846153</v>
      </c>
      <c r="AE144" s="701">
        <f t="shared" si="541"/>
        <v>0.24477064220183486</v>
      </c>
      <c r="AF144" s="701">
        <f t="shared" si="541"/>
        <v>0.22603413149172391</v>
      </c>
      <c r="AG144" s="702">
        <f t="shared" si="541"/>
        <v>0.23927897018412106</v>
      </c>
      <c r="AH144" s="701">
        <f t="shared" si="541"/>
        <v>0.20456132414118666</v>
      </c>
      <c r="AI144" s="701">
        <f t="shared" si="541"/>
        <v>0.19905620983161854</v>
      </c>
      <c r="AJ144" s="701">
        <f t="shared" si="541"/>
        <v>0.20307459895862354</v>
      </c>
      <c r="AK144" s="701">
        <f t="shared" si="541"/>
        <v>0.19146886884964456</v>
      </c>
      <c r="AL144" s="702">
        <f t="shared" si="541"/>
        <v>0.19934291243715313</v>
      </c>
      <c r="AM144" s="701">
        <f t="shared" si="541"/>
        <v>0.18798437717952293</v>
      </c>
      <c r="AN144" s="701">
        <f t="shared" ref="AN144:AP144" si="542">AN143/AN154</f>
        <v>0.18678872664485843</v>
      </c>
      <c r="AO144" s="701">
        <f t="shared" si="542"/>
        <v>0.19015010454556874</v>
      </c>
      <c r="AP144" s="701">
        <f t="shared" si="542"/>
        <v>0.17943701431332806</v>
      </c>
      <c r="AQ144" s="702">
        <f t="shared" si="541"/>
        <v>0.18597810703077461</v>
      </c>
      <c r="AR144" s="701">
        <f t="shared" ref="AR144:AS144" si="543">AR143/AR154</f>
        <v>0.17896300863443515</v>
      </c>
      <c r="AS144" s="701">
        <f t="shared" si="543"/>
        <v>0.17387278107222351</v>
      </c>
      <c r="AT144" s="701">
        <f t="shared" si="541"/>
        <v>0.1796203432272461</v>
      </c>
      <c r="AU144" s="701">
        <f t="shared" si="541"/>
        <v>0.17091047434056084</v>
      </c>
      <c r="AV144" s="702">
        <f t="shared" si="541"/>
        <v>0.17573298075529883</v>
      </c>
      <c r="AW144" s="701">
        <f t="shared" ref="AW144:BA144" si="544">AW143/AW154</f>
        <v>0.17514623974421545</v>
      </c>
      <c r="AX144" s="701">
        <f t="shared" si="544"/>
        <v>0.1723782677257622</v>
      </c>
      <c r="AY144" s="701">
        <f t="shared" si="544"/>
        <v>0.17523718984184988</v>
      </c>
      <c r="AZ144" s="701">
        <f t="shared" si="544"/>
        <v>0.16593445460206732</v>
      </c>
      <c r="BA144" s="702">
        <f t="shared" si="544"/>
        <v>0.17204360282933109</v>
      </c>
    </row>
    <row r="145" spans="2:53" s="659" customFormat="1" outlineLevel="1" x14ac:dyDescent="0.2">
      <c r="B145" s="699"/>
      <c r="C145" s="700" t="s">
        <v>29</v>
      </c>
      <c r="D145" s="701"/>
      <c r="E145" s="701"/>
      <c r="F145" s="701"/>
      <c r="G145" s="701"/>
      <c r="H145" s="702"/>
      <c r="I145" s="701"/>
      <c r="J145" s="701"/>
      <c r="K145" s="701"/>
      <c r="L145" s="701"/>
      <c r="M145" s="702"/>
      <c r="N145" s="701">
        <f t="shared" ref="N145" si="545">N143/I143-1</f>
        <v>0.38087222647283858</v>
      </c>
      <c r="O145" s="701">
        <f t="shared" ref="O145" si="546">O143/J143-1</f>
        <v>0.38995599636795419</v>
      </c>
      <c r="P145" s="701">
        <f t="shared" ref="P145" si="547">P143/K143-1</f>
        <v>0.44753246753246745</v>
      </c>
      <c r="Q145" s="701">
        <f t="shared" ref="Q145:R145" si="548">Q143/L143-1</f>
        <v>0.40367572711592214</v>
      </c>
      <c r="R145" s="702">
        <f t="shared" si="548"/>
        <v>0.40671140939597317</v>
      </c>
      <c r="S145" s="701">
        <f t="shared" ref="S145" si="549">S143/N143-1</f>
        <v>0.36303191489361697</v>
      </c>
      <c r="T145" s="701">
        <f t="shared" ref="T145" si="550">T143/O143-1</f>
        <v>0.33668341708542715</v>
      </c>
      <c r="U145" s="701">
        <f t="shared" ref="U145" si="551">U143/P143-1</f>
        <v>0.31437286919074103</v>
      </c>
      <c r="V145" s="701">
        <f t="shared" ref="V145:W145" si="552">V143/Q143-1</f>
        <v>0.32203389830508478</v>
      </c>
      <c r="W145" s="702">
        <f t="shared" si="552"/>
        <v>0.33229961832061061</v>
      </c>
      <c r="X145" s="701">
        <f t="shared" ref="X145" si="553">X143/S143-1</f>
        <v>0.5</v>
      </c>
      <c r="Y145" s="701">
        <f t="shared" ref="Y145" si="554">Y143/T143-1</f>
        <v>0.84962406015037595</v>
      </c>
      <c r="Z145" s="701">
        <f t="shared" ref="Z145" si="555">Z143/U143-1</f>
        <v>0.77815699658703075</v>
      </c>
      <c r="AA145" s="701">
        <f t="shared" ref="AA145:AB145" si="556">AA143/V143-1</f>
        <v>0.77243589743589736</v>
      </c>
      <c r="AB145" s="702">
        <f t="shared" si="556"/>
        <v>0.73231871083258726</v>
      </c>
      <c r="AC145" s="701">
        <f t="shared" ref="AC145" si="557">AC143/X143-1</f>
        <v>0.5772357723577235</v>
      </c>
      <c r="AD145" s="701">
        <f t="shared" ref="AD145" si="558">AD143/Y143-1</f>
        <v>0.25</v>
      </c>
      <c r="AE145" s="701">
        <f t="shared" ref="AE145" si="559">AE143/Z143-1</f>
        <v>0.28023032629558542</v>
      </c>
      <c r="AF145" s="701">
        <f t="shared" ref="AF145:AG145" si="560">AF143/AA143-1</f>
        <v>0.20976491862567803</v>
      </c>
      <c r="AG145" s="702">
        <f t="shared" si="560"/>
        <v>0.3090439276485788</v>
      </c>
      <c r="AH145" s="701">
        <f t="shared" ref="AH145" si="561">AH143/AC143-1</f>
        <v>7.2164948453608213E-2</v>
      </c>
      <c r="AI145" s="701">
        <f t="shared" ref="AI145" si="562">AI143/AD143-1</f>
        <v>3.0894308943089532E-2</v>
      </c>
      <c r="AJ145" s="701">
        <f t="shared" ref="AJ145" si="563">AJ143/AE143-1</f>
        <v>-1.6491754122938573E-2</v>
      </c>
      <c r="AK145" s="701">
        <f t="shared" ref="AK145:AS145" si="564">AK143/AF143-1</f>
        <v>-1.6442451420029869E-2</v>
      </c>
      <c r="AL145" s="702">
        <f t="shared" si="564"/>
        <v>1.5396762731938463E-2</v>
      </c>
      <c r="AM145" s="701">
        <f t="shared" si="564"/>
        <v>7.9855769230769313E-2</v>
      </c>
      <c r="AN145" s="701">
        <f t="shared" si="564"/>
        <v>6.8154574132492041E-2</v>
      </c>
      <c r="AO145" s="701">
        <f t="shared" si="564"/>
        <v>3.8338414634146334E-2</v>
      </c>
      <c r="AP145" s="701">
        <f t="shared" si="564"/>
        <v>4.5395136778115575E-2</v>
      </c>
      <c r="AQ145" s="702">
        <f t="shared" ref="AQ145" si="565">AQ143/AL143-1</f>
        <v>5.7566096423017132E-2</v>
      </c>
      <c r="AR145" s="701">
        <f t="shared" si="564"/>
        <v>5.1051452146683829E-2</v>
      </c>
      <c r="AS145" s="701">
        <f t="shared" si="564"/>
        <v>6.4662364702234187E-2</v>
      </c>
      <c r="AT145" s="701">
        <f t="shared" ref="AT145" si="566">AT143/AO143-1</f>
        <v>6.2345818520496366E-2</v>
      </c>
      <c r="AU145" s="701">
        <f t="shared" ref="AU145" si="567">AU143/AP143-1</f>
        <v>6.8013705472139918E-2</v>
      </c>
      <c r="AV145" s="702">
        <f t="shared" ref="AV145" si="568">AV143/AQ143-1</f>
        <v>6.1557995731107651E-2</v>
      </c>
      <c r="AW145" s="701">
        <f t="shared" ref="AW145" si="569">AW143/AR143-1</f>
        <v>8.6214368222214066E-2</v>
      </c>
      <c r="AX145" s="701">
        <f t="shared" ref="AX145" si="570">AX143/AS143-1</f>
        <v>8.8278950701157433E-2</v>
      </c>
      <c r="AY145" s="701">
        <f t="shared" ref="AY145" si="571">AY143/AT143-1</f>
        <v>8.8689903359637334E-2</v>
      </c>
      <c r="AZ145" s="701">
        <f t="shared" ref="AZ145" si="572">AZ143/AU143-1</f>
        <v>9.0970526299156029E-2</v>
      </c>
      <c r="BA145" s="702">
        <f t="shared" ref="BA145" si="573">BA143/AV143-1</f>
        <v>8.8560353636595757E-2</v>
      </c>
    </row>
    <row r="146" spans="2:53" s="659" customFormat="1" outlineLevel="1" x14ac:dyDescent="0.2">
      <c r="B146" s="699"/>
      <c r="C146" s="700" t="s">
        <v>76</v>
      </c>
      <c r="D146" s="701"/>
      <c r="E146" s="701"/>
      <c r="F146" s="701"/>
      <c r="G146" s="701"/>
      <c r="H146" s="703"/>
      <c r="I146" s="701"/>
      <c r="J146" s="701"/>
      <c r="K146" s="701"/>
      <c r="L146" s="701"/>
      <c r="M146" s="703"/>
      <c r="N146" s="701">
        <f>N143/L143-1</f>
        <v>7.3455064533396675E-2</v>
      </c>
      <c r="O146" s="701">
        <f>O143/N143-1</f>
        <v>0.10261524822695045</v>
      </c>
      <c r="P146" s="701">
        <f>P143/O143-1</f>
        <v>0.12020100502512565</v>
      </c>
      <c r="Q146" s="701">
        <f>Q143/P143-1</f>
        <v>5.8675758119504762E-2</v>
      </c>
      <c r="R146" s="703"/>
      <c r="S146" s="701">
        <f>S143/Q143-1</f>
        <v>4.2372881355932313E-2</v>
      </c>
      <c r="T146" s="701">
        <f>T143/S143-1</f>
        <v>8.1300813008130079E-2</v>
      </c>
      <c r="U146" s="701">
        <f>U143/T143-1</f>
        <v>0.10150375939849621</v>
      </c>
      <c r="V146" s="701">
        <f>V143/U143-1</f>
        <v>6.4846416382252636E-2</v>
      </c>
      <c r="W146" s="703"/>
      <c r="X146" s="701">
        <f>X143/V143-1</f>
        <v>0.18269230769230771</v>
      </c>
      <c r="Y146" s="701">
        <f>Y143/X143-1</f>
        <v>0.33333333333333326</v>
      </c>
      <c r="Z146" s="701">
        <f>Z143/Y143-1</f>
        <v>5.8943089430894213E-2</v>
      </c>
      <c r="AA146" s="701">
        <f>AA143/Z143-1</f>
        <v>6.1420345489443307E-2</v>
      </c>
      <c r="AB146" s="703"/>
      <c r="AC146" s="701">
        <f>AC143/AA143-1</f>
        <v>5.2441229656419619E-2</v>
      </c>
      <c r="AD146" s="701">
        <f>AD143/AC143-1</f>
        <v>5.6701030927835072E-2</v>
      </c>
      <c r="AE146" s="701">
        <f>AE143/AD143-1</f>
        <v>8.4552845528455212E-2</v>
      </c>
      <c r="AF146" s="701">
        <f>AF143/AE143-1</f>
        <v>2.9985007496251548E-3</v>
      </c>
      <c r="AG146" s="703"/>
      <c r="AH146" s="701">
        <f>AH143/AF143-1</f>
        <v>-6.7264573991031362E-2</v>
      </c>
      <c r="AI146" s="701">
        <f>AI143/AH143-1</f>
        <v>1.6025641025640969E-2</v>
      </c>
      <c r="AJ146" s="701">
        <f>AJ143/AI143-1</f>
        <v>3.4700315457413256E-2</v>
      </c>
      <c r="AK146" s="701">
        <f>AK143/AJ143-1</f>
        <v>3.0487804878047697E-3</v>
      </c>
      <c r="AL146" s="703"/>
      <c r="AM146" s="701">
        <f>AM143/AK143-1</f>
        <v>2.4057750759878482E-2</v>
      </c>
      <c r="AN146" s="701">
        <f>AN143/AM143-1</f>
        <v>5.0161019841798993E-3</v>
      </c>
      <c r="AO146" s="701">
        <f>AO143/AN143-1</f>
        <v>5.8179885116875774E-3</v>
      </c>
      <c r="AP146" s="701">
        <f>AP143/AO143-1</f>
        <v>9.865668354987811E-3</v>
      </c>
      <c r="AQ146" s="703"/>
      <c r="AR146" s="701">
        <f>AR143/AP143-1</f>
        <v>2.9598616017561419E-2</v>
      </c>
      <c r="AS146" s="701">
        <f>AS143/AR143-1</f>
        <v>1.8030865679228514E-2</v>
      </c>
      <c r="AT146" s="701">
        <f>AT143/AS143-1</f>
        <v>3.6294788976920511E-3</v>
      </c>
      <c r="AU146" s="701">
        <f>AU143/AT143-1</f>
        <v>1.5253560268144284E-2</v>
      </c>
      <c r="AV146" s="703"/>
      <c r="AW146" s="701">
        <f>AW143/AU143-1</f>
        <v>4.714462416527021E-2</v>
      </c>
      <c r="AX146" s="701">
        <f>AX143/AW143-1</f>
        <v>1.9965850844030575E-2</v>
      </c>
      <c r="AY146" s="701">
        <f>AY143/AX143-1</f>
        <v>4.0084664745592136E-3</v>
      </c>
      <c r="AZ146" s="701">
        <f>AZ143/AY143-1</f>
        <v>1.7380346373012445E-2</v>
      </c>
      <c r="BA146" s="703"/>
    </row>
    <row r="147" spans="2:53" s="654" customFormat="1" ht="18.75" customHeight="1" outlineLevel="1" x14ac:dyDescent="0.2">
      <c r="B147" s="710" t="s">
        <v>426</v>
      </c>
      <c r="C147" s="711"/>
      <c r="D147" s="711"/>
      <c r="E147" s="711"/>
      <c r="F147" s="711"/>
      <c r="G147" s="750"/>
      <c r="H147" s="712"/>
      <c r="I147" s="711">
        <f t="shared" ref="I147:K147" si="574">SUM(I139,I143)</f>
        <v>18170</v>
      </c>
      <c r="J147" s="711">
        <f t="shared" si="574"/>
        <v>20357</v>
      </c>
      <c r="K147" s="711">
        <f t="shared" si="574"/>
        <v>22100</v>
      </c>
      <c r="L147" s="711">
        <f>SUM(L139,L143)</f>
        <v>25373</v>
      </c>
      <c r="M147" s="712">
        <f>SUM(I147:L147)</f>
        <v>86000</v>
      </c>
      <c r="N147" s="711">
        <f t="shared" ref="N147:P147" si="575">SUM(N139,N143)</f>
        <v>28548</v>
      </c>
      <c r="O147" s="711">
        <f t="shared" si="575"/>
        <v>33000</v>
      </c>
      <c r="P147" s="711">
        <f t="shared" si="575"/>
        <v>36092</v>
      </c>
      <c r="Q147" s="711">
        <f>SUM(Q139,Q143)</f>
        <v>38800</v>
      </c>
      <c r="R147" s="712">
        <f>SUM(N147:Q147)</f>
        <v>136440</v>
      </c>
      <c r="S147" s="711">
        <f t="shared" ref="S147:U147" si="576">SUM(S139,S143)</f>
        <v>43800</v>
      </c>
      <c r="T147" s="711">
        <f t="shared" si="576"/>
        <v>52300</v>
      </c>
      <c r="U147" s="711">
        <f t="shared" si="576"/>
        <v>58600</v>
      </c>
      <c r="V147" s="711">
        <f>SUM(V139,V143)</f>
        <v>77500</v>
      </c>
      <c r="W147" s="712">
        <f>SUM(S147:V147)</f>
        <v>232200</v>
      </c>
      <c r="X147" s="711">
        <f t="shared" ref="X147:Z147" si="577">SUM(X139,X143)</f>
        <v>117500</v>
      </c>
      <c r="Y147" s="711">
        <f t="shared" si="577"/>
        <v>155600</v>
      </c>
      <c r="Z147" s="711">
        <f t="shared" si="577"/>
        <v>165500</v>
      </c>
      <c r="AA147" s="711">
        <f>SUM(AA139,AA143)</f>
        <v>194900</v>
      </c>
      <c r="AB147" s="712">
        <f>SUM(X147:AA147)</f>
        <v>633500</v>
      </c>
      <c r="AC147" s="711">
        <f t="shared" ref="AC147:AE147" si="578">SUM(AC139,AC143)</f>
        <v>214800</v>
      </c>
      <c r="AD147" s="711">
        <f t="shared" si="578"/>
        <v>231100</v>
      </c>
      <c r="AE147" s="711">
        <f t="shared" si="578"/>
        <v>239400</v>
      </c>
      <c r="AF147" s="711">
        <f>SUM(AF139,AF143)</f>
        <v>259500</v>
      </c>
      <c r="AG147" s="712">
        <f>SUM(AC147:AF147)</f>
        <v>944800</v>
      </c>
      <c r="AH147" s="711">
        <f t="shared" ref="AH147:AJ147" si="579">SUM(AH139,AH143)</f>
        <v>265200</v>
      </c>
      <c r="AI147" s="711">
        <f t="shared" si="579"/>
        <v>275000</v>
      </c>
      <c r="AJ147" s="711">
        <f t="shared" si="579"/>
        <v>281300</v>
      </c>
      <c r="AK147" s="711">
        <f>SUM(AK139,AK143)</f>
        <v>301300</v>
      </c>
      <c r="AL147" s="712">
        <f>SUM(AH147:AK147)</f>
        <v>1122800</v>
      </c>
      <c r="AM147" s="711">
        <f t="shared" ref="AM147:AO147" si="580">SUM(AM139,AM143)</f>
        <v>314943</v>
      </c>
      <c r="AN147" s="711">
        <f t="shared" si="580"/>
        <v>319616</v>
      </c>
      <c r="AO147" s="711">
        <f t="shared" si="580"/>
        <v>320298</v>
      </c>
      <c r="AP147" s="711">
        <f>SUM(AP139,AP143)</f>
        <v>345947</v>
      </c>
      <c r="AQ147" s="712">
        <f>SUM(AM147:AP147)</f>
        <v>1300804</v>
      </c>
      <c r="AR147" s="711">
        <f t="shared" ref="AR147:AS147" si="581">SUM(AR139,AR143)</f>
        <v>358005</v>
      </c>
      <c r="AS147" s="711">
        <f t="shared" si="581"/>
        <v>375128</v>
      </c>
      <c r="AT147" s="711">
        <f t="shared" ref="AT147" si="582">SUM(AT139,AT143)</f>
        <v>369054.89922852372</v>
      </c>
      <c r="AU147" s="711">
        <f>SUM(AU139,AU143)</f>
        <v>397945.13625831215</v>
      </c>
      <c r="AV147" s="712">
        <f>SUM(AR147:AU147)</f>
        <v>1500133.035486836</v>
      </c>
      <c r="AW147" s="711">
        <f t="shared" ref="AW147:AY147" si="583">SUM(AW139,AW143)</f>
        <v>406783.5463006018</v>
      </c>
      <c r="AX147" s="711">
        <f t="shared" si="583"/>
        <v>423625.43784555345</v>
      </c>
      <c r="AY147" s="711">
        <f t="shared" si="583"/>
        <v>419244.45664954995</v>
      </c>
      <c r="AZ147" s="711">
        <f>SUM(AZ139,AZ143)</f>
        <v>450887.54781316471</v>
      </c>
      <c r="BA147" s="712">
        <f>SUM(AW147:AZ147)</f>
        <v>1700540.98860887</v>
      </c>
    </row>
    <row r="148" spans="2:53" s="659" customFormat="1" outlineLevel="1" x14ac:dyDescent="0.2">
      <c r="B148" s="713"/>
      <c r="C148" s="714" t="s">
        <v>29</v>
      </c>
      <c r="D148" s="715"/>
      <c r="E148" s="715"/>
      <c r="F148" s="715"/>
      <c r="G148" s="715"/>
      <c r="H148" s="716"/>
      <c r="I148" s="715"/>
      <c r="J148" s="715"/>
      <c r="K148" s="715"/>
      <c r="L148" s="715"/>
      <c r="M148" s="716"/>
      <c r="N148" s="715">
        <f t="shared" ref="N148:AV148" si="584">N147/I147-1</f>
        <v>0.57116125481563018</v>
      </c>
      <c r="O148" s="715">
        <f t="shared" si="584"/>
        <v>0.62106400746671908</v>
      </c>
      <c r="P148" s="715">
        <f t="shared" si="584"/>
        <v>0.63312217194570142</v>
      </c>
      <c r="Q148" s="715">
        <f t="shared" si="584"/>
        <v>0.52918456627123311</v>
      </c>
      <c r="R148" s="716">
        <f t="shared" si="584"/>
        <v>0.58651162790697664</v>
      </c>
      <c r="S148" s="715">
        <f t="shared" si="584"/>
        <v>0.53425809163514071</v>
      </c>
      <c r="T148" s="715">
        <f t="shared" si="584"/>
        <v>0.58484848484848495</v>
      </c>
      <c r="U148" s="715">
        <f t="shared" si="584"/>
        <v>0.62362850493184085</v>
      </c>
      <c r="V148" s="715">
        <f t="shared" si="584"/>
        <v>0.99742268041237114</v>
      </c>
      <c r="W148" s="716">
        <f t="shared" si="584"/>
        <v>0.70184696569920835</v>
      </c>
      <c r="X148" s="715">
        <f t="shared" si="584"/>
        <v>1.682648401826484</v>
      </c>
      <c r="Y148" s="715">
        <f t="shared" si="584"/>
        <v>1.9751434034416828</v>
      </c>
      <c r="Z148" s="715">
        <f t="shared" si="584"/>
        <v>1.824232081911263</v>
      </c>
      <c r="AA148" s="715">
        <f t="shared" si="584"/>
        <v>1.5148387096774192</v>
      </c>
      <c r="AB148" s="716">
        <f t="shared" si="584"/>
        <v>1.728251507321275</v>
      </c>
      <c r="AC148" s="715">
        <f t="shared" si="584"/>
        <v>0.82808510638297883</v>
      </c>
      <c r="AD148" s="715">
        <f t="shared" si="584"/>
        <v>0.48521850899742924</v>
      </c>
      <c r="AE148" s="715">
        <f t="shared" si="584"/>
        <v>0.44652567975830815</v>
      </c>
      <c r="AF148" s="715">
        <f t="shared" si="584"/>
        <v>0.3314520266803489</v>
      </c>
      <c r="AG148" s="716">
        <f t="shared" si="584"/>
        <v>0.49139700078926607</v>
      </c>
      <c r="AH148" s="715">
        <f t="shared" si="584"/>
        <v>0.23463687150837997</v>
      </c>
      <c r="AI148" s="715">
        <f t="shared" si="584"/>
        <v>0.18996105581999134</v>
      </c>
      <c r="AJ148" s="715">
        <f t="shared" si="584"/>
        <v>0.1750208855472013</v>
      </c>
      <c r="AK148" s="715">
        <f t="shared" si="584"/>
        <v>0.16107899807321768</v>
      </c>
      <c r="AL148" s="716">
        <f t="shared" si="584"/>
        <v>0.18839966130397978</v>
      </c>
      <c r="AM148" s="715">
        <f t="shared" si="584"/>
        <v>0.18756787330316738</v>
      </c>
      <c r="AN148" s="715">
        <f t="shared" si="584"/>
        <v>0.16223999999999994</v>
      </c>
      <c r="AO148" s="715">
        <f t="shared" si="584"/>
        <v>0.138634909349449</v>
      </c>
      <c r="AP148" s="715">
        <f t="shared" si="584"/>
        <v>0.14818121473614343</v>
      </c>
      <c r="AQ148" s="716">
        <f t="shared" si="584"/>
        <v>0.15853580334877093</v>
      </c>
      <c r="AR148" s="715">
        <f t="shared" si="584"/>
        <v>0.13672950343395462</v>
      </c>
      <c r="AS148" s="715">
        <f t="shared" si="584"/>
        <v>0.17368342010412485</v>
      </c>
      <c r="AT148" s="715">
        <f t="shared" si="584"/>
        <v>0.15222355190642367</v>
      </c>
      <c r="AU148" s="715">
        <f t="shared" si="584"/>
        <v>0.15030665465609516</v>
      </c>
      <c r="AV148" s="716">
        <f t="shared" si="584"/>
        <v>0.15323525718466113</v>
      </c>
      <c r="AW148" s="715">
        <f t="shared" ref="AW148" si="585">AW147/AR147-1</f>
        <v>0.13625101968017717</v>
      </c>
      <c r="AX148" s="715">
        <f t="shared" ref="AX148" si="586">AX147/AS147-1</f>
        <v>0.12928237253831609</v>
      </c>
      <c r="AY148" s="715">
        <f t="shared" ref="AY148" si="587">AY147/AT147-1</f>
        <v>0.13599482766911652</v>
      </c>
      <c r="AZ148" s="715">
        <f t="shared" ref="AZ148" si="588">AZ147/AU147-1</f>
        <v>0.13303947386477621</v>
      </c>
      <c r="BA148" s="716">
        <f t="shared" ref="BA148" si="589">BA147/AV147-1</f>
        <v>0.13359345363459441</v>
      </c>
    </row>
    <row r="149" spans="2:53" s="659" customFormat="1" outlineLevel="1" x14ac:dyDescent="0.2">
      <c r="B149" s="713"/>
      <c r="C149" s="714" t="s">
        <v>76</v>
      </c>
      <c r="D149" s="715"/>
      <c r="E149" s="715"/>
      <c r="F149" s="715"/>
      <c r="G149" s="715"/>
      <c r="H149" s="749"/>
      <c r="I149" s="715"/>
      <c r="J149" s="715"/>
      <c r="K149" s="715"/>
      <c r="L149" s="715"/>
      <c r="M149" s="749"/>
      <c r="N149" s="715">
        <f>N147/L147-1</f>
        <v>0.12513301541008159</v>
      </c>
      <c r="O149" s="715">
        <f>O147/N147-1</f>
        <v>0.15594787725935277</v>
      </c>
      <c r="P149" s="715">
        <f>P147/O147-1</f>
        <v>9.3696969696969612E-2</v>
      </c>
      <c r="Q149" s="715">
        <f>Q147/P147-1</f>
        <v>7.5030477668181383E-2</v>
      </c>
      <c r="R149" s="749"/>
      <c r="S149" s="715">
        <f>S147/Q147-1</f>
        <v>0.12886597938144329</v>
      </c>
      <c r="T149" s="715">
        <f>T147/S147-1</f>
        <v>0.19406392694063923</v>
      </c>
      <c r="U149" s="715">
        <f>U147/T147-1</f>
        <v>0.12045889101338436</v>
      </c>
      <c r="V149" s="715">
        <f>V147/U147-1</f>
        <v>0.3225255972696246</v>
      </c>
      <c r="W149" s="749"/>
      <c r="X149" s="715">
        <f>X147/V147-1</f>
        <v>0.5161290322580645</v>
      </c>
      <c r="Y149" s="715">
        <f>Y147/X147-1</f>
        <v>0.32425531914893613</v>
      </c>
      <c r="Z149" s="715">
        <f>Z147/Y147-1</f>
        <v>6.3624678663239065E-2</v>
      </c>
      <c r="AA149" s="715">
        <f>AA147/Z147-1</f>
        <v>0.17764350453172195</v>
      </c>
      <c r="AB149" s="749"/>
      <c r="AC149" s="715">
        <f>AC147/AA147-1</f>
        <v>0.10210364289379159</v>
      </c>
      <c r="AD149" s="715">
        <f>AD147/AC147-1</f>
        <v>7.5884543761638668E-2</v>
      </c>
      <c r="AE149" s="715">
        <f>AE147/AD147-1</f>
        <v>3.5915188230203343E-2</v>
      </c>
      <c r="AF149" s="715">
        <f>AF147/AE147-1</f>
        <v>8.3959899749373346E-2</v>
      </c>
      <c r="AG149" s="749"/>
      <c r="AH149" s="715">
        <f>AH147/AF147-1</f>
        <v>2.1965317919075078E-2</v>
      </c>
      <c r="AI149" s="715">
        <f>AI147/AH147-1</f>
        <v>3.6953242835595868E-2</v>
      </c>
      <c r="AJ149" s="715">
        <f>AJ147/AI147-1</f>
        <v>2.290909090909099E-2</v>
      </c>
      <c r="AK149" s="715">
        <f>AK147/AJ147-1</f>
        <v>7.1098471382865291E-2</v>
      </c>
      <c r="AL149" s="749"/>
      <c r="AM149" s="715">
        <f>AM147/AK147-1</f>
        <v>4.5280451377364805E-2</v>
      </c>
      <c r="AN149" s="715">
        <f>AN147/AM147-1</f>
        <v>1.4837605534969711E-2</v>
      </c>
      <c r="AO149" s="715">
        <f>AO147/AN147-1</f>
        <v>2.1338105726871337E-3</v>
      </c>
      <c r="AP149" s="715">
        <f>AP147/AO147-1</f>
        <v>8.0078551848590918E-2</v>
      </c>
      <c r="AQ149" s="749"/>
      <c r="AR149" s="715">
        <f>AR147/AP147-1</f>
        <v>3.4855050051019409E-2</v>
      </c>
      <c r="AS149" s="715">
        <f>AS147/AR147-1</f>
        <v>4.7828940936579079E-2</v>
      </c>
      <c r="AT149" s="715">
        <f>AT147/AS147-1</f>
        <v>-1.6189409405526378E-2</v>
      </c>
      <c r="AU149" s="715">
        <f>AU147/AT147-1</f>
        <v>7.8281678661307197E-2</v>
      </c>
      <c r="AV149" s="749"/>
      <c r="AW149" s="715">
        <f>AW147/AU147-1</f>
        <v>2.221012204193018E-2</v>
      </c>
      <c r="AX149" s="715">
        <f>AX147/AW147-1</f>
        <v>4.1402587931877566E-2</v>
      </c>
      <c r="AY149" s="715">
        <f>AY147/AX147-1</f>
        <v>-1.0341638637858974E-2</v>
      </c>
      <c r="AZ149" s="715">
        <f>AZ147/AY147-1</f>
        <v>7.5476468827983867E-2</v>
      </c>
      <c r="BA149" s="749"/>
    </row>
    <row r="150" spans="2:53" s="673" customFormat="1" ht="18.75" customHeight="1" outlineLevel="1" x14ac:dyDescent="0.2">
      <c r="B150" s="672" t="s">
        <v>413</v>
      </c>
      <c r="G150" s="674"/>
      <c r="H150" s="675"/>
      <c r="I150" s="673">
        <v>4253.8066700000008</v>
      </c>
      <c r="J150" s="673">
        <v>5554.82755</v>
      </c>
      <c r="K150" s="673">
        <v>6131.9238300000006</v>
      </c>
      <c r="L150" s="674">
        <v>6459.4120000000003</v>
      </c>
      <c r="M150" s="675">
        <f>SUM(I150:L150)</f>
        <v>22399.97005</v>
      </c>
      <c r="N150" s="673">
        <v>6631.7050600000002</v>
      </c>
      <c r="O150" s="673">
        <v>6116</v>
      </c>
      <c r="P150" s="673">
        <v>5138</v>
      </c>
      <c r="Q150" s="674">
        <v>3309</v>
      </c>
      <c r="R150" s="675">
        <f>SUM(N150:Q150)</f>
        <v>21194.70506</v>
      </c>
      <c r="S150" s="673">
        <v>2421</v>
      </c>
      <c r="T150" s="673">
        <v>1712</v>
      </c>
      <c r="U150" s="673">
        <v>1116</v>
      </c>
      <c r="V150" s="674">
        <v>761</v>
      </c>
      <c r="W150" s="675">
        <f>SUM(S150:V150)</f>
        <v>6010</v>
      </c>
      <c r="X150" s="673">
        <v>803</v>
      </c>
      <c r="Y150" s="673">
        <v>978</v>
      </c>
      <c r="Z150" s="673">
        <v>1411</v>
      </c>
      <c r="AA150" s="674">
        <f>AA99</f>
        <v>5401</v>
      </c>
      <c r="AB150" s="675">
        <f>SUM(X150:AA150)</f>
        <v>8593</v>
      </c>
      <c r="AC150" s="673">
        <f>AC99</f>
        <v>15324</v>
      </c>
      <c r="AD150" s="673">
        <f>AD99</f>
        <v>28900</v>
      </c>
      <c r="AE150" s="673">
        <f>AE99</f>
        <v>33100</v>
      </c>
      <c r="AF150" s="673">
        <f>AF99</f>
        <v>36473</v>
      </c>
      <c r="AG150" s="675">
        <f>SUM(AC150:AF150)</f>
        <v>113797</v>
      </c>
      <c r="AH150" s="673">
        <f>AH99</f>
        <v>39843</v>
      </c>
      <c r="AI150" s="673">
        <f>AI99</f>
        <v>43503</v>
      </c>
      <c r="AJ150" s="673">
        <f>AJ99</f>
        <v>41734</v>
      </c>
      <c r="AK150" s="673">
        <f>AK99</f>
        <v>42359</v>
      </c>
      <c r="AL150" s="675">
        <f>SUM(AH150:AK150)</f>
        <v>167439</v>
      </c>
      <c r="AM150" s="673">
        <f>AM99</f>
        <v>43507</v>
      </c>
      <c r="AN150" s="673">
        <f>AN99</f>
        <v>42938</v>
      </c>
      <c r="AO150" s="673">
        <f>AO99</f>
        <v>37919</v>
      </c>
      <c r="AP150" s="673">
        <f>AP99</f>
        <v>37402</v>
      </c>
      <c r="AQ150" s="675">
        <f>SUM(AM150:AP150)</f>
        <v>161766</v>
      </c>
      <c r="AR150" s="673">
        <f>AR99</f>
        <v>37736</v>
      </c>
      <c r="AS150" s="673">
        <f>AS99</f>
        <v>39543</v>
      </c>
      <c r="AT150" s="673">
        <f>AT99</f>
        <v>33804.176355000011</v>
      </c>
      <c r="AU150" s="673">
        <f>AU99</f>
        <v>31902.472800000003</v>
      </c>
      <c r="AV150" s="675">
        <f>SUM(AR150:AU150)</f>
        <v>142985.64915499999</v>
      </c>
      <c r="AW150" s="673">
        <f>AW99</f>
        <v>32443.4694375</v>
      </c>
      <c r="AX150" s="673">
        <f>AX99</f>
        <v>31564.8444375</v>
      </c>
      <c r="AY150" s="673">
        <f>AY99</f>
        <v>30314.432004266255</v>
      </c>
      <c r="AZ150" s="673">
        <f>AZ99</f>
        <v>32126.365111499999</v>
      </c>
      <c r="BA150" s="675">
        <f>SUM(AW150:AZ150)</f>
        <v>126449.11099076625</v>
      </c>
    </row>
    <row r="151" spans="2:53" s="659" customFormat="1" outlineLevel="1" x14ac:dyDescent="0.2">
      <c r="B151" s="657"/>
      <c r="C151" s="658" t="s">
        <v>83</v>
      </c>
      <c r="D151" s="660"/>
      <c r="E151" s="660"/>
      <c r="F151" s="660"/>
      <c r="G151" s="660"/>
      <c r="H151" s="661"/>
      <c r="I151" s="660"/>
      <c r="J151" s="660"/>
      <c r="K151" s="660"/>
      <c r="L151" s="660"/>
      <c r="M151" s="661">
        <f>M150/M154</f>
        <v>0.20664184722253989</v>
      </c>
      <c r="N151" s="660">
        <f>N150/N154</f>
        <v>0.1885093990608914</v>
      </c>
      <c r="O151" s="660">
        <f t="shared" ref="O151" si="590">O150/O154</f>
        <v>0.156355455568054</v>
      </c>
      <c r="P151" s="660">
        <f t="shared" ref="P151" si="591">P150/P154</f>
        <v>0.12461799660441426</v>
      </c>
      <c r="Q151" s="660">
        <f t="shared" ref="Q151" si="592">Q150/Q154</f>
        <v>7.8581775867391762E-2</v>
      </c>
      <c r="R151" s="661">
        <f>R150/R154</f>
        <v>0.13445456095428177</v>
      </c>
      <c r="S151" s="660">
        <f>S150/S154</f>
        <v>5.237878886220549E-2</v>
      </c>
      <c r="T151" s="660">
        <f t="shared" ref="T151" si="593">T150/T154</f>
        <v>3.169666000148115E-2</v>
      </c>
      <c r="U151" s="660">
        <f t="shared" ref="U151" si="594">U150/U154</f>
        <v>1.8688458704534797E-2</v>
      </c>
      <c r="V151" s="660">
        <f t="shared" ref="V151" si="595">V150/V154</f>
        <v>9.7238726824344177E-3</v>
      </c>
      <c r="W151" s="661">
        <f>W150/W154</f>
        <v>2.5229839217497167E-2</v>
      </c>
      <c r="X151" s="660">
        <f>X150/X154</f>
        <v>6.7876554271658366E-3</v>
      </c>
      <c r="Y151" s="660">
        <f t="shared" ref="Y151" si="596">Y150/Y154</f>
        <v>6.2460882116261544E-3</v>
      </c>
      <c r="Z151" s="660">
        <f t="shared" ref="Z151" si="597">Z150/Z154</f>
        <v>8.453607012120232E-3</v>
      </c>
      <c r="AA151" s="660">
        <f t="shared" ref="AA151" si="598">AA150/AA154</f>
        <v>2.6964418550082126E-2</v>
      </c>
      <c r="AB151" s="661">
        <f>AB150/AB154</f>
        <v>1.3382796573082093E-2</v>
      </c>
      <c r="AC151" s="660">
        <f>AC150/AC154</f>
        <v>6.6590186160504772E-2</v>
      </c>
      <c r="AD151" s="660">
        <f t="shared" ref="AD151" si="599">AD150/AD154</f>
        <v>0.11115384615384616</v>
      </c>
      <c r="AE151" s="660">
        <f t="shared" ref="AE151" si="600">AE150/AE154</f>
        <v>0.12146788990825688</v>
      </c>
      <c r="AF151" s="660">
        <f t="shared" ref="AF151" si="601">AF150/AF154</f>
        <v>0.12323083524510682</v>
      </c>
      <c r="AG151" s="661">
        <f>AG150/AG154</f>
        <v>0.10749794303214538</v>
      </c>
      <c r="AH151" s="660">
        <f>AH150/AH154</f>
        <v>0.13061437239995674</v>
      </c>
      <c r="AI151" s="660">
        <f t="shared" ref="AI151" si="602">AI150/AI154</f>
        <v>0.13658584063572399</v>
      </c>
      <c r="AJ151" s="660">
        <f t="shared" ref="AJ151" si="603">AJ150/AJ154</f>
        <v>0.12919383098992676</v>
      </c>
      <c r="AK151" s="660">
        <f t="shared" ref="AK151" si="604">AK150/AK154</f>
        <v>0.12325881178726586</v>
      </c>
      <c r="AL151" s="661">
        <f>AL150/AL154</f>
        <v>0.12977363108695367</v>
      </c>
      <c r="AM151" s="660">
        <f>AM150/AM154</f>
        <v>0.12137536615985493</v>
      </c>
      <c r="AN151" s="660">
        <f t="shared" ref="AN151:AP151" si="605">AN150/AN154</f>
        <v>0.11843201288635624</v>
      </c>
      <c r="AO151" s="660">
        <f t="shared" si="605"/>
        <v>0.10585483101025356</v>
      </c>
      <c r="AP151" s="660">
        <f t="shared" si="605"/>
        <v>9.7566447284328381E-2</v>
      </c>
      <c r="AQ151" s="661">
        <f>AQ150/AQ154</f>
        <v>0.11060393690558401</v>
      </c>
      <c r="AR151" s="660">
        <f>AR150/AR154</f>
        <v>9.5355295508931348E-2</v>
      </c>
      <c r="AS151" s="660">
        <f t="shared" ref="AS151" si="606">AS150/AS154</f>
        <v>9.5359935949222402E-2</v>
      </c>
      <c r="AT151" s="660">
        <f t="shared" ref="AT151:AU151" si="607">AT150/AT154</f>
        <v>8.3910673493047525E-2</v>
      </c>
      <c r="AU151" s="660">
        <f t="shared" si="607"/>
        <v>7.4218099921249503E-2</v>
      </c>
      <c r="AV151" s="661">
        <f>AV150/AV154</f>
        <v>8.7020889295144108E-2</v>
      </c>
      <c r="AW151" s="660">
        <f>AW150/AW154</f>
        <v>7.3864922409155931E-2</v>
      </c>
      <c r="AX151" s="660">
        <f t="shared" ref="AX151:AZ151" si="608">AX150/AX154</f>
        <v>6.9344284502699166E-2</v>
      </c>
      <c r="AY151" s="660">
        <f t="shared" si="608"/>
        <v>6.743150401283679E-2</v>
      </c>
      <c r="AZ151" s="660">
        <f t="shared" si="608"/>
        <v>6.6512297579533114E-2</v>
      </c>
      <c r="BA151" s="661">
        <f>BA150/BA154</f>
        <v>6.9211711119001748E-2</v>
      </c>
    </row>
    <row r="152" spans="2:53" s="659" customFormat="1" outlineLevel="1" x14ac:dyDescent="0.2">
      <c r="B152" s="657"/>
      <c r="C152" s="658" t="s">
        <v>29</v>
      </c>
      <c r="D152" s="660"/>
      <c r="E152" s="660"/>
      <c r="F152" s="660"/>
      <c r="G152" s="660"/>
      <c r="H152" s="661"/>
      <c r="I152" s="660"/>
      <c r="J152" s="660"/>
      <c r="K152" s="660"/>
      <c r="L152" s="660"/>
      <c r="M152" s="661"/>
      <c r="N152" s="660">
        <f t="shared" ref="N152" si="609">N150/I150-1</f>
        <v>0.55900481015513548</v>
      </c>
      <c r="O152" s="660">
        <f t="shared" ref="O152" si="610">O150/J150-1</f>
        <v>0.10102427932258662</v>
      </c>
      <c r="P152" s="660">
        <f t="shared" ref="P152" si="611">P150/K150-1</f>
        <v>-0.16209004833642893</v>
      </c>
      <c r="Q152" s="660">
        <f t="shared" ref="Q152:R152" si="612">Q150/L150-1</f>
        <v>-0.48772426963940374</v>
      </c>
      <c r="R152" s="661">
        <f t="shared" si="612"/>
        <v>-5.3806544710089943E-2</v>
      </c>
      <c r="S152" s="660">
        <f t="shared" ref="S152" si="613">S150/N150-1</f>
        <v>-0.63493551385410973</v>
      </c>
      <c r="T152" s="660">
        <f t="shared" ref="T152" si="614">T150/O150-1</f>
        <v>-0.72007848266841079</v>
      </c>
      <c r="U152" s="660">
        <f t="shared" ref="U152" si="615">U150/P150-1</f>
        <v>-0.78279486181393532</v>
      </c>
      <c r="V152" s="660">
        <f t="shared" ref="V152:W152" si="616">V150/Q150-1</f>
        <v>-0.77002115442731944</v>
      </c>
      <c r="W152" s="661">
        <f t="shared" si="616"/>
        <v>-0.71643861129530628</v>
      </c>
      <c r="X152" s="660">
        <f t="shared" ref="X152" si="617">X150/S150-1</f>
        <v>-0.66831887649731514</v>
      </c>
      <c r="Y152" s="660">
        <f t="shared" ref="Y152" si="618">Y150/T150-1</f>
        <v>-0.42873831775700932</v>
      </c>
      <c r="Z152" s="660">
        <f t="shared" ref="Z152" si="619">Z150/U150-1</f>
        <v>0.26433691756272393</v>
      </c>
      <c r="AA152" s="660">
        <f t="shared" ref="AA152:AB152" si="620">AA150/V150-1</f>
        <v>6.0972404730617606</v>
      </c>
      <c r="AB152" s="661">
        <f t="shared" si="620"/>
        <v>0.42978369384359394</v>
      </c>
      <c r="AC152" s="660">
        <f t="shared" ref="AC152" si="621">AC150/X150-1</f>
        <v>18.083437110834371</v>
      </c>
      <c r="AD152" s="660">
        <f t="shared" ref="AD152" si="622">AD150/Y150-1</f>
        <v>28.550102249488752</v>
      </c>
      <c r="AE152" s="660">
        <f t="shared" ref="AE152" si="623">AE150/Z150-1</f>
        <v>22.458540042523033</v>
      </c>
      <c r="AF152" s="660">
        <f t="shared" ref="AF152:AG152" si="624">AF150/AA150-1</f>
        <v>5.7530087020922052</v>
      </c>
      <c r="AG152" s="661">
        <f t="shared" si="624"/>
        <v>12.24298847899453</v>
      </c>
      <c r="AH152" s="660">
        <f t="shared" ref="AH152" si="625">AH150/AC150-1</f>
        <v>1.6000391542678152</v>
      </c>
      <c r="AI152" s="660">
        <f t="shared" ref="AI152" si="626">AI150/AD150-1</f>
        <v>0.50529411764705889</v>
      </c>
      <c r="AJ152" s="660">
        <f t="shared" ref="AJ152" si="627">AJ150/AE150-1</f>
        <v>0.26084592145015106</v>
      </c>
      <c r="AK152" s="660">
        <f t="shared" ref="AK152:AS152" si="628">AK150/AF150-1</f>
        <v>0.1613796507005183</v>
      </c>
      <c r="AL152" s="661">
        <f t="shared" si="628"/>
        <v>0.47138325263407643</v>
      </c>
      <c r="AM152" s="660">
        <f t="shared" si="628"/>
        <v>9.1960946715859748E-2</v>
      </c>
      <c r="AN152" s="660">
        <f t="shared" si="628"/>
        <v>-1.2987610049881582E-2</v>
      </c>
      <c r="AO152" s="660">
        <f t="shared" si="628"/>
        <v>-9.1412277759141181E-2</v>
      </c>
      <c r="AP152" s="660">
        <f t="shared" si="628"/>
        <v>-0.11702353691069189</v>
      </c>
      <c r="AQ152" s="661">
        <f t="shared" ref="AQ152" si="629">AQ150/AL150-1</f>
        <v>-3.3880995467005848E-2</v>
      </c>
      <c r="AR152" s="660">
        <f t="shared" si="628"/>
        <v>-0.1326453214425265</v>
      </c>
      <c r="AS152" s="660">
        <f t="shared" si="628"/>
        <v>-7.9067492663840833E-2</v>
      </c>
      <c r="AT152" s="660">
        <f t="shared" ref="AT152" si="630">AT150/AO150-1</f>
        <v>-0.10851614349007066</v>
      </c>
      <c r="AU152" s="660">
        <f t="shared" ref="AU152" si="631">AU150/AP150-1</f>
        <v>-0.14703831880648088</v>
      </c>
      <c r="AV152" s="661">
        <f t="shared" ref="AV152" si="632">AV150/AQ150-1</f>
        <v>-0.11609578554826117</v>
      </c>
      <c r="AW152" s="660">
        <f t="shared" ref="AW152" si="633">AW150/AR150-1</f>
        <v>-0.14025149890025446</v>
      </c>
      <c r="AX152" s="660">
        <f t="shared" ref="AX152" si="634">AX150/AS150-1</f>
        <v>-0.20175898547151205</v>
      </c>
      <c r="AY152" s="660">
        <f t="shared" ref="AY152" si="635">AY150/AT150-1</f>
        <v>-0.10323411859190545</v>
      </c>
      <c r="AZ152" s="660">
        <f t="shared" ref="AZ152" si="636">AZ150/AU150-1</f>
        <v>7.0180237407801993E-3</v>
      </c>
      <c r="BA152" s="661">
        <f t="shared" ref="BA152" si="637">BA150/AV150-1</f>
        <v>-0.11565173331701095</v>
      </c>
    </row>
    <row r="153" spans="2:53" s="659" customFormat="1" outlineLevel="1" x14ac:dyDescent="0.2">
      <c r="B153" s="657"/>
      <c r="C153" s="658" t="s">
        <v>76</v>
      </c>
      <c r="D153" s="660"/>
      <c r="E153" s="660"/>
      <c r="F153" s="660"/>
      <c r="G153" s="660"/>
      <c r="H153" s="663"/>
      <c r="I153" s="660"/>
      <c r="J153" s="660"/>
      <c r="K153" s="660"/>
      <c r="L153" s="660"/>
      <c r="M153" s="663"/>
      <c r="N153" s="660">
        <f>N150/L150-1</f>
        <v>2.667318015943243E-2</v>
      </c>
      <c r="O153" s="660">
        <f>O150/N150-1</f>
        <v>-7.7763569901584284E-2</v>
      </c>
      <c r="P153" s="660">
        <f>P150/O150-1</f>
        <v>-0.15990843688685419</v>
      </c>
      <c r="Q153" s="660">
        <f>Q150/P150-1</f>
        <v>-0.35597508758271701</v>
      </c>
      <c r="R153" s="663"/>
      <c r="S153" s="660">
        <f>S150/Q150-1</f>
        <v>-0.26835902085222119</v>
      </c>
      <c r="T153" s="660">
        <f>T150/S150-1</f>
        <v>-0.29285419248244526</v>
      </c>
      <c r="U153" s="660">
        <f>U150/T150-1</f>
        <v>-0.34813084112149528</v>
      </c>
      <c r="V153" s="660">
        <f>V150/U150-1</f>
        <v>-0.31810035842293904</v>
      </c>
      <c r="W153" s="663"/>
      <c r="X153" s="660">
        <f>X150/V150-1</f>
        <v>5.5190538764783081E-2</v>
      </c>
      <c r="Y153" s="660">
        <f>Y150/X150-1</f>
        <v>0.2179327521793275</v>
      </c>
      <c r="Z153" s="660">
        <f>Z150/Y150-1</f>
        <v>0.44274028629856854</v>
      </c>
      <c r="AA153" s="660">
        <f>AA150/Z150-1</f>
        <v>2.8277817150956768</v>
      </c>
      <c r="AB153" s="663"/>
      <c r="AC153" s="660">
        <f>AC150/AA150-1</f>
        <v>1.8372523606739493</v>
      </c>
      <c r="AD153" s="660">
        <f>AD150/AC150-1</f>
        <v>0.88593056643174095</v>
      </c>
      <c r="AE153" s="660">
        <f>AE150/AD150-1</f>
        <v>0.1453287197231834</v>
      </c>
      <c r="AF153" s="660">
        <f>AF150/AE150-1</f>
        <v>0.10190332326283991</v>
      </c>
      <c r="AG153" s="663"/>
      <c r="AH153" s="660">
        <f>AH150/AF150-1</f>
        <v>9.2397115674608621E-2</v>
      </c>
      <c r="AI153" s="660">
        <f>AI150/AH150-1</f>
        <v>9.1860552669226658E-2</v>
      </c>
      <c r="AJ153" s="660">
        <f>AJ150/AI150-1</f>
        <v>-4.066386226237273E-2</v>
      </c>
      <c r="AK153" s="660">
        <f>AK150/AJ150-1</f>
        <v>1.4975799108640331E-2</v>
      </c>
      <c r="AL153" s="663"/>
      <c r="AM153" s="660">
        <f>AM150/AK150-1</f>
        <v>2.7101678509879878E-2</v>
      </c>
      <c r="AN153" s="660">
        <f>AN150/AM150-1</f>
        <v>-1.3078355207208014E-2</v>
      </c>
      <c r="AO153" s="660">
        <f>AO150/AN150-1</f>
        <v>-0.11688946853602866</v>
      </c>
      <c r="AP153" s="660">
        <f>AP150/AO150-1</f>
        <v>-1.3634325799731006E-2</v>
      </c>
      <c r="AQ153" s="663"/>
      <c r="AR153" s="660">
        <f>AR150/AP150-1</f>
        <v>8.9300037431152557E-3</v>
      </c>
      <c r="AS153" s="660">
        <f>AS150/AR150-1</f>
        <v>4.7885308458766263E-2</v>
      </c>
      <c r="AT153" s="660">
        <f>AT150/AS150-1</f>
        <v>-0.1451286863667397</v>
      </c>
      <c r="AU153" s="660">
        <f>AU150/AT150-1</f>
        <v>-5.6256467692895717E-2</v>
      </c>
      <c r="AV153" s="663"/>
      <c r="AW153" s="660">
        <f>AW150/AU150-1</f>
        <v>1.6957827717354768E-2</v>
      </c>
      <c r="AX153" s="660">
        <f>AX150/AW150-1</f>
        <v>-2.7081721382869017E-2</v>
      </c>
      <c r="AY153" s="660">
        <f>AY150/AX150-1</f>
        <v>-3.961408508474118E-2</v>
      </c>
      <c r="AZ153" s="660">
        <f>AZ150/AY150-1</f>
        <v>5.9771303218834726E-2</v>
      </c>
      <c r="BA153" s="663"/>
    </row>
    <row r="154" spans="2:53" s="654" customFormat="1" ht="15.75" customHeight="1" outlineLevel="1" x14ac:dyDescent="0.2">
      <c r="B154" s="710" t="s">
        <v>34</v>
      </c>
      <c r="C154" s="711"/>
      <c r="D154" s="711"/>
      <c r="E154" s="711"/>
      <c r="F154" s="711"/>
      <c r="G154" s="711"/>
      <c r="H154" s="712"/>
      <c r="I154" s="711">
        <f>SUM(I139,I143,I150)</f>
        <v>22423.806670000002</v>
      </c>
      <c r="J154" s="711">
        <f>SUM(J139,J143,J150)</f>
        <v>25911.827550000002</v>
      </c>
      <c r="K154" s="711">
        <f>SUM(K139,K143,K150)</f>
        <v>28231.92383</v>
      </c>
      <c r="L154" s="711">
        <f>SUM(L139,L143,L150)</f>
        <v>31832.412</v>
      </c>
      <c r="M154" s="712">
        <f>SUM(I154:L154)</f>
        <v>108399.97005</v>
      </c>
      <c r="N154" s="711">
        <f>SUM(N139,N143,N150)</f>
        <v>35179.70506</v>
      </c>
      <c r="O154" s="711">
        <f>SUM(O139,O143,O150)</f>
        <v>39116</v>
      </c>
      <c r="P154" s="711">
        <f>SUM(P139,P143,P150)</f>
        <v>41230</v>
      </c>
      <c r="Q154" s="711">
        <f>SUM(Q139,Q143,Q150)</f>
        <v>42109</v>
      </c>
      <c r="R154" s="712">
        <f>SUM(N154:Q154)</f>
        <v>157634.70506000001</v>
      </c>
      <c r="S154" s="711">
        <f>SUM(S139,S143,S150)</f>
        <v>46221</v>
      </c>
      <c r="T154" s="711">
        <f>SUM(T139,T143,T150)</f>
        <v>54012</v>
      </c>
      <c r="U154" s="711">
        <f>SUM(U139,U143,U150)</f>
        <v>59716</v>
      </c>
      <c r="V154" s="711">
        <f>SUM(V139,V143,V150)</f>
        <v>78261</v>
      </c>
      <c r="W154" s="712">
        <f>SUM(S154:V154)</f>
        <v>238210</v>
      </c>
      <c r="X154" s="711">
        <f>SUM(X139,X143,X150)</f>
        <v>118303</v>
      </c>
      <c r="Y154" s="711">
        <f>SUM(Y139,Y143,Y150)</f>
        <v>156578</v>
      </c>
      <c r="Z154" s="711">
        <f>SUM(Z139,Z143,Z150)</f>
        <v>166911</v>
      </c>
      <c r="AA154" s="711">
        <f>SUM(AA139,AA143,AA150)</f>
        <v>200301</v>
      </c>
      <c r="AB154" s="712">
        <f>SUM(X154:AA154)</f>
        <v>642093</v>
      </c>
      <c r="AC154" s="711">
        <f>SUM(AC139,AC143,AC150)</f>
        <v>230124</v>
      </c>
      <c r="AD154" s="711">
        <f>SUM(AD139,AD143,AD150)</f>
        <v>260000</v>
      </c>
      <c r="AE154" s="711">
        <f>SUM(AE139,AE143,AE150)</f>
        <v>272500</v>
      </c>
      <c r="AF154" s="711">
        <f>SUM(AF139,AF143,AF150)</f>
        <v>295973</v>
      </c>
      <c r="AG154" s="712">
        <f>SUM(AC154:AF154)</f>
        <v>1058597</v>
      </c>
      <c r="AH154" s="711">
        <f>SUM(AH139,AH143,AH150)</f>
        <v>305043</v>
      </c>
      <c r="AI154" s="711">
        <f>SUM(AI139,AI143,AI150)</f>
        <v>318503</v>
      </c>
      <c r="AJ154" s="711">
        <f>SUM(AJ139,AJ143,AJ150)</f>
        <v>323034</v>
      </c>
      <c r="AK154" s="711">
        <f>SUM(AK139,AK143,AK150)</f>
        <v>343659</v>
      </c>
      <c r="AL154" s="712">
        <f>SUM(AH154:AK154)</f>
        <v>1290239</v>
      </c>
      <c r="AM154" s="711">
        <f>SUM(AM139,AM143,AM150)</f>
        <v>358450</v>
      </c>
      <c r="AN154" s="711">
        <f>SUM(AN139,AN143,AN150)</f>
        <v>362554</v>
      </c>
      <c r="AO154" s="711">
        <f>SUM(AO139,AO143,AO150)</f>
        <v>358217</v>
      </c>
      <c r="AP154" s="711">
        <f>SUM(AP139,AP143,AP150)</f>
        <v>383349</v>
      </c>
      <c r="AQ154" s="712">
        <f>SUM(AM154:AP154)</f>
        <v>1462570</v>
      </c>
      <c r="AR154" s="711">
        <f>SUM(AR139,AR143,AR150)</f>
        <v>395741</v>
      </c>
      <c r="AS154" s="711">
        <f>SUM(AS139,AS143,AS150)</f>
        <v>414671</v>
      </c>
      <c r="AT154" s="711">
        <f>SUM(AT139,AT143,AT150)</f>
        <v>402859.07558352372</v>
      </c>
      <c r="AU154" s="711">
        <f>SUM(AU139,AU143,AU150)</f>
        <v>429847.60905831214</v>
      </c>
      <c r="AV154" s="712">
        <f>SUM(AR154:AU154)</f>
        <v>1643118.6846418357</v>
      </c>
      <c r="AW154" s="711">
        <f>SUM(AW139,AW143,AW150)</f>
        <v>439227.01573810179</v>
      </c>
      <c r="AX154" s="711">
        <f>SUM(AX139,AX143,AX150)</f>
        <v>455190.28228305344</v>
      </c>
      <c r="AY154" s="711">
        <f>SUM(AY139,AY143,AY150)</f>
        <v>449558.88865381619</v>
      </c>
      <c r="AZ154" s="711">
        <f>SUM(AZ139,AZ143,AZ150)</f>
        <v>483013.91292466474</v>
      </c>
      <c r="BA154" s="712">
        <f>SUM(AW154:AZ154)</f>
        <v>1826990.0995996362</v>
      </c>
    </row>
    <row r="155" spans="2:53" s="659" customFormat="1" outlineLevel="1" x14ac:dyDescent="0.2">
      <c r="B155" s="713"/>
      <c r="C155" s="714" t="s">
        <v>29</v>
      </c>
      <c r="D155" s="715"/>
      <c r="E155" s="715"/>
      <c r="F155" s="715"/>
      <c r="G155" s="715"/>
      <c r="H155" s="716"/>
      <c r="I155" s="715"/>
      <c r="J155" s="715"/>
      <c r="K155" s="715"/>
      <c r="L155" s="715"/>
      <c r="M155" s="716"/>
      <c r="N155" s="715"/>
      <c r="O155" s="715"/>
      <c r="P155" s="715"/>
      <c r="Q155" s="715"/>
      <c r="R155" s="716">
        <f t="shared" ref="R155" si="638">R154/M154-1</f>
        <v>0.4541950979072249</v>
      </c>
      <c r="S155" s="715"/>
      <c r="T155" s="715"/>
      <c r="U155" s="715"/>
      <c r="V155" s="715"/>
      <c r="W155" s="716">
        <f t="shared" ref="W155" si="639">W154/R154-1</f>
        <v>0.51115200113662063</v>
      </c>
      <c r="X155" s="715"/>
      <c r="Y155" s="715"/>
      <c r="Z155" s="715"/>
      <c r="AA155" s="715"/>
      <c r="AB155" s="716">
        <f t="shared" ref="AB155" si="640">AB154/W154-1</f>
        <v>1.6954913731581378</v>
      </c>
      <c r="AC155" s="715"/>
      <c r="AD155" s="715"/>
      <c r="AE155" s="715"/>
      <c r="AF155" s="715">
        <f t="shared" ref="AF155:AG155" si="641">AF154/AA154-1</f>
        <v>0.47764115006914598</v>
      </c>
      <c r="AG155" s="716">
        <f t="shared" si="641"/>
        <v>0.64866615895205215</v>
      </c>
      <c r="AH155" s="715">
        <f t="shared" ref="AH155" si="642">AH154/AC154-1</f>
        <v>0.32555926370130894</v>
      </c>
      <c r="AI155" s="715">
        <f t="shared" ref="AI155" si="643">AI154/AD154-1</f>
        <v>0.22501153846153854</v>
      </c>
      <c r="AJ155" s="715">
        <f t="shared" ref="AJ155" si="644">AJ154/AE154-1</f>
        <v>0.18544587155963299</v>
      </c>
      <c r="AK155" s="715">
        <f t="shared" ref="AK155:AS155" si="645">AK154/AF154-1</f>
        <v>0.16111604774759858</v>
      </c>
      <c r="AL155" s="716">
        <f t="shared" si="645"/>
        <v>0.21881981528381433</v>
      </c>
      <c r="AM155" s="715">
        <f t="shared" si="645"/>
        <v>0.17508023458987743</v>
      </c>
      <c r="AN155" s="715">
        <f t="shared" si="645"/>
        <v>0.13830638957874819</v>
      </c>
      <c r="AO155" s="715">
        <f t="shared" si="645"/>
        <v>0.10891423193843375</v>
      </c>
      <c r="AP155" s="715">
        <f t="shared" si="645"/>
        <v>0.11549239216781748</v>
      </c>
      <c r="AQ155" s="716">
        <f t="shared" ref="AQ155" si="646">AQ154/AL154-1</f>
        <v>0.13356517668431978</v>
      </c>
      <c r="AR155" s="715">
        <f t="shared" si="645"/>
        <v>0.10403403543032508</v>
      </c>
      <c r="AS155" s="715">
        <f t="shared" si="645"/>
        <v>0.14374962074615083</v>
      </c>
      <c r="AT155" s="715">
        <f t="shared" ref="AT155" si="647">AT154/AO154-1</f>
        <v>0.12462299551256284</v>
      </c>
      <c r="AU155" s="715">
        <f t="shared" ref="AU155" si="648">AU154/AP154-1</f>
        <v>0.12129576197749858</v>
      </c>
      <c r="AV155" s="716">
        <f t="shared" ref="AV155" si="649">AV154/AQ154-1</f>
        <v>0.1234461835275138</v>
      </c>
      <c r="AW155" s="715">
        <f t="shared" ref="AW155" si="650">AW154/AR154-1</f>
        <v>0.10988504031197621</v>
      </c>
      <c r="AX155" s="715">
        <f t="shared" ref="AX155" si="651">AX154/AS154-1</f>
        <v>9.7714289841955182E-2</v>
      </c>
      <c r="AY155" s="715">
        <f t="shared" ref="AY155" si="652">AY154/AT154-1</f>
        <v>0.11592096566932208</v>
      </c>
      <c r="AZ155" s="715">
        <f t="shared" ref="AZ155" si="653">AZ154/AU154-1</f>
        <v>0.12368640128725295</v>
      </c>
      <c r="BA155" s="716">
        <f t="shared" ref="BA155" si="654">BA154/AV154-1</f>
        <v>0.11190391581353132</v>
      </c>
    </row>
    <row r="156" spans="2:53" s="659" customFormat="1" ht="13.5" outlineLevel="1" thickBot="1" x14ac:dyDescent="0.25">
      <c r="B156" s="717"/>
      <c r="C156" s="718" t="s">
        <v>76</v>
      </c>
      <c r="D156" s="719"/>
      <c r="E156" s="719"/>
      <c r="F156" s="719"/>
      <c r="G156" s="719"/>
      <c r="H156" s="720"/>
      <c r="I156" s="719"/>
      <c r="J156" s="719"/>
      <c r="K156" s="719"/>
      <c r="L156" s="719"/>
      <c r="M156" s="720"/>
      <c r="N156" s="719"/>
      <c r="O156" s="719"/>
      <c r="P156" s="719"/>
      <c r="Q156" s="719"/>
      <c r="R156" s="720"/>
      <c r="S156" s="719"/>
      <c r="T156" s="719"/>
      <c r="U156" s="719"/>
      <c r="V156" s="719"/>
      <c r="W156" s="720"/>
      <c r="X156" s="719"/>
      <c r="Y156" s="719"/>
      <c r="Z156" s="719"/>
      <c r="AA156" s="719"/>
      <c r="AB156" s="720"/>
      <c r="AC156" s="719">
        <f>AC154/AA154-1</f>
        <v>0.14889091916665409</v>
      </c>
      <c r="AD156" s="719">
        <f>AD154/AC154-1</f>
        <v>0.12982565920981726</v>
      </c>
      <c r="AE156" s="719">
        <f>AE154/AD154-1</f>
        <v>4.8076923076923128E-2</v>
      </c>
      <c r="AF156" s="719">
        <f>AF154/AE154-1</f>
        <v>8.6139449541284385E-2</v>
      </c>
      <c r="AG156" s="720"/>
      <c r="AH156" s="719">
        <f>AH154/AF154-1</f>
        <v>3.064468718430402E-2</v>
      </c>
      <c r="AI156" s="719">
        <f>AI154/AH154-1</f>
        <v>4.4124926649685481E-2</v>
      </c>
      <c r="AJ156" s="719">
        <f>AJ154/AI154-1</f>
        <v>1.4225925658471139E-2</v>
      </c>
      <c r="AK156" s="719">
        <f>AK154/AJ154-1</f>
        <v>6.3847768346366074E-2</v>
      </c>
      <c r="AL156" s="720"/>
      <c r="AM156" s="719">
        <f>AM154/AK154-1</f>
        <v>4.303975743396804E-2</v>
      </c>
      <c r="AN156" s="719">
        <f>AN154/AM154-1</f>
        <v>1.1449295578183749E-2</v>
      </c>
      <c r="AO156" s="719">
        <f>AO154/AN154-1</f>
        <v>-1.196235595249262E-2</v>
      </c>
      <c r="AP156" s="719">
        <f>AP154/AO154-1</f>
        <v>7.0158591021643346E-2</v>
      </c>
      <c r="AQ156" s="720"/>
      <c r="AR156" s="719">
        <f>AR154/AP154-1</f>
        <v>3.2325635387075558E-2</v>
      </c>
      <c r="AS156" s="719">
        <f>AS154/AR154-1</f>
        <v>4.7834315878314326E-2</v>
      </c>
      <c r="AT156" s="719">
        <f>AT154/AS154-1</f>
        <v>-2.8485050597886752E-2</v>
      </c>
      <c r="AU156" s="719">
        <f>AU154/AT154-1</f>
        <v>6.6992492190219854E-2</v>
      </c>
      <c r="AV156" s="720"/>
      <c r="AW156" s="719">
        <f>AW154/AU154-1</f>
        <v>2.1820306736933137E-2</v>
      </c>
      <c r="AX156" s="719">
        <f>AX154/AW154-1</f>
        <v>3.6343999738099209E-2</v>
      </c>
      <c r="AY156" s="719">
        <f>AY154/AX154-1</f>
        <v>-1.2371515492361596E-2</v>
      </c>
      <c r="AZ156" s="719">
        <f>AZ154/AY154-1</f>
        <v>7.4417445890188283E-2</v>
      </c>
      <c r="BA156" s="720"/>
    </row>
    <row r="157" spans="2:53" x14ac:dyDescent="0.2">
      <c r="B157" s="669" t="s">
        <v>414</v>
      </c>
    </row>
  </sheetData>
  <mergeCells count="6">
    <mergeCell ref="B128:C128"/>
    <mergeCell ref="B104:C104"/>
    <mergeCell ref="B3:C3"/>
    <mergeCell ref="B34:C34"/>
    <mergeCell ref="B59:C59"/>
    <mergeCell ref="B93:C93"/>
  </mergeCells>
  <pageMargins left="0.75" right="0.75" top="1" bottom="1" header="0.5" footer="0.5"/>
  <pageSetup scale="25" orientation="landscape" r:id="rId1"/>
  <headerFooter alignWithMargins="0"/>
  <ignoredErrors>
    <ignoredError sqref="AQ154" formula="1"/>
  </ignoredError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B76BA-3C29-43B3-ABA0-1065FEC3494F}">
  <sheetPr>
    <pageSetUpPr fitToPage="1"/>
  </sheetPr>
  <dimension ref="A1:K15"/>
  <sheetViews>
    <sheetView showGridLines="0" workbookViewId="0">
      <pane xSplit="3" ySplit="3" topLeftCell="D4" activePane="bottomRight" state="frozen"/>
      <selection activeCell="AM93" sqref="AM93"/>
      <selection pane="topRight" activeCell="AM93" sqref="AM93"/>
      <selection pane="bottomLeft" activeCell="AM93" sqref="AM93"/>
      <selection pane="bottomRight" activeCell="F17" sqref="F17"/>
    </sheetView>
  </sheetViews>
  <sheetFormatPr defaultColWidth="9.140625" defaultRowHeight="12.75" x14ac:dyDescent="0.2"/>
  <cols>
    <col min="1" max="1" width="3.42578125" style="652" customWidth="1"/>
    <col min="2" max="2" width="2" style="652" customWidth="1"/>
    <col min="3" max="3" width="36.42578125" style="652" customWidth="1"/>
    <col min="4" max="4" width="7.85546875" style="652" bestFit="1" customWidth="1"/>
    <col min="5" max="5" width="9.140625" style="652"/>
    <col min="6" max="6" width="7.85546875" style="652" bestFit="1" customWidth="1"/>
    <col min="7" max="16384" width="9.140625" style="652"/>
  </cols>
  <sheetData>
    <row r="1" spans="1:11" x14ac:dyDescent="0.2">
      <c r="A1" s="762"/>
      <c r="C1" s="762"/>
    </row>
    <row r="2" spans="1:11" ht="17.25" customHeight="1" thickBot="1" x14ac:dyDescent="0.3">
      <c r="B2" s="96" t="s">
        <v>74</v>
      </c>
      <c r="K2" s="762"/>
    </row>
    <row r="3" spans="1:11" ht="13.5" thickBot="1" x14ac:dyDescent="0.25">
      <c r="B3" s="868" t="s">
        <v>506</v>
      </c>
      <c r="C3" s="870"/>
      <c r="D3" s="860" t="s">
        <v>510</v>
      </c>
      <c r="E3" s="860" t="s">
        <v>511</v>
      </c>
      <c r="F3" s="860" t="s">
        <v>495</v>
      </c>
      <c r="G3" s="860" t="s">
        <v>496</v>
      </c>
      <c r="H3" s="860" t="s">
        <v>494</v>
      </c>
      <c r="I3" s="860" t="s">
        <v>492</v>
      </c>
      <c r="J3" s="860" t="s">
        <v>491</v>
      </c>
      <c r="K3" s="861" t="s">
        <v>490</v>
      </c>
    </row>
    <row r="4" spans="1:11" s="654" customFormat="1" ht="15" customHeight="1" x14ac:dyDescent="0.2">
      <c r="B4" s="653" t="s">
        <v>509</v>
      </c>
      <c r="C4" s="844"/>
      <c r="D4" s="858">
        <v>1.06</v>
      </c>
      <c r="E4" s="858">
        <v>1.1000000000000001</v>
      </c>
      <c r="F4" s="858">
        <v>1.21</v>
      </c>
      <c r="G4" s="858">
        <v>1.24</v>
      </c>
      <c r="H4" s="858">
        <v>0.86</v>
      </c>
      <c r="I4" s="858">
        <v>1.1100000000000001</v>
      </c>
      <c r="J4" s="858">
        <v>0.92</v>
      </c>
      <c r="K4" s="859">
        <v>0.94</v>
      </c>
    </row>
    <row r="5" spans="1:11" s="673" customFormat="1" x14ac:dyDescent="0.2">
      <c r="B5" s="672"/>
      <c r="C5" s="674" t="s">
        <v>507</v>
      </c>
      <c r="D5" s="854"/>
      <c r="E5" s="854"/>
      <c r="F5" s="854">
        <v>0.85</v>
      </c>
      <c r="G5" s="854">
        <v>0.85</v>
      </c>
      <c r="H5" s="854">
        <v>0.82</v>
      </c>
      <c r="I5" s="854">
        <v>0.87</v>
      </c>
      <c r="J5" s="854">
        <v>0.89</v>
      </c>
      <c r="K5" s="855">
        <v>0.89</v>
      </c>
    </row>
    <row r="6" spans="1:11" s="677" customFormat="1" x14ac:dyDescent="0.2">
      <c r="B6" s="842"/>
      <c r="C6" s="843" t="s">
        <v>508</v>
      </c>
      <c r="D6" s="847"/>
      <c r="E6" s="660"/>
      <c r="F6" s="660">
        <v>0.82</v>
      </c>
      <c r="G6" s="660">
        <v>0.85</v>
      </c>
      <c r="H6" s="660">
        <v>0.86</v>
      </c>
      <c r="I6" s="660">
        <v>0.86</v>
      </c>
      <c r="J6" s="660">
        <v>0.83</v>
      </c>
      <c r="K6" s="848">
        <v>0.86</v>
      </c>
    </row>
    <row r="7" spans="1:11" s="677" customFormat="1" x14ac:dyDescent="0.2">
      <c r="B7" s="842"/>
      <c r="C7" s="843"/>
      <c r="D7" s="660"/>
      <c r="E7" s="660"/>
      <c r="F7" s="660"/>
      <c r="G7" s="660"/>
      <c r="H7" s="660"/>
      <c r="I7" s="660"/>
      <c r="J7" s="660"/>
      <c r="K7" s="848"/>
    </row>
    <row r="8" spans="1:11" s="654" customFormat="1" x14ac:dyDescent="0.2">
      <c r="B8" s="653" t="s">
        <v>493</v>
      </c>
      <c r="C8" s="844"/>
      <c r="D8" s="676"/>
      <c r="E8" s="676"/>
      <c r="F8" s="676">
        <v>2.5</v>
      </c>
      <c r="G8" s="676">
        <v>3.2</v>
      </c>
      <c r="H8" s="676">
        <v>4.7</v>
      </c>
      <c r="I8" s="676">
        <v>5.8</v>
      </c>
      <c r="J8" s="676">
        <v>7.1</v>
      </c>
      <c r="K8" s="846">
        <v>8.3000000000000007</v>
      </c>
    </row>
    <row r="9" spans="1:11" s="659" customFormat="1" x14ac:dyDescent="0.2">
      <c r="B9" s="657"/>
      <c r="C9" s="852" t="s">
        <v>29</v>
      </c>
      <c r="D9" s="660"/>
      <c r="E9" s="660"/>
      <c r="F9" s="660"/>
      <c r="G9" s="660">
        <f>G8/F8-1</f>
        <v>0.28000000000000003</v>
      </c>
      <c r="H9" s="660">
        <f>H8/G8-1</f>
        <v>0.46875</v>
      </c>
      <c r="I9" s="660">
        <f>I8/H8-1</f>
        <v>0.23404255319148937</v>
      </c>
      <c r="J9" s="660">
        <f>J8/I8-1</f>
        <v>0.22413793103448265</v>
      </c>
      <c r="K9" s="848">
        <f>K8/J8-1</f>
        <v>0.16901408450704247</v>
      </c>
    </row>
    <row r="10" spans="1:11" s="659" customFormat="1" x14ac:dyDescent="0.2">
      <c r="B10" s="657"/>
      <c r="C10" s="852"/>
      <c r="D10" s="662"/>
      <c r="E10" s="662"/>
      <c r="F10" s="662"/>
      <c r="G10" s="662"/>
      <c r="H10" s="662"/>
      <c r="I10" s="662"/>
      <c r="J10" s="662"/>
      <c r="K10" s="849"/>
    </row>
    <row r="11" spans="1:11" s="676" customFormat="1" x14ac:dyDescent="0.2">
      <c r="B11" s="845" t="s">
        <v>497</v>
      </c>
      <c r="C11" s="846"/>
      <c r="D11" s="856"/>
      <c r="E11" s="856"/>
      <c r="F11" s="856" t="s">
        <v>503</v>
      </c>
      <c r="G11" s="856" t="s">
        <v>502</v>
      </c>
      <c r="H11" s="856" t="s">
        <v>501</v>
      </c>
      <c r="I11" s="856" t="s">
        <v>500</v>
      </c>
      <c r="J11" s="856" t="s">
        <v>499</v>
      </c>
      <c r="K11" s="857" t="s">
        <v>498</v>
      </c>
    </row>
    <row r="12" spans="1:11" s="659" customFormat="1" x14ac:dyDescent="0.2">
      <c r="B12" s="657"/>
      <c r="C12" s="852" t="s">
        <v>504</v>
      </c>
      <c r="D12" s="660"/>
      <c r="E12" s="660"/>
      <c r="F12" s="660">
        <v>0.51</v>
      </c>
      <c r="G12" s="660">
        <v>0.51</v>
      </c>
      <c r="H12" s="660">
        <v>0.48</v>
      </c>
      <c r="I12" s="660"/>
      <c r="J12" s="660"/>
      <c r="K12" s="848"/>
    </row>
    <row r="13" spans="1:11" s="659" customFormat="1" x14ac:dyDescent="0.2">
      <c r="B13" s="657"/>
      <c r="C13" s="852" t="s">
        <v>505</v>
      </c>
      <c r="D13" s="662"/>
      <c r="E13" s="662"/>
      <c r="F13" s="662">
        <v>0.46</v>
      </c>
      <c r="G13" s="662">
        <v>0.46</v>
      </c>
      <c r="H13" s="662">
        <v>0.27</v>
      </c>
      <c r="I13" s="662"/>
      <c r="J13" s="662"/>
      <c r="K13" s="849"/>
    </row>
    <row r="14" spans="1:11" s="659" customFormat="1" ht="13.5" thickBot="1" x14ac:dyDescent="0.25">
      <c r="B14" s="665"/>
      <c r="C14" s="853"/>
      <c r="D14" s="850"/>
      <c r="E14" s="850"/>
      <c r="F14" s="850"/>
      <c r="G14" s="850"/>
      <c r="H14" s="850"/>
      <c r="I14" s="850"/>
      <c r="J14" s="850"/>
      <c r="K14" s="851"/>
    </row>
    <row r="15" spans="1:11" x14ac:dyDescent="0.2">
      <c r="I15" s="762"/>
      <c r="J15" s="762"/>
    </row>
  </sheetData>
  <mergeCells count="1">
    <mergeCell ref="B3:C3"/>
  </mergeCells>
  <pageMargins left="0.75" right="0.75" top="1" bottom="1" header="0.5" footer="0.5"/>
  <pageSetup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38EB-398A-494E-9E19-185F9FF800DE}">
  <dimension ref="A1:JA48"/>
  <sheetViews>
    <sheetView showGridLines="0" topLeftCell="E9" zoomScale="80" zoomScaleNormal="80" workbookViewId="0">
      <selection activeCell="I17" sqref="I17"/>
    </sheetView>
  </sheetViews>
  <sheetFormatPr defaultColWidth="15" defaultRowHeight="15.75" outlineLevelCol="1" x14ac:dyDescent="0.25"/>
  <cols>
    <col min="1" max="1" width="53.140625" style="558" customWidth="1"/>
    <col min="2" max="2" width="18" style="558" bestFit="1" customWidth="1"/>
    <col min="3" max="3" width="13.42578125" style="567" bestFit="1" customWidth="1"/>
    <col min="4" max="4" width="14.42578125" style="548" customWidth="1" outlineLevel="1"/>
    <col min="5" max="5" width="10.42578125" style="548" customWidth="1" outlineLevel="1"/>
    <col min="6" max="7" width="11.85546875" style="548" customWidth="1" outlineLevel="1"/>
    <col min="8" max="8" width="11.85546875" style="548" customWidth="1"/>
    <col min="9" max="12" width="11.85546875" style="548" customWidth="1" outlineLevel="1"/>
    <col min="13" max="13" width="11.85546875" style="548" customWidth="1"/>
    <col min="14" max="17" width="11.85546875" style="548" customWidth="1" outlineLevel="1"/>
    <col min="18" max="18" width="11.85546875" style="548" customWidth="1"/>
    <col min="19" max="22" width="11.85546875" style="548" customWidth="1" outlineLevel="1"/>
    <col min="23" max="23" width="11.85546875" style="548" customWidth="1"/>
    <col min="24" max="27" width="11.85546875" style="548" customWidth="1" outlineLevel="1"/>
    <col min="28" max="28" width="11.85546875" style="548" customWidth="1"/>
    <col min="29" max="32" width="11.85546875" style="548" customWidth="1" outlineLevel="1"/>
    <col min="33" max="33" width="11.85546875" style="548" customWidth="1"/>
    <col min="34" max="34" width="18.140625" style="548" bestFit="1" customWidth="1"/>
    <col min="35" max="35" width="1.7109375" style="548" bestFit="1" customWidth="1"/>
    <col min="36" max="36" width="16" style="548" bestFit="1" customWidth="1"/>
    <col min="37" max="207" width="15" style="548"/>
    <col min="208" max="208" width="53.42578125" style="548" customWidth="1"/>
    <col min="209" max="209" width="58.140625" style="548" customWidth="1"/>
    <col min="210" max="210" width="12.85546875" style="548" customWidth="1"/>
    <col min="211" max="211" width="11.85546875" style="548" customWidth="1"/>
    <col min="212" max="215" width="0" style="548" hidden="1" customWidth="1"/>
    <col min="216" max="216" width="11.85546875" style="548" bestFit="1" customWidth="1"/>
    <col min="217" max="220" width="0" style="548" hidden="1" customWidth="1"/>
    <col min="221" max="221" width="12.28515625" style="548" bestFit="1" customWidth="1"/>
    <col min="222" max="225" width="0" style="548" hidden="1" customWidth="1"/>
    <col min="226" max="226" width="12.28515625" style="548" bestFit="1" customWidth="1"/>
    <col min="227" max="230" width="10.7109375" style="548" bestFit="1" customWidth="1"/>
    <col min="231" max="231" width="13.42578125" style="548" bestFit="1" customWidth="1"/>
    <col min="232" max="261" width="15" style="548"/>
    <col min="262" max="262" width="53.140625" style="548" customWidth="1"/>
    <col min="263" max="263" width="18" style="548" bestFit="1" customWidth="1"/>
    <col min="264" max="264" width="13.42578125" style="548" bestFit="1" customWidth="1"/>
    <col min="265" max="284" width="11.85546875" style="548" customWidth="1"/>
    <col min="285" max="288" width="15" style="548"/>
    <col min="289" max="289" width="1.5703125" style="548" bestFit="1" customWidth="1"/>
    <col min="290" max="290" width="18.140625" style="548" bestFit="1" customWidth="1"/>
    <col min="291" max="291" width="1.7109375" style="548" bestFit="1" customWidth="1"/>
    <col min="292" max="292" width="16" style="548" bestFit="1" customWidth="1"/>
    <col min="293" max="463" width="15" style="548"/>
    <col min="464" max="464" width="53.42578125" style="548" customWidth="1"/>
    <col min="465" max="465" width="58.140625" style="548" customWidth="1"/>
    <col min="466" max="466" width="12.85546875" style="548" customWidth="1"/>
    <col min="467" max="467" width="11.85546875" style="548" customWidth="1"/>
    <col min="468" max="471" width="0" style="548" hidden="1" customWidth="1"/>
    <col min="472" max="472" width="11.85546875" style="548" bestFit="1" customWidth="1"/>
    <col min="473" max="476" width="0" style="548" hidden="1" customWidth="1"/>
    <col min="477" max="477" width="12.28515625" style="548" bestFit="1" customWidth="1"/>
    <col min="478" max="481" width="0" style="548" hidden="1" customWidth="1"/>
    <col min="482" max="482" width="12.28515625" style="548" bestFit="1" customWidth="1"/>
    <col min="483" max="486" width="10.7109375" style="548" bestFit="1" customWidth="1"/>
    <col min="487" max="487" width="13.42578125" style="548" bestFit="1" customWidth="1"/>
    <col min="488" max="517" width="15" style="548"/>
    <col min="518" max="518" width="53.140625" style="548" customWidth="1"/>
    <col min="519" max="519" width="18" style="548" bestFit="1" customWidth="1"/>
    <col min="520" max="520" width="13.42578125" style="548" bestFit="1" customWidth="1"/>
    <col min="521" max="540" width="11.85546875" style="548" customWidth="1"/>
    <col min="541" max="544" width="15" style="548"/>
    <col min="545" max="545" width="1.5703125" style="548" bestFit="1" customWidth="1"/>
    <col min="546" max="546" width="18.140625" style="548" bestFit="1" customWidth="1"/>
    <col min="547" max="547" width="1.7109375" style="548" bestFit="1" customWidth="1"/>
    <col min="548" max="548" width="16" style="548" bestFit="1" customWidth="1"/>
    <col min="549" max="719" width="15" style="548"/>
    <col min="720" max="720" width="53.42578125" style="548" customWidth="1"/>
    <col min="721" max="721" width="58.140625" style="548" customWidth="1"/>
    <col min="722" max="722" width="12.85546875" style="548" customWidth="1"/>
    <col min="723" max="723" width="11.85546875" style="548" customWidth="1"/>
    <col min="724" max="727" width="0" style="548" hidden="1" customWidth="1"/>
    <col min="728" max="728" width="11.85546875" style="548" bestFit="1" customWidth="1"/>
    <col min="729" max="732" width="0" style="548" hidden="1" customWidth="1"/>
    <col min="733" max="733" width="12.28515625" style="548" bestFit="1" customWidth="1"/>
    <col min="734" max="737" width="0" style="548" hidden="1" customWidth="1"/>
    <col min="738" max="738" width="12.28515625" style="548" bestFit="1" customWidth="1"/>
    <col min="739" max="742" width="10.7109375" style="548" bestFit="1" customWidth="1"/>
    <col min="743" max="743" width="13.42578125" style="548" bestFit="1" customWidth="1"/>
    <col min="744" max="773" width="15" style="548"/>
    <col min="774" max="774" width="53.140625" style="548" customWidth="1"/>
    <col min="775" max="775" width="18" style="548" bestFit="1" customWidth="1"/>
    <col min="776" max="776" width="13.42578125" style="548" bestFit="1" customWidth="1"/>
    <col min="777" max="796" width="11.85546875" style="548" customWidth="1"/>
    <col min="797" max="800" width="15" style="548"/>
    <col min="801" max="801" width="1.5703125" style="548" bestFit="1" customWidth="1"/>
    <col min="802" max="802" width="18.140625" style="548" bestFit="1" customWidth="1"/>
    <col min="803" max="803" width="1.7109375" style="548" bestFit="1" customWidth="1"/>
    <col min="804" max="804" width="16" style="548" bestFit="1" customWidth="1"/>
    <col min="805" max="975" width="15" style="548"/>
    <col min="976" max="976" width="53.42578125" style="548" customWidth="1"/>
    <col min="977" max="977" width="58.140625" style="548" customWidth="1"/>
    <col min="978" max="978" width="12.85546875" style="548" customWidth="1"/>
    <col min="979" max="979" width="11.85546875" style="548" customWidth="1"/>
    <col min="980" max="983" width="0" style="548" hidden="1" customWidth="1"/>
    <col min="984" max="984" width="11.85546875" style="548" bestFit="1" customWidth="1"/>
    <col min="985" max="988" width="0" style="548" hidden="1" customWidth="1"/>
    <col min="989" max="989" width="12.28515625" style="548" bestFit="1" customWidth="1"/>
    <col min="990" max="993" width="0" style="548" hidden="1" customWidth="1"/>
    <col min="994" max="994" width="12.28515625" style="548" bestFit="1" customWidth="1"/>
    <col min="995" max="998" width="10.7109375" style="548" bestFit="1" customWidth="1"/>
    <col min="999" max="999" width="13.42578125" style="548" bestFit="1" customWidth="1"/>
    <col min="1000" max="1029" width="15" style="548"/>
    <col min="1030" max="1030" width="53.140625" style="548" customWidth="1"/>
    <col min="1031" max="1031" width="18" style="548" bestFit="1" customWidth="1"/>
    <col min="1032" max="1032" width="13.42578125" style="548" bestFit="1" customWidth="1"/>
    <col min="1033" max="1052" width="11.85546875" style="548" customWidth="1"/>
    <col min="1053" max="1056" width="15" style="548"/>
    <col min="1057" max="1057" width="1.5703125" style="548" bestFit="1" customWidth="1"/>
    <col min="1058" max="1058" width="18.140625" style="548" bestFit="1" customWidth="1"/>
    <col min="1059" max="1059" width="1.7109375" style="548" bestFit="1" customWidth="1"/>
    <col min="1060" max="1060" width="16" style="548" bestFit="1" customWidth="1"/>
    <col min="1061" max="1231" width="15" style="548"/>
    <col min="1232" max="1232" width="53.42578125" style="548" customWidth="1"/>
    <col min="1233" max="1233" width="58.140625" style="548" customWidth="1"/>
    <col min="1234" max="1234" width="12.85546875" style="548" customWidth="1"/>
    <col min="1235" max="1235" width="11.85546875" style="548" customWidth="1"/>
    <col min="1236" max="1239" width="0" style="548" hidden="1" customWidth="1"/>
    <col min="1240" max="1240" width="11.85546875" style="548" bestFit="1" customWidth="1"/>
    <col min="1241" max="1244" width="0" style="548" hidden="1" customWidth="1"/>
    <col min="1245" max="1245" width="12.28515625" style="548" bestFit="1" customWidth="1"/>
    <col min="1246" max="1249" width="0" style="548" hidden="1" customWidth="1"/>
    <col min="1250" max="1250" width="12.28515625" style="548" bestFit="1" customWidth="1"/>
    <col min="1251" max="1254" width="10.7109375" style="548" bestFit="1" customWidth="1"/>
    <col min="1255" max="1255" width="13.42578125" style="548" bestFit="1" customWidth="1"/>
    <col min="1256" max="1285" width="15" style="548"/>
    <col min="1286" max="1286" width="53.140625" style="548" customWidth="1"/>
    <col min="1287" max="1287" width="18" style="548" bestFit="1" customWidth="1"/>
    <col min="1288" max="1288" width="13.42578125" style="548" bestFit="1" customWidth="1"/>
    <col min="1289" max="1308" width="11.85546875" style="548" customWidth="1"/>
    <col min="1309" max="1312" width="15" style="548"/>
    <col min="1313" max="1313" width="1.5703125" style="548" bestFit="1" customWidth="1"/>
    <col min="1314" max="1314" width="18.140625" style="548" bestFit="1" customWidth="1"/>
    <col min="1315" max="1315" width="1.7109375" style="548" bestFit="1" customWidth="1"/>
    <col min="1316" max="1316" width="16" style="548" bestFit="1" customWidth="1"/>
    <col min="1317" max="1487" width="15" style="548"/>
    <col min="1488" max="1488" width="53.42578125" style="548" customWidth="1"/>
    <col min="1489" max="1489" width="58.140625" style="548" customWidth="1"/>
    <col min="1490" max="1490" width="12.85546875" style="548" customWidth="1"/>
    <col min="1491" max="1491" width="11.85546875" style="548" customWidth="1"/>
    <col min="1492" max="1495" width="0" style="548" hidden="1" customWidth="1"/>
    <col min="1496" max="1496" width="11.85546875" style="548" bestFit="1" customWidth="1"/>
    <col min="1497" max="1500" width="0" style="548" hidden="1" customWidth="1"/>
    <col min="1501" max="1501" width="12.28515625" style="548" bestFit="1" customWidth="1"/>
    <col min="1502" max="1505" width="0" style="548" hidden="1" customWidth="1"/>
    <col min="1506" max="1506" width="12.28515625" style="548" bestFit="1" customWidth="1"/>
    <col min="1507" max="1510" width="10.7109375" style="548" bestFit="1" customWidth="1"/>
    <col min="1511" max="1511" width="13.42578125" style="548" bestFit="1" customWidth="1"/>
    <col min="1512" max="1541" width="15" style="548"/>
    <col min="1542" max="1542" width="53.140625" style="548" customWidth="1"/>
    <col min="1543" max="1543" width="18" style="548" bestFit="1" customWidth="1"/>
    <col min="1544" max="1544" width="13.42578125" style="548" bestFit="1" customWidth="1"/>
    <col min="1545" max="1564" width="11.85546875" style="548" customWidth="1"/>
    <col min="1565" max="1568" width="15" style="548"/>
    <col min="1569" max="1569" width="1.5703125" style="548" bestFit="1" customWidth="1"/>
    <col min="1570" max="1570" width="18.140625" style="548" bestFit="1" customWidth="1"/>
    <col min="1571" max="1571" width="1.7109375" style="548" bestFit="1" customWidth="1"/>
    <col min="1572" max="1572" width="16" style="548" bestFit="1" customWidth="1"/>
    <col min="1573" max="1743" width="15" style="548"/>
    <col min="1744" max="1744" width="53.42578125" style="548" customWidth="1"/>
    <col min="1745" max="1745" width="58.140625" style="548" customWidth="1"/>
    <col min="1746" max="1746" width="12.85546875" style="548" customWidth="1"/>
    <col min="1747" max="1747" width="11.85546875" style="548" customWidth="1"/>
    <col min="1748" max="1751" width="0" style="548" hidden="1" customWidth="1"/>
    <col min="1752" max="1752" width="11.85546875" style="548" bestFit="1" customWidth="1"/>
    <col min="1753" max="1756" width="0" style="548" hidden="1" customWidth="1"/>
    <col min="1757" max="1757" width="12.28515625" style="548" bestFit="1" customWidth="1"/>
    <col min="1758" max="1761" width="0" style="548" hidden="1" customWidth="1"/>
    <col min="1762" max="1762" width="12.28515625" style="548" bestFit="1" customWidth="1"/>
    <col min="1763" max="1766" width="10.7109375" style="548" bestFit="1" customWidth="1"/>
    <col min="1767" max="1767" width="13.42578125" style="548" bestFit="1" customWidth="1"/>
    <col min="1768" max="1797" width="15" style="548"/>
    <col min="1798" max="1798" width="53.140625" style="548" customWidth="1"/>
    <col min="1799" max="1799" width="18" style="548" bestFit="1" customWidth="1"/>
    <col min="1800" max="1800" width="13.42578125" style="548" bestFit="1" customWidth="1"/>
    <col min="1801" max="1820" width="11.85546875" style="548" customWidth="1"/>
    <col min="1821" max="1824" width="15" style="548"/>
    <col min="1825" max="1825" width="1.5703125" style="548" bestFit="1" customWidth="1"/>
    <col min="1826" max="1826" width="18.140625" style="548" bestFit="1" customWidth="1"/>
    <col min="1827" max="1827" width="1.7109375" style="548" bestFit="1" customWidth="1"/>
    <col min="1828" max="1828" width="16" style="548" bestFit="1" customWidth="1"/>
    <col min="1829" max="1999" width="15" style="548"/>
    <col min="2000" max="2000" width="53.42578125" style="548" customWidth="1"/>
    <col min="2001" max="2001" width="58.140625" style="548" customWidth="1"/>
    <col min="2002" max="2002" width="12.85546875" style="548" customWidth="1"/>
    <col min="2003" max="2003" width="11.85546875" style="548" customWidth="1"/>
    <col min="2004" max="2007" width="0" style="548" hidden="1" customWidth="1"/>
    <col min="2008" max="2008" width="11.85546875" style="548" bestFit="1" customWidth="1"/>
    <col min="2009" max="2012" width="0" style="548" hidden="1" customWidth="1"/>
    <col min="2013" max="2013" width="12.28515625" style="548" bestFit="1" customWidth="1"/>
    <col min="2014" max="2017" width="0" style="548" hidden="1" customWidth="1"/>
    <col min="2018" max="2018" width="12.28515625" style="548" bestFit="1" customWidth="1"/>
    <col min="2019" max="2022" width="10.7109375" style="548" bestFit="1" customWidth="1"/>
    <col min="2023" max="2023" width="13.42578125" style="548" bestFit="1" customWidth="1"/>
    <col min="2024" max="2053" width="15" style="548"/>
    <col min="2054" max="2054" width="53.140625" style="548" customWidth="1"/>
    <col min="2055" max="2055" width="18" style="548" bestFit="1" customWidth="1"/>
    <col min="2056" max="2056" width="13.42578125" style="548" bestFit="1" customWidth="1"/>
    <col min="2057" max="2076" width="11.85546875" style="548" customWidth="1"/>
    <col min="2077" max="2080" width="15" style="548"/>
    <col min="2081" max="2081" width="1.5703125" style="548" bestFit="1" customWidth="1"/>
    <col min="2082" max="2082" width="18.140625" style="548" bestFit="1" customWidth="1"/>
    <col min="2083" max="2083" width="1.7109375" style="548" bestFit="1" customWidth="1"/>
    <col min="2084" max="2084" width="16" style="548" bestFit="1" customWidth="1"/>
    <col min="2085" max="2255" width="15" style="548"/>
    <col min="2256" max="2256" width="53.42578125" style="548" customWidth="1"/>
    <col min="2257" max="2257" width="58.140625" style="548" customWidth="1"/>
    <col min="2258" max="2258" width="12.85546875" style="548" customWidth="1"/>
    <col min="2259" max="2259" width="11.85546875" style="548" customWidth="1"/>
    <col min="2260" max="2263" width="0" style="548" hidden="1" customWidth="1"/>
    <col min="2264" max="2264" width="11.85546875" style="548" bestFit="1" customWidth="1"/>
    <col min="2265" max="2268" width="0" style="548" hidden="1" customWidth="1"/>
    <col min="2269" max="2269" width="12.28515625" style="548" bestFit="1" customWidth="1"/>
    <col min="2270" max="2273" width="0" style="548" hidden="1" customWidth="1"/>
    <col min="2274" max="2274" width="12.28515625" style="548" bestFit="1" customWidth="1"/>
    <col min="2275" max="2278" width="10.7109375" style="548" bestFit="1" customWidth="1"/>
    <col min="2279" max="2279" width="13.42578125" style="548" bestFit="1" customWidth="1"/>
    <col min="2280" max="2309" width="15" style="548"/>
    <col min="2310" max="2310" width="53.140625" style="548" customWidth="1"/>
    <col min="2311" max="2311" width="18" style="548" bestFit="1" customWidth="1"/>
    <col min="2312" max="2312" width="13.42578125" style="548" bestFit="1" customWidth="1"/>
    <col min="2313" max="2332" width="11.85546875" style="548" customWidth="1"/>
    <col min="2333" max="2336" width="15" style="548"/>
    <col min="2337" max="2337" width="1.5703125" style="548" bestFit="1" customWidth="1"/>
    <col min="2338" max="2338" width="18.140625" style="548" bestFit="1" customWidth="1"/>
    <col min="2339" max="2339" width="1.7109375" style="548" bestFit="1" customWidth="1"/>
    <col min="2340" max="2340" width="16" style="548" bestFit="1" customWidth="1"/>
    <col min="2341" max="2511" width="15" style="548"/>
    <col min="2512" max="2512" width="53.42578125" style="548" customWidth="1"/>
    <col min="2513" max="2513" width="58.140625" style="548" customWidth="1"/>
    <col min="2514" max="2514" width="12.85546875" style="548" customWidth="1"/>
    <col min="2515" max="2515" width="11.85546875" style="548" customWidth="1"/>
    <col min="2516" max="2519" width="0" style="548" hidden="1" customWidth="1"/>
    <col min="2520" max="2520" width="11.85546875" style="548" bestFit="1" customWidth="1"/>
    <col min="2521" max="2524" width="0" style="548" hidden="1" customWidth="1"/>
    <col min="2525" max="2525" width="12.28515625" style="548" bestFit="1" customWidth="1"/>
    <col min="2526" max="2529" width="0" style="548" hidden="1" customWidth="1"/>
    <col min="2530" max="2530" width="12.28515625" style="548" bestFit="1" customWidth="1"/>
    <col min="2531" max="2534" width="10.7109375" style="548" bestFit="1" customWidth="1"/>
    <col min="2535" max="2535" width="13.42578125" style="548" bestFit="1" customWidth="1"/>
    <col min="2536" max="2565" width="15" style="548"/>
    <col min="2566" max="2566" width="53.140625" style="548" customWidth="1"/>
    <col min="2567" max="2567" width="18" style="548" bestFit="1" customWidth="1"/>
    <col min="2568" max="2568" width="13.42578125" style="548" bestFit="1" customWidth="1"/>
    <col min="2569" max="2588" width="11.85546875" style="548" customWidth="1"/>
    <col min="2589" max="2592" width="15" style="548"/>
    <col min="2593" max="2593" width="1.5703125" style="548" bestFit="1" customWidth="1"/>
    <col min="2594" max="2594" width="18.140625" style="548" bestFit="1" customWidth="1"/>
    <col min="2595" max="2595" width="1.7109375" style="548" bestFit="1" customWidth="1"/>
    <col min="2596" max="2596" width="16" style="548" bestFit="1" customWidth="1"/>
    <col min="2597" max="2767" width="15" style="548"/>
    <col min="2768" max="2768" width="53.42578125" style="548" customWidth="1"/>
    <col min="2769" max="2769" width="58.140625" style="548" customWidth="1"/>
    <col min="2770" max="2770" width="12.85546875" style="548" customWidth="1"/>
    <col min="2771" max="2771" width="11.85546875" style="548" customWidth="1"/>
    <col min="2772" max="2775" width="0" style="548" hidden="1" customWidth="1"/>
    <col min="2776" max="2776" width="11.85546875" style="548" bestFit="1" customWidth="1"/>
    <col min="2777" max="2780" width="0" style="548" hidden="1" customWidth="1"/>
    <col min="2781" max="2781" width="12.28515625" style="548" bestFit="1" customWidth="1"/>
    <col min="2782" max="2785" width="0" style="548" hidden="1" customWidth="1"/>
    <col min="2786" max="2786" width="12.28515625" style="548" bestFit="1" customWidth="1"/>
    <col min="2787" max="2790" width="10.7109375" style="548" bestFit="1" customWidth="1"/>
    <col min="2791" max="2791" width="13.42578125" style="548" bestFit="1" customWidth="1"/>
    <col min="2792" max="2821" width="15" style="548"/>
    <col min="2822" max="2822" width="53.140625" style="548" customWidth="1"/>
    <col min="2823" max="2823" width="18" style="548" bestFit="1" customWidth="1"/>
    <col min="2824" max="2824" width="13.42578125" style="548" bestFit="1" customWidth="1"/>
    <col min="2825" max="2844" width="11.85546875" style="548" customWidth="1"/>
    <col min="2845" max="2848" width="15" style="548"/>
    <col min="2849" max="2849" width="1.5703125" style="548" bestFit="1" customWidth="1"/>
    <col min="2850" max="2850" width="18.140625" style="548" bestFit="1" customWidth="1"/>
    <col min="2851" max="2851" width="1.7109375" style="548" bestFit="1" customWidth="1"/>
    <col min="2852" max="2852" width="16" style="548" bestFit="1" customWidth="1"/>
    <col min="2853" max="3023" width="15" style="548"/>
    <col min="3024" max="3024" width="53.42578125" style="548" customWidth="1"/>
    <col min="3025" max="3025" width="58.140625" style="548" customWidth="1"/>
    <col min="3026" max="3026" width="12.85546875" style="548" customWidth="1"/>
    <col min="3027" max="3027" width="11.85546875" style="548" customWidth="1"/>
    <col min="3028" max="3031" width="0" style="548" hidden="1" customWidth="1"/>
    <col min="3032" max="3032" width="11.85546875" style="548" bestFit="1" customWidth="1"/>
    <col min="3033" max="3036" width="0" style="548" hidden="1" customWidth="1"/>
    <col min="3037" max="3037" width="12.28515625" style="548" bestFit="1" customWidth="1"/>
    <col min="3038" max="3041" width="0" style="548" hidden="1" customWidth="1"/>
    <col min="3042" max="3042" width="12.28515625" style="548" bestFit="1" customWidth="1"/>
    <col min="3043" max="3046" width="10.7109375" style="548" bestFit="1" customWidth="1"/>
    <col min="3047" max="3047" width="13.42578125" style="548" bestFit="1" customWidth="1"/>
    <col min="3048" max="3077" width="15" style="548"/>
    <col min="3078" max="3078" width="53.140625" style="548" customWidth="1"/>
    <col min="3079" max="3079" width="18" style="548" bestFit="1" customWidth="1"/>
    <col min="3080" max="3080" width="13.42578125" style="548" bestFit="1" customWidth="1"/>
    <col min="3081" max="3100" width="11.85546875" style="548" customWidth="1"/>
    <col min="3101" max="3104" width="15" style="548"/>
    <col min="3105" max="3105" width="1.5703125" style="548" bestFit="1" customWidth="1"/>
    <col min="3106" max="3106" width="18.140625" style="548" bestFit="1" customWidth="1"/>
    <col min="3107" max="3107" width="1.7109375" style="548" bestFit="1" customWidth="1"/>
    <col min="3108" max="3108" width="16" style="548" bestFit="1" customWidth="1"/>
    <col min="3109" max="3279" width="15" style="548"/>
    <col min="3280" max="3280" width="53.42578125" style="548" customWidth="1"/>
    <col min="3281" max="3281" width="58.140625" style="548" customWidth="1"/>
    <col min="3282" max="3282" width="12.85546875" style="548" customWidth="1"/>
    <col min="3283" max="3283" width="11.85546875" style="548" customWidth="1"/>
    <col min="3284" max="3287" width="0" style="548" hidden="1" customWidth="1"/>
    <col min="3288" max="3288" width="11.85546875" style="548" bestFit="1" customWidth="1"/>
    <col min="3289" max="3292" width="0" style="548" hidden="1" customWidth="1"/>
    <col min="3293" max="3293" width="12.28515625" style="548" bestFit="1" customWidth="1"/>
    <col min="3294" max="3297" width="0" style="548" hidden="1" customWidth="1"/>
    <col min="3298" max="3298" width="12.28515625" style="548" bestFit="1" customWidth="1"/>
    <col min="3299" max="3302" width="10.7109375" style="548" bestFit="1" customWidth="1"/>
    <col min="3303" max="3303" width="13.42578125" style="548" bestFit="1" customWidth="1"/>
    <col min="3304" max="3333" width="15" style="548"/>
    <col min="3334" max="3334" width="53.140625" style="548" customWidth="1"/>
    <col min="3335" max="3335" width="18" style="548" bestFit="1" customWidth="1"/>
    <col min="3336" max="3336" width="13.42578125" style="548" bestFit="1" customWidth="1"/>
    <col min="3337" max="3356" width="11.85546875" style="548" customWidth="1"/>
    <col min="3357" max="3360" width="15" style="548"/>
    <col min="3361" max="3361" width="1.5703125" style="548" bestFit="1" customWidth="1"/>
    <col min="3362" max="3362" width="18.140625" style="548" bestFit="1" customWidth="1"/>
    <col min="3363" max="3363" width="1.7109375" style="548" bestFit="1" customWidth="1"/>
    <col min="3364" max="3364" width="16" style="548" bestFit="1" customWidth="1"/>
    <col min="3365" max="3535" width="15" style="548"/>
    <col min="3536" max="3536" width="53.42578125" style="548" customWidth="1"/>
    <col min="3537" max="3537" width="58.140625" style="548" customWidth="1"/>
    <col min="3538" max="3538" width="12.85546875" style="548" customWidth="1"/>
    <col min="3539" max="3539" width="11.85546875" style="548" customWidth="1"/>
    <col min="3540" max="3543" width="0" style="548" hidden="1" customWidth="1"/>
    <col min="3544" max="3544" width="11.85546875" style="548" bestFit="1" customWidth="1"/>
    <col min="3545" max="3548" width="0" style="548" hidden="1" customWidth="1"/>
    <col min="3549" max="3549" width="12.28515625" style="548" bestFit="1" customWidth="1"/>
    <col min="3550" max="3553" width="0" style="548" hidden="1" customWidth="1"/>
    <col min="3554" max="3554" width="12.28515625" style="548" bestFit="1" customWidth="1"/>
    <col min="3555" max="3558" width="10.7109375" style="548" bestFit="1" customWidth="1"/>
    <col min="3559" max="3559" width="13.42578125" style="548" bestFit="1" customWidth="1"/>
    <col min="3560" max="3589" width="15" style="548"/>
    <col min="3590" max="3590" width="53.140625" style="548" customWidth="1"/>
    <col min="3591" max="3591" width="18" style="548" bestFit="1" customWidth="1"/>
    <col min="3592" max="3592" width="13.42578125" style="548" bestFit="1" customWidth="1"/>
    <col min="3593" max="3612" width="11.85546875" style="548" customWidth="1"/>
    <col min="3613" max="3616" width="15" style="548"/>
    <col min="3617" max="3617" width="1.5703125" style="548" bestFit="1" customWidth="1"/>
    <col min="3618" max="3618" width="18.140625" style="548" bestFit="1" customWidth="1"/>
    <col min="3619" max="3619" width="1.7109375" style="548" bestFit="1" customWidth="1"/>
    <col min="3620" max="3620" width="16" style="548" bestFit="1" customWidth="1"/>
    <col min="3621" max="3791" width="15" style="548"/>
    <col min="3792" max="3792" width="53.42578125" style="548" customWidth="1"/>
    <col min="3793" max="3793" width="58.140625" style="548" customWidth="1"/>
    <col min="3794" max="3794" width="12.85546875" style="548" customWidth="1"/>
    <col min="3795" max="3795" width="11.85546875" style="548" customWidth="1"/>
    <col min="3796" max="3799" width="0" style="548" hidden="1" customWidth="1"/>
    <col min="3800" max="3800" width="11.85546875" style="548" bestFit="1" customWidth="1"/>
    <col min="3801" max="3804" width="0" style="548" hidden="1" customWidth="1"/>
    <col min="3805" max="3805" width="12.28515625" style="548" bestFit="1" customWidth="1"/>
    <col min="3806" max="3809" width="0" style="548" hidden="1" customWidth="1"/>
    <col min="3810" max="3810" width="12.28515625" style="548" bestFit="1" customWidth="1"/>
    <col min="3811" max="3814" width="10.7109375" style="548" bestFit="1" customWidth="1"/>
    <col min="3815" max="3815" width="13.42578125" style="548" bestFit="1" customWidth="1"/>
    <col min="3816" max="3845" width="15" style="548"/>
    <col min="3846" max="3846" width="53.140625" style="548" customWidth="1"/>
    <col min="3847" max="3847" width="18" style="548" bestFit="1" customWidth="1"/>
    <col min="3848" max="3848" width="13.42578125" style="548" bestFit="1" customWidth="1"/>
    <col min="3849" max="3868" width="11.85546875" style="548" customWidth="1"/>
    <col min="3869" max="3872" width="15" style="548"/>
    <col min="3873" max="3873" width="1.5703125" style="548" bestFit="1" customWidth="1"/>
    <col min="3874" max="3874" width="18.140625" style="548" bestFit="1" customWidth="1"/>
    <col min="3875" max="3875" width="1.7109375" style="548" bestFit="1" customWidth="1"/>
    <col min="3876" max="3876" width="16" style="548" bestFit="1" customWidth="1"/>
    <col min="3877" max="4047" width="15" style="548"/>
    <col min="4048" max="4048" width="53.42578125" style="548" customWidth="1"/>
    <col min="4049" max="4049" width="58.140625" style="548" customWidth="1"/>
    <col min="4050" max="4050" width="12.85546875" style="548" customWidth="1"/>
    <col min="4051" max="4051" width="11.85546875" style="548" customWidth="1"/>
    <col min="4052" max="4055" width="0" style="548" hidden="1" customWidth="1"/>
    <col min="4056" max="4056" width="11.85546875" style="548" bestFit="1" customWidth="1"/>
    <col min="4057" max="4060" width="0" style="548" hidden="1" customWidth="1"/>
    <col min="4061" max="4061" width="12.28515625" style="548" bestFit="1" customWidth="1"/>
    <col min="4062" max="4065" width="0" style="548" hidden="1" customWidth="1"/>
    <col min="4066" max="4066" width="12.28515625" style="548" bestFit="1" customWidth="1"/>
    <col min="4067" max="4070" width="10.7109375" style="548" bestFit="1" customWidth="1"/>
    <col min="4071" max="4071" width="13.42578125" style="548" bestFit="1" customWidth="1"/>
    <col min="4072" max="4101" width="15" style="548"/>
    <col min="4102" max="4102" width="53.140625" style="548" customWidth="1"/>
    <col min="4103" max="4103" width="18" style="548" bestFit="1" customWidth="1"/>
    <col min="4104" max="4104" width="13.42578125" style="548" bestFit="1" customWidth="1"/>
    <col min="4105" max="4124" width="11.85546875" style="548" customWidth="1"/>
    <col min="4125" max="4128" width="15" style="548"/>
    <col min="4129" max="4129" width="1.5703125" style="548" bestFit="1" customWidth="1"/>
    <col min="4130" max="4130" width="18.140625" style="548" bestFit="1" customWidth="1"/>
    <col min="4131" max="4131" width="1.7109375" style="548" bestFit="1" customWidth="1"/>
    <col min="4132" max="4132" width="16" style="548" bestFit="1" customWidth="1"/>
    <col min="4133" max="4303" width="15" style="548"/>
    <col min="4304" max="4304" width="53.42578125" style="548" customWidth="1"/>
    <col min="4305" max="4305" width="58.140625" style="548" customWidth="1"/>
    <col min="4306" max="4306" width="12.85546875" style="548" customWidth="1"/>
    <col min="4307" max="4307" width="11.85546875" style="548" customWidth="1"/>
    <col min="4308" max="4311" width="0" style="548" hidden="1" customWidth="1"/>
    <col min="4312" max="4312" width="11.85546875" style="548" bestFit="1" customWidth="1"/>
    <col min="4313" max="4316" width="0" style="548" hidden="1" customWidth="1"/>
    <col min="4317" max="4317" width="12.28515625" style="548" bestFit="1" customWidth="1"/>
    <col min="4318" max="4321" width="0" style="548" hidden="1" customWidth="1"/>
    <col min="4322" max="4322" width="12.28515625" style="548" bestFit="1" customWidth="1"/>
    <col min="4323" max="4326" width="10.7109375" style="548" bestFit="1" customWidth="1"/>
    <col min="4327" max="4327" width="13.42578125" style="548" bestFit="1" customWidth="1"/>
    <col min="4328" max="4357" width="15" style="548"/>
    <col min="4358" max="4358" width="53.140625" style="548" customWidth="1"/>
    <col min="4359" max="4359" width="18" style="548" bestFit="1" customWidth="1"/>
    <col min="4360" max="4360" width="13.42578125" style="548" bestFit="1" customWidth="1"/>
    <col min="4361" max="4380" width="11.85546875" style="548" customWidth="1"/>
    <col min="4381" max="4384" width="15" style="548"/>
    <col min="4385" max="4385" width="1.5703125" style="548" bestFit="1" customWidth="1"/>
    <col min="4386" max="4386" width="18.140625" style="548" bestFit="1" customWidth="1"/>
    <col min="4387" max="4387" width="1.7109375" style="548" bestFit="1" customWidth="1"/>
    <col min="4388" max="4388" width="16" style="548" bestFit="1" customWidth="1"/>
    <col min="4389" max="4559" width="15" style="548"/>
    <col min="4560" max="4560" width="53.42578125" style="548" customWidth="1"/>
    <col min="4561" max="4561" width="58.140625" style="548" customWidth="1"/>
    <col min="4562" max="4562" width="12.85546875" style="548" customWidth="1"/>
    <col min="4563" max="4563" width="11.85546875" style="548" customWidth="1"/>
    <col min="4564" max="4567" width="0" style="548" hidden="1" customWidth="1"/>
    <col min="4568" max="4568" width="11.85546875" style="548" bestFit="1" customWidth="1"/>
    <col min="4569" max="4572" width="0" style="548" hidden="1" customWidth="1"/>
    <col min="4573" max="4573" width="12.28515625" style="548" bestFit="1" customWidth="1"/>
    <col min="4574" max="4577" width="0" style="548" hidden="1" customWidth="1"/>
    <col min="4578" max="4578" width="12.28515625" style="548" bestFit="1" customWidth="1"/>
    <col min="4579" max="4582" width="10.7109375" style="548" bestFit="1" customWidth="1"/>
    <col min="4583" max="4583" width="13.42578125" style="548" bestFit="1" customWidth="1"/>
    <col min="4584" max="4613" width="15" style="548"/>
    <col min="4614" max="4614" width="53.140625" style="548" customWidth="1"/>
    <col min="4615" max="4615" width="18" style="548" bestFit="1" customWidth="1"/>
    <col min="4616" max="4616" width="13.42578125" style="548" bestFit="1" customWidth="1"/>
    <col min="4617" max="4636" width="11.85546875" style="548" customWidth="1"/>
    <col min="4637" max="4640" width="15" style="548"/>
    <col min="4641" max="4641" width="1.5703125" style="548" bestFit="1" customWidth="1"/>
    <col min="4642" max="4642" width="18.140625" style="548" bestFit="1" customWidth="1"/>
    <col min="4643" max="4643" width="1.7109375" style="548" bestFit="1" customWidth="1"/>
    <col min="4644" max="4644" width="16" style="548" bestFit="1" customWidth="1"/>
    <col min="4645" max="4815" width="15" style="548"/>
    <col min="4816" max="4816" width="53.42578125" style="548" customWidth="1"/>
    <col min="4817" max="4817" width="58.140625" style="548" customWidth="1"/>
    <col min="4818" max="4818" width="12.85546875" style="548" customWidth="1"/>
    <col min="4819" max="4819" width="11.85546875" style="548" customWidth="1"/>
    <col min="4820" max="4823" width="0" style="548" hidden="1" customWidth="1"/>
    <col min="4824" max="4824" width="11.85546875" style="548" bestFit="1" customWidth="1"/>
    <col min="4825" max="4828" width="0" style="548" hidden="1" customWidth="1"/>
    <col min="4829" max="4829" width="12.28515625" style="548" bestFit="1" customWidth="1"/>
    <col min="4830" max="4833" width="0" style="548" hidden="1" customWidth="1"/>
    <col min="4834" max="4834" width="12.28515625" style="548" bestFit="1" customWidth="1"/>
    <col min="4835" max="4838" width="10.7109375" style="548" bestFit="1" customWidth="1"/>
    <col min="4839" max="4839" width="13.42578125" style="548" bestFit="1" customWidth="1"/>
    <col min="4840" max="4869" width="15" style="548"/>
    <col min="4870" max="4870" width="53.140625" style="548" customWidth="1"/>
    <col min="4871" max="4871" width="18" style="548" bestFit="1" customWidth="1"/>
    <col min="4872" max="4872" width="13.42578125" style="548" bestFit="1" customWidth="1"/>
    <col min="4873" max="4892" width="11.85546875" style="548" customWidth="1"/>
    <col min="4893" max="4896" width="15" style="548"/>
    <col min="4897" max="4897" width="1.5703125" style="548" bestFit="1" customWidth="1"/>
    <col min="4898" max="4898" width="18.140625" style="548" bestFit="1" customWidth="1"/>
    <col min="4899" max="4899" width="1.7109375" style="548" bestFit="1" customWidth="1"/>
    <col min="4900" max="4900" width="16" style="548" bestFit="1" customWidth="1"/>
    <col min="4901" max="5071" width="15" style="548"/>
    <col min="5072" max="5072" width="53.42578125" style="548" customWidth="1"/>
    <col min="5073" max="5073" width="58.140625" style="548" customWidth="1"/>
    <col min="5074" max="5074" width="12.85546875" style="548" customWidth="1"/>
    <col min="5075" max="5075" width="11.85546875" style="548" customWidth="1"/>
    <col min="5076" max="5079" width="0" style="548" hidden="1" customWidth="1"/>
    <col min="5080" max="5080" width="11.85546875" style="548" bestFit="1" customWidth="1"/>
    <col min="5081" max="5084" width="0" style="548" hidden="1" customWidth="1"/>
    <col min="5085" max="5085" width="12.28515625" style="548" bestFit="1" customWidth="1"/>
    <col min="5086" max="5089" width="0" style="548" hidden="1" customWidth="1"/>
    <col min="5090" max="5090" width="12.28515625" style="548" bestFit="1" customWidth="1"/>
    <col min="5091" max="5094" width="10.7109375" style="548" bestFit="1" customWidth="1"/>
    <col min="5095" max="5095" width="13.42578125" style="548" bestFit="1" customWidth="1"/>
    <col min="5096" max="5125" width="15" style="548"/>
    <col min="5126" max="5126" width="53.140625" style="548" customWidth="1"/>
    <col min="5127" max="5127" width="18" style="548" bestFit="1" customWidth="1"/>
    <col min="5128" max="5128" width="13.42578125" style="548" bestFit="1" customWidth="1"/>
    <col min="5129" max="5148" width="11.85546875" style="548" customWidth="1"/>
    <col min="5149" max="5152" width="15" style="548"/>
    <col min="5153" max="5153" width="1.5703125" style="548" bestFit="1" customWidth="1"/>
    <col min="5154" max="5154" width="18.140625" style="548" bestFit="1" customWidth="1"/>
    <col min="5155" max="5155" width="1.7109375" style="548" bestFit="1" customWidth="1"/>
    <col min="5156" max="5156" width="16" style="548" bestFit="1" customWidth="1"/>
    <col min="5157" max="5327" width="15" style="548"/>
    <col min="5328" max="5328" width="53.42578125" style="548" customWidth="1"/>
    <col min="5329" max="5329" width="58.140625" style="548" customWidth="1"/>
    <col min="5330" max="5330" width="12.85546875" style="548" customWidth="1"/>
    <col min="5331" max="5331" width="11.85546875" style="548" customWidth="1"/>
    <col min="5332" max="5335" width="0" style="548" hidden="1" customWidth="1"/>
    <col min="5336" max="5336" width="11.85546875" style="548" bestFit="1" customWidth="1"/>
    <col min="5337" max="5340" width="0" style="548" hidden="1" customWidth="1"/>
    <col min="5341" max="5341" width="12.28515625" style="548" bestFit="1" customWidth="1"/>
    <col min="5342" max="5345" width="0" style="548" hidden="1" customWidth="1"/>
    <col min="5346" max="5346" width="12.28515625" style="548" bestFit="1" customWidth="1"/>
    <col min="5347" max="5350" width="10.7109375" style="548" bestFit="1" customWidth="1"/>
    <col min="5351" max="5351" width="13.42578125" style="548" bestFit="1" customWidth="1"/>
    <col min="5352" max="5381" width="15" style="548"/>
    <col min="5382" max="5382" width="53.140625" style="548" customWidth="1"/>
    <col min="5383" max="5383" width="18" style="548" bestFit="1" customWidth="1"/>
    <col min="5384" max="5384" width="13.42578125" style="548" bestFit="1" customWidth="1"/>
    <col min="5385" max="5404" width="11.85546875" style="548" customWidth="1"/>
    <col min="5405" max="5408" width="15" style="548"/>
    <col min="5409" max="5409" width="1.5703125" style="548" bestFit="1" customWidth="1"/>
    <col min="5410" max="5410" width="18.140625" style="548" bestFit="1" customWidth="1"/>
    <col min="5411" max="5411" width="1.7109375" style="548" bestFit="1" customWidth="1"/>
    <col min="5412" max="5412" width="16" style="548" bestFit="1" customWidth="1"/>
    <col min="5413" max="5583" width="15" style="548"/>
    <col min="5584" max="5584" width="53.42578125" style="548" customWidth="1"/>
    <col min="5585" max="5585" width="58.140625" style="548" customWidth="1"/>
    <col min="5586" max="5586" width="12.85546875" style="548" customWidth="1"/>
    <col min="5587" max="5587" width="11.85546875" style="548" customWidth="1"/>
    <col min="5588" max="5591" width="0" style="548" hidden="1" customWidth="1"/>
    <col min="5592" max="5592" width="11.85546875" style="548" bestFit="1" customWidth="1"/>
    <col min="5593" max="5596" width="0" style="548" hidden="1" customWidth="1"/>
    <col min="5597" max="5597" width="12.28515625" style="548" bestFit="1" customWidth="1"/>
    <col min="5598" max="5601" width="0" style="548" hidden="1" customWidth="1"/>
    <col min="5602" max="5602" width="12.28515625" style="548" bestFit="1" customWidth="1"/>
    <col min="5603" max="5606" width="10.7109375" style="548" bestFit="1" customWidth="1"/>
    <col min="5607" max="5607" width="13.42578125" style="548" bestFit="1" customWidth="1"/>
    <col min="5608" max="5637" width="15" style="548"/>
    <col min="5638" max="5638" width="53.140625" style="548" customWidth="1"/>
    <col min="5639" max="5639" width="18" style="548" bestFit="1" customWidth="1"/>
    <col min="5640" max="5640" width="13.42578125" style="548" bestFit="1" customWidth="1"/>
    <col min="5641" max="5660" width="11.85546875" style="548" customWidth="1"/>
    <col min="5661" max="5664" width="15" style="548"/>
    <col min="5665" max="5665" width="1.5703125" style="548" bestFit="1" customWidth="1"/>
    <col min="5666" max="5666" width="18.140625" style="548" bestFit="1" customWidth="1"/>
    <col min="5667" max="5667" width="1.7109375" style="548" bestFit="1" customWidth="1"/>
    <col min="5668" max="5668" width="16" style="548" bestFit="1" customWidth="1"/>
    <col min="5669" max="5839" width="15" style="548"/>
    <col min="5840" max="5840" width="53.42578125" style="548" customWidth="1"/>
    <col min="5841" max="5841" width="58.140625" style="548" customWidth="1"/>
    <col min="5842" max="5842" width="12.85546875" style="548" customWidth="1"/>
    <col min="5843" max="5843" width="11.85546875" style="548" customWidth="1"/>
    <col min="5844" max="5847" width="0" style="548" hidden="1" customWidth="1"/>
    <col min="5848" max="5848" width="11.85546875" style="548" bestFit="1" customWidth="1"/>
    <col min="5849" max="5852" width="0" style="548" hidden="1" customWidth="1"/>
    <col min="5853" max="5853" width="12.28515625" style="548" bestFit="1" customWidth="1"/>
    <col min="5854" max="5857" width="0" style="548" hidden="1" customWidth="1"/>
    <col min="5858" max="5858" width="12.28515625" style="548" bestFit="1" customWidth="1"/>
    <col min="5859" max="5862" width="10.7109375" style="548" bestFit="1" customWidth="1"/>
    <col min="5863" max="5863" width="13.42578125" style="548" bestFit="1" customWidth="1"/>
    <col min="5864" max="5893" width="15" style="548"/>
    <col min="5894" max="5894" width="53.140625" style="548" customWidth="1"/>
    <col min="5895" max="5895" width="18" style="548" bestFit="1" customWidth="1"/>
    <col min="5896" max="5896" width="13.42578125" style="548" bestFit="1" customWidth="1"/>
    <col min="5897" max="5916" width="11.85546875" style="548" customWidth="1"/>
    <col min="5917" max="5920" width="15" style="548"/>
    <col min="5921" max="5921" width="1.5703125" style="548" bestFit="1" customWidth="1"/>
    <col min="5922" max="5922" width="18.140625" style="548" bestFit="1" customWidth="1"/>
    <col min="5923" max="5923" width="1.7109375" style="548" bestFit="1" customWidth="1"/>
    <col min="5924" max="5924" width="16" style="548" bestFit="1" customWidth="1"/>
    <col min="5925" max="6095" width="15" style="548"/>
    <col min="6096" max="6096" width="53.42578125" style="548" customWidth="1"/>
    <col min="6097" max="6097" width="58.140625" style="548" customWidth="1"/>
    <col min="6098" max="6098" width="12.85546875" style="548" customWidth="1"/>
    <col min="6099" max="6099" width="11.85546875" style="548" customWidth="1"/>
    <col min="6100" max="6103" width="0" style="548" hidden="1" customWidth="1"/>
    <col min="6104" max="6104" width="11.85546875" style="548" bestFit="1" customWidth="1"/>
    <col min="6105" max="6108" width="0" style="548" hidden="1" customWidth="1"/>
    <col min="6109" max="6109" width="12.28515625" style="548" bestFit="1" customWidth="1"/>
    <col min="6110" max="6113" width="0" style="548" hidden="1" customWidth="1"/>
    <col min="6114" max="6114" width="12.28515625" style="548" bestFit="1" customWidth="1"/>
    <col min="6115" max="6118" width="10.7109375" style="548" bestFit="1" customWidth="1"/>
    <col min="6119" max="6119" width="13.42578125" style="548" bestFit="1" customWidth="1"/>
    <col min="6120" max="6149" width="15" style="548"/>
    <col min="6150" max="6150" width="53.140625" style="548" customWidth="1"/>
    <col min="6151" max="6151" width="18" style="548" bestFit="1" customWidth="1"/>
    <col min="6152" max="6152" width="13.42578125" style="548" bestFit="1" customWidth="1"/>
    <col min="6153" max="6172" width="11.85546875" style="548" customWidth="1"/>
    <col min="6173" max="6176" width="15" style="548"/>
    <col min="6177" max="6177" width="1.5703125" style="548" bestFit="1" customWidth="1"/>
    <col min="6178" max="6178" width="18.140625" style="548" bestFit="1" customWidth="1"/>
    <col min="6179" max="6179" width="1.7109375" style="548" bestFit="1" customWidth="1"/>
    <col min="6180" max="6180" width="16" style="548" bestFit="1" customWidth="1"/>
    <col min="6181" max="6351" width="15" style="548"/>
    <col min="6352" max="6352" width="53.42578125" style="548" customWidth="1"/>
    <col min="6353" max="6353" width="58.140625" style="548" customWidth="1"/>
    <col min="6354" max="6354" width="12.85546875" style="548" customWidth="1"/>
    <col min="6355" max="6355" width="11.85546875" style="548" customWidth="1"/>
    <col min="6356" max="6359" width="0" style="548" hidden="1" customWidth="1"/>
    <col min="6360" max="6360" width="11.85546875" style="548" bestFit="1" customWidth="1"/>
    <col min="6361" max="6364" width="0" style="548" hidden="1" customWidth="1"/>
    <col min="6365" max="6365" width="12.28515625" style="548" bestFit="1" customWidth="1"/>
    <col min="6366" max="6369" width="0" style="548" hidden="1" customWidth="1"/>
    <col min="6370" max="6370" width="12.28515625" style="548" bestFit="1" customWidth="1"/>
    <col min="6371" max="6374" width="10.7109375" style="548" bestFit="1" customWidth="1"/>
    <col min="6375" max="6375" width="13.42578125" style="548" bestFit="1" customWidth="1"/>
    <col min="6376" max="6405" width="15" style="548"/>
    <col min="6406" max="6406" width="53.140625" style="548" customWidth="1"/>
    <col min="6407" max="6407" width="18" style="548" bestFit="1" customWidth="1"/>
    <col min="6408" max="6408" width="13.42578125" style="548" bestFit="1" customWidth="1"/>
    <col min="6409" max="6428" width="11.85546875" style="548" customWidth="1"/>
    <col min="6429" max="6432" width="15" style="548"/>
    <col min="6433" max="6433" width="1.5703125" style="548" bestFit="1" customWidth="1"/>
    <col min="6434" max="6434" width="18.140625" style="548" bestFit="1" customWidth="1"/>
    <col min="6435" max="6435" width="1.7109375" style="548" bestFit="1" customWidth="1"/>
    <col min="6436" max="6436" width="16" style="548" bestFit="1" customWidth="1"/>
    <col min="6437" max="6607" width="15" style="548"/>
    <col min="6608" max="6608" width="53.42578125" style="548" customWidth="1"/>
    <col min="6609" max="6609" width="58.140625" style="548" customWidth="1"/>
    <col min="6610" max="6610" width="12.85546875" style="548" customWidth="1"/>
    <col min="6611" max="6611" width="11.85546875" style="548" customWidth="1"/>
    <col min="6612" max="6615" width="0" style="548" hidden="1" customWidth="1"/>
    <col min="6616" max="6616" width="11.85546875" style="548" bestFit="1" customWidth="1"/>
    <col min="6617" max="6620" width="0" style="548" hidden="1" customWidth="1"/>
    <col min="6621" max="6621" width="12.28515625" style="548" bestFit="1" customWidth="1"/>
    <col min="6622" max="6625" width="0" style="548" hidden="1" customWidth="1"/>
    <col min="6626" max="6626" width="12.28515625" style="548" bestFit="1" customWidth="1"/>
    <col min="6627" max="6630" width="10.7109375" style="548" bestFit="1" customWidth="1"/>
    <col min="6631" max="6631" width="13.42578125" style="548" bestFit="1" customWidth="1"/>
    <col min="6632" max="6661" width="15" style="548"/>
    <col min="6662" max="6662" width="53.140625" style="548" customWidth="1"/>
    <col min="6663" max="6663" width="18" style="548" bestFit="1" customWidth="1"/>
    <col min="6664" max="6664" width="13.42578125" style="548" bestFit="1" customWidth="1"/>
    <col min="6665" max="6684" width="11.85546875" style="548" customWidth="1"/>
    <col min="6685" max="6688" width="15" style="548"/>
    <col min="6689" max="6689" width="1.5703125" style="548" bestFit="1" customWidth="1"/>
    <col min="6690" max="6690" width="18.140625" style="548" bestFit="1" customWidth="1"/>
    <col min="6691" max="6691" width="1.7109375" style="548" bestFit="1" customWidth="1"/>
    <col min="6692" max="6692" width="16" style="548" bestFit="1" customWidth="1"/>
    <col min="6693" max="6863" width="15" style="548"/>
    <col min="6864" max="6864" width="53.42578125" style="548" customWidth="1"/>
    <col min="6865" max="6865" width="58.140625" style="548" customWidth="1"/>
    <col min="6866" max="6866" width="12.85546875" style="548" customWidth="1"/>
    <col min="6867" max="6867" width="11.85546875" style="548" customWidth="1"/>
    <col min="6868" max="6871" width="0" style="548" hidden="1" customWidth="1"/>
    <col min="6872" max="6872" width="11.85546875" style="548" bestFit="1" customWidth="1"/>
    <col min="6873" max="6876" width="0" style="548" hidden="1" customWidth="1"/>
    <col min="6877" max="6877" width="12.28515625" style="548" bestFit="1" customWidth="1"/>
    <col min="6878" max="6881" width="0" style="548" hidden="1" customWidth="1"/>
    <col min="6882" max="6882" width="12.28515625" style="548" bestFit="1" customWidth="1"/>
    <col min="6883" max="6886" width="10.7109375" style="548" bestFit="1" customWidth="1"/>
    <col min="6887" max="6887" width="13.42578125" style="548" bestFit="1" customWidth="1"/>
    <col min="6888" max="6917" width="15" style="548"/>
    <col min="6918" max="6918" width="53.140625" style="548" customWidth="1"/>
    <col min="6919" max="6919" width="18" style="548" bestFit="1" customWidth="1"/>
    <col min="6920" max="6920" width="13.42578125" style="548" bestFit="1" customWidth="1"/>
    <col min="6921" max="6940" width="11.85546875" style="548" customWidth="1"/>
    <col min="6941" max="6944" width="15" style="548"/>
    <col min="6945" max="6945" width="1.5703125" style="548" bestFit="1" customWidth="1"/>
    <col min="6946" max="6946" width="18.140625" style="548" bestFit="1" customWidth="1"/>
    <col min="6947" max="6947" width="1.7109375" style="548" bestFit="1" customWidth="1"/>
    <col min="6948" max="6948" width="16" style="548" bestFit="1" customWidth="1"/>
    <col min="6949" max="7119" width="15" style="548"/>
    <col min="7120" max="7120" width="53.42578125" style="548" customWidth="1"/>
    <col min="7121" max="7121" width="58.140625" style="548" customWidth="1"/>
    <col min="7122" max="7122" width="12.85546875" style="548" customWidth="1"/>
    <col min="7123" max="7123" width="11.85546875" style="548" customWidth="1"/>
    <col min="7124" max="7127" width="0" style="548" hidden="1" customWidth="1"/>
    <col min="7128" max="7128" width="11.85546875" style="548" bestFit="1" customWidth="1"/>
    <col min="7129" max="7132" width="0" style="548" hidden="1" customWidth="1"/>
    <col min="7133" max="7133" width="12.28515625" style="548" bestFit="1" customWidth="1"/>
    <col min="7134" max="7137" width="0" style="548" hidden="1" customWidth="1"/>
    <col min="7138" max="7138" width="12.28515625" style="548" bestFit="1" customWidth="1"/>
    <col min="7139" max="7142" width="10.7109375" style="548" bestFit="1" customWidth="1"/>
    <col min="7143" max="7143" width="13.42578125" style="548" bestFit="1" customWidth="1"/>
    <col min="7144" max="7173" width="15" style="548"/>
    <col min="7174" max="7174" width="53.140625" style="548" customWidth="1"/>
    <col min="7175" max="7175" width="18" style="548" bestFit="1" customWidth="1"/>
    <col min="7176" max="7176" width="13.42578125" style="548" bestFit="1" customWidth="1"/>
    <col min="7177" max="7196" width="11.85546875" style="548" customWidth="1"/>
    <col min="7197" max="7200" width="15" style="548"/>
    <col min="7201" max="7201" width="1.5703125" style="548" bestFit="1" customWidth="1"/>
    <col min="7202" max="7202" width="18.140625" style="548" bestFit="1" customWidth="1"/>
    <col min="7203" max="7203" width="1.7109375" style="548" bestFit="1" customWidth="1"/>
    <col min="7204" max="7204" width="16" style="548" bestFit="1" customWidth="1"/>
    <col min="7205" max="7375" width="15" style="548"/>
    <col min="7376" max="7376" width="53.42578125" style="548" customWidth="1"/>
    <col min="7377" max="7377" width="58.140625" style="548" customWidth="1"/>
    <col min="7378" max="7378" width="12.85546875" style="548" customWidth="1"/>
    <col min="7379" max="7379" width="11.85546875" style="548" customWidth="1"/>
    <col min="7380" max="7383" width="0" style="548" hidden="1" customWidth="1"/>
    <col min="7384" max="7384" width="11.85546875" style="548" bestFit="1" customWidth="1"/>
    <col min="7385" max="7388" width="0" style="548" hidden="1" customWidth="1"/>
    <col min="7389" max="7389" width="12.28515625" style="548" bestFit="1" customWidth="1"/>
    <col min="7390" max="7393" width="0" style="548" hidden="1" customWidth="1"/>
    <col min="7394" max="7394" width="12.28515625" style="548" bestFit="1" customWidth="1"/>
    <col min="7395" max="7398" width="10.7109375" style="548" bestFit="1" customWidth="1"/>
    <col min="7399" max="7399" width="13.42578125" style="548" bestFit="1" customWidth="1"/>
    <col min="7400" max="7429" width="15" style="548"/>
    <col min="7430" max="7430" width="53.140625" style="548" customWidth="1"/>
    <col min="7431" max="7431" width="18" style="548" bestFit="1" customWidth="1"/>
    <col min="7432" max="7432" width="13.42578125" style="548" bestFit="1" customWidth="1"/>
    <col min="7433" max="7452" width="11.85546875" style="548" customWidth="1"/>
    <col min="7453" max="7456" width="15" style="548"/>
    <col min="7457" max="7457" width="1.5703125" style="548" bestFit="1" customWidth="1"/>
    <col min="7458" max="7458" width="18.140625" style="548" bestFit="1" customWidth="1"/>
    <col min="7459" max="7459" width="1.7109375" style="548" bestFit="1" customWidth="1"/>
    <col min="7460" max="7460" width="16" style="548" bestFit="1" customWidth="1"/>
    <col min="7461" max="7631" width="15" style="548"/>
    <col min="7632" max="7632" width="53.42578125" style="548" customWidth="1"/>
    <col min="7633" max="7633" width="58.140625" style="548" customWidth="1"/>
    <col min="7634" max="7634" width="12.85546875" style="548" customWidth="1"/>
    <col min="7635" max="7635" width="11.85546875" style="548" customWidth="1"/>
    <col min="7636" max="7639" width="0" style="548" hidden="1" customWidth="1"/>
    <col min="7640" max="7640" width="11.85546875" style="548" bestFit="1" customWidth="1"/>
    <col min="7641" max="7644" width="0" style="548" hidden="1" customWidth="1"/>
    <col min="7645" max="7645" width="12.28515625" style="548" bestFit="1" customWidth="1"/>
    <col min="7646" max="7649" width="0" style="548" hidden="1" customWidth="1"/>
    <col min="7650" max="7650" width="12.28515625" style="548" bestFit="1" customWidth="1"/>
    <col min="7651" max="7654" width="10.7109375" style="548" bestFit="1" customWidth="1"/>
    <col min="7655" max="7655" width="13.42578125" style="548" bestFit="1" customWidth="1"/>
    <col min="7656" max="7685" width="15" style="548"/>
    <col min="7686" max="7686" width="53.140625" style="548" customWidth="1"/>
    <col min="7687" max="7687" width="18" style="548" bestFit="1" customWidth="1"/>
    <col min="7688" max="7688" width="13.42578125" style="548" bestFit="1" customWidth="1"/>
    <col min="7689" max="7708" width="11.85546875" style="548" customWidth="1"/>
    <col min="7709" max="7712" width="15" style="548"/>
    <col min="7713" max="7713" width="1.5703125" style="548" bestFit="1" customWidth="1"/>
    <col min="7714" max="7714" width="18.140625" style="548" bestFit="1" customWidth="1"/>
    <col min="7715" max="7715" width="1.7109375" style="548" bestFit="1" customWidth="1"/>
    <col min="7716" max="7716" width="16" style="548" bestFit="1" customWidth="1"/>
    <col min="7717" max="7887" width="15" style="548"/>
    <col min="7888" max="7888" width="53.42578125" style="548" customWidth="1"/>
    <col min="7889" max="7889" width="58.140625" style="548" customWidth="1"/>
    <col min="7890" max="7890" width="12.85546875" style="548" customWidth="1"/>
    <col min="7891" max="7891" width="11.85546875" style="548" customWidth="1"/>
    <col min="7892" max="7895" width="0" style="548" hidden="1" customWidth="1"/>
    <col min="7896" max="7896" width="11.85546875" style="548" bestFit="1" customWidth="1"/>
    <col min="7897" max="7900" width="0" style="548" hidden="1" customWidth="1"/>
    <col min="7901" max="7901" width="12.28515625" style="548" bestFit="1" customWidth="1"/>
    <col min="7902" max="7905" width="0" style="548" hidden="1" customWidth="1"/>
    <col min="7906" max="7906" width="12.28515625" style="548" bestFit="1" customWidth="1"/>
    <col min="7907" max="7910" width="10.7109375" style="548" bestFit="1" customWidth="1"/>
    <col min="7911" max="7911" width="13.42578125" style="548" bestFit="1" customWidth="1"/>
    <col min="7912" max="7941" width="15" style="548"/>
    <col min="7942" max="7942" width="53.140625" style="548" customWidth="1"/>
    <col min="7943" max="7943" width="18" style="548" bestFit="1" customWidth="1"/>
    <col min="7944" max="7944" width="13.42578125" style="548" bestFit="1" customWidth="1"/>
    <col min="7945" max="7964" width="11.85546875" style="548" customWidth="1"/>
    <col min="7965" max="7968" width="15" style="548"/>
    <col min="7969" max="7969" width="1.5703125" style="548" bestFit="1" customWidth="1"/>
    <col min="7970" max="7970" width="18.140625" style="548" bestFit="1" customWidth="1"/>
    <col min="7971" max="7971" width="1.7109375" style="548" bestFit="1" customWidth="1"/>
    <col min="7972" max="7972" width="16" style="548" bestFit="1" customWidth="1"/>
    <col min="7973" max="8143" width="15" style="548"/>
    <col min="8144" max="8144" width="53.42578125" style="548" customWidth="1"/>
    <col min="8145" max="8145" width="58.140625" style="548" customWidth="1"/>
    <col min="8146" max="8146" width="12.85546875" style="548" customWidth="1"/>
    <col min="8147" max="8147" width="11.85546875" style="548" customWidth="1"/>
    <col min="8148" max="8151" width="0" style="548" hidden="1" customWidth="1"/>
    <col min="8152" max="8152" width="11.85546875" style="548" bestFit="1" customWidth="1"/>
    <col min="8153" max="8156" width="0" style="548" hidden="1" customWidth="1"/>
    <col min="8157" max="8157" width="12.28515625" style="548" bestFit="1" customWidth="1"/>
    <col min="8158" max="8161" width="0" style="548" hidden="1" customWidth="1"/>
    <col min="8162" max="8162" width="12.28515625" style="548" bestFit="1" customWidth="1"/>
    <col min="8163" max="8166" width="10.7109375" style="548" bestFit="1" customWidth="1"/>
    <col min="8167" max="8167" width="13.42578125" style="548" bestFit="1" customWidth="1"/>
    <col min="8168" max="8197" width="15" style="548"/>
    <col min="8198" max="8198" width="53.140625" style="548" customWidth="1"/>
    <col min="8199" max="8199" width="18" style="548" bestFit="1" customWidth="1"/>
    <col min="8200" max="8200" width="13.42578125" style="548" bestFit="1" customWidth="1"/>
    <col min="8201" max="8220" width="11.85546875" style="548" customWidth="1"/>
    <col min="8221" max="8224" width="15" style="548"/>
    <col min="8225" max="8225" width="1.5703125" style="548" bestFit="1" customWidth="1"/>
    <col min="8226" max="8226" width="18.140625" style="548" bestFit="1" customWidth="1"/>
    <col min="8227" max="8227" width="1.7109375" style="548" bestFit="1" customWidth="1"/>
    <col min="8228" max="8228" width="16" style="548" bestFit="1" customWidth="1"/>
    <col min="8229" max="8399" width="15" style="548"/>
    <col min="8400" max="8400" width="53.42578125" style="548" customWidth="1"/>
    <col min="8401" max="8401" width="58.140625" style="548" customWidth="1"/>
    <col min="8402" max="8402" width="12.85546875" style="548" customWidth="1"/>
    <col min="8403" max="8403" width="11.85546875" style="548" customWidth="1"/>
    <col min="8404" max="8407" width="0" style="548" hidden="1" customWidth="1"/>
    <col min="8408" max="8408" width="11.85546875" style="548" bestFit="1" customWidth="1"/>
    <col min="8409" max="8412" width="0" style="548" hidden="1" customWidth="1"/>
    <col min="8413" max="8413" width="12.28515625" style="548" bestFit="1" customWidth="1"/>
    <col min="8414" max="8417" width="0" style="548" hidden="1" customWidth="1"/>
    <col min="8418" max="8418" width="12.28515625" style="548" bestFit="1" customWidth="1"/>
    <col min="8419" max="8422" width="10.7109375" style="548" bestFit="1" customWidth="1"/>
    <col min="8423" max="8423" width="13.42578125" style="548" bestFit="1" customWidth="1"/>
    <col min="8424" max="8453" width="15" style="548"/>
    <col min="8454" max="8454" width="53.140625" style="548" customWidth="1"/>
    <col min="8455" max="8455" width="18" style="548" bestFit="1" customWidth="1"/>
    <col min="8456" max="8456" width="13.42578125" style="548" bestFit="1" customWidth="1"/>
    <col min="8457" max="8476" width="11.85546875" style="548" customWidth="1"/>
    <col min="8477" max="8480" width="15" style="548"/>
    <col min="8481" max="8481" width="1.5703125" style="548" bestFit="1" customWidth="1"/>
    <col min="8482" max="8482" width="18.140625" style="548" bestFit="1" customWidth="1"/>
    <col min="8483" max="8483" width="1.7109375" style="548" bestFit="1" customWidth="1"/>
    <col min="8484" max="8484" width="16" style="548" bestFit="1" customWidth="1"/>
    <col min="8485" max="8655" width="15" style="548"/>
    <col min="8656" max="8656" width="53.42578125" style="548" customWidth="1"/>
    <col min="8657" max="8657" width="58.140625" style="548" customWidth="1"/>
    <col min="8658" max="8658" width="12.85546875" style="548" customWidth="1"/>
    <col min="8659" max="8659" width="11.85546875" style="548" customWidth="1"/>
    <col min="8660" max="8663" width="0" style="548" hidden="1" customWidth="1"/>
    <col min="8664" max="8664" width="11.85546875" style="548" bestFit="1" customWidth="1"/>
    <col min="8665" max="8668" width="0" style="548" hidden="1" customWidth="1"/>
    <col min="8669" max="8669" width="12.28515625" style="548" bestFit="1" customWidth="1"/>
    <col min="8670" max="8673" width="0" style="548" hidden="1" customWidth="1"/>
    <col min="8674" max="8674" width="12.28515625" style="548" bestFit="1" customWidth="1"/>
    <col min="8675" max="8678" width="10.7109375" style="548" bestFit="1" customWidth="1"/>
    <col min="8679" max="8679" width="13.42578125" style="548" bestFit="1" customWidth="1"/>
    <col min="8680" max="8709" width="15" style="548"/>
    <col min="8710" max="8710" width="53.140625" style="548" customWidth="1"/>
    <col min="8711" max="8711" width="18" style="548" bestFit="1" customWidth="1"/>
    <col min="8712" max="8712" width="13.42578125" style="548" bestFit="1" customWidth="1"/>
    <col min="8713" max="8732" width="11.85546875" style="548" customWidth="1"/>
    <col min="8733" max="8736" width="15" style="548"/>
    <col min="8737" max="8737" width="1.5703125" style="548" bestFit="1" customWidth="1"/>
    <col min="8738" max="8738" width="18.140625" style="548" bestFit="1" customWidth="1"/>
    <col min="8739" max="8739" width="1.7109375" style="548" bestFit="1" customWidth="1"/>
    <col min="8740" max="8740" width="16" style="548" bestFit="1" customWidth="1"/>
    <col min="8741" max="8911" width="15" style="548"/>
    <col min="8912" max="8912" width="53.42578125" style="548" customWidth="1"/>
    <col min="8913" max="8913" width="58.140625" style="548" customWidth="1"/>
    <col min="8914" max="8914" width="12.85546875" style="548" customWidth="1"/>
    <col min="8915" max="8915" width="11.85546875" style="548" customWidth="1"/>
    <col min="8916" max="8919" width="0" style="548" hidden="1" customWidth="1"/>
    <col min="8920" max="8920" width="11.85546875" style="548" bestFit="1" customWidth="1"/>
    <col min="8921" max="8924" width="0" style="548" hidden="1" customWidth="1"/>
    <col min="8925" max="8925" width="12.28515625" style="548" bestFit="1" customWidth="1"/>
    <col min="8926" max="8929" width="0" style="548" hidden="1" customWidth="1"/>
    <col min="8930" max="8930" width="12.28515625" style="548" bestFit="1" customWidth="1"/>
    <col min="8931" max="8934" width="10.7109375" style="548" bestFit="1" customWidth="1"/>
    <col min="8935" max="8935" width="13.42578125" style="548" bestFit="1" customWidth="1"/>
    <col min="8936" max="8965" width="15" style="548"/>
    <col min="8966" max="8966" width="53.140625" style="548" customWidth="1"/>
    <col min="8967" max="8967" width="18" style="548" bestFit="1" customWidth="1"/>
    <col min="8968" max="8968" width="13.42578125" style="548" bestFit="1" customWidth="1"/>
    <col min="8969" max="8988" width="11.85546875" style="548" customWidth="1"/>
    <col min="8989" max="8992" width="15" style="548"/>
    <col min="8993" max="8993" width="1.5703125" style="548" bestFit="1" customWidth="1"/>
    <col min="8994" max="8994" width="18.140625" style="548" bestFit="1" customWidth="1"/>
    <col min="8995" max="8995" width="1.7109375" style="548" bestFit="1" customWidth="1"/>
    <col min="8996" max="8996" width="16" style="548" bestFit="1" customWidth="1"/>
    <col min="8997" max="9167" width="15" style="548"/>
    <col min="9168" max="9168" width="53.42578125" style="548" customWidth="1"/>
    <col min="9169" max="9169" width="58.140625" style="548" customWidth="1"/>
    <col min="9170" max="9170" width="12.85546875" style="548" customWidth="1"/>
    <col min="9171" max="9171" width="11.85546875" style="548" customWidth="1"/>
    <col min="9172" max="9175" width="0" style="548" hidden="1" customWidth="1"/>
    <col min="9176" max="9176" width="11.85546875" style="548" bestFit="1" customWidth="1"/>
    <col min="9177" max="9180" width="0" style="548" hidden="1" customWidth="1"/>
    <col min="9181" max="9181" width="12.28515625" style="548" bestFit="1" customWidth="1"/>
    <col min="9182" max="9185" width="0" style="548" hidden="1" customWidth="1"/>
    <col min="9186" max="9186" width="12.28515625" style="548" bestFit="1" customWidth="1"/>
    <col min="9187" max="9190" width="10.7109375" style="548" bestFit="1" customWidth="1"/>
    <col min="9191" max="9191" width="13.42578125" style="548" bestFit="1" customWidth="1"/>
    <col min="9192" max="9221" width="15" style="548"/>
    <col min="9222" max="9222" width="53.140625" style="548" customWidth="1"/>
    <col min="9223" max="9223" width="18" style="548" bestFit="1" customWidth="1"/>
    <col min="9224" max="9224" width="13.42578125" style="548" bestFit="1" customWidth="1"/>
    <col min="9225" max="9244" width="11.85546875" style="548" customWidth="1"/>
    <col min="9245" max="9248" width="15" style="548"/>
    <col min="9249" max="9249" width="1.5703125" style="548" bestFit="1" customWidth="1"/>
    <col min="9250" max="9250" width="18.140625" style="548" bestFit="1" customWidth="1"/>
    <col min="9251" max="9251" width="1.7109375" style="548" bestFit="1" customWidth="1"/>
    <col min="9252" max="9252" width="16" style="548" bestFit="1" customWidth="1"/>
    <col min="9253" max="9423" width="15" style="548"/>
    <col min="9424" max="9424" width="53.42578125" style="548" customWidth="1"/>
    <col min="9425" max="9425" width="58.140625" style="548" customWidth="1"/>
    <col min="9426" max="9426" width="12.85546875" style="548" customWidth="1"/>
    <col min="9427" max="9427" width="11.85546875" style="548" customWidth="1"/>
    <col min="9428" max="9431" width="0" style="548" hidden="1" customWidth="1"/>
    <col min="9432" max="9432" width="11.85546875" style="548" bestFit="1" customWidth="1"/>
    <col min="9433" max="9436" width="0" style="548" hidden="1" customWidth="1"/>
    <col min="9437" max="9437" width="12.28515625" style="548" bestFit="1" customWidth="1"/>
    <col min="9438" max="9441" width="0" style="548" hidden="1" customWidth="1"/>
    <col min="9442" max="9442" width="12.28515625" style="548" bestFit="1" customWidth="1"/>
    <col min="9443" max="9446" width="10.7109375" style="548" bestFit="1" customWidth="1"/>
    <col min="9447" max="9447" width="13.42578125" style="548" bestFit="1" customWidth="1"/>
    <col min="9448" max="9477" width="15" style="548"/>
    <col min="9478" max="9478" width="53.140625" style="548" customWidth="1"/>
    <col min="9479" max="9479" width="18" style="548" bestFit="1" customWidth="1"/>
    <col min="9480" max="9480" width="13.42578125" style="548" bestFit="1" customWidth="1"/>
    <col min="9481" max="9500" width="11.85546875" style="548" customWidth="1"/>
    <col min="9501" max="9504" width="15" style="548"/>
    <col min="9505" max="9505" width="1.5703125" style="548" bestFit="1" customWidth="1"/>
    <col min="9506" max="9506" width="18.140625" style="548" bestFit="1" customWidth="1"/>
    <col min="9507" max="9507" width="1.7109375" style="548" bestFit="1" customWidth="1"/>
    <col min="9508" max="9508" width="16" style="548" bestFit="1" customWidth="1"/>
    <col min="9509" max="9679" width="15" style="548"/>
    <col min="9680" max="9680" width="53.42578125" style="548" customWidth="1"/>
    <col min="9681" max="9681" width="58.140625" style="548" customWidth="1"/>
    <col min="9682" max="9682" width="12.85546875" style="548" customWidth="1"/>
    <col min="9683" max="9683" width="11.85546875" style="548" customWidth="1"/>
    <col min="9684" max="9687" width="0" style="548" hidden="1" customWidth="1"/>
    <col min="9688" max="9688" width="11.85546875" style="548" bestFit="1" customWidth="1"/>
    <col min="9689" max="9692" width="0" style="548" hidden="1" customWidth="1"/>
    <col min="9693" max="9693" width="12.28515625" style="548" bestFit="1" customWidth="1"/>
    <col min="9694" max="9697" width="0" style="548" hidden="1" customWidth="1"/>
    <col min="9698" max="9698" width="12.28515625" style="548" bestFit="1" customWidth="1"/>
    <col min="9699" max="9702" width="10.7109375" style="548" bestFit="1" customWidth="1"/>
    <col min="9703" max="9703" width="13.42578125" style="548" bestFit="1" customWidth="1"/>
    <col min="9704" max="9733" width="15" style="548"/>
    <col min="9734" max="9734" width="53.140625" style="548" customWidth="1"/>
    <col min="9735" max="9735" width="18" style="548" bestFit="1" customWidth="1"/>
    <col min="9736" max="9736" width="13.42578125" style="548" bestFit="1" customWidth="1"/>
    <col min="9737" max="9756" width="11.85546875" style="548" customWidth="1"/>
    <col min="9757" max="9760" width="15" style="548"/>
    <col min="9761" max="9761" width="1.5703125" style="548" bestFit="1" customWidth="1"/>
    <col min="9762" max="9762" width="18.140625" style="548" bestFit="1" customWidth="1"/>
    <col min="9763" max="9763" width="1.7109375" style="548" bestFit="1" customWidth="1"/>
    <col min="9764" max="9764" width="16" style="548" bestFit="1" customWidth="1"/>
    <col min="9765" max="9935" width="15" style="548"/>
    <col min="9936" max="9936" width="53.42578125" style="548" customWidth="1"/>
    <col min="9937" max="9937" width="58.140625" style="548" customWidth="1"/>
    <col min="9938" max="9938" width="12.85546875" style="548" customWidth="1"/>
    <col min="9939" max="9939" width="11.85546875" style="548" customWidth="1"/>
    <col min="9940" max="9943" width="0" style="548" hidden="1" customWidth="1"/>
    <col min="9944" max="9944" width="11.85546875" style="548" bestFit="1" customWidth="1"/>
    <col min="9945" max="9948" width="0" style="548" hidden="1" customWidth="1"/>
    <col min="9949" max="9949" width="12.28515625" style="548" bestFit="1" customWidth="1"/>
    <col min="9950" max="9953" width="0" style="548" hidden="1" customWidth="1"/>
    <col min="9954" max="9954" width="12.28515625" style="548" bestFit="1" customWidth="1"/>
    <col min="9955" max="9958" width="10.7109375" style="548" bestFit="1" customWidth="1"/>
    <col min="9959" max="9959" width="13.42578125" style="548" bestFit="1" customWidth="1"/>
    <col min="9960" max="9989" width="15" style="548"/>
    <col min="9990" max="9990" width="53.140625" style="548" customWidth="1"/>
    <col min="9991" max="9991" width="18" style="548" bestFit="1" customWidth="1"/>
    <col min="9992" max="9992" width="13.42578125" style="548" bestFit="1" customWidth="1"/>
    <col min="9993" max="10012" width="11.85546875" style="548" customWidth="1"/>
    <col min="10013" max="10016" width="15" style="548"/>
    <col min="10017" max="10017" width="1.5703125" style="548" bestFit="1" customWidth="1"/>
    <col min="10018" max="10018" width="18.140625" style="548" bestFit="1" customWidth="1"/>
    <col min="10019" max="10019" width="1.7109375" style="548" bestFit="1" customWidth="1"/>
    <col min="10020" max="10020" width="16" style="548" bestFit="1" customWidth="1"/>
    <col min="10021" max="10191" width="15" style="548"/>
    <col min="10192" max="10192" width="53.42578125" style="548" customWidth="1"/>
    <col min="10193" max="10193" width="58.140625" style="548" customWidth="1"/>
    <col min="10194" max="10194" width="12.85546875" style="548" customWidth="1"/>
    <col min="10195" max="10195" width="11.85546875" style="548" customWidth="1"/>
    <col min="10196" max="10199" width="0" style="548" hidden="1" customWidth="1"/>
    <col min="10200" max="10200" width="11.85546875" style="548" bestFit="1" customWidth="1"/>
    <col min="10201" max="10204" width="0" style="548" hidden="1" customWidth="1"/>
    <col min="10205" max="10205" width="12.28515625" style="548" bestFit="1" customWidth="1"/>
    <col min="10206" max="10209" width="0" style="548" hidden="1" customWidth="1"/>
    <col min="10210" max="10210" width="12.28515625" style="548" bestFit="1" customWidth="1"/>
    <col min="10211" max="10214" width="10.7109375" style="548" bestFit="1" customWidth="1"/>
    <col min="10215" max="10215" width="13.42578125" style="548" bestFit="1" customWidth="1"/>
    <col min="10216" max="10245" width="15" style="548"/>
    <col min="10246" max="10246" width="53.140625" style="548" customWidth="1"/>
    <col min="10247" max="10247" width="18" style="548" bestFit="1" customWidth="1"/>
    <col min="10248" max="10248" width="13.42578125" style="548" bestFit="1" customWidth="1"/>
    <col min="10249" max="10268" width="11.85546875" style="548" customWidth="1"/>
    <col min="10269" max="10272" width="15" style="548"/>
    <col min="10273" max="10273" width="1.5703125" style="548" bestFit="1" customWidth="1"/>
    <col min="10274" max="10274" width="18.140625" style="548" bestFit="1" customWidth="1"/>
    <col min="10275" max="10275" width="1.7109375" style="548" bestFit="1" customWidth="1"/>
    <col min="10276" max="10276" width="16" style="548" bestFit="1" customWidth="1"/>
    <col min="10277" max="10447" width="15" style="548"/>
    <col min="10448" max="10448" width="53.42578125" style="548" customWidth="1"/>
    <col min="10449" max="10449" width="58.140625" style="548" customWidth="1"/>
    <col min="10450" max="10450" width="12.85546875" style="548" customWidth="1"/>
    <col min="10451" max="10451" width="11.85546875" style="548" customWidth="1"/>
    <col min="10452" max="10455" width="0" style="548" hidden="1" customWidth="1"/>
    <col min="10456" max="10456" width="11.85546875" style="548" bestFit="1" customWidth="1"/>
    <col min="10457" max="10460" width="0" style="548" hidden="1" customWidth="1"/>
    <col min="10461" max="10461" width="12.28515625" style="548" bestFit="1" customWidth="1"/>
    <col min="10462" max="10465" width="0" style="548" hidden="1" customWidth="1"/>
    <col min="10466" max="10466" width="12.28515625" style="548" bestFit="1" customWidth="1"/>
    <col min="10467" max="10470" width="10.7109375" style="548" bestFit="1" customWidth="1"/>
    <col min="10471" max="10471" width="13.42578125" style="548" bestFit="1" customWidth="1"/>
    <col min="10472" max="10501" width="15" style="548"/>
    <col min="10502" max="10502" width="53.140625" style="548" customWidth="1"/>
    <col min="10503" max="10503" width="18" style="548" bestFit="1" customWidth="1"/>
    <col min="10504" max="10504" width="13.42578125" style="548" bestFit="1" customWidth="1"/>
    <col min="10505" max="10524" width="11.85546875" style="548" customWidth="1"/>
    <col min="10525" max="10528" width="15" style="548"/>
    <col min="10529" max="10529" width="1.5703125" style="548" bestFit="1" customWidth="1"/>
    <col min="10530" max="10530" width="18.140625" style="548" bestFit="1" customWidth="1"/>
    <col min="10531" max="10531" width="1.7109375" style="548" bestFit="1" customWidth="1"/>
    <col min="10532" max="10532" width="16" style="548" bestFit="1" customWidth="1"/>
    <col min="10533" max="10703" width="15" style="548"/>
    <col min="10704" max="10704" width="53.42578125" style="548" customWidth="1"/>
    <col min="10705" max="10705" width="58.140625" style="548" customWidth="1"/>
    <col min="10706" max="10706" width="12.85546875" style="548" customWidth="1"/>
    <col min="10707" max="10707" width="11.85546875" style="548" customWidth="1"/>
    <col min="10708" max="10711" width="0" style="548" hidden="1" customWidth="1"/>
    <col min="10712" max="10712" width="11.85546875" style="548" bestFit="1" customWidth="1"/>
    <col min="10713" max="10716" width="0" style="548" hidden="1" customWidth="1"/>
    <col min="10717" max="10717" width="12.28515625" style="548" bestFit="1" customWidth="1"/>
    <col min="10718" max="10721" width="0" style="548" hidden="1" customWidth="1"/>
    <col min="10722" max="10722" width="12.28515625" style="548" bestFit="1" customWidth="1"/>
    <col min="10723" max="10726" width="10.7109375" style="548" bestFit="1" customWidth="1"/>
    <col min="10727" max="10727" width="13.42578125" style="548" bestFit="1" customWidth="1"/>
    <col min="10728" max="10757" width="15" style="548"/>
    <col min="10758" max="10758" width="53.140625" style="548" customWidth="1"/>
    <col min="10759" max="10759" width="18" style="548" bestFit="1" customWidth="1"/>
    <col min="10760" max="10760" width="13.42578125" style="548" bestFit="1" customWidth="1"/>
    <col min="10761" max="10780" width="11.85546875" style="548" customWidth="1"/>
    <col min="10781" max="10784" width="15" style="548"/>
    <col min="10785" max="10785" width="1.5703125" style="548" bestFit="1" customWidth="1"/>
    <col min="10786" max="10786" width="18.140625" style="548" bestFit="1" customWidth="1"/>
    <col min="10787" max="10787" width="1.7109375" style="548" bestFit="1" customWidth="1"/>
    <col min="10788" max="10788" width="16" style="548" bestFit="1" customWidth="1"/>
    <col min="10789" max="10959" width="15" style="548"/>
    <col min="10960" max="10960" width="53.42578125" style="548" customWidth="1"/>
    <col min="10961" max="10961" width="58.140625" style="548" customWidth="1"/>
    <col min="10962" max="10962" width="12.85546875" style="548" customWidth="1"/>
    <col min="10963" max="10963" width="11.85546875" style="548" customWidth="1"/>
    <col min="10964" max="10967" width="0" style="548" hidden="1" customWidth="1"/>
    <col min="10968" max="10968" width="11.85546875" style="548" bestFit="1" customWidth="1"/>
    <col min="10969" max="10972" width="0" style="548" hidden="1" customWidth="1"/>
    <col min="10973" max="10973" width="12.28515625" style="548" bestFit="1" customWidth="1"/>
    <col min="10974" max="10977" width="0" style="548" hidden="1" customWidth="1"/>
    <col min="10978" max="10978" width="12.28515625" style="548" bestFit="1" customWidth="1"/>
    <col min="10979" max="10982" width="10.7109375" style="548" bestFit="1" customWidth="1"/>
    <col min="10983" max="10983" width="13.42578125" style="548" bestFit="1" customWidth="1"/>
    <col min="10984" max="11013" width="15" style="548"/>
    <col min="11014" max="11014" width="53.140625" style="548" customWidth="1"/>
    <col min="11015" max="11015" width="18" style="548" bestFit="1" customWidth="1"/>
    <col min="11016" max="11016" width="13.42578125" style="548" bestFit="1" customWidth="1"/>
    <col min="11017" max="11036" width="11.85546875" style="548" customWidth="1"/>
    <col min="11037" max="11040" width="15" style="548"/>
    <col min="11041" max="11041" width="1.5703125" style="548" bestFit="1" customWidth="1"/>
    <col min="11042" max="11042" width="18.140625" style="548" bestFit="1" customWidth="1"/>
    <col min="11043" max="11043" width="1.7109375" style="548" bestFit="1" customWidth="1"/>
    <col min="11044" max="11044" width="16" style="548" bestFit="1" customWidth="1"/>
    <col min="11045" max="11215" width="15" style="548"/>
    <col min="11216" max="11216" width="53.42578125" style="548" customWidth="1"/>
    <col min="11217" max="11217" width="58.140625" style="548" customWidth="1"/>
    <col min="11218" max="11218" width="12.85546875" style="548" customWidth="1"/>
    <col min="11219" max="11219" width="11.85546875" style="548" customWidth="1"/>
    <col min="11220" max="11223" width="0" style="548" hidden="1" customWidth="1"/>
    <col min="11224" max="11224" width="11.85546875" style="548" bestFit="1" customWidth="1"/>
    <col min="11225" max="11228" width="0" style="548" hidden="1" customWidth="1"/>
    <col min="11229" max="11229" width="12.28515625" style="548" bestFit="1" customWidth="1"/>
    <col min="11230" max="11233" width="0" style="548" hidden="1" customWidth="1"/>
    <col min="11234" max="11234" width="12.28515625" style="548" bestFit="1" customWidth="1"/>
    <col min="11235" max="11238" width="10.7109375" style="548" bestFit="1" customWidth="1"/>
    <col min="11239" max="11239" width="13.42578125" style="548" bestFit="1" customWidth="1"/>
    <col min="11240" max="11269" width="15" style="548"/>
    <col min="11270" max="11270" width="53.140625" style="548" customWidth="1"/>
    <col min="11271" max="11271" width="18" style="548" bestFit="1" customWidth="1"/>
    <col min="11272" max="11272" width="13.42578125" style="548" bestFit="1" customWidth="1"/>
    <col min="11273" max="11292" width="11.85546875" style="548" customWidth="1"/>
    <col min="11293" max="11296" width="15" style="548"/>
    <col min="11297" max="11297" width="1.5703125" style="548" bestFit="1" customWidth="1"/>
    <col min="11298" max="11298" width="18.140625" style="548" bestFit="1" customWidth="1"/>
    <col min="11299" max="11299" width="1.7109375" style="548" bestFit="1" customWidth="1"/>
    <col min="11300" max="11300" width="16" style="548" bestFit="1" customWidth="1"/>
    <col min="11301" max="11471" width="15" style="548"/>
    <col min="11472" max="11472" width="53.42578125" style="548" customWidth="1"/>
    <col min="11473" max="11473" width="58.140625" style="548" customWidth="1"/>
    <col min="11474" max="11474" width="12.85546875" style="548" customWidth="1"/>
    <col min="11475" max="11475" width="11.85546875" style="548" customWidth="1"/>
    <col min="11476" max="11479" width="0" style="548" hidden="1" customWidth="1"/>
    <col min="11480" max="11480" width="11.85546875" style="548" bestFit="1" customWidth="1"/>
    <col min="11481" max="11484" width="0" style="548" hidden="1" customWidth="1"/>
    <col min="11485" max="11485" width="12.28515625" style="548" bestFit="1" customWidth="1"/>
    <col min="11486" max="11489" width="0" style="548" hidden="1" customWidth="1"/>
    <col min="11490" max="11490" width="12.28515625" style="548" bestFit="1" customWidth="1"/>
    <col min="11491" max="11494" width="10.7109375" style="548" bestFit="1" customWidth="1"/>
    <col min="11495" max="11495" width="13.42578125" style="548" bestFit="1" customWidth="1"/>
    <col min="11496" max="11525" width="15" style="548"/>
    <col min="11526" max="11526" width="53.140625" style="548" customWidth="1"/>
    <col min="11527" max="11527" width="18" style="548" bestFit="1" customWidth="1"/>
    <col min="11528" max="11528" width="13.42578125" style="548" bestFit="1" customWidth="1"/>
    <col min="11529" max="11548" width="11.85546875" style="548" customWidth="1"/>
    <col min="11549" max="11552" width="15" style="548"/>
    <col min="11553" max="11553" width="1.5703125" style="548" bestFit="1" customWidth="1"/>
    <col min="11554" max="11554" width="18.140625" style="548" bestFit="1" customWidth="1"/>
    <col min="11555" max="11555" width="1.7109375" style="548" bestFit="1" customWidth="1"/>
    <col min="11556" max="11556" width="16" style="548" bestFit="1" customWidth="1"/>
    <col min="11557" max="11727" width="15" style="548"/>
    <col min="11728" max="11728" width="53.42578125" style="548" customWidth="1"/>
    <col min="11729" max="11729" width="58.140625" style="548" customWidth="1"/>
    <col min="11730" max="11730" width="12.85546875" style="548" customWidth="1"/>
    <col min="11731" max="11731" width="11.85546875" style="548" customWidth="1"/>
    <col min="11732" max="11735" width="0" style="548" hidden="1" customWidth="1"/>
    <col min="11736" max="11736" width="11.85546875" style="548" bestFit="1" customWidth="1"/>
    <col min="11737" max="11740" width="0" style="548" hidden="1" customWidth="1"/>
    <col min="11741" max="11741" width="12.28515625" style="548" bestFit="1" customWidth="1"/>
    <col min="11742" max="11745" width="0" style="548" hidden="1" customWidth="1"/>
    <col min="11746" max="11746" width="12.28515625" style="548" bestFit="1" customWidth="1"/>
    <col min="11747" max="11750" width="10.7109375" style="548" bestFit="1" customWidth="1"/>
    <col min="11751" max="11751" width="13.42578125" style="548" bestFit="1" customWidth="1"/>
    <col min="11752" max="11781" width="15" style="548"/>
    <col min="11782" max="11782" width="53.140625" style="548" customWidth="1"/>
    <col min="11783" max="11783" width="18" style="548" bestFit="1" customWidth="1"/>
    <col min="11784" max="11784" width="13.42578125" style="548" bestFit="1" customWidth="1"/>
    <col min="11785" max="11804" width="11.85546875" style="548" customWidth="1"/>
    <col min="11805" max="11808" width="15" style="548"/>
    <col min="11809" max="11809" width="1.5703125" style="548" bestFit="1" customWidth="1"/>
    <col min="11810" max="11810" width="18.140625" style="548" bestFit="1" customWidth="1"/>
    <col min="11811" max="11811" width="1.7109375" style="548" bestFit="1" customWidth="1"/>
    <col min="11812" max="11812" width="16" style="548" bestFit="1" customWidth="1"/>
    <col min="11813" max="11983" width="15" style="548"/>
    <col min="11984" max="11984" width="53.42578125" style="548" customWidth="1"/>
    <col min="11985" max="11985" width="58.140625" style="548" customWidth="1"/>
    <col min="11986" max="11986" width="12.85546875" style="548" customWidth="1"/>
    <col min="11987" max="11987" width="11.85546875" style="548" customWidth="1"/>
    <col min="11988" max="11991" width="0" style="548" hidden="1" customWidth="1"/>
    <col min="11992" max="11992" width="11.85546875" style="548" bestFit="1" customWidth="1"/>
    <col min="11993" max="11996" width="0" style="548" hidden="1" customWidth="1"/>
    <col min="11997" max="11997" width="12.28515625" style="548" bestFit="1" customWidth="1"/>
    <col min="11998" max="12001" width="0" style="548" hidden="1" customWidth="1"/>
    <col min="12002" max="12002" width="12.28515625" style="548" bestFit="1" customWidth="1"/>
    <col min="12003" max="12006" width="10.7109375" style="548" bestFit="1" customWidth="1"/>
    <col min="12007" max="12007" width="13.42578125" style="548" bestFit="1" customWidth="1"/>
    <col min="12008" max="12037" width="15" style="548"/>
    <col min="12038" max="12038" width="53.140625" style="548" customWidth="1"/>
    <col min="12039" max="12039" width="18" style="548" bestFit="1" customWidth="1"/>
    <col min="12040" max="12040" width="13.42578125" style="548" bestFit="1" customWidth="1"/>
    <col min="12041" max="12060" width="11.85546875" style="548" customWidth="1"/>
    <col min="12061" max="12064" width="15" style="548"/>
    <col min="12065" max="12065" width="1.5703125" style="548" bestFit="1" customWidth="1"/>
    <col min="12066" max="12066" width="18.140625" style="548" bestFit="1" customWidth="1"/>
    <col min="12067" max="12067" width="1.7109375" style="548" bestFit="1" customWidth="1"/>
    <col min="12068" max="12068" width="16" style="548" bestFit="1" customWidth="1"/>
    <col min="12069" max="12239" width="15" style="548"/>
    <col min="12240" max="12240" width="53.42578125" style="548" customWidth="1"/>
    <col min="12241" max="12241" width="58.140625" style="548" customWidth="1"/>
    <col min="12242" max="12242" width="12.85546875" style="548" customWidth="1"/>
    <col min="12243" max="12243" width="11.85546875" style="548" customWidth="1"/>
    <col min="12244" max="12247" width="0" style="548" hidden="1" customWidth="1"/>
    <col min="12248" max="12248" width="11.85546875" style="548" bestFit="1" customWidth="1"/>
    <col min="12249" max="12252" width="0" style="548" hidden="1" customWidth="1"/>
    <col min="12253" max="12253" width="12.28515625" style="548" bestFit="1" customWidth="1"/>
    <col min="12254" max="12257" width="0" style="548" hidden="1" customWidth="1"/>
    <col min="12258" max="12258" width="12.28515625" style="548" bestFit="1" customWidth="1"/>
    <col min="12259" max="12262" width="10.7109375" style="548" bestFit="1" customWidth="1"/>
    <col min="12263" max="12263" width="13.42578125" style="548" bestFit="1" customWidth="1"/>
    <col min="12264" max="12293" width="15" style="548"/>
    <col min="12294" max="12294" width="53.140625" style="548" customWidth="1"/>
    <col min="12295" max="12295" width="18" style="548" bestFit="1" customWidth="1"/>
    <col min="12296" max="12296" width="13.42578125" style="548" bestFit="1" customWidth="1"/>
    <col min="12297" max="12316" width="11.85546875" style="548" customWidth="1"/>
    <col min="12317" max="12320" width="15" style="548"/>
    <col min="12321" max="12321" width="1.5703125" style="548" bestFit="1" customWidth="1"/>
    <col min="12322" max="12322" width="18.140625" style="548" bestFit="1" customWidth="1"/>
    <col min="12323" max="12323" width="1.7109375" style="548" bestFit="1" customWidth="1"/>
    <col min="12324" max="12324" width="16" style="548" bestFit="1" customWidth="1"/>
    <col min="12325" max="12495" width="15" style="548"/>
    <col min="12496" max="12496" width="53.42578125" style="548" customWidth="1"/>
    <col min="12497" max="12497" width="58.140625" style="548" customWidth="1"/>
    <col min="12498" max="12498" width="12.85546875" style="548" customWidth="1"/>
    <col min="12499" max="12499" width="11.85546875" style="548" customWidth="1"/>
    <col min="12500" max="12503" width="0" style="548" hidden="1" customWidth="1"/>
    <col min="12504" max="12504" width="11.85546875" style="548" bestFit="1" customWidth="1"/>
    <col min="12505" max="12508" width="0" style="548" hidden="1" customWidth="1"/>
    <col min="12509" max="12509" width="12.28515625" style="548" bestFit="1" customWidth="1"/>
    <col min="12510" max="12513" width="0" style="548" hidden="1" customWidth="1"/>
    <col min="12514" max="12514" width="12.28515625" style="548" bestFit="1" customWidth="1"/>
    <col min="12515" max="12518" width="10.7109375" style="548" bestFit="1" customWidth="1"/>
    <col min="12519" max="12519" width="13.42578125" style="548" bestFit="1" customWidth="1"/>
    <col min="12520" max="12549" width="15" style="548"/>
    <col min="12550" max="12550" width="53.140625" style="548" customWidth="1"/>
    <col min="12551" max="12551" width="18" style="548" bestFit="1" customWidth="1"/>
    <col min="12552" max="12552" width="13.42578125" style="548" bestFit="1" customWidth="1"/>
    <col min="12553" max="12572" width="11.85546875" style="548" customWidth="1"/>
    <col min="12573" max="12576" width="15" style="548"/>
    <col min="12577" max="12577" width="1.5703125" style="548" bestFit="1" customWidth="1"/>
    <col min="12578" max="12578" width="18.140625" style="548" bestFit="1" customWidth="1"/>
    <col min="12579" max="12579" width="1.7109375" style="548" bestFit="1" customWidth="1"/>
    <col min="12580" max="12580" width="16" style="548" bestFit="1" customWidth="1"/>
    <col min="12581" max="12751" width="15" style="548"/>
    <col min="12752" max="12752" width="53.42578125" style="548" customWidth="1"/>
    <col min="12753" max="12753" width="58.140625" style="548" customWidth="1"/>
    <col min="12754" max="12754" width="12.85546875" style="548" customWidth="1"/>
    <col min="12755" max="12755" width="11.85546875" style="548" customWidth="1"/>
    <col min="12756" max="12759" width="0" style="548" hidden="1" customWidth="1"/>
    <col min="12760" max="12760" width="11.85546875" style="548" bestFit="1" customWidth="1"/>
    <col min="12761" max="12764" width="0" style="548" hidden="1" customWidth="1"/>
    <col min="12765" max="12765" width="12.28515625" style="548" bestFit="1" customWidth="1"/>
    <col min="12766" max="12769" width="0" style="548" hidden="1" customWidth="1"/>
    <col min="12770" max="12770" width="12.28515625" style="548" bestFit="1" customWidth="1"/>
    <col min="12771" max="12774" width="10.7109375" style="548" bestFit="1" customWidth="1"/>
    <col min="12775" max="12775" width="13.42578125" style="548" bestFit="1" customWidth="1"/>
    <col min="12776" max="12805" width="15" style="548"/>
    <col min="12806" max="12806" width="53.140625" style="548" customWidth="1"/>
    <col min="12807" max="12807" width="18" style="548" bestFit="1" customWidth="1"/>
    <col min="12808" max="12808" width="13.42578125" style="548" bestFit="1" customWidth="1"/>
    <col min="12809" max="12828" width="11.85546875" style="548" customWidth="1"/>
    <col min="12829" max="12832" width="15" style="548"/>
    <col min="12833" max="12833" width="1.5703125" style="548" bestFit="1" customWidth="1"/>
    <col min="12834" max="12834" width="18.140625" style="548" bestFit="1" customWidth="1"/>
    <col min="12835" max="12835" width="1.7109375" style="548" bestFit="1" customWidth="1"/>
    <col min="12836" max="12836" width="16" style="548" bestFit="1" customWidth="1"/>
    <col min="12837" max="13007" width="15" style="548"/>
    <col min="13008" max="13008" width="53.42578125" style="548" customWidth="1"/>
    <col min="13009" max="13009" width="58.140625" style="548" customWidth="1"/>
    <col min="13010" max="13010" width="12.85546875" style="548" customWidth="1"/>
    <col min="13011" max="13011" width="11.85546875" style="548" customWidth="1"/>
    <col min="13012" max="13015" width="0" style="548" hidden="1" customWidth="1"/>
    <col min="13016" max="13016" width="11.85546875" style="548" bestFit="1" customWidth="1"/>
    <col min="13017" max="13020" width="0" style="548" hidden="1" customWidth="1"/>
    <col min="13021" max="13021" width="12.28515625" style="548" bestFit="1" customWidth="1"/>
    <col min="13022" max="13025" width="0" style="548" hidden="1" customWidth="1"/>
    <col min="13026" max="13026" width="12.28515625" style="548" bestFit="1" customWidth="1"/>
    <col min="13027" max="13030" width="10.7109375" style="548" bestFit="1" customWidth="1"/>
    <col min="13031" max="13031" width="13.42578125" style="548" bestFit="1" customWidth="1"/>
    <col min="13032" max="13061" width="15" style="548"/>
    <col min="13062" max="13062" width="53.140625" style="548" customWidth="1"/>
    <col min="13063" max="13063" width="18" style="548" bestFit="1" customWidth="1"/>
    <col min="13064" max="13064" width="13.42578125" style="548" bestFit="1" customWidth="1"/>
    <col min="13065" max="13084" width="11.85546875" style="548" customWidth="1"/>
    <col min="13085" max="13088" width="15" style="548"/>
    <col min="13089" max="13089" width="1.5703125" style="548" bestFit="1" customWidth="1"/>
    <col min="13090" max="13090" width="18.140625" style="548" bestFit="1" customWidth="1"/>
    <col min="13091" max="13091" width="1.7109375" style="548" bestFit="1" customWidth="1"/>
    <col min="13092" max="13092" width="16" style="548" bestFit="1" customWidth="1"/>
    <col min="13093" max="13263" width="15" style="548"/>
    <col min="13264" max="13264" width="53.42578125" style="548" customWidth="1"/>
    <col min="13265" max="13265" width="58.140625" style="548" customWidth="1"/>
    <col min="13266" max="13266" width="12.85546875" style="548" customWidth="1"/>
    <col min="13267" max="13267" width="11.85546875" style="548" customWidth="1"/>
    <col min="13268" max="13271" width="0" style="548" hidden="1" customWidth="1"/>
    <col min="13272" max="13272" width="11.85546875" style="548" bestFit="1" customWidth="1"/>
    <col min="13273" max="13276" width="0" style="548" hidden="1" customWidth="1"/>
    <col min="13277" max="13277" width="12.28515625" style="548" bestFit="1" customWidth="1"/>
    <col min="13278" max="13281" width="0" style="548" hidden="1" customWidth="1"/>
    <col min="13282" max="13282" width="12.28515625" style="548" bestFit="1" customWidth="1"/>
    <col min="13283" max="13286" width="10.7109375" style="548" bestFit="1" customWidth="1"/>
    <col min="13287" max="13287" width="13.42578125" style="548" bestFit="1" customWidth="1"/>
    <col min="13288" max="13317" width="15" style="548"/>
    <col min="13318" max="13318" width="53.140625" style="548" customWidth="1"/>
    <col min="13319" max="13319" width="18" style="548" bestFit="1" customWidth="1"/>
    <col min="13320" max="13320" width="13.42578125" style="548" bestFit="1" customWidth="1"/>
    <col min="13321" max="13340" width="11.85546875" style="548" customWidth="1"/>
    <col min="13341" max="13344" width="15" style="548"/>
    <col min="13345" max="13345" width="1.5703125" style="548" bestFit="1" customWidth="1"/>
    <col min="13346" max="13346" width="18.140625" style="548" bestFit="1" customWidth="1"/>
    <col min="13347" max="13347" width="1.7109375" style="548" bestFit="1" customWidth="1"/>
    <col min="13348" max="13348" width="16" style="548" bestFit="1" customWidth="1"/>
    <col min="13349" max="13519" width="15" style="548"/>
    <col min="13520" max="13520" width="53.42578125" style="548" customWidth="1"/>
    <col min="13521" max="13521" width="58.140625" style="548" customWidth="1"/>
    <col min="13522" max="13522" width="12.85546875" style="548" customWidth="1"/>
    <col min="13523" max="13523" width="11.85546875" style="548" customWidth="1"/>
    <col min="13524" max="13527" width="0" style="548" hidden="1" customWidth="1"/>
    <col min="13528" max="13528" width="11.85546875" style="548" bestFit="1" customWidth="1"/>
    <col min="13529" max="13532" width="0" style="548" hidden="1" customWidth="1"/>
    <col min="13533" max="13533" width="12.28515625" style="548" bestFit="1" customWidth="1"/>
    <col min="13534" max="13537" width="0" style="548" hidden="1" customWidth="1"/>
    <col min="13538" max="13538" width="12.28515625" style="548" bestFit="1" customWidth="1"/>
    <col min="13539" max="13542" width="10.7109375" style="548" bestFit="1" customWidth="1"/>
    <col min="13543" max="13543" width="13.42578125" style="548" bestFit="1" customWidth="1"/>
    <col min="13544" max="13573" width="15" style="548"/>
    <col min="13574" max="13574" width="53.140625" style="548" customWidth="1"/>
    <col min="13575" max="13575" width="18" style="548" bestFit="1" customWidth="1"/>
    <col min="13576" max="13576" width="13.42578125" style="548" bestFit="1" customWidth="1"/>
    <col min="13577" max="13596" width="11.85546875" style="548" customWidth="1"/>
    <col min="13597" max="13600" width="15" style="548"/>
    <col min="13601" max="13601" width="1.5703125" style="548" bestFit="1" customWidth="1"/>
    <col min="13602" max="13602" width="18.140625" style="548" bestFit="1" customWidth="1"/>
    <col min="13603" max="13603" width="1.7109375" style="548" bestFit="1" customWidth="1"/>
    <col min="13604" max="13604" width="16" style="548" bestFit="1" customWidth="1"/>
    <col min="13605" max="13775" width="15" style="548"/>
    <col min="13776" max="13776" width="53.42578125" style="548" customWidth="1"/>
    <col min="13777" max="13777" width="58.140625" style="548" customWidth="1"/>
    <col min="13778" max="13778" width="12.85546875" style="548" customWidth="1"/>
    <col min="13779" max="13779" width="11.85546875" style="548" customWidth="1"/>
    <col min="13780" max="13783" width="0" style="548" hidden="1" customWidth="1"/>
    <col min="13784" max="13784" width="11.85546875" style="548" bestFit="1" customWidth="1"/>
    <col min="13785" max="13788" width="0" style="548" hidden="1" customWidth="1"/>
    <col min="13789" max="13789" width="12.28515625" style="548" bestFit="1" customWidth="1"/>
    <col min="13790" max="13793" width="0" style="548" hidden="1" customWidth="1"/>
    <col min="13794" max="13794" width="12.28515625" style="548" bestFit="1" customWidth="1"/>
    <col min="13795" max="13798" width="10.7109375" style="548" bestFit="1" customWidth="1"/>
    <col min="13799" max="13799" width="13.42578125" style="548" bestFit="1" customWidth="1"/>
    <col min="13800" max="13829" width="15" style="548"/>
    <col min="13830" max="13830" width="53.140625" style="548" customWidth="1"/>
    <col min="13831" max="13831" width="18" style="548" bestFit="1" customWidth="1"/>
    <col min="13832" max="13832" width="13.42578125" style="548" bestFit="1" customWidth="1"/>
    <col min="13833" max="13852" width="11.85546875" style="548" customWidth="1"/>
    <col min="13853" max="13856" width="15" style="548"/>
    <col min="13857" max="13857" width="1.5703125" style="548" bestFit="1" customWidth="1"/>
    <col min="13858" max="13858" width="18.140625" style="548" bestFit="1" customWidth="1"/>
    <col min="13859" max="13859" width="1.7109375" style="548" bestFit="1" customWidth="1"/>
    <col min="13860" max="13860" width="16" style="548" bestFit="1" customWidth="1"/>
    <col min="13861" max="14031" width="15" style="548"/>
    <col min="14032" max="14032" width="53.42578125" style="548" customWidth="1"/>
    <col min="14033" max="14033" width="58.140625" style="548" customWidth="1"/>
    <col min="14034" max="14034" width="12.85546875" style="548" customWidth="1"/>
    <col min="14035" max="14035" width="11.85546875" style="548" customWidth="1"/>
    <col min="14036" max="14039" width="0" style="548" hidden="1" customWidth="1"/>
    <col min="14040" max="14040" width="11.85546875" style="548" bestFit="1" customWidth="1"/>
    <col min="14041" max="14044" width="0" style="548" hidden="1" customWidth="1"/>
    <col min="14045" max="14045" width="12.28515625" style="548" bestFit="1" customWidth="1"/>
    <col min="14046" max="14049" width="0" style="548" hidden="1" customWidth="1"/>
    <col min="14050" max="14050" width="12.28515625" style="548" bestFit="1" customWidth="1"/>
    <col min="14051" max="14054" width="10.7109375" style="548" bestFit="1" customWidth="1"/>
    <col min="14055" max="14055" width="13.42578125" style="548" bestFit="1" customWidth="1"/>
    <col min="14056" max="14085" width="15" style="548"/>
    <col min="14086" max="14086" width="53.140625" style="548" customWidth="1"/>
    <col min="14087" max="14087" width="18" style="548" bestFit="1" customWidth="1"/>
    <col min="14088" max="14088" width="13.42578125" style="548" bestFit="1" customWidth="1"/>
    <col min="14089" max="14108" width="11.85546875" style="548" customWidth="1"/>
    <col min="14109" max="14112" width="15" style="548"/>
    <col min="14113" max="14113" width="1.5703125" style="548" bestFit="1" customWidth="1"/>
    <col min="14114" max="14114" width="18.140625" style="548" bestFit="1" customWidth="1"/>
    <col min="14115" max="14115" width="1.7109375" style="548" bestFit="1" customWidth="1"/>
    <col min="14116" max="14116" width="16" style="548" bestFit="1" customWidth="1"/>
    <col min="14117" max="14287" width="15" style="548"/>
    <col min="14288" max="14288" width="53.42578125" style="548" customWidth="1"/>
    <col min="14289" max="14289" width="58.140625" style="548" customWidth="1"/>
    <col min="14290" max="14290" width="12.85546875" style="548" customWidth="1"/>
    <col min="14291" max="14291" width="11.85546875" style="548" customWidth="1"/>
    <col min="14292" max="14295" width="0" style="548" hidden="1" customWidth="1"/>
    <col min="14296" max="14296" width="11.85546875" style="548" bestFit="1" customWidth="1"/>
    <col min="14297" max="14300" width="0" style="548" hidden="1" customWidth="1"/>
    <col min="14301" max="14301" width="12.28515625" style="548" bestFit="1" customWidth="1"/>
    <col min="14302" max="14305" width="0" style="548" hidden="1" customWidth="1"/>
    <col min="14306" max="14306" width="12.28515625" style="548" bestFit="1" customWidth="1"/>
    <col min="14307" max="14310" width="10.7109375" style="548" bestFit="1" customWidth="1"/>
    <col min="14311" max="14311" width="13.42578125" style="548" bestFit="1" customWidth="1"/>
    <col min="14312" max="14341" width="15" style="548"/>
    <col min="14342" max="14342" width="53.140625" style="548" customWidth="1"/>
    <col min="14343" max="14343" width="18" style="548" bestFit="1" customWidth="1"/>
    <col min="14344" max="14344" width="13.42578125" style="548" bestFit="1" customWidth="1"/>
    <col min="14345" max="14364" width="11.85546875" style="548" customWidth="1"/>
    <col min="14365" max="14368" width="15" style="548"/>
    <col min="14369" max="14369" width="1.5703125" style="548" bestFit="1" customWidth="1"/>
    <col min="14370" max="14370" width="18.140625" style="548" bestFit="1" customWidth="1"/>
    <col min="14371" max="14371" width="1.7109375" style="548" bestFit="1" customWidth="1"/>
    <col min="14372" max="14372" width="16" style="548" bestFit="1" customWidth="1"/>
    <col min="14373" max="14543" width="15" style="548"/>
    <col min="14544" max="14544" width="53.42578125" style="548" customWidth="1"/>
    <col min="14545" max="14545" width="58.140625" style="548" customWidth="1"/>
    <col min="14546" max="14546" width="12.85546875" style="548" customWidth="1"/>
    <col min="14547" max="14547" width="11.85546875" style="548" customWidth="1"/>
    <col min="14548" max="14551" width="0" style="548" hidden="1" customWidth="1"/>
    <col min="14552" max="14552" width="11.85546875" style="548" bestFit="1" customWidth="1"/>
    <col min="14553" max="14556" width="0" style="548" hidden="1" customWidth="1"/>
    <col min="14557" max="14557" width="12.28515625" style="548" bestFit="1" customWidth="1"/>
    <col min="14558" max="14561" width="0" style="548" hidden="1" customWidth="1"/>
    <col min="14562" max="14562" width="12.28515625" style="548" bestFit="1" customWidth="1"/>
    <col min="14563" max="14566" width="10.7109375" style="548" bestFit="1" customWidth="1"/>
    <col min="14567" max="14567" width="13.42578125" style="548" bestFit="1" customWidth="1"/>
    <col min="14568" max="14597" width="15" style="548"/>
    <col min="14598" max="14598" width="53.140625" style="548" customWidth="1"/>
    <col min="14599" max="14599" width="18" style="548" bestFit="1" customWidth="1"/>
    <col min="14600" max="14600" width="13.42578125" style="548" bestFit="1" customWidth="1"/>
    <col min="14601" max="14620" width="11.85546875" style="548" customWidth="1"/>
    <col min="14621" max="14624" width="15" style="548"/>
    <col min="14625" max="14625" width="1.5703125" style="548" bestFit="1" customWidth="1"/>
    <col min="14626" max="14626" width="18.140625" style="548" bestFit="1" customWidth="1"/>
    <col min="14627" max="14627" width="1.7109375" style="548" bestFit="1" customWidth="1"/>
    <col min="14628" max="14628" width="16" style="548" bestFit="1" customWidth="1"/>
    <col min="14629" max="14799" width="15" style="548"/>
    <col min="14800" max="14800" width="53.42578125" style="548" customWidth="1"/>
    <col min="14801" max="14801" width="58.140625" style="548" customWidth="1"/>
    <col min="14802" max="14802" width="12.85546875" style="548" customWidth="1"/>
    <col min="14803" max="14803" width="11.85546875" style="548" customWidth="1"/>
    <col min="14804" max="14807" width="0" style="548" hidden="1" customWidth="1"/>
    <col min="14808" max="14808" width="11.85546875" style="548" bestFit="1" customWidth="1"/>
    <col min="14809" max="14812" width="0" style="548" hidden="1" customWidth="1"/>
    <col min="14813" max="14813" width="12.28515625" style="548" bestFit="1" customWidth="1"/>
    <col min="14814" max="14817" width="0" style="548" hidden="1" customWidth="1"/>
    <col min="14818" max="14818" width="12.28515625" style="548" bestFit="1" customWidth="1"/>
    <col min="14819" max="14822" width="10.7109375" style="548" bestFit="1" customWidth="1"/>
    <col min="14823" max="14823" width="13.42578125" style="548" bestFit="1" customWidth="1"/>
    <col min="14824" max="14853" width="15" style="548"/>
    <col min="14854" max="14854" width="53.140625" style="548" customWidth="1"/>
    <col min="14855" max="14855" width="18" style="548" bestFit="1" customWidth="1"/>
    <col min="14856" max="14856" width="13.42578125" style="548" bestFit="1" customWidth="1"/>
    <col min="14857" max="14876" width="11.85546875" style="548" customWidth="1"/>
    <col min="14877" max="14880" width="15" style="548"/>
    <col min="14881" max="14881" width="1.5703125" style="548" bestFit="1" customWidth="1"/>
    <col min="14882" max="14882" width="18.140625" style="548" bestFit="1" customWidth="1"/>
    <col min="14883" max="14883" width="1.7109375" style="548" bestFit="1" customWidth="1"/>
    <col min="14884" max="14884" width="16" style="548" bestFit="1" customWidth="1"/>
    <col min="14885" max="15055" width="15" style="548"/>
    <col min="15056" max="15056" width="53.42578125" style="548" customWidth="1"/>
    <col min="15057" max="15057" width="58.140625" style="548" customWidth="1"/>
    <col min="15058" max="15058" width="12.85546875" style="548" customWidth="1"/>
    <col min="15059" max="15059" width="11.85546875" style="548" customWidth="1"/>
    <col min="15060" max="15063" width="0" style="548" hidden="1" customWidth="1"/>
    <col min="15064" max="15064" width="11.85546875" style="548" bestFit="1" customWidth="1"/>
    <col min="15065" max="15068" width="0" style="548" hidden="1" customWidth="1"/>
    <col min="15069" max="15069" width="12.28515625" style="548" bestFit="1" customWidth="1"/>
    <col min="15070" max="15073" width="0" style="548" hidden="1" customWidth="1"/>
    <col min="15074" max="15074" width="12.28515625" style="548" bestFit="1" customWidth="1"/>
    <col min="15075" max="15078" width="10.7109375" style="548" bestFit="1" customWidth="1"/>
    <col min="15079" max="15079" width="13.42578125" style="548" bestFit="1" customWidth="1"/>
    <col min="15080" max="15109" width="15" style="548"/>
    <col min="15110" max="15110" width="53.140625" style="548" customWidth="1"/>
    <col min="15111" max="15111" width="18" style="548" bestFit="1" customWidth="1"/>
    <col min="15112" max="15112" width="13.42578125" style="548" bestFit="1" customWidth="1"/>
    <col min="15113" max="15132" width="11.85546875" style="548" customWidth="1"/>
    <col min="15133" max="15136" width="15" style="548"/>
    <col min="15137" max="15137" width="1.5703125" style="548" bestFit="1" customWidth="1"/>
    <col min="15138" max="15138" width="18.140625" style="548" bestFit="1" customWidth="1"/>
    <col min="15139" max="15139" width="1.7109375" style="548" bestFit="1" customWidth="1"/>
    <col min="15140" max="15140" width="16" style="548" bestFit="1" customWidth="1"/>
    <col min="15141" max="15311" width="15" style="548"/>
    <col min="15312" max="15312" width="53.42578125" style="548" customWidth="1"/>
    <col min="15313" max="15313" width="58.140625" style="548" customWidth="1"/>
    <col min="15314" max="15314" width="12.85546875" style="548" customWidth="1"/>
    <col min="15315" max="15315" width="11.85546875" style="548" customWidth="1"/>
    <col min="15316" max="15319" width="0" style="548" hidden="1" customWidth="1"/>
    <col min="15320" max="15320" width="11.85546875" style="548" bestFit="1" customWidth="1"/>
    <col min="15321" max="15324" width="0" style="548" hidden="1" customWidth="1"/>
    <col min="15325" max="15325" width="12.28515625" style="548" bestFit="1" customWidth="1"/>
    <col min="15326" max="15329" width="0" style="548" hidden="1" customWidth="1"/>
    <col min="15330" max="15330" width="12.28515625" style="548" bestFit="1" customWidth="1"/>
    <col min="15331" max="15334" width="10.7109375" style="548" bestFit="1" customWidth="1"/>
    <col min="15335" max="15335" width="13.42578125" style="548" bestFit="1" customWidth="1"/>
    <col min="15336" max="15365" width="15" style="548"/>
    <col min="15366" max="15366" width="53.140625" style="548" customWidth="1"/>
    <col min="15367" max="15367" width="18" style="548" bestFit="1" customWidth="1"/>
    <col min="15368" max="15368" width="13.42578125" style="548" bestFit="1" customWidth="1"/>
    <col min="15369" max="15388" width="11.85546875" style="548" customWidth="1"/>
    <col min="15389" max="15392" width="15" style="548"/>
    <col min="15393" max="15393" width="1.5703125" style="548" bestFit="1" customWidth="1"/>
    <col min="15394" max="15394" width="18.140625" style="548" bestFit="1" customWidth="1"/>
    <col min="15395" max="15395" width="1.7109375" style="548" bestFit="1" customWidth="1"/>
    <col min="15396" max="15396" width="16" style="548" bestFit="1" customWidth="1"/>
    <col min="15397" max="15567" width="15" style="548"/>
    <col min="15568" max="15568" width="53.42578125" style="548" customWidth="1"/>
    <col min="15569" max="15569" width="58.140625" style="548" customWidth="1"/>
    <col min="15570" max="15570" width="12.85546875" style="548" customWidth="1"/>
    <col min="15571" max="15571" width="11.85546875" style="548" customWidth="1"/>
    <col min="15572" max="15575" width="0" style="548" hidden="1" customWidth="1"/>
    <col min="15576" max="15576" width="11.85546875" style="548" bestFit="1" customWidth="1"/>
    <col min="15577" max="15580" width="0" style="548" hidden="1" customWidth="1"/>
    <col min="15581" max="15581" width="12.28515625" style="548" bestFit="1" customWidth="1"/>
    <col min="15582" max="15585" width="0" style="548" hidden="1" customWidth="1"/>
    <col min="15586" max="15586" width="12.28515625" style="548" bestFit="1" customWidth="1"/>
    <col min="15587" max="15590" width="10.7109375" style="548" bestFit="1" customWidth="1"/>
    <col min="15591" max="15591" width="13.42578125" style="548" bestFit="1" customWidth="1"/>
    <col min="15592" max="15621" width="15" style="548"/>
    <col min="15622" max="15622" width="53.140625" style="548" customWidth="1"/>
    <col min="15623" max="15623" width="18" style="548" bestFit="1" customWidth="1"/>
    <col min="15624" max="15624" width="13.42578125" style="548" bestFit="1" customWidth="1"/>
    <col min="15625" max="15644" width="11.85546875" style="548" customWidth="1"/>
    <col min="15645" max="15648" width="15" style="548"/>
    <col min="15649" max="15649" width="1.5703125" style="548" bestFit="1" customWidth="1"/>
    <col min="15650" max="15650" width="18.140625" style="548" bestFit="1" customWidth="1"/>
    <col min="15651" max="15651" width="1.7109375" style="548" bestFit="1" customWidth="1"/>
    <col min="15652" max="15652" width="16" style="548" bestFit="1" customWidth="1"/>
    <col min="15653" max="15823" width="15" style="548"/>
    <col min="15824" max="15824" width="53.42578125" style="548" customWidth="1"/>
    <col min="15825" max="15825" width="58.140625" style="548" customWidth="1"/>
    <col min="15826" max="15826" width="12.85546875" style="548" customWidth="1"/>
    <col min="15827" max="15827" width="11.85546875" style="548" customWidth="1"/>
    <col min="15828" max="15831" width="0" style="548" hidden="1" customWidth="1"/>
    <col min="15832" max="15832" width="11.85546875" style="548" bestFit="1" customWidth="1"/>
    <col min="15833" max="15836" width="0" style="548" hidden="1" customWidth="1"/>
    <col min="15837" max="15837" width="12.28515625" style="548" bestFit="1" customWidth="1"/>
    <col min="15838" max="15841" width="0" style="548" hidden="1" customWidth="1"/>
    <col min="15842" max="15842" width="12.28515625" style="548" bestFit="1" customWidth="1"/>
    <col min="15843" max="15846" width="10.7109375" style="548" bestFit="1" customWidth="1"/>
    <col min="15847" max="15847" width="13.42578125" style="548" bestFit="1" customWidth="1"/>
    <col min="15848" max="15877" width="15" style="548"/>
    <col min="15878" max="15878" width="53.140625" style="548" customWidth="1"/>
    <col min="15879" max="15879" width="18" style="548" bestFit="1" customWidth="1"/>
    <col min="15880" max="15880" width="13.42578125" style="548" bestFit="1" customWidth="1"/>
    <col min="15881" max="15900" width="11.85546875" style="548" customWidth="1"/>
    <col min="15901" max="15904" width="15" style="548"/>
    <col min="15905" max="15905" width="1.5703125" style="548" bestFit="1" customWidth="1"/>
    <col min="15906" max="15906" width="18.140625" style="548" bestFit="1" customWidth="1"/>
    <col min="15907" max="15907" width="1.7109375" style="548" bestFit="1" customWidth="1"/>
    <col min="15908" max="15908" width="16" style="548" bestFit="1" customWidth="1"/>
    <col min="15909" max="16079" width="15" style="548"/>
    <col min="16080" max="16080" width="53.42578125" style="548" customWidth="1"/>
    <col min="16081" max="16081" width="58.140625" style="548" customWidth="1"/>
    <col min="16082" max="16082" width="12.85546875" style="548" customWidth="1"/>
    <col min="16083" max="16083" width="11.85546875" style="548" customWidth="1"/>
    <col min="16084" max="16087" width="0" style="548" hidden="1" customWidth="1"/>
    <col min="16088" max="16088" width="11.85546875" style="548" bestFit="1" customWidth="1"/>
    <col min="16089" max="16092" width="0" style="548" hidden="1" customWidth="1"/>
    <col min="16093" max="16093" width="12.28515625" style="548" bestFit="1" customWidth="1"/>
    <col min="16094" max="16097" width="0" style="548" hidden="1" customWidth="1"/>
    <col min="16098" max="16098" width="12.28515625" style="548" bestFit="1" customWidth="1"/>
    <col min="16099" max="16102" width="10.7109375" style="548" bestFit="1" customWidth="1"/>
    <col min="16103" max="16103" width="13.42578125" style="548" bestFit="1" customWidth="1"/>
    <col min="16104" max="16133" width="15" style="548"/>
    <col min="16134" max="16134" width="53.140625" style="548" customWidth="1"/>
    <col min="16135" max="16135" width="18" style="548" bestFit="1" customWidth="1"/>
    <col min="16136" max="16136" width="13.42578125" style="548" bestFit="1" customWidth="1"/>
    <col min="16137" max="16156" width="11.85546875" style="548" customWidth="1"/>
    <col min="16157" max="16160" width="15" style="548"/>
    <col min="16161" max="16161" width="1.5703125" style="548" bestFit="1" customWidth="1"/>
    <col min="16162" max="16162" width="18.140625" style="548" bestFit="1" customWidth="1"/>
    <col min="16163" max="16163" width="1.7109375" style="548" bestFit="1" customWidth="1"/>
    <col min="16164" max="16164" width="16" style="548" bestFit="1" customWidth="1"/>
    <col min="16165" max="16335" width="15" style="548"/>
    <col min="16336" max="16336" width="53.42578125" style="548" customWidth="1"/>
    <col min="16337" max="16337" width="58.140625" style="548" customWidth="1"/>
    <col min="16338" max="16338" width="12.85546875" style="548" customWidth="1"/>
    <col min="16339" max="16339" width="11.85546875" style="548" customWidth="1"/>
    <col min="16340" max="16343" width="0" style="548" hidden="1" customWidth="1"/>
    <col min="16344" max="16344" width="11.85546875" style="548" bestFit="1" customWidth="1"/>
    <col min="16345" max="16348" width="0" style="548" hidden="1" customWidth="1"/>
    <col min="16349" max="16349" width="12.28515625" style="548" bestFit="1" customWidth="1"/>
    <col min="16350" max="16353" width="0" style="548" hidden="1" customWidth="1"/>
    <col min="16354" max="16354" width="12.28515625" style="548" bestFit="1" customWidth="1"/>
    <col min="16355" max="16358" width="10.7109375" style="548" bestFit="1" customWidth="1"/>
    <col min="16359" max="16359" width="13.42578125" style="548" bestFit="1" customWidth="1"/>
    <col min="16360" max="16384" width="15" style="548"/>
  </cols>
  <sheetData>
    <row r="1" spans="1:261" x14ac:dyDescent="0.25">
      <c r="A1" s="544" t="s">
        <v>316</v>
      </c>
      <c r="B1" s="545"/>
      <c r="C1" s="546"/>
      <c r="D1" s="546"/>
      <c r="E1" s="546"/>
      <c r="F1" s="546"/>
      <c r="G1" s="546"/>
      <c r="H1" s="546"/>
      <c r="I1" s="546"/>
      <c r="J1" s="546"/>
      <c r="K1" s="546"/>
      <c r="L1" s="546"/>
      <c r="M1" s="546"/>
      <c r="N1" s="546"/>
      <c r="O1" s="546"/>
      <c r="P1" s="546"/>
      <c r="Q1" s="546"/>
      <c r="R1" s="546"/>
      <c r="S1" s="546"/>
      <c r="T1" s="546"/>
      <c r="U1" s="546"/>
      <c r="V1" s="546"/>
      <c r="W1" s="546"/>
      <c r="X1" s="546"/>
      <c r="Y1" s="546"/>
      <c r="Z1" s="546"/>
      <c r="AA1" s="546"/>
      <c r="AB1" s="546"/>
      <c r="AC1" s="546"/>
      <c r="AD1" s="546"/>
      <c r="AE1" s="546"/>
      <c r="AF1" s="546"/>
      <c r="AG1" s="546"/>
      <c r="AH1" s="546"/>
      <c r="AI1" s="546"/>
      <c r="AJ1" t="s">
        <v>317</v>
      </c>
      <c r="AK1" s="547"/>
      <c r="AL1" s="546"/>
      <c r="AM1" s="546"/>
      <c r="AN1" s="546"/>
      <c r="AO1" s="546"/>
      <c r="AP1" s="546"/>
      <c r="AQ1" s="546"/>
      <c r="AR1" s="546"/>
      <c r="AS1" s="546"/>
      <c r="AT1" s="546"/>
      <c r="AU1" s="546"/>
      <c r="AV1" s="546"/>
      <c r="AW1" s="546"/>
      <c r="AX1" s="546"/>
      <c r="AY1" s="546"/>
      <c r="AZ1" s="546"/>
      <c r="BA1" s="546"/>
      <c r="BB1" s="546"/>
      <c r="BC1" s="546"/>
      <c r="BD1" s="546"/>
      <c r="BE1" s="546"/>
      <c r="BF1" s="546"/>
      <c r="BG1" s="546"/>
      <c r="BH1" s="546"/>
      <c r="BI1" s="546"/>
      <c r="BJ1" s="546"/>
      <c r="BK1" s="546"/>
      <c r="BL1" s="546"/>
      <c r="BM1" s="546"/>
      <c r="BN1" s="546"/>
      <c r="BO1" s="546"/>
      <c r="BP1" s="546"/>
      <c r="BQ1" s="546"/>
      <c r="BR1" s="546"/>
      <c r="BS1" s="546"/>
      <c r="BT1" s="546"/>
      <c r="BU1" s="546"/>
      <c r="BV1" s="546"/>
      <c r="BW1" s="546"/>
      <c r="BX1" s="546"/>
      <c r="BY1" s="546"/>
      <c r="BZ1" s="546"/>
      <c r="CA1" s="546"/>
      <c r="CB1" s="546"/>
      <c r="CC1" s="546"/>
      <c r="CD1" s="546"/>
      <c r="CE1" s="546"/>
      <c r="CF1" s="546"/>
      <c r="CG1" s="546"/>
      <c r="CH1" s="546"/>
      <c r="CI1" s="546"/>
      <c r="CJ1" s="546"/>
      <c r="CK1" s="546"/>
      <c r="CL1" s="546"/>
      <c r="CM1" s="546"/>
      <c r="CN1" s="546"/>
      <c r="CO1" s="546"/>
      <c r="CP1" s="546"/>
      <c r="CQ1" s="546"/>
      <c r="CR1" s="546"/>
      <c r="CS1" s="546"/>
      <c r="CT1" s="546"/>
      <c r="CU1" s="546"/>
      <c r="CV1" s="546"/>
      <c r="CW1" s="546"/>
      <c r="CX1" s="546"/>
      <c r="CY1" s="546"/>
      <c r="CZ1" s="546"/>
      <c r="DA1" s="546"/>
      <c r="DB1" s="546"/>
      <c r="DC1" s="546"/>
      <c r="DD1" s="546"/>
      <c r="DE1" s="546"/>
      <c r="DF1" s="546"/>
      <c r="DG1" s="546"/>
      <c r="DH1" s="546"/>
      <c r="DI1" s="546"/>
      <c r="DJ1" s="546"/>
      <c r="DK1" s="546"/>
      <c r="DL1" s="546"/>
      <c r="DM1" s="546"/>
      <c r="DN1" s="546"/>
      <c r="DO1" s="546"/>
      <c r="DP1" s="546"/>
      <c r="DQ1" s="546"/>
      <c r="DR1" s="546"/>
      <c r="DS1" s="546"/>
      <c r="DT1" s="546"/>
      <c r="DU1" s="546"/>
      <c r="DV1" s="546"/>
      <c r="DW1" s="546"/>
      <c r="DX1" s="546"/>
      <c r="DY1" s="546"/>
      <c r="DZ1" s="546"/>
      <c r="EA1" s="546"/>
      <c r="EB1" s="546"/>
      <c r="EC1" s="546"/>
      <c r="ED1" s="546"/>
      <c r="EE1" s="546"/>
      <c r="EF1" s="546"/>
      <c r="EG1" s="546"/>
      <c r="EH1" s="546"/>
      <c r="EI1" s="546"/>
      <c r="EJ1" s="546"/>
      <c r="EK1" s="546"/>
      <c r="EL1" s="546"/>
      <c r="EM1" s="546"/>
      <c r="EN1" s="546"/>
      <c r="EO1" s="546"/>
      <c r="EP1" s="546"/>
      <c r="EQ1" s="546"/>
      <c r="ER1" s="546"/>
      <c r="ES1" s="546"/>
      <c r="ET1" s="546"/>
      <c r="EU1" s="546"/>
      <c r="EV1" s="546"/>
      <c r="EW1" s="546"/>
      <c r="EX1" s="546"/>
      <c r="EY1" s="546"/>
      <c r="EZ1" s="546"/>
      <c r="FA1" s="546"/>
      <c r="FB1" s="546"/>
      <c r="FC1" s="546"/>
      <c r="FD1" s="546"/>
      <c r="FE1" s="546"/>
      <c r="FF1" s="546"/>
      <c r="FG1" s="546"/>
      <c r="FH1" s="546"/>
      <c r="FI1" s="546"/>
      <c r="FJ1" s="546"/>
      <c r="FK1" s="546"/>
      <c r="FL1" s="546"/>
      <c r="FM1" s="546"/>
      <c r="FN1" s="546"/>
      <c r="FO1" s="546"/>
      <c r="FP1" s="546"/>
      <c r="FQ1" s="546"/>
      <c r="FR1" s="546"/>
      <c r="FS1" s="546"/>
      <c r="FT1" s="546"/>
      <c r="FU1" s="546"/>
      <c r="FV1" s="546"/>
      <c r="FW1" s="546"/>
      <c r="FX1" s="546"/>
      <c r="FY1" s="546"/>
      <c r="FZ1" s="546"/>
      <c r="GA1" s="546"/>
      <c r="GB1" s="546"/>
      <c r="GC1" s="546"/>
      <c r="GD1" s="546"/>
      <c r="GE1" s="546"/>
      <c r="GF1" s="546"/>
      <c r="GG1" s="546"/>
      <c r="GH1" s="546"/>
      <c r="GI1" s="546"/>
      <c r="GJ1" s="546"/>
      <c r="GK1" s="546"/>
      <c r="GL1" s="546"/>
      <c r="GM1" s="546"/>
      <c r="GN1" s="546"/>
      <c r="GO1" s="546"/>
      <c r="GP1" s="546"/>
      <c r="GQ1" s="546"/>
      <c r="GR1" s="546"/>
      <c r="GS1" s="546"/>
      <c r="GT1" s="546"/>
      <c r="GU1" s="546"/>
      <c r="GV1" s="546"/>
      <c r="GW1" s="546"/>
      <c r="GX1" s="546"/>
      <c r="GY1" s="546"/>
      <c r="GZ1" s="546"/>
      <c r="HA1" s="546"/>
      <c r="HB1" s="546"/>
      <c r="HC1" s="546"/>
      <c r="HD1" s="546"/>
      <c r="HE1" s="546"/>
      <c r="HF1" s="546"/>
      <c r="HG1" s="546"/>
      <c r="HH1" s="546"/>
      <c r="HI1" s="546"/>
      <c r="HJ1" s="546"/>
      <c r="HK1" s="546"/>
      <c r="HL1" s="546"/>
      <c r="HM1" s="546"/>
      <c r="HN1" s="546"/>
      <c r="HO1" s="546"/>
      <c r="HP1" s="546"/>
      <c r="HQ1" s="546"/>
      <c r="HR1" s="546"/>
      <c r="HS1" s="546"/>
      <c r="HT1" s="546"/>
      <c r="HU1" s="546"/>
      <c r="HV1" s="546"/>
      <c r="HW1" s="546"/>
      <c r="HX1" s="546"/>
      <c r="HY1" s="546"/>
      <c r="HZ1" s="546"/>
      <c r="IA1" s="546"/>
      <c r="IB1" s="546"/>
      <c r="IC1" s="546"/>
      <c r="ID1" s="546"/>
      <c r="IE1" s="546"/>
      <c r="IF1" s="546"/>
      <c r="IG1" s="546"/>
      <c r="IH1" s="546"/>
      <c r="II1" s="546"/>
      <c r="IJ1" s="546"/>
      <c r="IK1" s="546"/>
      <c r="IL1" s="546"/>
      <c r="IM1" s="546"/>
      <c r="IN1" s="546"/>
      <c r="IO1" s="546"/>
      <c r="IP1" s="546"/>
      <c r="IQ1" s="546"/>
      <c r="IR1" s="546"/>
      <c r="IS1" s="546"/>
      <c r="IT1" s="546"/>
      <c r="IU1" s="546"/>
      <c r="IV1" s="546"/>
      <c r="IW1" s="546"/>
      <c r="IX1" s="546"/>
      <c r="IY1" s="546"/>
      <c r="IZ1" s="546"/>
      <c r="JA1" s="546"/>
    </row>
    <row r="2" spans="1:261" x14ac:dyDescent="0.25">
      <c r="A2" s="544" t="s">
        <v>318</v>
      </c>
      <c r="B2" s="545"/>
      <c r="C2" s="546"/>
      <c r="D2" s="546"/>
      <c r="E2" s="546"/>
      <c r="F2" s="546"/>
      <c r="G2" s="546"/>
      <c r="H2" s="546"/>
      <c r="I2" s="546"/>
      <c r="J2" s="546"/>
      <c r="K2" s="546"/>
      <c r="L2" s="546"/>
      <c r="M2" s="546"/>
      <c r="N2" s="546"/>
      <c r="O2" s="546"/>
      <c r="P2" s="546"/>
      <c r="Q2" s="546"/>
      <c r="R2" s="546"/>
      <c r="S2" s="546"/>
      <c r="T2" s="546"/>
      <c r="U2" s="546"/>
      <c r="V2" s="546"/>
      <c r="W2" s="546"/>
      <c r="X2" s="546"/>
      <c r="Y2" s="546"/>
      <c r="Z2" s="546"/>
      <c r="AA2" s="546"/>
      <c r="AB2" s="546"/>
      <c r="AC2" s="546"/>
      <c r="AD2" s="546"/>
      <c r="AE2" s="546"/>
      <c r="AF2" s="546"/>
      <c r="AG2" s="546"/>
      <c r="AH2" s="546"/>
      <c r="AI2" s="546"/>
      <c r="AJ2" t="s">
        <v>319</v>
      </c>
      <c r="AK2" s="547"/>
      <c r="AL2" s="546"/>
      <c r="AM2" s="546"/>
      <c r="AN2" s="546"/>
      <c r="AO2" s="546"/>
      <c r="AP2" s="546"/>
      <c r="AQ2" s="546"/>
      <c r="AR2" s="546"/>
      <c r="AS2" s="546"/>
      <c r="AT2" s="546"/>
      <c r="AU2" s="546"/>
      <c r="AV2" s="546"/>
      <c r="AW2" s="546"/>
      <c r="AX2" s="546"/>
      <c r="AY2" s="546"/>
      <c r="AZ2" s="546"/>
      <c r="BA2" s="546"/>
      <c r="BB2" s="546"/>
      <c r="BC2" s="546"/>
      <c r="BD2" s="546"/>
      <c r="BE2" s="546"/>
      <c r="BF2" s="546"/>
      <c r="BG2" s="546"/>
      <c r="BH2" s="546"/>
      <c r="BI2" s="546"/>
      <c r="BJ2" s="546"/>
      <c r="BK2" s="546"/>
      <c r="BL2" s="546"/>
      <c r="BM2" s="546"/>
      <c r="BN2" s="546"/>
      <c r="BO2" s="546"/>
      <c r="BP2" s="546"/>
      <c r="BQ2" s="546"/>
      <c r="BR2" s="546"/>
      <c r="BS2" s="546"/>
      <c r="BT2" s="546"/>
      <c r="BU2" s="546"/>
      <c r="BV2" s="546"/>
      <c r="BW2" s="546"/>
      <c r="BX2" s="546"/>
      <c r="BY2" s="546"/>
      <c r="BZ2" s="546"/>
      <c r="CA2" s="546"/>
      <c r="CB2" s="546"/>
      <c r="CC2" s="546"/>
      <c r="CD2" s="546"/>
      <c r="CE2" s="546"/>
      <c r="CF2" s="546"/>
      <c r="CG2" s="546"/>
      <c r="CH2" s="546"/>
      <c r="CI2" s="546"/>
      <c r="CJ2" s="546"/>
      <c r="CK2" s="546"/>
      <c r="CL2" s="546"/>
      <c r="CM2" s="546"/>
      <c r="CN2" s="546"/>
      <c r="CO2" s="546"/>
      <c r="CP2" s="546"/>
      <c r="CQ2" s="546"/>
      <c r="CR2" s="546"/>
      <c r="CS2" s="546"/>
      <c r="CT2" s="546"/>
      <c r="CU2" s="546"/>
      <c r="CV2" s="546"/>
      <c r="CW2" s="546"/>
      <c r="CX2" s="546"/>
      <c r="CY2" s="546"/>
      <c r="CZ2" s="546"/>
      <c r="DA2" s="546"/>
      <c r="DB2" s="546"/>
      <c r="DC2" s="546"/>
      <c r="DD2" s="546"/>
      <c r="DE2" s="546"/>
      <c r="DF2" s="546"/>
      <c r="DG2" s="546"/>
      <c r="DH2" s="546"/>
      <c r="DI2" s="546"/>
      <c r="DJ2" s="546"/>
      <c r="DK2" s="546"/>
      <c r="DL2" s="546"/>
      <c r="DM2" s="546"/>
      <c r="DN2" s="546"/>
      <c r="DO2" s="546"/>
      <c r="DP2" s="546"/>
      <c r="DQ2" s="546"/>
      <c r="DR2" s="546"/>
      <c r="DS2" s="546"/>
      <c r="DT2" s="546"/>
      <c r="DU2" s="546"/>
      <c r="DV2" s="546"/>
      <c r="DW2" s="546"/>
      <c r="DX2" s="546"/>
      <c r="DY2" s="546"/>
      <c r="DZ2" s="546"/>
      <c r="EA2" s="546"/>
      <c r="EB2" s="546"/>
      <c r="EC2" s="546"/>
      <c r="ED2" s="546"/>
      <c r="EE2" s="546"/>
      <c r="EF2" s="546"/>
      <c r="EG2" s="546"/>
      <c r="EH2" s="546"/>
      <c r="EI2" s="546"/>
      <c r="EJ2" s="546"/>
      <c r="EK2" s="546"/>
      <c r="EL2" s="546"/>
      <c r="EM2" s="546"/>
      <c r="EN2" s="546"/>
      <c r="EO2" s="546"/>
      <c r="EP2" s="546"/>
      <c r="EQ2" s="546"/>
      <c r="ER2" s="546"/>
      <c r="ES2" s="546"/>
      <c r="ET2" s="546"/>
      <c r="EU2" s="546"/>
      <c r="EV2" s="546"/>
      <c r="EW2" s="546"/>
      <c r="EX2" s="546"/>
      <c r="EY2" s="546"/>
      <c r="EZ2" s="546"/>
      <c r="FA2" s="546"/>
      <c r="FB2" s="546"/>
      <c r="FC2" s="546"/>
      <c r="FD2" s="546"/>
      <c r="FE2" s="546"/>
      <c r="FF2" s="546"/>
      <c r="FG2" s="546"/>
      <c r="FH2" s="546"/>
      <c r="FI2" s="546"/>
      <c r="FJ2" s="546"/>
      <c r="FK2" s="546"/>
      <c r="FL2" s="546"/>
      <c r="FM2" s="546"/>
      <c r="FN2" s="546"/>
      <c r="FO2" s="546"/>
      <c r="FP2" s="546"/>
      <c r="FQ2" s="546"/>
      <c r="FR2" s="546"/>
      <c r="FS2" s="546"/>
      <c r="FT2" s="546"/>
      <c r="FU2" s="546"/>
      <c r="FV2" s="546"/>
      <c r="FW2" s="546"/>
      <c r="FX2" s="546"/>
      <c r="FY2" s="546"/>
      <c r="FZ2" s="546"/>
      <c r="GA2" s="546"/>
      <c r="GB2" s="546"/>
      <c r="GC2" s="546"/>
      <c r="GD2" s="546"/>
      <c r="GE2" s="546"/>
      <c r="GF2" s="546"/>
      <c r="GG2" s="546"/>
      <c r="GH2" s="546"/>
      <c r="GI2" s="546"/>
      <c r="GJ2" s="546"/>
      <c r="GK2" s="546"/>
      <c r="GL2" s="546"/>
      <c r="GM2" s="546"/>
      <c r="GN2" s="546"/>
      <c r="GO2" s="546"/>
      <c r="GP2" s="546"/>
      <c r="GQ2" s="546"/>
      <c r="GR2" s="546"/>
      <c r="GS2" s="546"/>
      <c r="GT2" s="546"/>
      <c r="GU2" s="546"/>
      <c r="GV2" s="546"/>
      <c r="GW2" s="546"/>
      <c r="GX2" s="546"/>
      <c r="GY2" s="546"/>
      <c r="GZ2" s="546"/>
      <c r="HA2" s="546"/>
      <c r="HB2" s="546"/>
      <c r="HC2" s="546"/>
      <c r="HD2" s="546"/>
      <c r="HE2" s="546"/>
      <c r="HF2" s="546"/>
      <c r="HG2" s="546"/>
      <c r="HH2" s="546"/>
      <c r="HI2" s="546"/>
      <c r="HJ2" s="546"/>
      <c r="HK2" s="546"/>
      <c r="HL2" s="546"/>
      <c r="HM2" s="546"/>
      <c r="HN2" s="546"/>
      <c r="HO2" s="546"/>
      <c r="HP2" s="546"/>
      <c r="HQ2" s="546"/>
      <c r="HR2" s="546"/>
      <c r="HS2" s="546"/>
      <c r="HT2" s="546"/>
      <c r="HU2" s="546"/>
      <c r="HV2" s="546"/>
      <c r="HW2" s="546"/>
      <c r="HX2" s="546"/>
      <c r="HY2" s="546"/>
      <c r="HZ2" s="546"/>
      <c r="IA2" s="546"/>
      <c r="IB2" s="546"/>
      <c r="IC2" s="546"/>
      <c r="ID2" s="546"/>
      <c r="IE2" s="546"/>
      <c r="IF2" s="546"/>
      <c r="IG2" s="546"/>
      <c r="IH2" s="546"/>
      <c r="II2" s="546"/>
      <c r="IJ2" s="546"/>
      <c r="IK2" s="546"/>
      <c r="IL2" s="546"/>
      <c r="IM2" s="546"/>
      <c r="IN2" s="546"/>
      <c r="IO2" s="546"/>
      <c r="IP2" s="546"/>
      <c r="IQ2" s="546"/>
      <c r="IR2" s="546"/>
      <c r="IS2" s="546"/>
      <c r="IT2" s="546"/>
      <c r="IU2" s="546"/>
      <c r="IV2" s="546"/>
      <c r="IW2" s="546"/>
      <c r="IX2" s="546"/>
      <c r="IY2" s="546"/>
      <c r="IZ2" s="546"/>
      <c r="JA2" s="546"/>
    </row>
    <row r="3" spans="1:261" x14ac:dyDescent="0.25">
      <c r="A3" s="544" t="s">
        <v>320</v>
      </c>
      <c r="B3" s="545"/>
      <c r="C3" s="546"/>
      <c r="D3" s="546"/>
      <c r="E3" s="546"/>
      <c r="F3" s="546"/>
      <c r="G3" s="546"/>
      <c r="H3" s="546"/>
      <c r="I3" s="546"/>
      <c r="J3" s="546"/>
      <c r="K3" s="546"/>
      <c r="L3" s="546"/>
      <c r="M3" s="546"/>
      <c r="N3" s="546"/>
      <c r="O3" s="546"/>
      <c r="P3" s="546"/>
      <c r="Q3" s="546"/>
      <c r="R3" s="546"/>
      <c r="S3" s="546"/>
      <c r="T3" s="546"/>
      <c r="U3" s="546"/>
      <c r="V3" s="546"/>
      <c r="W3" s="546"/>
      <c r="X3" s="546"/>
      <c r="Y3" s="546"/>
      <c r="Z3" s="546"/>
      <c r="AA3" s="546"/>
      <c r="AB3" s="546"/>
      <c r="AC3" s="546"/>
      <c r="AD3" s="546"/>
      <c r="AE3" s="546"/>
      <c r="AF3" s="546"/>
      <c r="AG3" s="546"/>
      <c r="AH3" s="546"/>
      <c r="AI3" s="546"/>
      <c r="AJ3" t="s">
        <v>321</v>
      </c>
      <c r="AK3" s="547"/>
      <c r="AL3" s="546"/>
      <c r="AM3" s="546"/>
      <c r="AN3" s="546"/>
      <c r="AO3" s="546"/>
      <c r="AP3" s="546"/>
      <c r="AQ3" s="546"/>
      <c r="AR3" s="546"/>
      <c r="AS3" s="546"/>
      <c r="AT3" s="546"/>
      <c r="AU3" s="546"/>
      <c r="AV3" s="546"/>
      <c r="AW3" s="546"/>
      <c r="AX3" s="546"/>
      <c r="AY3" s="546"/>
      <c r="AZ3" s="546"/>
      <c r="BA3" s="546"/>
      <c r="BB3" s="546"/>
      <c r="BC3" s="546"/>
      <c r="BD3" s="546"/>
      <c r="BE3" s="546"/>
      <c r="BF3" s="546"/>
      <c r="BG3" s="546"/>
      <c r="BH3" s="546"/>
      <c r="BI3" s="546"/>
      <c r="BJ3" s="546"/>
      <c r="BK3" s="546"/>
      <c r="BL3" s="546"/>
      <c r="BM3" s="546"/>
      <c r="BN3" s="546"/>
      <c r="BO3" s="546"/>
      <c r="BP3" s="546"/>
      <c r="BQ3" s="546"/>
      <c r="BR3" s="546"/>
      <c r="BS3" s="546"/>
      <c r="BT3" s="546"/>
      <c r="BU3" s="546"/>
      <c r="BV3" s="546"/>
      <c r="BW3" s="546"/>
      <c r="BX3" s="546"/>
      <c r="BY3" s="546"/>
      <c r="BZ3" s="546"/>
      <c r="CA3" s="546"/>
      <c r="CB3" s="546"/>
      <c r="CC3" s="546"/>
      <c r="CD3" s="546"/>
      <c r="CE3" s="546"/>
      <c r="CF3" s="546"/>
      <c r="CG3" s="546"/>
      <c r="CH3" s="546"/>
      <c r="CI3" s="546"/>
      <c r="CJ3" s="546"/>
      <c r="CK3" s="546"/>
      <c r="CL3" s="546"/>
      <c r="CM3" s="546"/>
      <c r="CN3" s="546"/>
      <c r="CO3" s="546"/>
      <c r="CP3" s="546"/>
      <c r="CQ3" s="546"/>
      <c r="CR3" s="546"/>
      <c r="CS3" s="546"/>
      <c r="CT3" s="546"/>
      <c r="CU3" s="546"/>
      <c r="CV3" s="546"/>
      <c r="CW3" s="546"/>
      <c r="CX3" s="546"/>
      <c r="CY3" s="546"/>
      <c r="CZ3" s="546"/>
      <c r="DA3" s="546"/>
      <c r="DB3" s="546"/>
      <c r="DC3" s="546"/>
      <c r="DD3" s="546"/>
      <c r="DE3" s="546"/>
      <c r="DF3" s="546"/>
      <c r="DG3" s="546"/>
      <c r="DH3" s="546"/>
      <c r="DI3" s="546"/>
      <c r="DJ3" s="546"/>
      <c r="DK3" s="546"/>
      <c r="DL3" s="546"/>
      <c r="DM3" s="546"/>
      <c r="DN3" s="546"/>
      <c r="DO3" s="546"/>
      <c r="DP3" s="546"/>
      <c r="DQ3" s="546"/>
      <c r="DR3" s="546"/>
      <c r="DS3" s="546"/>
      <c r="DT3" s="546"/>
      <c r="DU3" s="546"/>
      <c r="DV3" s="546"/>
      <c r="DW3" s="546"/>
      <c r="DX3" s="546"/>
      <c r="DY3" s="546"/>
      <c r="DZ3" s="546"/>
      <c r="EA3" s="546"/>
      <c r="EB3" s="546"/>
      <c r="EC3" s="546"/>
      <c r="ED3" s="546"/>
      <c r="EE3" s="546"/>
      <c r="EF3" s="546"/>
      <c r="EG3" s="546"/>
      <c r="EH3" s="546"/>
      <c r="EI3" s="546"/>
      <c r="EJ3" s="546"/>
      <c r="EK3" s="546"/>
      <c r="EL3" s="546"/>
      <c r="EM3" s="546"/>
      <c r="EN3" s="546"/>
      <c r="EO3" s="546"/>
      <c r="EP3" s="546"/>
      <c r="EQ3" s="546"/>
      <c r="ER3" s="546"/>
      <c r="ES3" s="546"/>
      <c r="ET3" s="546"/>
      <c r="EU3" s="546"/>
      <c r="EV3" s="546"/>
      <c r="EW3" s="546"/>
      <c r="EX3" s="546"/>
      <c r="EY3" s="546"/>
      <c r="EZ3" s="546"/>
      <c r="FA3" s="546"/>
      <c r="FB3" s="546"/>
      <c r="FC3" s="546"/>
      <c r="FD3" s="546"/>
      <c r="FE3" s="546"/>
      <c r="FF3" s="546"/>
      <c r="FG3" s="546"/>
      <c r="FH3" s="546"/>
      <c r="FI3" s="546"/>
      <c r="FJ3" s="546"/>
      <c r="FK3" s="546"/>
      <c r="FL3" s="546"/>
      <c r="FM3" s="546"/>
      <c r="FN3" s="546"/>
      <c r="FO3" s="546"/>
      <c r="FP3" s="546"/>
      <c r="FQ3" s="546"/>
      <c r="FR3" s="546"/>
      <c r="FS3" s="546"/>
      <c r="FT3" s="546"/>
      <c r="FU3" s="546"/>
      <c r="FV3" s="546"/>
      <c r="FW3" s="546"/>
      <c r="FX3" s="546"/>
      <c r="FY3" s="546"/>
      <c r="FZ3" s="546"/>
      <c r="GA3" s="546"/>
      <c r="GB3" s="546"/>
      <c r="GC3" s="546"/>
      <c r="GD3" s="546"/>
      <c r="GE3" s="546"/>
      <c r="GF3" s="546"/>
      <c r="GG3" s="546"/>
      <c r="GH3" s="546"/>
      <c r="GI3" s="546"/>
      <c r="GJ3" s="546"/>
      <c r="GK3" s="546"/>
      <c r="GL3" s="546"/>
      <c r="GM3" s="546"/>
      <c r="GN3" s="546"/>
      <c r="GO3" s="546"/>
      <c r="GP3" s="546"/>
      <c r="GQ3" s="546"/>
      <c r="GR3" s="546"/>
      <c r="GS3" s="546"/>
      <c r="GT3" s="546"/>
      <c r="GU3" s="546"/>
      <c r="GV3" s="546"/>
      <c r="GW3" s="546"/>
      <c r="GX3" s="546"/>
      <c r="GY3" s="546"/>
      <c r="GZ3" s="546"/>
      <c r="HA3" s="546"/>
      <c r="HB3" s="546"/>
      <c r="HC3" s="546"/>
      <c r="HD3" s="546"/>
      <c r="HE3" s="546"/>
      <c r="HF3" s="546"/>
      <c r="HG3" s="546"/>
      <c r="HH3" s="546"/>
      <c r="HI3" s="546"/>
      <c r="HJ3" s="546"/>
      <c r="HK3" s="546"/>
      <c r="HL3" s="546"/>
      <c r="HM3" s="546"/>
      <c r="HN3" s="546"/>
      <c r="HO3" s="546"/>
      <c r="HP3" s="546"/>
      <c r="HQ3" s="546"/>
      <c r="HR3" s="546"/>
      <c r="HS3" s="546"/>
      <c r="HT3" s="546"/>
      <c r="HU3" s="546"/>
      <c r="HV3" s="546"/>
      <c r="HW3" s="546"/>
      <c r="HX3" s="546"/>
      <c r="HY3" s="546"/>
      <c r="HZ3" s="546"/>
      <c r="IA3" s="546"/>
      <c r="IB3" s="546"/>
      <c r="IC3" s="546"/>
      <c r="ID3" s="546"/>
      <c r="IE3" s="546"/>
      <c r="IF3" s="546"/>
      <c r="IG3" s="546"/>
      <c r="IH3" s="546"/>
      <c r="II3" s="546"/>
      <c r="IJ3" s="546"/>
      <c r="IK3" s="546"/>
      <c r="IL3" s="546"/>
      <c r="IM3" s="546"/>
      <c r="IN3" s="546"/>
      <c r="IO3" s="546"/>
      <c r="IP3" s="546"/>
      <c r="IQ3" s="546"/>
      <c r="IR3" s="546"/>
      <c r="IS3" s="546"/>
      <c r="IT3" s="546"/>
      <c r="IU3" s="546"/>
      <c r="IV3" s="546"/>
      <c r="IW3" s="546"/>
      <c r="IX3" s="546"/>
      <c r="IY3" s="546"/>
      <c r="IZ3" s="546"/>
      <c r="JA3" s="546"/>
    </row>
    <row r="4" spans="1:261" ht="21" x14ac:dyDescent="0.35">
      <c r="A4" s="549" t="s">
        <v>322</v>
      </c>
      <c r="B4" s="545"/>
      <c r="C4" s="550"/>
      <c r="D4" s="546"/>
      <c r="E4" s="546"/>
      <c r="F4" s="546"/>
      <c r="G4" s="546"/>
      <c r="H4" s="546"/>
      <c r="I4" s="546"/>
      <c r="J4" s="546"/>
      <c r="K4" s="546"/>
      <c r="L4" s="546"/>
      <c r="M4" s="546"/>
      <c r="N4" s="546"/>
      <c r="O4" s="546"/>
      <c r="P4" s="546"/>
      <c r="Q4" s="546"/>
      <c r="R4" s="546"/>
      <c r="S4" s="546"/>
      <c r="T4" s="546"/>
      <c r="U4" s="546"/>
      <c r="V4" s="546"/>
      <c r="W4" s="546"/>
      <c r="X4" s="546"/>
      <c r="Y4" s="546"/>
      <c r="Z4" s="546"/>
      <c r="AA4" s="546"/>
      <c r="AB4" s="546"/>
      <c r="AC4" s="546"/>
      <c r="AD4" s="546"/>
      <c r="AE4" s="546"/>
      <c r="AF4" s="546"/>
      <c r="AG4" s="546"/>
      <c r="AH4" s="546"/>
      <c r="AI4" s="546"/>
      <c r="AJ4" t="s">
        <v>323</v>
      </c>
      <c r="AK4" s="547"/>
      <c r="AL4" s="546"/>
      <c r="AM4" s="546"/>
      <c r="AN4" s="546"/>
      <c r="AO4" s="546"/>
      <c r="AP4" s="546"/>
      <c r="AQ4" s="546"/>
      <c r="AR4" s="546"/>
      <c r="AS4" s="546"/>
      <c r="AT4" s="546"/>
      <c r="AU4" s="546"/>
      <c r="AV4" s="546"/>
      <c r="AW4" s="546"/>
      <c r="AX4" s="546"/>
      <c r="AY4" s="546"/>
      <c r="AZ4" s="546"/>
      <c r="BA4" s="546"/>
      <c r="BB4" s="546"/>
      <c r="BC4" s="546"/>
      <c r="BD4" s="546"/>
      <c r="BE4" s="546"/>
      <c r="BF4" s="546"/>
      <c r="BG4" s="546"/>
      <c r="BH4" s="546"/>
      <c r="BI4" s="546"/>
      <c r="BJ4" s="546"/>
      <c r="BK4" s="546"/>
      <c r="BL4" s="546"/>
      <c r="BM4" s="546"/>
      <c r="BN4" s="546"/>
      <c r="BO4" s="546"/>
      <c r="BP4" s="546"/>
      <c r="BQ4" s="546"/>
      <c r="BR4" s="546"/>
      <c r="BS4" s="546"/>
      <c r="BT4" s="546"/>
      <c r="BU4" s="546"/>
      <c r="BV4" s="546"/>
      <c r="BW4" s="546"/>
      <c r="BX4" s="546"/>
      <c r="BY4" s="546"/>
      <c r="BZ4" s="546"/>
      <c r="CA4" s="546"/>
      <c r="CB4" s="546"/>
      <c r="CC4" s="546"/>
      <c r="CD4" s="546"/>
      <c r="CE4" s="546"/>
      <c r="CF4" s="546"/>
      <c r="CG4" s="546"/>
      <c r="CH4" s="546"/>
      <c r="CI4" s="546"/>
      <c r="CJ4" s="546"/>
      <c r="CK4" s="546"/>
      <c r="CL4" s="546"/>
      <c r="CM4" s="546"/>
      <c r="CN4" s="546"/>
      <c r="CO4" s="546"/>
      <c r="CP4" s="546"/>
      <c r="CQ4" s="546"/>
      <c r="CR4" s="546"/>
      <c r="CS4" s="546"/>
      <c r="CT4" s="546"/>
      <c r="CU4" s="546"/>
      <c r="CV4" s="546"/>
      <c r="CW4" s="546"/>
      <c r="CX4" s="546"/>
      <c r="CY4" s="546"/>
      <c r="CZ4" s="546"/>
      <c r="DA4" s="546"/>
      <c r="DB4" s="546"/>
      <c r="DC4" s="546"/>
      <c r="DD4" s="546"/>
      <c r="DE4" s="546"/>
      <c r="DF4" s="546"/>
      <c r="DG4" s="546"/>
      <c r="DH4" s="546"/>
      <c r="DI4" s="546"/>
      <c r="DJ4" s="546"/>
      <c r="DK4" s="546"/>
      <c r="DL4" s="546"/>
      <c r="DM4" s="546"/>
      <c r="DN4" s="546"/>
      <c r="DO4" s="546"/>
      <c r="DP4" s="546"/>
      <c r="DQ4" s="546"/>
      <c r="DR4" s="546"/>
      <c r="DS4" s="546"/>
      <c r="DT4" s="546"/>
      <c r="DU4" s="546"/>
      <c r="DV4" s="546"/>
      <c r="DW4" s="546"/>
      <c r="DX4" s="546"/>
      <c r="DY4" s="546"/>
      <c r="DZ4" s="546"/>
      <c r="EA4" s="546"/>
      <c r="EB4" s="546"/>
      <c r="EC4" s="546"/>
      <c r="ED4" s="546"/>
      <c r="EE4" s="546"/>
      <c r="EF4" s="546"/>
      <c r="EG4" s="546"/>
      <c r="EH4" s="546"/>
      <c r="EI4" s="546"/>
      <c r="EJ4" s="546"/>
      <c r="EK4" s="546"/>
      <c r="EL4" s="546"/>
      <c r="EM4" s="546"/>
      <c r="EN4" s="546"/>
      <c r="EO4" s="546"/>
      <c r="EP4" s="546"/>
      <c r="EQ4" s="546"/>
      <c r="ER4" s="546"/>
      <c r="ES4" s="546"/>
      <c r="ET4" s="546"/>
      <c r="EU4" s="546"/>
      <c r="EV4" s="546"/>
      <c r="EW4" s="546"/>
      <c r="EX4" s="546"/>
      <c r="EY4" s="546"/>
      <c r="EZ4" s="546"/>
      <c r="FA4" s="546"/>
      <c r="FB4" s="546"/>
      <c r="FC4" s="546"/>
      <c r="FD4" s="546"/>
      <c r="FE4" s="546"/>
      <c r="FF4" s="546"/>
      <c r="FG4" s="546"/>
      <c r="FH4" s="546"/>
      <c r="FI4" s="546"/>
      <c r="FJ4" s="546"/>
      <c r="FK4" s="546"/>
      <c r="FL4" s="546"/>
      <c r="FM4" s="546"/>
      <c r="FN4" s="546"/>
      <c r="FO4" s="546"/>
      <c r="FP4" s="546"/>
      <c r="FQ4" s="546"/>
      <c r="FR4" s="546"/>
      <c r="FS4" s="546"/>
      <c r="FT4" s="546"/>
      <c r="FU4" s="546"/>
      <c r="FV4" s="546"/>
      <c r="FW4" s="546"/>
      <c r="FX4" s="546"/>
      <c r="FY4" s="546"/>
      <c r="FZ4" s="546"/>
      <c r="GA4" s="546"/>
      <c r="GB4" s="546"/>
      <c r="GC4" s="546"/>
      <c r="GD4" s="546"/>
      <c r="GE4" s="546"/>
      <c r="GF4" s="546"/>
      <c r="GG4" s="546"/>
      <c r="GH4" s="546"/>
      <c r="GI4" s="546"/>
      <c r="GJ4" s="546"/>
      <c r="GK4" s="546"/>
      <c r="GL4" s="546"/>
      <c r="GM4" s="546"/>
      <c r="GN4" s="546"/>
      <c r="GO4" s="546"/>
      <c r="GP4" s="546"/>
      <c r="GQ4" s="546"/>
      <c r="GR4" s="546"/>
      <c r="GS4" s="546"/>
      <c r="GT4" s="546"/>
      <c r="GU4" s="546"/>
      <c r="GV4" s="546"/>
      <c r="GW4" s="546"/>
      <c r="GX4" s="546"/>
      <c r="GY4" s="546"/>
      <c r="GZ4" s="546"/>
      <c r="HA4" s="546"/>
      <c r="HB4" s="546"/>
      <c r="HC4" s="546"/>
      <c r="HD4" s="546"/>
      <c r="HE4" s="546"/>
      <c r="HF4" s="546"/>
      <c r="HG4" s="546"/>
      <c r="HH4" s="546"/>
      <c r="HI4" s="546"/>
      <c r="HJ4" s="546"/>
      <c r="HK4" s="546"/>
      <c r="HL4" s="546"/>
      <c r="HM4" s="546"/>
      <c r="HN4" s="546"/>
      <c r="HO4" s="546"/>
      <c r="HP4" s="546"/>
      <c r="HQ4" s="546"/>
      <c r="HR4" s="546"/>
      <c r="HS4" s="546"/>
      <c r="HT4" s="546"/>
      <c r="HU4" s="546"/>
      <c r="HV4" s="546"/>
      <c r="HW4" s="546"/>
      <c r="HX4" s="546"/>
      <c r="HY4" s="546"/>
      <c r="HZ4" s="546"/>
      <c r="IA4" s="546"/>
      <c r="IB4" s="546"/>
      <c r="IC4" s="546"/>
      <c r="ID4" s="546"/>
      <c r="IE4" s="546"/>
      <c r="IF4" s="546"/>
      <c r="IG4" s="546"/>
      <c r="IH4" s="546"/>
      <c r="II4" s="546"/>
      <c r="IJ4" s="546"/>
      <c r="IK4" s="546"/>
      <c r="IL4" s="546"/>
      <c r="IM4" s="546"/>
      <c r="IN4" s="546"/>
      <c r="IO4" s="546"/>
      <c r="IP4" s="546"/>
      <c r="IQ4" s="546"/>
      <c r="IR4" s="546"/>
      <c r="IS4" s="546"/>
      <c r="IT4" s="546"/>
      <c r="IU4" s="546"/>
      <c r="IV4" s="546"/>
      <c r="IW4" s="546"/>
      <c r="IX4" s="546"/>
      <c r="IY4" s="546"/>
      <c r="IZ4" s="546"/>
      <c r="JA4" s="546"/>
    </row>
    <row r="5" spans="1:261" ht="21" x14ac:dyDescent="0.35">
      <c r="A5" s="549"/>
      <c r="B5" s="545"/>
      <c r="C5" s="550"/>
      <c r="D5" s="546"/>
      <c r="E5" s="546"/>
      <c r="F5" s="546"/>
      <c r="G5" s="546"/>
      <c r="H5" s="546"/>
      <c r="I5" s="545"/>
      <c r="J5" s="546"/>
      <c r="K5" s="546"/>
      <c r="L5" s="546"/>
      <c r="M5" s="546"/>
      <c r="N5" s="546"/>
      <c r="O5" s="546"/>
      <c r="P5" s="546"/>
      <c r="Q5" s="546"/>
      <c r="R5" s="546"/>
      <c r="S5" s="546"/>
      <c r="T5" s="546"/>
      <c r="U5" s="546"/>
      <c r="V5" s="546"/>
      <c r="W5" s="546"/>
      <c r="X5" s="546"/>
      <c r="Y5" s="546"/>
      <c r="Z5" s="546"/>
      <c r="AA5" s="546"/>
      <c r="AB5" s="546"/>
      <c r="AC5" s="546"/>
      <c r="AD5" s="546"/>
      <c r="AE5" s="546"/>
      <c r="AF5" s="546"/>
      <c r="AG5" s="546"/>
      <c r="AH5" s="551" t="s">
        <v>324</v>
      </c>
      <c r="AI5" s="545"/>
      <c r="AJ5" t="s">
        <v>325</v>
      </c>
      <c r="AK5" s="547"/>
      <c r="AL5" s="545"/>
      <c r="AM5" s="545"/>
      <c r="AN5" s="545"/>
      <c r="AO5" s="545"/>
      <c r="AP5" s="545"/>
      <c r="AQ5" s="545"/>
      <c r="AR5" s="545"/>
      <c r="AS5" s="545"/>
      <c r="AT5" s="545"/>
      <c r="AU5" s="545"/>
      <c r="AV5" s="545"/>
      <c r="AW5" s="545"/>
      <c r="AX5" s="545"/>
      <c r="AY5" s="545"/>
      <c r="AZ5" s="545"/>
      <c r="BA5" s="545"/>
      <c r="BB5" s="545"/>
      <c r="BC5" s="545"/>
      <c r="BD5" s="545"/>
      <c r="BE5" s="545"/>
      <c r="BF5" s="545"/>
      <c r="BG5" s="545"/>
      <c r="BH5" s="545"/>
      <c r="BI5" s="545"/>
      <c r="BJ5" s="545"/>
      <c r="BK5" s="545"/>
      <c r="BL5" s="545"/>
      <c r="BM5" s="545"/>
      <c r="BN5" s="545"/>
      <c r="BO5" s="545"/>
      <c r="BP5" s="545"/>
      <c r="BQ5" s="545"/>
      <c r="BR5" s="545"/>
      <c r="BS5" s="545"/>
      <c r="BT5" s="545"/>
      <c r="BU5" s="545"/>
      <c r="BV5" s="545"/>
      <c r="BW5" s="545"/>
      <c r="BX5" s="545"/>
      <c r="BY5" s="545"/>
      <c r="BZ5" s="545"/>
      <c r="CA5" s="545"/>
      <c r="CB5" s="545"/>
      <c r="CC5" s="545"/>
      <c r="CD5" s="545"/>
      <c r="CE5" s="545"/>
      <c r="CF5" s="545"/>
      <c r="CG5" s="545"/>
      <c r="CH5" s="545"/>
      <c r="CI5" s="545"/>
      <c r="CJ5" s="545"/>
      <c r="CK5" s="545"/>
      <c r="CL5" s="545"/>
      <c r="CM5" s="545"/>
      <c r="CN5" s="545"/>
      <c r="CO5" s="545"/>
      <c r="CP5" s="545"/>
      <c r="CQ5" s="545"/>
      <c r="CR5" s="545"/>
      <c r="CS5" s="545"/>
      <c r="CT5" s="545"/>
      <c r="CU5" s="545"/>
      <c r="CV5" s="545"/>
      <c r="CW5" s="545"/>
      <c r="CX5" s="545"/>
      <c r="CY5" s="545"/>
      <c r="CZ5" s="545"/>
      <c r="DA5" s="545"/>
      <c r="DB5" s="545"/>
      <c r="DC5" s="545"/>
      <c r="DD5" s="545"/>
      <c r="DE5" s="545"/>
      <c r="DF5" s="545"/>
      <c r="DG5" s="545"/>
      <c r="DH5" s="545"/>
      <c r="DI5" s="545"/>
      <c r="DJ5" s="545"/>
      <c r="DK5" s="545"/>
      <c r="DL5" s="545"/>
      <c r="DM5" s="545"/>
      <c r="DN5" s="545"/>
      <c r="DO5" s="545"/>
      <c r="DP5" s="545"/>
      <c r="DQ5" s="545"/>
      <c r="DR5" s="545"/>
      <c r="DS5" s="545"/>
      <c r="DT5" s="545"/>
      <c r="DU5" s="545"/>
      <c r="DV5" s="545"/>
      <c r="DW5" s="545"/>
      <c r="DX5" s="545"/>
      <c r="DY5" s="545"/>
      <c r="DZ5" s="545"/>
      <c r="EA5" s="545"/>
      <c r="EB5" s="545"/>
      <c r="EC5" s="545"/>
      <c r="ED5" s="545"/>
      <c r="EE5" s="545"/>
      <c r="EF5" s="545"/>
      <c r="EG5" s="545"/>
      <c r="EH5" s="545"/>
      <c r="EI5" s="545"/>
      <c r="EJ5" s="545"/>
      <c r="EK5" s="545"/>
      <c r="EL5" s="545"/>
      <c r="EM5" s="545"/>
      <c r="EN5" s="545"/>
      <c r="EO5" s="545"/>
      <c r="EP5" s="545"/>
      <c r="EQ5" s="545"/>
      <c r="ER5" s="545"/>
      <c r="ES5" s="545"/>
      <c r="ET5" s="545"/>
      <c r="EU5" s="545"/>
      <c r="EV5" s="545"/>
      <c r="EW5" s="545"/>
      <c r="EX5" s="545"/>
      <c r="EY5" s="545"/>
      <c r="EZ5" s="545"/>
      <c r="FA5" s="545"/>
      <c r="FB5" s="545"/>
      <c r="FC5" s="545"/>
      <c r="FD5" s="545"/>
      <c r="FE5" s="545"/>
      <c r="FF5" s="545"/>
      <c r="FG5" s="545"/>
      <c r="FH5" s="545"/>
      <c r="FI5" s="545"/>
      <c r="FJ5" s="545"/>
      <c r="FK5" s="545"/>
      <c r="FL5" s="545"/>
      <c r="FM5" s="545"/>
      <c r="FN5" s="545"/>
      <c r="FO5" s="545"/>
      <c r="FP5" s="545"/>
      <c r="FQ5" s="545"/>
      <c r="FR5" s="545"/>
      <c r="FS5" s="545"/>
      <c r="FT5" s="545"/>
      <c r="FU5" s="545"/>
      <c r="FV5" s="545"/>
      <c r="FW5" s="545"/>
      <c r="FX5" s="545"/>
      <c r="FY5" s="545"/>
      <c r="FZ5" s="545"/>
      <c r="GA5" s="545"/>
      <c r="GB5" s="545"/>
      <c r="GC5" s="545"/>
      <c r="GD5" s="545"/>
      <c r="GE5" s="545"/>
      <c r="GF5" s="545"/>
      <c r="GG5" s="545"/>
      <c r="GH5" s="545"/>
      <c r="GI5" s="545"/>
      <c r="GJ5" s="545"/>
      <c r="GK5" s="545"/>
      <c r="GL5" s="545"/>
      <c r="GM5" s="545"/>
      <c r="GN5" s="545"/>
      <c r="GO5" s="545"/>
      <c r="GP5" s="545"/>
      <c r="GQ5" s="545"/>
      <c r="GR5" s="545"/>
      <c r="GS5" s="545"/>
      <c r="GT5" s="545"/>
      <c r="GU5" s="545"/>
      <c r="GV5" s="545"/>
      <c r="GW5" s="545"/>
      <c r="GX5" s="545"/>
      <c r="GY5" s="545"/>
      <c r="GZ5" s="545"/>
      <c r="HA5" s="545"/>
      <c r="HB5" s="545"/>
      <c r="HC5" s="545"/>
      <c r="HD5" s="545"/>
      <c r="HE5" s="545"/>
      <c r="HF5" s="545"/>
      <c r="HG5" s="545"/>
      <c r="HH5" s="545"/>
      <c r="HI5" s="545"/>
      <c r="HJ5" s="545"/>
      <c r="HK5" s="545"/>
      <c r="HL5" s="545"/>
      <c r="HM5" s="545"/>
      <c r="HN5" s="545"/>
      <c r="HO5" s="545"/>
      <c r="HP5" s="545"/>
      <c r="HQ5" s="545"/>
      <c r="HR5" s="545"/>
      <c r="HS5" s="545"/>
      <c r="HT5" s="545"/>
      <c r="HU5" s="545"/>
      <c r="HV5" s="545"/>
      <c r="HW5" s="545"/>
      <c r="HX5" s="545"/>
      <c r="HY5" s="545"/>
      <c r="HZ5" s="545"/>
      <c r="IA5" s="545"/>
      <c r="IB5" s="545"/>
      <c r="IC5" s="545"/>
      <c r="ID5" s="545"/>
      <c r="IE5" s="545"/>
      <c r="IF5" s="545"/>
      <c r="IG5" s="545"/>
      <c r="IH5" s="545"/>
      <c r="II5" s="545"/>
      <c r="IJ5" s="545"/>
      <c r="IK5" s="545"/>
      <c r="IL5" s="545"/>
      <c r="IM5" s="545"/>
      <c r="IN5" s="545"/>
      <c r="IO5" s="545"/>
      <c r="IP5" s="545"/>
      <c r="IQ5" s="545"/>
      <c r="IR5" s="545"/>
      <c r="IS5" s="545"/>
      <c r="IT5" s="545"/>
      <c r="IU5" s="545"/>
      <c r="IV5" s="545"/>
      <c r="IW5" s="545"/>
      <c r="IX5" s="545"/>
      <c r="IY5" s="545"/>
      <c r="IZ5" s="545"/>
      <c r="JA5" s="545"/>
    </row>
    <row r="6" spans="1:261" ht="21" x14ac:dyDescent="0.35">
      <c r="A6" s="549"/>
      <c r="B6" s="545"/>
      <c r="C6" s="550"/>
      <c r="D6" s="546"/>
      <c r="E6" s="546"/>
      <c r="F6" s="546"/>
      <c r="G6" s="546"/>
      <c r="H6" s="546"/>
      <c r="I6" s="546"/>
      <c r="J6" s="546"/>
      <c r="K6" s="546"/>
      <c r="L6" s="546"/>
      <c r="M6" s="546"/>
      <c r="N6" s="546"/>
      <c r="O6" s="546"/>
      <c r="P6" s="546"/>
      <c r="Q6" s="546"/>
      <c r="R6" s="546"/>
      <c r="S6" s="546"/>
      <c r="T6" s="546"/>
      <c r="U6" s="546"/>
      <c r="V6" s="546"/>
      <c r="W6" s="546"/>
      <c r="X6" s="546"/>
      <c r="Y6" s="546"/>
      <c r="Z6" s="546"/>
      <c r="AA6" s="546"/>
      <c r="AB6" s="546"/>
      <c r="AC6" s="546"/>
      <c r="AD6" s="546"/>
      <c r="AE6" s="546"/>
      <c r="AF6" s="546"/>
      <c r="AG6" s="546"/>
      <c r="AH6" s="551" t="s">
        <v>326</v>
      </c>
      <c r="AI6" s="546"/>
      <c r="AJ6" t="s">
        <v>327</v>
      </c>
      <c r="AK6" s="547"/>
      <c r="AL6" s="546"/>
      <c r="AM6" s="546"/>
      <c r="AN6" s="546"/>
      <c r="AO6" s="546"/>
      <c r="AP6" s="546"/>
      <c r="AQ6" s="546"/>
      <c r="AR6" s="546"/>
      <c r="AS6" s="546"/>
      <c r="AT6" s="546"/>
      <c r="AU6" s="546"/>
      <c r="AV6" s="546"/>
      <c r="AW6" s="546"/>
      <c r="AX6" s="546"/>
      <c r="AY6" s="546"/>
      <c r="AZ6" s="546"/>
      <c r="BA6" s="546"/>
      <c r="BB6" s="546"/>
      <c r="BC6" s="546"/>
      <c r="BD6" s="546"/>
      <c r="BE6" s="546"/>
      <c r="BF6" s="546"/>
      <c r="BG6" s="546"/>
      <c r="BH6" s="546"/>
      <c r="BI6" s="546"/>
      <c r="BJ6" s="546"/>
      <c r="BK6" s="546"/>
      <c r="BL6" s="546"/>
      <c r="BM6" s="546"/>
      <c r="BN6" s="546"/>
      <c r="BO6" s="546"/>
      <c r="BP6" s="546"/>
      <c r="BQ6" s="546"/>
      <c r="BR6" s="546"/>
      <c r="BS6" s="546"/>
      <c r="BT6" s="546"/>
      <c r="BU6" s="546"/>
      <c r="BV6" s="546"/>
      <c r="BW6" s="546"/>
      <c r="BX6" s="546"/>
      <c r="BY6" s="546"/>
      <c r="BZ6" s="546"/>
      <c r="CA6" s="546"/>
      <c r="CB6" s="546"/>
      <c r="CC6" s="546"/>
      <c r="CD6" s="546"/>
      <c r="CE6" s="546"/>
      <c r="CF6" s="546"/>
      <c r="CG6" s="546"/>
      <c r="CH6" s="546"/>
      <c r="CI6" s="546"/>
      <c r="CJ6" s="546"/>
      <c r="CK6" s="546"/>
      <c r="CL6" s="546"/>
      <c r="CM6" s="546"/>
      <c r="CN6" s="546"/>
      <c r="CO6" s="546"/>
      <c r="CP6" s="546"/>
      <c r="CQ6" s="546"/>
      <c r="CR6" s="546"/>
      <c r="CS6" s="546"/>
      <c r="CT6" s="546"/>
      <c r="CU6" s="546"/>
      <c r="CV6" s="546"/>
      <c r="CW6" s="546"/>
      <c r="CX6" s="546"/>
      <c r="CY6" s="546"/>
      <c r="CZ6" s="546"/>
      <c r="DA6" s="546"/>
      <c r="DB6" s="546"/>
      <c r="DC6" s="546"/>
      <c r="DD6" s="546"/>
      <c r="DE6" s="546"/>
      <c r="DF6" s="546"/>
      <c r="DG6" s="546"/>
      <c r="DH6" s="546"/>
      <c r="DI6" s="546"/>
      <c r="DJ6" s="546"/>
      <c r="DK6" s="546"/>
      <c r="DL6" s="546"/>
      <c r="DM6" s="546"/>
      <c r="DN6" s="546"/>
      <c r="DO6" s="546"/>
      <c r="DP6" s="546"/>
      <c r="DQ6" s="546"/>
      <c r="DR6" s="546"/>
      <c r="DS6" s="546"/>
      <c r="DT6" s="546"/>
      <c r="DU6" s="546"/>
      <c r="DV6" s="546"/>
      <c r="DW6" s="546"/>
      <c r="DX6" s="546"/>
      <c r="DY6" s="546"/>
      <c r="DZ6" s="546"/>
      <c r="EA6" s="546"/>
      <c r="EB6" s="546"/>
      <c r="EC6" s="546"/>
      <c r="ED6" s="546"/>
      <c r="EE6" s="546"/>
      <c r="EF6" s="546"/>
      <c r="EG6" s="546"/>
      <c r="EH6" s="546"/>
      <c r="EI6" s="546"/>
      <c r="EJ6" s="546"/>
      <c r="EK6" s="546"/>
      <c r="EL6" s="546"/>
      <c r="EM6" s="546"/>
      <c r="EN6" s="546"/>
      <c r="EO6" s="546"/>
      <c r="EP6" s="546"/>
      <c r="EQ6" s="546"/>
      <c r="ER6" s="546"/>
      <c r="ES6" s="546"/>
      <c r="ET6" s="546"/>
      <c r="EU6" s="546"/>
      <c r="EV6" s="546"/>
      <c r="EW6" s="546"/>
      <c r="EX6" s="546"/>
      <c r="EY6" s="546"/>
      <c r="EZ6" s="546"/>
      <c r="FA6" s="546"/>
      <c r="FB6" s="546"/>
      <c r="FC6" s="546"/>
      <c r="FD6" s="546"/>
      <c r="FE6" s="546"/>
      <c r="FF6" s="546"/>
      <c r="FG6" s="546"/>
      <c r="FH6" s="546"/>
      <c r="FI6" s="546"/>
      <c r="FJ6" s="546"/>
      <c r="FK6" s="546"/>
      <c r="FL6" s="546"/>
      <c r="FM6" s="546"/>
      <c r="FN6" s="546"/>
      <c r="FO6" s="546"/>
      <c r="FP6" s="546"/>
      <c r="FQ6" s="546"/>
      <c r="FR6" s="546"/>
      <c r="FS6" s="546"/>
      <c r="FT6" s="546"/>
      <c r="FU6" s="546"/>
      <c r="FV6" s="546"/>
      <c r="FW6" s="546"/>
      <c r="FX6" s="546"/>
      <c r="FY6" s="546"/>
      <c r="FZ6" s="546"/>
      <c r="GA6" s="546"/>
      <c r="GB6" s="546"/>
      <c r="GC6" s="546"/>
      <c r="GD6" s="546"/>
      <c r="GE6" s="546"/>
      <c r="GF6" s="546"/>
      <c r="GG6" s="546"/>
      <c r="GH6" s="546"/>
      <c r="GI6" s="546"/>
      <c r="GJ6" s="546"/>
      <c r="GK6" s="546"/>
      <c r="GL6" s="546"/>
      <c r="GM6" s="546"/>
      <c r="GN6" s="546"/>
      <c r="GO6" s="546"/>
      <c r="GP6" s="546"/>
      <c r="GQ6" s="546"/>
      <c r="GR6" s="546"/>
      <c r="GS6" s="546"/>
      <c r="GT6" s="546"/>
      <c r="GU6" s="546"/>
      <c r="GV6" s="546"/>
      <c r="GW6" s="546"/>
      <c r="GX6" s="546"/>
      <c r="GY6" s="546"/>
      <c r="GZ6" s="546"/>
      <c r="HA6" s="546"/>
      <c r="HB6" s="546"/>
      <c r="HC6" s="546"/>
      <c r="HD6" s="546"/>
      <c r="HE6" s="546"/>
      <c r="HF6" s="546"/>
      <c r="HG6" s="546"/>
      <c r="HH6" s="546"/>
      <c r="HI6" s="546"/>
      <c r="HJ6" s="546"/>
      <c r="HK6" s="546"/>
      <c r="HL6" s="546"/>
      <c r="HM6" s="546"/>
      <c r="HN6" s="546"/>
      <c r="HO6" s="546"/>
      <c r="HP6" s="546"/>
      <c r="HQ6" s="546"/>
      <c r="HR6" s="546"/>
      <c r="HS6" s="546"/>
      <c r="HT6" s="546"/>
      <c r="HU6" s="546"/>
      <c r="HV6" s="546"/>
      <c r="HW6" s="546"/>
      <c r="HX6" s="546"/>
      <c r="HY6" s="546"/>
      <c r="HZ6" s="546"/>
      <c r="IA6" s="546"/>
      <c r="IB6" s="546"/>
      <c r="IC6" s="546"/>
      <c r="ID6" s="546"/>
      <c r="IE6" s="546"/>
      <c r="IF6" s="546"/>
      <c r="IG6" s="546"/>
      <c r="IH6" s="546"/>
      <c r="II6" s="546"/>
      <c r="IJ6" s="546"/>
      <c r="IK6" s="546"/>
      <c r="IL6" s="546"/>
      <c r="IM6" s="546"/>
      <c r="IN6" s="546"/>
      <c r="IO6" s="546"/>
      <c r="IP6" s="546"/>
      <c r="IQ6" s="546"/>
      <c r="IR6" s="546"/>
      <c r="IS6" s="546"/>
      <c r="IT6" s="546"/>
      <c r="IU6" s="546"/>
      <c r="IV6" s="546"/>
      <c r="IW6" s="546"/>
      <c r="IX6" s="546"/>
      <c r="IY6" s="546"/>
      <c r="IZ6" s="546"/>
      <c r="JA6" s="546"/>
    </row>
    <row r="7" spans="1:261" ht="21" x14ac:dyDescent="0.35">
      <c r="A7" s="549"/>
      <c r="B7" s="545"/>
      <c r="C7" s="550"/>
      <c r="D7" s="546"/>
      <c r="E7" s="546"/>
      <c r="F7" s="546"/>
      <c r="G7" s="546"/>
      <c r="H7" s="546"/>
      <c r="I7" s="546"/>
      <c r="J7" s="546"/>
      <c r="K7" s="546"/>
      <c r="L7" s="546"/>
      <c r="M7" s="546"/>
      <c r="N7" s="546"/>
      <c r="O7" s="546"/>
      <c r="P7" s="546"/>
      <c r="Q7" s="546"/>
      <c r="R7" s="546"/>
      <c r="S7" s="546"/>
      <c r="T7" s="546"/>
      <c r="U7" s="546"/>
      <c r="V7" s="546"/>
      <c r="W7" s="546"/>
      <c r="X7" s="546"/>
      <c r="Y7" s="546"/>
      <c r="Z7" s="546"/>
      <c r="AA7" s="546"/>
      <c r="AB7" s="546"/>
      <c r="AC7" s="546"/>
      <c r="AD7" s="546"/>
      <c r="AE7" s="546"/>
      <c r="AF7" s="546"/>
      <c r="AG7" s="546"/>
      <c r="AH7" s="551" t="s">
        <v>328</v>
      </c>
      <c r="AI7" s="546"/>
      <c r="AJ7" t="s">
        <v>329</v>
      </c>
      <c r="AK7" s="547"/>
      <c r="AL7" s="546"/>
      <c r="AM7" s="546"/>
      <c r="AN7" s="546"/>
      <c r="AO7" s="546"/>
      <c r="AP7" s="546"/>
      <c r="AQ7" s="546"/>
      <c r="AR7" s="546"/>
      <c r="AS7" s="546"/>
      <c r="AT7" s="546"/>
      <c r="AU7" s="546"/>
      <c r="AV7" s="546"/>
      <c r="AW7" s="546"/>
      <c r="AX7" s="546"/>
      <c r="AY7" s="546"/>
      <c r="AZ7" s="546"/>
      <c r="BA7" s="546"/>
      <c r="BB7" s="546"/>
      <c r="BC7" s="546"/>
      <c r="BD7" s="546"/>
      <c r="BE7" s="546"/>
      <c r="BF7" s="546"/>
      <c r="BG7" s="546"/>
      <c r="BH7" s="546"/>
      <c r="BI7" s="546"/>
      <c r="BJ7" s="546"/>
      <c r="BK7" s="546"/>
      <c r="BL7" s="546"/>
      <c r="BM7" s="546"/>
      <c r="BN7" s="546"/>
      <c r="BO7" s="546"/>
      <c r="BP7" s="546"/>
      <c r="BQ7" s="546"/>
      <c r="BR7" s="546"/>
      <c r="BS7" s="546"/>
      <c r="BT7" s="546"/>
      <c r="BU7" s="546"/>
      <c r="BV7" s="546"/>
      <c r="BW7" s="546"/>
      <c r="BX7" s="546"/>
      <c r="BY7" s="546"/>
      <c r="BZ7" s="546"/>
      <c r="CA7" s="546"/>
      <c r="CB7" s="546"/>
      <c r="CC7" s="546"/>
      <c r="CD7" s="546"/>
      <c r="CE7" s="546"/>
      <c r="CF7" s="546"/>
      <c r="CG7" s="546"/>
      <c r="CH7" s="546"/>
      <c r="CI7" s="546"/>
      <c r="CJ7" s="546"/>
      <c r="CK7" s="546"/>
      <c r="CL7" s="546"/>
      <c r="CM7" s="546"/>
      <c r="CN7" s="546"/>
      <c r="CO7" s="546"/>
      <c r="CP7" s="546"/>
      <c r="CQ7" s="546"/>
      <c r="CR7" s="546"/>
      <c r="CS7" s="546"/>
      <c r="CT7" s="546"/>
      <c r="CU7" s="546"/>
      <c r="CV7" s="546"/>
      <c r="CW7" s="546"/>
      <c r="CX7" s="546"/>
      <c r="CY7" s="546"/>
      <c r="CZ7" s="546"/>
      <c r="DA7" s="546"/>
      <c r="DB7" s="546"/>
      <c r="DC7" s="546"/>
      <c r="DD7" s="546"/>
      <c r="DE7" s="546"/>
      <c r="DF7" s="546"/>
      <c r="DG7" s="546"/>
      <c r="DH7" s="546"/>
      <c r="DI7" s="546"/>
      <c r="DJ7" s="546"/>
      <c r="DK7" s="546"/>
      <c r="DL7" s="546"/>
      <c r="DM7" s="546"/>
      <c r="DN7" s="546"/>
      <c r="DO7" s="546"/>
      <c r="DP7" s="546"/>
      <c r="DQ7" s="546"/>
      <c r="DR7" s="546"/>
      <c r="DS7" s="546"/>
      <c r="DT7" s="546"/>
      <c r="DU7" s="546"/>
      <c r="DV7" s="546"/>
      <c r="DW7" s="546"/>
      <c r="DX7" s="546"/>
      <c r="DY7" s="546"/>
      <c r="DZ7" s="546"/>
      <c r="EA7" s="546"/>
      <c r="EB7" s="546"/>
      <c r="EC7" s="546"/>
      <c r="ED7" s="546"/>
      <c r="EE7" s="546"/>
      <c r="EF7" s="546"/>
      <c r="EG7" s="546"/>
      <c r="EH7" s="546"/>
      <c r="EI7" s="546"/>
      <c r="EJ7" s="546"/>
      <c r="EK7" s="546"/>
      <c r="EL7" s="546"/>
      <c r="EM7" s="546"/>
      <c r="EN7" s="546"/>
      <c r="EO7" s="546"/>
      <c r="EP7" s="546"/>
      <c r="EQ7" s="546"/>
      <c r="ER7" s="546"/>
      <c r="ES7" s="546"/>
      <c r="ET7" s="546"/>
      <c r="EU7" s="546"/>
      <c r="EV7" s="546"/>
      <c r="EW7" s="546"/>
      <c r="EX7" s="546"/>
      <c r="EY7" s="546"/>
      <c r="EZ7" s="546"/>
      <c r="FA7" s="546"/>
      <c r="FB7" s="546"/>
      <c r="FC7" s="546"/>
      <c r="FD7" s="546"/>
      <c r="FE7" s="546"/>
      <c r="FF7" s="546"/>
      <c r="FG7" s="546"/>
      <c r="FH7" s="546"/>
      <c r="FI7" s="546"/>
      <c r="FJ7" s="546"/>
      <c r="FK7" s="546"/>
      <c r="FL7" s="546"/>
      <c r="FM7" s="546"/>
      <c r="FN7" s="546"/>
      <c r="FO7" s="546"/>
      <c r="FP7" s="546"/>
      <c r="FQ7" s="546"/>
      <c r="FR7" s="546"/>
      <c r="FS7" s="546"/>
      <c r="FT7" s="546"/>
      <c r="FU7" s="546"/>
      <c r="FV7" s="546"/>
      <c r="FW7" s="546"/>
      <c r="FX7" s="546"/>
      <c r="FY7" s="546"/>
      <c r="FZ7" s="546"/>
      <c r="GA7" s="546"/>
      <c r="GB7" s="546"/>
      <c r="GC7" s="546"/>
      <c r="GD7" s="546"/>
      <c r="GE7" s="546"/>
      <c r="GF7" s="546"/>
      <c r="GG7" s="546"/>
      <c r="GH7" s="546"/>
      <c r="GI7" s="546"/>
      <c r="GJ7" s="546"/>
      <c r="GK7" s="546"/>
      <c r="GL7" s="546"/>
      <c r="GM7" s="546"/>
      <c r="GN7" s="546"/>
      <c r="GO7" s="546"/>
      <c r="GP7" s="546"/>
      <c r="GQ7" s="546"/>
      <c r="GR7" s="546"/>
      <c r="GS7" s="546"/>
      <c r="GT7" s="546"/>
      <c r="GU7" s="546"/>
      <c r="GV7" s="546"/>
      <c r="GW7" s="546"/>
      <c r="GX7" s="546"/>
      <c r="GY7" s="546"/>
      <c r="GZ7" s="546"/>
      <c r="HA7" s="546"/>
      <c r="HB7" s="546"/>
      <c r="HC7" s="546"/>
      <c r="HD7" s="546"/>
      <c r="HE7" s="546"/>
      <c r="HF7" s="546"/>
      <c r="HG7" s="546"/>
      <c r="HH7" s="546"/>
      <c r="HI7" s="546"/>
      <c r="HJ7" s="546"/>
      <c r="HK7" s="546"/>
      <c r="HL7" s="546"/>
      <c r="HM7" s="546"/>
      <c r="HN7" s="546"/>
      <c r="HO7" s="546"/>
      <c r="HP7" s="546"/>
      <c r="HQ7" s="546"/>
      <c r="HR7" s="546"/>
      <c r="HS7" s="546"/>
      <c r="HT7" s="546"/>
      <c r="HU7" s="546"/>
      <c r="HV7" s="546"/>
      <c r="HW7" s="546"/>
      <c r="HX7" s="546"/>
      <c r="HY7" s="546"/>
      <c r="HZ7" s="546"/>
      <c r="IA7" s="546"/>
      <c r="IB7" s="546"/>
      <c r="IC7" s="546"/>
      <c r="ID7" s="546"/>
      <c r="IE7" s="546"/>
      <c r="IF7" s="546"/>
      <c r="IG7" s="546"/>
      <c r="IH7" s="546"/>
      <c r="II7" s="546"/>
      <c r="IJ7" s="546"/>
      <c r="IK7" s="546"/>
      <c r="IL7" s="546"/>
      <c r="IM7" s="546"/>
      <c r="IN7" s="546"/>
      <c r="IO7" s="546"/>
      <c r="IP7" s="546"/>
      <c r="IQ7" s="546"/>
      <c r="IR7" s="546"/>
      <c r="IS7" s="546"/>
      <c r="IT7" s="546"/>
      <c r="IU7" s="546"/>
      <c r="IV7" s="546"/>
      <c r="IW7" s="546"/>
      <c r="IX7" s="546"/>
      <c r="IY7" s="546"/>
      <c r="IZ7" s="546"/>
      <c r="JA7" s="546"/>
    </row>
    <row r="8" spans="1:261" ht="21" x14ac:dyDescent="0.35">
      <c r="A8" s="549"/>
      <c r="B8" s="545"/>
      <c r="C8" s="550"/>
      <c r="D8" s="546"/>
      <c r="E8" s="546"/>
      <c r="F8" s="546"/>
      <c r="G8" s="546"/>
      <c r="H8" s="546"/>
      <c r="I8" s="546"/>
      <c r="J8" s="546"/>
      <c r="K8" s="546"/>
      <c r="L8" s="546"/>
      <c r="M8" s="546"/>
      <c r="N8" s="546"/>
      <c r="O8" s="546"/>
      <c r="P8" s="546"/>
      <c r="Q8" s="546"/>
      <c r="R8" s="546"/>
      <c r="S8" s="546"/>
      <c r="T8" s="546"/>
      <c r="U8" s="546"/>
      <c r="V8" s="546"/>
      <c r="W8" s="546"/>
      <c r="X8" s="546"/>
      <c r="Y8" s="546"/>
      <c r="Z8" s="546"/>
      <c r="AA8" s="546"/>
      <c r="AB8" s="546"/>
      <c r="AC8" s="546"/>
      <c r="AD8" s="546"/>
      <c r="AE8" s="546"/>
      <c r="AF8" s="546"/>
      <c r="AG8" s="546"/>
      <c r="AH8" s="551" t="s">
        <v>330</v>
      </c>
      <c r="AI8" s="546"/>
      <c r="AJ8" t="s">
        <v>331</v>
      </c>
      <c r="AK8" s="547"/>
      <c r="AL8" s="546"/>
      <c r="AM8" s="546"/>
      <c r="AN8" s="546"/>
      <c r="AO8" s="546"/>
      <c r="AP8" s="546"/>
      <c r="AQ8" s="546"/>
      <c r="AR8" s="546"/>
      <c r="AS8" s="546"/>
      <c r="AT8" s="546"/>
      <c r="AU8" s="546"/>
      <c r="AV8" s="546"/>
      <c r="AW8" s="546"/>
      <c r="AX8" s="546"/>
      <c r="AY8" s="546"/>
      <c r="AZ8" s="546"/>
      <c r="BA8" s="546"/>
      <c r="BB8" s="546"/>
      <c r="BC8" s="546"/>
      <c r="BD8" s="546"/>
      <c r="BE8" s="546"/>
      <c r="BF8" s="546"/>
      <c r="BG8" s="546"/>
      <c r="BH8" s="546"/>
      <c r="BI8" s="546"/>
      <c r="BJ8" s="546"/>
      <c r="BK8" s="546"/>
      <c r="BL8" s="546"/>
      <c r="BM8" s="546"/>
      <c r="BN8" s="546"/>
      <c r="BO8" s="546"/>
      <c r="BP8" s="546"/>
      <c r="BQ8" s="546"/>
      <c r="BR8" s="546"/>
      <c r="BS8" s="546"/>
      <c r="BT8" s="546"/>
      <c r="BU8" s="546"/>
      <c r="BV8" s="546"/>
      <c r="BW8" s="546"/>
      <c r="BX8" s="546"/>
      <c r="BY8" s="546"/>
      <c r="BZ8" s="546"/>
      <c r="CA8" s="546"/>
      <c r="CB8" s="546"/>
      <c r="CC8" s="546"/>
      <c r="CD8" s="546"/>
      <c r="CE8" s="546"/>
      <c r="CF8" s="546"/>
      <c r="CG8" s="546"/>
      <c r="CH8" s="546"/>
      <c r="CI8" s="546"/>
      <c r="CJ8" s="546"/>
      <c r="CK8" s="546"/>
      <c r="CL8" s="546"/>
      <c r="CM8" s="546"/>
      <c r="CN8" s="546"/>
      <c r="CO8" s="546"/>
      <c r="CP8" s="546"/>
      <c r="CQ8" s="546"/>
      <c r="CR8" s="546"/>
      <c r="CS8" s="546"/>
      <c r="CT8" s="546"/>
      <c r="CU8" s="546"/>
      <c r="CV8" s="546"/>
      <c r="CW8" s="546"/>
      <c r="CX8" s="546"/>
      <c r="CY8" s="546"/>
      <c r="CZ8" s="546"/>
      <c r="DA8" s="546"/>
      <c r="DB8" s="546"/>
      <c r="DC8" s="546"/>
      <c r="DD8" s="546"/>
      <c r="DE8" s="546"/>
      <c r="DF8" s="546"/>
      <c r="DG8" s="546"/>
      <c r="DH8" s="546"/>
      <c r="DI8" s="546"/>
      <c r="DJ8" s="546"/>
      <c r="DK8" s="546"/>
      <c r="DL8" s="546"/>
      <c r="DM8" s="546"/>
      <c r="DN8" s="546"/>
      <c r="DO8" s="546"/>
      <c r="DP8" s="546"/>
      <c r="DQ8" s="546"/>
      <c r="DR8" s="546"/>
      <c r="DS8" s="546"/>
      <c r="DT8" s="546"/>
      <c r="DU8" s="546"/>
      <c r="DV8" s="546"/>
      <c r="DW8" s="546"/>
      <c r="DX8" s="546"/>
      <c r="DY8" s="546"/>
      <c r="DZ8" s="546"/>
      <c r="EA8" s="546"/>
      <c r="EB8" s="546"/>
      <c r="EC8" s="546"/>
      <c r="ED8" s="546"/>
      <c r="EE8" s="546"/>
      <c r="EF8" s="546"/>
      <c r="EG8" s="546"/>
      <c r="EH8" s="546"/>
      <c r="EI8" s="546"/>
      <c r="EJ8" s="546"/>
      <c r="EK8" s="546"/>
      <c r="EL8" s="546"/>
      <c r="EM8" s="546"/>
      <c r="EN8" s="546"/>
      <c r="EO8" s="546"/>
      <c r="EP8" s="546"/>
      <c r="EQ8" s="546"/>
      <c r="ER8" s="546"/>
      <c r="ES8" s="546"/>
      <c r="ET8" s="546"/>
      <c r="EU8" s="546"/>
      <c r="EV8" s="546"/>
      <c r="EW8" s="546"/>
      <c r="EX8" s="546"/>
      <c r="EY8" s="546"/>
      <c r="EZ8" s="546"/>
      <c r="FA8" s="546"/>
      <c r="FB8" s="546"/>
      <c r="FC8" s="546"/>
      <c r="FD8" s="546"/>
      <c r="FE8" s="546"/>
      <c r="FF8" s="546"/>
      <c r="FG8" s="546"/>
      <c r="FH8" s="546"/>
      <c r="FI8" s="546"/>
      <c r="FJ8" s="546"/>
      <c r="FK8" s="546"/>
      <c r="FL8" s="546"/>
      <c r="FM8" s="546"/>
      <c r="FN8" s="546"/>
      <c r="FO8" s="546"/>
      <c r="FP8" s="546"/>
      <c r="FQ8" s="546"/>
      <c r="FR8" s="546"/>
      <c r="FS8" s="546"/>
      <c r="FT8" s="546"/>
      <c r="FU8" s="546"/>
      <c r="FV8" s="546"/>
      <c r="FW8" s="546"/>
      <c r="FX8" s="546"/>
      <c r="FY8" s="546"/>
      <c r="FZ8" s="546"/>
      <c r="GA8" s="546"/>
      <c r="GB8" s="546"/>
      <c r="GC8" s="546"/>
      <c r="GD8" s="546"/>
      <c r="GE8" s="546"/>
      <c r="GF8" s="546"/>
      <c r="GG8" s="546"/>
      <c r="GH8" s="546"/>
      <c r="GI8" s="546"/>
      <c r="GJ8" s="546"/>
      <c r="GK8" s="546"/>
      <c r="GL8" s="546"/>
      <c r="GM8" s="546"/>
      <c r="GN8" s="546"/>
      <c r="GO8" s="546"/>
      <c r="GP8" s="546"/>
      <c r="GQ8" s="546"/>
      <c r="GR8" s="546"/>
      <c r="GS8" s="546"/>
      <c r="GT8" s="546"/>
      <c r="GU8" s="546"/>
      <c r="GV8" s="546"/>
      <c r="GW8" s="546"/>
      <c r="GX8" s="546"/>
      <c r="GY8" s="546"/>
      <c r="GZ8" s="546"/>
      <c r="HA8" s="546"/>
      <c r="HB8" s="546"/>
      <c r="HC8" s="546"/>
      <c r="HD8" s="546"/>
      <c r="HE8" s="546"/>
      <c r="HF8" s="546"/>
      <c r="HG8" s="546"/>
      <c r="HH8" s="546"/>
      <c r="HI8" s="546"/>
      <c r="HJ8" s="546"/>
      <c r="HK8" s="546"/>
      <c r="HL8" s="546"/>
      <c r="HM8" s="546"/>
      <c r="HN8" s="546"/>
      <c r="HO8" s="546"/>
      <c r="HP8" s="546"/>
      <c r="HQ8" s="546"/>
      <c r="HR8" s="546"/>
      <c r="HS8" s="546"/>
      <c r="HT8" s="546"/>
      <c r="HU8" s="546"/>
      <c r="HV8" s="546"/>
      <c r="HW8" s="546"/>
      <c r="HX8" s="546"/>
      <c r="HY8" s="546"/>
      <c r="HZ8" s="546"/>
      <c r="IA8" s="546"/>
      <c r="IB8" s="546"/>
      <c r="IC8" s="546"/>
      <c r="ID8" s="546"/>
      <c r="IE8" s="546"/>
      <c r="IF8" s="546"/>
      <c r="IG8" s="546"/>
      <c r="IH8" s="546"/>
      <c r="II8" s="546"/>
      <c r="IJ8" s="546"/>
      <c r="IK8" s="546"/>
      <c r="IL8" s="546"/>
      <c r="IM8" s="546"/>
      <c r="IN8" s="546"/>
      <c r="IO8" s="546"/>
      <c r="IP8" s="546"/>
      <c r="IQ8" s="546"/>
      <c r="IR8" s="546"/>
      <c r="IS8" s="546"/>
      <c r="IT8" s="546"/>
      <c r="IU8" s="546"/>
      <c r="IV8" s="546"/>
      <c r="IW8" s="546"/>
      <c r="IX8" s="546"/>
      <c r="IY8" s="546"/>
      <c r="IZ8" s="546"/>
      <c r="JA8" s="546"/>
    </row>
    <row r="9" spans="1:261" ht="18" x14ac:dyDescent="0.25">
      <c r="A9" s="552" t="s">
        <v>332</v>
      </c>
      <c r="B9" s="553"/>
      <c r="C9" s="554" t="s">
        <v>387</v>
      </c>
      <c r="D9" s="545"/>
      <c r="E9" s="545"/>
      <c r="F9" s="545"/>
      <c r="G9" s="545"/>
      <c r="H9" s="545"/>
      <c r="I9" s="545"/>
      <c r="J9" s="545"/>
      <c r="K9" s="545"/>
      <c r="L9" s="545"/>
      <c r="M9" s="545"/>
      <c r="N9" s="545"/>
      <c r="O9" s="545"/>
      <c r="P9" s="545"/>
      <c r="Q9" s="545"/>
      <c r="R9" s="545"/>
      <c r="S9" s="545"/>
      <c r="T9" s="545"/>
      <c r="U9" s="545"/>
      <c r="V9" s="545"/>
      <c r="W9" s="545"/>
      <c r="X9" s="545"/>
      <c r="Y9" s="545"/>
      <c r="Z9" s="545"/>
      <c r="AA9" s="545"/>
      <c r="AB9" s="545"/>
      <c r="AC9" s="545"/>
      <c r="AD9" s="545"/>
      <c r="AE9" s="545"/>
      <c r="AF9" s="545"/>
      <c r="AG9" s="545"/>
      <c r="AH9" s="551" t="s">
        <v>333</v>
      </c>
      <c r="AI9" s="546"/>
      <c r="AJ9" t="s">
        <v>334</v>
      </c>
      <c r="AK9" s="547"/>
      <c r="AL9" s="546"/>
      <c r="AM9" s="546"/>
      <c r="AN9" s="546"/>
      <c r="AO9" s="546"/>
      <c r="AP9" s="546"/>
      <c r="AQ9" s="546"/>
      <c r="AR9" s="546"/>
      <c r="AS9" s="546"/>
      <c r="AT9" s="546"/>
      <c r="AU9" s="546"/>
      <c r="AV9" s="546"/>
      <c r="AW9" s="546"/>
      <c r="AX9" s="546"/>
      <c r="AY9" s="546"/>
      <c r="AZ9" s="546"/>
      <c r="BA9" s="546"/>
      <c r="BB9" s="546"/>
      <c r="BC9" s="546"/>
      <c r="BD9" s="546"/>
      <c r="BE9" s="546"/>
      <c r="BF9" s="546"/>
      <c r="BG9" s="546"/>
      <c r="BH9" s="546"/>
      <c r="BI9" s="546"/>
      <c r="BJ9" s="546"/>
      <c r="BK9" s="546"/>
      <c r="BL9" s="546"/>
      <c r="BM9" s="546"/>
      <c r="BN9" s="546"/>
      <c r="BO9" s="546"/>
      <c r="BP9" s="546"/>
      <c r="BQ9" s="546"/>
      <c r="BR9" s="546"/>
      <c r="BS9" s="546"/>
      <c r="BT9" s="546"/>
      <c r="BU9" s="546"/>
      <c r="BV9" s="546"/>
      <c r="BW9" s="546"/>
      <c r="BX9" s="546"/>
      <c r="BY9" s="546"/>
      <c r="BZ9" s="546"/>
      <c r="CA9" s="546"/>
      <c r="CB9" s="546"/>
      <c r="CC9" s="546"/>
      <c r="CD9" s="546"/>
      <c r="CE9" s="546"/>
      <c r="CF9" s="546"/>
      <c r="CG9" s="546"/>
      <c r="CH9" s="546"/>
      <c r="CI9" s="546"/>
      <c r="CJ9" s="546"/>
      <c r="CK9" s="546"/>
      <c r="CL9" s="546"/>
      <c r="CM9" s="546"/>
      <c r="CN9" s="546"/>
      <c r="CO9" s="546"/>
      <c r="CP9" s="546"/>
      <c r="CQ9" s="546"/>
      <c r="CR9" s="546"/>
      <c r="CS9" s="546"/>
      <c r="CT9" s="546"/>
      <c r="CU9" s="546"/>
      <c r="CV9" s="546"/>
      <c r="CW9" s="546"/>
      <c r="CX9" s="546"/>
      <c r="CY9" s="546"/>
      <c r="CZ9" s="546"/>
      <c r="DA9" s="546"/>
      <c r="DB9" s="546"/>
      <c r="DC9" s="546"/>
      <c r="DD9" s="546"/>
      <c r="DE9" s="546"/>
      <c r="DF9" s="546"/>
      <c r="DG9" s="546"/>
      <c r="DH9" s="546"/>
      <c r="DI9" s="546"/>
      <c r="DJ9" s="546"/>
      <c r="DK9" s="546"/>
      <c r="DL9" s="546"/>
      <c r="DM9" s="546"/>
      <c r="DN9" s="546"/>
      <c r="DO9" s="546"/>
      <c r="DP9" s="546"/>
      <c r="DQ9" s="546"/>
      <c r="DR9" s="546"/>
      <c r="DS9" s="546"/>
      <c r="DT9" s="546"/>
      <c r="DU9" s="546"/>
      <c r="DV9" s="546"/>
      <c r="DW9" s="546"/>
      <c r="DX9" s="546"/>
      <c r="DY9" s="546"/>
      <c r="DZ9" s="546"/>
      <c r="EA9" s="546"/>
      <c r="EB9" s="546"/>
      <c r="EC9" s="546"/>
      <c r="ED9" s="546"/>
      <c r="EE9" s="546"/>
      <c r="EF9" s="546"/>
      <c r="EG9" s="546"/>
      <c r="EH9" s="546"/>
      <c r="EI9" s="546"/>
      <c r="EJ9" s="546"/>
      <c r="EK9" s="546"/>
      <c r="EL9" s="546"/>
      <c r="EM9" s="546"/>
      <c r="EN9" s="546"/>
      <c r="EO9" s="546"/>
      <c r="EP9" s="546"/>
      <c r="EQ9" s="546"/>
      <c r="ER9" s="546"/>
      <c r="ES9" s="546"/>
      <c r="ET9" s="546"/>
      <c r="EU9" s="546"/>
      <c r="EV9" s="546"/>
      <c r="EW9" s="546"/>
      <c r="EX9" s="546"/>
      <c r="EY9" s="546"/>
      <c r="EZ9" s="546"/>
      <c r="FA9" s="546"/>
      <c r="FB9" s="546"/>
      <c r="FC9" s="546"/>
      <c r="FD9" s="546"/>
      <c r="FE9" s="546"/>
      <c r="FF9" s="546"/>
      <c r="FG9" s="546"/>
      <c r="FH9" s="546"/>
      <c r="FI9" s="546"/>
      <c r="FJ9" s="546"/>
      <c r="FK9" s="546"/>
      <c r="FL9" s="546"/>
      <c r="FM9" s="546"/>
      <c r="FN9" s="546"/>
      <c r="FO9" s="546"/>
      <c r="FP9" s="546"/>
      <c r="FQ9" s="546"/>
      <c r="FR9" s="546"/>
      <c r="FS9" s="546"/>
      <c r="FT9" s="546"/>
      <c r="FU9" s="546"/>
      <c r="FV9" s="546"/>
      <c r="FW9" s="546"/>
      <c r="FX9" s="546"/>
      <c r="FY9" s="546"/>
      <c r="FZ9" s="546"/>
      <c r="GA9" s="546"/>
      <c r="GB9" s="546"/>
      <c r="GC9" s="546"/>
      <c r="GD9" s="546"/>
      <c r="GE9" s="546"/>
      <c r="GF9" s="546"/>
      <c r="GG9" s="546"/>
      <c r="GH9" s="546"/>
      <c r="GI9" s="546"/>
      <c r="GJ9" s="546"/>
      <c r="GK9" s="546"/>
      <c r="GL9" s="546"/>
      <c r="GM9" s="546"/>
      <c r="GN9" s="546"/>
      <c r="GO9" s="546"/>
      <c r="GP9" s="546"/>
      <c r="GQ9" s="546"/>
      <c r="GR9" s="546"/>
      <c r="GS9" s="546"/>
      <c r="GT9" s="546"/>
      <c r="GU9" s="546"/>
      <c r="GV9" s="546"/>
      <c r="GW9" s="546"/>
      <c r="GX9" s="546"/>
      <c r="GY9" s="546"/>
      <c r="GZ9" s="546"/>
      <c r="HA9" s="546"/>
      <c r="HB9" s="546"/>
      <c r="HC9" s="546"/>
      <c r="HD9" s="546"/>
      <c r="HE9" s="546"/>
      <c r="HF9" s="546"/>
      <c r="HG9" s="546"/>
      <c r="HH9" s="546"/>
      <c r="HI9" s="546"/>
      <c r="HJ9" s="546"/>
      <c r="HK9" s="546"/>
      <c r="HL9" s="546"/>
      <c r="HM9" s="546"/>
      <c r="HN9" s="546"/>
      <c r="HO9" s="546"/>
      <c r="HP9" s="546"/>
      <c r="HQ9" s="546"/>
      <c r="HR9" s="546"/>
      <c r="HS9" s="546"/>
      <c r="HT9" s="546"/>
      <c r="HU9" s="546"/>
      <c r="HV9" s="546"/>
      <c r="HW9" s="546"/>
      <c r="HX9" s="546"/>
      <c r="HY9" s="546"/>
      <c r="HZ9" s="546"/>
      <c r="IA9" s="546"/>
      <c r="IB9" s="546"/>
      <c r="IC9" s="546"/>
      <c r="ID9" s="546"/>
      <c r="IE9" s="546"/>
      <c r="IF9" s="546"/>
      <c r="IG9" s="546"/>
      <c r="IH9" s="546"/>
      <c r="II9" s="546"/>
      <c r="IJ9" s="546"/>
      <c r="IK9" s="546"/>
      <c r="IL9" s="546"/>
      <c r="IM9" s="546"/>
      <c r="IN9" s="546"/>
      <c r="IO9" s="546"/>
      <c r="IP9" s="546"/>
      <c r="IQ9" s="546"/>
      <c r="IR9" s="546"/>
      <c r="IS9" s="546"/>
      <c r="IT9" s="546"/>
      <c r="IU9" s="546"/>
      <c r="IV9" s="546"/>
      <c r="IW9" s="546"/>
      <c r="IX9" s="546"/>
      <c r="IY9" s="546"/>
      <c r="IZ9" s="546"/>
      <c r="JA9" s="546"/>
    </row>
    <row r="10" spans="1:261" x14ac:dyDescent="0.25">
      <c r="A10" s="546" t="s">
        <v>335</v>
      </c>
      <c r="B10" s="555" t="s">
        <v>336</v>
      </c>
      <c r="C10" s="554" t="s">
        <v>326</v>
      </c>
      <c r="D10" s="556" t="e">
        <f ca="1">_xll.BLUEMATRIX2("/servlet/excelData",C10, $C$14,$B10)</f>
        <v>#NAME?</v>
      </c>
      <c r="E10" s="546"/>
      <c r="F10" s="546"/>
      <c r="G10" s="546"/>
      <c r="H10" s="546"/>
      <c r="I10" s="546"/>
      <c r="J10" s="546"/>
      <c r="K10" s="546"/>
      <c r="L10" s="546"/>
      <c r="M10" s="546"/>
      <c r="N10" s="546"/>
      <c r="O10" s="546"/>
      <c r="P10" s="546"/>
      <c r="Q10" s="546"/>
      <c r="R10" s="546"/>
      <c r="S10" s="546"/>
      <c r="T10" s="546"/>
      <c r="U10" s="546"/>
      <c r="V10" s="546"/>
      <c r="W10" s="546"/>
      <c r="X10" s="546"/>
      <c r="Y10" s="546"/>
      <c r="Z10" s="546"/>
      <c r="AA10" s="546"/>
      <c r="AB10" s="546"/>
      <c r="AC10" s="546"/>
      <c r="AD10" s="546"/>
      <c r="AE10" s="546"/>
      <c r="AF10" s="546"/>
      <c r="AG10" s="546"/>
      <c r="AH10" s="551" t="s">
        <v>337</v>
      </c>
      <c r="AI10" s="546"/>
      <c r="AJ10" t="s">
        <v>338</v>
      </c>
      <c r="AK10" s="547"/>
      <c r="AL10" s="546"/>
      <c r="AM10" s="546"/>
      <c r="AN10" s="546"/>
      <c r="AO10" s="546"/>
      <c r="AP10" s="546"/>
      <c r="AQ10" s="546"/>
      <c r="AR10" s="546"/>
      <c r="AS10" s="546"/>
      <c r="AT10" s="546"/>
      <c r="AU10" s="546"/>
      <c r="AV10" s="546"/>
      <c r="AW10" s="546"/>
      <c r="AX10" s="546"/>
      <c r="AY10" s="546"/>
      <c r="AZ10" s="546"/>
      <c r="BA10" s="546"/>
      <c r="BB10" s="546"/>
      <c r="BC10" s="546"/>
      <c r="BD10" s="546"/>
      <c r="BE10" s="546"/>
      <c r="BF10" s="546"/>
      <c r="BG10" s="546"/>
      <c r="BH10" s="546"/>
      <c r="BI10" s="546"/>
      <c r="BJ10" s="546"/>
      <c r="BK10" s="546"/>
      <c r="BL10" s="546"/>
      <c r="BM10" s="546"/>
      <c r="BN10" s="546"/>
      <c r="BO10" s="546"/>
      <c r="BP10" s="546"/>
      <c r="BQ10" s="546"/>
      <c r="BR10" s="546"/>
      <c r="BS10" s="546"/>
      <c r="BT10" s="546"/>
      <c r="BU10" s="546"/>
      <c r="BV10" s="546"/>
      <c r="BW10" s="546"/>
      <c r="BX10" s="546"/>
      <c r="BY10" s="546"/>
      <c r="BZ10" s="546"/>
      <c r="CA10" s="546"/>
      <c r="CB10" s="546"/>
      <c r="CC10" s="546"/>
      <c r="CD10" s="546"/>
      <c r="CE10" s="546"/>
      <c r="CF10" s="546"/>
      <c r="CG10" s="546"/>
      <c r="CH10" s="546"/>
      <c r="CI10" s="546"/>
      <c r="CJ10" s="546"/>
      <c r="CK10" s="546"/>
      <c r="CL10" s="546"/>
      <c r="CM10" s="546"/>
      <c r="CN10" s="546"/>
      <c r="CO10" s="546"/>
      <c r="CP10" s="546"/>
      <c r="CQ10" s="546"/>
      <c r="CR10" s="546"/>
      <c r="CS10" s="546"/>
      <c r="CT10" s="546"/>
      <c r="CU10" s="546"/>
      <c r="CV10" s="546"/>
      <c r="CW10" s="546"/>
      <c r="CX10" s="546"/>
      <c r="CY10" s="546"/>
      <c r="CZ10" s="546"/>
      <c r="DA10" s="546"/>
      <c r="DB10" s="546"/>
      <c r="DC10" s="546"/>
      <c r="DD10" s="546"/>
      <c r="DE10" s="546"/>
      <c r="DF10" s="546"/>
      <c r="DG10" s="546"/>
      <c r="DH10" s="546"/>
      <c r="DI10" s="546"/>
      <c r="DJ10" s="546"/>
      <c r="DK10" s="546"/>
      <c r="DL10" s="546"/>
      <c r="DM10" s="546"/>
      <c r="DN10" s="546"/>
      <c r="DO10" s="546"/>
      <c r="DP10" s="546"/>
      <c r="DQ10" s="546"/>
      <c r="DR10" s="546"/>
      <c r="DS10" s="546"/>
      <c r="DT10" s="546"/>
      <c r="DU10" s="546"/>
      <c r="DV10" s="546"/>
      <c r="DW10" s="546"/>
      <c r="DX10" s="546"/>
      <c r="DY10" s="546"/>
      <c r="DZ10" s="546"/>
      <c r="EA10" s="546"/>
      <c r="EB10" s="546"/>
      <c r="EC10" s="546"/>
      <c r="ED10" s="546"/>
      <c r="EE10" s="546"/>
      <c r="EF10" s="546"/>
      <c r="EG10" s="546"/>
      <c r="EH10" s="546"/>
      <c r="EI10" s="546"/>
      <c r="EJ10" s="546"/>
      <c r="EK10" s="546"/>
      <c r="EL10" s="546"/>
      <c r="EM10" s="546"/>
      <c r="EN10" s="546"/>
      <c r="EO10" s="546"/>
      <c r="EP10" s="546"/>
      <c r="EQ10" s="546"/>
      <c r="ER10" s="546"/>
      <c r="ES10" s="546"/>
      <c r="ET10" s="546"/>
      <c r="EU10" s="546"/>
      <c r="EV10" s="546"/>
      <c r="EW10" s="546"/>
      <c r="EX10" s="546"/>
      <c r="EY10" s="546"/>
      <c r="EZ10" s="546"/>
      <c r="FA10" s="546"/>
      <c r="FB10" s="546"/>
      <c r="FC10" s="546"/>
      <c r="FD10" s="546"/>
      <c r="FE10" s="546"/>
      <c r="FF10" s="546"/>
      <c r="FG10" s="546"/>
      <c r="FH10" s="546"/>
      <c r="FI10" s="546"/>
      <c r="FJ10" s="546"/>
      <c r="FK10" s="546"/>
      <c r="FL10" s="546"/>
      <c r="FM10" s="546"/>
      <c r="FN10" s="546"/>
      <c r="FO10" s="546"/>
      <c r="FP10" s="546"/>
      <c r="FQ10" s="546"/>
      <c r="FR10" s="546"/>
      <c r="FS10" s="546"/>
      <c r="FT10" s="546"/>
      <c r="FU10" s="546"/>
      <c r="FV10" s="546"/>
      <c r="FW10" s="546"/>
      <c r="FX10" s="546"/>
      <c r="FY10" s="546"/>
      <c r="FZ10" s="546"/>
      <c r="GA10" s="546"/>
      <c r="GB10" s="546"/>
      <c r="GC10" s="546"/>
      <c r="GD10" s="546"/>
      <c r="GE10" s="546"/>
      <c r="GF10" s="546"/>
      <c r="GG10" s="546"/>
      <c r="GH10" s="546"/>
      <c r="GI10" s="546"/>
      <c r="GJ10" s="546"/>
      <c r="GK10" s="546"/>
      <c r="GL10" s="546"/>
      <c r="GM10" s="546"/>
      <c r="GN10" s="546"/>
      <c r="GO10" s="546"/>
      <c r="GP10" s="546"/>
      <c r="GQ10" s="546"/>
      <c r="GR10" s="546"/>
      <c r="GS10" s="546"/>
      <c r="GT10" s="546"/>
      <c r="GU10" s="546"/>
      <c r="GV10" s="546"/>
      <c r="GW10" s="546"/>
      <c r="GX10" s="546"/>
      <c r="GY10" s="546"/>
      <c r="GZ10" s="546"/>
      <c r="HA10" s="546"/>
      <c r="HB10" s="546"/>
      <c r="HC10" s="546"/>
      <c r="HD10" s="546"/>
      <c r="HE10" s="546"/>
      <c r="HF10" s="546"/>
      <c r="HG10" s="546"/>
      <c r="HH10" s="546"/>
      <c r="HI10" s="546"/>
      <c r="HJ10" s="546"/>
      <c r="HK10" s="546"/>
      <c r="HL10" s="546"/>
      <c r="HM10" s="546"/>
      <c r="HN10" s="546"/>
      <c r="HO10" s="546"/>
      <c r="HP10" s="546"/>
      <c r="HQ10" s="546"/>
      <c r="HR10" s="546"/>
      <c r="HS10" s="546"/>
      <c r="HT10" s="546"/>
      <c r="HU10" s="546"/>
      <c r="HV10" s="546"/>
      <c r="HW10" s="546"/>
      <c r="HX10" s="546"/>
      <c r="HY10" s="546"/>
      <c r="HZ10" s="546"/>
      <c r="IA10" s="546"/>
      <c r="IB10" s="546"/>
      <c r="IC10" s="546"/>
      <c r="ID10" s="546"/>
      <c r="IE10" s="546"/>
      <c r="IF10" s="546"/>
      <c r="IG10" s="546"/>
      <c r="IH10" s="546"/>
      <c r="II10" s="546"/>
      <c r="IJ10" s="546"/>
      <c r="IK10" s="546"/>
      <c r="IL10" s="546"/>
      <c r="IM10" s="546"/>
      <c r="IN10" s="546"/>
      <c r="IO10" s="546"/>
      <c r="IP10" s="546"/>
      <c r="IQ10" s="546"/>
      <c r="IR10" s="546"/>
      <c r="IS10" s="546"/>
      <c r="IT10" s="546"/>
      <c r="IU10" s="546"/>
      <c r="IV10" s="546"/>
      <c r="IW10" s="546"/>
      <c r="IX10" s="546"/>
      <c r="IY10" s="546"/>
      <c r="IZ10" s="546"/>
      <c r="JA10" s="546"/>
    </row>
    <row r="11" spans="1:261" x14ac:dyDescent="0.25">
      <c r="A11" s="546" t="s">
        <v>339</v>
      </c>
      <c r="B11" s="555"/>
      <c r="C11" s="554" t="s">
        <v>340</v>
      </c>
      <c r="D11" s="546"/>
      <c r="E11" s="546"/>
      <c r="F11" s="546"/>
      <c r="G11" s="546"/>
      <c r="H11" s="546"/>
      <c r="I11" s="546"/>
      <c r="J11" s="546"/>
      <c r="K11" s="546"/>
      <c r="L11" s="546"/>
      <c r="M11" s="546"/>
      <c r="N11" s="546"/>
      <c r="O11" s="546"/>
      <c r="P11" s="546"/>
      <c r="Q11" s="546"/>
      <c r="R11" s="546"/>
      <c r="S11" s="546"/>
      <c r="T11" s="546"/>
      <c r="U11" s="546"/>
      <c r="V11" s="546"/>
      <c r="W11" s="546"/>
      <c r="X11" s="546"/>
      <c r="Y11" s="546"/>
      <c r="Z11" s="546"/>
      <c r="AA11" s="546"/>
      <c r="AB11" s="546"/>
      <c r="AC11" s="546"/>
      <c r="AD11" s="546"/>
      <c r="AE11" s="546"/>
      <c r="AF11" s="546"/>
      <c r="AG11" s="546"/>
      <c r="AH11" s="551" t="s">
        <v>341</v>
      </c>
      <c r="AI11" s="546"/>
      <c r="AJ11" t="s">
        <v>342</v>
      </c>
      <c r="AK11" s="546"/>
      <c r="AL11" s="546"/>
      <c r="AM11" s="546"/>
      <c r="AN11" s="546"/>
      <c r="AO11" s="546"/>
      <c r="AP11" s="546"/>
      <c r="AQ11" s="546"/>
      <c r="AR11" s="546"/>
      <c r="AS11" s="546"/>
      <c r="AT11" s="546"/>
      <c r="AU11" s="546"/>
      <c r="AV11" s="546"/>
      <c r="AW11" s="546"/>
      <c r="AX11" s="546"/>
      <c r="AY11" s="546"/>
      <c r="AZ11" s="546"/>
      <c r="BA11" s="546"/>
      <c r="BB11" s="546"/>
      <c r="BC11" s="546"/>
      <c r="BD11" s="546"/>
      <c r="BE11" s="546"/>
      <c r="BF11" s="546"/>
      <c r="BG11" s="546"/>
      <c r="BH11" s="546"/>
      <c r="BI11" s="546"/>
      <c r="BJ11" s="546"/>
      <c r="BK11" s="546"/>
      <c r="BL11" s="546"/>
      <c r="BM11" s="546"/>
      <c r="BN11" s="546"/>
      <c r="BO11" s="546"/>
      <c r="BP11" s="546"/>
      <c r="BQ11" s="546"/>
      <c r="BR11" s="546"/>
      <c r="BS11" s="546"/>
      <c r="BT11" s="546"/>
      <c r="BU11" s="546"/>
      <c r="BV11" s="546"/>
      <c r="BW11" s="546"/>
      <c r="BX11" s="546"/>
      <c r="BY11" s="546"/>
      <c r="BZ11" s="546"/>
      <c r="CA11" s="546"/>
      <c r="CB11" s="546"/>
      <c r="CC11" s="546"/>
      <c r="CD11" s="546"/>
      <c r="CE11" s="546"/>
      <c r="CF11" s="546"/>
      <c r="CG11" s="546"/>
      <c r="CH11" s="546"/>
      <c r="CI11" s="546"/>
      <c r="CJ11" s="546"/>
      <c r="CK11" s="546"/>
      <c r="CL11" s="546"/>
      <c r="CM11" s="546"/>
      <c r="CN11" s="546"/>
      <c r="CO11" s="546"/>
      <c r="CP11" s="546"/>
      <c r="CQ11" s="546"/>
      <c r="CR11" s="546"/>
      <c r="CS11" s="546"/>
      <c r="CT11" s="546"/>
      <c r="CU11" s="546"/>
      <c r="CV11" s="546"/>
      <c r="CW11" s="546"/>
      <c r="CX11" s="546"/>
      <c r="CY11" s="546"/>
      <c r="CZ11" s="546"/>
      <c r="DA11" s="546"/>
      <c r="DB11" s="546"/>
      <c r="DC11" s="546"/>
      <c r="DD11" s="546"/>
      <c r="DE11" s="546"/>
      <c r="DF11" s="546"/>
      <c r="DG11" s="546"/>
      <c r="DH11" s="546"/>
      <c r="DI11" s="546"/>
      <c r="DJ11" s="546"/>
      <c r="DK11" s="546"/>
      <c r="DL11" s="546"/>
      <c r="DM11" s="546"/>
      <c r="DN11" s="546"/>
      <c r="DO11" s="546"/>
      <c r="DP11" s="546"/>
      <c r="DQ11" s="546"/>
      <c r="DR11" s="546"/>
      <c r="DS11" s="546"/>
      <c r="DT11" s="546"/>
      <c r="DU11" s="546"/>
      <c r="DV11" s="546"/>
      <c r="DW11" s="546"/>
      <c r="DX11" s="546"/>
      <c r="DY11" s="546"/>
      <c r="DZ11" s="546"/>
      <c r="EA11" s="546"/>
      <c r="EB11" s="546"/>
      <c r="EC11" s="546"/>
      <c r="ED11" s="546"/>
      <c r="EE11" s="546"/>
      <c r="EF11" s="546"/>
      <c r="EG11" s="546"/>
      <c r="EH11" s="546"/>
      <c r="EI11" s="546"/>
      <c r="EJ11" s="546"/>
      <c r="EK11" s="546"/>
      <c r="EL11" s="546"/>
      <c r="EM11" s="546"/>
      <c r="EN11" s="546"/>
      <c r="EO11" s="546"/>
      <c r="EP11" s="546"/>
      <c r="EQ11" s="546"/>
      <c r="ER11" s="546"/>
      <c r="ES11" s="546"/>
      <c r="ET11" s="546"/>
      <c r="EU11" s="546"/>
      <c r="EV11" s="546"/>
      <c r="EW11" s="546"/>
      <c r="EX11" s="546"/>
      <c r="EY11" s="546"/>
      <c r="EZ11" s="546"/>
      <c r="FA11" s="546"/>
      <c r="FB11" s="546"/>
      <c r="FC11" s="546"/>
      <c r="FD11" s="546"/>
      <c r="FE11" s="546"/>
      <c r="FF11" s="546"/>
      <c r="FG11" s="546"/>
      <c r="FH11" s="546"/>
      <c r="FI11" s="546"/>
      <c r="FJ11" s="546"/>
      <c r="FK11" s="546"/>
      <c r="FL11" s="546"/>
      <c r="FM11" s="546"/>
      <c r="FN11" s="546"/>
      <c r="FO11" s="546"/>
      <c r="FP11" s="546"/>
      <c r="FQ11" s="546"/>
      <c r="FR11" s="546"/>
      <c r="FS11" s="546"/>
      <c r="FT11" s="546"/>
      <c r="FU11" s="546"/>
      <c r="FV11" s="546"/>
      <c r="FW11" s="546"/>
      <c r="FX11" s="546"/>
      <c r="FY11" s="546"/>
      <c r="FZ11" s="546"/>
      <c r="GA11" s="546"/>
      <c r="GB11" s="546"/>
      <c r="GC11" s="546"/>
      <c r="GD11" s="546"/>
      <c r="GE11" s="546"/>
      <c r="GF11" s="546"/>
      <c r="GG11" s="546"/>
      <c r="GH11" s="546"/>
      <c r="GI11" s="546"/>
      <c r="GJ11" s="546"/>
      <c r="GK11" s="546"/>
      <c r="GL11" s="546"/>
      <c r="GM11" s="546"/>
      <c r="GN11" s="546"/>
      <c r="GO11" s="546"/>
      <c r="GP11" s="546"/>
      <c r="GQ11" s="546"/>
      <c r="GR11" s="546"/>
      <c r="GS11" s="546"/>
      <c r="GT11" s="546"/>
      <c r="GU11" s="546"/>
      <c r="GV11" s="546"/>
      <c r="GW11" s="546"/>
      <c r="GX11" s="546"/>
      <c r="GY11" s="546"/>
      <c r="GZ11" s="546"/>
      <c r="HA11" s="546"/>
      <c r="HB11" s="546"/>
      <c r="HC11" s="546"/>
      <c r="HD11" s="546"/>
      <c r="HE11" s="546"/>
      <c r="HF11" s="546"/>
      <c r="HG11" s="546"/>
      <c r="HH11" s="546"/>
      <c r="HI11" s="546"/>
      <c r="HJ11" s="546"/>
      <c r="HK11" s="546"/>
      <c r="HL11" s="546"/>
      <c r="HM11" s="546"/>
      <c r="HN11" s="546"/>
      <c r="HO11" s="546"/>
      <c r="HP11" s="546"/>
      <c r="HQ11" s="546"/>
      <c r="HR11" s="546"/>
      <c r="HS11" s="546"/>
      <c r="HT11" s="546"/>
      <c r="HU11" s="546"/>
      <c r="HV11" s="546"/>
      <c r="HW11" s="546"/>
      <c r="HX11" s="546"/>
      <c r="HY11" s="546"/>
      <c r="HZ11" s="546"/>
      <c r="IA11" s="546"/>
      <c r="IB11" s="546"/>
      <c r="IC11" s="546"/>
      <c r="ID11" s="546"/>
      <c r="IE11" s="546"/>
      <c r="IF11" s="546"/>
      <c r="IG11" s="546"/>
      <c r="IH11" s="546"/>
      <c r="II11" s="546"/>
      <c r="IJ11" s="546"/>
      <c r="IK11" s="546"/>
      <c r="IL11" s="546"/>
      <c r="IM11" s="546"/>
      <c r="IN11" s="546"/>
      <c r="IO11" s="546"/>
      <c r="IP11" s="546"/>
      <c r="IQ11" s="546"/>
      <c r="IR11" s="546"/>
      <c r="IS11" s="546"/>
      <c r="IT11" s="546"/>
      <c r="IU11" s="546"/>
      <c r="IV11" s="546"/>
      <c r="IW11" s="546"/>
      <c r="IX11" s="546"/>
      <c r="IY11" s="546"/>
      <c r="IZ11" s="546"/>
      <c r="JA11" s="546"/>
    </row>
    <row r="12" spans="1:261" x14ac:dyDescent="0.25">
      <c r="A12" s="546"/>
      <c r="B12" s="555"/>
      <c r="C12" s="557"/>
      <c r="D12" s="546"/>
      <c r="E12" s="546"/>
      <c r="F12" s="546"/>
      <c r="G12" s="546"/>
      <c r="H12" s="546"/>
      <c r="I12" s="546"/>
      <c r="J12" s="546"/>
      <c r="K12" s="546"/>
      <c r="L12" s="546"/>
      <c r="M12" s="546"/>
      <c r="N12" s="546"/>
      <c r="O12" s="546"/>
      <c r="P12" s="546"/>
      <c r="Q12" s="546"/>
      <c r="R12" s="546"/>
      <c r="S12" s="546"/>
      <c r="T12" s="546"/>
      <c r="U12" s="546"/>
      <c r="V12" s="546"/>
      <c r="W12" s="546"/>
      <c r="X12" s="546"/>
      <c r="Y12" s="546"/>
      <c r="Z12" s="546"/>
      <c r="AA12" s="546"/>
      <c r="AB12" s="546"/>
      <c r="AC12" s="546"/>
      <c r="AD12" s="546"/>
      <c r="AE12" s="546"/>
      <c r="AF12" s="546"/>
      <c r="AG12" s="546"/>
      <c r="AH12" s="548" t="s">
        <v>343</v>
      </c>
      <c r="AI12" s="558"/>
      <c r="AJ12" t="s">
        <v>344</v>
      </c>
      <c r="AK12" s="558"/>
      <c r="AL12" s="558"/>
      <c r="AM12" s="558"/>
      <c r="AN12" s="558"/>
      <c r="AO12" s="558"/>
      <c r="AP12" s="558"/>
      <c r="AQ12" s="558"/>
      <c r="AR12" s="558"/>
      <c r="AS12" s="558"/>
      <c r="AT12" s="558"/>
      <c r="AU12" s="558"/>
      <c r="AV12" s="558"/>
      <c r="AW12" s="558"/>
      <c r="AX12" s="558"/>
      <c r="AY12" s="558"/>
      <c r="AZ12" s="558"/>
      <c r="BA12" s="558"/>
      <c r="BB12" s="558"/>
      <c r="BC12" s="558"/>
      <c r="BD12" s="558"/>
      <c r="BE12" s="558"/>
      <c r="BF12" s="558"/>
      <c r="BG12" s="558"/>
      <c r="BH12" s="558"/>
      <c r="BI12" s="558"/>
      <c r="BJ12" s="558"/>
      <c r="BK12" s="558"/>
      <c r="BL12" s="558"/>
      <c r="BM12" s="558"/>
      <c r="BN12" s="558"/>
      <c r="BO12" s="558"/>
      <c r="BP12" s="558"/>
      <c r="BQ12" s="558"/>
      <c r="BR12" s="558"/>
      <c r="BS12" s="558"/>
      <c r="BT12" s="558"/>
      <c r="BU12" s="558"/>
      <c r="BV12" s="558"/>
      <c r="BW12" s="558"/>
      <c r="BX12" s="558"/>
      <c r="BY12" s="558"/>
      <c r="BZ12" s="558"/>
      <c r="CA12" s="558"/>
      <c r="CB12" s="558"/>
      <c r="CC12" s="558"/>
      <c r="CD12" s="558"/>
      <c r="CE12" s="558"/>
      <c r="CF12" s="558"/>
      <c r="CG12" s="558"/>
      <c r="CH12" s="558"/>
      <c r="CI12" s="558"/>
      <c r="CJ12" s="558"/>
      <c r="CK12" s="558"/>
      <c r="CL12" s="558"/>
      <c r="CM12" s="558"/>
      <c r="CN12" s="558"/>
      <c r="CO12" s="558"/>
      <c r="CP12" s="558"/>
      <c r="CQ12" s="558"/>
      <c r="CR12" s="558"/>
      <c r="CS12" s="558"/>
      <c r="CT12" s="558"/>
      <c r="CU12" s="558"/>
      <c r="CV12" s="558"/>
      <c r="CW12" s="558"/>
      <c r="CX12" s="558"/>
      <c r="CY12" s="558"/>
      <c r="CZ12" s="558"/>
      <c r="DA12" s="558"/>
      <c r="DB12" s="558"/>
      <c r="DC12" s="558"/>
      <c r="DD12" s="558"/>
      <c r="DE12" s="558"/>
      <c r="DF12" s="558"/>
      <c r="DG12" s="558"/>
      <c r="DH12" s="558"/>
      <c r="DI12" s="558"/>
      <c r="DJ12" s="558"/>
      <c r="DK12" s="558"/>
      <c r="DL12" s="558"/>
      <c r="DM12" s="558"/>
      <c r="DN12" s="558"/>
      <c r="DO12" s="558"/>
      <c r="DP12" s="558"/>
      <c r="DQ12" s="558"/>
      <c r="DR12" s="558"/>
      <c r="DS12" s="558"/>
      <c r="DT12" s="558"/>
      <c r="DU12" s="558"/>
      <c r="DV12" s="558"/>
      <c r="DW12" s="558"/>
      <c r="DX12" s="558"/>
      <c r="DY12" s="558"/>
      <c r="DZ12" s="558"/>
      <c r="EA12" s="558"/>
      <c r="EB12" s="558"/>
      <c r="EC12" s="558"/>
      <c r="ED12" s="558"/>
      <c r="EE12" s="558"/>
      <c r="EF12" s="558"/>
      <c r="EG12" s="558"/>
      <c r="EH12" s="558"/>
      <c r="EI12" s="558"/>
      <c r="EJ12" s="558"/>
      <c r="EK12" s="558"/>
      <c r="EL12" s="558"/>
      <c r="EM12" s="558"/>
      <c r="EN12" s="558"/>
      <c r="EO12" s="558"/>
      <c r="EP12" s="558"/>
      <c r="EQ12" s="558"/>
      <c r="ER12" s="558"/>
      <c r="ES12" s="558"/>
      <c r="ET12" s="558"/>
      <c r="EU12" s="558"/>
      <c r="EV12" s="558"/>
      <c r="EW12" s="558"/>
      <c r="EX12" s="558"/>
      <c r="EY12" s="558"/>
      <c r="EZ12" s="558"/>
      <c r="FA12" s="558"/>
      <c r="FB12" s="558"/>
      <c r="FC12" s="558"/>
      <c r="FD12" s="558"/>
      <c r="FE12" s="558"/>
      <c r="FF12" s="558"/>
      <c r="FG12" s="558"/>
      <c r="FH12" s="558"/>
      <c r="FI12" s="558"/>
      <c r="FJ12" s="558"/>
      <c r="FK12" s="558"/>
      <c r="FL12" s="558"/>
      <c r="FM12" s="558"/>
      <c r="FN12" s="558"/>
      <c r="FO12" s="558"/>
      <c r="FP12" s="558"/>
      <c r="FQ12" s="558"/>
      <c r="FR12" s="558"/>
      <c r="FS12" s="558"/>
      <c r="FT12" s="558"/>
      <c r="FU12" s="558"/>
      <c r="FV12" s="558"/>
      <c r="FW12" s="558"/>
      <c r="FX12" s="558"/>
      <c r="FY12" s="558"/>
      <c r="FZ12" s="558"/>
      <c r="GA12" s="558"/>
      <c r="GB12" s="558"/>
      <c r="GC12" s="558"/>
      <c r="GD12" s="558"/>
      <c r="GE12" s="558"/>
      <c r="GF12" s="558"/>
      <c r="GG12" s="558"/>
      <c r="GH12" s="558"/>
      <c r="GI12" s="558"/>
      <c r="GJ12" s="558"/>
      <c r="GK12" s="558"/>
      <c r="GL12" s="558"/>
      <c r="GM12" s="558"/>
      <c r="GN12" s="558"/>
      <c r="GO12" s="558"/>
      <c r="GP12" s="558"/>
      <c r="GQ12" s="558"/>
      <c r="GR12" s="558"/>
      <c r="GS12" s="558"/>
      <c r="GT12" s="558"/>
      <c r="GU12" s="558"/>
      <c r="GV12" s="558"/>
      <c r="GW12" s="558"/>
      <c r="GX12" s="558"/>
      <c r="GY12" s="558"/>
      <c r="GZ12" s="558"/>
      <c r="HA12" s="558"/>
      <c r="HB12" s="558"/>
      <c r="HC12" s="558"/>
      <c r="HD12" s="558"/>
      <c r="HE12" s="558"/>
      <c r="HF12" s="558"/>
      <c r="HG12" s="558"/>
      <c r="HH12" s="558"/>
      <c r="HI12" s="558"/>
      <c r="HJ12" s="558"/>
      <c r="HK12" s="558"/>
      <c r="HL12" s="558"/>
      <c r="HM12" s="558"/>
      <c r="HN12" s="558"/>
      <c r="HO12" s="558"/>
      <c r="HP12" s="558"/>
      <c r="HQ12" s="558"/>
      <c r="HR12" s="558"/>
      <c r="HS12" s="558"/>
      <c r="HT12" s="558"/>
      <c r="HU12" s="558"/>
      <c r="HV12" s="558"/>
      <c r="HW12" s="558"/>
      <c r="HX12" s="558"/>
      <c r="HY12" s="558"/>
      <c r="HZ12" s="558"/>
      <c r="IA12" s="558"/>
      <c r="IB12" s="558"/>
      <c r="IC12" s="558"/>
      <c r="ID12" s="558"/>
      <c r="IE12" s="558"/>
      <c r="IF12" s="558"/>
      <c r="IG12" s="558"/>
      <c r="IH12" s="558"/>
      <c r="II12" s="558"/>
      <c r="IJ12" s="558"/>
      <c r="IK12" s="558"/>
      <c r="IL12" s="558"/>
      <c r="IM12" s="558"/>
      <c r="IN12" s="558"/>
      <c r="IO12" s="558"/>
      <c r="IP12" s="558"/>
      <c r="IQ12" s="558"/>
      <c r="IR12" s="558"/>
      <c r="IS12" s="558"/>
      <c r="IT12" s="558"/>
      <c r="IU12" s="558"/>
      <c r="IV12" s="558"/>
      <c r="IW12" s="558"/>
      <c r="IX12" s="558"/>
      <c r="IY12" s="558"/>
      <c r="IZ12" s="558"/>
      <c r="JA12" s="558"/>
    </row>
    <row r="13" spans="1:261" x14ac:dyDescent="0.25">
      <c r="A13" s="546" t="s">
        <v>345</v>
      </c>
      <c r="B13" s="555" t="s">
        <v>346</v>
      </c>
      <c r="C13" s="559">
        <v>75</v>
      </c>
      <c r="D13" s="556" t="e">
        <f ca="1">_xll.BLUEMATRIX2("/servlet/excelData",C13, $C$14,$B13)</f>
        <v>#NAME?</v>
      </c>
      <c r="E13" s="546"/>
      <c r="F13" s="546"/>
      <c r="G13" s="546"/>
      <c r="H13" s="546"/>
      <c r="I13" s="546"/>
      <c r="J13" s="546"/>
      <c r="K13" s="546"/>
      <c r="L13" s="546"/>
      <c r="M13" s="546"/>
      <c r="N13" s="546"/>
      <c r="O13" s="546"/>
      <c r="P13" s="546"/>
      <c r="Q13" s="546"/>
      <c r="R13" s="546"/>
      <c r="S13" s="546"/>
      <c r="T13" s="546"/>
      <c r="U13" s="546"/>
      <c r="V13" s="546"/>
      <c r="W13" s="546"/>
      <c r="X13" s="546"/>
      <c r="Y13" s="546"/>
      <c r="Z13" s="546"/>
      <c r="AA13" s="546"/>
      <c r="AB13" s="546"/>
      <c r="AC13" s="546"/>
      <c r="AD13" s="546"/>
      <c r="AE13" s="546"/>
      <c r="AF13" s="546"/>
      <c r="AG13" s="546"/>
      <c r="AH13" s="558"/>
      <c r="AI13" s="558"/>
      <c r="AJ13" t="s">
        <v>347</v>
      </c>
      <c r="AK13" s="558"/>
      <c r="AL13" s="558"/>
      <c r="AM13" s="558"/>
      <c r="AN13" s="558"/>
      <c r="AO13" s="558"/>
      <c r="AP13" s="558"/>
      <c r="AQ13" s="558"/>
      <c r="AR13" s="558"/>
      <c r="AS13" s="558"/>
      <c r="AT13" s="558"/>
      <c r="AU13" s="558"/>
      <c r="AV13" s="558"/>
      <c r="AW13" s="558"/>
      <c r="AX13" s="558"/>
      <c r="AY13" s="558"/>
      <c r="AZ13" s="558"/>
      <c r="BA13" s="558"/>
      <c r="BB13" s="558"/>
      <c r="BC13" s="558"/>
      <c r="BD13" s="558"/>
      <c r="BE13" s="558"/>
      <c r="BF13" s="558"/>
      <c r="BG13" s="558"/>
      <c r="BH13" s="558"/>
      <c r="BI13" s="558"/>
      <c r="BJ13" s="558"/>
      <c r="BK13" s="558"/>
      <c r="BL13" s="558"/>
      <c r="BM13" s="558"/>
      <c r="BN13" s="558"/>
      <c r="BO13" s="558"/>
      <c r="BP13" s="558"/>
      <c r="BQ13" s="558"/>
      <c r="BR13" s="558"/>
      <c r="BS13" s="558"/>
      <c r="BT13" s="558"/>
      <c r="BU13" s="558"/>
      <c r="BV13" s="558"/>
      <c r="BW13" s="558"/>
      <c r="BX13" s="558"/>
      <c r="BY13" s="558"/>
      <c r="BZ13" s="558"/>
      <c r="CA13" s="558"/>
      <c r="CB13" s="558"/>
      <c r="CC13" s="558"/>
      <c r="CD13" s="558"/>
      <c r="CE13" s="558"/>
      <c r="CF13" s="558"/>
      <c r="CG13" s="558"/>
      <c r="CH13" s="558"/>
      <c r="CI13" s="558"/>
      <c r="CJ13" s="558"/>
      <c r="CK13" s="558"/>
      <c r="CL13" s="558"/>
      <c r="CM13" s="558"/>
      <c r="CN13" s="558"/>
      <c r="CO13" s="558"/>
      <c r="CP13" s="558"/>
      <c r="CQ13" s="558"/>
      <c r="CR13" s="558"/>
      <c r="CS13" s="558"/>
      <c r="CT13" s="558"/>
      <c r="CU13" s="558"/>
      <c r="CV13" s="558"/>
      <c r="CW13" s="558"/>
      <c r="CX13" s="558"/>
      <c r="CY13" s="558"/>
      <c r="CZ13" s="558"/>
      <c r="DA13" s="558"/>
      <c r="DB13" s="558"/>
      <c r="DC13" s="558"/>
      <c r="DD13" s="558"/>
      <c r="DE13" s="558"/>
      <c r="DF13" s="558"/>
      <c r="DG13" s="558"/>
      <c r="DH13" s="558"/>
      <c r="DI13" s="558"/>
      <c r="DJ13" s="558"/>
      <c r="DK13" s="558"/>
      <c r="DL13" s="558"/>
      <c r="DM13" s="558"/>
      <c r="DN13" s="558"/>
      <c r="DO13" s="558"/>
      <c r="DP13" s="558"/>
      <c r="DQ13" s="558"/>
      <c r="DR13" s="558"/>
      <c r="DS13" s="558"/>
      <c r="DT13" s="558"/>
      <c r="DU13" s="558"/>
      <c r="DV13" s="558"/>
      <c r="DW13" s="558"/>
      <c r="DX13" s="558"/>
      <c r="DY13" s="558"/>
      <c r="DZ13" s="558"/>
      <c r="EA13" s="558"/>
      <c r="EB13" s="558"/>
      <c r="EC13" s="558"/>
      <c r="ED13" s="558"/>
      <c r="EE13" s="558"/>
      <c r="EF13" s="558"/>
      <c r="EG13" s="558"/>
      <c r="EH13" s="558"/>
      <c r="EI13" s="558"/>
      <c r="EJ13" s="558"/>
      <c r="EK13" s="558"/>
      <c r="EL13" s="558"/>
      <c r="EM13" s="558"/>
      <c r="EN13" s="558"/>
      <c r="EO13" s="558"/>
      <c r="EP13" s="558"/>
      <c r="EQ13" s="558"/>
      <c r="ER13" s="558"/>
      <c r="ES13" s="558"/>
      <c r="ET13" s="558"/>
      <c r="EU13" s="558"/>
      <c r="EV13" s="558"/>
      <c r="EW13" s="558"/>
      <c r="EX13" s="558"/>
      <c r="EY13" s="558"/>
      <c r="EZ13" s="558"/>
      <c r="FA13" s="558"/>
      <c r="FB13" s="558"/>
      <c r="FC13" s="558"/>
      <c r="FD13" s="558"/>
      <c r="FE13" s="558"/>
      <c r="FF13" s="558"/>
      <c r="FG13" s="558"/>
      <c r="FH13" s="558"/>
      <c r="FI13" s="558"/>
      <c r="FJ13" s="558"/>
      <c r="FK13" s="558"/>
      <c r="FL13" s="558"/>
      <c r="FM13" s="558"/>
      <c r="FN13" s="558"/>
      <c r="FO13" s="558"/>
      <c r="FP13" s="558"/>
      <c r="FQ13" s="558"/>
      <c r="FR13" s="558"/>
      <c r="FS13" s="558"/>
      <c r="FT13" s="558"/>
      <c r="FU13" s="558"/>
      <c r="FV13" s="558"/>
      <c r="FW13" s="558"/>
      <c r="FX13" s="558"/>
      <c r="FY13" s="558"/>
      <c r="FZ13" s="558"/>
      <c r="GA13" s="558"/>
      <c r="GB13" s="558"/>
      <c r="GC13" s="558"/>
      <c r="GD13" s="558"/>
      <c r="GE13" s="558"/>
      <c r="GF13" s="558"/>
      <c r="GG13" s="558"/>
      <c r="GH13" s="558"/>
      <c r="GI13" s="558"/>
      <c r="GJ13" s="558"/>
      <c r="GK13" s="558"/>
      <c r="GL13" s="558"/>
      <c r="GM13" s="558"/>
      <c r="GN13" s="558"/>
      <c r="GO13" s="558"/>
      <c r="GP13" s="558"/>
      <c r="GQ13" s="558"/>
      <c r="GR13" s="558"/>
      <c r="GS13" s="558"/>
      <c r="GT13" s="558"/>
      <c r="GU13" s="558"/>
      <c r="GV13" s="558"/>
      <c r="GW13" s="558"/>
      <c r="GX13" s="558"/>
      <c r="GY13" s="558"/>
      <c r="GZ13" s="558"/>
      <c r="HA13" s="558"/>
      <c r="HB13" s="558"/>
      <c r="HC13" s="558"/>
      <c r="HD13" s="558"/>
      <c r="HE13" s="558"/>
      <c r="HF13" s="558"/>
      <c r="HG13" s="558"/>
      <c r="HH13" s="558"/>
      <c r="HI13" s="558"/>
      <c r="HJ13" s="558"/>
      <c r="HK13" s="558"/>
      <c r="HL13" s="558"/>
      <c r="HM13" s="558"/>
      <c r="HN13" s="558"/>
      <c r="HO13" s="558"/>
      <c r="HP13" s="558"/>
      <c r="HQ13" s="558"/>
      <c r="HR13" s="558"/>
      <c r="HS13" s="558"/>
      <c r="HT13" s="558"/>
      <c r="HU13" s="558"/>
      <c r="HV13" s="558"/>
      <c r="HW13" s="558"/>
      <c r="HX13" s="558"/>
      <c r="HY13" s="558"/>
      <c r="HZ13" s="558"/>
      <c r="IA13" s="558"/>
      <c r="IB13" s="558"/>
      <c r="IC13" s="558"/>
      <c r="ID13" s="558"/>
      <c r="IE13" s="558"/>
      <c r="IF13" s="558"/>
      <c r="IG13" s="558"/>
      <c r="IH13" s="558"/>
      <c r="II13" s="558"/>
      <c r="IJ13" s="558"/>
      <c r="IK13" s="558"/>
      <c r="IL13" s="558"/>
      <c r="IM13" s="558"/>
      <c r="IN13" s="558"/>
      <c r="IO13" s="558"/>
      <c r="IP13" s="558"/>
      <c r="IQ13" s="558"/>
      <c r="IR13" s="558"/>
      <c r="IS13" s="558"/>
      <c r="IT13" s="558"/>
      <c r="IU13" s="558"/>
      <c r="IV13" s="558"/>
      <c r="IW13" s="558"/>
      <c r="IX13" s="558"/>
      <c r="IY13" s="558"/>
      <c r="IZ13" s="558"/>
      <c r="JA13" s="558"/>
    </row>
    <row r="14" spans="1:261" x14ac:dyDescent="0.25">
      <c r="A14" s="546" t="s">
        <v>348</v>
      </c>
      <c r="B14" s="560"/>
      <c r="C14" s="561" t="s">
        <v>388</v>
      </c>
      <c r="D14" s="546"/>
      <c r="E14" s="546"/>
      <c r="F14" s="546"/>
      <c r="G14" s="546"/>
      <c r="H14" s="546"/>
      <c r="I14" s="546"/>
      <c r="J14" s="546"/>
      <c r="K14" s="546"/>
      <c r="L14" s="546"/>
      <c r="M14" s="546"/>
      <c r="N14" s="546"/>
      <c r="O14" s="546"/>
      <c r="P14" s="546"/>
      <c r="Q14" s="546"/>
      <c r="R14" s="546"/>
      <c r="S14" s="546"/>
      <c r="T14" s="546"/>
      <c r="U14" s="546"/>
      <c r="V14" s="546"/>
      <c r="W14" s="546"/>
      <c r="X14" s="546"/>
      <c r="Y14" s="546"/>
      <c r="Z14" s="546"/>
      <c r="AA14" s="546"/>
      <c r="AB14" s="546"/>
      <c r="AC14" s="546"/>
      <c r="AD14" s="546"/>
      <c r="AE14" s="546"/>
      <c r="AF14" s="546"/>
      <c r="AG14" s="546"/>
      <c r="AH14" s="562" t="s">
        <v>350</v>
      </c>
      <c r="AI14" s="562" t="s">
        <v>349</v>
      </c>
      <c r="AJ14" t="s">
        <v>351</v>
      </c>
      <c r="AK14" s="563"/>
      <c r="AL14" s="563"/>
      <c r="AM14" s="563"/>
      <c r="AN14" s="563"/>
      <c r="AO14" s="563"/>
      <c r="AP14" s="563"/>
      <c r="AQ14" s="563"/>
      <c r="AR14" s="563"/>
      <c r="AS14" s="563"/>
      <c r="AT14" s="563"/>
      <c r="AU14" s="563"/>
      <c r="AV14" s="563"/>
      <c r="AW14" s="563"/>
      <c r="AX14" s="563"/>
      <c r="AY14" s="563"/>
      <c r="AZ14" s="563"/>
      <c r="BA14" s="563"/>
      <c r="BB14" s="563"/>
      <c r="BC14" s="563"/>
      <c r="BD14" s="563"/>
      <c r="BE14" s="563"/>
      <c r="BF14" s="563"/>
      <c r="BG14" s="563"/>
      <c r="BH14" s="563"/>
      <c r="BI14" s="563"/>
      <c r="BJ14" s="563"/>
      <c r="BK14" s="563"/>
      <c r="BL14" s="563"/>
      <c r="BM14" s="563"/>
      <c r="BN14" s="563"/>
      <c r="BO14" s="563"/>
      <c r="BP14" s="563"/>
      <c r="BQ14" s="563"/>
      <c r="BR14" s="563"/>
      <c r="BS14" s="563"/>
      <c r="BT14" s="563"/>
      <c r="BU14" s="563"/>
      <c r="BV14" s="563"/>
      <c r="BW14" s="563"/>
      <c r="BX14" s="563"/>
      <c r="BY14" s="563"/>
      <c r="BZ14" s="563"/>
      <c r="CA14" s="563"/>
      <c r="CB14" s="563"/>
      <c r="CC14" s="563"/>
      <c r="CD14" s="563"/>
      <c r="CE14" s="563"/>
      <c r="CF14" s="563"/>
      <c r="CG14" s="563"/>
      <c r="CH14" s="563"/>
      <c r="CI14" s="563"/>
      <c r="CJ14" s="563"/>
      <c r="CK14" s="563"/>
      <c r="CL14" s="563"/>
      <c r="CM14" s="563"/>
      <c r="CN14" s="563"/>
      <c r="CO14" s="563"/>
      <c r="CP14" s="563"/>
      <c r="CQ14" s="563"/>
      <c r="CR14" s="563"/>
      <c r="CS14" s="563"/>
      <c r="CT14" s="563"/>
      <c r="CU14" s="563"/>
      <c r="CV14" s="563"/>
      <c r="CW14" s="563"/>
      <c r="CX14" s="563"/>
      <c r="CY14" s="563"/>
      <c r="CZ14" s="563"/>
      <c r="DA14" s="563"/>
      <c r="DB14" s="563"/>
      <c r="DC14" s="563"/>
      <c r="DD14" s="563"/>
      <c r="DE14" s="563"/>
      <c r="DF14" s="563"/>
      <c r="DG14" s="563"/>
      <c r="DH14" s="563"/>
      <c r="DI14" s="563"/>
      <c r="DJ14" s="563"/>
      <c r="DK14" s="563"/>
      <c r="DL14" s="563"/>
      <c r="DM14" s="563"/>
      <c r="DN14" s="563"/>
      <c r="DO14" s="563"/>
      <c r="DP14" s="563"/>
      <c r="DQ14" s="563"/>
      <c r="DR14" s="563"/>
      <c r="DS14" s="563"/>
      <c r="DT14" s="563"/>
      <c r="DU14" s="563"/>
      <c r="DV14" s="563"/>
      <c r="DW14" s="563"/>
      <c r="DX14" s="563"/>
      <c r="DY14" s="563"/>
      <c r="DZ14" s="563"/>
      <c r="EA14" s="563"/>
      <c r="EB14" s="563"/>
      <c r="EC14" s="563"/>
      <c r="ED14" s="563"/>
      <c r="EE14" s="563"/>
      <c r="EF14" s="563"/>
      <c r="EG14" s="563"/>
      <c r="EH14" s="563"/>
      <c r="EI14" s="563"/>
      <c r="EJ14" s="563"/>
      <c r="EK14" s="563"/>
      <c r="EL14" s="563"/>
      <c r="EM14" s="563"/>
      <c r="EN14" s="563"/>
      <c r="EO14" s="563"/>
      <c r="EP14" s="563"/>
      <c r="EQ14" s="563"/>
      <c r="ER14" s="563"/>
      <c r="ES14" s="563"/>
      <c r="ET14" s="563"/>
      <c r="EU14" s="563"/>
      <c r="EV14" s="563"/>
      <c r="EW14" s="563"/>
      <c r="EX14" s="563"/>
      <c r="EY14" s="563"/>
      <c r="EZ14" s="563"/>
      <c r="FA14" s="563"/>
      <c r="FB14" s="563"/>
      <c r="FC14" s="563"/>
      <c r="FD14" s="563"/>
      <c r="FE14" s="563"/>
      <c r="FF14" s="563"/>
      <c r="FG14" s="563"/>
      <c r="FH14" s="563"/>
      <c r="FI14" s="563"/>
      <c r="FJ14" s="563"/>
      <c r="FK14" s="563"/>
      <c r="FL14" s="563"/>
      <c r="FM14" s="563"/>
      <c r="FN14" s="563"/>
      <c r="FO14" s="563"/>
      <c r="FP14" s="563"/>
      <c r="FQ14" s="563"/>
      <c r="FR14" s="563"/>
      <c r="FS14" s="563"/>
      <c r="FT14" s="563"/>
      <c r="FU14" s="563"/>
      <c r="FV14" s="563"/>
      <c r="FW14" s="563"/>
      <c r="FX14" s="563"/>
      <c r="FY14" s="563"/>
      <c r="FZ14" s="563"/>
      <c r="GA14" s="563"/>
      <c r="GB14" s="563"/>
      <c r="GC14" s="563"/>
      <c r="GD14" s="563"/>
      <c r="GE14" s="563"/>
      <c r="GF14" s="563"/>
      <c r="GG14" s="563"/>
      <c r="GH14" s="563"/>
      <c r="GI14" s="563"/>
      <c r="GJ14" s="563"/>
      <c r="GK14" s="563"/>
      <c r="GL14" s="563"/>
      <c r="GM14" s="563"/>
      <c r="GN14" s="563"/>
      <c r="GO14" s="563"/>
      <c r="GP14" s="563"/>
      <c r="GQ14" s="563"/>
      <c r="GR14" s="563"/>
      <c r="GS14" s="563"/>
      <c r="GT14" s="563"/>
      <c r="GU14" s="563"/>
      <c r="GV14" s="563"/>
      <c r="GW14" s="563"/>
      <c r="GX14" s="563"/>
      <c r="GY14" s="563"/>
      <c r="GZ14" s="563"/>
      <c r="HA14" s="563"/>
      <c r="HB14" s="563"/>
      <c r="HC14" s="563"/>
      <c r="HD14" s="563"/>
      <c r="HE14" s="563"/>
      <c r="HF14" s="563"/>
      <c r="HG14" s="563"/>
      <c r="HH14" s="563"/>
      <c r="HI14" s="563"/>
      <c r="HJ14" s="563"/>
      <c r="HK14" s="563"/>
      <c r="HL14" s="563"/>
      <c r="HM14" s="563"/>
      <c r="HN14" s="563"/>
      <c r="HO14" s="563"/>
      <c r="HP14" s="563"/>
      <c r="HQ14" s="563"/>
      <c r="HR14" s="563"/>
      <c r="HS14" s="563"/>
      <c r="HT14" s="563"/>
      <c r="HU14" s="563"/>
      <c r="HV14" s="563"/>
      <c r="HW14" s="563"/>
      <c r="HX14" s="563"/>
      <c r="HY14" s="563"/>
      <c r="HZ14" s="563"/>
      <c r="IA14" s="563"/>
      <c r="IB14" s="563"/>
      <c r="IC14" s="563"/>
      <c r="ID14" s="563"/>
      <c r="IE14" s="563"/>
      <c r="IF14" s="563"/>
      <c r="IG14" s="563"/>
      <c r="IH14" s="563"/>
      <c r="II14" s="563"/>
      <c r="IJ14" s="563"/>
      <c r="IK14" s="563"/>
      <c r="IL14" s="563"/>
      <c r="IM14" s="563"/>
      <c r="IN14" s="563"/>
      <c r="IO14" s="563"/>
      <c r="IP14" s="563"/>
      <c r="IQ14" s="563"/>
      <c r="IR14" s="563"/>
      <c r="IS14" s="563"/>
      <c r="IT14" s="563"/>
      <c r="IU14" s="563"/>
      <c r="IV14" s="563"/>
      <c r="IW14" s="563"/>
      <c r="IX14" s="563"/>
      <c r="IY14" s="563"/>
      <c r="IZ14" s="563"/>
      <c r="JA14" s="563"/>
    </row>
    <row r="15" spans="1:261" x14ac:dyDescent="0.25">
      <c r="A15" s="563"/>
      <c r="B15" s="564"/>
      <c r="C15" s="565"/>
      <c r="D15" s="546"/>
      <c r="E15" s="546"/>
      <c r="F15" s="546"/>
      <c r="G15" s="546"/>
      <c r="H15" s="546"/>
      <c r="I15" s="546"/>
      <c r="J15" s="546"/>
      <c r="K15" s="546"/>
      <c r="L15" s="546"/>
      <c r="M15" s="546"/>
      <c r="N15" s="546"/>
      <c r="O15" s="546"/>
      <c r="P15" s="546"/>
      <c r="Q15" s="546"/>
      <c r="R15" s="546"/>
      <c r="S15" s="546"/>
      <c r="T15" s="546"/>
      <c r="U15" s="546"/>
      <c r="V15" s="546"/>
      <c r="W15" s="546"/>
      <c r="X15" s="546"/>
      <c r="Y15" s="546"/>
      <c r="Z15" s="546"/>
      <c r="AA15" s="546"/>
      <c r="AB15" s="546"/>
      <c r="AC15" s="546"/>
      <c r="AD15" s="546"/>
      <c r="AE15" s="546"/>
      <c r="AF15" s="546"/>
      <c r="AG15" s="546"/>
      <c r="AH15" s="562" t="s">
        <v>349</v>
      </c>
      <c r="AI15" s="562" t="s">
        <v>350</v>
      </c>
      <c r="AJ15" t="s">
        <v>352</v>
      </c>
      <c r="AK15" s="558"/>
      <c r="AL15" s="558"/>
      <c r="AM15" s="558"/>
      <c r="AN15" s="558"/>
      <c r="AO15" s="558"/>
      <c r="AP15" s="558"/>
      <c r="AQ15" s="558"/>
      <c r="AR15" s="558"/>
      <c r="AS15" s="558"/>
      <c r="AT15" s="558"/>
      <c r="AU15" s="558"/>
      <c r="AV15" s="558"/>
      <c r="AW15" s="558"/>
      <c r="AX15" s="558"/>
      <c r="AY15" s="558"/>
      <c r="AZ15" s="558"/>
      <c r="BA15" s="558"/>
      <c r="BB15" s="558"/>
      <c r="BC15" s="558"/>
      <c r="BD15" s="558"/>
      <c r="BE15" s="558"/>
      <c r="BF15" s="558"/>
      <c r="BG15" s="558"/>
      <c r="BH15" s="558"/>
      <c r="BI15" s="558"/>
      <c r="BJ15" s="558"/>
      <c r="BK15" s="558"/>
      <c r="BL15" s="558"/>
      <c r="BM15" s="558"/>
      <c r="BN15" s="558"/>
      <c r="BO15" s="558"/>
      <c r="BP15" s="558"/>
      <c r="BQ15" s="558"/>
      <c r="BR15" s="558"/>
      <c r="BS15" s="558"/>
      <c r="BT15" s="558"/>
      <c r="BU15" s="558"/>
      <c r="BV15" s="558"/>
      <c r="BW15" s="558"/>
      <c r="BX15" s="558"/>
      <c r="BY15" s="558"/>
      <c r="BZ15" s="558"/>
      <c r="CA15" s="558"/>
      <c r="CB15" s="558"/>
      <c r="CC15" s="558"/>
      <c r="CD15" s="558"/>
      <c r="CE15" s="558"/>
      <c r="CF15" s="558"/>
      <c r="CG15" s="558"/>
      <c r="CH15" s="558"/>
      <c r="CI15" s="558"/>
      <c r="CJ15" s="558"/>
      <c r="CK15" s="558"/>
      <c r="CL15" s="558"/>
      <c r="CM15" s="558"/>
      <c r="CN15" s="558"/>
      <c r="CO15" s="558"/>
      <c r="CP15" s="558"/>
      <c r="CQ15" s="558"/>
      <c r="CR15" s="558"/>
      <c r="CS15" s="558"/>
      <c r="CT15" s="558"/>
      <c r="CU15" s="558"/>
      <c r="CV15" s="558"/>
      <c r="CW15" s="558"/>
      <c r="CX15" s="558"/>
      <c r="CY15" s="558"/>
      <c r="CZ15" s="558"/>
      <c r="DA15" s="558"/>
      <c r="DB15" s="558"/>
      <c r="DC15" s="558"/>
      <c r="DD15" s="558"/>
      <c r="DE15" s="558"/>
      <c r="DF15" s="558"/>
      <c r="DG15" s="558"/>
      <c r="DH15" s="558"/>
      <c r="DI15" s="558"/>
      <c r="DJ15" s="558"/>
      <c r="DK15" s="558"/>
      <c r="DL15" s="558"/>
      <c r="DM15" s="558"/>
      <c r="DN15" s="558"/>
      <c r="DO15" s="558"/>
      <c r="DP15" s="558"/>
      <c r="DQ15" s="558"/>
      <c r="DR15" s="558"/>
      <c r="DS15" s="558"/>
      <c r="DT15" s="558"/>
      <c r="DU15" s="558"/>
      <c r="DV15" s="558"/>
      <c r="DW15" s="558"/>
      <c r="DX15" s="558"/>
      <c r="DY15" s="558"/>
      <c r="DZ15" s="558"/>
      <c r="EA15" s="558"/>
      <c r="EB15" s="558"/>
      <c r="EC15" s="558"/>
      <c r="ED15" s="558"/>
      <c r="EE15" s="558"/>
      <c r="EF15" s="558"/>
      <c r="EG15" s="558"/>
      <c r="EH15" s="558"/>
      <c r="EI15" s="558"/>
      <c r="EJ15" s="558"/>
      <c r="EK15" s="558"/>
      <c r="EL15" s="558"/>
      <c r="EM15" s="558"/>
      <c r="EN15" s="558"/>
      <c r="EO15" s="558"/>
      <c r="EP15" s="558"/>
      <c r="EQ15" s="558"/>
      <c r="ER15" s="558"/>
      <c r="ES15" s="558"/>
      <c r="ET15" s="558"/>
      <c r="EU15" s="558"/>
      <c r="EV15" s="558"/>
      <c r="EW15" s="558"/>
      <c r="EX15" s="558"/>
      <c r="EY15" s="558"/>
      <c r="EZ15" s="558"/>
      <c r="FA15" s="558"/>
      <c r="FB15" s="558"/>
      <c r="FC15" s="558"/>
      <c r="FD15" s="558"/>
      <c r="FE15" s="558"/>
      <c r="FF15" s="558"/>
      <c r="FG15" s="558"/>
      <c r="FH15" s="558"/>
      <c r="FI15" s="558"/>
      <c r="FJ15" s="558"/>
      <c r="FK15" s="558"/>
      <c r="FL15" s="558"/>
      <c r="FM15" s="558"/>
      <c r="FN15" s="558"/>
      <c r="FO15" s="558"/>
      <c r="FP15" s="558"/>
      <c r="FQ15" s="558"/>
      <c r="FR15" s="558"/>
      <c r="FS15" s="558"/>
      <c r="FT15" s="558"/>
      <c r="FU15" s="558"/>
      <c r="FV15" s="558"/>
      <c r="FW15" s="558"/>
      <c r="FX15" s="558"/>
      <c r="FY15" s="558"/>
      <c r="FZ15" s="558"/>
      <c r="GA15" s="558"/>
      <c r="GB15" s="558"/>
      <c r="GC15" s="558"/>
      <c r="GD15" s="558"/>
      <c r="GE15" s="558"/>
      <c r="GF15" s="558"/>
      <c r="GG15" s="558"/>
      <c r="GH15" s="558"/>
      <c r="GI15" s="558"/>
      <c r="GJ15" s="558"/>
      <c r="GK15" s="558"/>
      <c r="GL15" s="558"/>
      <c r="GM15" s="558"/>
      <c r="GN15" s="558"/>
      <c r="GO15" s="558"/>
      <c r="GP15" s="558"/>
      <c r="GQ15" s="558"/>
      <c r="GR15" s="558"/>
      <c r="GS15" s="558"/>
      <c r="GT15" s="558"/>
      <c r="GU15" s="558"/>
      <c r="GV15" s="558"/>
      <c r="GW15" s="558"/>
      <c r="GX15" s="558"/>
      <c r="GY15" s="558"/>
      <c r="GZ15" s="558"/>
      <c r="HA15" s="558"/>
      <c r="HB15" s="558"/>
      <c r="HC15" s="558"/>
      <c r="HD15" s="558"/>
      <c r="HE15" s="558"/>
      <c r="HF15" s="558"/>
      <c r="HG15" s="558"/>
      <c r="HH15" s="558"/>
      <c r="HI15" s="558"/>
      <c r="HJ15" s="558"/>
      <c r="HK15" s="558"/>
      <c r="HL15" s="558"/>
      <c r="HM15" s="558"/>
      <c r="HN15" s="558"/>
      <c r="HO15" s="558"/>
      <c r="HP15" s="558"/>
      <c r="HQ15" s="558"/>
      <c r="HR15" s="558"/>
      <c r="HS15" s="558"/>
      <c r="HT15" s="558"/>
      <c r="HU15" s="558"/>
      <c r="HV15" s="558"/>
      <c r="HW15" s="558"/>
      <c r="HX15" s="558"/>
      <c r="HY15" s="558"/>
      <c r="HZ15" s="558"/>
      <c r="IA15" s="558"/>
      <c r="IB15" s="558"/>
      <c r="IC15" s="558"/>
      <c r="ID15" s="558"/>
      <c r="IE15" s="558"/>
      <c r="IF15" s="558"/>
      <c r="IG15" s="558"/>
      <c r="IH15" s="558"/>
      <c r="II15" s="558"/>
      <c r="IJ15" s="558"/>
      <c r="IK15" s="558"/>
      <c r="IL15" s="558"/>
      <c r="IM15" s="558"/>
      <c r="IN15" s="558"/>
      <c r="IO15" s="558"/>
      <c r="IP15" s="558"/>
      <c r="IQ15" s="558"/>
      <c r="IR15" s="558"/>
      <c r="IS15" s="558"/>
      <c r="IT15" s="558"/>
      <c r="IU15" s="558"/>
      <c r="IV15" s="558"/>
      <c r="IW15" s="558"/>
      <c r="IX15" s="558"/>
      <c r="IY15" s="558"/>
      <c r="IZ15" s="558"/>
      <c r="JA15" s="558"/>
    </row>
    <row r="16" spans="1:261" x14ac:dyDescent="0.25">
      <c r="B16" s="566"/>
      <c r="D16" s="568">
        <f>$B$17-1</f>
        <v>2022</v>
      </c>
      <c r="E16" s="568">
        <f>$B$17-1</f>
        <v>2022</v>
      </c>
      <c r="F16" s="568">
        <f>$B$17-1</f>
        <v>2022</v>
      </c>
      <c r="G16" s="568">
        <f>$B$17-1</f>
        <v>2022</v>
      </c>
      <c r="H16" s="568">
        <f>$B$17-1</f>
        <v>2022</v>
      </c>
      <c r="I16" s="569">
        <f>$B$17</f>
        <v>2023</v>
      </c>
      <c r="J16" s="569">
        <f>$B$17</f>
        <v>2023</v>
      </c>
      <c r="K16" s="569">
        <f>$B$17</f>
        <v>2023</v>
      </c>
      <c r="L16" s="569">
        <f>$B$17</f>
        <v>2023</v>
      </c>
      <c r="M16" s="569">
        <f>$B$17</f>
        <v>2023</v>
      </c>
      <c r="N16" s="569">
        <f>$B$17+1</f>
        <v>2024</v>
      </c>
      <c r="O16" s="569">
        <f>$B$17+1</f>
        <v>2024</v>
      </c>
      <c r="P16" s="569">
        <f>$B$17+1</f>
        <v>2024</v>
      </c>
      <c r="Q16" s="569">
        <f>$B$17+1</f>
        <v>2024</v>
      </c>
      <c r="R16" s="569">
        <f>$B$17+1</f>
        <v>2024</v>
      </c>
      <c r="S16" s="569">
        <f>$B$17+2</f>
        <v>2025</v>
      </c>
      <c r="T16" s="569">
        <f>$B$17+2</f>
        <v>2025</v>
      </c>
      <c r="U16" s="569">
        <f>$B$17+2</f>
        <v>2025</v>
      </c>
      <c r="V16" s="569">
        <f>$B$17+2</f>
        <v>2025</v>
      </c>
      <c r="W16" s="569">
        <f>$B$17+2</f>
        <v>2025</v>
      </c>
      <c r="X16" s="569">
        <f>S16+1</f>
        <v>2026</v>
      </c>
      <c r="Y16" s="569">
        <f t="shared" ref="Y16:AA16" si="0">T16+1</f>
        <v>2026</v>
      </c>
      <c r="Z16" s="569">
        <f t="shared" si="0"/>
        <v>2026</v>
      </c>
      <c r="AA16" s="569">
        <f t="shared" si="0"/>
        <v>2026</v>
      </c>
      <c r="AB16" s="569">
        <f>W16+1</f>
        <v>2026</v>
      </c>
      <c r="AC16" s="569">
        <f>X16+1</f>
        <v>2027</v>
      </c>
      <c r="AD16" s="569">
        <f t="shared" ref="AD16" si="1">Y16+1</f>
        <v>2027</v>
      </c>
      <c r="AE16" s="569">
        <f t="shared" ref="AE16" si="2">Z16+1</f>
        <v>2027</v>
      </c>
      <c r="AF16" s="569">
        <f t="shared" ref="AF16" si="3">AA16+1</f>
        <v>2027</v>
      </c>
      <c r="AG16" s="569">
        <f>AB16+1</f>
        <v>2027</v>
      </c>
      <c r="AJ16" t="s">
        <v>353</v>
      </c>
    </row>
    <row r="17" spans="1:261" ht="31.5" x14ac:dyDescent="0.25">
      <c r="A17" s="570" t="s">
        <v>354</v>
      </c>
      <c r="B17" s="571">
        <v>2023</v>
      </c>
      <c r="D17" s="572" t="str">
        <f>IF(RIGHT(IS!X4)="E","E","A")</f>
        <v>A</v>
      </c>
      <c r="E17" s="572" t="str">
        <f>IF(RIGHT(IS!Y4)="E","E","A")</f>
        <v>A</v>
      </c>
      <c r="F17" s="572" t="str">
        <f>IF(RIGHT(IS!Z4)="E","E","A")</f>
        <v>A</v>
      </c>
      <c r="G17" s="572" t="str">
        <f>IF(RIGHT(IS!AA4)="E","E","A")</f>
        <v>A</v>
      </c>
      <c r="H17" s="572" t="str">
        <f>IF(RIGHT(IS!AB4)="E","E","A")</f>
        <v>A</v>
      </c>
      <c r="I17" s="572" t="str">
        <f>IF(RIGHT(IS!AC4)="E","E","A")</f>
        <v>A</v>
      </c>
      <c r="J17" s="572" t="str">
        <f>IF(RIGHT(IS!AD4)="E","E","A")</f>
        <v>A</v>
      </c>
      <c r="K17" s="572" t="str">
        <f>IF(RIGHT(IS!AE4)="E","E","A")</f>
        <v>A</v>
      </c>
      <c r="L17" s="572" t="str">
        <f>IF(RIGHT(IS!AF4)="E","E","A")</f>
        <v>A</v>
      </c>
      <c r="M17" s="572" t="str">
        <f>IF(RIGHT(IS!AG4)="E","E","A")</f>
        <v>A</v>
      </c>
      <c r="N17" s="572" t="str">
        <f>IF(RIGHT(IS!AH4)="E","E","A")</f>
        <v>A</v>
      </c>
      <c r="O17" s="572" t="str">
        <f>IF(RIGHT(IS!AI4)="E","E","A")</f>
        <v>A</v>
      </c>
      <c r="P17" s="572" t="str">
        <f>IF(RIGHT(IS!AJ4)="E","E","A")</f>
        <v>A</v>
      </c>
      <c r="Q17" s="572" t="str">
        <f>IF(RIGHT(IS!AK4)="E","E","A")</f>
        <v>A</v>
      </c>
      <c r="R17" s="572" t="str">
        <f>IF(RIGHT(IS!AL4)="E","E","A")</f>
        <v>A</v>
      </c>
      <c r="S17" s="572" t="str">
        <f>IF(RIGHT(IS!AM4)="E","E","A")</f>
        <v>A</v>
      </c>
      <c r="T17" s="572" t="str">
        <f>IF(RIGHT(IS!AN4)="E","E","A")</f>
        <v>A</v>
      </c>
      <c r="U17" s="572" t="str">
        <f>IF(RIGHT(IS!AO4)="E","E","A")</f>
        <v>A</v>
      </c>
      <c r="V17" s="572" t="str">
        <f>IF(RIGHT(IS!AP4)="E","E","A")</f>
        <v>A</v>
      </c>
      <c r="W17" s="572" t="str">
        <f>IF(RIGHT(IS!AQ4)="E","E","A")</f>
        <v>A</v>
      </c>
      <c r="X17" s="572" t="str">
        <f>IF(RIGHT(IS!AR4)="E","E","A")</f>
        <v>A</v>
      </c>
      <c r="Y17" s="572" t="str">
        <f>IF(RIGHT(IS!AS4)="E","E","A")</f>
        <v>A</v>
      </c>
      <c r="Z17" s="572" t="str">
        <f>IF(RIGHT(IS!AT4)="E","E","A")</f>
        <v>E</v>
      </c>
      <c r="AA17" s="572" t="str">
        <f>IF(RIGHT(IS!AU4)="E","E","A")</f>
        <v>E</v>
      </c>
      <c r="AB17" s="572" t="str">
        <f>IF(RIGHT(IS!AV4)="E","E","A")</f>
        <v>E</v>
      </c>
      <c r="AC17" s="572" t="str">
        <f>IF(RIGHT(IS!AW4)="E","E","A")</f>
        <v>E</v>
      </c>
      <c r="AD17" s="572" t="str">
        <f>IF(RIGHT(IS!AX4)="E","E","A")</f>
        <v>E</v>
      </c>
      <c r="AE17" s="572" t="str">
        <f>IF(RIGHT(IS!AY4)="E","E","A")</f>
        <v>E</v>
      </c>
      <c r="AF17" s="572" t="str">
        <f>IF(RIGHT(IS!AZ4)="E","E","A")</f>
        <v>E</v>
      </c>
      <c r="AG17" s="572" t="str">
        <f>IF(RIGHT(IS!BA4)="E","E","A")</f>
        <v>E</v>
      </c>
      <c r="AJ17" t="s">
        <v>355</v>
      </c>
    </row>
    <row r="18" spans="1:261" ht="31.5" x14ac:dyDescent="0.25">
      <c r="A18" s="570" t="s">
        <v>356</v>
      </c>
      <c r="B18" s="573" t="s">
        <v>357</v>
      </c>
      <c r="D18" s="574" t="str">
        <f>D16&amp;D19</f>
        <v>2022Q1</v>
      </c>
      <c r="E18" s="574" t="str">
        <f>E16&amp;E19</f>
        <v>2022Q2</v>
      </c>
      <c r="F18" s="574" t="str">
        <f>F16&amp;F19</f>
        <v>2022Q3</v>
      </c>
      <c r="G18" s="574" t="str">
        <f>G16&amp;G19</f>
        <v>2022Q4</v>
      </c>
      <c r="H18" s="574">
        <f>H16</f>
        <v>2022</v>
      </c>
      <c r="I18" s="575" t="str">
        <f>I16&amp;I19&amp;I17</f>
        <v>2023Q1A</v>
      </c>
      <c r="J18" s="574" t="str">
        <f>J16&amp;J19&amp;J17</f>
        <v>2023Q2A</v>
      </c>
      <c r="K18" s="574" t="str">
        <f>K16&amp;K19&amp;K17</f>
        <v>2023Q3A</v>
      </c>
      <c r="L18" s="574" t="str">
        <f>L16&amp;L19&amp;L17</f>
        <v>2023Q4A</v>
      </c>
      <c r="M18" s="574" t="str">
        <f>M16&amp;M17</f>
        <v>2023A</v>
      </c>
      <c r="N18" s="575" t="str">
        <f>N16&amp;N19&amp;N17</f>
        <v>2024Q1A</v>
      </c>
      <c r="O18" s="574" t="str">
        <f>O16&amp;O19&amp;O17</f>
        <v>2024Q2A</v>
      </c>
      <c r="P18" s="574" t="str">
        <f>P16&amp;P19&amp;P17</f>
        <v>2024Q3A</v>
      </c>
      <c r="Q18" s="574" t="str">
        <f>Q16&amp;Q19&amp;Q17</f>
        <v>2024Q4A</v>
      </c>
      <c r="R18" s="574" t="str">
        <f>R16&amp;R17</f>
        <v>2024A</v>
      </c>
      <c r="S18" s="575" t="str">
        <f>S16&amp;S19&amp;S17</f>
        <v>2025Q1A</v>
      </c>
      <c r="T18" s="574" t="str">
        <f>T16&amp;T19&amp;T17</f>
        <v>2025Q2A</v>
      </c>
      <c r="U18" s="574" t="str">
        <f>U16&amp;U19&amp;U17</f>
        <v>2025Q3A</v>
      </c>
      <c r="V18" s="574" t="str">
        <f>V16&amp;V19&amp;V17</f>
        <v>2025Q4A</v>
      </c>
      <c r="W18" s="574" t="str">
        <f>W16&amp;W17</f>
        <v>2025A</v>
      </c>
      <c r="X18" s="575" t="str">
        <f>X16&amp;X19&amp;X17</f>
        <v>2026Q1A</v>
      </c>
      <c r="Y18" s="574" t="str">
        <f>Y16&amp;Y19&amp;Y17</f>
        <v>2026Q2A</v>
      </c>
      <c r="Z18" s="574" t="str">
        <f>Z16&amp;Z19&amp;Z17</f>
        <v>2026Q3E</v>
      </c>
      <c r="AA18" s="574" t="str">
        <f>AA16&amp;AA19&amp;AA17</f>
        <v>2026Q4E</v>
      </c>
      <c r="AB18" s="574" t="str">
        <f>AB16&amp;AB17</f>
        <v>2026E</v>
      </c>
      <c r="AC18" s="575" t="str">
        <f>AC16&amp;AC19&amp;AC17</f>
        <v>2027Q1E</v>
      </c>
      <c r="AD18" s="574" t="str">
        <f>AD16&amp;AD19&amp;AD17</f>
        <v>2027Q2E</v>
      </c>
      <c r="AE18" s="574" t="str">
        <f>AE16&amp;AE19&amp;AE17</f>
        <v>2027Q3E</v>
      </c>
      <c r="AF18" s="574" t="str">
        <f>AF16&amp;AF19&amp;AF17</f>
        <v>2027Q4E</v>
      </c>
      <c r="AG18" s="574" t="str">
        <f>AG16&amp;AG17</f>
        <v>2027E</v>
      </c>
      <c r="AH18" s="576"/>
      <c r="AI18" s="576"/>
      <c r="AJ18" t="s">
        <v>358</v>
      </c>
      <c r="AK18" s="576"/>
      <c r="AL18" s="576"/>
      <c r="AM18" s="576"/>
      <c r="AN18" s="576"/>
      <c r="AO18" s="576"/>
      <c r="AP18" s="576"/>
      <c r="AQ18" s="576"/>
      <c r="AR18" s="576"/>
      <c r="AS18" s="576"/>
      <c r="AT18" s="576"/>
      <c r="AU18" s="576"/>
      <c r="AV18" s="576"/>
      <c r="AW18" s="576"/>
      <c r="AX18" s="576"/>
      <c r="AY18" s="576"/>
      <c r="AZ18" s="576"/>
      <c r="BA18" s="576"/>
      <c r="BB18" s="576"/>
      <c r="BC18" s="576"/>
      <c r="BD18" s="576"/>
      <c r="BE18" s="576"/>
      <c r="BF18" s="576"/>
      <c r="BG18" s="576"/>
      <c r="BH18" s="576"/>
      <c r="BI18" s="576"/>
      <c r="BJ18" s="576"/>
      <c r="BK18" s="576"/>
      <c r="BL18" s="576"/>
      <c r="BM18" s="576"/>
      <c r="BN18" s="576"/>
      <c r="BO18" s="576"/>
      <c r="BP18" s="576"/>
      <c r="BQ18" s="576"/>
      <c r="BR18" s="576"/>
      <c r="BS18" s="576"/>
      <c r="BT18" s="576"/>
      <c r="BU18" s="576"/>
      <c r="BV18" s="576"/>
      <c r="BW18" s="576"/>
      <c r="BX18" s="576"/>
      <c r="BY18" s="576"/>
      <c r="BZ18" s="576"/>
      <c r="CA18" s="576"/>
      <c r="CB18" s="576"/>
      <c r="CC18" s="576"/>
      <c r="CD18" s="576"/>
      <c r="CE18" s="576"/>
      <c r="CF18" s="576"/>
      <c r="CG18" s="576"/>
      <c r="CH18" s="576"/>
      <c r="CI18" s="576"/>
      <c r="CJ18" s="576"/>
      <c r="CK18" s="576"/>
      <c r="CL18" s="576"/>
      <c r="CM18" s="576"/>
      <c r="CN18" s="576"/>
      <c r="CO18" s="576"/>
      <c r="CP18" s="576"/>
      <c r="CQ18" s="576"/>
      <c r="CR18" s="576"/>
      <c r="CS18" s="576"/>
      <c r="CT18" s="576"/>
      <c r="CU18" s="576"/>
      <c r="CV18" s="576"/>
      <c r="CW18" s="576"/>
      <c r="CX18" s="576"/>
      <c r="CY18" s="576"/>
      <c r="CZ18" s="576"/>
      <c r="DA18" s="576"/>
      <c r="DB18" s="576"/>
      <c r="DC18" s="576"/>
      <c r="DD18" s="576"/>
      <c r="DE18" s="576"/>
      <c r="DF18" s="576"/>
      <c r="DG18" s="576"/>
      <c r="DH18" s="576"/>
      <c r="DI18" s="576"/>
      <c r="DJ18" s="576"/>
      <c r="DK18" s="576"/>
      <c r="DL18" s="576"/>
      <c r="DM18" s="576"/>
      <c r="DN18" s="576"/>
      <c r="DO18" s="576"/>
      <c r="DP18" s="576"/>
      <c r="DQ18" s="576"/>
      <c r="DR18" s="576"/>
      <c r="DS18" s="576"/>
      <c r="DT18" s="576"/>
      <c r="DU18" s="576"/>
      <c r="DV18" s="576"/>
      <c r="DW18" s="576"/>
      <c r="DX18" s="576"/>
      <c r="DY18" s="576"/>
      <c r="DZ18" s="576"/>
      <c r="EA18" s="576"/>
      <c r="EB18" s="576"/>
      <c r="EC18" s="576"/>
      <c r="ED18" s="576"/>
      <c r="EE18" s="576"/>
      <c r="EF18" s="576"/>
      <c r="EG18" s="576"/>
      <c r="EH18" s="576"/>
      <c r="EI18" s="576"/>
      <c r="EJ18" s="576"/>
      <c r="EK18" s="576"/>
      <c r="EL18" s="576"/>
      <c r="EM18" s="576"/>
      <c r="EN18" s="576"/>
      <c r="EO18" s="576"/>
      <c r="EP18" s="576"/>
      <c r="EQ18" s="576"/>
      <c r="ER18" s="576"/>
      <c r="ES18" s="576"/>
      <c r="ET18" s="576"/>
      <c r="EU18" s="576"/>
      <c r="EV18" s="576"/>
      <c r="EW18" s="576"/>
      <c r="EX18" s="576"/>
      <c r="EY18" s="576"/>
      <c r="EZ18" s="576"/>
      <c r="FA18" s="576"/>
      <c r="FB18" s="576"/>
      <c r="FC18" s="576"/>
      <c r="FD18" s="576"/>
      <c r="FE18" s="576"/>
      <c r="FF18" s="576"/>
      <c r="FG18" s="576"/>
      <c r="FH18" s="576"/>
      <c r="FI18" s="576"/>
      <c r="FJ18" s="576"/>
      <c r="FK18" s="576"/>
      <c r="FL18" s="576"/>
      <c r="FM18" s="576"/>
      <c r="FN18" s="576"/>
      <c r="FO18" s="576"/>
      <c r="FP18" s="576"/>
      <c r="FQ18" s="576"/>
      <c r="FR18" s="576"/>
      <c r="FS18" s="576"/>
      <c r="FT18" s="576"/>
      <c r="FU18" s="576"/>
      <c r="FV18" s="576"/>
      <c r="FW18" s="576"/>
      <c r="FX18" s="576"/>
      <c r="FY18" s="576"/>
      <c r="FZ18" s="576"/>
      <c r="GA18" s="576"/>
      <c r="GB18" s="576"/>
      <c r="GC18" s="576"/>
      <c r="GD18" s="576"/>
      <c r="GE18" s="576"/>
      <c r="GF18" s="576"/>
      <c r="GG18" s="576"/>
      <c r="GH18" s="576"/>
      <c r="GI18" s="576"/>
      <c r="GJ18" s="576"/>
      <c r="GK18" s="576"/>
      <c r="GL18" s="576"/>
      <c r="GM18" s="576"/>
      <c r="GN18" s="576"/>
      <c r="GO18" s="576"/>
      <c r="GP18" s="576"/>
      <c r="GQ18" s="576"/>
      <c r="GR18" s="576"/>
      <c r="GS18" s="576"/>
      <c r="GT18" s="576"/>
      <c r="GU18" s="576"/>
      <c r="GV18" s="576"/>
      <c r="GW18" s="576"/>
      <c r="GX18" s="576"/>
      <c r="GY18" s="576"/>
      <c r="GZ18" s="576"/>
      <c r="HA18" s="576"/>
      <c r="HB18" s="576"/>
      <c r="HC18" s="576"/>
      <c r="HD18" s="576"/>
      <c r="HE18" s="576"/>
      <c r="HF18" s="576"/>
      <c r="HG18" s="576"/>
      <c r="HH18" s="576"/>
      <c r="HI18" s="576"/>
      <c r="HJ18" s="576"/>
      <c r="HK18" s="576"/>
      <c r="HL18" s="576"/>
      <c r="HM18" s="576"/>
      <c r="HN18" s="576"/>
      <c r="HO18" s="576"/>
      <c r="HP18" s="576"/>
      <c r="HQ18" s="576"/>
      <c r="HR18" s="576"/>
      <c r="HS18" s="576"/>
      <c r="HT18" s="576"/>
      <c r="HU18" s="576"/>
      <c r="HV18" s="576"/>
      <c r="HW18" s="576"/>
      <c r="HX18" s="576"/>
      <c r="HY18" s="576"/>
      <c r="HZ18" s="576"/>
      <c r="IA18" s="576"/>
      <c r="IB18" s="576"/>
      <c r="IC18" s="576"/>
      <c r="ID18" s="576"/>
      <c r="IE18" s="576"/>
      <c r="IF18" s="576"/>
      <c r="IG18" s="576"/>
      <c r="IH18" s="576"/>
      <c r="II18" s="576"/>
      <c r="IJ18" s="576"/>
      <c r="IK18" s="576"/>
      <c r="IL18" s="576"/>
      <c r="IM18" s="576"/>
      <c r="IN18" s="576"/>
      <c r="IO18" s="576"/>
      <c r="IP18" s="576"/>
      <c r="IQ18" s="576"/>
      <c r="IR18" s="576"/>
      <c r="IS18" s="576"/>
      <c r="IT18" s="576"/>
      <c r="IU18" s="576"/>
      <c r="IV18" s="576"/>
      <c r="IW18" s="576"/>
      <c r="IX18" s="576"/>
      <c r="IY18" s="576"/>
      <c r="IZ18" s="576"/>
      <c r="JA18" s="576"/>
    </row>
    <row r="19" spans="1:261" x14ac:dyDescent="0.25">
      <c r="A19" s="577"/>
      <c r="B19" s="578"/>
      <c r="C19" s="579"/>
      <c r="D19" s="580" t="s">
        <v>359</v>
      </c>
      <c r="E19" s="580" t="s">
        <v>357</v>
      </c>
      <c r="F19" s="580" t="s">
        <v>360</v>
      </c>
      <c r="G19" s="580" t="s">
        <v>361</v>
      </c>
      <c r="H19" s="580" t="s">
        <v>362</v>
      </c>
      <c r="I19" s="581" t="s">
        <v>359</v>
      </c>
      <c r="J19" s="580" t="s">
        <v>357</v>
      </c>
      <c r="K19" s="580" t="s">
        <v>360</v>
      </c>
      <c r="L19" s="580" t="s">
        <v>361</v>
      </c>
      <c r="M19" s="580" t="s">
        <v>362</v>
      </c>
      <c r="N19" s="581" t="s">
        <v>359</v>
      </c>
      <c r="O19" s="580" t="s">
        <v>357</v>
      </c>
      <c r="P19" s="580" t="s">
        <v>360</v>
      </c>
      <c r="Q19" s="580" t="s">
        <v>361</v>
      </c>
      <c r="R19" s="580" t="s">
        <v>362</v>
      </c>
      <c r="S19" s="581" t="s">
        <v>359</v>
      </c>
      <c r="T19" s="580" t="s">
        <v>357</v>
      </c>
      <c r="U19" s="580" t="s">
        <v>360</v>
      </c>
      <c r="V19" s="580" t="s">
        <v>361</v>
      </c>
      <c r="W19" s="580" t="s">
        <v>362</v>
      </c>
      <c r="X19" s="581" t="s">
        <v>359</v>
      </c>
      <c r="Y19" s="580" t="s">
        <v>357</v>
      </c>
      <c r="Z19" s="580" t="s">
        <v>360</v>
      </c>
      <c r="AA19" s="580" t="s">
        <v>361</v>
      </c>
      <c r="AB19" s="580" t="s">
        <v>362</v>
      </c>
      <c r="AC19" s="581" t="s">
        <v>359</v>
      </c>
      <c r="AD19" s="580" t="s">
        <v>357</v>
      </c>
      <c r="AE19" s="580" t="s">
        <v>360</v>
      </c>
      <c r="AF19" s="580" t="s">
        <v>361</v>
      </c>
      <c r="AG19" s="580" t="s">
        <v>362</v>
      </c>
      <c r="AH19" s="582"/>
      <c r="AI19" s="582"/>
      <c r="AJ19" t="s">
        <v>363</v>
      </c>
      <c r="AK19" s="582"/>
      <c r="AL19" s="582"/>
      <c r="AM19" s="582"/>
      <c r="AN19" s="582"/>
      <c r="AO19" s="582"/>
      <c r="AP19" s="582"/>
      <c r="AQ19" s="582"/>
      <c r="AR19" s="582"/>
      <c r="AS19" s="582"/>
      <c r="AT19" s="582"/>
      <c r="AU19" s="582"/>
      <c r="AV19" s="582"/>
      <c r="AW19" s="582"/>
      <c r="AX19" s="582"/>
      <c r="AY19" s="582"/>
      <c r="AZ19" s="582"/>
      <c r="BA19" s="582"/>
      <c r="BB19" s="582"/>
      <c r="BC19" s="582"/>
      <c r="BD19" s="582"/>
      <c r="BE19" s="582"/>
      <c r="BF19" s="582"/>
      <c r="BG19" s="582"/>
      <c r="BH19" s="582"/>
      <c r="BI19" s="582"/>
      <c r="BJ19" s="582"/>
      <c r="BK19" s="582"/>
      <c r="BL19" s="582"/>
      <c r="BM19" s="582"/>
      <c r="BN19" s="582"/>
      <c r="BO19" s="582"/>
      <c r="BP19" s="582"/>
      <c r="BQ19" s="582"/>
      <c r="BR19" s="582"/>
      <c r="BS19" s="582"/>
      <c r="BT19" s="582"/>
      <c r="BU19" s="582"/>
      <c r="BV19" s="582"/>
      <c r="BW19" s="582"/>
      <c r="BX19" s="582"/>
      <c r="BY19" s="582"/>
      <c r="BZ19" s="582"/>
      <c r="CA19" s="582"/>
      <c r="CB19" s="582"/>
      <c r="CC19" s="582"/>
      <c r="CD19" s="582"/>
      <c r="CE19" s="582"/>
      <c r="CF19" s="582"/>
      <c r="CG19" s="582"/>
      <c r="CH19" s="582"/>
      <c r="CI19" s="582"/>
      <c r="CJ19" s="582"/>
      <c r="CK19" s="582"/>
      <c r="CL19" s="582"/>
      <c r="CM19" s="582"/>
      <c r="CN19" s="582"/>
      <c r="CO19" s="582"/>
      <c r="CP19" s="582"/>
      <c r="CQ19" s="582"/>
      <c r="CR19" s="582"/>
      <c r="CS19" s="582"/>
      <c r="CT19" s="582"/>
      <c r="CU19" s="582"/>
      <c r="CV19" s="582"/>
      <c r="CW19" s="582"/>
      <c r="CX19" s="582"/>
      <c r="CY19" s="582"/>
      <c r="CZ19" s="582"/>
      <c r="DA19" s="582"/>
      <c r="DB19" s="582"/>
      <c r="DC19" s="582"/>
      <c r="DD19" s="582"/>
      <c r="DE19" s="582"/>
      <c r="DF19" s="582"/>
      <c r="DG19" s="582"/>
      <c r="DH19" s="582"/>
      <c r="DI19" s="582"/>
      <c r="DJ19" s="582"/>
      <c r="DK19" s="582"/>
      <c r="DL19" s="582"/>
      <c r="DM19" s="582"/>
      <c r="DN19" s="582"/>
      <c r="DO19" s="582"/>
      <c r="DP19" s="582"/>
      <c r="DQ19" s="582"/>
      <c r="DR19" s="582"/>
      <c r="DS19" s="582"/>
      <c r="DT19" s="582"/>
      <c r="DU19" s="582"/>
      <c r="DV19" s="582"/>
      <c r="DW19" s="582"/>
      <c r="DX19" s="582"/>
      <c r="DY19" s="582"/>
      <c r="DZ19" s="582"/>
      <c r="EA19" s="582"/>
      <c r="EB19" s="582"/>
      <c r="EC19" s="582"/>
      <c r="ED19" s="582"/>
      <c r="EE19" s="582"/>
      <c r="EF19" s="582"/>
      <c r="EG19" s="582"/>
      <c r="EH19" s="582"/>
      <c r="EI19" s="582"/>
      <c r="EJ19" s="582"/>
      <c r="EK19" s="582"/>
      <c r="EL19" s="582"/>
      <c r="EM19" s="582"/>
      <c r="EN19" s="582"/>
      <c r="EO19" s="582"/>
      <c r="EP19" s="582"/>
      <c r="EQ19" s="582"/>
      <c r="ER19" s="582"/>
      <c r="ES19" s="582"/>
      <c r="ET19" s="582"/>
      <c r="EU19" s="582"/>
      <c r="EV19" s="582"/>
      <c r="EW19" s="582"/>
      <c r="EX19" s="582"/>
      <c r="EY19" s="582"/>
      <c r="EZ19" s="582"/>
      <c r="FA19" s="582"/>
      <c r="FB19" s="582"/>
      <c r="FC19" s="582"/>
      <c r="FD19" s="582"/>
      <c r="FE19" s="582"/>
      <c r="FF19" s="582"/>
      <c r="FG19" s="582"/>
      <c r="FH19" s="582"/>
      <c r="FI19" s="582"/>
      <c r="FJ19" s="582"/>
      <c r="FK19" s="582"/>
      <c r="FL19" s="582"/>
      <c r="FM19" s="582"/>
      <c r="FN19" s="582"/>
      <c r="FO19" s="582"/>
      <c r="FP19" s="582"/>
      <c r="FQ19" s="582"/>
      <c r="FR19" s="582"/>
      <c r="FS19" s="582"/>
      <c r="FT19" s="582"/>
      <c r="FU19" s="582"/>
      <c r="FV19" s="582"/>
      <c r="FW19" s="582"/>
      <c r="FX19" s="582"/>
      <c r="FY19" s="582"/>
      <c r="FZ19" s="582"/>
      <c r="GA19" s="582"/>
      <c r="GB19" s="582"/>
      <c r="GC19" s="582"/>
      <c r="GD19" s="582"/>
      <c r="GE19" s="582"/>
      <c r="GF19" s="582"/>
      <c r="GG19" s="582"/>
      <c r="GH19" s="582"/>
      <c r="GI19" s="582"/>
      <c r="GJ19" s="582"/>
      <c r="GK19" s="582"/>
      <c r="GL19" s="582"/>
      <c r="GM19" s="582"/>
      <c r="GN19" s="582"/>
      <c r="GO19" s="582"/>
      <c r="GP19" s="582"/>
      <c r="GQ19" s="582"/>
      <c r="GR19" s="582"/>
      <c r="GS19" s="582"/>
      <c r="GT19" s="582"/>
      <c r="GU19" s="582"/>
      <c r="GV19" s="582"/>
      <c r="GW19" s="582"/>
      <c r="GX19" s="582"/>
      <c r="GY19" s="582"/>
      <c r="GZ19" s="582"/>
      <c r="HA19" s="582"/>
      <c r="HB19" s="582"/>
      <c r="HC19" s="582"/>
      <c r="HD19" s="582"/>
      <c r="HE19" s="582"/>
      <c r="HF19" s="582"/>
      <c r="HG19" s="582"/>
      <c r="HH19" s="582"/>
      <c r="HI19" s="582"/>
      <c r="HJ19" s="582"/>
      <c r="HK19" s="582"/>
      <c r="HL19" s="582"/>
      <c r="HM19" s="582"/>
      <c r="HN19" s="582"/>
      <c r="HO19" s="582"/>
      <c r="HP19" s="582"/>
      <c r="HQ19" s="582"/>
      <c r="HR19" s="582"/>
      <c r="HS19" s="582"/>
      <c r="HT19" s="582"/>
      <c r="HU19" s="582"/>
      <c r="HV19" s="582"/>
      <c r="HW19" s="582"/>
      <c r="HX19" s="582"/>
      <c r="HY19" s="582"/>
      <c r="HZ19" s="582"/>
      <c r="IA19" s="582"/>
      <c r="IB19" s="582"/>
      <c r="IC19" s="582"/>
      <c r="ID19" s="582"/>
      <c r="IE19" s="582"/>
      <c r="IF19" s="582"/>
      <c r="IG19" s="582"/>
      <c r="IH19" s="582"/>
      <c r="II19" s="582"/>
      <c r="IJ19" s="582"/>
      <c r="IK19" s="582"/>
      <c r="IL19" s="582"/>
      <c r="IM19" s="582"/>
      <c r="IN19" s="582"/>
      <c r="IO19" s="582"/>
      <c r="IP19" s="582"/>
      <c r="IQ19" s="582"/>
      <c r="IR19" s="582"/>
      <c r="IS19" s="582"/>
      <c r="IT19" s="582"/>
      <c r="IU19" s="582"/>
      <c r="IV19" s="582"/>
      <c r="IW19" s="582"/>
      <c r="IX19" s="582"/>
      <c r="IY19" s="582"/>
      <c r="IZ19" s="582"/>
      <c r="JA19" s="582"/>
    </row>
    <row r="20" spans="1:261" x14ac:dyDescent="0.25">
      <c r="A20" s="583" t="s">
        <v>364</v>
      </c>
      <c r="B20" s="584"/>
      <c r="C20" s="585"/>
      <c r="D20" s="586" t="str">
        <f>($B$45&amp;"/"&amp;30&amp;"/"&amp;(D16+$D$45))</f>
        <v>4/30/2022</v>
      </c>
      <c r="E20" s="587" t="str">
        <f>$B$46&amp;"/"&amp;31&amp;"/"&amp;(E16+$D$46)</f>
        <v>7/31/2022</v>
      </c>
      <c r="F20" s="587" t="str">
        <f>$B$47&amp;"/"&amp;31&amp;"/"&amp;(F16+$D$47)</f>
        <v>10/31/2022</v>
      </c>
      <c r="G20" s="587" t="str">
        <f>$B$48&amp;"/"&amp;31&amp;"/"&amp;(G16+$D$48)</f>
        <v>1/31/2022</v>
      </c>
      <c r="H20" s="588" t="str">
        <f>G20</f>
        <v>1/31/2022</v>
      </c>
      <c r="I20" s="586" t="str">
        <f>($B$45&amp;"/"&amp;30&amp;"/"&amp;(I16+$D$45))</f>
        <v>4/30/2023</v>
      </c>
      <c r="J20" s="587" t="str">
        <f>$B$46&amp;"/"&amp;31&amp;"/"&amp;(J16+$D$46)</f>
        <v>7/31/2023</v>
      </c>
      <c r="K20" s="587" t="str">
        <f>$B$47&amp;"/"&amp;31&amp;"/"&amp;(K16+$D$47)</f>
        <v>10/31/2023</v>
      </c>
      <c r="L20" s="587" t="str">
        <f>$B$48&amp;"/"&amp;31&amp;"/"&amp;(L16+$D$48)</f>
        <v>1/31/2023</v>
      </c>
      <c r="M20" s="588" t="str">
        <f>L20</f>
        <v>1/31/2023</v>
      </c>
      <c r="N20" s="589" t="str">
        <f>($B$45&amp;"/"&amp;30&amp;"/"&amp;(N16+$D$45))</f>
        <v>4/30/2024</v>
      </c>
      <c r="O20" s="590" t="str">
        <f>$B$46&amp;"/"&amp;31&amp;"/"&amp;(O16+$D$46)</f>
        <v>7/31/2024</v>
      </c>
      <c r="P20" s="590" t="str">
        <f>$B$47&amp;"/"&amp;31&amp;"/"&amp;(P16+$D$47)</f>
        <v>10/31/2024</v>
      </c>
      <c r="Q20" s="590" t="str">
        <f>$B$48&amp;"/"&amp;31&amp;"/"&amp;(Q16+$D$48)</f>
        <v>1/31/2024</v>
      </c>
      <c r="R20" s="591" t="str">
        <f>Q20</f>
        <v>1/31/2024</v>
      </c>
      <c r="S20" s="589" t="str">
        <f>($B$45&amp;"/"&amp;30&amp;"/"&amp;(S16+$D$45))</f>
        <v>4/30/2025</v>
      </c>
      <c r="T20" s="590" t="str">
        <f>$B$46&amp;"/"&amp;31&amp;"/"&amp;(T16+$D$46)</f>
        <v>7/31/2025</v>
      </c>
      <c r="U20" s="590" t="str">
        <f>$B$47&amp;"/"&amp;31&amp;"/"&amp;(U16+$D$47)</f>
        <v>10/31/2025</v>
      </c>
      <c r="V20" s="590" t="str">
        <f>$B$48&amp;"/"&amp;31&amp;"/"&amp;(V16+$D$48)</f>
        <v>1/31/2025</v>
      </c>
      <c r="W20" s="591" t="str">
        <f>V20</f>
        <v>1/31/2025</v>
      </c>
      <c r="X20" s="589" t="str">
        <f>($B$45&amp;"/"&amp;30&amp;"/"&amp;(X16+$D$45))</f>
        <v>4/30/2026</v>
      </c>
      <c r="Y20" s="590" t="str">
        <f>$B$46&amp;"/"&amp;31&amp;"/"&amp;(Y16+$D$46)</f>
        <v>7/31/2026</v>
      </c>
      <c r="Z20" s="590" t="str">
        <f>$B$47&amp;"/"&amp;31&amp;"/"&amp;(Z16+$D$47)</f>
        <v>10/31/2026</v>
      </c>
      <c r="AA20" s="590" t="str">
        <f>$B$48&amp;"/"&amp;31&amp;"/"&amp;(AA16+$D$48)</f>
        <v>1/31/2026</v>
      </c>
      <c r="AB20" s="591" t="str">
        <f>AA20</f>
        <v>1/31/2026</v>
      </c>
      <c r="AC20" s="589" t="str">
        <f>($B$45&amp;"/"&amp;30&amp;"/"&amp;(AC16+$D$45))</f>
        <v>4/30/2027</v>
      </c>
      <c r="AD20" s="590" t="str">
        <f>$B$46&amp;"/"&amp;31&amp;"/"&amp;(AD16+$D$46)</f>
        <v>7/31/2027</v>
      </c>
      <c r="AE20" s="590" t="str">
        <f>$B$47&amp;"/"&amp;31&amp;"/"&amp;(AE16+$D$47)</f>
        <v>10/31/2027</v>
      </c>
      <c r="AF20" s="590" t="str">
        <f>$B$48&amp;"/"&amp;31&amp;"/"&amp;(AF16+$D$48)</f>
        <v>1/31/2027</v>
      </c>
      <c r="AG20" s="591" t="str">
        <f>AF20</f>
        <v>1/31/2027</v>
      </c>
      <c r="AJ20" t="s">
        <v>365</v>
      </c>
    </row>
    <row r="21" spans="1:261" ht="18" x14ac:dyDescent="0.25">
      <c r="A21" s="592" t="s">
        <v>366</v>
      </c>
      <c r="B21" s="593" t="s">
        <v>367</v>
      </c>
      <c r="C21" s="594"/>
      <c r="D21" s="595">
        <f>IS!X17/1000</f>
        <v>118.349</v>
      </c>
      <c r="E21" s="595">
        <f>IS!Y17/1000</f>
        <v>156.47800000000001</v>
      </c>
      <c r="F21" s="595">
        <f>IS!Z17/1000</f>
        <v>166.911</v>
      </c>
      <c r="G21" s="595">
        <f>IS!AA17/1000</f>
        <v>200.221</v>
      </c>
      <c r="H21" s="595">
        <f>IS!AB17/1000</f>
        <v>641.95899999999995</v>
      </c>
      <c r="I21" s="595">
        <f>IS!AC17/1000</f>
        <v>229.92400000000001</v>
      </c>
      <c r="J21" s="595">
        <f>IS!AD17/1000</f>
        <v>260.00599999999997</v>
      </c>
      <c r="K21" s="595">
        <f>IS!AE17/1000</f>
        <v>272.55500000000001</v>
      </c>
      <c r="L21" s="595">
        <f>IS!AF17/1000</f>
        <v>295.983</v>
      </c>
      <c r="M21" s="595">
        <f>IS!AG17/1000</f>
        <v>1058.4680000000001</v>
      </c>
      <c r="N21" s="595">
        <f>IS!AH17/1000</f>
        <v>304.98500000000001</v>
      </c>
      <c r="O21" s="595">
        <f>IS!AI17/1000</f>
        <v>318.495</v>
      </c>
      <c r="P21" s="595">
        <f>IS!AJ17/1000</f>
        <v>323.02800000000002</v>
      </c>
      <c r="Q21" s="595">
        <f>IS!AK17/1000</f>
        <v>343.66500000000002</v>
      </c>
      <c r="R21" s="595">
        <f>IS!AL17/1000</f>
        <v>1290.173</v>
      </c>
      <c r="S21" s="595">
        <f>IS!AM17/1000</f>
        <v>358.45</v>
      </c>
      <c r="T21" s="595">
        <f>IS!AN17/1000</f>
        <v>362.55399999999997</v>
      </c>
      <c r="U21" s="595">
        <f>IS!AO17/1000</f>
        <v>358.21699999999998</v>
      </c>
      <c r="V21" s="595">
        <f>IS!AP17/1000</f>
        <v>383.34899999999999</v>
      </c>
      <c r="W21" s="595">
        <f>IS!AQ17/1000</f>
        <v>1462.57</v>
      </c>
      <c r="X21" s="595">
        <f>IS!AR17/1000</f>
        <v>395.74099999999999</v>
      </c>
      <c r="Y21" s="595">
        <f>IS!AS17/1000</f>
        <v>414.67099999999999</v>
      </c>
      <c r="Z21" s="595">
        <f>IS!AT17/1000</f>
        <v>402.85907558352375</v>
      </c>
      <c r="AA21" s="595">
        <f>IS!AU17/1000</f>
        <v>429.84760905831212</v>
      </c>
      <c r="AB21" s="595">
        <f>IS!AV17/1000</f>
        <v>1643.1186846418357</v>
      </c>
      <c r="AC21" s="595">
        <f>IS!AW17/1000</f>
        <v>439.22701573810178</v>
      </c>
      <c r="AD21" s="595">
        <f>IS!AX17/1000</f>
        <v>455.19028228305342</v>
      </c>
      <c r="AE21" s="595">
        <f>IS!AY17/1000</f>
        <v>449.55888865381621</v>
      </c>
      <c r="AF21" s="595">
        <f>IS!AZ17/1000</f>
        <v>483.01391292466474</v>
      </c>
      <c r="AG21" s="595">
        <f>IS!BA17/1000</f>
        <v>1826.9900995996361</v>
      </c>
      <c r="AJ21" t="s">
        <v>368</v>
      </c>
    </row>
    <row r="22" spans="1:261" ht="18" x14ac:dyDescent="0.25">
      <c r="A22" s="596"/>
      <c r="B22" s="597" t="s">
        <v>317</v>
      </c>
      <c r="C22" s="598"/>
      <c r="D22" s="599" t="e">
        <f ca="1">_xll.BLUEMATRIX2("/servlet/excelData",D21, $C$14,$B21&amp;":"&amp;D$16&amp;D$17&amp;":"&amp;D$19&amp;":"&amp;$B22)</f>
        <v>#NAME?</v>
      </c>
      <c r="E22" s="600" t="e">
        <f ca="1">_xll.BLUEMATRIX2("/servlet/excelData",E21, $C$14,$B21&amp;":"&amp;E$16&amp;E$17&amp;":"&amp;E$19&amp;":"&amp;$B22)</f>
        <v>#NAME?</v>
      </c>
      <c r="F22" s="600" t="e">
        <f ca="1">_xll.BLUEMATRIX2("/servlet/excelData",F21, $C$14,$B21&amp;":"&amp;F$16&amp;F$17&amp;":"&amp;F$19&amp;":"&amp;$B22)</f>
        <v>#NAME?</v>
      </c>
      <c r="G22" s="600" t="e">
        <f ca="1">_xll.BLUEMATRIX2("/servlet/excelData",G21, $C$14,$B21&amp;":"&amp;G$16&amp;G$17&amp;":"&amp;G$19&amp;":"&amp;$B22)</f>
        <v>#NAME?</v>
      </c>
      <c r="H22" s="601" t="e">
        <f ca="1">_xll.BLUEMATRIX2("/servlet/excelData",H21, $C$14,$B21&amp;":"&amp;H$16&amp;H$17&amp;":"&amp;H$19&amp;":"&amp;$B22)</f>
        <v>#NAME?</v>
      </c>
      <c r="I22" s="600" t="e">
        <f ca="1">_xll.BLUEMATRIX2("/servlet/excelData",I21, $C$14,$B21&amp;":"&amp;I$16&amp;I$17&amp;":"&amp;I$19&amp;":"&amp;$B22)</f>
        <v>#NAME?</v>
      </c>
      <c r="J22" s="600" t="e">
        <f ca="1">_xll.BLUEMATRIX2("/servlet/excelData",J21, $C$14,$B21&amp;":"&amp;J$16&amp;J$17&amp;":"&amp;J$19&amp;":"&amp;$B22)</f>
        <v>#NAME?</v>
      </c>
      <c r="K22" s="600" t="e">
        <f ca="1">_xll.BLUEMATRIX2("/servlet/excelData",K21, $C$14,$B21&amp;":"&amp;K$16&amp;K$17&amp;":"&amp;K$19&amp;":"&amp;$B22)</f>
        <v>#NAME?</v>
      </c>
      <c r="L22" s="600" t="e">
        <f ca="1">_xll.BLUEMATRIX2("/servlet/excelData",L21, $C$14,$B21&amp;":"&amp;L$16&amp;L$17&amp;":"&amp;L$19&amp;":"&amp;$B22)</f>
        <v>#NAME?</v>
      </c>
      <c r="M22" s="601" t="e">
        <f ca="1">_xll.BLUEMATRIX2("/servlet/excelData",M21, $C$14,$B21&amp;":"&amp;M$16&amp;M$17&amp;":"&amp;M$19&amp;":"&amp;$B22)</f>
        <v>#NAME?</v>
      </c>
      <c r="N22" s="600" t="e">
        <f ca="1">_xll.BLUEMATRIX2("/servlet/excelData",N21, $C$14,$B21&amp;":"&amp;N$16&amp;N$17&amp;":"&amp;N$19&amp;":"&amp;$B22)</f>
        <v>#NAME?</v>
      </c>
      <c r="O22" s="600" t="e">
        <f ca="1">_xll.BLUEMATRIX2("/servlet/excelData",O21, $C$14,$B21&amp;":"&amp;O$16&amp;O$17&amp;":"&amp;O$19&amp;":"&amp;$B22)</f>
        <v>#NAME?</v>
      </c>
      <c r="P22" s="600" t="e">
        <f ca="1">_xll.BLUEMATRIX2("/servlet/excelData",P21, $C$14,$B21&amp;":"&amp;P$16&amp;P$17&amp;":"&amp;P$19&amp;":"&amp;$B22)</f>
        <v>#NAME?</v>
      </c>
      <c r="Q22" s="600" t="e">
        <f ca="1">_xll.BLUEMATRIX2("/servlet/excelData",Q21, $C$14,$B21&amp;":"&amp;Q$16&amp;Q$17&amp;":"&amp;Q$19&amp;":"&amp;$B22)</f>
        <v>#NAME?</v>
      </c>
      <c r="R22" s="601" t="e">
        <f ca="1">_xll.BLUEMATRIX2("/servlet/excelData",R21, $C$14,$B21&amp;":"&amp;R$16&amp;R$17&amp;":"&amp;R$19&amp;":"&amp;$B22)</f>
        <v>#NAME?</v>
      </c>
      <c r="S22" s="600" t="e">
        <f ca="1">_xll.BLUEMATRIX2("/servlet/excelData",S21, $C$14,$B21&amp;":"&amp;S$16&amp;S$17&amp;":"&amp;S$19&amp;":"&amp;$B22)</f>
        <v>#NAME?</v>
      </c>
      <c r="T22" s="600" t="e">
        <f ca="1">_xll.BLUEMATRIX2("/servlet/excelData",T21, $C$14,$B21&amp;":"&amp;T$16&amp;T$17&amp;":"&amp;T$19&amp;":"&amp;$B22)</f>
        <v>#NAME?</v>
      </c>
      <c r="U22" s="600" t="e">
        <f ca="1">_xll.BLUEMATRIX2("/servlet/excelData",U21, $C$14,$B21&amp;":"&amp;U$16&amp;U$17&amp;":"&amp;U$19&amp;":"&amp;$B22)</f>
        <v>#NAME?</v>
      </c>
      <c r="V22" s="600" t="e">
        <f ca="1">_xll.BLUEMATRIX2("/servlet/excelData",V21, $C$14,$B21&amp;":"&amp;V$16&amp;V$17&amp;":"&amp;V$19&amp;":"&amp;$B22)</f>
        <v>#NAME?</v>
      </c>
      <c r="W22" s="601" t="e">
        <f ca="1">_xll.BLUEMATRIX2("/servlet/excelData",W21, $C$14,$B21&amp;":"&amp;W$16&amp;W$17&amp;":"&amp;W$19&amp;":"&amp;$B22)</f>
        <v>#NAME?</v>
      </c>
      <c r="X22" s="600" t="e">
        <f ca="1">_xll.BLUEMATRIX2("/servlet/excelData",X21, $C$14,$B21&amp;":"&amp;X$16&amp;X$17&amp;":"&amp;X$19&amp;":"&amp;$B22)</f>
        <v>#NAME?</v>
      </c>
      <c r="Y22" s="600" t="e">
        <f ca="1">_xll.BLUEMATRIX2("/servlet/excelData",Y21, $C$14,$B21&amp;":"&amp;Y$16&amp;Y$17&amp;":"&amp;Y$19&amp;":"&amp;$B22)</f>
        <v>#NAME?</v>
      </c>
      <c r="Z22" s="600" t="e">
        <f ca="1">_xll.BLUEMATRIX2("/servlet/excelData",Z21, $C$14,$B21&amp;":"&amp;Z$16&amp;Z$17&amp;":"&amp;Z$19&amp;":"&amp;$B22)</f>
        <v>#NAME?</v>
      </c>
      <c r="AA22" s="600" t="e">
        <f ca="1">_xll.BLUEMATRIX2("/servlet/excelData",AA21, $C$14,$B21&amp;":"&amp;AA$16&amp;AA$17&amp;":"&amp;AA$19&amp;":"&amp;$B22)</f>
        <v>#NAME?</v>
      </c>
      <c r="AB22" s="601" t="e">
        <f ca="1">_xll.BLUEMATRIX2("/servlet/excelData",AB21, $C$14,$B21&amp;":"&amp;AB$16&amp;AB$17&amp;":"&amp;AB$19&amp;":"&amp;$B22)</f>
        <v>#NAME?</v>
      </c>
      <c r="AC22" s="600" t="e">
        <f ca="1">_xll.BLUEMATRIX2("/servlet/excelData",AC21, $C$14,$B21&amp;":"&amp;AC$16&amp;AC$17&amp;":"&amp;AC$19&amp;":"&amp;$B22)</f>
        <v>#NAME?</v>
      </c>
      <c r="AD22" s="600" t="e">
        <f ca="1">_xll.BLUEMATRIX2("/servlet/excelData",AD21, $C$14,$B21&amp;":"&amp;AD$16&amp;AD$17&amp;":"&amp;AD$19&amp;":"&amp;$B22)</f>
        <v>#NAME?</v>
      </c>
      <c r="AE22" s="600" t="e">
        <f ca="1">_xll.BLUEMATRIX2("/servlet/excelData",AE21, $C$14,$B21&amp;":"&amp;AE$16&amp;AE$17&amp;":"&amp;AE$19&amp;":"&amp;$B22)</f>
        <v>#NAME?</v>
      </c>
      <c r="AF22" s="600" t="e">
        <f ca="1">_xll.BLUEMATRIX2("/servlet/excelData",AF21, $C$14,$B21&amp;":"&amp;AF$16&amp;AF$17&amp;":"&amp;AF$19&amp;":"&amp;$B22)</f>
        <v>#NAME?</v>
      </c>
      <c r="AG22" s="601" t="e">
        <f ca="1">_xll.BLUEMATRIX2("/servlet/excelData",AG21, $C$14,$B21&amp;":"&amp;AG$16&amp;AG$17&amp;":"&amp;AG$19&amp;":"&amp;$B22)</f>
        <v>#NAME?</v>
      </c>
      <c r="AH22" s="602"/>
      <c r="AI22" s="602"/>
      <c r="AJ22" t="s">
        <v>369</v>
      </c>
      <c r="AK22" s="602"/>
      <c r="AL22" s="602"/>
      <c r="AM22" s="602"/>
      <c r="AN22" s="602"/>
      <c r="AO22" s="602"/>
      <c r="AP22" s="602"/>
      <c r="AQ22" s="602"/>
      <c r="AR22" s="602"/>
      <c r="AS22" s="602"/>
      <c r="AT22" s="602"/>
      <c r="AU22" s="602"/>
      <c r="AV22" s="602"/>
      <c r="AW22" s="602"/>
      <c r="AX22" s="602"/>
      <c r="AY22" s="602"/>
      <c r="AZ22" s="602"/>
      <c r="BA22" s="602"/>
      <c r="BB22" s="602"/>
      <c r="BC22" s="602"/>
      <c r="BD22" s="602"/>
      <c r="BE22" s="602"/>
      <c r="BF22" s="602"/>
      <c r="BG22" s="602"/>
      <c r="BH22" s="602"/>
      <c r="BI22" s="602"/>
      <c r="BJ22" s="602"/>
      <c r="BK22" s="602"/>
      <c r="BL22" s="602"/>
      <c r="BM22" s="602"/>
      <c r="BN22" s="602"/>
      <c r="BO22" s="602"/>
      <c r="BP22" s="602"/>
      <c r="BQ22" s="602"/>
      <c r="BR22" s="602"/>
      <c r="BS22" s="602"/>
      <c r="BT22" s="602"/>
      <c r="BU22" s="602"/>
      <c r="BV22" s="602"/>
      <c r="BW22" s="602"/>
      <c r="BX22" s="602"/>
      <c r="BY22" s="602"/>
      <c r="BZ22" s="602"/>
      <c r="CA22" s="602"/>
      <c r="CB22" s="602"/>
      <c r="CC22" s="602"/>
      <c r="CD22" s="602"/>
      <c r="CE22" s="602"/>
      <c r="CF22" s="602"/>
      <c r="CG22" s="602"/>
      <c r="CH22" s="602"/>
      <c r="CI22" s="602"/>
      <c r="CJ22" s="602"/>
      <c r="CK22" s="602"/>
      <c r="CL22" s="602"/>
      <c r="CM22" s="602"/>
      <c r="CN22" s="602"/>
      <c r="CO22" s="602"/>
      <c r="CP22" s="602"/>
      <c r="CQ22" s="602"/>
      <c r="CR22" s="602"/>
      <c r="CS22" s="602"/>
      <c r="CT22" s="602"/>
      <c r="CU22" s="602"/>
      <c r="CV22" s="602"/>
      <c r="CW22" s="602"/>
      <c r="CX22" s="602"/>
      <c r="CY22" s="602"/>
      <c r="CZ22" s="602"/>
      <c r="DA22" s="602"/>
      <c r="DB22" s="602"/>
      <c r="DC22" s="602"/>
      <c r="DD22" s="602"/>
      <c r="DE22" s="602"/>
      <c r="DF22" s="602"/>
      <c r="DG22" s="602"/>
      <c r="DH22" s="602"/>
      <c r="DI22" s="602"/>
      <c r="DJ22" s="602"/>
      <c r="DK22" s="602"/>
      <c r="DL22" s="602"/>
      <c r="DM22" s="602"/>
      <c r="DN22" s="602"/>
      <c r="DO22" s="602"/>
      <c r="DP22" s="602"/>
      <c r="DQ22" s="602"/>
      <c r="DR22" s="602"/>
      <c r="DS22" s="602"/>
      <c r="DT22" s="602"/>
      <c r="DU22" s="602"/>
      <c r="DV22" s="602"/>
      <c r="DW22" s="602"/>
      <c r="DX22" s="602"/>
      <c r="DY22" s="602"/>
      <c r="DZ22" s="602"/>
      <c r="EA22" s="602"/>
      <c r="EB22" s="602"/>
      <c r="EC22" s="602"/>
      <c r="ED22" s="602"/>
      <c r="EE22" s="602"/>
      <c r="EF22" s="602"/>
      <c r="EG22" s="602"/>
      <c r="EH22" s="602"/>
      <c r="EI22" s="602"/>
      <c r="EJ22" s="602"/>
      <c r="EK22" s="602"/>
      <c r="EL22" s="602"/>
      <c r="EM22" s="602"/>
      <c r="EN22" s="602"/>
      <c r="EO22" s="602"/>
      <c r="EP22" s="602"/>
      <c r="EQ22" s="602"/>
      <c r="ER22" s="602"/>
      <c r="ES22" s="602"/>
      <c r="ET22" s="602"/>
      <c r="EU22" s="602"/>
      <c r="EV22" s="602"/>
      <c r="EW22" s="602"/>
      <c r="EX22" s="602"/>
      <c r="EY22" s="602"/>
      <c r="EZ22" s="602"/>
      <c r="FA22" s="602"/>
      <c r="FB22" s="602"/>
      <c r="FC22" s="602"/>
      <c r="FD22" s="602"/>
      <c r="FE22" s="602"/>
      <c r="FF22" s="602"/>
      <c r="FG22" s="602"/>
      <c r="FH22" s="602"/>
      <c r="FI22" s="602"/>
      <c r="FJ22" s="602"/>
      <c r="FK22" s="602"/>
      <c r="FL22" s="602"/>
      <c r="FM22" s="602"/>
      <c r="FN22" s="602"/>
      <c r="FO22" s="602"/>
      <c r="FP22" s="602"/>
      <c r="FQ22" s="602"/>
      <c r="FR22" s="602"/>
      <c r="FS22" s="602"/>
      <c r="FT22" s="602"/>
      <c r="FU22" s="602"/>
      <c r="FV22" s="602"/>
      <c r="FW22" s="602"/>
      <c r="FX22" s="602"/>
      <c r="FY22" s="602"/>
      <c r="FZ22" s="602"/>
      <c r="GA22" s="602"/>
      <c r="GB22" s="602"/>
      <c r="GC22" s="602"/>
      <c r="GD22" s="602"/>
      <c r="GE22" s="602"/>
      <c r="GF22" s="602"/>
      <c r="GG22" s="602"/>
      <c r="GH22" s="602"/>
      <c r="GI22" s="602"/>
      <c r="GJ22" s="602"/>
      <c r="GK22" s="602"/>
      <c r="GL22" s="602"/>
      <c r="GM22" s="602"/>
      <c r="GN22" s="602"/>
      <c r="GO22" s="602"/>
      <c r="GP22" s="602"/>
      <c r="GQ22" s="602"/>
      <c r="GR22" s="602"/>
      <c r="GS22" s="602"/>
      <c r="GT22" s="602"/>
      <c r="GU22" s="602"/>
      <c r="GV22" s="602"/>
      <c r="GW22" s="602"/>
      <c r="GX22" s="602"/>
      <c r="GY22" s="602"/>
      <c r="GZ22" s="602"/>
      <c r="HA22" s="602"/>
      <c r="HB22" s="602"/>
      <c r="HC22" s="602"/>
      <c r="HD22" s="602"/>
      <c r="HE22" s="602"/>
      <c r="HF22" s="602"/>
      <c r="HG22" s="602"/>
      <c r="HH22" s="602"/>
      <c r="HI22" s="602"/>
      <c r="HJ22" s="602"/>
      <c r="HK22" s="602"/>
      <c r="HL22" s="602"/>
      <c r="HM22" s="602"/>
      <c r="HN22" s="602"/>
      <c r="HO22" s="602"/>
      <c r="HP22" s="602"/>
      <c r="HQ22" s="602"/>
      <c r="HR22" s="602"/>
      <c r="HS22" s="602"/>
      <c r="HT22" s="602"/>
      <c r="HU22" s="602"/>
      <c r="HV22" s="602"/>
      <c r="HW22" s="602"/>
      <c r="HX22" s="602"/>
      <c r="HY22" s="602"/>
      <c r="HZ22" s="602"/>
      <c r="IA22" s="602"/>
      <c r="IB22" s="602"/>
      <c r="IC22" s="602"/>
      <c r="ID22" s="602"/>
      <c r="IE22" s="602"/>
      <c r="IF22" s="602"/>
      <c r="IG22" s="602"/>
      <c r="IH22" s="602"/>
      <c r="II22" s="602"/>
      <c r="IJ22" s="602"/>
      <c r="IK22" s="602"/>
      <c r="IL22" s="602"/>
      <c r="IM22" s="602"/>
      <c r="IN22" s="602"/>
      <c r="IO22" s="602"/>
      <c r="IP22" s="602"/>
      <c r="IQ22" s="602"/>
      <c r="IR22" s="602"/>
      <c r="IS22" s="602"/>
      <c r="IT22" s="602"/>
      <c r="IU22" s="602"/>
      <c r="IV22" s="602"/>
      <c r="IW22" s="602"/>
      <c r="IX22" s="602"/>
      <c r="IY22" s="602"/>
      <c r="IZ22" s="602"/>
      <c r="JA22" s="602"/>
    </row>
    <row r="23" spans="1:261" ht="18" x14ac:dyDescent="0.25">
      <c r="A23" s="603" t="s">
        <v>370</v>
      </c>
      <c r="B23" s="604" t="s">
        <v>370</v>
      </c>
      <c r="C23" s="605"/>
      <c r="D23" s="606">
        <f>IS!X79</f>
        <v>-0.1263817628165019</v>
      </c>
      <c r="E23" s="606">
        <f>IS!Y79</f>
        <v>-2.128073073559421E-3</v>
      </c>
      <c r="F23" s="606">
        <f>IS!Z79</f>
        <v>-8.3665607242608103E-2</v>
      </c>
      <c r="G23" s="606">
        <f>IS!AA79</f>
        <v>-3.151121707408152E-2</v>
      </c>
      <c r="H23" s="606">
        <f>IS!AB79</f>
        <v>-0.23893620523201112</v>
      </c>
      <c r="I23" s="606">
        <f>IS!AC79</f>
        <v>0.14392340425531916</v>
      </c>
      <c r="J23" s="606">
        <f>IS!AD79</f>
        <v>0.4211567654232547</v>
      </c>
      <c r="K23" s="606">
        <f>IS!AE79</f>
        <v>0.50070384684292701</v>
      </c>
      <c r="L23" s="606">
        <f>IS!AF79</f>
        <v>0.5932986959716976</v>
      </c>
      <c r="M23" s="606">
        <f>IS!AG79</f>
        <v>1.6581313580373267</v>
      </c>
      <c r="N23" s="606">
        <f>IS!AH79</f>
        <v>0.54157764438566147</v>
      </c>
      <c r="O23" s="606">
        <f>IS!AI79</f>
        <v>0.62739049969154848</v>
      </c>
      <c r="P23" s="606">
        <f>IS!AJ79</f>
        <v>0.61658991149168885</v>
      </c>
      <c r="Q23" s="606">
        <f>IS!AK79</f>
        <v>0.57364967369545505</v>
      </c>
      <c r="R23" s="606">
        <f>IS!AL79</f>
        <v>2.3581396874692446</v>
      </c>
      <c r="S23" s="606">
        <f>IS!AM79</f>
        <v>0.62529954714849334</v>
      </c>
      <c r="T23" s="606">
        <f>IS!AN79</f>
        <v>0.56210294945451622</v>
      </c>
      <c r="U23" s="606">
        <f>IS!AO79</f>
        <v>0.49857649128472725</v>
      </c>
      <c r="V23" s="606">
        <f>IS!AP79</f>
        <v>0.52754509481473866</v>
      </c>
      <c r="W23" s="606">
        <f>IS!AQ79</f>
        <v>2.2082970648272595</v>
      </c>
      <c r="X23" s="606">
        <f>IS!AR79</f>
        <v>0.6078779429719362</v>
      </c>
      <c r="Y23" s="606">
        <f>IS!AS79</f>
        <v>0.64031275633977347</v>
      </c>
      <c r="Z23" s="606">
        <f>IS!AT79</f>
        <v>0.56730188810401294</v>
      </c>
      <c r="AA23" s="606">
        <f>IS!AU79</f>
        <v>0.61657573226756857</v>
      </c>
      <c r="AB23" s="606">
        <f>IS!AV79</f>
        <v>2.4321524477333041</v>
      </c>
      <c r="AC23" s="606">
        <f>IS!AW79</f>
        <v>0.61905590190549376</v>
      </c>
      <c r="AD23" s="606">
        <f>IS!AX79</f>
        <v>0.65567807795451305</v>
      </c>
      <c r="AE23" s="606">
        <f>IS!AY79</f>
        <v>0.61519919556322444</v>
      </c>
      <c r="AF23" s="606">
        <f>IS!AZ79</f>
        <v>0.65082898641465292</v>
      </c>
      <c r="AG23" s="606">
        <f>IS!BA79</f>
        <v>2.5408992183201513</v>
      </c>
      <c r="AJ23" t="s">
        <v>371</v>
      </c>
    </row>
    <row r="24" spans="1:261" ht="18" x14ac:dyDescent="0.25">
      <c r="A24" s="607"/>
      <c r="B24" s="608" t="s">
        <v>331</v>
      </c>
      <c r="C24" s="609"/>
      <c r="D24" s="599" t="e">
        <f ca="1">_xll.BLUEMATRIX2("/servlet/excelData",D23, $C$14,$B23&amp;":"&amp;D$16&amp;D$17&amp;":"&amp;D$19&amp;":"&amp;$B24)</f>
        <v>#NAME?</v>
      </c>
      <c r="E24" s="600" t="e">
        <f ca="1">_xll.BLUEMATRIX2("/servlet/excelData",E23, $C$14,$B23&amp;":"&amp;E$16&amp;E$17&amp;":"&amp;E$19&amp;":"&amp;$B24)</f>
        <v>#NAME?</v>
      </c>
      <c r="F24" s="600" t="e">
        <f ca="1">_xll.BLUEMATRIX2("/servlet/excelData",F23, $C$14,$B23&amp;":"&amp;F$16&amp;F$17&amp;":"&amp;F$19&amp;":"&amp;$B24)</f>
        <v>#NAME?</v>
      </c>
      <c r="G24" s="600" t="e">
        <f ca="1">_xll.BLUEMATRIX2("/servlet/excelData",G23, $C$14,$B23&amp;":"&amp;G$16&amp;G$17&amp;":"&amp;G$19&amp;":"&amp;$B24)</f>
        <v>#NAME?</v>
      </c>
      <c r="H24" s="601" t="e">
        <f ca="1">_xll.BLUEMATRIX2("/servlet/excelData",H23, $C$14,$B23&amp;":"&amp;H$16&amp;H$17&amp;":"&amp;H$19&amp;":"&amp;$B24)</f>
        <v>#NAME?</v>
      </c>
      <c r="I24" s="600" t="e">
        <f ca="1">_xll.BLUEMATRIX2("/servlet/excelData",I23, $C$14,$B23&amp;":"&amp;I$16&amp;I$17&amp;":"&amp;I$19&amp;":"&amp;$B24)</f>
        <v>#NAME?</v>
      </c>
      <c r="J24" s="600" t="e">
        <f ca="1">_xll.BLUEMATRIX2("/servlet/excelData",J23, $C$14,$B23&amp;":"&amp;J$16&amp;J$17&amp;":"&amp;J$19&amp;":"&amp;$B24)</f>
        <v>#NAME?</v>
      </c>
      <c r="K24" s="600" t="e">
        <f ca="1">_xll.BLUEMATRIX2("/servlet/excelData",K23, $C$14,$B23&amp;":"&amp;K$16&amp;K$17&amp;":"&amp;K$19&amp;":"&amp;$B24)</f>
        <v>#NAME?</v>
      </c>
      <c r="L24" s="600" t="e">
        <f ca="1">_xll.BLUEMATRIX2("/servlet/excelData",L23, $C$14,$B23&amp;":"&amp;L$16&amp;L$17&amp;":"&amp;L$19&amp;":"&amp;$B24)</f>
        <v>#NAME?</v>
      </c>
      <c r="M24" s="601" t="e">
        <f ca="1">_xll.BLUEMATRIX2("/servlet/excelData",M23, $C$14,$B23&amp;":"&amp;M$16&amp;M$17&amp;":"&amp;M$19&amp;":"&amp;$B24)</f>
        <v>#NAME?</v>
      </c>
      <c r="N24" s="600" t="e">
        <f ca="1">_xll.BLUEMATRIX2("/servlet/excelData",N23, $C$14,$B23&amp;":"&amp;N$16&amp;N$17&amp;":"&amp;N$19&amp;":"&amp;$B24)</f>
        <v>#NAME?</v>
      </c>
      <c r="O24" s="600" t="e">
        <f ca="1">_xll.BLUEMATRIX2("/servlet/excelData",O23, $C$14,$B23&amp;":"&amp;O$16&amp;O$17&amp;":"&amp;O$19&amp;":"&amp;$B24)</f>
        <v>#NAME?</v>
      </c>
      <c r="P24" s="600" t="e">
        <f ca="1">_xll.BLUEMATRIX2("/servlet/excelData",P23, $C$14,$B23&amp;":"&amp;P$16&amp;P$17&amp;":"&amp;P$19&amp;":"&amp;$B24)</f>
        <v>#NAME?</v>
      </c>
      <c r="Q24" s="600" t="e">
        <f ca="1">_xll.BLUEMATRIX2("/servlet/excelData",Q23, $C$14,$B23&amp;":"&amp;Q$16&amp;Q$17&amp;":"&amp;Q$19&amp;":"&amp;$B24)</f>
        <v>#NAME?</v>
      </c>
      <c r="R24" s="601" t="e">
        <f ca="1">_xll.BLUEMATRIX2("/servlet/excelData",R23, $C$14,$B23&amp;":"&amp;R$16&amp;R$17&amp;":"&amp;R$19&amp;":"&amp;$B24)</f>
        <v>#NAME?</v>
      </c>
      <c r="S24" s="600" t="e">
        <f ca="1">_xll.BLUEMATRIX2("/servlet/excelData",S23, $C$14,$B23&amp;":"&amp;S$16&amp;S$17&amp;":"&amp;S$19&amp;":"&amp;$B24)</f>
        <v>#NAME?</v>
      </c>
      <c r="T24" s="600" t="e">
        <f ca="1">_xll.BLUEMATRIX2("/servlet/excelData",T23, $C$14,$B23&amp;":"&amp;T$16&amp;T$17&amp;":"&amp;T$19&amp;":"&amp;$B24)</f>
        <v>#NAME?</v>
      </c>
      <c r="U24" s="600" t="e">
        <f ca="1">_xll.BLUEMATRIX2("/servlet/excelData",U23, $C$14,$B23&amp;":"&amp;U$16&amp;U$17&amp;":"&amp;U$19&amp;":"&amp;$B24)</f>
        <v>#NAME?</v>
      </c>
      <c r="V24" s="600" t="e">
        <f ca="1">_xll.BLUEMATRIX2("/servlet/excelData",V23, $C$14,$B23&amp;":"&amp;V$16&amp;V$17&amp;":"&amp;V$19&amp;":"&amp;$B24)</f>
        <v>#NAME?</v>
      </c>
      <c r="W24" s="601" t="e">
        <f ca="1">_xll.BLUEMATRIX2("/servlet/excelData",W23, $C$14,$B23&amp;":"&amp;W$16&amp;W$17&amp;":"&amp;W$19&amp;":"&amp;$B24)</f>
        <v>#NAME?</v>
      </c>
      <c r="X24" s="600" t="e">
        <f ca="1">_xll.BLUEMATRIX2("/servlet/excelData",X23, $C$14,$B23&amp;":"&amp;X$16&amp;X$17&amp;":"&amp;X$19&amp;":"&amp;$B24)</f>
        <v>#NAME?</v>
      </c>
      <c r="Y24" s="600" t="e">
        <f ca="1">_xll.BLUEMATRIX2("/servlet/excelData",Y23, $C$14,$B23&amp;":"&amp;Y$16&amp;Y$17&amp;":"&amp;Y$19&amp;":"&amp;$B24)</f>
        <v>#NAME?</v>
      </c>
      <c r="Z24" s="600" t="e">
        <f ca="1">_xll.BLUEMATRIX2("/servlet/excelData",Z23, $C$14,$B23&amp;":"&amp;Z$16&amp;Z$17&amp;":"&amp;Z$19&amp;":"&amp;$B24)</f>
        <v>#NAME?</v>
      </c>
      <c r="AA24" s="600" t="e">
        <f ca="1">_xll.BLUEMATRIX2("/servlet/excelData",AA23, $C$14,$B23&amp;":"&amp;AA$16&amp;AA$17&amp;":"&amp;AA$19&amp;":"&amp;$B24)</f>
        <v>#NAME?</v>
      </c>
      <c r="AB24" s="601" t="e">
        <f ca="1">_xll.BLUEMATRIX2("/servlet/excelData",AB23, $C$14,$B23&amp;":"&amp;AB$16&amp;AB$17&amp;":"&amp;AB$19&amp;":"&amp;$B24)</f>
        <v>#NAME?</v>
      </c>
      <c r="AC24" s="600" t="e">
        <f ca="1">_xll.BLUEMATRIX2("/servlet/excelData",AC23, $C$14,$B23&amp;":"&amp;AC$16&amp;AC$17&amp;":"&amp;AC$19&amp;":"&amp;$B24)</f>
        <v>#NAME?</v>
      </c>
      <c r="AD24" s="600" t="e">
        <f ca="1">_xll.BLUEMATRIX2("/servlet/excelData",AD23, $C$14,$B23&amp;":"&amp;AD$16&amp;AD$17&amp;":"&amp;AD$19&amp;":"&amp;$B24)</f>
        <v>#NAME?</v>
      </c>
      <c r="AE24" s="600" t="e">
        <f ca="1">_xll.BLUEMATRIX2("/servlet/excelData",AE23, $C$14,$B23&amp;":"&amp;AE$16&amp;AE$17&amp;":"&amp;AE$19&amp;":"&amp;$B24)</f>
        <v>#NAME?</v>
      </c>
      <c r="AF24" s="600" t="e">
        <f ca="1">_xll.BLUEMATRIX2("/servlet/excelData",AF23, $C$14,$B23&amp;":"&amp;AF$16&amp;AF$17&amp;":"&amp;AF$19&amp;":"&amp;$B24)</f>
        <v>#NAME?</v>
      </c>
      <c r="AG24" s="601" t="e">
        <f ca="1">_xll.BLUEMATRIX2("/servlet/excelData",AG23, $C$14,$B23&amp;":"&amp;AG$16&amp;AG$17&amp;":"&amp;AG$19&amp;":"&amp;$B24)</f>
        <v>#NAME?</v>
      </c>
      <c r="AH24" s="602"/>
      <c r="AI24" s="602"/>
      <c r="AJ24" t="s">
        <v>372</v>
      </c>
      <c r="AK24" s="602"/>
      <c r="AL24" s="602"/>
      <c r="AM24" s="602"/>
      <c r="AN24" s="602"/>
      <c r="AO24" s="602"/>
      <c r="AP24" s="602"/>
      <c r="AQ24" s="602"/>
      <c r="AR24" s="602"/>
      <c r="AS24" s="602"/>
      <c r="AT24" s="602"/>
      <c r="AU24" s="602"/>
      <c r="AV24" s="602"/>
      <c r="AW24" s="602"/>
      <c r="AX24" s="602"/>
      <c r="AY24" s="602"/>
      <c r="AZ24" s="602"/>
      <c r="BA24" s="602"/>
      <c r="BB24" s="602"/>
      <c r="BC24" s="602"/>
      <c r="BD24" s="602"/>
      <c r="BE24" s="602"/>
      <c r="BF24" s="602"/>
      <c r="BG24" s="602"/>
      <c r="BH24" s="602"/>
      <c r="BI24" s="602"/>
      <c r="BJ24" s="602"/>
      <c r="BK24" s="602"/>
      <c r="BL24" s="602"/>
      <c r="BM24" s="602"/>
      <c r="BN24" s="602"/>
      <c r="BO24" s="602"/>
      <c r="BP24" s="602"/>
      <c r="BQ24" s="602"/>
      <c r="BR24" s="602"/>
      <c r="BS24" s="602"/>
      <c r="BT24" s="602"/>
      <c r="BU24" s="602"/>
      <c r="BV24" s="602"/>
      <c r="BW24" s="602"/>
      <c r="BX24" s="602"/>
      <c r="BY24" s="602"/>
      <c r="BZ24" s="602"/>
      <c r="CA24" s="602"/>
      <c r="CB24" s="602"/>
      <c r="CC24" s="602"/>
      <c r="CD24" s="602"/>
      <c r="CE24" s="602"/>
      <c r="CF24" s="602"/>
      <c r="CG24" s="602"/>
      <c r="CH24" s="602"/>
      <c r="CI24" s="602"/>
      <c r="CJ24" s="602"/>
      <c r="CK24" s="602"/>
      <c r="CL24" s="602"/>
      <c r="CM24" s="602"/>
      <c r="CN24" s="602"/>
      <c r="CO24" s="602"/>
      <c r="CP24" s="602"/>
      <c r="CQ24" s="602"/>
      <c r="CR24" s="602"/>
      <c r="CS24" s="602"/>
      <c r="CT24" s="602"/>
      <c r="CU24" s="602"/>
      <c r="CV24" s="602"/>
      <c r="CW24" s="602"/>
      <c r="CX24" s="602"/>
      <c r="CY24" s="602"/>
      <c r="CZ24" s="602"/>
      <c r="DA24" s="602"/>
      <c r="DB24" s="602"/>
      <c r="DC24" s="602"/>
      <c r="DD24" s="602"/>
      <c r="DE24" s="602"/>
      <c r="DF24" s="602"/>
      <c r="DG24" s="602"/>
      <c r="DH24" s="602"/>
      <c r="DI24" s="602"/>
      <c r="DJ24" s="602"/>
      <c r="DK24" s="602"/>
      <c r="DL24" s="602"/>
      <c r="DM24" s="602"/>
      <c r="DN24" s="602"/>
      <c r="DO24" s="602"/>
      <c r="DP24" s="602"/>
      <c r="DQ24" s="602"/>
      <c r="DR24" s="602"/>
      <c r="DS24" s="602"/>
      <c r="DT24" s="602"/>
      <c r="DU24" s="602"/>
      <c r="DV24" s="602"/>
      <c r="DW24" s="602"/>
      <c r="DX24" s="602"/>
      <c r="DY24" s="602"/>
      <c r="DZ24" s="602"/>
      <c r="EA24" s="602"/>
      <c r="EB24" s="602"/>
      <c r="EC24" s="602"/>
      <c r="ED24" s="602"/>
      <c r="EE24" s="602"/>
      <c r="EF24" s="602"/>
      <c r="EG24" s="602"/>
      <c r="EH24" s="602"/>
      <c r="EI24" s="602"/>
      <c r="EJ24" s="602"/>
      <c r="EK24" s="602"/>
      <c r="EL24" s="602"/>
      <c r="EM24" s="602"/>
      <c r="EN24" s="602"/>
      <c r="EO24" s="602"/>
      <c r="EP24" s="602"/>
      <c r="EQ24" s="602"/>
      <c r="ER24" s="602"/>
      <c r="ES24" s="602"/>
      <c r="ET24" s="602"/>
      <c r="EU24" s="602"/>
      <c r="EV24" s="602"/>
      <c r="EW24" s="602"/>
      <c r="EX24" s="602"/>
      <c r="EY24" s="602"/>
      <c r="EZ24" s="602"/>
      <c r="FA24" s="602"/>
      <c r="FB24" s="602"/>
      <c r="FC24" s="602"/>
      <c r="FD24" s="602"/>
      <c r="FE24" s="602"/>
      <c r="FF24" s="602"/>
      <c r="FG24" s="602"/>
      <c r="FH24" s="602"/>
      <c r="FI24" s="602"/>
      <c r="FJ24" s="602"/>
      <c r="FK24" s="602"/>
      <c r="FL24" s="602"/>
      <c r="FM24" s="602"/>
      <c r="FN24" s="602"/>
      <c r="FO24" s="602"/>
      <c r="FP24" s="602"/>
      <c r="FQ24" s="602"/>
      <c r="FR24" s="602"/>
      <c r="FS24" s="602"/>
      <c r="FT24" s="602"/>
      <c r="FU24" s="602"/>
      <c r="FV24" s="602"/>
      <c r="FW24" s="602"/>
      <c r="FX24" s="602"/>
      <c r="FY24" s="602"/>
      <c r="FZ24" s="602"/>
      <c r="GA24" s="602"/>
      <c r="GB24" s="602"/>
      <c r="GC24" s="602"/>
      <c r="GD24" s="602"/>
      <c r="GE24" s="602"/>
      <c r="GF24" s="602"/>
      <c r="GG24" s="602"/>
      <c r="GH24" s="602"/>
      <c r="GI24" s="602"/>
      <c r="GJ24" s="602"/>
      <c r="GK24" s="602"/>
      <c r="GL24" s="602"/>
      <c r="GM24" s="602"/>
      <c r="GN24" s="602"/>
      <c r="GO24" s="602"/>
      <c r="GP24" s="602"/>
      <c r="GQ24" s="602"/>
      <c r="GR24" s="602"/>
      <c r="GS24" s="602"/>
      <c r="GT24" s="602"/>
      <c r="GU24" s="602"/>
      <c r="GV24" s="602"/>
      <c r="GW24" s="602"/>
      <c r="GX24" s="602"/>
      <c r="GY24" s="602"/>
      <c r="GZ24" s="602"/>
      <c r="HA24" s="602"/>
      <c r="HB24" s="602"/>
      <c r="HC24" s="602"/>
      <c r="HD24" s="602"/>
      <c r="HE24" s="602"/>
      <c r="HF24" s="602"/>
      <c r="HG24" s="602"/>
      <c r="HH24" s="602"/>
      <c r="HI24" s="602"/>
      <c r="HJ24" s="602"/>
      <c r="HK24" s="602"/>
      <c r="HL24" s="602"/>
      <c r="HM24" s="602"/>
      <c r="HN24" s="602"/>
      <c r="HO24" s="602"/>
      <c r="HP24" s="602"/>
      <c r="HQ24" s="602"/>
      <c r="HR24" s="602"/>
      <c r="HS24" s="602"/>
      <c r="HT24" s="602"/>
      <c r="HU24" s="602"/>
      <c r="HV24" s="602"/>
      <c r="HW24" s="602"/>
      <c r="HX24" s="602"/>
      <c r="HY24" s="602"/>
      <c r="HZ24" s="602"/>
      <c r="IA24" s="602"/>
      <c r="IB24" s="602"/>
      <c r="IC24" s="602"/>
      <c r="ID24" s="602"/>
      <c r="IE24" s="602"/>
      <c r="IF24" s="602"/>
      <c r="IG24" s="602"/>
      <c r="IH24" s="602"/>
      <c r="II24" s="602"/>
      <c r="IJ24" s="602"/>
      <c r="IK24" s="602"/>
      <c r="IL24" s="602"/>
      <c r="IM24" s="602"/>
      <c r="IN24" s="602"/>
      <c r="IO24" s="602"/>
      <c r="IP24" s="602"/>
      <c r="IQ24" s="602"/>
      <c r="IR24" s="602"/>
      <c r="IS24" s="602"/>
      <c r="IT24" s="602"/>
      <c r="IU24" s="602"/>
      <c r="IV24" s="602"/>
      <c r="IW24" s="602"/>
      <c r="IX24" s="602"/>
      <c r="IY24" s="602"/>
      <c r="IZ24" s="602"/>
      <c r="JA24" s="602"/>
    </row>
    <row r="25" spans="1:261" x14ac:dyDescent="0.25">
      <c r="A25" s="610" t="s">
        <v>373</v>
      </c>
      <c r="B25" s="593" t="s">
        <v>373</v>
      </c>
      <c r="C25" s="594"/>
      <c r="D25" s="611"/>
      <c r="E25" s="612"/>
      <c r="F25" s="612"/>
      <c r="G25" s="612"/>
      <c r="H25" s="613"/>
      <c r="I25" s="612"/>
      <c r="J25" s="612"/>
      <c r="K25" s="612"/>
      <c r="L25" s="612"/>
      <c r="M25" s="613"/>
      <c r="N25" s="612"/>
      <c r="O25" s="612"/>
      <c r="P25" s="612"/>
      <c r="Q25" s="612"/>
      <c r="R25" s="613"/>
      <c r="S25" s="612"/>
      <c r="T25" s="612"/>
      <c r="U25" s="612"/>
      <c r="V25" s="612"/>
      <c r="W25" s="613"/>
      <c r="X25" s="612"/>
      <c r="Y25" s="612"/>
      <c r="Z25" s="612"/>
      <c r="AA25" s="612"/>
      <c r="AB25" s="613"/>
      <c r="AC25" s="612"/>
      <c r="AD25" s="612"/>
      <c r="AE25" s="612"/>
      <c r="AF25" s="612"/>
      <c r="AG25" s="613"/>
      <c r="AJ25" t="s">
        <v>374</v>
      </c>
    </row>
    <row r="26" spans="1:261" x14ac:dyDescent="0.25">
      <c r="A26" s="614"/>
      <c r="B26" s="597"/>
      <c r="C26" s="598"/>
      <c r="D26" s="599" t="e">
        <f ca="1">_xll.BLUEMATRIX2("/servlet/excelData",D25, $C$14,$B25&amp;":"&amp;D$16&amp;D$17&amp;":"&amp;D$19&amp;":"&amp;$B26)</f>
        <v>#NAME?</v>
      </c>
      <c r="E26" s="600" t="e">
        <f ca="1">_xll.BLUEMATRIX2("/servlet/excelData",E25, $C$14,$B25&amp;":"&amp;E$16&amp;E$17&amp;":"&amp;E$19&amp;":"&amp;$B26)</f>
        <v>#NAME?</v>
      </c>
      <c r="F26" s="600" t="e">
        <f ca="1">_xll.BLUEMATRIX2("/servlet/excelData",F25, $C$14,$B25&amp;":"&amp;F$16&amp;F$17&amp;":"&amp;F$19&amp;":"&amp;$B26)</f>
        <v>#NAME?</v>
      </c>
      <c r="G26" s="600" t="e">
        <f ca="1">_xll.BLUEMATRIX2("/servlet/excelData",G25, $C$14,$B25&amp;":"&amp;G$16&amp;G$17&amp;":"&amp;G$19&amp;":"&amp;$B26)</f>
        <v>#NAME?</v>
      </c>
      <c r="H26" s="601" t="e">
        <f ca="1">_xll.BLUEMATRIX2("/servlet/excelData",H25, $C$14,$B25&amp;":"&amp;H$16&amp;H$17&amp;":"&amp;H$19&amp;":"&amp;$B26)</f>
        <v>#NAME?</v>
      </c>
      <c r="I26" s="600" t="e">
        <f ca="1">_xll.BLUEMATRIX2("/servlet/excelData",I25, $C$14,$B25&amp;":"&amp;I$16&amp;I$17&amp;":"&amp;I$19&amp;":"&amp;$B26)</f>
        <v>#NAME?</v>
      </c>
      <c r="J26" s="600" t="e">
        <f ca="1">_xll.BLUEMATRIX2("/servlet/excelData",J25, $C$14,$B25&amp;":"&amp;J$16&amp;J$17&amp;":"&amp;J$19&amp;":"&amp;$B26)</f>
        <v>#NAME?</v>
      </c>
      <c r="K26" s="600" t="e">
        <f ca="1">_xll.BLUEMATRIX2("/servlet/excelData",K25, $C$14,$B25&amp;":"&amp;K$16&amp;K$17&amp;":"&amp;K$19&amp;":"&amp;$B26)</f>
        <v>#NAME?</v>
      </c>
      <c r="L26" s="600" t="e">
        <f ca="1">_xll.BLUEMATRIX2("/servlet/excelData",L25, $C$14,$B25&amp;":"&amp;L$16&amp;L$17&amp;":"&amp;L$19&amp;":"&amp;$B26)</f>
        <v>#NAME?</v>
      </c>
      <c r="M26" s="601" t="e">
        <f ca="1">_xll.BLUEMATRIX2("/servlet/excelData",M25, $C$14,$B25&amp;":"&amp;M$16&amp;M$17&amp;":"&amp;M$19&amp;":"&amp;$B26)</f>
        <v>#NAME?</v>
      </c>
      <c r="N26" s="600" t="e">
        <f ca="1">_xll.BLUEMATRIX2("/servlet/excelData",N25, $C$14,$B25&amp;":"&amp;N$16&amp;N$17&amp;":"&amp;N$19&amp;":"&amp;$B26)</f>
        <v>#NAME?</v>
      </c>
      <c r="O26" s="600" t="e">
        <f ca="1">_xll.BLUEMATRIX2("/servlet/excelData",O25, $C$14,$B25&amp;":"&amp;O$16&amp;O$17&amp;":"&amp;O$19&amp;":"&amp;$B26)</f>
        <v>#NAME?</v>
      </c>
      <c r="P26" s="600" t="e">
        <f ca="1">_xll.BLUEMATRIX2("/servlet/excelData",P25, $C$14,$B25&amp;":"&amp;P$16&amp;P$17&amp;":"&amp;P$19&amp;":"&amp;$B26)</f>
        <v>#NAME?</v>
      </c>
      <c r="Q26" s="600" t="e">
        <f ca="1">_xll.BLUEMATRIX2("/servlet/excelData",Q25, $C$14,$B25&amp;":"&amp;Q$16&amp;Q$17&amp;":"&amp;Q$19&amp;":"&amp;$B26)</f>
        <v>#NAME?</v>
      </c>
      <c r="R26" s="601" t="e">
        <f ca="1">_xll.BLUEMATRIX2("/servlet/excelData",R25, $C$14,$B25&amp;":"&amp;R$16&amp;R$17&amp;":"&amp;R$19&amp;":"&amp;$B26)</f>
        <v>#NAME?</v>
      </c>
      <c r="S26" s="600" t="e">
        <f ca="1">_xll.BLUEMATRIX2("/servlet/excelData",S25, $C$14,$B25&amp;":"&amp;S$16&amp;S$17&amp;":"&amp;S$19&amp;":"&amp;$B26)</f>
        <v>#NAME?</v>
      </c>
      <c r="T26" s="600" t="e">
        <f ca="1">_xll.BLUEMATRIX2("/servlet/excelData",T25, $C$14,$B25&amp;":"&amp;T$16&amp;T$17&amp;":"&amp;T$19&amp;":"&amp;$B26)</f>
        <v>#NAME?</v>
      </c>
      <c r="U26" s="600" t="e">
        <f ca="1">_xll.BLUEMATRIX2("/servlet/excelData",U25, $C$14,$B25&amp;":"&amp;U$16&amp;U$17&amp;":"&amp;U$19&amp;":"&amp;$B26)</f>
        <v>#NAME?</v>
      </c>
      <c r="V26" s="600" t="e">
        <f ca="1">_xll.BLUEMATRIX2("/servlet/excelData",V25, $C$14,$B25&amp;":"&amp;V$16&amp;V$17&amp;":"&amp;V$19&amp;":"&amp;$B26)</f>
        <v>#NAME?</v>
      </c>
      <c r="W26" s="601" t="e">
        <f ca="1">_xll.BLUEMATRIX2("/servlet/excelData",W25, $C$14,$B25&amp;":"&amp;W$16&amp;W$17&amp;":"&amp;W$19&amp;":"&amp;$B26)</f>
        <v>#NAME?</v>
      </c>
      <c r="X26" s="600" t="e">
        <f ca="1">_xll.BLUEMATRIX2("/servlet/excelData",X25, $C$14,$B25&amp;":"&amp;X$16&amp;X$17&amp;":"&amp;X$19&amp;":"&amp;$B26)</f>
        <v>#NAME?</v>
      </c>
      <c r="Y26" s="600" t="e">
        <f ca="1">_xll.BLUEMATRIX2("/servlet/excelData",Y25, $C$14,$B25&amp;":"&amp;Y$16&amp;Y$17&amp;":"&amp;Y$19&amp;":"&amp;$B26)</f>
        <v>#NAME?</v>
      </c>
      <c r="Z26" s="600" t="e">
        <f ca="1">_xll.BLUEMATRIX2("/servlet/excelData",Z25, $C$14,$B25&amp;":"&amp;Z$16&amp;Z$17&amp;":"&amp;Z$19&amp;":"&amp;$B26)</f>
        <v>#NAME?</v>
      </c>
      <c r="AA26" s="600" t="e">
        <f ca="1">_xll.BLUEMATRIX2("/servlet/excelData",AA25, $C$14,$B25&amp;":"&amp;AA$16&amp;AA$17&amp;":"&amp;AA$19&amp;":"&amp;$B26)</f>
        <v>#NAME?</v>
      </c>
      <c r="AB26" s="601" t="e">
        <f ca="1">_xll.BLUEMATRIX2("/servlet/excelData",AB25, $C$14,$B25&amp;":"&amp;AB$16&amp;AB$17&amp;":"&amp;AB$19&amp;":"&amp;$B26)</f>
        <v>#NAME?</v>
      </c>
      <c r="AC26" s="600" t="e">
        <f ca="1">_xll.BLUEMATRIX2("/servlet/excelData",AC25, $C$14,$B25&amp;":"&amp;AC$16&amp;AC$17&amp;":"&amp;AC$19&amp;":"&amp;$B26)</f>
        <v>#NAME?</v>
      </c>
      <c r="AD26" s="600" t="e">
        <f ca="1">_xll.BLUEMATRIX2("/servlet/excelData",AD25, $C$14,$B25&amp;":"&amp;AD$16&amp;AD$17&amp;":"&amp;AD$19&amp;":"&amp;$B26)</f>
        <v>#NAME?</v>
      </c>
      <c r="AE26" s="600" t="e">
        <f ca="1">_xll.BLUEMATRIX2("/servlet/excelData",AE25, $C$14,$B25&amp;":"&amp;AE$16&amp;AE$17&amp;":"&amp;AE$19&amp;":"&amp;$B26)</f>
        <v>#NAME?</v>
      </c>
      <c r="AF26" s="600" t="e">
        <f ca="1">_xll.BLUEMATRIX2("/servlet/excelData",AF25, $C$14,$B25&amp;":"&amp;AF$16&amp;AF$17&amp;":"&amp;AF$19&amp;":"&amp;$B26)</f>
        <v>#NAME?</v>
      </c>
      <c r="AG26" s="601" t="e">
        <f ca="1">_xll.BLUEMATRIX2("/servlet/excelData",AG25, $C$14,$B25&amp;":"&amp;AG$16&amp;AG$17&amp;":"&amp;AG$19&amp;":"&amp;$B26)</f>
        <v>#NAME?</v>
      </c>
      <c r="AH26" s="602"/>
      <c r="AI26" s="602"/>
      <c r="AJ26" t="s">
        <v>375</v>
      </c>
      <c r="AK26" s="602"/>
      <c r="AL26" s="602"/>
      <c r="AM26" s="602"/>
      <c r="AN26" s="602"/>
      <c r="AO26" s="602"/>
      <c r="AP26" s="602"/>
      <c r="AQ26" s="602"/>
      <c r="AR26" s="602"/>
      <c r="AS26" s="602"/>
      <c r="AT26" s="602"/>
      <c r="AU26" s="602"/>
      <c r="AV26" s="602"/>
      <c r="AW26" s="602"/>
      <c r="AX26" s="602"/>
      <c r="AY26" s="602"/>
      <c r="AZ26" s="602"/>
      <c r="BA26" s="602"/>
      <c r="BB26" s="602"/>
      <c r="BC26" s="602"/>
      <c r="BD26" s="602"/>
      <c r="BE26" s="602"/>
      <c r="BF26" s="602"/>
      <c r="BG26" s="602"/>
      <c r="BH26" s="602"/>
      <c r="BI26" s="602"/>
      <c r="BJ26" s="602"/>
      <c r="BK26" s="602"/>
      <c r="BL26" s="602"/>
      <c r="BM26" s="602"/>
      <c r="BN26" s="602"/>
      <c r="BO26" s="602"/>
      <c r="BP26" s="602"/>
      <c r="BQ26" s="602"/>
      <c r="BR26" s="602"/>
      <c r="BS26" s="602"/>
      <c r="BT26" s="602"/>
      <c r="BU26" s="602"/>
      <c r="BV26" s="602"/>
      <c r="BW26" s="602"/>
      <c r="BX26" s="602"/>
      <c r="BY26" s="602"/>
      <c r="BZ26" s="602"/>
      <c r="CA26" s="602"/>
      <c r="CB26" s="602"/>
      <c r="CC26" s="602"/>
      <c r="CD26" s="602"/>
      <c r="CE26" s="602"/>
      <c r="CF26" s="602"/>
      <c r="CG26" s="602"/>
      <c r="CH26" s="602"/>
      <c r="CI26" s="602"/>
      <c r="CJ26" s="602"/>
      <c r="CK26" s="602"/>
      <c r="CL26" s="602"/>
      <c r="CM26" s="602"/>
      <c r="CN26" s="602"/>
      <c r="CO26" s="602"/>
      <c r="CP26" s="602"/>
      <c r="CQ26" s="602"/>
      <c r="CR26" s="602"/>
      <c r="CS26" s="602"/>
      <c r="CT26" s="602"/>
      <c r="CU26" s="602"/>
      <c r="CV26" s="602"/>
      <c r="CW26" s="602"/>
      <c r="CX26" s="602"/>
      <c r="CY26" s="602"/>
      <c r="CZ26" s="602"/>
      <c r="DA26" s="602"/>
      <c r="DB26" s="602"/>
      <c r="DC26" s="602"/>
      <c r="DD26" s="602"/>
      <c r="DE26" s="602"/>
      <c r="DF26" s="602"/>
      <c r="DG26" s="602"/>
      <c r="DH26" s="602"/>
      <c r="DI26" s="602"/>
      <c r="DJ26" s="602"/>
      <c r="DK26" s="602"/>
      <c r="DL26" s="602"/>
      <c r="DM26" s="602"/>
      <c r="DN26" s="602"/>
      <c r="DO26" s="602"/>
      <c r="DP26" s="602"/>
      <c r="DQ26" s="602"/>
      <c r="DR26" s="602"/>
      <c r="DS26" s="602"/>
      <c r="DT26" s="602"/>
      <c r="DU26" s="602"/>
      <c r="DV26" s="602"/>
      <c r="DW26" s="602"/>
      <c r="DX26" s="602"/>
      <c r="DY26" s="602"/>
      <c r="DZ26" s="602"/>
      <c r="EA26" s="602"/>
      <c r="EB26" s="602"/>
      <c r="EC26" s="602"/>
      <c r="ED26" s="602"/>
      <c r="EE26" s="602"/>
      <c r="EF26" s="602"/>
      <c r="EG26" s="602"/>
      <c r="EH26" s="602"/>
      <c r="EI26" s="602"/>
      <c r="EJ26" s="602"/>
      <c r="EK26" s="602"/>
      <c r="EL26" s="602"/>
      <c r="EM26" s="602"/>
      <c r="EN26" s="602"/>
      <c r="EO26" s="602"/>
      <c r="EP26" s="602"/>
      <c r="EQ26" s="602"/>
      <c r="ER26" s="602"/>
      <c r="ES26" s="602"/>
      <c r="ET26" s="602"/>
      <c r="EU26" s="602"/>
      <c r="EV26" s="602"/>
      <c r="EW26" s="602"/>
      <c r="EX26" s="602"/>
      <c r="EY26" s="602"/>
      <c r="EZ26" s="602"/>
      <c r="FA26" s="602"/>
      <c r="FB26" s="602"/>
      <c r="FC26" s="602"/>
      <c r="FD26" s="602"/>
      <c r="FE26" s="602"/>
      <c r="FF26" s="602"/>
      <c r="FG26" s="602"/>
      <c r="FH26" s="602"/>
      <c r="FI26" s="602"/>
      <c r="FJ26" s="602"/>
      <c r="FK26" s="602"/>
      <c r="FL26" s="602"/>
      <c r="FM26" s="602"/>
      <c r="FN26" s="602"/>
      <c r="FO26" s="602"/>
      <c r="FP26" s="602"/>
      <c r="FQ26" s="602"/>
      <c r="FR26" s="602"/>
      <c r="FS26" s="602"/>
      <c r="FT26" s="602"/>
      <c r="FU26" s="602"/>
      <c r="FV26" s="602"/>
      <c r="FW26" s="602"/>
      <c r="FX26" s="602"/>
      <c r="FY26" s="602"/>
      <c r="FZ26" s="602"/>
      <c r="GA26" s="602"/>
      <c r="GB26" s="602"/>
      <c r="GC26" s="602"/>
      <c r="GD26" s="602"/>
      <c r="GE26" s="602"/>
      <c r="GF26" s="602"/>
      <c r="GG26" s="602"/>
      <c r="GH26" s="602"/>
      <c r="GI26" s="602"/>
      <c r="GJ26" s="602"/>
      <c r="GK26" s="602"/>
      <c r="GL26" s="602"/>
      <c r="GM26" s="602"/>
      <c r="GN26" s="602"/>
      <c r="GO26" s="602"/>
      <c r="GP26" s="602"/>
      <c r="GQ26" s="602"/>
      <c r="GR26" s="602"/>
      <c r="GS26" s="602"/>
      <c r="GT26" s="602"/>
      <c r="GU26" s="602"/>
      <c r="GV26" s="602"/>
      <c r="GW26" s="602"/>
      <c r="GX26" s="602"/>
      <c r="GY26" s="602"/>
      <c r="GZ26" s="602"/>
      <c r="HA26" s="602"/>
      <c r="HB26" s="602"/>
      <c r="HC26" s="602"/>
      <c r="HD26" s="602"/>
      <c r="HE26" s="602"/>
      <c r="HF26" s="602"/>
      <c r="HG26" s="602"/>
      <c r="HH26" s="602"/>
      <c r="HI26" s="602"/>
      <c r="HJ26" s="602"/>
      <c r="HK26" s="602"/>
      <c r="HL26" s="602"/>
      <c r="HM26" s="602"/>
      <c r="HN26" s="602"/>
      <c r="HO26" s="602"/>
      <c r="HP26" s="602"/>
      <c r="HQ26" s="602"/>
      <c r="HR26" s="602"/>
      <c r="HS26" s="602"/>
      <c r="HT26" s="602"/>
      <c r="HU26" s="602"/>
      <c r="HV26" s="602"/>
      <c r="HW26" s="602"/>
      <c r="HX26" s="602"/>
      <c r="HY26" s="602"/>
      <c r="HZ26" s="602"/>
      <c r="IA26" s="602"/>
      <c r="IB26" s="602"/>
      <c r="IC26" s="602"/>
      <c r="ID26" s="602"/>
      <c r="IE26" s="602"/>
      <c r="IF26" s="602"/>
      <c r="IG26" s="602"/>
      <c r="IH26" s="602"/>
      <c r="II26" s="602"/>
      <c r="IJ26" s="602"/>
      <c r="IK26" s="602"/>
      <c r="IL26" s="602"/>
      <c r="IM26" s="602"/>
      <c r="IN26" s="602"/>
      <c r="IO26" s="602"/>
      <c r="IP26" s="602"/>
      <c r="IQ26" s="602"/>
      <c r="IR26" s="602"/>
      <c r="IS26" s="602"/>
      <c r="IT26" s="602"/>
      <c r="IU26" s="602"/>
      <c r="IV26" s="602"/>
      <c r="IW26" s="602"/>
      <c r="IX26" s="602"/>
      <c r="IY26" s="602"/>
      <c r="IZ26" s="602"/>
      <c r="JA26" s="602"/>
    </row>
    <row r="27" spans="1:261" ht="15" x14ac:dyDescent="0.2">
      <c r="A27" s="615" t="s">
        <v>376</v>
      </c>
      <c r="B27" s="604" t="s">
        <v>376</v>
      </c>
      <c r="C27" s="605"/>
      <c r="D27" s="616"/>
      <c r="E27" s="602"/>
      <c r="F27" s="602"/>
      <c r="G27" s="602"/>
      <c r="H27" s="617"/>
      <c r="I27" s="602"/>
      <c r="J27" s="602"/>
      <c r="K27" s="602"/>
      <c r="L27" s="602"/>
      <c r="M27" s="617"/>
      <c r="N27" s="602"/>
      <c r="O27" s="602"/>
      <c r="P27" s="602"/>
      <c r="Q27" s="602"/>
      <c r="R27" s="617"/>
      <c r="S27" s="602"/>
      <c r="T27" s="602"/>
      <c r="U27" s="602"/>
      <c r="V27" s="602"/>
      <c r="W27" s="617"/>
      <c r="X27" s="602"/>
      <c r="Y27" s="602"/>
      <c r="Z27" s="602"/>
      <c r="AA27" s="602"/>
      <c r="AB27" s="617"/>
      <c r="AC27" s="602"/>
      <c r="AD27" s="602"/>
      <c r="AE27" s="602"/>
      <c r="AF27" s="602"/>
      <c r="AG27" s="617"/>
      <c r="AJ27" s="547"/>
    </row>
    <row r="28" spans="1:261" ht="15" x14ac:dyDescent="0.2">
      <c r="A28" s="618"/>
      <c r="B28" s="608"/>
      <c r="C28" s="609"/>
      <c r="D28" s="619" t="e">
        <f ca="1">_xll.BLUEMATRIX2("/servlet/excelData",D27, $C$14,$B27&amp;":"&amp;D$16&amp;D$17&amp;":"&amp;D$19&amp;":"&amp;$B28)</f>
        <v>#NAME?</v>
      </c>
      <c r="E28" s="620" t="e">
        <f ca="1">_xll.BLUEMATRIX2("/servlet/excelData",E27, $C$14,$B27&amp;":"&amp;E$16&amp;E$17&amp;":"&amp;E$19&amp;":"&amp;$B28)</f>
        <v>#NAME?</v>
      </c>
      <c r="F28" s="620" t="e">
        <f ca="1">_xll.BLUEMATRIX2("/servlet/excelData",F27, $C$14,$B27&amp;":"&amp;F$16&amp;F$17&amp;":"&amp;F$19&amp;":"&amp;$B28)</f>
        <v>#NAME?</v>
      </c>
      <c r="G28" s="620" t="e">
        <f ca="1">_xll.BLUEMATRIX2("/servlet/excelData",G27, $C$14,$B27&amp;":"&amp;G$16&amp;G$17&amp;":"&amp;G$19&amp;":"&amp;$B28)</f>
        <v>#NAME?</v>
      </c>
      <c r="H28" s="556" t="e">
        <f ca="1">_xll.BLUEMATRIX2("/servlet/excelData",H27, $C$14,$B27&amp;":"&amp;H$16&amp;H$17&amp;":"&amp;H$19&amp;":"&amp;$B28)</f>
        <v>#NAME?</v>
      </c>
      <c r="I28" s="620" t="e">
        <f ca="1">_xll.BLUEMATRIX2("/servlet/excelData",I27, $C$14,$B27&amp;":"&amp;I$16&amp;I$17&amp;":"&amp;I$19&amp;":"&amp;$B28)</f>
        <v>#NAME?</v>
      </c>
      <c r="J28" s="620" t="e">
        <f ca="1">_xll.BLUEMATRIX2("/servlet/excelData",J27, $C$14,$B27&amp;":"&amp;J$16&amp;J$17&amp;":"&amp;J$19&amp;":"&amp;$B28)</f>
        <v>#NAME?</v>
      </c>
      <c r="K28" s="620" t="e">
        <f ca="1">_xll.BLUEMATRIX2("/servlet/excelData",K27, $C$14,$B27&amp;":"&amp;K$16&amp;K$17&amp;":"&amp;K$19&amp;":"&amp;$B28)</f>
        <v>#NAME?</v>
      </c>
      <c r="L28" s="620" t="e">
        <f ca="1">_xll.BLUEMATRIX2("/servlet/excelData",L27, $C$14,$B27&amp;":"&amp;L$16&amp;L$17&amp;":"&amp;L$19&amp;":"&amp;$B28)</f>
        <v>#NAME?</v>
      </c>
      <c r="M28" s="556" t="e">
        <f ca="1">_xll.BLUEMATRIX2("/servlet/excelData",M27, $C$14,$B27&amp;":"&amp;M$16&amp;M$17&amp;":"&amp;M$19&amp;":"&amp;$B28)</f>
        <v>#NAME?</v>
      </c>
      <c r="N28" s="620" t="e">
        <f ca="1">_xll.BLUEMATRIX2("/servlet/excelData",N27, $C$14,$B27&amp;":"&amp;N$16&amp;N$17&amp;":"&amp;N$19&amp;":"&amp;$B28)</f>
        <v>#NAME?</v>
      </c>
      <c r="O28" s="620" t="e">
        <f ca="1">_xll.BLUEMATRIX2("/servlet/excelData",O27, $C$14,$B27&amp;":"&amp;O$16&amp;O$17&amp;":"&amp;O$19&amp;":"&amp;$B28)</f>
        <v>#NAME?</v>
      </c>
      <c r="P28" s="620" t="e">
        <f ca="1">_xll.BLUEMATRIX2("/servlet/excelData",P27, $C$14,$B27&amp;":"&amp;P$16&amp;P$17&amp;":"&amp;P$19&amp;":"&amp;$B28)</f>
        <v>#NAME?</v>
      </c>
      <c r="Q28" s="620" t="e">
        <f ca="1">_xll.BLUEMATRIX2("/servlet/excelData",Q27, $C$14,$B27&amp;":"&amp;Q$16&amp;Q$17&amp;":"&amp;Q$19&amp;":"&amp;$B28)</f>
        <v>#NAME?</v>
      </c>
      <c r="R28" s="556" t="e">
        <f ca="1">_xll.BLUEMATRIX2("/servlet/excelData",R27, $C$14,$B27&amp;":"&amp;R$16&amp;R$17&amp;":"&amp;R$19&amp;":"&amp;$B28)</f>
        <v>#NAME?</v>
      </c>
      <c r="S28" s="620" t="e">
        <f ca="1">_xll.BLUEMATRIX2("/servlet/excelData",S27, $C$14,$B27&amp;":"&amp;S$16&amp;S$17&amp;":"&amp;S$19&amp;":"&amp;$B28)</f>
        <v>#NAME?</v>
      </c>
      <c r="T28" s="620" t="e">
        <f ca="1">_xll.BLUEMATRIX2("/servlet/excelData",T27, $C$14,$B27&amp;":"&amp;T$16&amp;T$17&amp;":"&amp;T$19&amp;":"&amp;$B28)</f>
        <v>#NAME?</v>
      </c>
      <c r="U28" s="620" t="e">
        <f ca="1">_xll.BLUEMATRIX2("/servlet/excelData",U27, $C$14,$B27&amp;":"&amp;U$16&amp;U$17&amp;":"&amp;U$19&amp;":"&amp;$B28)</f>
        <v>#NAME?</v>
      </c>
      <c r="V28" s="620" t="e">
        <f ca="1">_xll.BLUEMATRIX2("/servlet/excelData",V27, $C$14,$B27&amp;":"&amp;V$16&amp;V$17&amp;":"&amp;V$19&amp;":"&amp;$B28)</f>
        <v>#NAME?</v>
      </c>
      <c r="W28" s="556" t="e">
        <f ca="1">_xll.BLUEMATRIX2("/servlet/excelData",W27, $C$14,$B27&amp;":"&amp;W$16&amp;W$17&amp;":"&amp;W$19&amp;":"&amp;$B28)</f>
        <v>#NAME?</v>
      </c>
      <c r="X28" s="620" t="e">
        <f ca="1">_xll.BLUEMATRIX2("/servlet/excelData",X27, $C$14,$B27&amp;":"&amp;X$16&amp;X$17&amp;":"&amp;X$19&amp;":"&amp;$B28)</f>
        <v>#NAME?</v>
      </c>
      <c r="Y28" s="620" t="e">
        <f ca="1">_xll.BLUEMATRIX2("/servlet/excelData",Y27, $C$14,$B27&amp;":"&amp;Y$16&amp;Y$17&amp;":"&amp;Y$19&amp;":"&amp;$B28)</f>
        <v>#NAME?</v>
      </c>
      <c r="Z28" s="620" t="e">
        <f ca="1">_xll.BLUEMATRIX2("/servlet/excelData",Z27, $C$14,$B27&amp;":"&amp;Z$16&amp;Z$17&amp;":"&amp;Z$19&amp;":"&amp;$B28)</f>
        <v>#NAME?</v>
      </c>
      <c r="AA28" s="620" t="e">
        <f ca="1">_xll.BLUEMATRIX2("/servlet/excelData",AA27, $C$14,$B27&amp;":"&amp;AA$16&amp;AA$17&amp;":"&amp;AA$19&amp;":"&amp;$B28)</f>
        <v>#NAME?</v>
      </c>
      <c r="AB28" s="556" t="e">
        <f ca="1">_xll.BLUEMATRIX2("/servlet/excelData",AB27, $C$14,$B27&amp;":"&amp;AB$16&amp;AB$17&amp;":"&amp;AB$19&amp;":"&amp;$B28)</f>
        <v>#NAME?</v>
      </c>
      <c r="AC28" s="620" t="e">
        <f ca="1">_xll.BLUEMATRIX2("/servlet/excelData",AC27, $C$14,$B27&amp;":"&amp;AC$16&amp;AC$17&amp;":"&amp;AC$19&amp;":"&amp;$B28)</f>
        <v>#NAME?</v>
      </c>
      <c r="AD28" s="620" t="e">
        <f ca="1">_xll.BLUEMATRIX2("/servlet/excelData",AD27, $C$14,$B27&amp;":"&amp;AD$16&amp;AD$17&amp;":"&amp;AD$19&amp;":"&amp;$B28)</f>
        <v>#NAME?</v>
      </c>
      <c r="AE28" s="620" t="e">
        <f ca="1">_xll.BLUEMATRIX2("/servlet/excelData",AE27, $C$14,$B27&amp;":"&amp;AE$16&amp;AE$17&amp;":"&amp;AE$19&amp;":"&amp;$B28)</f>
        <v>#NAME?</v>
      </c>
      <c r="AF28" s="620" t="e">
        <f ca="1">_xll.BLUEMATRIX2("/servlet/excelData",AF27, $C$14,$B27&amp;":"&amp;AF$16&amp;AF$17&amp;":"&amp;AF$19&amp;":"&amp;$B28)</f>
        <v>#NAME?</v>
      </c>
      <c r="AG28" s="556" t="e">
        <f ca="1">_xll.BLUEMATRIX2("/servlet/excelData",AG27, $C$14,$B27&amp;":"&amp;AG$16&amp;AG$17&amp;":"&amp;AG$19&amp;":"&amp;$B28)</f>
        <v>#NAME?</v>
      </c>
      <c r="AH28" s="602"/>
      <c r="AI28" s="602"/>
      <c r="AJ28" s="547"/>
      <c r="AK28" s="602"/>
      <c r="AL28" s="602"/>
      <c r="AM28" s="602"/>
      <c r="AN28" s="602"/>
      <c r="AO28" s="602"/>
      <c r="AP28" s="602"/>
      <c r="AQ28" s="602"/>
      <c r="AR28" s="602"/>
      <c r="AS28" s="602"/>
      <c r="AT28" s="602"/>
      <c r="AU28" s="602"/>
      <c r="AV28" s="602"/>
      <c r="AW28" s="602"/>
      <c r="AX28" s="602"/>
      <c r="AY28" s="602"/>
      <c r="AZ28" s="602"/>
      <c r="BA28" s="602"/>
      <c r="BB28" s="602"/>
      <c r="BC28" s="602"/>
      <c r="BD28" s="602"/>
      <c r="BE28" s="602"/>
      <c r="BF28" s="602"/>
      <c r="BG28" s="602"/>
      <c r="BH28" s="602"/>
      <c r="BI28" s="602"/>
      <c r="BJ28" s="602"/>
      <c r="BK28" s="602"/>
      <c r="BL28" s="602"/>
      <c r="BM28" s="602"/>
      <c r="BN28" s="602"/>
      <c r="BO28" s="602"/>
      <c r="BP28" s="602"/>
      <c r="BQ28" s="602"/>
      <c r="BR28" s="602"/>
      <c r="BS28" s="602"/>
      <c r="BT28" s="602"/>
      <c r="BU28" s="602"/>
      <c r="BV28" s="602"/>
      <c r="BW28" s="602"/>
      <c r="BX28" s="602"/>
      <c r="BY28" s="602"/>
      <c r="BZ28" s="602"/>
      <c r="CA28" s="602"/>
      <c r="CB28" s="602"/>
      <c r="CC28" s="602"/>
      <c r="CD28" s="602"/>
      <c r="CE28" s="602"/>
      <c r="CF28" s="602"/>
      <c r="CG28" s="602"/>
      <c r="CH28" s="602"/>
      <c r="CI28" s="602"/>
      <c r="CJ28" s="602"/>
      <c r="CK28" s="602"/>
      <c r="CL28" s="602"/>
      <c r="CM28" s="602"/>
      <c r="CN28" s="602"/>
      <c r="CO28" s="602"/>
      <c r="CP28" s="602"/>
      <c r="CQ28" s="602"/>
      <c r="CR28" s="602"/>
      <c r="CS28" s="602"/>
      <c r="CT28" s="602"/>
      <c r="CU28" s="602"/>
      <c r="CV28" s="602"/>
      <c r="CW28" s="602"/>
      <c r="CX28" s="602"/>
      <c r="CY28" s="602"/>
      <c r="CZ28" s="602"/>
      <c r="DA28" s="602"/>
      <c r="DB28" s="602"/>
      <c r="DC28" s="602"/>
      <c r="DD28" s="602"/>
      <c r="DE28" s="602"/>
      <c r="DF28" s="602"/>
      <c r="DG28" s="602"/>
      <c r="DH28" s="602"/>
      <c r="DI28" s="602"/>
      <c r="DJ28" s="602"/>
      <c r="DK28" s="602"/>
      <c r="DL28" s="602"/>
      <c r="DM28" s="602"/>
      <c r="DN28" s="602"/>
      <c r="DO28" s="602"/>
      <c r="DP28" s="602"/>
      <c r="DQ28" s="602"/>
      <c r="DR28" s="602"/>
      <c r="DS28" s="602"/>
      <c r="DT28" s="602"/>
      <c r="DU28" s="602"/>
      <c r="DV28" s="602"/>
      <c r="DW28" s="602"/>
      <c r="DX28" s="602"/>
      <c r="DY28" s="602"/>
      <c r="DZ28" s="602"/>
      <c r="EA28" s="602"/>
      <c r="EB28" s="602"/>
      <c r="EC28" s="602"/>
      <c r="ED28" s="602"/>
      <c r="EE28" s="602"/>
      <c r="EF28" s="602"/>
      <c r="EG28" s="602"/>
      <c r="EH28" s="602"/>
      <c r="EI28" s="602"/>
      <c r="EJ28" s="602"/>
      <c r="EK28" s="602"/>
      <c r="EL28" s="602"/>
      <c r="EM28" s="602"/>
      <c r="EN28" s="602"/>
      <c r="EO28" s="602"/>
      <c r="EP28" s="602"/>
      <c r="EQ28" s="602"/>
      <c r="ER28" s="602"/>
      <c r="ES28" s="602"/>
      <c r="ET28" s="602"/>
      <c r="EU28" s="602"/>
      <c r="EV28" s="602"/>
      <c r="EW28" s="602"/>
      <c r="EX28" s="602"/>
      <c r="EY28" s="602"/>
      <c r="EZ28" s="602"/>
      <c r="FA28" s="602"/>
      <c r="FB28" s="602"/>
      <c r="FC28" s="602"/>
      <c r="FD28" s="602"/>
      <c r="FE28" s="602"/>
      <c r="FF28" s="602"/>
      <c r="FG28" s="602"/>
      <c r="FH28" s="602"/>
      <c r="FI28" s="602"/>
      <c r="FJ28" s="602"/>
      <c r="FK28" s="602"/>
      <c r="FL28" s="602"/>
      <c r="FM28" s="602"/>
      <c r="FN28" s="602"/>
      <c r="FO28" s="602"/>
      <c r="FP28" s="602"/>
      <c r="FQ28" s="602"/>
      <c r="FR28" s="602"/>
      <c r="FS28" s="602"/>
      <c r="FT28" s="602"/>
      <c r="FU28" s="602"/>
      <c r="FV28" s="602"/>
      <c r="FW28" s="602"/>
      <c r="FX28" s="602"/>
      <c r="FY28" s="602"/>
      <c r="FZ28" s="602"/>
      <c r="GA28" s="602"/>
      <c r="GB28" s="602"/>
      <c r="GC28" s="602"/>
      <c r="GD28" s="602"/>
      <c r="GE28" s="602"/>
      <c r="GF28" s="602"/>
      <c r="GG28" s="602"/>
      <c r="GH28" s="602"/>
      <c r="GI28" s="602"/>
      <c r="GJ28" s="602"/>
      <c r="GK28" s="602"/>
      <c r="GL28" s="602"/>
      <c r="GM28" s="602"/>
      <c r="GN28" s="602"/>
      <c r="GO28" s="602"/>
      <c r="GP28" s="602"/>
      <c r="GQ28" s="602"/>
      <c r="GR28" s="602"/>
      <c r="GS28" s="602"/>
      <c r="GT28" s="602"/>
      <c r="GU28" s="602"/>
      <c r="GV28" s="602"/>
      <c r="GW28" s="602"/>
      <c r="GX28" s="602"/>
      <c r="GY28" s="602"/>
      <c r="GZ28" s="602"/>
      <c r="HA28" s="602"/>
      <c r="HB28" s="602"/>
      <c r="HC28" s="602"/>
      <c r="HD28" s="602"/>
      <c r="HE28" s="602"/>
      <c r="HF28" s="602"/>
      <c r="HG28" s="602"/>
      <c r="HH28" s="602"/>
      <c r="HI28" s="602"/>
      <c r="HJ28" s="602"/>
      <c r="HK28" s="602"/>
      <c r="HL28" s="602"/>
      <c r="HM28" s="602"/>
      <c r="HN28" s="602"/>
      <c r="HO28" s="602"/>
      <c r="HP28" s="602"/>
      <c r="HQ28" s="602"/>
      <c r="HR28" s="602"/>
      <c r="HS28" s="602"/>
      <c r="HT28" s="602"/>
      <c r="HU28" s="602"/>
      <c r="HV28" s="602"/>
      <c r="HW28" s="602"/>
      <c r="HX28" s="602"/>
      <c r="HY28" s="602"/>
      <c r="HZ28" s="602"/>
      <c r="IA28" s="602"/>
      <c r="IB28" s="602"/>
      <c r="IC28" s="602"/>
      <c r="ID28" s="602"/>
      <c r="IE28" s="602"/>
      <c r="IF28" s="602"/>
      <c r="IG28" s="602"/>
      <c r="IH28" s="602"/>
      <c r="II28" s="602"/>
      <c r="IJ28" s="602"/>
      <c r="IK28" s="602"/>
      <c r="IL28" s="602"/>
      <c r="IM28" s="602"/>
      <c r="IN28" s="602"/>
      <c r="IO28" s="602"/>
      <c r="IP28" s="602"/>
      <c r="IQ28" s="602"/>
      <c r="IR28" s="602"/>
      <c r="IS28" s="602"/>
      <c r="IT28" s="602"/>
      <c r="IU28" s="602"/>
      <c r="IV28" s="602"/>
      <c r="IW28" s="602"/>
      <c r="IX28" s="602"/>
      <c r="IY28" s="602"/>
      <c r="IZ28" s="602"/>
      <c r="JA28" s="602"/>
    </row>
    <row r="29" spans="1:261" ht="15" x14ac:dyDescent="0.2">
      <c r="A29" s="610" t="s">
        <v>377</v>
      </c>
      <c r="B29" s="593" t="s">
        <v>378</v>
      </c>
      <c r="C29" s="594"/>
      <c r="D29" s="611"/>
      <c r="E29" s="612"/>
      <c r="F29" s="612"/>
      <c r="G29" s="612"/>
      <c r="H29" s="613"/>
      <c r="I29" s="612"/>
      <c r="J29" s="612"/>
      <c r="K29" s="612"/>
      <c r="L29" s="612"/>
      <c r="M29" s="613"/>
      <c r="N29" s="612"/>
      <c r="O29" s="612"/>
      <c r="P29" s="612"/>
      <c r="Q29" s="612"/>
      <c r="R29" s="613"/>
      <c r="S29" s="612"/>
      <c r="T29" s="612"/>
      <c r="U29" s="612"/>
      <c r="V29" s="612"/>
      <c r="W29" s="613"/>
      <c r="X29" s="612"/>
      <c r="Y29" s="612"/>
      <c r="Z29" s="612"/>
      <c r="AA29" s="612"/>
      <c r="AB29" s="613"/>
      <c r="AC29" s="612"/>
      <c r="AD29" s="612"/>
      <c r="AE29" s="612"/>
      <c r="AF29" s="612"/>
      <c r="AG29" s="613"/>
      <c r="AJ29" s="547"/>
    </row>
    <row r="30" spans="1:261" ht="15" x14ac:dyDescent="0.2">
      <c r="A30" s="614"/>
      <c r="B30" s="597"/>
      <c r="C30" s="598"/>
      <c r="D30" s="599" t="e">
        <f ca="1">_xll.BLUEMATRIX2("/servlet/excelData",D29, $C$14,$B29&amp;":"&amp;D$16&amp;D$17&amp;":"&amp;D$19&amp;":"&amp;$B30)</f>
        <v>#NAME?</v>
      </c>
      <c r="E30" s="600" t="e">
        <f ca="1">_xll.BLUEMATRIX2("/servlet/excelData",E29, $C$14,$B29&amp;":"&amp;E$16&amp;E$17&amp;":"&amp;E$19&amp;":"&amp;$B30)</f>
        <v>#NAME?</v>
      </c>
      <c r="F30" s="600" t="e">
        <f ca="1">_xll.BLUEMATRIX2("/servlet/excelData",F29, $C$14,$B29&amp;":"&amp;F$16&amp;F$17&amp;":"&amp;F$19&amp;":"&amp;$B30)</f>
        <v>#NAME?</v>
      </c>
      <c r="G30" s="600" t="e">
        <f ca="1">_xll.BLUEMATRIX2("/servlet/excelData",G29, $C$14,$B29&amp;":"&amp;G$16&amp;G$17&amp;":"&amp;G$19&amp;":"&amp;$B30)</f>
        <v>#NAME?</v>
      </c>
      <c r="H30" s="601" t="e">
        <f ca="1">_xll.BLUEMATRIX2("/servlet/excelData",H29, $C$14,$B29&amp;":"&amp;H$16&amp;H$17&amp;":"&amp;H$19&amp;":"&amp;$B30)</f>
        <v>#NAME?</v>
      </c>
      <c r="I30" s="600" t="e">
        <f ca="1">_xll.BLUEMATRIX2("/servlet/excelData",I29, $C$14,$B29&amp;":"&amp;I$16&amp;I$17&amp;":"&amp;I$19&amp;":"&amp;$B30)</f>
        <v>#NAME?</v>
      </c>
      <c r="J30" s="600" t="e">
        <f ca="1">_xll.BLUEMATRIX2("/servlet/excelData",J29, $C$14,$B29&amp;":"&amp;J$16&amp;J$17&amp;":"&amp;J$19&amp;":"&amp;$B30)</f>
        <v>#NAME?</v>
      </c>
      <c r="K30" s="600" t="e">
        <f ca="1">_xll.BLUEMATRIX2("/servlet/excelData",K29, $C$14,$B29&amp;":"&amp;K$16&amp;K$17&amp;":"&amp;K$19&amp;":"&amp;$B30)</f>
        <v>#NAME?</v>
      </c>
      <c r="L30" s="600" t="e">
        <f ca="1">_xll.BLUEMATRIX2("/servlet/excelData",L29, $C$14,$B29&amp;":"&amp;L$16&amp;L$17&amp;":"&amp;L$19&amp;":"&amp;$B30)</f>
        <v>#NAME?</v>
      </c>
      <c r="M30" s="601" t="e">
        <f ca="1">_xll.BLUEMATRIX2("/servlet/excelData",M29, $C$14,$B29&amp;":"&amp;M$16&amp;M$17&amp;":"&amp;M$19&amp;":"&amp;$B30)</f>
        <v>#NAME?</v>
      </c>
      <c r="N30" s="600" t="e">
        <f ca="1">_xll.BLUEMATRIX2("/servlet/excelData",N29, $C$14,$B29&amp;":"&amp;N$16&amp;N$17&amp;":"&amp;N$19&amp;":"&amp;$B30)</f>
        <v>#NAME?</v>
      </c>
      <c r="O30" s="600" t="e">
        <f ca="1">_xll.BLUEMATRIX2("/servlet/excelData",O29, $C$14,$B29&amp;":"&amp;O$16&amp;O$17&amp;":"&amp;O$19&amp;":"&amp;$B30)</f>
        <v>#NAME?</v>
      </c>
      <c r="P30" s="600" t="e">
        <f ca="1">_xll.BLUEMATRIX2("/servlet/excelData",P29, $C$14,$B29&amp;":"&amp;P$16&amp;P$17&amp;":"&amp;P$19&amp;":"&amp;$B30)</f>
        <v>#NAME?</v>
      </c>
      <c r="Q30" s="600" t="e">
        <f ca="1">_xll.BLUEMATRIX2("/servlet/excelData",Q29, $C$14,$B29&amp;":"&amp;Q$16&amp;Q$17&amp;":"&amp;Q$19&amp;":"&amp;$B30)</f>
        <v>#NAME?</v>
      </c>
      <c r="R30" s="601" t="e">
        <f ca="1">_xll.BLUEMATRIX2("/servlet/excelData",R29, $C$14,$B29&amp;":"&amp;R$16&amp;R$17&amp;":"&amp;R$19&amp;":"&amp;$B30)</f>
        <v>#NAME?</v>
      </c>
      <c r="S30" s="600" t="e">
        <f ca="1">_xll.BLUEMATRIX2("/servlet/excelData",S29, $C$14,$B29&amp;":"&amp;S$16&amp;S$17&amp;":"&amp;S$19&amp;":"&amp;$B30)</f>
        <v>#NAME?</v>
      </c>
      <c r="T30" s="600" t="e">
        <f ca="1">_xll.BLUEMATRIX2("/servlet/excelData",T29, $C$14,$B29&amp;":"&amp;T$16&amp;T$17&amp;":"&amp;T$19&amp;":"&amp;$B30)</f>
        <v>#NAME?</v>
      </c>
      <c r="U30" s="600" t="e">
        <f ca="1">_xll.BLUEMATRIX2("/servlet/excelData",U29, $C$14,$B29&amp;":"&amp;U$16&amp;U$17&amp;":"&amp;U$19&amp;":"&amp;$B30)</f>
        <v>#NAME?</v>
      </c>
      <c r="V30" s="600" t="e">
        <f ca="1">_xll.BLUEMATRIX2("/servlet/excelData",V29, $C$14,$B29&amp;":"&amp;V$16&amp;V$17&amp;":"&amp;V$19&amp;":"&amp;$B30)</f>
        <v>#NAME?</v>
      </c>
      <c r="W30" s="601" t="e">
        <f ca="1">_xll.BLUEMATRIX2("/servlet/excelData",W29, $C$14,$B29&amp;":"&amp;W$16&amp;W$17&amp;":"&amp;W$19&amp;":"&amp;$B30)</f>
        <v>#NAME?</v>
      </c>
      <c r="X30" s="600" t="e">
        <f ca="1">_xll.BLUEMATRIX2("/servlet/excelData",X29, $C$14,$B29&amp;":"&amp;X$16&amp;X$17&amp;":"&amp;X$19&amp;":"&amp;$B30)</f>
        <v>#NAME?</v>
      </c>
      <c r="Y30" s="600" t="e">
        <f ca="1">_xll.BLUEMATRIX2("/servlet/excelData",Y29, $C$14,$B29&amp;":"&amp;Y$16&amp;Y$17&amp;":"&amp;Y$19&amp;":"&amp;$B30)</f>
        <v>#NAME?</v>
      </c>
      <c r="Z30" s="600" t="e">
        <f ca="1">_xll.BLUEMATRIX2("/servlet/excelData",Z29, $C$14,$B29&amp;":"&amp;Z$16&amp;Z$17&amp;":"&amp;Z$19&amp;":"&amp;$B30)</f>
        <v>#NAME?</v>
      </c>
      <c r="AA30" s="600" t="e">
        <f ca="1">_xll.BLUEMATRIX2("/servlet/excelData",AA29, $C$14,$B29&amp;":"&amp;AA$16&amp;AA$17&amp;":"&amp;AA$19&amp;":"&amp;$B30)</f>
        <v>#NAME?</v>
      </c>
      <c r="AB30" s="601" t="e">
        <f ca="1">_xll.BLUEMATRIX2("/servlet/excelData",AB29, $C$14,$B29&amp;":"&amp;AB$16&amp;AB$17&amp;":"&amp;AB$19&amp;":"&amp;$B30)</f>
        <v>#NAME?</v>
      </c>
      <c r="AC30" s="600" t="e">
        <f ca="1">_xll.BLUEMATRIX2("/servlet/excelData",AC29, $C$14,$B29&amp;":"&amp;AC$16&amp;AC$17&amp;":"&amp;AC$19&amp;":"&amp;$B30)</f>
        <v>#NAME?</v>
      </c>
      <c r="AD30" s="600" t="e">
        <f ca="1">_xll.BLUEMATRIX2("/servlet/excelData",AD29, $C$14,$B29&amp;":"&amp;AD$16&amp;AD$17&amp;":"&amp;AD$19&amp;":"&amp;$B30)</f>
        <v>#NAME?</v>
      </c>
      <c r="AE30" s="600" t="e">
        <f ca="1">_xll.BLUEMATRIX2("/servlet/excelData",AE29, $C$14,$B29&amp;":"&amp;AE$16&amp;AE$17&amp;":"&amp;AE$19&amp;":"&amp;$B30)</f>
        <v>#NAME?</v>
      </c>
      <c r="AF30" s="600" t="e">
        <f ca="1">_xll.BLUEMATRIX2("/servlet/excelData",AF29, $C$14,$B29&amp;":"&amp;AF$16&amp;AF$17&amp;":"&amp;AF$19&amp;":"&amp;$B30)</f>
        <v>#NAME?</v>
      </c>
      <c r="AG30" s="601" t="e">
        <f ca="1">_xll.BLUEMATRIX2("/servlet/excelData",AG29, $C$14,$B29&amp;":"&amp;AG$16&amp;AG$17&amp;":"&amp;AG$19&amp;":"&amp;$B30)</f>
        <v>#NAME?</v>
      </c>
      <c r="AH30" s="602"/>
      <c r="AI30" s="602"/>
      <c r="AK30" s="602"/>
      <c r="AL30" s="602"/>
      <c r="AM30" s="602"/>
      <c r="AN30" s="602"/>
      <c r="AO30" s="602"/>
      <c r="AP30" s="602"/>
      <c r="AQ30" s="602"/>
      <c r="AR30" s="602"/>
      <c r="AS30" s="602"/>
      <c r="AT30" s="602"/>
      <c r="AU30" s="602"/>
      <c r="AV30" s="602"/>
      <c r="AW30" s="602"/>
      <c r="AX30" s="602"/>
      <c r="AY30" s="602"/>
      <c r="AZ30" s="602"/>
      <c r="BA30" s="602"/>
      <c r="BB30" s="602"/>
      <c r="BC30" s="602"/>
      <c r="BD30" s="602"/>
      <c r="BE30" s="602"/>
      <c r="BF30" s="602"/>
      <c r="BG30" s="602"/>
      <c r="BH30" s="602"/>
      <c r="BI30" s="602"/>
      <c r="BJ30" s="602"/>
      <c r="BK30" s="602"/>
      <c r="BL30" s="602"/>
      <c r="BM30" s="602"/>
      <c r="BN30" s="602"/>
      <c r="BO30" s="602"/>
      <c r="BP30" s="602"/>
      <c r="BQ30" s="602"/>
      <c r="BR30" s="602"/>
      <c r="BS30" s="602"/>
      <c r="BT30" s="602"/>
      <c r="BU30" s="602"/>
      <c r="BV30" s="602"/>
      <c r="BW30" s="602"/>
      <c r="BX30" s="602"/>
      <c r="BY30" s="602"/>
      <c r="BZ30" s="602"/>
      <c r="CA30" s="602"/>
      <c r="CB30" s="602"/>
      <c r="CC30" s="602"/>
      <c r="CD30" s="602"/>
      <c r="CE30" s="602"/>
      <c r="CF30" s="602"/>
      <c r="CG30" s="602"/>
      <c r="CH30" s="602"/>
      <c r="CI30" s="602"/>
      <c r="CJ30" s="602"/>
      <c r="CK30" s="602"/>
      <c r="CL30" s="602"/>
      <c r="CM30" s="602"/>
      <c r="CN30" s="602"/>
      <c r="CO30" s="602"/>
      <c r="CP30" s="602"/>
      <c r="CQ30" s="602"/>
      <c r="CR30" s="602"/>
      <c r="CS30" s="602"/>
      <c r="CT30" s="602"/>
      <c r="CU30" s="602"/>
      <c r="CV30" s="602"/>
      <c r="CW30" s="602"/>
      <c r="CX30" s="602"/>
      <c r="CY30" s="602"/>
      <c r="CZ30" s="602"/>
      <c r="DA30" s="602"/>
      <c r="DB30" s="602"/>
      <c r="DC30" s="602"/>
      <c r="DD30" s="602"/>
      <c r="DE30" s="602"/>
      <c r="DF30" s="602"/>
      <c r="DG30" s="602"/>
      <c r="DH30" s="602"/>
      <c r="DI30" s="602"/>
      <c r="DJ30" s="602"/>
      <c r="DK30" s="602"/>
      <c r="DL30" s="602"/>
      <c r="DM30" s="602"/>
      <c r="DN30" s="602"/>
      <c r="DO30" s="602"/>
      <c r="DP30" s="602"/>
      <c r="DQ30" s="602"/>
      <c r="DR30" s="602"/>
      <c r="DS30" s="602"/>
      <c r="DT30" s="602"/>
      <c r="DU30" s="602"/>
      <c r="DV30" s="602"/>
      <c r="DW30" s="602"/>
      <c r="DX30" s="602"/>
      <c r="DY30" s="602"/>
      <c r="DZ30" s="602"/>
      <c r="EA30" s="602"/>
      <c r="EB30" s="602"/>
      <c r="EC30" s="602"/>
      <c r="ED30" s="602"/>
      <c r="EE30" s="602"/>
      <c r="EF30" s="602"/>
      <c r="EG30" s="602"/>
      <c r="EH30" s="602"/>
      <c r="EI30" s="602"/>
      <c r="EJ30" s="602"/>
      <c r="EK30" s="602"/>
      <c r="EL30" s="602"/>
      <c r="EM30" s="602"/>
      <c r="EN30" s="602"/>
      <c r="EO30" s="602"/>
      <c r="EP30" s="602"/>
      <c r="EQ30" s="602"/>
      <c r="ER30" s="602"/>
      <c r="ES30" s="602"/>
      <c r="ET30" s="602"/>
      <c r="EU30" s="602"/>
      <c r="EV30" s="602"/>
      <c r="EW30" s="602"/>
      <c r="EX30" s="602"/>
      <c r="EY30" s="602"/>
      <c r="EZ30" s="602"/>
      <c r="FA30" s="602"/>
      <c r="FB30" s="602"/>
      <c r="FC30" s="602"/>
      <c r="FD30" s="602"/>
      <c r="FE30" s="602"/>
      <c r="FF30" s="602"/>
      <c r="FG30" s="602"/>
      <c r="FH30" s="602"/>
      <c r="FI30" s="602"/>
      <c r="FJ30" s="602"/>
      <c r="FK30" s="602"/>
      <c r="FL30" s="602"/>
      <c r="FM30" s="602"/>
      <c r="FN30" s="602"/>
      <c r="FO30" s="602"/>
      <c r="FP30" s="602"/>
      <c r="FQ30" s="602"/>
      <c r="FR30" s="602"/>
      <c r="FS30" s="602"/>
      <c r="FT30" s="602"/>
      <c r="FU30" s="602"/>
      <c r="FV30" s="602"/>
      <c r="FW30" s="602"/>
      <c r="FX30" s="602"/>
      <c r="FY30" s="602"/>
      <c r="FZ30" s="602"/>
      <c r="GA30" s="602"/>
      <c r="GB30" s="602"/>
      <c r="GC30" s="602"/>
      <c r="GD30" s="602"/>
      <c r="GE30" s="602"/>
      <c r="GF30" s="602"/>
      <c r="GG30" s="602"/>
      <c r="GH30" s="602"/>
      <c r="GI30" s="602"/>
      <c r="GJ30" s="602"/>
      <c r="GK30" s="602"/>
      <c r="GL30" s="602"/>
      <c r="GM30" s="602"/>
      <c r="GN30" s="602"/>
      <c r="GO30" s="602"/>
      <c r="GP30" s="602"/>
      <c r="GQ30" s="602"/>
      <c r="GR30" s="602"/>
      <c r="GS30" s="602"/>
      <c r="GT30" s="602"/>
      <c r="GU30" s="602"/>
      <c r="GV30" s="602"/>
      <c r="GW30" s="602"/>
      <c r="GX30" s="602"/>
      <c r="GY30" s="602"/>
      <c r="GZ30" s="602"/>
      <c r="HA30" s="602"/>
      <c r="HB30" s="602"/>
      <c r="HC30" s="602"/>
      <c r="HD30" s="602"/>
      <c r="HE30" s="602"/>
      <c r="HF30" s="602"/>
      <c r="HG30" s="602"/>
      <c r="HH30" s="602"/>
      <c r="HI30" s="602"/>
      <c r="HJ30" s="602"/>
      <c r="HK30" s="602"/>
      <c r="HL30" s="602"/>
      <c r="HM30" s="602"/>
      <c r="HN30" s="602"/>
      <c r="HO30" s="602"/>
      <c r="HP30" s="602"/>
      <c r="HQ30" s="602"/>
      <c r="HR30" s="602"/>
      <c r="HS30" s="602"/>
      <c r="HT30" s="602"/>
      <c r="HU30" s="602"/>
      <c r="HV30" s="602"/>
      <c r="HW30" s="602"/>
      <c r="HX30" s="602"/>
      <c r="HY30" s="602"/>
      <c r="HZ30" s="602"/>
      <c r="IA30" s="602"/>
      <c r="IB30" s="602"/>
      <c r="IC30" s="602"/>
      <c r="ID30" s="602"/>
      <c r="IE30" s="602"/>
      <c r="IF30" s="602"/>
      <c r="IG30" s="602"/>
      <c r="IH30" s="602"/>
      <c r="II30" s="602"/>
      <c r="IJ30" s="602"/>
      <c r="IK30" s="602"/>
      <c r="IL30" s="602"/>
      <c r="IM30" s="602"/>
      <c r="IN30" s="602"/>
      <c r="IO30" s="602"/>
      <c r="IP30" s="602"/>
      <c r="IQ30" s="602"/>
      <c r="IR30" s="602"/>
      <c r="IS30" s="602"/>
      <c r="IT30" s="602"/>
      <c r="IU30" s="602"/>
      <c r="IV30" s="602"/>
      <c r="IW30" s="602"/>
      <c r="IX30" s="602"/>
      <c r="IY30" s="602"/>
      <c r="IZ30" s="602"/>
      <c r="JA30" s="602"/>
    </row>
    <row r="31" spans="1:261" ht="15" x14ac:dyDescent="0.2">
      <c r="A31" s="615" t="s">
        <v>379</v>
      </c>
      <c r="B31" s="604" t="s">
        <v>380</v>
      </c>
      <c r="C31" s="605"/>
      <c r="D31" s="616">
        <f>+IS!X43</f>
        <v>-7.7719287868930023E-2</v>
      </c>
      <c r="E31" s="616">
        <f>+IS!Y43</f>
        <v>2.1613261928194377E-2</v>
      </c>
      <c r="F31" s="616">
        <f>+IS!Z43</f>
        <v>-3.4018129422266959E-2</v>
      </c>
      <c r="G31" s="616">
        <f>+IS!AA43</f>
        <v>-1.5827510600786132E-2</v>
      </c>
      <c r="H31" s="616">
        <f>+IS!AB43</f>
        <v>-2.2841022557515356E-2</v>
      </c>
      <c r="I31" s="616">
        <f>+IS!AC43</f>
        <v>3.9774012282319374E-2</v>
      </c>
      <c r="J31" s="616">
        <f>+IS!AD43</f>
        <v>0.11827419367245372</v>
      </c>
      <c r="K31" s="616">
        <f>+IS!AE43</f>
        <v>0.12783107996551155</v>
      </c>
      <c r="L31" s="616">
        <f>+IS!AF43</f>
        <v>0.14307578475790839</v>
      </c>
      <c r="M31" s="616">
        <f>+IS!AG43</f>
        <v>0.11061836541114138</v>
      </c>
      <c r="N31" s="616">
        <f>+IS!AH43</f>
        <v>0.10942505369116513</v>
      </c>
      <c r="O31" s="616">
        <f>+IS!AI43</f>
        <v>0.13910108478940014</v>
      </c>
      <c r="P31" s="616">
        <f>+IS!AJ43</f>
        <v>0.18120101043872358</v>
      </c>
      <c r="Q31" s="616">
        <f>+IS!AK43</f>
        <v>0.17450424104869569</v>
      </c>
      <c r="R31" s="616">
        <f>+IS!AL43</f>
        <v>0.15205712722247328</v>
      </c>
      <c r="S31" s="616">
        <f>+IS!AM43</f>
        <v>0.1871613893151067</v>
      </c>
      <c r="T31" s="616">
        <f>+IS!AN43</f>
        <v>0.17323212542131655</v>
      </c>
      <c r="U31" s="616">
        <f>+IS!AO43</f>
        <v>0.14878970009798531</v>
      </c>
      <c r="V31" s="616">
        <f>+IS!AP43</f>
        <v>0.1469992095975208</v>
      </c>
      <c r="W31" s="616">
        <f>+IS!AQ43</f>
        <v>0.1637836137757509</v>
      </c>
      <c r="X31" s="616">
        <f>+IS!AR43</f>
        <v>0.17242590482158784</v>
      </c>
      <c r="Y31" s="616">
        <f>+IS!AS43</f>
        <v>0.1786597085400233</v>
      </c>
      <c r="Z31" s="616">
        <f>+IS!AT43</f>
        <v>0.16149999999999998</v>
      </c>
      <c r="AA31" s="616">
        <f>+IS!AU43</f>
        <v>0.17030000000000001</v>
      </c>
      <c r="AB31" s="616">
        <f>+IS!AV43</f>
        <v>0.17076416399618213</v>
      </c>
      <c r="AC31" s="616">
        <f>+IS!AW43</f>
        <v>0.17199999999999996</v>
      </c>
      <c r="AD31" s="616">
        <f>+IS!AX43</f>
        <v>0.17900000000000008</v>
      </c>
      <c r="AE31" s="616">
        <f>+IS!AY43</f>
        <v>0.16899999999999996</v>
      </c>
      <c r="AF31" s="616">
        <f>+IS!AZ43</f>
        <v>0.16899999999999993</v>
      </c>
      <c r="AG31" s="616">
        <f>+IS!BA43</f>
        <v>0.17221270699350308</v>
      </c>
    </row>
    <row r="32" spans="1:261" ht="15" x14ac:dyDescent="0.2">
      <c r="A32" s="618"/>
      <c r="B32" s="608" t="s">
        <v>331</v>
      </c>
      <c r="C32" s="609"/>
      <c r="D32" s="619" t="e">
        <f ca="1">_xll.BLUEMATRIX2("/servlet/excelData",D31, $C$14,$B31&amp;":"&amp;D$16&amp;D$17&amp;":"&amp;D$19&amp;":"&amp;$B32)</f>
        <v>#NAME?</v>
      </c>
      <c r="E32" s="620" t="e">
        <f ca="1">_xll.BLUEMATRIX2("/servlet/excelData",E31, $C$14,$B31&amp;":"&amp;E$16&amp;E$17&amp;":"&amp;E$19&amp;":"&amp;$B32)</f>
        <v>#NAME?</v>
      </c>
      <c r="F32" s="620" t="e">
        <f ca="1">_xll.BLUEMATRIX2("/servlet/excelData",F31, $C$14,$B31&amp;":"&amp;F$16&amp;F$17&amp;":"&amp;F$19&amp;":"&amp;$B32)</f>
        <v>#NAME?</v>
      </c>
      <c r="G32" s="620" t="e">
        <f ca="1">_xll.BLUEMATRIX2("/servlet/excelData",G31, $C$14,$B31&amp;":"&amp;G$16&amp;G$17&amp;":"&amp;G$19&amp;":"&amp;$B32)</f>
        <v>#NAME?</v>
      </c>
      <c r="H32" s="556" t="e">
        <f ca="1">_xll.BLUEMATRIX2("/servlet/excelData",H31, $C$14,$B31&amp;":"&amp;H$16&amp;H$17&amp;":"&amp;H$19&amp;":"&amp;$B32)</f>
        <v>#NAME?</v>
      </c>
      <c r="I32" s="620" t="e">
        <f ca="1">_xll.BLUEMATRIX2("/servlet/excelData",I31, $C$14,$B31&amp;":"&amp;I$16&amp;I$17&amp;":"&amp;I$19&amp;":"&amp;$B32)</f>
        <v>#NAME?</v>
      </c>
      <c r="J32" s="620" t="e">
        <f ca="1">_xll.BLUEMATRIX2("/servlet/excelData",J31, $C$14,$B31&amp;":"&amp;J$16&amp;J$17&amp;":"&amp;J$19&amp;":"&amp;$B32)</f>
        <v>#NAME?</v>
      </c>
      <c r="K32" s="620" t="e">
        <f ca="1">_xll.BLUEMATRIX2("/servlet/excelData",K31, $C$14,$B31&amp;":"&amp;K$16&amp;K$17&amp;":"&amp;K$19&amp;":"&amp;$B32)</f>
        <v>#NAME?</v>
      </c>
      <c r="L32" s="620" t="e">
        <f ca="1">_xll.BLUEMATRIX2("/servlet/excelData",L31, $C$14,$B31&amp;":"&amp;L$16&amp;L$17&amp;":"&amp;L$19&amp;":"&amp;$B32)</f>
        <v>#NAME?</v>
      </c>
      <c r="M32" s="556" t="e">
        <f ca="1">_xll.BLUEMATRIX2("/servlet/excelData",M31, $C$14,$B31&amp;":"&amp;M$16&amp;M$17&amp;":"&amp;M$19&amp;":"&amp;$B32)</f>
        <v>#NAME?</v>
      </c>
      <c r="N32" s="620" t="e">
        <f ca="1">_xll.BLUEMATRIX2("/servlet/excelData",N31, $C$14,$B31&amp;":"&amp;N$16&amp;N$17&amp;":"&amp;N$19&amp;":"&amp;$B32)</f>
        <v>#NAME?</v>
      </c>
      <c r="O32" s="620" t="e">
        <f ca="1">_xll.BLUEMATRIX2("/servlet/excelData",O31, $C$14,$B31&amp;":"&amp;O$16&amp;O$17&amp;":"&amp;O$19&amp;":"&amp;$B32)</f>
        <v>#NAME?</v>
      </c>
      <c r="P32" s="620" t="e">
        <f ca="1">_xll.BLUEMATRIX2("/servlet/excelData",P31, $C$14,$B31&amp;":"&amp;P$16&amp;P$17&amp;":"&amp;P$19&amp;":"&amp;$B32)</f>
        <v>#NAME?</v>
      </c>
      <c r="Q32" s="620" t="e">
        <f ca="1">_xll.BLUEMATRIX2("/servlet/excelData",Q31, $C$14,$B31&amp;":"&amp;Q$16&amp;Q$17&amp;":"&amp;Q$19&amp;":"&amp;$B32)</f>
        <v>#NAME?</v>
      </c>
      <c r="R32" s="556" t="e">
        <f ca="1">_xll.BLUEMATRIX2("/servlet/excelData",R31, $C$14,$B31&amp;":"&amp;R$16&amp;R$17&amp;":"&amp;R$19&amp;":"&amp;$B32)</f>
        <v>#NAME?</v>
      </c>
      <c r="S32" s="620" t="e">
        <f ca="1">_xll.BLUEMATRIX2("/servlet/excelData",S31, $C$14,$B31&amp;":"&amp;S$16&amp;S$17&amp;":"&amp;S$19&amp;":"&amp;$B32)</f>
        <v>#NAME?</v>
      </c>
      <c r="T32" s="620" t="e">
        <f ca="1">_xll.BLUEMATRIX2("/servlet/excelData",T31, $C$14,$B31&amp;":"&amp;T$16&amp;T$17&amp;":"&amp;T$19&amp;":"&amp;$B32)</f>
        <v>#NAME?</v>
      </c>
      <c r="U32" s="620" t="e">
        <f ca="1">_xll.BLUEMATRIX2("/servlet/excelData",U31, $C$14,$B31&amp;":"&amp;U$16&amp;U$17&amp;":"&amp;U$19&amp;":"&amp;$B32)</f>
        <v>#NAME?</v>
      </c>
      <c r="V32" s="620" t="e">
        <f ca="1">_xll.BLUEMATRIX2("/servlet/excelData",V31, $C$14,$B31&amp;":"&amp;V$16&amp;V$17&amp;":"&amp;V$19&amp;":"&amp;$B32)</f>
        <v>#NAME?</v>
      </c>
      <c r="W32" s="556" t="e">
        <f ca="1">_xll.BLUEMATRIX2("/servlet/excelData",W31, $C$14,$B31&amp;":"&amp;W$16&amp;W$17&amp;":"&amp;W$19&amp;":"&amp;$B32)</f>
        <v>#NAME?</v>
      </c>
      <c r="X32" s="620" t="e">
        <f ca="1">_xll.BLUEMATRIX2("/servlet/excelData",X31, $C$14,$B31&amp;":"&amp;X$16&amp;X$17&amp;":"&amp;X$19&amp;":"&amp;$B32)</f>
        <v>#NAME?</v>
      </c>
      <c r="Y32" s="620" t="e">
        <f ca="1">_xll.BLUEMATRIX2("/servlet/excelData",Y31, $C$14,$B31&amp;":"&amp;Y$16&amp;Y$17&amp;":"&amp;Y$19&amp;":"&amp;$B32)</f>
        <v>#NAME?</v>
      </c>
      <c r="Z32" s="620" t="e">
        <f ca="1">_xll.BLUEMATRIX2("/servlet/excelData",Z31, $C$14,$B31&amp;":"&amp;Z$16&amp;Z$17&amp;":"&amp;Z$19&amp;":"&amp;$B32)</f>
        <v>#NAME?</v>
      </c>
      <c r="AA32" s="620" t="e">
        <f ca="1">_xll.BLUEMATRIX2("/servlet/excelData",AA31, $C$14,$B31&amp;":"&amp;AA$16&amp;AA$17&amp;":"&amp;AA$19&amp;":"&amp;$B32)</f>
        <v>#NAME?</v>
      </c>
      <c r="AB32" s="556" t="e">
        <f ca="1">_xll.BLUEMATRIX2("/servlet/excelData",AB31, $C$14,$B31&amp;":"&amp;AB$16&amp;AB$17&amp;":"&amp;AB$19&amp;":"&amp;$B32)</f>
        <v>#NAME?</v>
      </c>
      <c r="AC32" s="620" t="e">
        <f ca="1">_xll.BLUEMATRIX2("/servlet/excelData",AC31, $C$14,$B31&amp;":"&amp;AC$16&amp;AC$17&amp;":"&amp;AC$19&amp;":"&amp;$B32)</f>
        <v>#NAME?</v>
      </c>
      <c r="AD32" s="620" t="e">
        <f ca="1">_xll.BLUEMATRIX2("/servlet/excelData",AD31, $C$14,$B31&amp;":"&amp;AD$16&amp;AD$17&amp;":"&amp;AD$19&amp;":"&amp;$B32)</f>
        <v>#NAME?</v>
      </c>
      <c r="AE32" s="620" t="e">
        <f ca="1">_xll.BLUEMATRIX2("/servlet/excelData",AE31, $C$14,$B31&amp;":"&amp;AE$16&amp;AE$17&amp;":"&amp;AE$19&amp;":"&amp;$B32)</f>
        <v>#NAME?</v>
      </c>
      <c r="AF32" s="620" t="e">
        <f ca="1">_xll.BLUEMATRIX2("/servlet/excelData",AF31, $C$14,$B31&amp;":"&amp;AF$16&amp;AF$17&amp;":"&amp;AF$19&amp;":"&amp;$B32)</f>
        <v>#NAME?</v>
      </c>
      <c r="AG32" s="556" t="e">
        <f ca="1">_xll.BLUEMATRIX2("/servlet/excelData",AG31, $C$14,$B31&amp;":"&amp;AG$16&amp;AG$17&amp;":"&amp;AG$19&amp;":"&amp;$B32)</f>
        <v>#NAME?</v>
      </c>
      <c r="AH32" s="602"/>
      <c r="AI32" s="602"/>
      <c r="AK32" s="602"/>
      <c r="AL32" s="602"/>
      <c r="AM32" s="602"/>
      <c r="AN32" s="602"/>
      <c r="AO32" s="602"/>
      <c r="AP32" s="602"/>
      <c r="AQ32" s="602"/>
      <c r="AR32" s="602"/>
      <c r="AS32" s="602"/>
      <c r="AT32" s="602"/>
      <c r="AU32" s="602"/>
      <c r="AV32" s="602"/>
      <c r="AW32" s="602"/>
      <c r="AX32" s="602"/>
      <c r="AY32" s="602"/>
      <c r="AZ32" s="602"/>
      <c r="BA32" s="602"/>
      <c r="BB32" s="602"/>
      <c r="BC32" s="602"/>
      <c r="BD32" s="602"/>
      <c r="BE32" s="602"/>
      <c r="BF32" s="602"/>
      <c r="BG32" s="602"/>
      <c r="BH32" s="602"/>
      <c r="BI32" s="602"/>
      <c r="BJ32" s="602"/>
      <c r="BK32" s="602"/>
      <c r="BL32" s="602"/>
      <c r="BM32" s="602"/>
      <c r="BN32" s="602"/>
      <c r="BO32" s="602"/>
      <c r="BP32" s="602"/>
      <c r="BQ32" s="602"/>
      <c r="BR32" s="602"/>
      <c r="BS32" s="602"/>
      <c r="BT32" s="602"/>
      <c r="BU32" s="602"/>
      <c r="BV32" s="602"/>
      <c r="BW32" s="602"/>
      <c r="BX32" s="602"/>
      <c r="BY32" s="602"/>
      <c r="BZ32" s="602"/>
      <c r="CA32" s="602"/>
      <c r="CB32" s="602"/>
      <c r="CC32" s="602"/>
      <c r="CD32" s="602"/>
      <c r="CE32" s="602"/>
      <c r="CF32" s="602"/>
      <c r="CG32" s="602"/>
      <c r="CH32" s="602"/>
      <c r="CI32" s="602"/>
      <c r="CJ32" s="602"/>
      <c r="CK32" s="602"/>
      <c r="CL32" s="602"/>
      <c r="CM32" s="602"/>
      <c r="CN32" s="602"/>
      <c r="CO32" s="602"/>
      <c r="CP32" s="602"/>
      <c r="CQ32" s="602"/>
      <c r="CR32" s="602"/>
      <c r="CS32" s="602"/>
      <c r="CT32" s="602"/>
      <c r="CU32" s="602"/>
      <c r="CV32" s="602"/>
      <c r="CW32" s="602"/>
      <c r="CX32" s="602"/>
      <c r="CY32" s="602"/>
      <c r="CZ32" s="602"/>
      <c r="DA32" s="602"/>
      <c r="DB32" s="602"/>
      <c r="DC32" s="602"/>
      <c r="DD32" s="602"/>
      <c r="DE32" s="602"/>
      <c r="DF32" s="602"/>
      <c r="DG32" s="602"/>
      <c r="DH32" s="602"/>
      <c r="DI32" s="602"/>
      <c r="DJ32" s="602"/>
      <c r="DK32" s="602"/>
      <c r="DL32" s="602"/>
      <c r="DM32" s="602"/>
      <c r="DN32" s="602"/>
      <c r="DO32" s="602"/>
      <c r="DP32" s="602"/>
      <c r="DQ32" s="602"/>
      <c r="DR32" s="602"/>
      <c r="DS32" s="602"/>
      <c r="DT32" s="602"/>
      <c r="DU32" s="602"/>
      <c r="DV32" s="602"/>
      <c r="DW32" s="602"/>
      <c r="DX32" s="602"/>
      <c r="DY32" s="602"/>
      <c r="DZ32" s="602"/>
      <c r="EA32" s="602"/>
      <c r="EB32" s="602"/>
      <c r="EC32" s="602"/>
      <c r="ED32" s="602"/>
      <c r="EE32" s="602"/>
      <c r="EF32" s="602"/>
      <c r="EG32" s="602"/>
      <c r="EH32" s="602"/>
      <c r="EI32" s="602"/>
      <c r="EJ32" s="602"/>
      <c r="EK32" s="602"/>
      <c r="EL32" s="602"/>
      <c r="EM32" s="602"/>
      <c r="EN32" s="602"/>
      <c r="EO32" s="602"/>
      <c r="EP32" s="602"/>
      <c r="EQ32" s="602"/>
      <c r="ER32" s="602"/>
      <c r="ES32" s="602"/>
      <c r="ET32" s="602"/>
      <c r="EU32" s="602"/>
      <c r="EV32" s="602"/>
      <c r="EW32" s="602"/>
      <c r="EX32" s="602"/>
      <c r="EY32" s="602"/>
      <c r="EZ32" s="602"/>
      <c r="FA32" s="602"/>
      <c r="FB32" s="602"/>
      <c r="FC32" s="602"/>
      <c r="FD32" s="602"/>
      <c r="FE32" s="602"/>
      <c r="FF32" s="602"/>
      <c r="FG32" s="602"/>
      <c r="FH32" s="602"/>
      <c r="FI32" s="602"/>
      <c r="FJ32" s="602"/>
      <c r="FK32" s="602"/>
      <c r="FL32" s="602"/>
      <c r="FM32" s="602"/>
      <c r="FN32" s="602"/>
      <c r="FO32" s="602"/>
      <c r="FP32" s="602"/>
      <c r="FQ32" s="602"/>
      <c r="FR32" s="602"/>
      <c r="FS32" s="602"/>
      <c r="FT32" s="602"/>
      <c r="FU32" s="602"/>
      <c r="FV32" s="602"/>
      <c r="FW32" s="602"/>
      <c r="FX32" s="602"/>
      <c r="FY32" s="602"/>
      <c r="FZ32" s="602"/>
      <c r="GA32" s="602"/>
      <c r="GB32" s="602"/>
      <c r="GC32" s="602"/>
      <c r="GD32" s="602"/>
      <c r="GE32" s="602"/>
      <c r="GF32" s="602"/>
      <c r="GG32" s="602"/>
      <c r="GH32" s="602"/>
      <c r="GI32" s="602"/>
      <c r="GJ32" s="602"/>
      <c r="GK32" s="602"/>
      <c r="GL32" s="602"/>
      <c r="GM32" s="602"/>
      <c r="GN32" s="602"/>
      <c r="GO32" s="602"/>
      <c r="GP32" s="602"/>
      <c r="GQ32" s="602"/>
      <c r="GR32" s="602"/>
      <c r="GS32" s="602"/>
      <c r="GT32" s="602"/>
      <c r="GU32" s="602"/>
      <c r="GV32" s="602"/>
      <c r="GW32" s="602"/>
      <c r="GX32" s="602"/>
      <c r="GY32" s="602"/>
      <c r="GZ32" s="602"/>
      <c r="HA32" s="602"/>
      <c r="HB32" s="602"/>
      <c r="HC32" s="602"/>
      <c r="HD32" s="602"/>
      <c r="HE32" s="602"/>
      <c r="HF32" s="602"/>
      <c r="HG32" s="602"/>
      <c r="HH32" s="602"/>
      <c r="HI32" s="602"/>
      <c r="HJ32" s="602"/>
      <c r="HK32" s="602"/>
      <c r="HL32" s="602"/>
      <c r="HM32" s="602"/>
      <c r="HN32" s="602"/>
      <c r="HO32" s="602"/>
      <c r="HP32" s="602"/>
      <c r="HQ32" s="602"/>
      <c r="HR32" s="602"/>
      <c r="HS32" s="602"/>
      <c r="HT32" s="602"/>
      <c r="HU32" s="602"/>
      <c r="HV32" s="602"/>
      <c r="HW32" s="602"/>
      <c r="HX32" s="602"/>
      <c r="HY32" s="602"/>
      <c r="HZ32" s="602"/>
      <c r="IA32" s="602"/>
      <c r="IB32" s="602"/>
      <c r="IC32" s="602"/>
      <c r="ID32" s="602"/>
      <c r="IE32" s="602"/>
      <c r="IF32" s="602"/>
      <c r="IG32" s="602"/>
      <c r="IH32" s="602"/>
      <c r="II32" s="602"/>
      <c r="IJ32" s="602"/>
      <c r="IK32" s="602"/>
      <c r="IL32" s="602"/>
      <c r="IM32" s="602"/>
      <c r="IN32" s="602"/>
      <c r="IO32" s="602"/>
      <c r="IP32" s="602"/>
      <c r="IQ32" s="602"/>
      <c r="IR32" s="602"/>
      <c r="IS32" s="602"/>
      <c r="IT32" s="602"/>
      <c r="IU32" s="602"/>
      <c r="IV32" s="602"/>
      <c r="IW32" s="602"/>
      <c r="IX32" s="602"/>
      <c r="IY32" s="602"/>
      <c r="IZ32" s="602"/>
      <c r="JA32" s="602"/>
    </row>
    <row r="33" spans="1:261" ht="15" x14ac:dyDescent="0.2">
      <c r="A33" s="610" t="s">
        <v>366</v>
      </c>
      <c r="B33" s="593" t="s">
        <v>367</v>
      </c>
      <c r="C33" s="594"/>
      <c r="D33" s="611"/>
      <c r="E33" s="612"/>
      <c r="F33" s="612"/>
      <c r="G33" s="612"/>
      <c r="H33" s="613"/>
      <c r="I33" s="612"/>
      <c r="J33" s="612"/>
      <c r="K33" s="612"/>
      <c r="L33" s="612"/>
      <c r="M33" s="613"/>
      <c r="N33" s="612"/>
      <c r="O33" s="612"/>
      <c r="P33" s="612"/>
      <c r="Q33" s="612"/>
      <c r="R33" s="613"/>
      <c r="S33" s="612"/>
      <c r="T33" s="612"/>
      <c r="U33" s="612"/>
      <c r="V33" s="612"/>
      <c r="W33" s="613"/>
      <c r="X33" s="612"/>
      <c r="Y33" s="612"/>
      <c r="Z33" s="612"/>
      <c r="AA33" s="612"/>
      <c r="AB33" s="613"/>
      <c r="AC33" s="612"/>
      <c r="AD33" s="612"/>
      <c r="AE33" s="612"/>
      <c r="AF33" s="612"/>
      <c r="AG33" s="613"/>
    </row>
    <row r="34" spans="1:261" ht="15" x14ac:dyDescent="0.2">
      <c r="A34" s="614"/>
      <c r="B34" s="597"/>
      <c r="C34" s="598"/>
      <c r="D34" s="599" t="e">
        <f ca="1">_xll.BLUEMATRIX2("/servlet/excelData",D33, $C$14,$B33&amp;":"&amp;D$16&amp;D$17&amp;":"&amp;D$19&amp;":"&amp;$B34)</f>
        <v>#NAME?</v>
      </c>
      <c r="E34" s="600" t="e">
        <f ca="1">_xll.BLUEMATRIX2("/servlet/excelData",E33, $C$14,$B33&amp;":"&amp;E$16&amp;E$17&amp;":"&amp;E$19&amp;":"&amp;$B34)</f>
        <v>#NAME?</v>
      </c>
      <c r="F34" s="600" t="e">
        <f ca="1">_xll.BLUEMATRIX2("/servlet/excelData",F33, $C$14,$B33&amp;":"&amp;F$16&amp;F$17&amp;":"&amp;F$19&amp;":"&amp;$B34)</f>
        <v>#NAME?</v>
      </c>
      <c r="G34" s="600" t="e">
        <f ca="1">_xll.BLUEMATRIX2("/servlet/excelData",G33, $C$14,$B33&amp;":"&amp;G$16&amp;G$17&amp;":"&amp;G$19&amp;":"&amp;$B34)</f>
        <v>#NAME?</v>
      </c>
      <c r="H34" s="601" t="e">
        <f ca="1">_xll.BLUEMATRIX2("/servlet/excelData",H33, $C$14,$B33&amp;":"&amp;H$16&amp;H$17&amp;":"&amp;H$19&amp;":"&amp;$B34)</f>
        <v>#NAME?</v>
      </c>
      <c r="I34" s="600" t="e">
        <f ca="1">_xll.BLUEMATRIX2("/servlet/excelData",I33, $C$14,$B33&amp;":"&amp;I$16&amp;I$17&amp;":"&amp;I$19&amp;":"&amp;$B34)</f>
        <v>#NAME?</v>
      </c>
      <c r="J34" s="600" t="e">
        <f ca="1">_xll.BLUEMATRIX2("/servlet/excelData",J33, $C$14,$B33&amp;":"&amp;J$16&amp;J$17&amp;":"&amp;J$19&amp;":"&amp;$B34)</f>
        <v>#NAME?</v>
      </c>
      <c r="K34" s="600" t="e">
        <f ca="1">_xll.BLUEMATRIX2("/servlet/excelData",K33, $C$14,$B33&amp;":"&amp;K$16&amp;K$17&amp;":"&amp;K$19&amp;":"&amp;$B34)</f>
        <v>#NAME?</v>
      </c>
      <c r="L34" s="600" t="e">
        <f ca="1">_xll.BLUEMATRIX2("/servlet/excelData",L33, $C$14,$B33&amp;":"&amp;L$16&amp;L$17&amp;":"&amp;L$19&amp;":"&amp;$B34)</f>
        <v>#NAME?</v>
      </c>
      <c r="M34" s="601" t="e">
        <f ca="1">_xll.BLUEMATRIX2("/servlet/excelData",M33, $C$14,$B33&amp;":"&amp;M$16&amp;M$17&amp;":"&amp;M$19&amp;":"&amp;$B34)</f>
        <v>#NAME?</v>
      </c>
      <c r="N34" s="600" t="e">
        <f ca="1">_xll.BLUEMATRIX2("/servlet/excelData",N33, $C$14,$B33&amp;":"&amp;N$16&amp;N$17&amp;":"&amp;N$19&amp;":"&amp;$B34)</f>
        <v>#NAME?</v>
      </c>
      <c r="O34" s="600" t="e">
        <f ca="1">_xll.BLUEMATRIX2("/servlet/excelData",O33, $C$14,$B33&amp;":"&amp;O$16&amp;O$17&amp;":"&amp;O$19&amp;":"&amp;$B34)</f>
        <v>#NAME?</v>
      </c>
      <c r="P34" s="600" t="e">
        <f ca="1">_xll.BLUEMATRIX2("/servlet/excelData",P33, $C$14,$B33&amp;":"&amp;P$16&amp;P$17&amp;":"&amp;P$19&amp;":"&amp;$B34)</f>
        <v>#NAME?</v>
      </c>
      <c r="Q34" s="600" t="e">
        <f ca="1">_xll.BLUEMATRIX2("/servlet/excelData",Q33, $C$14,$B33&amp;":"&amp;Q$16&amp;Q$17&amp;":"&amp;Q$19&amp;":"&amp;$B34)</f>
        <v>#NAME?</v>
      </c>
      <c r="R34" s="601" t="e">
        <f ca="1">_xll.BLUEMATRIX2("/servlet/excelData",R33, $C$14,$B33&amp;":"&amp;R$16&amp;R$17&amp;":"&amp;R$19&amp;":"&amp;$B34)</f>
        <v>#NAME?</v>
      </c>
      <c r="S34" s="600" t="e">
        <f ca="1">_xll.BLUEMATRIX2("/servlet/excelData",S33, $C$14,$B33&amp;":"&amp;S$16&amp;S$17&amp;":"&amp;S$19&amp;":"&amp;$B34)</f>
        <v>#NAME?</v>
      </c>
      <c r="T34" s="600" t="e">
        <f ca="1">_xll.BLUEMATRIX2("/servlet/excelData",T33, $C$14,$B33&amp;":"&amp;T$16&amp;T$17&amp;":"&amp;T$19&amp;":"&amp;$B34)</f>
        <v>#NAME?</v>
      </c>
      <c r="U34" s="600" t="e">
        <f ca="1">_xll.BLUEMATRIX2("/servlet/excelData",U33, $C$14,$B33&amp;":"&amp;U$16&amp;U$17&amp;":"&amp;U$19&amp;":"&amp;$B34)</f>
        <v>#NAME?</v>
      </c>
      <c r="V34" s="600" t="e">
        <f ca="1">_xll.BLUEMATRIX2("/servlet/excelData",V33, $C$14,$B33&amp;":"&amp;V$16&amp;V$17&amp;":"&amp;V$19&amp;":"&amp;$B34)</f>
        <v>#NAME?</v>
      </c>
      <c r="W34" s="601" t="e">
        <f ca="1">_xll.BLUEMATRIX2("/servlet/excelData",W33, $C$14,$B33&amp;":"&amp;W$16&amp;W$17&amp;":"&amp;W$19&amp;":"&amp;$B34)</f>
        <v>#NAME?</v>
      </c>
      <c r="X34" s="600" t="e">
        <f ca="1">_xll.BLUEMATRIX2("/servlet/excelData",X33, $C$14,$B33&amp;":"&amp;X$16&amp;X$17&amp;":"&amp;X$19&amp;":"&amp;$B34)</f>
        <v>#NAME?</v>
      </c>
      <c r="Y34" s="600" t="e">
        <f ca="1">_xll.BLUEMATRIX2("/servlet/excelData",Y33, $C$14,$B33&amp;":"&amp;Y$16&amp;Y$17&amp;":"&amp;Y$19&amp;":"&amp;$B34)</f>
        <v>#NAME?</v>
      </c>
      <c r="Z34" s="600" t="e">
        <f ca="1">_xll.BLUEMATRIX2("/servlet/excelData",Z33, $C$14,$B33&amp;":"&amp;Z$16&amp;Z$17&amp;":"&amp;Z$19&amp;":"&amp;$B34)</f>
        <v>#NAME?</v>
      </c>
      <c r="AA34" s="600" t="e">
        <f ca="1">_xll.BLUEMATRIX2("/servlet/excelData",AA33, $C$14,$B33&amp;":"&amp;AA$16&amp;AA$17&amp;":"&amp;AA$19&amp;":"&amp;$B34)</f>
        <v>#NAME?</v>
      </c>
      <c r="AB34" s="601" t="e">
        <f ca="1">_xll.BLUEMATRIX2("/servlet/excelData",AB33, $C$14,$B33&amp;":"&amp;AB$16&amp;AB$17&amp;":"&amp;AB$19&amp;":"&amp;$B34)</f>
        <v>#NAME?</v>
      </c>
      <c r="AC34" s="600" t="e">
        <f ca="1">_xll.BLUEMATRIX2("/servlet/excelData",AC33, $C$14,$B33&amp;":"&amp;AC$16&amp;AC$17&amp;":"&amp;AC$19&amp;":"&amp;$B34)</f>
        <v>#NAME?</v>
      </c>
      <c r="AD34" s="600" t="e">
        <f ca="1">_xll.BLUEMATRIX2("/servlet/excelData",AD33, $C$14,$B33&amp;":"&amp;AD$16&amp;AD$17&amp;":"&amp;AD$19&amp;":"&amp;$B34)</f>
        <v>#NAME?</v>
      </c>
      <c r="AE34" s="600" t="e">
        <f ca="1">_xll.BLUEMATRIX2("/servlet/excelData",AE33, $C$14,$B33&amp;":"&amp;AE$16&amp;AE$17&amp;":"&amp;AE$19&amp;":"&amp;$B34)</f>
        <v>#NAME?</v>
      </c>
      <c r="AF34" s="600" t="e">
        <f ca="1">_xll.BLUEMATRIX2("/servlet/excelData",AF33, $C$14,$B33&amp;":"&amp;AF$16&amp;AF$17&amp;":"&amp;AF$19&amp;":"&amp;$B34)</f>
        <v>#NAME?</v>
      </c>
      <c r="AG34" s="601" t="e">
        <f ca="1">_xll.BLUEMATRIX2("/servlet/excelData",AG33, $C$14,$B33&amp;":"&amp;AG$16&amp;AG$17&amp;":"&amp;AG$19&amp;":"&amp;$B34)</f>
        <v>#NAME?</v>
      </c>
      <c r="AH34" s="602"/>
      <c r="AI34" s="602"/>
      <c r="AK34" s="602"/>
      <c r="AL34" s="602"/>
      <c r="AM34" s="602"/>
      <c r="AN34" s="602"/>
      <c r="AO34" s="602"/>
      <c r="AP34" s="602"/>
      <c r="AQ34" s="602"/>
      <c r="AR34" s="602"/>
      <c r="AS34" s="602"/>
      <c r="AT34" s="602"/>
      <c r="AU34" s="602"/>
      <c r="AV34" s="602"/>
      <c r="AW34" s="602"/>
      <c r="AX34" s="602"/>
      <c r="AY34" s="602"/>
      <c r="AZ34" s="602"/>
      <c r="BA34" s="602"/>
      <c r="BB34" s="602"/>
      <c r="BC34" s="602"/>
      <c r="BD34" s="602"/>
      <c r="BE34" s="602"/>
      <c r="BF34" s="602"/>
      <c r="BG34" s="602"/>
      <c r="BH34" s="602"/>
      <c r="BI34" s="602"/>
      <c r="BJ34" s="602"/>
      <c r="BK34" s="602"/>
      <c r="BL34" s="602"/>
      <c r="BM34" s="602"/>
      <c r="BN34" s="602"/>
      <c r="BO34" s="602"/>
      <c r="BP34" s="602"/>
      <c r="BQ34" s="602"/>
      <c r="BR34" s="602"/>
      <c r="BS34" s="602"/>
      <c r="BT34" s="602"/>
      <c r="BU34" s="602"/>
      <c r="BV34" s="602"/>
      <c r="BW34" s="602"/>
      <c r="BX34" s="602"/>
      <c r="BY34" s="602"/>
      <c r="BZ34" s="602"/>
      <c r="CA34" s="602"/>
      <c r="CB34" s="602"/>
      <c r="CC34" s="602"/>
      <c r="CD34" s="602"/>
      <c r="CE34" s="602"/>
      <c r="CF34" s="602"/>
      <c r="CG34" s="602"/>
      <c r="CH34" s="602"/>
      <c r="CI34" s="602"/>
      <c r="CJ34" s="602"/>
      <c r="CK34" s="602"/>
      <c r="CL34" s="602"/>
      <c r="CM34" s="602"/>
      <c r="CN34" s="602"/>
      <c r="CO34" s="602"/>
      <c r="CP34" s="602"/>
      <c r="CQ34" s="602"/>
      <c r="CR34" s="602"/>
      <c r="CS34" s="602"/>
      <c r="CT34" s="602"/>
      <c r="CU34" s="602"/>
      <c r="CV34" s="602"/>
      <c r="CW34" s="602"/>
      <c r="CX34" s="602"/>
      <c r="CY34" s="602"/>
      <c r="CZ34" s="602"/>
      <c r="DA34" s="602"/>
      <c r="DB34" s="602"/>
      <c r="DC34" s="602"/>
      <c r="DD34" s="602"/>
      <c r="DE34" s="602"/>
      <c r="DF34" s="602"/>
      <c r="DG34" s="602"/>
      <c r="DH34" s="602"/>
      <c r="DI34" s="602"/>
      <c r="DJ34" s="602"/>
      <c r="DK34" s="602"/>
      <c r="DL34" s="602"/>
      <c r="DM34" s="602"/>
      <c r="DN34" s="602"/>
      <c r="DO34" s="602"/>
      <c r="DP34" s="602"/>
      <c r="DQ34" s="602"/>
      <c r="DR34" s="602"/>
      <c r="DS34" s="602"/>
      <c r="DT34" s="602"/>
      <c r="DU34" s="602"/>
      <c r="DV34" s="602"/>
      <c r="DW34" s="602"/>
      <c r="DX34" s="602"/>
      <c r="DY34" s="602"/>
      <c r="DZ34" s="602"/>
      <c r="EA34" s="602"/>
      <c r="EB34" s="602"/>
      <c r="EC34" s="602"/>
      <c r="ED34" s="602"/>
      <c r="EE34" s="602"/>
      <c r="EF34" s="602"/>
      <c r="EG34" s="602"/>
      <c r="EH34" s="602"/>
      <c r="EI34" s="602"/>
      <c r="EJ34" s="602"/>
      <c r="EK34" s="602"/>
      <c r="EL34" s="602"/>
      <c r="EM34" s="602"/>
      <c r="EN34" s="602"/>
      <c r="EO34" s="602"/>
      <c r="EP34" s="602"/>
      <c r="EQ34" s="602"/>
      <c r="ER34" s="602"/>
      <c r="ES34" s="602"/>
      <c r="ET34" s="602"/>
      <c r="EU34" s="602"/>
      <c r="EV34" s="602"/>
      <c r="EW34" s="602"/>
      <c r="EX34" s="602"/>
      <c r="EY34" s="602"/>
      <c r="EZ34" s="602"/>
      <c r="FA34" s="602"/>
      <c r="FB34" s="602"/>
      <c r="FC34" s="602"/>
      <c r="FD34" s="602"/>
      <c r="FE34" s="602"/>
      <c r="FF34" s="602"/>
      <c r="FG34" s="602"/>
      <c r="FH34" s="602"/>
      <c r="FI34" s="602"/>
      <c r="FJ34" s="602"/>
      <c r="FK34" s="602"/>
      <c r="FL34" s="602"/>
      <c r="FM34" s="602"/>
      <c r="FN34" s="602"/>
      <c r="FO34" s="602"/>
      <c r="FP34" s="602"/>
      <c r="FQ34" s="602"/>
      <c r="FR34" s="602"/>
      <c r="FS34" s="602"/>
      <c r="FT34" s="602"/>
      <c r="FU34" s="602"/>
      <c r="FV34" s="602"/>
      <c r="FW34" s="602"/>
      <c r="FX34" s="602"/>
      <c r="FY34" s="602"/>
      <c r="FZ34" s="602"/>
      <c r="GA34" s="602"/>
      <c r="GB34" s="602"/>
      <c r="GC34" s="602"/>
      <c r="GD34" s="602"/>
      <c r="GE34" s="602"/>
      <c r="GF34" s="602"/>
      <c r="GG34" s="602"/>
      <c r="GH34" s="602"/>
      <c r="GI34" s="602"/>
      <c r="GJ34" s="602"/>
      <c r="GK34" s="602"/>
      <c r="GL34" s="602"/>
      <c r="GM34" s="602"/>
      <c r="GN34" s="602"/>
      <c r="GO34" s="602"/>
      <c r="GP34" s="602"/>
      <c r="GQ34" s="602"/>
      <c r="GR34" s="602"/>
      <c r="GS34" s="602"/>
      <c r="GT34" s="602"/>
      <c r="GU34" s="602"/>
      <c r="GV34" s="602"/>
      <c r="GW34" s="602"/>
      <c r="GX34" s="602"/>
      <c r="GY34" s="602"/>
      <c r="GZ34" s="602"/>
      <c r="HA34" s="602"/>
      <c r="HB34" s="602"/>
      <c r="HC34" s="602"/>
      <c r="HD34" s="602"/>
      <c r="HE34" s="602"/>
      <c r="HF34" s="602"/>
      <c r="HG34" s="602"/>
      <c r="HH34" s="602"/>
      <c r="HI34" s="602"/>
      <c r="HJ34" s="602"/>
      <c r="HK34" s="602"/>
      <c r="HL34" s="602"/>
      <c r="HM34" s="602"/>
      <c r="HN34" s="602"/>
      <c r="HO34" s="602"/>
      <c r="HP34" s="602"/>
      <c r="HQ34" s="602"/>
      <c r="HR34" s="602"/>
      <c r="HS34" s="602"/>
      <c r="HT34" s="602"/>
      <c r="HU34" s="602"/>
      <c r="HV34" s="602"/>
      <c r="HW34" s="602"/>
      <c r="HX34" s="602"/>
      <c r="HY34" s="602"/>
      <c r="HZ34" s="602"/>
      <c r="IA34" s="602"/>
      <c r="IB34" s="602"/>
      <c r="IC34" s="602"/>
      <c r="ID34" s="602"/>
      <c r="IE34" s="602"/>
      <c r="IF34" s="602"/>
      <c r="IG34" s="602"/>
      <c r="IH34" s="602"/>
      <c r="II34" s="602"/>
      <c r="IJ34" s="602"/>
      <c r="IK34" s="602"/>
      <c r="IL34" s="602"/>
      <c r="IM34" s="602"/>
      <c r="IN34" s="602"/>
      <c r="IO34" s="602"/>
      <c r="IP34" s="602"/>
      <c r="IQ34" s="602"/>
      <c r="IR34" s="602"/>
      <c r="IS34" s="602"/>
      <c r="IT34" s="602"/>
      <c r="IU34" s="602"/>
      <c r="IV34" s="602"/>
      <c r="IW34" s="602"/>
      <c r="IX34" s="602"/>
      <c r="IY34" s="602"/>
      <c r="IZ34" s="602"/>
      <c r="JA34" s="602"/>
    </row>
    <row r="35" spans="1:261" ht="15" x14ac:dyDescent="0.2">
      <c r="A35" s="621" t="s">
        <v>381</v>
      </c>
      <c r="B35" s="622" t="s">
        <v>381</v>
      </c>
      <c r="C35" s="623"/>
      <c r="D35" s="611"/>
      <c r="E35" s="612"/>
      <c r="F35" s="612"/>
      <c r="G35" s="612"/>
      <c r="H35" s="613"/>
      <c r="I35" s="612"/>
      <c r="J35" s="612"/>
      <c r="K35" s="612"/>
      <c r="L35" s="612"/>
      <c r="M35" s="613"/>
      <c r="N35" s="612"/>
      <c r="O35" s="612"/>
      <c r="P35" s="612"/>
      <c r="Q35" s="612"/>
      <c r="R35" s="613"/>
      <c r="S35" s="612"/>
      <c r="T35" s="612"/>
      <c r="U35" s="612"/>
      <c r="V35" s="612"/>
      <c r="W35" s="613"/>
      <c r="X35" s="612"/>
      <c r="Y35" s="612"/>
      <c r="Z35" s="612"/>
      <c r="AA35" s="612"/>
      <c r="AB35" s="613"/>
      <c r="AC35" s="612"/>
      <c r="AD35" s="612"/>
      <c r="AE35" s="612"/>
      <c r="AF35" s="612"/>
      <c r="AG35" s="613"/>
    </row>
    <row r="36" spans="1:261" ht="15" x14ac:dyDescent="0.2">
      <c r="A36" s="624"/>
      <c r="B36" s="597"/>
      <c r="C36" s="625"/>
      <c r="D36" s="599" t="e">
        <f ca="1">_xll.BLUEMATRIX2("/servlet/excelData",D35, $C$14,$B35&amp;":"&amp;D$16&amp;D$17&amp;":"&amp;D$19&amp;":"&amp;$B36)</f>
        <v>#NAME?</v>
      </c>
      <c r="E36" s="600" t="e">
        <f ca="1">_xll.BLUEMATRIX2("/servlet/excelData",E35, $C$14,$B35&amp;":"&amp;E$16&amp;E$17&amp;":"&amp;E$19&amp;":"&amp;$B36)</f>
        <v>#NAME?</v>
      </c>
      <c r="F36" s="600" t="e">
        <f ca="1">_xll.BLUEMATRIX2("/servlet/excelData",F35, $C$14,$B35&amp;":"&amp;F$16&amp;F$17&amp;":"&amp;F$19&amp;":"&amp;$B36)</f>
        <v>#NAME?</v>
      </c>
      <c r="G36" s="600" t="e">
        <f ca="1">_xll.BLUEMATRIX2("/servlet/excelData",G35, $C$14,$B35&amp;":"&amp;G$16&amp;G$17&amp;":"&amp;G$19&amp;":"&amp;$B36)</f>
        <v>#NAME?</v>
      </c>
      <c r="H36" s="601" t="e">
        <f ca="1">_xll.BLUEMATRIX2("/servlet/excelData",H35, $C$14,$B35&amp;":"&amp;H$16&amp;H$17&amp;":"&amp;H$19&amp;":"&amp;$B36)</f>
        <v>#NAME?</v>
      </c>
      <c r="I36" s="600" t="e">
        <f ca="1">_xll.BLUEMATRIX2("/servlet/excelData",I35, $C$14,$B35&amp;":"&amp;I$16&amp;I$17&amp;":"&amp;I$19&amp;":"&amp;$B36)</f>
        <v>#NAME?</v>
      </c>
      <c r="J36" s="600" t="e">
        <f ca="1">_xll.BLUEMATRIX2("/servlet/excelData",J35, $C$14,$B35&amp;":"&amp;J$16&amp;J$17&amp;":"&amp;J$19&amp;":"&amp;$B36)</f>
        <v>#NAME?</v>
      </c>
      <c r="K36" s="600" t="e">
        <f ca="1">_xll.BLUEMATRIX2("/servlet/excelData",K35, $C$14,$B35&amp;":"&amp;K$16&amp;K$17&amp;":"&amp;K$19&amp;":"&amp;$B36)</f>
        <v>#NAME?</v>
      </c>
      <c r="L36" s="600" t="e">
        <f ca="1">_xll.BLUEMATRIX2("/servlet/excelData",L35, $C$14,$B35&amp;":"&amp;L$16&amp;L$17&amp;":"&amp;L$19&amp;":"&amp;$B36)</f>
        <v>#NAME?</v>
      </c>
      <c r="M36" s="601" t="e">
        <f ca="1">_xll.BLUEMATRIX2("/servlet/excelData",M35, $C$14,$B35&amp;":"&amp;M$16&amp;M$17&amp;":"&amp;M$19&amp;":"&amp;$B36)</f>
        <v>#NAME?</v>
      </c>
      <c r="N36" s="600" t="e">
        <f ca="1">_xll.BLUEMATRIX2("/servlet/excelData",N35, $C$14,$B35&amp;":"&amp;N$16&amp;N$17&amp;":"&amp;N$19&amp;":"&amp;$B36)</f>
        <v>#NAME?</v>
      </c>
      <c r="O36" s="600" t="e">
        <f ca="1">_xll.BLUEMATRIX2("/servlet/excelData",O35, $C$14,$B35&amp;":"&amp;O$16&amp;O$17&amp;":"&amp;O$19&amp;":"&amp;$B36)</f>
        <v>#NAME?</v>
      </c>
      <c r="P36" s="600" t="e">
        <f ca="1">_xll.BLUEMATRIX2("/servlet/excelData",P35, $C$14,$B35&amp;":"&amp;P$16&amp;P$17&amp;":"&amp;P$19&amp;":"&amp;$B36)</f>
        <v>#NAME?</v>
      </c>
      <c r="Q36" s="600" t="e">
        <f ca="1">_xll.BLUEMATRIX2("/servlet/excelData",Q35, $C$14,$B35&amp;":"&amp;Q$16&amp;Q$17&amp;":"&amp;Q$19&amp;":"&amp;$B36)</f>
        <v>#NAME?</v>
      </c>
      <c r="R36" s="601" t="e">
        <f ca="1">_xll.BLUEMATRIX2("/servlet/excelData",R35, $C$14,$B35&amp;":"&amp;R$16&amp;R$17&amp;":"&amp;R$19&amp;":"&amp;$B36)</f>
        <v>#NAME?</v>
      </c>
      <c r="S36" s="600" t="e">
        <f ca="1">_xll.BLUEMATRIX2("/servlet/excelData",S35, $C$14,$B35&amp;":"&amp;S$16&amp;S$17&amp;":"&amp;S$19&amp;":"&amp;$B36)</f>
        <v>#NAME?</v>
      </c>
      <c r="T36" s="600" t="e">
        <f ca="1">_xll.BLUEMATRIX2("/servlet/excelData",T35, $C$14,$B35&amp;":"&amp;T$16&amp;T$17&amp;":"&amp;T$19&amp;":"&amp;$B36)</f>
        <v>#NAME?</v>
      </c>
      <c r="U36" s="600" t="e">
        <f ca="1">_xll.BLUEMATRIX2("/servlet/excelData",U35, $C$14,$B35&amp;":"&amp;U$16&amp;U$17&amp;":"&amp;U$19&amp;":"&amp;$B36)</f>
        <v>#NAME?</v>
      </c>
      <c r="V36" s="600" t="e">
        <f ca="1">_xll.BLUEMATRIX2("/servlet/excelData",V35, $C$14,$B35&amp;":"&amp;V$16&amp;V$17&amp;":"&amp;V$19&amp;":"&amp;$B36)</f>
        <v>#NAME?</v>
      </c>
      <c r="W36" s="601" t="e">
        <f ca="1">_xll.BLUEMATRIX2("/servlet/excelData",W35, $C$14,$B35&amp;":"&amp;W$16&amp;W$17&amp;":"&amp;W$19&amp;":"&amp;$B36)</f>
        <v>#NAME?</v>
      </c>
      <c r="X36" s="600" t="e">
        <f ca="1">_xll.BLUEMATRIX2("/servlet/excelData",X35, $C$14,$B35&amp;":"&amp;X$16&amp;X$17&amp;":"&amp;X$19&amp;":"&amp;$B36)</f>
        <v>#NAME?</v>
      </c>
      <c r="Y36" s="600" t="e">
        <f ca="1">_xll.BLUEMATRIX2("/servlet/excelData",Y35, $C$14,$B35&amp;":"&amp;Y$16&amp;Y$17&amp;":"&amp;Y$19&amp;":"&amp;$B36)</f>
        <v>#NAME?</v>
      </c>
      <c r="Z36" s="600" t="e">
        <f ca="1">_xll.BLUEMATRIX2("/servlet/excelData",Z35, $C$14,$B35&amp;":"&amp;Z$16&amp;Z$17&amp;":"&amp;Z$19&amp;":"&amp;$B36)</f>
        <v>#NAME?</v>
      </c>
      <c r="AA36" s="600" t="e">
        <f ca="1">_xll.BLUEMATRIX2("/servlet/excelData",AA35, $C$14,$B35&amp;":"&amp;AA$16&amp;AA$17&amp;":"&amp;AA$19&amp;":"&amp;$B36)</f>
        <v>#NAME?</v>
      </c>
      <c r="AB36" s="601" t="e">
        <f ca="1">_xll.BLUEMATRIX2("/servlet/excelData",AB35, $C$14,$B35&amp;":"&amp;AB$16&amp;AB$17&amp;":"&amp;AB$19&amp;":"&amp;$B36)</f>
        <v>#NAME?</v>
      </c>
      <c r="AC36" s="600" t="e">
        <f ca="1">_xll.BLUEMATRIX2("/servlet/excelData",AC35, $C$14,$B35&amp;":"&amp;AC$16&amp;AC$17&amp;":"&amp;AC$19&amp;":"&amp;$B36)</f>
        <v>#NAME?</v>
      </c>
      <c r="AD36" s="600" t="e">
        <f ca="1">_xll.BLUEMATRIX2("/servlet/excelData",AD35, $C$14,$B35&amp;":"&amp;AD$16&amp;AD$17&amp;":"&amp;AD$19&amp;":"&amp;$B36)</f>
        <v>#NAME?</v>
      </c>
      <c r="AE36" s="600" t="e">
        <f ca="1">_xll.BLUEMATRIX2("/servlet/excelData",AE35, $C$14,$B35&amp;":"&amp;AE$16&amp;AE$17&amp;":"&amp;AE$19&amp;":"&amp;$B36)</f>
        <v>#NAME?</v>
      </c>
      <c r="AF36" s="600" t="e">
        <f ca="1">_xll.BLUEMATRIX2("/servlet/excelData",AF35, $C$14,$B35&amp;":"&amp;AF$16&amp;AF$17&amp;":"&amp;AF$19&amp;":"&amp;$B36)</f>
        <v>#NAME?</v>
      </c>
      <c r="AG36" s="601" t="e">
        <f ca="1">_xll.BLUEMATRIX2("/servlet/excelData",AG35, $C$14,$B35&amp;":"&amp;AG$16&amp;AG$17&amp;":"&amp;AG$19&amp;":"&amp;$B36)</f>
        <v>#NAME?</v>
      </c>
      <c r="AH36" s="602"/>
      <c r="AI36" s="602"/>
      <c r="AK36" s="602"/>
      <c r="AL36" s="602"/>
      <c r="AM36" s="602"/>
      <c r="AN36" s="602"/>
      <c r="AO36" s="602"/>
      <c r="AP36" s="602"/>
      <c r="AQ36" s="602"/>
      <c r="AR36" s="602"/>
      <c r="AS36" s="602"/>
      <c r="AT36" s="602"/>
      <c r="AU36" s="602"/>
      <c r="AV36" s="602"/>
      <c r="AW36" s="602"/>
      <c r="AX36" s="602"/>
      <c r="AY36" s="602"/>
      <c r="AZ36" s="602"/>
      <c r="BA36" s="602"/>
      <c r="BB36" s="602"/>
      <c r="BC36" s="602"/>
      <c r="BD36" s="602"/>
      <c r="BE36" s="602"/>
      <c r="BF36" s="602"/>
      <c r="BG36" s="602"/>
      <c r="BH36" s="602"/>
      <c r="BI36" s="602"/>
      <c r="BJ36" s="602"/>
      <c r="BK36" s="602"/>
      <c r="BL36" s="602"/>
      <c r="BM36" s="602"/>
      <c r="BN36" s="602"/>
      <c r="BO36" s="602"/>
      <c r="BP36" s="602"/>
      <c r="BQ36" s="602"/>
      <c r="BR36" s="602"/>
      <c r="BS36" s="602"/>
      <c r="BT36" s="602"/>
      <c r="BU36" s="602"/>
      <c r="BV36" s="602"/>
      <c r="BW36" s="602"/>
      <c r="BX36" s="602"/>
      <c r="BY36" s="602"/>
      <c r="BZ36" s="602"/>
      <c r="CA36" s="602"/>
      <c r="CB36" s="602"/>
      <c r="CC36" s="602"/>
      <c r="CD36" s="602"/>
      <c r="CE36" s="602"/>
      <c r="CF36" s="602"/>
      <c r="CG36" s="602"/>
      <c r="CH36" s="602"/>
      <c r="CI36" s="602"/>
      <c r="CJ36" s="602"/>
      <c r="CK36" s="602"/>
      <c r="CL36" s="602"/>
      <c r="CM36" s="602"/>
      <c r="CN36" s="602"/>
      <c r="CO36" s="602"/>
      <c r="CP36" s="602"/>
      <c r="CQ36" s="602"/>
      <c r="CR36" s="602"/>
      <c r="CS36" s="602"/>
      <c r="CT36" s="602"/>
      <c r="CU36" s="602"/>
      <c r="CV36" s="602"/>
      <c r="CW36" s="602"/>
      <c r="CX36" s="602"/>
      <c r="CY36" s="602"/>
      <c r="CZ36" s="602"/>
      <c r="DA36" s="602"/>
      <c r="DB36" s="602"/>
      <c r="DC36" s="602"/>
      <c r="DD36" s="602"/>
      <c r="DE36" s="602"/>
      <c r="DF36" s="602"/>
      <c r="DG36" s="602"/>
      <c r="DH36" s="602"/>
      <c r="DI36" s="602"/>
      <c r="DJ36" s="602"/>
      <c r="DK36" s="602"/>
      <c r="DL36" s="602"/>
      <c r="DM36" s="602"/>
      <c r="DN36" s="602"/>
      <c r="DO36" s="602"/>
      <c r="DP36" s="602"/>
      <c r="DQ36" s="602"/>
      <c r="DR36" s="602"/>
      <c r="DS36" s="602"/>
      <c r="DT36" s="602"/>
      <c r="DU36" s="602"/>
      <c r="DV36" s="602"/>
      <c r="DW36" s="602"/>
      <c r="DX36" s="602"/>
      <c r="DY36" s="602"/>
      <c r="DZ36" s="602"/>
      <c r="EA36" s="602"/>
      <c r="EB36" s="602"/>
      <c r="EC36" s="602"/>
      <c r="ED36" s="602"/>
      <c r="EE36" s="602"/>
      <c r="EF36" s="602"/>
      <c r="EG36" s="602"/>
      <c r="EH36" s="602"/>
      <c r="EI36" s="602"/>
      <c r="EJ36" s="602"/>
      <c r="EK36" s="602"/>
      <c r="EL36" s="602"/>
      <c r="EM36" s="602"/>
      <c r="EN36" s="602"/>
      <c r="EO36" s="602"/>
      <c r="EP36" s="602"/>
      <c r="EQ36" s="602"/>
      <c r="ER36" s="602"/>
      <c r="ES36" s="602"/>
      <c r="ET36" s="602"/>
      <c r="EU36" s="602"/>
      <c r="EV36" s="602"/>
      <c r="EW36" s="602"/>
      <c r="EX36" s="602"/>
      <c r="EY36" s="602"/>
      <c r="EZ36" s="602"/>
      <c r="FA36" s="602"/>
      <c r="FB36" s="602"/>
      <c r="FC36" s="602"/>
      <c r="FD36" s="602"/>
      <c r="FE36" s="602"/>
      <c r="FF36" s="602"/>
      <c r="FG36" s="602"/>
      <c r="FH36" s="602"/>
      <c r="FI36" s="602"/>
      <c r="FJ36" s="602"/>
      <c r="FK36" s="602"/>
      <c r="FL36" s="602"/>
      <c r="FM36" s="602"/>
      <c r="FN36" s="602"/>
      <c r="FO36" s="602"/>
      <c r="FP36" s="602"/>
      <c r="FQ36" s="602"/>
      <c r="FR36" s="602"/>
      <c r="FS36" s="602"/>
      <c r="FT36" s="602"/>
      <c r="FU36" s="602"/>
      <c r="FV36" s="602"/>
      <c r="FW36" s="602"/>
      <c r="FX36" s="602"/>
      <c r="FY36" s="602"/>
      <c r="FZ36" s="602"/>
      <c r="GA36" s="602"/>
      <c r="GB36" s="602"/>
      <c r="GC36" s="602"/>
      <c r="GD36" s="602"/>
      <c r="GE36" s="602"/>
      <c r="GF36" s="602"/>
      <c r="GG36" s="602"/>
      <c r="GH36" s="602"/>
      <c r="GI36" s="602"/>
      <c r="GJ36" s="602"/>
      <c r="GK36" s="602"/>
      <c r="GL36" s="602"/>
      <c r="GM36" s="602"/>
      <c r="GN36" s="602"/>
      <c r="GO36" s="602"/>
      <c r="GP36" s="602"/>
      <c r="GQ36" s="602"/>
      <c r="GR36" s="602"/>
      <c r="GS36" s="602"/>
      <c r="GT36" s="602"/>
      <c r="GU36" s="602"/>
      <c r="GV36" s="602"/>
      <c r="GW36" s="602"/>
      <c r="GX36" s="602"/>
      <c r="GY36" s="602"/>
      <c r="GZ36" s="602"/>
      <c r="HA36" s="602"/>
      <c r="HB36" s="602"/>
      <c r="HC36" s="602"/>
      <c r="HD36" s="602"/>
      <c r="HE36" s="602"/>
      <c r="HF36" s="602"/>
      <c r="HG36" s="602"/>
      <c r="HH36" s="602"/>
      <c r="HI36" s="602"/>
      <c r="HJ36" s="602"/>
      <c r="HK36" s="602"/>
      <c r="HL36" s="602"/>
      <c r="HM36" s="602"/>
      <c r="HN36" s="602"/>
      <c r="HO36" s="602"/>
      <c r="HP36" s="602"/>
      <c r="HQ36" s="602"/>
      <c r="HR36" s="602"/>
      <c r="HS36" s="602"/>
      <c r="HT36" s="602"/>
      <c r="HU36" s="602"/>
      <c r="HV36" s="602"/>
      <c r="HW36" s="602"/>
      <c r="HX36" s="602"/>
      <c r="HY36" s="602"/>
      <c r="HZ36" s="602"/>
      <c r="IA36" s="602"/>
      <c r="IB36" s="602"/>
      <c r="IC36" s="602"/>
      <c r="ID36" s="602"/>
      <c r="IE36" s="602"/>
      <c r="IF36" s="602"/>
      <c r="IG36" s="602"/>
      <c r="IH36" s="602"/>
      <c r="II36" s="602"/>
      <c r="IJ36" s="602"/>
      <c r="IK36" s="602"/>
      <c r="IL36" s="602"/>
      <c r="IM36" s="602"/>
      <c r="IN36" s="602"/>
      <c r="IO36" s="602"/>
      <c r="IP36" s="602"/>
      <c r="IQ36" s="602"/>
      <c r="IR36" s="602"/>
      <c r="IS36" s="602"/>
      <c r="IT36" s="602"/>
      <c r="IU36" s="602"/>
      <c r="IV36" s="602"/>
      <c r="IW36" s="602"/>
      <c r="IX36" s="602"/>
      <c r="IY36" s="602"/>
      <c r="IZ36" s="602"/>
      <c r="JA36" s="602"/>
    </row>
    <row r="37" spans="1:261" x14ac:dyDescent="0.25">
      <c r="B37" s="548"/>
    </row>
    <row r="38" spans="1:261" x14ac:dyDescent="0.25">
      <c r="A38" s="626"/>
      <c r="B38" s="626"/>
    </row>
    <row r="39" spans="1:261" x14ac:dyDescent="0.25">
      <c r="A39" s="626"/>
      <c r="B39" s="626"/>
    </row>
    <row r="40" spans="1:261" x14ac:dyDescent="0.25">
      <c r="A40" s="626"/>
      <c r="B40" s="626"/>
    </row>
    <row r="41" spans="1:261" x14ac:dyDescent="0.25">
      <c r="A41" s="626"/>
      <c r="B41" s="626"/>
    </row>
    <row r="42" spans="1:261" x14ac:dyDescent="0.25">
      <c r="A42" s="626"/>
      <c r="B42" s="626"/>
    </row>
    <row r="43" spans="1:261" x14ac:dyDescent="0.25">
      <c r="A43" s="626"/>
      <c r="B43" s="626"/>
    </row>
    <row r="44" spans="1:261" x14ac:dyDescent="0.25">
      <c r="D44" s="558" t="s">
        <v>382</v>
      </c>
    </row>
    <row r="45" spans="1:261" x14ac:dyDescent="0.25">
      <c r="A45" s="558" t="s">
        <v>383</v>
      </c>
      <c r="B45" s="558">
        <v>4</v>
      </c>
      <c r="C45" s="627"/>
      <c r="D45" s="548">
        <v>0</v>
      </c>
    </row>
    <row r="46" spans="1:261" x14ac:dyDescent="0.25">
      <c r="A46" s="558" t="s">
        <v>384</v>
      </c>
      <c r="B46" s="558">
        <v>7</v>
      </c>
      <c r="C46" s="627"/>
      <c r="D46" s="548">
        <v>0</v>
      </c>
    </row>
    <row r="47" spans="1:261" x14ac:dyDescent="0.25">
      <c r="A47" s="558" t="s">
        <v>385</v>
      </c>
      <c r="B47" s="558">
        <v>10</v>
      </c>
      <c r="C47" s="627"/>
      <c r="D47" s="548">
        <v>0</v>
      </c>
    </row>
    <row r="48" spans="1:261" x14ac:dyDescent="0.25">
      <c r="A48" s="558" t="s">
        <v>386</v>
      </c>
      <c r="B48" s="558">
        <v>1</v>
      </c>
      <c r="C48" s="627"/>
      <c r="D48" s="548">
        <v>0</v>
      </c>
    </row>
  </sheetData>
  <dataValidations count="1">
    <dataValidation type="list" allowBlank="1" showInputMessage="1" showErrorMessage="1" sqref="C10 XDJ983046 WTN983046 WJR983046 VZV983046 VPZ983046 VGD983046 UWH983046 UML983046 UCP983046 TST983046 TIX983046 SZB983046 SPF983046 SFJ983046 RVN983046 RLR983046 RBV983046 QRZ983046 QID983046 PYH983046 POL983046 PEP983046 OUT983046 OKX983046 OBB983046 NRF983046 NHJ983046 MXN983046 MNR983046 MDV983046 LTZ983046 LKD983046 LAH983046 KQL983046 KGP983046 JWT983046 JMX983046 JDB983046 ITF983046 IJJ983046 HZN983046 HPR983046 HFV983046 GVZ983046 GMD983046 GCH983046 FSL983046 FIP983046 EYT983046 EOX983046 EFB983046 DVF983046 DLJ983046 DBN983046 CRR983046 CHV983046 BXZ983046 BOD983046 BEH983046 AUL983046 AKP983046 AAT983046 QX983046 HB983046 XDJ917510 WTN917510 WJR917510 VZV917510 VPZ917510 VGD917510 UWH917510 UML917510 UCP917510 TST917510 TIX917510 SZB917510 SPF917510 SFJ917510 RVN917510 RLR917510 RBV917510 QRZ917510 QID917510 PYH917510 POL917510 PEP917510 OUT917510 OKX917510 OBB917510 NRF917510 NHJ917510 MXN917510 MNR917510 MDV917510 LTZ917510 LKD917510 LAH917510 KQL917510 KGP917510 JWT917510 JMX917510 JDB917510 ITF917510 IJJ917510 HZN917510 HPR917510 HFV917510 GVZ917510 GMD917510 GCH917510 FSL917510 FIP917510 EYT917510 EOX917510 EFB917510 DVF917510 DLJ917510 DBN917510 CRR917510 CHV917510 BXZ917510 BOD917510 BEH917510 AUL917510 AKP917510 AAT917510 QX917510 HB917510 XDJ851974 WTN851974 WJR851974 VZV851974 VPZ851974 VGD851974 UWH851974 UML851974 UCP851974 TST851974 TIX851974 SZB851974 SPF851974 SFJ851974 RVN851974 RLR851974 RBV851974 QRZ851974 QID851974 PYH851974 POL851974 PEP851974 OUT851974 OKX851974 OBB851974 NRF851974 NHJ851974 MXN851974 MNR851974 MDV851974 LTZ851974 LKD851974 LAH851974 KQL851974 KGP851974 JWT851974 JMX851974 JDB851974 ITF851974 IJJ851974 HZN851974 HPR851974 HFV851974 GVZ851974 GMD851974 GCH851974 FSL851974 FIP851974 EYT851974 EOX851974 EFB851974 DVF851974 DLJ851974 DBN851974 CRR851974 CHV851974 BXZ851974 BOD851974 BEH851974 AUL851974 AKP851974 AAT851974 QX851974 HB851974 XDJ786438 WTN786438 WJR786438 VZV786438 VPZ786438 VGD786438 UWH786438 UML786438 UCP786438 TST786438 TIX786438 SZB786438 SPF786438 SFJ786438 RVN786438 RLR786438 RBV786438 QRZ786438 QID786438 PYH786438 POL786438 PEP786438 OUT786438 OKX786438 OBB786438 NRF786438 NHJ786438 MXN786438 MNR786438 MDV786438 LTZ786438 LKD786438 LAH786438 KQL786438 KGP786438 JWT786438 JMX786438 JDB786438 ITF786438 IJJ786438 HZN786438 HPR786438 HFV786438 GVZ786438 GMD786438 GCH786438 FSL786438 FIP786438 EYT786438 EOX786438 EFB786438 DVF786438 DLJ786438 DBN786438 CRR786438 CHV786438 BXZ786438 BOD786438 BEH786438 AUL786438 AKP786438 AAT786438 QX786438 HB786438 XDJ720902 WTN720902 WJR720902 VZV720902 VPZ720902 VGD720902 UWH720902 UML720902 UCP720902 TST720902 TIX720902 SZB720902 SPF720902 SFJ720902 RVN720902 RLR720902 RBV720902 QRZ720902 QID720902 PYH720902 POL720902 PEP720902 OUT720902 OKX720902 OBB720902 NRF720902 NHJ720902 MXN720902 MNR720902 MDV720902 LTZ720902 LKD720902 LAH720902 KQL720902 KGP720902 JWT720902 JMX720902 JDB720902 ITF720902 IJJ720902 HZN720902 HPR720902 HFV720902 GVZ720902 GMD720902 GCH720902 FSL720902 FIP720902 EYT720902 EOX720902 EFB720902 DVF720902 DLJ720902 DBN720902 CRR720902 CHV720902 BXZ720902 BOD720902 BEH720902 AUL720902 AKP720902 AAT720902 QX720902 HB720902 XDJ655366 WTN655366 WJR655366 VZV655366 VPZ655366 VGD655366 UWH655366 UML655366 UCP655366 TST655366 TIX655366 SZB655366 SPF655366 SFJ655366 RVN655366 RLR655366 RBV655366 QRZ655366 QID655366 PYH655366 POL655366 PEP655366 OUT655366 OKX655366 OBB655366 NRF655366 NHJ655366 MXN655366 MNR655366 MDV655366 LTZ655366 LKD655366 LAH655366 KQL655366 KGP655366 JWT655366 JMX655366 JDB655366 ITF655366 IJJ655366 HZN655366 HPR655366 HFV655366 GVZ655366 GMD655366 GCH655366 FSL655366 FIP655366 EYT655366 EOX655366 EFB655366 DVF655366 DLJ655366 DBN655366 CRR655366 CHV655366 BXZ655366 BOD655366 BEH655366 AUL655366 AKP655366 AAT655366 QX655366 HB655366 XDJ589830 WTN589830 WJR589830 VZV589830 VPZ589830 VGD589830 UWH589830 UML589830 UCP589830 TST589830 TIX589830 SZB589830 SPF589830 SFJ589830 RVN589830 RLR589830 RBV589830 QRZ589830 QID589830 PYH589830 POL589830 PEP589830 OUT589830 OKX589830 OBB589830 NRF589830 NHJ589830 MXN589830 MNR589830 MDV589830 LTZ589830 LKD589830 LAH589830 KQL589830 KGP589830 JWT589830 JMX589830 JDB589830 ITF589830 IJJ589830 HZN589830 HPR589830 HFV589830 GVZ589830 GMD589830 GCH589830 FSL589830 FIP589830 EYT589830 EOX589830 EFB589830 DVF589830 DLJ589830 DBN589830 CRR589830 CHV589830 BXZ589830 BOD589830 BEH589830 AUL589830 AKP589830 AAT589830 QX589830 HB589830 XDJ524294 WTN524294 WJR524294 VZV524294 VPZ524294 VGD524294 UWH524294 UML524294 UCP524294 TST524294 TIX524294 SZB524294 SPF524294 SFJ524294 RVN524294 RLR524294 RBV524294 QRZ524294 QID524294 PYH524294 POL524294 PEP524294 OUT524294 OKX524294 OBB524294 NRF524294 NHJ524294 MXN524294 MNR524294 MDV524294 LTZ524294 LKD524294 LAH524294 KQL524294 KGP524294 JWT524294 JMX524294 JDB524294 ITF524294 IJJ524294 HZN524294 HPR524294 HFV524294 GVZ524294 GMD524294 GCH524294 FSL524294 FIP524294 EYT524294 EOX524294 EFB524294 DVF524294 DLJ524294 DBN524294 CRR524294 CHV524294 BXZ524294 BOD524294 BEH524294 AUL524294 AKP524294 AAT524294 QX524294 HB524294 XDJ458758 WTN458758 WJR458758 VZV458758 VPZ458758 VGD458758 UWH458758 UML458758 UCP458758 TST458758 TIX458758 SZB458758 SPF458758 SFJ458758 RVN458758 RLR458758 RBV458758 QRZ458758 QID458758 PYH458758 POL458758 PEP458758 OUT458758 OKX458758 OBB458758 NRF458758 NHJ458758 MXN458758 MNR458758 MDV458758 LTZ458758 LKD458758 LAH458758 KQL458758 KGP458758 JWT458758 JMX458758 JDB458758 ITF458758 IJJ458758 HZN458758 HPR458758 HFV458758 GVZ458758 GMD458758 GCH458758 FSL458758 FIP458758 EYT458758 EOX458758 EFB458758 DVF458758 DLJ458758 DBN458758 CRR458758 CHV458758 BXZ458758 BOD458758 BEH458758 AUL458758 AKP458758 AAT458758 QX458758 HB458758 XDJ393222 WTN393222 WJR393222 VZV393222 VPZ393222 VGD393222 UWH393222 UML393222 UCP393222 TST393222 TIX393222 SZB393222 SPF393222 SFJ393222 RVN393222 RLR393222 RBV393222 QRZ393222 QID393222 PYH393222 POL393222 PEP393222 OUT393222 OKX393222 OBB393222 NRF393222 NHJ393222 MXN393222 MNR393222 MDV393222 LTZ393222 LKD393222 LAH393222 KQL393222 KGP393222 JWT393222 JMX393222 JDB393222 ITF393222 IJJ393222 HZN393222 HPR393222 HFV393222 GVZ393222 GMD393222 GCH393222 FSL393222 FIP393222 EYT393222 EOX393222 EFB393222 DVF393222 DLJ393222 DBN393222 CRR393222 CHV393222 BXZ393222 BOD393222 BEH393222 AUL393222 AKP393222 AAT393222 QX393222 HB393222 XDJ327686 WTN327686 WJR327686 VZV327686 VPZ327686 VGD327686 UWH327686 UML327686 UCP327686 TST327686 TIX327686 SZB327686 SPF327686 SFJ327686 RVN327686 RLR327686 RBV327686 QRZ327686 QID327686 PYH327686 POL327686 PEP327686 OUT327686 OKX327686 OBB327686 NRF327686 NHJ327686 MXN327686 MNR327686 MDV327686 LTZ327686 LKD327686 LAH327686 KQL327686 KGP327686 JWT327686 JMX327686 JDB327686 ITF327686 IJJ327686 HZN327686 HPR327686 HFV327686 GVZ327686 GMD327686 GCH327686 FSL327686 FIP327686 EYT327686 EOX327686 EFB327686 DVF327686 DLJ327686 DBN327686 CRR327686 CHV327686 BXZ327686 BOD327686 BEH327686 AUL327686 AKP327686 AAT327686 QX327686 HB327686 XDJ262150 WTN262150 WJR262150 VZV262150 VPZ262150 VGD262150 UWH262150 UML262150 UCP262150 TST262150 TIX262150 SZB262150 SPF262150 SFJ262150 RVN262150 RLR262150 RBV262150 QRZ262150 QID262150 PYH262150 POL262150 PEP262150 OUT262150 OKX262150 OBB262150 NRF262150 NHJ262150 MXN262150 MNR262150 MDV262150 LTZ262150 LKD262150 LAH262150 KQL262150 KGP262150 JWT262150 JMX262150 JDB262150 ITF262150 IJJ262150 HZN262150 HPR262150 HFV262150 GVZ262150 GMD262150 GCH262150 FSL262150 FIP262150 EYT262150 EOX262150 EFB262150 DVF262150 DLJ262150 DBN262150 CRR262150 CHV262150 BXZ262150 BOD262150 BEH262150 AUL262150 AKP262150 AAT262150 QX262150 HB262150 XDJ196614 WTN196614 WJR196614 VZV196614 VPZ196614 VGD196614 UWH196614 UML196614 UCP196614 TST196614 TIX196614 SZB196614 SPF196614 SFJ196614 RVN196614 RLR196614 RBV196614 QRZ196614 QID196614 PYH196614 POL196614 PEP196614 OUT196614 OKX196614 OBB196614 NRF196614 NHJ196614 MXN196614 MNR196614 MDV196614 LTZ196614 LKD196614 LAH196614 KQL196614 KGP196614 JWT196614 JMX196614 JDB196614 ITF196614 IJJ196614 HZN196614 HPR196614 HFV196614 GVZ196614 GMD196614 GCH196614 FSL196614 FIP196614 EYT196614 EOX196614 EFB196614 DVF196614 DLJ196614 DBN196614 CRR196614 CHV196614 BXZ196614 BOD196614 BEH196614 AUL196614 AKP196614 AAT196614 QX196614 HB196614 XDJ131078 WTN131078 WJR131078 VZV131078 VPZ131078 VGD131078 UWH131078 UML131078 UCP131078 TST131078 TIX131078 SZB131078 SPF131078 SFJ131078 RVN131078 RLR131078 RBV131078 QRZ131078 QID131078 PYH131078 POL131078 PEP131078 OUT131078 OKX131078 OBB131078 NRF131078 NHJ131078 MXN131078 MNR131078 MDV131078 LTZ131078 LKD131078 LAH131078 KQL131078 KGP131078 JWT131078 JMX131078 JDB131078 ITF131078 IJJ131078 HZN131078 HPR131078 HFV131078 GVZ131078 GMD131078 GCH131078 FSL131078 FIP131078 EYT131078 EOX131078 EFB131078 DVF131078 DLJ131078 DBN131078 CRR131078 CHV131078 BXZ131078 BOD131078 BEH131078 AUL131078 AKP131078 AAT131078 QX131078 HB131078 XDJ65542 WTN65542 WJR65542 VZV65542 VPZ65542 VGD65542 UWH65542 UML65542 UCP65542 TST65542 TIX65542 SZB65542 SPF65542 SFJ65542 RVN65542 RLR65542 RBV65542 QRZ65542 QID65542 PYH65542 POL65542 PEP65542 OUT65542 OKX65542 OBB65542 NRF65542 NHJ65542 MXN65542 MNR65542 MDV65542 LTZ65542 LKD65542 LAH65542 KQL65542 KGP65542 JWT65542 JMX65542 JDB65542 ITF65542 IJJ65542 HZN65542 HPR65542 HFV65542 GVZ65542 GMD65542 GCH65542 FSL65542 FIP65542 EYT65542 EOX65542 EFB65542 DVF65542 DLJ65542 DBN65542 CRR65542 CHV65542 BXZ65542 BOD65542 BEH65542 AUL65542 AKP65542 AAT65542 QX65542 HB65542 XDJ6 WTN6 WJR6 VZV6 VPZ6 VGD6 UWH6 UML6 UCP6 TST6 TIX6 SZB6 SPF6 SFJ6 RVN6 RLR6 RBV6 QRZ6 QID6 PYH6 POL6 PEP6 OUT6 OKX6 OBB6 NRF6 NHJ6 MXN6 MNR6 MDV6 LTZ6 LKD6 LAH6 KQL6 KGP6 JWT6 JMX6 JDB6 ITF6 IJJ6 HZN6 HPR6 HFV6 GVZ6 GMD6 GCH6 FSL6 FIP6 EYT6 EOX6 EFB6 DVF6 DLJ6 DBN6 CRR6 CHV6 BXZ6 BOD6 BEH6 AUL6 AKP6 AAT6 QX6 HB6 WVP1048536 WLT1048536 WBX1048536 VSB1048536 VIF1048536 UYJ1048536 UON1048536 UER1048536 TUV1048536 TKZ1048536 TBD1048536 SRH1048536 SHL1048536 RXP1048536 RNT1048536 RDX1048536 QUB1048536 QKF1048536 QAJ1048536 PQN1048536 PGR1048536 OWV1048536 OMZ1048536 ODD1048536 NTH1048536 NJL1048536 MZP1048536 MPT1048536 MFX1048536 LWB1048536 LMF1048536 LCJ1048536 KSN1048536 KIR1048536 JYV1048536 JOZ1048536 JFD1048536 IVH1048536 ILL1048536 IBP1048536 HRT1048536 HHX1048536 GYB1048536 GOF1048536 GEJ1048536 FUN1048536 FKR1048536 FAV1048536 EQZ1048536 EHD1048536 DXH1048536 DNL1048536 DDP1048536 CTT1048536 CJX1048536 CAB1048536 BQF1048536 BGJ1048536 AWN1048536 AMR1048536 ACV1048536 SZ1048536 JD1048536 C1048536 WVP983000 WLT983000 WBX983000 VSB983000 VIF983000 UYJ983000 UON983000 UER983000 TUV983000 TKZ983000 TBD983000 SRH983000 SHL983000 RXP983000 RNT983000 RDX983000 QUB983000 QKF983000 QAJ983000 PQN983000 PGR983000 OWV983000 OMZ983000 ODD983000 NTH983000 NJL983000 MZP983000 MPT983000 MFX983000 LWB983000 LMF983000 LCJ983000 KSN983000 KIR983000 JYV983000 JOZ983000 JFD983000 IVH983000 ILL983000 IBP983000 HRT983000 HHX983000 GYB983000 GOF983000 GEJ983000 FUN983000 FKR983000 FAV983000 EQZ983000 EHD983000 DXH983000 DNL983000 DDP983000 CTT983000 CJX983000 CAB983000 BQF983000 BGJ983000 AWN983000 AMR983000 ACV983000 SZ983000 JD983000 C983000 WVP917464 WLT917464 WBX917464 VSB917464 VIF917464 UYJ917464 UON917464 UER917464 TUV917464 TKZ917464 TBD917464 SRH917464 SHL917464 RXP917464 RNT917464 RDX917464 QUB917464 QKF917464 QAJ917464 PQN917464 PGR917464 OWV917464 OMZ917464 ODD917464 NTH917464 NJL917464 MZP917464 MPT917464 MFX917464 LWB917464 LMF917464 LCJ917464 KSN917464 KIR917464 JYV917464 JOZ917464 JFD917464 IVH917464 ILL917464 IBP917464 HRT917464 HHX917464 GYB917464 GOF917464 GEJ917464 FUN917464 FKR917464 FAV917464 EQZ917464 EHD917464 DXH917464 DNL917464 DDP917464 CTT917464 CJX917464 CAB917464 BQF917464 BGJ917464 AWN917464 AMR917464 ACV917464 SZ917464 JD917464 C917464 WVP851928 WLT851928 WBX851928 VSB851928 VIF851928 UYJ851928 UON851928 UER851928 TUV851928 TKZ851928 TBD851928 SRH851928 SHL851928 RXP851928 RNT851928 RDX851928 QUB851928 QKF851928 QAJ851928 PQN851928 PGR851928 OWV851928 OMZ851928 ODD851928 NTH851928 NJL851928 MZP851928 MPT851928 MFX851928 LWB851928 LMF851928 LCJ851928 KSN851928 KIR851928 JYV851928 JOZ851928 JFD851928 IVH851928 ILL851928 IBP851928 HRT851928 HHX851928 GYB851928 GOF851928 GEJ851928 FUN851928 FKR851928 FAV851928 EQZ851928 EHD851928 DXH851928 DNL851928 DDP851928 CTT851928 CJX851928 CAB851928 BQF851928 BGJ851928 AWN851928 AMR851928 ACV851928 SZ851928 JD851928 C851928 WVP786392 WLT786392 WBX786392 VSB786392 VIF786392 UYJ786392 UON786392 UER786392 TUV786392 TKZ786392 TBD786392 SRH786392 SHL786392 RXP786392 RNT786392 RDX786392 QUB786392 QKF786392 QAJ786392 PQN786392 PGR786392 OWV786392 OMZ786392 ODD786392 NTH786392 NJL786392 MZP786392 MPT786392 MFX786392 LWB786392 LMF786392 LCJ786392 KSN786392 KIR786392 JYV786392 JOZ786392 JFD786392 IVH786392 ILL786392 IBP786392 HRT786392 HHX786392 GYB786392 GOF786392 GEJ786392 FUN786392 FKR786392 FAV786392 EQZ786392 EHD786392 DXH786392 DNL786392 DDP786392 CTT786392 CJX786392 CAB786392 BQF786392 BGJ786392 AWN786392 AMR786392 ACV786392 SZ786392 JD786392 C786392 WVP720856 WLT720856 WBX720856 VSB720856 VIF720856 UYJ720856 UON720856 UER720856 TUV720856 TKZ720856 TBD720856 SRH720856 SHL720856 RXP720856 RNT720856 RDX720856 QUB720856 QKF720856 QAJ720856 PQN720856 PGR720856 OWV720856 OMZ720856 ODD720856 NTH720856 NJL720856 MZP720856 MPT720856 MFX720856 LWB720856 LMF720856 LCJ720856 KSN720856 KIR720856 JYV720856 JOZ720856 JFD720856 IVH720856 ILL720856 IBP720856 HRT720856 HHX720856 GYB720856 GOF720856 GEJ720856 FUN720856 FKR720856 FAV720856 EQZ720856 EHD720856 DXH720856 DNL720856 DDP720856 CTT720856 CJX720856 CAB720856 BQF720856 BGJ720856 AWN720856 AMR720856 ACV720856 SZ720856 JD720856 C720856 WVP655320 WLT655320 WBX655320 VSB655320 VIF655320 UYJ655320 UON655320 UER655320 TUV655320 TKZ655320 TBD655320 SRH655320 SHL655320 RXP655320 RNT655320 RDX655320 QUB655320 QKF655320 QAJ655320 PQN655320 PGR655320 OWV655320 OMZ655320 ODD655320 NTH655320 NJL655320 MZP655320 MPT655320 MFX655320 LWB655320 LMF655320 LCJ655320 KSN655320 KIR655320 JYV655320 JOZ655320 JFD655320 IVH655320 ILL655320 IBP655320 HRT655320 HHX655320 GYB655320 GOF655320 GEJ655320 FUN655320 FKR655320 FAV655320 EQZ655320 EHD655320 DXH655320 DNL655320 DDP655320 CTT655320 CJX655320 CAB655320 BQF655320 BGJ655320 AWN655320 AMR655320 ACV655320 SZ655320 JD655320 C655320 WVP589784 WLT589784 WBX589784 VSB589784 VIF589784 UYJ589784 UON589784 UER589784 TUV589784 TKZ589784 TBD589784 SRH589784 SHL589784 RXP589784 RNT589784 RDX589784 QUB589784 QKF589784 QAJ589784 PQN589784 PGR589784 OWV589784 OMZ589784 ODD589784 NTH589784 NJL589784 MZP589784 MPT589784 MFX589784 LWB589784 LMF589784 LCJ589784 KSN589784 KIR589784 JYV589784 JOZ589784 JFD589784 IVH589784 ILL589784 IBP589784 HRT589784 HHX589784 GYB589784 GOF589784 GEJ589784 FUN589784 FKR589784 FAV589784 EQZ589784 EHD589784 DXH589784 DNL589784 DDP589784 CTT589784 CJX589784 CAB589784 BQF589784 BGJ589784 AWN589784 AMR589784 ACV589784 SZ589784 JD589784 C589784 WVP524248 WLT524248 WBX524248 VSB524248 VIF524248 UYJ524248 UON524248 UER524248 TUV524248 TKZ524248 TBD524248 SRH524248 SHL524248 RXP524248 RNT524248 RDX524248 QUB524248 QKF524248 QAJ524248 PQN524248 PGR524248 OWV524248 OMZ524248 ODD524248 NTH524248 NJL524248 MZP524248 MPT524248 MFX524248 LWB524248 LMF524248 LCJ524248 KSN524248 KIR524248 JYV524248 JOZ524248 JFD524248 IVH524248 ILL524248 IBP524248 HRT524248 HHX524248 GYB524248 GOF524248 GEJ524248 FUN524248 FKR524248 FAV524248 EQZ524248 EHD524248 DXH524248 DNL524248 DDP524248 CTT524248 CJX524248 CAB524248 BQF524248 BGJ524248 AWN524248 AMR524248 ACV524248 SZ524248 JD524248 C524248 WVP458712 WLT458712 WBX458712 VSB458712 VIF458712 UYJ458712 UON458712 UER458712 TUV458712 TKZ458712 TBD458712 SRH458712 SHL458712 RXP458712 RNT458712 RDX458712 QUB458712 QKF458712 QAJ458712 PQN458712 PGR458712 OWV458712 OMZ458712 ODD458712 NTH458712 NJL458712 MZP458712 MPT458712 MFX458712 LWB458712 LMF458712 LCJ458712 KSN458712 KIR458712 JYV458712 JOZ458712 JFD458712 IVH458712 ILL458712 IBP458712 HRT458712 HHX458712 GYB458712 GOF458712 GEJ458712 FUN458712 FKR458712 FAV458712 EQZ458712 EHD458712 DXH458712 DNL458712 DDP458712 CTT458712 CJX458712 CAB458712 BQF458712 BGJ458712 AWN458712 AMR458712 ACV458712 SZ458712 JD458712 C458712 WVP393176 WLT393176 WBX393176 VSB393176 VIF393176 UYJ393176 UON393176 UER393176 TUV393176 TKZ393176 TBD393176 SRH393176 SHL393176 RXP393176 RNT393176 RDX393176 QUB393176 QKF393176 QAJ393176 PQN393176 PGR393176 OWV393176 OMZ393176 ODD393176 NTH393176 NJL393176 MZP393176 MPT393176 MFX393176 LWB393176 LMF393176 LCJ393176 KSN393176 KIR393176 JYV393176 JOZ393176 JFD393176 IVH393176 ILL393176 IBP393176 HRT393176 HHX393176 GYB393176 GOF393176 GEJ393176 FUN393176 FKR393176 FAV393176 EQZ393176 EHD393176 DXH393176 DNL393176 DDP393176 CTT393176 CJX393176 CAB393176 BQF393176 BGJ393176 AWN393176 AMR393176 ACV393176 SZ393176 JD393176 C393176 WVP327640 WLT327640 WBX327640 VSB327640 VIF327640 UYJ327640 UON327640 UER327640 TUV327640 TKZ327640 TBD327640 SRH327640 SHL327640 RXP327640 RNT327640 RDX327640 QUB327640 QKF327640 QAJ327640 PQN327640 PGR327640 OWV327640 OMZ327640 ODD327640 NTH327640 NJL327640 MZP327640 MPT327640 MFX327640 LWB327640 LMF327640 LCJ327640 KSN327640 KIR327640 JYV327640 JOZ327640 JFD327640 IVH327640 ILL327640 IBP327640 HRT327640 HHX327640 GYB327640 GOF327640 GEJ327640 FUN327640 FKR327640 FAV327640 EQZ327640 EHD327640 DXH327640 DNL327640 DDP327640 CTT327640 CJX327640 CAB327640 BQF327640 BGJ327640 AWN327640 AMR327640 ACV327640 SZ327640 JD327640 C327640 WVP262104 WLT262104 WBX262104 VSB262104 VIF262104 UYJ262104 UON262104 UER262104 TUV262104 TKZ262104 TBD262104 SRH262104 SHL262104 RXP262104 RNT262104 RDX262104 QUB262104 QKF262104 QAJ262104 PQN262104 PGR262104 OWV262104 OMZ262104 ODD262104 NTH262104 NJL262104 MZP262104 MPT262104 MFX262104 LWB262104 LMF262104 LCJ262104 KSN262104 KIR262104 JYV262104 JOZ262104 JFD262104 IVH262104 ILL262104 IBP262104 HRT262104 HHX262104 GYB262104 GOF262104 GEJ262104 FUN262104 FKR262104 FAV262104 EQZ262104 EHD262104 DXH262104 DNL262104 DDP262104 CTT262104 CJX262104 CAB262104 BQF262104 BGJ262104 AWN262104 AMR262104 ACV262104 SZ262104 JD262104 C262104 WVP196568 WLT196568 WBX196568 VSB196568 VIF196568 UYJ196568 UON196568 UER196568 TUV196568 TKZ196568 TBD196568 SRH196568 SHL196568 RXP196568 RNT196568 RDX196568 QUB196568 QKF196568 QAJ196568 PQN196568 PGR196568 OWV196568 OMZ196568 ODD196568 NTH196568 NJL196568 MZP196568 MPT196568 MFX196568 LWB196568 LMF196568 LCJ196568 KSN196568 KIR196568 JYV196568 JOZ196568 JFD196568 IVH196568 ILL196568 IBP196568 HRT196568 HHX196568 GYB196568 GOF196568 GEJ196568 FUN196568 FKR196568 FAV196568 EQZ196568 EHD196568 DXH196568 DNL196568 DDP196568 CTT196568 CJX196568 CAB196568 BQF196568 BGJ196568 AWN196568 AMR196568 ACV196568 SZ196568 JD196568 C196568 WVP131032 WLT131032 WBX131032 VSB131032 VIF131032 UYJ131032 UON131032 UER131032 TUV131032 TKZ131032 TBD131032 SRH131032 SHL131032 RXP131032 RNT131032 RDX131032 QUB131032 QKF131032 QAJ131032 PQN131032 PGR131032 OWV131032 OMZ131032 ODD131032 NTH131032 NJL131032 MZP131032 MPT131032 MFX131032 LWB131032 LMF131032 LCJ131032 KSN131032 KIR131032 JYV131032 JOZ131032 JFD131032 IVH131032 ILL131032 IBP131032 HRT131032 HHX131032 GYB131032 GOF131032 GEJ131032 FUN131032 FKR131032 FAV131032 EQZ131032 EHD131032 DXH131032 DNL131032 DDP131032 CTT131032 CJX131032 CAB131032 BQF131032 BGJ131032 AWN131032 AMR131032 ACV131032 SZ131032 JD131032 C131032 WVP65496 WLT65496 WBX65496 VSB65496 VIF65496 UYJ65496 UON65496 UER65496 TUV65496 TKZ65496 TBD65496 SRH65496 SHL65496 RXP65496 RNT65496 RDX65496 QUB65496 QKF65496 QAJ65496 PQN65496 PGR65496 OWV65496 OMZ65496 ODD65496 NTH65496 NJL65496 MZP65496 MPT65496 MFX65496 LWB65496 LMF65496 LCJ65496 KSN65496 KIR65496 JYV65496 JOZ65496 JFD65496 IVH65496 ILL65496 IBP65496 HRT65496 HHX65496 GYB65496 GOF65496 GEJ65496 FUN65496 FKR65496 FAV65496 EQZ65496 EHD65496 DXH65496 DNL65496 DDP65496 CTT65496 CJX65496 CAB65496 BQF65496 BGJ65496 AWN65496 AMR65496 ACV65496 SZ65496 JD65496 C65496 XDJ1048535 WTN1048535 WJR1048535 VZV1048535 VPZ1048535 VGD1048535 UWH1048535 UML1048535 UCP1048535 TST1048535 TIX1048535 SZB1048535 SPF1048535 SFJ1048535 RVN1048535 RLR1048535 RBV1048535 QRZ1048535 QID1048535 PYH1048535 POL1048535 PEP1048535 OUT1048535 OKX1048535 OBB1048535 NRF1048535 NHJ1048535 MXN1048535 MNR1048535 MDV1048535 LTZ1048535 LKD1048535 LAH1048535 KQL1048535 KGP1048535 JWT1048535 JMX1048535 JDB1048535 ITF1048535 IJJ1048535 HZN1048535 HPR1048535 HFV1048535 GVZ1048535 GMD1048535 GCH1048535 FSL1048535 FIP1048535 EYT1048535 EOX1048535 EFB1048535 DVF1048535 DLJ1048535 DBN1048535 CRR1048535 CHV1048535 BXZ1048535 BOD1048535 BEH1048535 AUL1048535 AKP1048535 AAT1048535 QX1048535 HB1048535 XDJ982999 WTN982999 WJR982999 VZV982999 VPZ982999 VGD982999 UWH982999 UML982999 UCP982999 TST982999 TIX982999 SZB982999 SPF982999 SFJ982999 RVN982999 RLR982999 RBV982999 QRZ982999 QID982999 PYH982999 POL982999 PEP982999 OUT982999 OKX982999 OBB982999 NRF982999 NHJ982999 MXN982999 MNR982999 MDV982999 LTZ982999 LKD982999 LAH982999 KQL982999 KGP982999 JWT982999 JMX982999 JDB982999 ITF982999 IJJ982999 HZN982999 HPR982999 HFV982999 GVZ982999 GMD982999 GCH982999 FSL982999 FIP982999 EYT982999 EOX982999 EFB982999 DVF982999 DLJ982999 DBN982999 CRR982999 CHV982999 BXZ982999 BOD982999 BEH982999 AUL982999 AKP982999 AAT982999 QX982999 HB982999 XDJ917463 WTN917463 WJR917463 VZV917463 VPZ917463 VGD917463 UWH917463 UML917463 UCP917463 TST917463 TIX917463 SZB917463 SPF917463 SFJ917463 RVN917463 RLR917463 RBV917463 QRZ917463 QID917463 PYH917463 POL917463 PEP917463 OUT917463 OKX917463 OBB917463 NRF917463 NHJ917463 MXN917463 MNR917463 MDV917463 LTZ917463 LKD917463 LAH917463 KQL917463 KGP917463 JWT917463 JMX917463 JDB917463 ITF917463 IJJ917463 HZN917463 HPR917463 HFV917463 GVZ917463 GMD917463 GCH917463 FSL917463 FIP917463 EYT917463 EOX917463 EFB917463 DVF917463 DLJ917463 DBN917463 CRR917463 CHV917463 BXZ917463 BOD917463 BEH917463 AUL917463 AKP917463 AAT917463 QX917463 HB917463 XDJ851927 WTN851927 WJR851927 VZV851927 VPZ851927 VGD851927 UWH851927 UML851927 UCP851927 TST851927 TIX851927 SZB851927 SPF851927 SFJ851927 RVN851927 RLR851927 RBV851927 QRZ851927 QID851927 PYH851927 POL851927 PEP851927 OUT851927 OKX851927 OBB851927 NRF851927 NHJ851927 MXN851927 MNR851927 MDV851927 LTZ851927 LKD851927 LAH851927 KQL851927 KGP851927 JWT851927 JMX851927 JDB851927 ITF851927 IJJ851927 HZN851927 HPR851927 HFV851927 GVZ851927 GMD851927 GCH851927 FSL851927 FIP851927 EYT851927 EOX851927 EFB851927 DVF851927 DLJ851927 DBN851927 CRR851927 CHV851927 BXZ851927 BOD851927 BEH851927 AUL851927 AKP851927 AAT851927 QX851927 HB851927 XDJ786391 WTN786391 WJR786391 VZV786391 VPZ786391 VGD786391 UWH786391 UML786391 UCP786391 TST786391 TIX786391 SZB786391 SPF786391 SFJ786391 RVN786391 RLR786391 RBV786391 QRZ786391 QID786391 PYH786391 POL786391 PEP786391 OUT786391 OKX786391 OBB786391 NRF786391 NHJ786391 MXN786391 MNR786391 MDV786391 LTZ786391 LKD786391 LAH786391 KQL786391 KGP786391 JWT786391 JMX786391 JDB786391 ITF786391 IJJ786391 HZN786391 HPR786391 HFV786391 GVZ786391 GMD786391 GCH786391 FSL786391 FIP786391 EYT786391 EOX786391 EFB786391 DVF786391 DLJ786391 DBN786391 CRR786391 CHV786391 BXZ786391 BOD786391 BEH786391 AUL786391 AKP786391 AAT786391 QX786391 HB786391 XDJ720855 WTN720855 WJR720855 VZV720855 VPZ720855 VGD720855 UWH720855 UML720855 UCP720855 TST720855 TIX720855 SZB720855 SPF720855 SFJ720855 RVN720855 RLR720855 RBV720855 QRZ720855 QID720855 PYH720855 POL720855 PEP720855 OUT720855 OKX720855 OBB720855 NRF720855 NHJ720855 MXN720855 MNR720855 MDV720855 LTZ720855 LKD720855 LAH720855 KQL720855 KGP720855 JWT720855 JMX720855 JDB720855 ITF720855 IJJ720855 HZN720855 HPR720855 HFV720855 GVZ720855 GMD720855 GCH720855 FSL720855 FIP720855 EYT720855 EOX720855 EFB720855 DVF720855 DLJ720855 DBN720855 CRR720855 CHV720855 BXZ720855 BOD720855 BEH720855 AUL720855 AKP720855 AAT720855 QX720855 HB720855 XDJ655319 WTN655319 WJR655319 VZV655319 VPZ655319 VGD655319 UWH655319 UML655319 UCP655319 TST655319 TIX655319 SZB655319 SPF655319 SFJ655319 RVN655319 RLR655319 RBV655319 QRZ655319 QID655319 PYH655319 POL655319 PEP655319 OUT655319 OKX655319 OBB655319 NRF655319 NHJ655319 MXN655319 MNR655319 MDV655319 LTZ655319 LKD655319 LAH655319 KQL655319 KGP655319 JWT655319 JMX655319 JDB655319 ITF655319 IJJ655319 HZN655319 HPR655319 HFV655319 GVZ655319 GMD655319 GCH655319 FSL655319 FIP655319 EYT655319 EOX655319 EFB655319 DVF655319 DLJ655319 DBN655319 CRR655319 CHV655319 BXZ655319 BOD655319 BEH655319 AUL655319 AKP655319 AAT655319 QX655319 HB655319 XDJ589783 WTN589783 WJR589783 VZV589783 VPZ589783 VGD589783 UWH589783 UML589783 UCP589783 TST589783 TIX589783 SZB589783 SPF589783 SFJ589783 RVN589783 RLR589783 RBV589783 QRZ589783 QID589783 PYH589783 POL589783 PEP589783 OUT589783 OKX589783 OBB589783 NRF589783 NHJ589783 MXN589783 MNR589783 MDV589783 LTZ589783 LKD589783 LAH589783 KQL589783 KGP589783 JWT589783 JMX589783 JDB589783 ITF589783 IJJ589783 HZN589783 HPR589783 HFV589783 GVZ589783 GMD589783 GCH589783 FSL589783 FIP589783 EYT589783 EOX589783 EFB589783 DVF589783 DLJ589783 DBN589783 CRR589783 CHV589783 BXZ589783 BOD589783 BEH589783 AUL589783 AKP589783 AAT589783 QX589783 HB589783 XDJ524247 WTN524247 WJR524247 VZV524247 VPZ524247 VGD524247 UWH524247 UML524247 UCP524247 TST524247 TIX524247 SZB524247 SPF524247 SFJ524247 RVN524247 RLR524247 RBV524247 QRZ524247 QID524247 PYH524247 POL524247 PEP524247 OUT524247 OKX524247 OBB524247 NRF524247 NHJ524247 MXN524247 MNR524247 MDV524247 LTZ524247 LKD524247 LAH524247 KQL524247 KGP524247 JWT524247 JMX524247 JDB524247 ITF524247 IJJ524247 HZN524247 HPR524247 HFV524247 GVZ524247 GMD524247 GCH524247 FSL524247 FIP524247 EYT524247 EOX524247 EFB524247 DVF524247 DLJ524247 DBN524247 CRR524247 CHV524247 BXZ524247 BOD524247 BEH524247 AUL524247 AKP524247 AAT524247 QX524247 HB524247 XDJ458711 WTN458711 WJR458711 VZV458711 VPZ458711 VGD458711 UWH458711 UML458711 UCP458711 TST458711 TIX458711 SZB458711 SPF458711 SFJ458711 RVN458711 RLR458711 RBV458711 QRZ458711 QID458711 PYH458711 POL458711 PEP458711 OUT458711 OKX458711 OBB458711 NRF458711 NHJ458711 MXN458711 MNR458711 MDV458711 LTZ458711 LKD458711 LAH458711 KQL458711 KGP458711 JWT458711 JMX458711 JDB458711 ITF458711 IJJ458711 HZN458711 HPR458711 HFV458711 GVZ458711 GMD458711 GCH458711 FSL458711 FIP458711 EYT458711 EOX458711 EFB458711 DVF458711 DLJ458711 DBN458711 CRR458711 CHV458711 BXZ458711 BOD458711 BEH458711 AUL458711 AKP458711 AAT458711 QX458711 HB458711 XDJ393175 WTN393175 WJR393175 VZV393175 VPZ393175 VGD393175 UWH393175 UML393175 UCP393175 TST393175 TIX393175 SZB393175 SPF393175 SFJ393175 RVN393175 RLR393175 RBV393175 QRZ393175 QID393175 PYH393175 POL393175 PEP393175 OUT393175 OKX393175 OBB393175 NRF393175 NHJ393175 MXN393175 MNR393175 MDV393175 LTZ393175 LKD393175 LAH393175 KQL393175 KGP393175 JWT393175 JMX393175 JDB393175 ITF393175 IJJ393175 HZN393175 HPR393175 HFV393175 GVZ393175 GMD393175 GCH393175 FSL393175 FIP393175 EYT393175 EOX393175 EFB393175 DVF393175 DLJ393175 DBN393175 CRR393175 CHV393175 BXZ393175 BOD393175 BEH393175 AUL393175 AKP393175 AAT393175 QX393175 HB393175 XDJ327639 WTN327639 WJR327639 VZV327639 VPZ327639 VGD327639 UWH327639 UML327639 UCP327639 TST327639 TIX327639 SZB327639 SPF327639 SFJ327639 RVN327639 RLR327639 RBV327639 QRZ327639 QID327639 PYH327639 POL327639 PEP327639 OUT327639 OKX327639 OBB327639 NRF327639 NHJ327639 MXN327639 MNR327639 MDV327639 LTZ327639 LKD327639 LAH327639 KQL327639 KGP327639 JWT327639 JMX327639 JDB327639 ITF327639 IJJ327639 HZN327639 HPR327639 HFV327639 GVZ327639 GMD327639 GCH327639 FSL327639 FIP327639 EYT327639 EOX327639 EFB327639 DVF327639 DLJ327639 DBN327639 CRR327639 CHV327639 BXZ327639 BOD327639 BEH327639 AUL327639 AKP327639 AAT327639 QX327639 HB327639 XDJ262103 WTN262103 WJR262103 VZV262103 VPZ262103 VGD262103 UWH262103 UML262103 UCP262103 TST262103 TIX262103 SZB262103 SPF262103 SFJ262103 RVN262103 RLR262103 RBV262103 QRZ262103 QID262103 PYH262103 POL262103 PEP262103 OUT262103 OKX262103 OBB262103 NRF262103 NHJ262103 MXN262103 MNR262103 MDV262103 LTZ262103 LKD262103 LAH262103 KQL262103 KGP262103 JWT262103 JMX262103 JDB262103 ITF262103 IJJ262103 HZN262103 HPR262103 HFV262103 GVZ262103 GMD262103 GCH262103 FSL262103 FIP262103 EYT262103 EOX262103 EFB262103 DVF262103 DLJ262103 DBN262103 CRR262103 CHV262103 BXZ262103 BOD262103 BEH262103 AUL262103 AKP262103 AAT262103 QX262103 HB262103 XDJ196567 WTN196567 WJR196567 VZV196567 VPZ196567 VGD196567 UWH196567 UML196567 UCP196567 TST196567 TIX196567 SZB196567 SPF196567 SFJ196567 RVN196567 RLR196567 RBV196567 QRZ196567 QID196567 PYH196567 POL196567 PEP196567 OUT196567 OKX196567 OBB196567 NRF196567 NHJ196567 MXN196567 MNR196567 MDV196567 LTZ196567 LKD196567 LAH196567 KQL196567 KGP196567 JWT196567 JMX196567 JDB196567 ITF196567 IJJ196567 HZN196567 HPR196567 HFV196567 GVZ196567 GMD196567 GCH196567 FSL196567 FIP196567 EYT196567 EOX196567 EFB196567 DVF196567 DLJ196567 DBN196567 CRR196567 CHV196567 BXZ196567 BOD196567 BEH196567 AUL196567 AKP196567 AAT196567 QX196567 HB196567 XDJ131031 WTN131031 WJR131031 VZV131031 VPZ131031 VGD131031 UWH131031 UML131031 UCP131031 TST131031 TIX131031 SZB131031 SPF131031 SFJ131031 RVN131031 RLR131031 RBV131031 QRZ131031 QID131031 PYH131031 POL131031 PEP131031 OUT131031 OKX131031 OBB131031 NRF131031 NHJ131031 MXN131031 MNR131031 MDV131031 LTZ131031 LKD131031 LAH131031 KQL131031 KGP131031 JWT131031 JMX131031 JDB131031 ITF131031 IJJ131031 HZN131031 HPR131031 HFV131031 GVZ131031 GMD131031 GCH131031 FSL131031 FIP131031 EYT131031 EOX131031 EFB131031 DVF131031 DLJ131031 DBN131031 CRR131031 CHV131031 BXZ131031 BOD131031 BEH131031 AUL131031 AKP131031 AAT131031 QX131031 HB131031 XDJ65495 WTN65495 WJR65495 VZV65495 VPZ65495 VGD65495 UWH65495 UML65495 UCP65495 TST65495 TIX65495 SZB65495 SPF65495 SFJ65495 RVN65495 RLR65495 RBV65495 QRZ65495 QID65495 PYH65495 POL65495 PEP65495 OUT65495 OKX65495 OBB65495 NRF65495 NHJ65495 MXN65495 MNR65495 MDV65495 LTZ65495 LKD65495 LAH65495 KQL65495 KGP65495 JWT65495 JMX65495 JDB65495 ITF65495 IJJ65495 HZN65495 HPR65495 HFV65495 GVZ65495 GMD65495 GCH65495 FSL65495 FIP65495 EYT65495 EOX65495 EFB65495 DVF65495 DLJ65495 DBN65495 CRR65495 CHV65495 BXZ65495 BOD65495 BEH65495 AUL65495 AKP65495 AAT65495 QX65495 HB65495 WVP983050 WLT983050 WBX983050 VSB983050 VIF983050 UYJ983050 UON983050 UER983050 TUV983050 TKZ983050 TBD983050 SRH983050 SHL983050 RXP983050 RNT983050 RDX983050 QUB983050 QKF983050 QAJ983050 PQN983050 PGR983050 OWV983050 OMZ983050 ODD983050 NTH983050 NJL983050 MZP983050 MPT983050 MFX983050 LWB983050 LMF983050 LCJ983050 KSN983050 KIR983050 JYV983050 JOZ983050 JFD983050 IVH983050 ILL983050 IBP983050 HRT983050 HHX983050 GYB983050 GOF983050 GEJ983050 FUN983050 FKR983050 FAV983050 EQZ983050 EHD983050 DXH983050 DNL983050 DDP983050 CTT983050 CJX983050 CAB983050 BQF983050 BGJ983050 AWN983050 AMR983050 ACV983050 SZ983050 JD983050 C983050 WVP917514 WLT917514 WBX917514 VSB917514 VIF917514 UYJ917514 UON917514 UER917514 TUV917514 TKZ917514 TBD917514 SRH917514 SHL917514 RXP917514 RNT917514 RDX917514 QUB917514 QKF917514 QAJ917514 PQN917514 PGR917514 OWV917514 OMZ917514 ODD917514 NTH917514 NJL917514 MZP917514 MPT917514 MFX917514 LWB917514 LMF917514 LCJ917514 KSN917514 KIR917514 JYV917514 JOZ917514 JFD917514 IVH917514 ILL917514 IBP917514 HRT917514 HHX917514 GYB917514 GOF917514 GEJ917514 FUN917514 FKR917514 FAV917514 EQZ917514 EHD917514 DXH917514 DNL917514 DDP917514 CTT917514 CJX917514 CAB917514 BQF917514 BGJ917514 AWN917514 AMR917514 ACV917514 SZ917514 JD917514 C917514 WVP851978 WLT851978 WBX851978 VSB851978 VIF851978 UYJ851978 UON851978 UER851978 TUV851978 TKZ851978 TBD851978 SRH851978 SHL851978 RXP851978 RNT851978 RDX851978 QUB851978 QKF851978 QAJ851978 PQN851978 PGR851978 OWV851978 OMZ851978 ODD851978 NTH851978 NJL851978 MZP851978 MPT851978 MFX851978 LWB851978 LMF851978 LCJ851978 KSN851978 KIR851978 JYV851978 JOZ851978 JFD851978 IVH851978 ILL851978 IBP851978 HRT851978 HHX851978 GYB851978 GOF851978 GEJ851978 FUN851978 FKR851978 FAV851978 EQZ851978 EHD851978 DXH851978 DNL851978 DDP851978 CTT851978 CJX851978 CAB851978 BQF851978 BGJ851978 AWN851978 AMR851978 ACV851978 SZ851978 JD851978 C851978 WVP786442 WLT786442 WBX786442 VSB786442 VIF786442 UYJ786442 UON786442 UER786442 TUV786442 TKZ786442 TBD786442 SRH786442 SHL786442 RXP786442 RNT786442 RDX786442 QUB786442 QKF786442 QAJ786442 PQN786442 PGR786442 OWV786442 OMZ786442 ODD786442 NTH786442 NJL786442 MZP786442 MPT786442 MFX786442 LWB786442 LMF786442 LCJ786442 KSN786442 KIR786442 JYV786442 JOZ786442 JFD786442 IVH786442 ILL786442 IBP786442 HRT786442 HHX786442 GYB786442 GOF786442 GEJ786442 FUN786442 FKR786442 FAV786442 EQZ786442 EHD786442 DXH786442 DNL786442 DDP786442 CTT786442 CJX786442 CAB786442 BQF786442 BGJ786442 AWN786442 AMR786442 ACV786442 SZ786442 JD786442 C786442 WVP720906 WLT720906 WBX720906 VSB720906 VIF720906 UYJ720906 UON720906 UER720906 TUV720906 TKZ720906 TBD720906 SRH720906 SHL720906 RXP720906 RNT720906 RDX720906 QUB720906 QKF720906 QAJ720906 PQN720906 PGR720906 OWV720906 OMZ720906 ODD720906 NTH720906 NJL720906 MZP720906 MPT720906 MFX720906 LWB720906 LMF720906 LCJ720906 KSN720906 KIR720906 JYV720906 JOZ720906 JFD720906 IVH720906 ILL720906 IBP720906 HRT720906 HHX720906 GYB720906 GOF720906 GEJ720906 FUN720906 FKR720906 FAV720906 EQZ720906 EHD720906 DXH720906 DNL720906 DDP720906 CTT720906 CJX720906 CAB720906 BQF720906 BGJ720906 AWN720906 AMR720906 ACV720906 SZ720906 JD720906 C720906 WVP655370 WLT655370 WBX655370 VSB655370 VIF655370 UYJ655370 UON655370 UER655370 TUV655370 TKZ655370 TBD655370 SRH655370 SHL655370 RXP655370 RNT655370 RDX655370 QUB655370 QKF655370 QAJ655370 PQN655370 PGR655370 OWV655370 OMZ655370 ODD655370 NTH655370 NJL655370 MZP655370 MPT655370 MFX655370 LWB655370 LMF655370 LCJ655370 KSN655370 KIR655370 JYV655370 JOZ655370 JFD655370 IVH655370 ILL655370 IBP655370 HRT655370 HHX655370 GYB655370 GOF655370 GEJ655370 FUN655370 FKR655370 FAV655370 EQZ655370 EHD655370 DXH655370 DNL655370 DDP655370 CTT655370 CJX655370 CAB655370 BQF655370 BGJ655370 AWN655370 AMR655370 ACV655370 SZ655370 JD655370 C655370 WVP589834 WLT589834 WBX589834 VSB589834 VIF589834 UYJ589834 UON589834 UER589834 TUV589834 TKZ589834 TBD589834 SRH589834 SHL589834 RXP589834 RNT589834 RDX589834 QUB589834 QKF589834 QAJ589834 PQN589834 PGR589834 OWV589834 OMZ589834 ODD589834 NTH589834 NJL589834 MZP589834 MPT589834 MFX589834 LWB589834 LMF589834 LCJ589834 KSN589834 KIR589834 JYV589834 JOZ589834 JFD589834 IVH589834 ILL589834 IBP589834 HRT589834 HHX589834 GYB589834 GOF589834 GEJ589834 FUN589834 FKR589834 FAV589834 EQZ589834 EHD589834 DXH589834 DNL589834 DDP589834 CTT589834 CJX589834 CAB589834 BQF589834 BGJ589834 AWN589834 AMR589834 ACV589834 SZ589834 JD589834 C589834 WVP524298 WLT524298 WBX524298 VSB524298 VIF524298 UYJ524298 UON524298 UER524298 TUV524298 TKZ524298 TBD524298 SRH524298 SHL524298 RXP524298 RNT524298 RDX524298 QUB524298 QKF524298 QAJ524298 PQN524298 PGR524298 OWV524298 OMZ524298 ODD524298 NTH524298 NJL524298 MZP524298 MPT524298 MFX524298 LWB524298 LMF524298 LCJ524298 KSN524298 KIR524298 JYV524298 JOZ524298 JFD524298 IVH524298 ILL524298 IBP524298 HRT524298 HHX524298 GYB524298 GOF524298 GEJ524298 FUN524298 FKR524298 FAV524298 EQZ524298 EHD524298 DXH524298 DNL524298 DDP524298 CTT524298 CJX524298 CAB524298 BQF524298 BGJ524298 AWN524298 AMR524298 ACV524298 SZ524298 JD524298 C524298 WVP458762 WLT458762 WBX458762 VSB458762 VIF458762 UYJ458762 UON458762 UER458762 TUV458762 TKZ458762 TBD458762 SRH458762 SHL458762 RXP458762 RNT458762 RDX458762 QUB458762 QKF458762 QAJ458762 PQN458762 PGR458762 OWV458762 OMZ458762 ODD458762 NTH458762 NJL458762 MZP458762 MPT458762 MFX458762 LWB458762 LMF458762 LCJ458762 KSN458762 KIR458762 JYV458762 JOZ458762 JFD458762 IVH458762 ILL458762 IBP458762 HRT458762 HHX458762 GYB458762 GOF458762 GEJ458762 FUN458762 FKR458762 FAV458762 EQZ458762 EHD458762 DXH458762 DNL458762 DDP458762 CTT458762 CJX458762 CAB458762 BQF458762 BGJ458762 AWN458762 AMR458762 ACV458762 SZ458762 JD458762 C458762 WVP393226 WLT393226 WBX393226 VSB393226 VIF393226 UYJ393226 UON393226 UER393226 TUV393226 TKZ393226 TBD393226 SRH393226 SHL393226 RXP393226 RNT393226 RDX393226 QUB393226 QKF393226 QAJ393226 PQN393226 PGR393226 OWV393226 OMZ393226 ODD393226 NTH393226 NJL393226 MZP393226 MPT393226 MFX393226 LWB393226 LMF393226 LCJ393226 KSN393226 KIR393226 JYV393226 JOZ393226 JFD393226 IVH393226 ILL393226 IBP393226 HRT393226 HHX393226 GYB393226 GOF393226 GEJ393226 FUN393226 FKR393226 FAV393226 EQZ393226 EHD393226 DXH393226 DNL393226 DDP393226 CTT393226 CJX393226 CAB393226 BQF393226 BGJ393226 AWN393226 AMR393226 ACV393226 SZ393226 JD393226 C393226 WVP327690 WLT327690 WBX327690 VSB327690 VIF327690 UYJ327690 UON327690 UER327690 TUV327690 TKZ327690 TBD327690 SRH327690 SHL327690 RXP327690 RNT327690 RDX327690 QUB327690 QKF327690 QAJ327690 PQN327690 PGR327690 OWV327690 OMZ327690 ODD327690 NTH327690 NJL327690 MZP327690 MPT327690 MFX327690 LWB327690 LMF327690 LCJ327690 KSN327690 KIR327690 JYV327690 JOZ327690 JFD327690 IVH327690 ILL327690 IBP327690 HRT327690 HHX327690 GYB327690 GOF327690 GEJ327690 FUN327690 FKR327690 FAV327690 EQZ327690 EHD327690 DXH327690 DNL327690 DDP327690 CTT327690 CJX327690 CAB327690 BQF327690 BGJ327690 AWN327690 AMR327690 ACV327690 SZ327690 JD327690 C327690 WVP262154 WLT262154 WBX262154 VSB262154 VIF262154 UYJ262154 UON262154 UER262154 TUV262154 TKZ262154 TBD262154 SRH262154 SHL262154 RXP262154 RNT262154 RDX262154 QUB262154 QKF262154 QAJ262154 PQN262154 PGR262154 OWV262154 OMZ262154 ODD262154 NTH262154 NJL262154 MZP262154 MPT262154 MFX262154 LWB262154 LMF262154 LCJ262154 KSN262154 KIR262154 JYV262154 JOZ262154 JFD262154 IVH262154 ILL262154 IBP262154 HRT262154 HHX262154 GYB262154 GOF262154 GEJ262154 FUN262154 FKR262154 FAV262154 EQZ262154 EHD262154 DXH262154 DNL262154 DDP262154 CTT262154 CJX262154 CAB262154 BQF262154 BGJ262154 AWN262154 AMR262154 ACV262154 SZ262154 JD262154 C262154 WVP196618 WLT196618 WBX196618 VSB196618 VIF196618 UYJ196618 UON196618 UER196618 TUV196618 TKZ196618 TBD196618 SRH196618 SHL196618 RXP196618 RNT196618 RDX196618 QUB196618 QKF196618 QAJ196618 PQN196618 PGR196618 OWV196618 OMZ196618 ODD196618 NTH196618 NJL196618 MZP196618 MPT196618 MFX196618 LWB196618 LMF196618 LCJ196618 KSN196618 KIR196618 JYV196618 JOZ196618 JFD196618 IVH196618 ILL196618 IBP196618 HRT196618 HHX196618 GYB196618 GOF196618 GEJ196618 FUN196618 FKR196618 FAV196618 EQZ196618 EHD196618 DXH196618 DNL196618 DDP196618 CTT196618 CJX196618 CAB196618 BQF196618 BGJ196618 AWN196618 AMR196618 ACV196618 SZ196618 JD196618 C196618 WVP131082 WLT131082 WBX131082 VSB131082 VIF131082 UYJ131082 UON131082 UER131082 TUV131082 TKZ131082 TBD131082 SRH131082 SHL131082 RXP131082 RNT131082 RDX131082 QUB131082 QKF131082 QAJ131082 PQN131082 PGR131082 OWV131082 OMZ131082 ODD131082 NTH131082 NJL131082 MZP131082 MPT131082 MFX131082 LWB131082 LMF131082 LCJ131082 KSN131082 KIR131082 JYV131082 JOZ131082 JFD131082 IVH131082 ILL131082 IBP131082 HRT131082 HHX131082 GYB131082 GOF131082 GEJ131082 FUN131082 FKR131082 FAV131082 EQZ131082 EHD131082 DXH131082 DNL131082 DDP131082 CTT131082 CJX131082 CAB131082 BQF131082 BGJ131082 AWN131082 AMR131082 ACV131082 SZ131082 JD131082 C131082 WVP65546 WLT65546 WBX65546 VSB65546 VIF65546 UYJ65546 UON65546 UER65546 TUV65546 TKZ65546 TBD65546 SRH65546 SHL65546 RXP65546 RNT65546 RDX65546 QUB65546 QKF65546 QAJ65546 PQN65546 PGR65546 OWV65546 OMZ65546 ODD65546 NTH65546 NJL65546 MZP65546 MPT65546 MFX65546 LWB65546 LMF65546 LCJ65546 KSN65546 KIR65546 JYV65546 JOZ65546 JFD65546 IVH65546 ILL65546 IBP65546 HRT65546 HHX65546 GYB65546 GOF65546 GEJ65546 FUN65546 FKR65546 FAV65546 EQZ65546 EHD65546 DXH65546 DNL65546 DDP65546 CTT65546 CJX65546 CAB65546 BQF65546 BGJ65546 AWN65546 AMR65546 ACV65546 SZ65546 JD65546 C65546 WVP10 WLT10 WBX10 VSB10 VIF10 UYJ10 UON10 UER10 TUV10 TKZ10 TBD10 SRH10 SHL10 RXP10 RNT10 RDX10 QUB10 QKF10 QAJ10 PQN10 PGR10 OWV10 OMZ10 ODD10 NTH10 NJL10 MZP10 MPT10 MFX10 LWB10 LMF10 LCJ10 KSN10 KIR10 JYV10 JOZ10 JFD10 IVH10 ILL10 IBP10 HRT10 HHX10 GYB10 GOF10 GEJ10 FUN10 FKR10 FAV10 EQZ10 EHD10 DXH10 DNL10 DDP10 CTT10 CJX10 CAB10 BQF10 BGJ10 AWN10 AMR10 ACV10 SZ10 JD10" xr:uid="{EC71724F-89B0-4579-9997-06C231DC47E8}">
      <formula1>$AH$5:$AH$12</formula1>
    </dataValidation>
  </dataValidations>
  <hyperlinks>
    <hyperlink ref="A4" r:id="rId1" xr:uid="{574B5732-6BE9-4EB5-81DF-B8E093117E0C}"/>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B1111473-22F4-424C-B071-2F9AAAA9A973}">
          <x14:formula1>
            <xm:f>$AJ$1:$AJ$26</xm:f>
          </x14:formula1>
          <xm:sqref>B36 WVO983070 WLS983070 WBW983070 VSA983070 VIE983070 UYI983070 UOM983070 UEQ983070 TUU983070 TKY983070 TBC983070 SRG983070 SHK983070 RXO983070 RNS983070 RDW983070 QUA983070 QKE983070 QAI983070 PQM983070 PGQ983070 OWU983070 OMY983070 ODC983070 NTG983070 NJK983070 MZO983070 MPS983070 MFW983070 LWA983070 LME983070 LCI983070 KSM983070 KIQ983070 JYU983070 JOY983070 JFC983070 IVG983070 ILK983070 IBO983070 HRS983070 HHW983070 GYA983070 GOE983070 GEI983070 FUM983070 FKQ983070 FAU983070 EQY983070 EHC983070 DXG983070 DNK983070 DDO983070 CTS983070 CJW983070 CAA983070 BQE983070 BGI983070 AWM983070 AMQ983070 ACU983070 SY983070 JC983070 B983070 WVO917534 WLS917534 WBW917534 VSA917534 VIE917534 UYI917534 UOM917534 UEQ917534 TUU917534 TKY917534 TBC917534 SRG917534 SHK917534 RXO917534 RNS917534 RDW917534 QUA917534 QKE917534 QAI917534 PQM917534 PGQ917534 OWU917534 OMY917534 ODC917534 NTG917534 NJK917534 MZO917534 MPS917534 MFW917534 LWA917534 LME917534 LCI917534 KSM917534 KIQ917534 JYU917534 JOY917534 JFC917534 IVG917534 ILK917534 IBO917534 HRS917534 HHW917534 GYA917534 GOE917534 GEI917534 FUM917534 FKQ917534 FAU917534 EQY917534 EHC917534 DXG917534 DNK917534 DDO917534 CTS917534 CJW917534 CAA917534 BQE917534 BGI917534 AWM917534 AMQ917534 ACU917534 SY917534 JC917534 B917534 WVO851998 WLS851998 WBW851998 VSA851998 VIE851998 UYI851998 UOM851998 UEQ851998 TUU851998 TKY851998 TBC851998 SRG851998 SHK851998 RXO851998 RNS851998 RDW851998 QUA851998 QKE851998 QAI851998 PQM851998 PGQ851998 OWU851998 OMY851998 ODC851998 NTG851998 NJK851998 MZO851998 MPS851998 MFW851998 LWA851998 LME851998 LCI851998 KSM851998 KIQ851998 JYU851998 JOY851998 JFC851998 IVG851998 ILK851998 IBO851998 HRS851998 HHW851998 GYA851998 GOE851998 GEI851998 FUM851998 FKQ851998 FAU851998 EQY851998 EHC851998 DXG851998 DNK851998 DDO851998 CTS851998 CJW851998 CAA851998 BQE851998 BGI851998 AWM851998 AMQ851998 ACU851998 SY851998 JC851998 B851998 WVO786462 WLS786462 WBW786462 VSA786462 VIE786462 UYI786462 UOM786462 UEQ786462 TUU786462 TKY786462 TBC786462 SRG786462 SHK786462 RXO786462 RNS786462 RDW786462 QUA786462 QKE786462 QAI786462 PQM786462 PGQ786462 OWU786462 OMY786462 ODC786462 NTG786462 NJK786462 MZO786462 MPS786462 MFW786462 LWA786462 LME786462 LCI786462 KSM786462 KIQ786462 JYU786462 JOY786462 JFC786462 IVG786462 ILK786462 IBO786462 HRS786462 HHW786462 GYA786462 GOE786462 GEI786462 FUM786462 FKQ786462 FAU786462 EQY786462 EHC786462 DXG786462 DNK786462 DDO786462 CTS786462 CJW786462 CAA786462 BQE786462 BGI786462 AWM786462 AMQ786462 ACU786462 SY786462 JC786462 B786462 WVO720926 WLS720926 WBW720926 VSA720926 VIE720926 UYI720926 UOM720926 UEQ720926 TUU720926 TKY720926 TBC720926 SRG720926 SHK720926 RXO720926 RNS720926 RDW720926 QUA720926 QKE720926 QAI720926 PQM720926 PGQ720926 OWU720926 OMY720926 ODC720926 NTG720926 NJK720926 MZO720926 MPS720926 MFW720926 LWA720926 LME720926 LCI720926 KSM720926 KIQ720926 JYU720926 JOY720926 JFC720926 IVG720926 ILK720926 IBO720926 HRS720926 HHW720926 GYA720926 GOE720926 GEI720926 FUM720926 FKQ720926 FAU720926 EQY720926 EHC720926 DXG720926 DNK720926 DDO720926 CTS720926 CJW720926 CAA720926 BQE720926 BGI720926 AWM720926 AMQ720926 ACU720926 SY720926 JC720926 B720926 WVO655390 WLS655390 WBW655390 VSA655390 VIE655390 UYI655390 UOM655390 UEQ655390 TUU655390 TKY655390 TBC655390 SRG655390 SHK655390 RXO655390 RNS655390 RDW655390 QUA655390 QKE655390 QAI655390 PQM655390 PGQ655390 OWU655390 OMY655390 ODC655390 NTG655390 NJK655390 MZO655390 MPS655390 MFW655390 LWA655390 LME655390 LCI655390 KSM655390 KIQ655390 JYU655390 JOY655390 JFC655390 IVG655390 ILK655390 IBO655390 HRS655390 HHW655390 GYA655390 GOE655390 GEI655390 FUM655390 FKQ655390 FAU655390 EQY655390 EHC655390 DXG655390 DNK655390 DDO655390 CTS655390 CJW655390 CAA655390 BQE655390 BGI655390 AWM655390 AMQ655390 ACU655390 SY655390 JC655390 B655390 WVO589854 WLS589854 WBW589854 VSA589854 VIE589854 UYI589854 UOM589854 UEQ589854 TUU589854 TKY589854 TBC589854 SRG589854 SHK589854 RXO589854 RNS589854 RDW589854 QUA589854 QKE589854 QAI589854 PQM589854 PGQ589854 OWU589854 OMY589854 ODC589854 NTG589854 NJK589854 MZO589854 MPS589854 MFW589854 LWA589854 LME589854 LCI589854 KSM589854 KIQ589854 JYU589854 JOY589854 JFC589854 IVG589854 ILK589854 IBO589854 HRS589854 HHW589854 GYA589854 GOE589854 GEI589854 FUM589854 FKQ589854 FAU589854 EQY589854 EHC589854 DXG589854 DNK589854 DDO589854 CTS589854 CJW589854 CAA589854 BQE589854 BGI589854 AWM589854 AMQ589854 ACU589854 SY589854 JC589854 B589854 WVO524318 WLS524318 WBW524318 VSA524318 VIE524318 UYI524318 UOM524318 UEQ524318 TUU524318 TKY524318 TBC524318 SRG524318 SHK524318 RXO524318 RNS524318 RDW524318 QUA524318 QKE524318 QAI524318 PQM524318 PGQ524318 OWU524318 OMY524318 ODC524318 NTG524318 NJK524318 MZO524318 MPS524318 MFW524318 LWA524318 LME524318 LCI524318 KSM524318 KIQ524318 JYU524318 JOY524318 JFC524318 IVG524318 ILK524318 IBO524318 HRS524318 HHW524318 GYA524318 GOE524318 GEI524318 FUM524318 FKQ524318 FAU524318 EQY524318 EHC524318 DXG524318 DNK524318 DDO524318 CTS524318 CJW524318 CAA524318 BQE524318 BGI524318 AWM524318 AMQ524318 ACU524318 SY524318 JC524318 B524318 WVO458782 WLS458782 WBW458782 VSA458782 VIE458782 UYI458782 UOM458782 UEQ458782 TUU458782 TKY458782 TBC458782 SRG458782 SHK458782 RXO458782 RNS458782 RDW458782 QUA458782 QKE458782 QAI458782 PQM458782 PGQ458782 OWU458782 OMY458782 ODC458782 NTG458782 NJK458782 MZO458782 MPS458782 MFW458782 LWA458782 LME458782 LCI458782 KSM458782 KIQ458782 JYU458782 JOY458782 JFC458782 IVG458782 ILK458782 IBO458782 HRS458782 HHW458782 GYA458782 GOE458782 GEI458782 FUM458782 FKQ458782 FAU458782 EQY458782 EHC458782 DXG458782 DNK458782 DDO458782 CTS458782 CJW458782 CAA458782 BQE458782 BGI458782 AWM458782 AMQ458782 ACU458782 SY458782 JC458782 B458782 WVO393246 WLS393246 WBW393246 VSA393246 VIE393246 UYI393246 UOM393246 UEQ393246 TUU393246 TKY393246 TBC393246 SRG393246 SHK393246 RXO393246 RNS393246 RDW393246 QUA393246 QKE393246 QAI393246 PQM393246 PGQ393246 OWU393246 OMY393246 ODC393246 NTG393246 NJK393246 MZO393246 MPS393246 MFW393246 LWA393246 LME393246 LCI393246 KSM393246 KIQ393246 JYU393246 JOY393246 JFC393246 IVG393246 ILK393246 IBO393246 HRS393246 HHW393246 GYA393246 GOE393246 GEI393246 FUM393246 FKQ393246 FAU393246 EQY393246 EHC393246 DXG393246 DNK393246 DDO393246 CTS393246 CJW393246 CAA393246 BQE393246 BGI393246 AWM393246 AMQ393246 ACU393246 SY393246 JC393246 B393246 WVO327710 WLS327710 WBW327710 VSA327710 VIE327710 UYI327710 UOM327710 UEQ327710 TUU327710 TKY327710 TBC327710 SRG327710 SHK327710 RXO327710 RNS327710 RDW327710 QUA327710 QKE327710 QAI327710 PQM327710 PGQ327710 OWU327710 OMY327710 ODC327710 NTG327710 NJK327710 MZO327710 MPS327710 MFW327710 LWA327710 LME327710 LCI327710 KSM327710 KIQ327710 JYU327710 JOY327710 JFC327710 IVG327710 ILK327710 IBO327710 HRS327710 HHW327710 GYA327710 GOE327710 GEI327710 FUM327710 FKQ327710 FAU327710 EQY327710 EHC327710 DXG327710 DNK327710 DDO327710 CTS327710 CJW327710 CAA327710 BQE327710 BGI327710 AWM327710 AMQ327710 ACU327710 SY327710 JC327710 B327710 WVO262174 WLS262174 WBW262174 VSA262174 VIE262174 UYI262174 UOM262174 UEQ262174 TUU262174 TKY262174 TBC262174 SRG262174 SHK262174 RXO262174 RNS262174 RDW262174 QUA262174 QKE262174 QAI262174 PQM262174 PGQ262174 OWU262174 OMY262174 ODC262174 NTG262174 NJK262174 MZO262174 MPS262174 MFW262174 LWA262174 LME262174 LCI262174 KSM262174 KIQ262174 JYU262174 JOY262174 JFC262174 IVG262174 ILK262174 IBO262174 HRS262174 HHW262174 GYA262174 GOE262174 GEI262174 FUM262174 FKQ262174 FAU262174 EQY262174 EHC262174 DXG262174 DNK262174 DDO262174 CTS262174 CJW262174 CAA262174 BQE262174 BGI262174 AWM262174 AMQ262174 ACU262174 SY262174 JC262174 B262174 WVO196638 WLS196638 WBW196638 VSA196638 VIE196638 UYI196638 UOM196638 UEQ196638 TUU196638 TKY196638 TBC196638 SRG196638 SHK196638 RXO196638 RNS196638 RDW196638 QUA196638 QKE196638 QAI196638 PQM196638 PGQ196638 OWU196638 OMY196638 ODC196638 NTG196638 NJK196638 MZO196638 MPS196638 MFW196638 LWA196638 LME196638 LCI196638 KSM196638 KIQ196638 JYU196638 JOY196638 JFC196638 IVG196638 ILK196638 IBO196638 HRS196638 HHW196638 GYA196638 GOE196638 GEI196638 FUM196638 FKQ196638 FAU196638 EQY196638 EHC196638 DXG196638 DNK196638 DDO196638 CTS196638 CJW196638 CAA196638 BQE196638 BGI196638 AWM196638 AMQ196638 ACU196638 SY196638 JC196638 B196638 WVO131102 WLS131102 WBW131102 VSA131102 VIE131102 UYI131102 UOM131102 UEQ131102 TUU131102 TKY131102 TBC131102 SRG131102 SHK131102 RXO131102 RNS131102 RDW131102 QUA131102 QKE131102 QAI131102 PQM131102 PGQ131102 OWU131102 OMY131102 ODC131102 NTG131102 NJK131102 MZO131102 MPS131102 MFW131102 LWA131102 LME131102 LCI131102 KSM131102 KIQ131102 JYU131102 JOY131102 JFC131102 IVG131102 ILK131102 IBO131102 HRS131102 HHW131102 GYA131102 GOE131102 GEI131102 FUM131102 FKQ131102 FAU131102 EQY131102 EHC131102 DXG131102 DNK131102 DDO131102 CTS131102 CJW131102 CAA131102 BQE131102 BGI131102 AWM131102 AMQ131102 ACU131102 SY131102 JC131102 B131102 WVO65566 WLS65566 WBW65566 VSA65566 VIE65566 UYI65566 UOM65566 UEQ65566 TUU65566 TKY65566 TBC65566 SRG65566 SHK65566 RXO65566 RNS65566 RDW65566 QUA65566 QKE65566 QAI65566 PQM65566 PGQ65566 OWU65566 OMY65566 ODC65566 NTG65566 NJK65566 MZO65566 MPS65566 MFW65566 LWA65566 LME65566 LCI65566 KSM65566 KIQ65566 JYU65566 JOY65566 JFC65566 IVG65566 ILK65566 IBO65566 HRS65566 HHW65566 GYA65566 GOE65566 GEI65566 FUM65566 FKQ65566 FAU65566 EQY65566 EHC65566 DXG65566 DNK65566 DDO65566 CTS65566 CJW65566 CAA65566 BQE65566 BGI65566 AWM65566 AMQ65566 ACU65566 SY65566 JC65566 B65566 WVO30 WLS30 WBW30 VSA30 VIE30 UYI30 UOM30 UEQ30 TUU30 TKY30 TBC30 SRG30 SHK30 RXO30 RNS30 RDW30 QUA30 QKE30 QAI30 PQM30 PGQ30 OWU30 OMY30 ODC30 NTG30 NJK30 MZO30 MPS30 MFW30 LWA30 LME30 LCI30 KSM30 KIQ30 JYU30 JOY30 JFC30 IVG30 ILK30 IBO30 HRS30 HHW30 GYA30 GOE30 GEI30 FUM30 FKQ30 FAU30 EQY30 EHC30 DXG30 DNK30 DDO30 CTS30 CJW30 CAA30 BQE30 BGI30 AWM30 AMQ30 ACU30 SY30 JC30 B30 WVO983068 WLS983068 WBW983068 VSA983068 VIE983068 UYI983068 UOM983068 UEQ983068 TUU983068 TKY983068 TBC983068 SRG983068 SHK983068 RXO983068 RNS983068 RDW983068 QUA983068 QKE983068 QAI983068 PQM983068 PGQ983068 OWU983068 OMY983068 ODC983068 NTG983068 NJK983068 MZO983068 MPS983068 MFW983068 LWA983068 LME983068 LCI983068 KSM983068 KIQ983068 JYU983068 JOY983068 JFC983068 IVG983068 ILK983068 IBO983068 HRS983068 HHW983068 GYA983068 GOE983068 GEI983068 FUM983068 FKQ983068 FAU983068 EQY983068 EHC983068 DXG983068 DNK983068 DDO983068 CTS983068 CJW983068 CAA983068 BQE983068 BGI983068 AWM983068 AMQ983068 ACU983068 SY983068 JC983068 B983068 WVO917532 WLS917532 WBW917532 VSA917532 VIE917532 UYI917532 UOM917532 UEQ917532 TUU917532 TKY917532 TBC917532 SRG917532 SHK917532 RXO917532 RNS917532 RDW917532 QUA917532 QKE917532 QAI917532 PQM917532 PGQ917532 OWU917532 OMY917532 ODC917532 NTG917532 NJK917532 MZO917532 MPS917532 MFW917532 LWA917532 LME917532 LCI917532 KSM917532 KIQ917532 JYU917532 JOY917532 JFC917532 IVG917532 ILK917532 IBO917532 HRS917532 HHW917532 GYA917532 GOE917532 GEI917532 FUM917532 FKQ917532 FAU917532 EQY917532 EHC917532 DXG917532 DNK917532 DDO917532 CTS917532 CJW917532 CAA917532 BQE917532 BGI917532 AWM917532 AMQ917532 ACU917532 SY917532 JC917532 B917532 WVO851996 WLS851996 WBW851996 VSA851996 VIE851996 UYI851996 UOM851996 UEQ851996 TUU851996 TKY851996 TBC851996 SRG851996 SHK851996 RXO851996 RNS851996 RDW851996 QUA851996 QKE851996 QAI851996 PQM851996 PGQ851996 OWU851996 OMY851996 ODC851996 NTG851996 NJK851996 MZO851996 MPS851996 MFW851996 LWA851996 LME851996 LCI851996 KSM851996 KIQ851996 JYU851996 JOY851996 JFC851996 IVG851996 ILK851996 IBO851996 HRS851996 HHW851996 GYA851996 GOE851996 GEI851996 FUM851996 FKQ851996 FAU851996 EQY851996 EHC851996 DXG851996 DNK851996 DDO851996 CTS851996 CJW851996 CAA851996 BQE851996 BGI851996 AWM851996 AMQ851996 ACU851996 SY851996 JC851996 B851996 WVO786460 WLS786460 WBW786460 VSA786460 VIE786460 UYI786460 UOM786460 UEQ786460 TUU786460 TKY786460 TBC786460 SRG786460 SHK786460 RXO786460 RNS786460 RDW786460 QUA786460 QKE786460 QAI786460 PQM786460 PGQ786460 OWU786460 OMY786460 ODC786460 NTG786460 NJK786460 MZO786460 MPS786460 MFW786460 LWA786460 LME786460 LCI786460 KSM786460 KIQ786460 JYU786460 JOY786460 JFC786460 IVG786460 ILK786460 IBO786460 HRS786460 HHW786460 GYA786460 GOE786460 GEI786460 FUM786460 FKQ786460 FAU786460 EQY786460 EHC786460 DXG786460 DNK786460 DDO786460 CTS786460 CJW786460 CAA786460 BQE786460 BGI786460 AWM786460 AMQ786460 ACU786460 SY786460 JC786460 B786460 WVO720924 WLS720924 WBW720924 VSA720924 VIE720924 UYI720924 UOM720924 UEQ720924 TUU720924 TKY720924 TBC720924 SRG720924 SHK720924 RXO720924 RNS720924 RDW720924 QUA720924 QKE720924 QAI720924 PQM720924 PGQ720924 OWU720924 OMY720924 ODC720924 NTG720924 NJK720924 MZO720924 MPS720924 MFW720924 LWA720924 LME720924 LCI720924 KSM720924 KIQ720924 JYU720924 JOY720924 JFC720924 IVG720924 ILK720924 IBO720924 HRS720924 HHW720924 GYA720924 GOE720924 GEI720924 FUM720924 FKQ720924 FAU720924 EQY720924 EHC720924 DXG720924 DNK720924 DDO720924 CTS720924 CJW720924 CAA720924 BQE720924 BGI720924 AWM720924 AMQ720924 ACU720924 SY720924 JC720924 B720924 WVO655388 WLS655388 WBW655388 VSA655388 VIE655388 UYI655388 UOM655388 UEQ655388 TUU655388 TKY655388 TBC655388 SRG655388 SHK655388 RXO655388 RNS655388 RDW655388 QUA655388 QKE655388 QAI655388 PQM655388 PGQ655388 OWU655388 OMY655388 ODC655388 NTG655388 NJK655388 MZO655388 MPS655388 MFW655388 LWA655388 LME655388 LCI655388 KSM655388 KIQ655388 JYU655388 JOY655388 JFC655388 IVG655388 ILK655388 IBO655388 HRS655388 HHW655388 GYA655388 GOE655388 GEI655388 FUM655388 FKQ655388 FAU655388 EQY655388 EHC655388 DXG655388 DNK655388 DDO655388 CTS655388 CJW655388 CAA655388 BQE655388 BGI655388 AWM655388 AMQ655388 ACU655388 SY655388 JC655388 B655388 WVO589852 WLS589852 WBW589852 VSA589852 VIE589852 UYI589852 UOM589852 UEQ589852 TUU589852 TKY589852 TBC589852 SRG589852 SHK589852 RXO589852 RNS589852 RDW589852 QUA589852 QKE589852 QAI589852 PQM589852 PGQ589852 OWU589852 OMY589852 ODC589852 NTG589852 NJK589852 MZO589852 MPS589852 MFW589852 LWA589852 LME589852 LCI589852 KSM589852 KIQ589852 JYU589852 JOY589852 JFC589852 IVG589852 ILK589852 IBO589852 HRS589852 HHW589852 GYA589852 GOE589852 GEI589852 FUM589852 FKQ589852 FAU589852 EQY589852 EHC589852 DXG589852 DNK589852 DDO589852 CTS589852 CJW589852 CAA589852 BQE589852 BGI589852 AWM589852 AMQ589852 ACU589852 SY589852 JC589852 B589852 WVO524316 WLS524316 WBW524316 VSA524316 VIE524316 UYI524316 UOM524316 UEQ524316 TUU524316 TKY524316 TBC524316 SRG524316 SHK524316 RXO524316 RNS524316 RDW524316 QUA524316 QKE524316 QAI524316 PQM524316 PGQ524316 OWU524316 OMY524316 ODC524316 NTG524316 NJK524316 MZO524316 MPS524316 MFW524316 LWA524316 LME524316 LCI524316 KSM524316 KIQ524316 JYU524316 JOY524316 JFC524316 IVG524316 ILK524316 IBO524316 HRS524316 HHW524316 GYA524316 GOE524316 GEI524316 FUM524316 FKQ524316 FAU524316 EQY524316 EHC524316 DXG524316 DNK524316 DDO524316 CTS524316 CJW524316 CAA524316 BQE524316 BGI524316 AWM524316 AMQ524316 ACU524316 SY524316 JC524316 B524316 WVO458780 WLS458780 WBW458780 VSA458780 VIE458780 UYI458780 UOM458780 UEQ458780 TUU458780 TKY458780 TBC458780 SRG458780 SHK458780 RXO458780 RNS458780 RDW458780 QUA458780 QKE458780 QAI458780 PQM458780 PGQ458780 OWU458780 OMY458780 ODC458780 NTG458780 NJK458780 MZO458780 MPS458780 MFW458780 LWA458780 LME458780 LCI458780 KSM458780 KIQ458780 JYU458780 JOY458780 JFC458780 IVG458780 ILK458780 IBO458780 HRS458780 HHW458780 GYA458780 GOE458780 GEI458780 FUM458780 FKQ458780 FAU458780 EQY458780 EHC458780 DXG458780 DNK458780 DDO458780 CTS458780 CJW458780 CAA458780 BQE458780 BGI458780 AWM458780 AMQ458780 ACU458780 SY458780 JC458780 B458780 WVO393244 WLS393244 WBW393244 VSA393244 VIE393244 UYI393244 UOM393244 UEQ393244 TUU393244 TKY393244 TBC393244 SRG393244 SHK393244 RXO393244 RNS393244 RDW393244 QUA393244 QKE393244 QAI393244 PQM393244 PGQ393244 OWU393244 OMY393244 ODC393244 NTG393244 NJK393244 MZO393244 MPS393244 MFW393244 LWA393244 LME393244 LCI393244 KSM393244 KIQ393244 JYU393244 JOY393244 JFC393244 IVG393244 ILK393244 IBO393244 HRS393244 HHW393244 GYA393244 GOE393244 GEI393244 FUM393244 FKQ393244 FAU393244 EQY393244 EHC393244 DXG393244 DNK393244 DDO393244 CTS393244 CJW393244 CAA393244 BQE393244 BGI393244 AWM393244 AMQ393244 ACU393244 SY393244 JC393244 B393244 WVO327708 WLS327708 WBW327708 VSA327708 VIE327708 UYI327708 UOM327708 UEQ327708 TUU327708 TKY327708 TBC327708 SRG327708 SHK327708 RXO327708 RNS327708 RDW327708 QUA327708 QKE327708 QAI327708 PQM327708 PGQ327708 OWU327708 OMY327708 ODC327708 NTG327708 NJK327708 MZO327708 MPS327708 MFW327708 LWA327708 LME327708 LCI327708 KSM327708 KIQ327708 JYU327708 JOY327708 JFC327708 IVG327708 ILK327708 IBO327708 HRS327708 HHW327708 GYA327708 GOE327708 GEI327708 FUM327708 FKQ327708 FAU327708 EQY327708 EHC327708 DXG327708 DNK327708 DDO327708 CTS327708 CJW327708 CAA327708 BQE327708 BGI327708 AWM327708 AMQ327708 ACU327708 SY327708 JC327708 B327708 WVO262172 WLS262172 WBW262172 VSA262172 VIE262172 UYI262172 UOM262172 UEQ262172 TUU262172 TKY262172 TBC262172 SRG262172 SHK262172 RXO262172 RNS262172 RDW262172 QUA262172 QKE262172 QAI262172 PQM262172 PGQ262172 OWU262172 OMY262172 ODC262172 NTG262172 NJK262172 MZO262172 MPS262172 MFW262172 LWA262172 LME262172 LCI262172 KSM262172 KIQ262172 JYU262172 JOY262172 JFC262172 IVG262172 ILK262172 IBO262172 HRS262172 HHW262172 GYA262172 GOE262172 GEI262172 FUM262172 FKQ262172 FAU262172 EQY262172 EHC262172 DXG262172 DNK262172 DDO262172 CTS262172 CJW262172 CAA262172 BQE262172 BGI262172 AWM262172 AMQ262172 ACU262172 SY262172 JC262172 B262172 WVO196636 WLS196636 WBW196636 VSA196636 VIE196636 UYI196636 UOM196636 UEQ196636 TUU196636 TKY196636 TBC196636 SRG196636 SHK196636 RXO196636 RNS196636 RDW196636 QUA196636 QKE196636 QAI196636 PQM196636 PGQ196636 OWU196636 OMY196636 ODC196636 NTG196636 NJK196636 MZO196636 MPS196636 MFW196636 LWA196636 LME196636 LCI196636 KSM196636 KIQ196636 JYU196636 JOY196636 JFC196636 IVG196636 ILK196636 IBO196636 HRS196636 HHW196636 GYA196636 GOE196636 GEI196636 FUM196636 FKQ196636 FAU196636 EQY196636 EHC196636 DXG196636 DNK196636 DDO196636 CTS196636 CJW196636 CAA196636 BQE196636 BGI196636 AWM196636 AMQ196636 ACU196636 SY196636 JC196636 B196636 WVO131100 WLS131100 WBW131100 VSA131100 VIE131100 UYI131100 UOM131100 UEQ131100 TUU131100 TKY131100 TBC131100 SRG131100 SHK131100 RXO131100 RNS131100 RDW131100 QUA131100 QKE131100 QAI131100 PQM131100 PGQ131100 OWU131100 OMY131100 ODC131100 NTG131100 NJK131100 MZO131100 MPS131100 MFW131100 LWA131100 LME131100 LCI131100 KSM131100 KIQ131100 JYU131100 JOY131100 JFC131100 IVG131100 ILK131100 IBO131100 HRS131100 HHW131100 GYA131100 GOE131100 GEI131100 FUM131100 FKQ131100 FAU131100 EQY131100 EHC131100 DXG131100 DNK131100 DDO131100 CTS131100 CJW131100 CAA131100 BQE131100 BGI131100 AWM131100 AMQ131100 ACU131100 SY131100 JC131100 B131100 WVO65564 WLS65564 WBW65564 VSA65564 VIE65564 UYI65564 UOM65564 UEQ65564 TUU65564 TKY65564 TBC65564 SRG65564 SHK65564 RXO65564 RNS65564 RDW65564 QUA65564 QKE65564 QAI65564 PQM65564 PGQ65564 OWU65564 OMY65564 ODC65564 NTG65564 NJK65564 MZO65564 MPS65564 MFW65564 LWA65564 LME65564 LCI65564 KSM65564 KIQ65564 JYU65564 JOY65564 JFC65564 IVG65564 ILK65564 IBO65564 HRS65564 HHW65564 GYA65564 GOE65564 GEI65564 FUM65564 FKQ65564 FAU65564 EQY65564 EHC65564 DXG65564 DNK65564 DDO65564 CTS65564 CJW65564 CAA65564 BQE65564 BGI65564 AWM65564 AMQ65564 ACU65564 SY65564 JC65564 B65564 WVO28 WLS28 WBW28 VSA28 VIE28 UYI28 UOM28 UEQ28 TUU28 TKY28 TBC28 SRG28 SHK28 RXO28 RNS28 RDW28 QUA28 QKE28 QAI28 PQM28 PGQ28 OWU28 OMY28 ODC28 NTG28 NJK28 MZO28 MPS28 MFW28 LWA28 LME28 LCI28 KSM28 KIQ28 JYU28 JOY28 JFC28 IVG28 ILK28 IBO28 HRS28 HHW28 GYA28 GOE28 GEI28 FUM28 FKQ28 FAU28 EQY28 EHC28 DXG28 DNK28 DDO28 CTS28 CJW28 CAA28 BQE28 BGI28 AWM28 AMQ28 ACU28 SY28 JC28 B28 WVO983062 WLS983062 WBW983062 VSA983062 VIE983062 UYI983062 UOM983062 UEQ983062 TUU983062 TKY983062 TBC983062 SRG983062 SHK983062 RXO983062 RNS983062 RDW983062 QUA983062 QKE983062 QAI983062 PQM983062 PGQ983062 OWU983062 OMY983062 ODC983062 NTG983062 NJK983062 MZO983062 MPS983062 MFW983062 LWA983062 LME983062 LCI983062 KSM983062 KIQ983062 JYU983062 JOY983062 JFC983062 IVG983062 ILK983062 IBO983062 HRS983062 HHW983062 GYA983062 GOE983062 GEI983062 FUM983062 FKQ983062 FAU983062 EQY983062 EHC983062 DXG983062 DNK983062 DDO983062 CTS983062 CJW983062 CAA983062 BQE983062 BGI983062 AWM983062 AMQ983062 ACU983062 SY983062 JC983062 B983062 WVO917526 WLS917526 WBW917526 VSA917526 VIE917526 UYI917526 UOM917526 UEQ917526 TUU917526 TKY917526 TBC917526 SRG917526 SHK917526 RXO917526 RNS917526 RDW917526 QUA917526 QKE917526 QAI917526 PQM917526 PGQ917526 OWU917526 OMY917526 ODC917526 NTG917526 NJK917526 MZO917526 MPS917526 MFW917526 LWA917526 LME917526 LCI917526 KSM917526 KIQ917526 JYU917526 JOY917526 JFC917526 IVG917526 ILK917526 IBO917526 HRS917526 HHW917526 GYA917526 GOE917526 GEI917526 FUM917526 FKQ917526 FAU917526 EQY917526 EHC917526 DXG917526 DNK917526 DDO917526 CTS917526 CJW917526 CAA917526 BQE917526 BGI917526 AWM917526 AMQ917526 ACU917526 SY917526 JC917526 B917526 WVO851990 WLS851990 WBW851990 VSA851990 VIE851990 UYI851990 UOM851990 UEQ851990 TUU851990 TKY851990 TBC851990 SRG851990 SHK851990 RXO851990 RNS851990 RDW851990 QUA851990 QKE851990 QAI851990 PQM851990 PGQ851990 OWU851990 OMY851990 ODC851990 NTG851990 NJK851990 MZO851990 MPS851990 MFW851990 LWA851990 LME851990 LCI851990 KSM851990 KIQ851990 JYU851990 JOY851990 JFC851990 IVG851990 ILK851990 IBO851990 HRS851990 HHW851990 GYA851990 GOE851990 GEI851990 FUM851990 FKQ851990 FAU851990 EQY851990 EHC851990 DXG851990 DNK851990 DDO851990 CTS851990 CJW851990 CAA851990 BQE851990 BGI851990 AWM851990 AMQ851990 ACU851990 SY851990 JC851990 B851990 WVO786454 WLS786454 WBW786454 VSA786454 VIE786454 UYI786454 UOM786454 UEQ786454 TUU786454 TKY786454 TBC786454 SRG786454 SHK786454 RXO786454 RNS786454 RDW786454 QUA786454 QKE786454 QAI786454 PQM786454 PGQ786454 OWU786454 OMY786454 ODC786454 NTG786454 NJK786454 MZO786454 MPS786454 MFW786454 LWA786454 LME786454 LCI786454 KSM786454 KIQ786454 JYU786454 JOY786454 JFC786454 IVG786454 ILK786454 IBO786454 HRS786454 HHW786454 GYA786454 GOE786454 GEI786454 FUM786454 FKQ786454 FAU786454 EQY786454 EHC786454 DXG786454 DNK786454 DDO786454 CTS786454 CJW786454 CAA786454 BQE786454 BGI786454 AWM786454 AMQ786454 ACU786454 SY786454 JC786454 B786454 WVO720918 WLS720918 WBW720918 VSA720918 VIE720918 UYI720918 UOM720918 UEQ720918 TUU720918 TKY720918 TBC720918 SRG720918 SHK720918 RXO720918 RNS720918 RDW720918 QUA720918 QKE720918 QAI720918 PQM720918 PGQ720918 OWU720918 OMY720918 ODC720918 NTG720918 NJK720918 MZO720918 MPS720918 MFW720918 LWA720918 LME720918 LCI720918 KSM720918 KIQ720918 JYU720918 JOY720918 JFC720918 IVG720918 ILK720918 IBO720918 HRS720918 HHW720918 GYA720918 GOE720918 GEI720918 FUM720918 FKQ720918 FAU720918 EQY720918 EHC720918 DXG720918 DNK720918 DDO720918 CTS720918 CJW720918 CAA720918 BQE720918 BGI720918 AWM720918 AMQ720918 ACU720918 SY720918 JC720918 B720918 WVO655382 WLS655382 WBW655382 VSA655382 VIE655382 UYI655382 UOM655382 UEQ655382 TUU655382 TKY655382 TBC655382 SRG655382 SHK655382 RXO655382 RNS655382 RDW655382 QUA655382 QKE655382 QAI655382 PQM655382 PGQ655382 OWU655382 OMY655382 ODC655382 NTG655382 NJK655382 MZO655382 MPS655382 MFW655382 LWA655382 LME655382 LCI655382 KSM655382 KIQ655382 JYU655382 JOY655382 JFC655382 IVG655382 ILK655382 IBO655382 HRS655382 HHW655382 GYA655382 GOE655382 GEI655382 FUM655382 FKQ655382 FAU655382 EQY655382 EHC655382 DXG655382 DNK655382 DDO655382 CTS655382 CJW655382 CAA655382 BQE655382 BGI655382 AWM655382 AMQ655382 ACU655382 SY655382 JC655382 B655382 WVO589846 WLS589846 WBW589846 VSA589846 VIE589846 UYI589846 UOM589846 UEQ589846 TUU589846 TKY589846 TBC589846 SRG589846 SHK589846 RXO589846 RNS589846 RDW589846 QUA589846 QKE589846 QAI589846 PQM589846 PGQ589846 OWU589846 OMY589846 ODC589846 NTG589846 NJK589846 MZO589846 MPS589846 MFW589846 LWA589846 LME589846 LCI589846 KSM589846 KIQ589846 JYU589846 JOY589846 JFC589846 IVG589846 ILK589846 IBO589846 HRS589846 HHW589846 GYA589846 GOE589846 GEI589846 FUM589846 FKQ589846 FAU589846 EQY589846 EHC589846 DXG589846 DNK589846 DDO589846 CTS589846 CJW589846 CAA589846 BQE589846 BGI589846 AWM589846 AMQ589846 ACU589846 SY589846 JC589846 B589846 WVO524310 WLS524310 WBW524310 VSA524310 VIE524310 UYI524310 UOM524310 UEQ524310 TUU524310 TKY524310 TBC524310 SRG524310 SHK524310 RXO524310 RNS524310 RDW524310 QUA524310 QKE524310 QAI524310 PQM524310 PGQ524310 OWU524310 OMY524310 ODC524310 NTG524310 NJK524310 MZO524310 MPS524310 MFW524310 LWA524310 LME524310 LCI524310 KSM524310 KIQ524310 JYU524310 JOY524310 JFC524310 IVG524310 ILK524310 IBO524310 HRS524310 HHW524310 GYA524310 GOE524310 GEI524310 FUM524310 FKQ524310 FAU524310 EQY524310 EHC524310 DXG524310 DNK524310 DDO524310 CTS524310 CJW524310 CAA524310 BQE524310 BGI524310 AWM524310 AMQ524310 ACU524310 SY524310 JC524310 B524310 WVO458774 WLS458774 WBW458774 VSA458774 VIE458774 UYI458774 UOM458774 UEQ458774 TUU458774 TKY458774 TBC458774 SRG458774 SHK458774 RXO458774 RNS458774 RDW458774 QUA458774 QKE458774 QAI458774 PQM458774 PGQ458774 OWU458774 OMY458774 ODC458774 NTG458774 NJK458774 MZO458774 MPS458774 MFW458774 LWA458774 LME458774 LCI458774 KSM458774 KIQ458774 JYU458774 JOY458774 JFC458774 IVG458774 ILK458774 IBO458774 HRS458774 HHW458774 GYA458774 GOE458774 GEI458774 FUM458774 FKQ458774 FAU458774 EQY458774 EHC458774 DXG458774 DNK458774 DDO458774 CTS458774 CJW458774 CAA458774 BQE458774 BGI458774 AWM458774 AMQ458774 ACU458774 SY458774 JC458774 B458774 WVO393238 WLS393238 WBW393238 VSA393238 VIE393238 UYI393238 UOM393238 UEQ393238 TUU393238 TKY393238 TBC393238 SRG393238 SHK393238 RXO393238 RNS393238 RDW393238 QUA393238 QKE393238 QAI393238 PQM393238 PGQ393238 OWU393238 OMY393238 ODC393238 NTG393238 NJK393238 MZO393238 MPS393238 MFW393238 LWA393238 LME393238 LCI393238 KSM393238 KIQ393238 JYU393238 JOY393238 JFC393238 IVG393238 ILK393238 IBO393238 HRS393238 HHW393238 GYA393238 GOE393238 GEI393238 FUM393238 FKQ393238 FAU393238 EQY393238 EHC393238 DXG393238 DNK393238 DDO393238 CTS393238 CJW393238 CAA393238 BQE393238 BGI393238 AWM393238 AMQ393238 ACU393238 SY393238 JC393238 B393238 WVO327702 WLS327702 WBW327702 VSA327702 VIE327702 UYI327702 UOM327702 UEQ327702 TUU327702 TKY327702 TBC327702 SRG327702 SHK327702 RXO327702 RNS327702 RDW327702 QUA327702 QKE327702 QAI327702 PQM327702 PGQ327702 OWU327702 OMY327702 ODC327702 NTG327702 NJK327702 MZO327702 MPS327702 MFW327702 LWA327702 LME327702 LCI327702 KSM327702 KIQ327702 JYU327702 JOY327702 JFC327702 IVG327702 ILK327702 IBO327702 HRS327702 HHW327702 GYA327702 GOE327702 GEI327702 FUM327702 FKQ327702 FAU327702 EQY327702 EHC327702 DXG327702 DNK327702 DDO327702 CTS327702 CJW327702 CAA327702 BQE327702 BGI327702 AWM327702 AMQ327702 ACU327702 SY327702 JC327702 B327702 WVO262166 WLS262166 WBW262166 VSA262166 VIE262166 UYI262166 UOM262166 UEQ262166 TUU262166 TKY262166 TBC262166 SRG262166 SHK262166 RXO262166 RNS262166 RDW262166 QUA262166 QKE262166 QAI262166 PQM262166 PGQ262166 OWU262166 OMY262166 ODC262166 NTG262166 NJK262166 MZO262166 MPS262166 MFW262166 LWA262166 LME262166 LCI262166 KSM262166 KIQ262166 JYU262166 JOY262166 JFC262166 IVG262166 ILK262166 IBO262166 HRS262166 HHW262166 GYA262166 GOE262166 GEI262166 FUM262166 FKQ262166 FAU262166 EQY262166 EHC262166 DXG262166 DNK262166 DDO262166 CTS262166 CJW262166 CAA262166 BQE262166 BGI262166 AWM262166 AMQ262166 ACU262166 SY262166 JC262166 B262166 WVO196630 WLS196630 WBW196630 VSA196630 VIE196630 UYI196630 UOM196630 UEQ196630 TUU196630 TKY196630 TBC196630 SRG196630 SHK196630 RXO196630 RNS196630 RDW196630 QUA196630 QKE196630 QAI196630 PQM196630 PGQ196630 OWU196630 OMY196630 ODC196630 NTG196630 NJK196630 MZO196630 MPS196630 MFW196630 LWA196630 LME196630 LCI196630 KSM196630 KIQ196630 JYU196630 JOY196630 JFC196630 IVG196630 ILK196630 IBO196630 HRS196630 HHW196630 GYA196630 GOE196630 GEI196630 FUM196630 FKQ196630 FAU196630 EQY196630 EHC196630 DXG196630 DNK196630 DDO196630 CTS196630 CJW196630 CAA196630 BQE196630 BGI196630 AWM196630 AMQ196630 ACU196630 SY196630 JC196630 B196630 WVO131094 WLS131094 WBW131094 VSA131094 VIE131094 UYI131094 UOM131094 UEQ131094 TUU131094 TKY131094 TBC131094 SRG131094 SHK131094 RXO131094 RNS131094 RDW131094 QUA131094 QKE131094 QAI131094 PQM131094 PGQ131094 OWU131094 OMY131094 ODC131094 NTG131094 NJK131094 MZO131094 MPS131094 MFW131094 LWA131094 LME131094 LCI131094 KSM131094 KIQ131094 JYU131094 JOY131094 JFC131094 IVG131094 ILK131094 IBO131094 HRS131094 HHW131094 GYA131094 GOE131094 GEI131094 FUM131094 FKQ131094 FAU131094 EQY131094 EHC131094 DXG131094 DNK131094 DDO131094 CTS131094 CJW131094 CAA131094 BQE131094 BGI131094 AWM131094 AMQ131094 ACU131094 SY131094 JC131094 B131094 WVO65558 WLS65558 WBW65558 VSA65558 VIE65558 UYI65558 UOM65558 UEQ65558 TUU65558 TKY65558 TBC65558 SRG65558 SHK65558 RXO65558 RNS65558 RDW65558 QUA65558 QKE65558 QAI65558 PQM65558 PGQ65558 OWU65558 OMY65558 ODC65558 NTG65558 NJK65558 MZO65558 MPS65558 MFW65558 LWA65558 LME65558 LCI65558 KSM65558 KIQ65558 JYU65558 JOY65558 JFC65558 IVG65558 ILK65558 IBO65558 HRS65558 HHW65558 GYA65558 GOE65558 GEI65558 FUM65558 FKQ65558 FAU65558 EQY65558 EHC65558 DXG65558 DNK65558 DDO65558 CTS65558 CJW65558 CAA65558 BQE65558 BGI65558 AWM65558 AMQ65558 ACU65558 SY65558 JC65558 B65558 WVO22 WLS22 WBW22 VSA22 VIE22 UYI22 UOM22 UEQ22 TUU22 TKY22 TBC22 SRG22 SHK22 RXO22 RNS22 RDW22 QUA22 QKE22 QAI22 PQM22 PGQ22 OWU22 OMY22 ODC22 NTG22 NJK22 MZO22 MPS22 MFW22 LWA22 LME22 LCI22 KSM22 KIQ22 JYU22 JOY22 JFC22 IVG22 ILK22 IBO22 HRS22 HHW22 GYA22 GOE22 GEI22 FUM22 FKQ22 FAU22 EQY22 EHC22 DXG22 DNK22 DDO22 CTS22 CJW22 CAA22 BQE22 BGI22 AWM22 AMQ22 ACU22 SY22 JC22 B22 WVO983064 WLS983064 WBW983064 VSA983064 VIE983064 UYI983064 UOM983064 UEQ983064 TUU983064 TKY983064 TBC983064 SRG983064 SHK983064 RXO983064 RNS983064 RDW983064 QUA983064 QKE983064 QAI983064 PQM983064 PGQ983064 OWU983064 OMY983064 ODC983064 NTG983064 NJK983064 MZO983064 MPS983064 MFW983064 LWA983064 LME983064 LCI983064 KSM983064 KIQ983064 JYU983064 JOY983064 JFC983064 IVG983064 ILK983064 IBO983064 HRS983064 HHW983064 GYA983064 GOE983064 GEI983064 FUM983064 FKQ983064 FAU983064 EQY983064 EHC983064 DXG983064 DNK983064 DDO983064 CTS983064 CJW983064 CAA983064 BQE983064 BGI983064 AWM983064 AMQ983064 ACU983064 SY983064 JC983064 B983064 WVO917528 WLS917528 WBW917528 VSA917528 VIE917528 UYI917528 UOM917528 UEQ917528 TUU917528 TKY917528 TBC917528 SRG917528 SHK917528 RXO917528 RNS917528 RDW917528 QUA917528 QKE917528 QAI917528 PQM917528 PGQ917528 OWU917528 OMY917528 ODC917528 NTG917528 NJK917528 MZO917528 MPS917528 MFW917528 LWA917528 LME917528 LCI917528 KSM917528 KIQ917528 JYU917528 JOY917528 JFC917528 IVG917528 ILK917528 IBO917528 HRS917528 HHW917528 GYA917528 GOE917528 GEI917528 FUM917528 FKQ917528 FAU917528 EQY917528 EHC917528 DXG917528 DNK917528 DDO917528 CTS917528 CJW917528 CAA917528 BQE917528 BGI917528 AWM917528 AMQ917528 ACU917528 SY917528 JC917528 B917528 WVO851992 WLS851992 WBW851992 VSA851992 VIE851992 UYI851992 UOM851992 UEQ851992 TUU851992 TKY851992 TBC851992 SRG851992 SHK851992 RXO851992 RNS851992 RDW851992 QUA851992 QKE851992 QAI851992 PQM851992 PGQ851992 OWU851992 OMY851992 ODC851992 NTG851992 NJK851992 MZO851992 MPS851992 MFW851992 LWA851992 LME851992 LCI851992 KSM851992 KIQ851992 JYU851992 JOY851992 JFC851992 IVG851992 ILK851992 IBO851992 HRS851992 HHW851992 GYA851992 GOE851992 GEI851992 FUM851992 FKQ851992 FAU851992 EQY851992 EHC851992 DXG851992 DNK851992 DDO851992 CTS851992 CJW851992 CAA851992 BQE851992 BGI851992 AWM851992 AMQ851992 ACU851992 SY851992 JC851992 B851992 WVO786456 WLS786456 WBW786456 VSA786456 VIE786456 UYI786456 UOM786456 UEQ786456 TUU786456 TKY786456 TBC786456 SRG786456 SHK786456 RXO786456 RNS786456 RDW786456 QUA786456 QKE786456 QAI786456 PQM786456 PGQ786456 OWU786456 OMY786456 ODC786456 NTG786456 NJK786456 MZO786456 MPS786456 MFW786456 LWA786456 LME786456 LCI786456 KSM786456 KIQ786456 JYU786456 JOY786456 JFC786456 IVG786456 ILK786456 IBO786456 HRS786456 HHW786456 GYA786456 GOE786456 GEI786456 FUM786456 FKQ786456 FAU786456 EQY786456 EHC786456 DXG786456 DNK786456 DDO786456 CTS786456 CJW786456 CAA786456 BQE786456 BGI786456 AWM786456 AMQ786456 ACU786456 SY786456 JC786456 B786456 WVO720920 WLS720920 WBW720920 VSA720920 VIE720920 UYI720920 UOM720920 UEQ720920 TUU720920 TKY720920 TBC720920 SRG720920 SHK720920 RXO720920 RNS720920 RDW720920 QUA720920 QKE720920 QAI720920 PQM720920 PGQ720920 OWU720920 OMY720920 ODC720920 NTG720920 NJK720920 MZO720920 MPS720920 MFW720920 LWA720920 LME720920 LCI720920 KSM720920 KIQ720920 JYU720920 JOY720920 JFC720920 IVG720920 ILK720920 IBO720920 HRS720920 HHW720920 GYA720920 GOE720920 GEI720920 FUM720920 FKQ720920 FAU720920 EQY720920 EHC720920 DXG720920 DNK720920 DDO720920 CTS720920 CJW720920 CAA720920 BQE720920 BGI720920 AWM720920 AMQ720920 ACU720920 SY720920 JC720920 B720920 WVO655384 WLS655384 WBW655384 VSA655384 VIE655384 UYI655384 UOM655384 UEQ655384 TUU655384 TKY655384 TBC655384 SRG655384 SHK655384 RXO655384 RNS655384 RDW655384 QUA655384 QKE655384 QAI655384 PQM655384 PGQ655384 OWU655384 OMY655384 ODC655384 NTG655384 NJK655384 MZO655384 MPS655384 MFW655384 LWA655384 LME655384 LCI655384 KSM655384 KIQ655384 JYU655384 JOY655384 JFC655384 IVG655384 ILK655384 IBO655384 HRS655384 HHW655384 GYA655384 GOE655384 GEI655384 FUM655384 FKQ655384 FAU655384 EQY655384 EHC655384 DXG655384 DNK655384 DDO655384 CTS655384 CJW655384 CAA655384 BQE655384 BGI655384 AWM655384 AMQ655384 ACU655384 SY655384 JC655384 B655384 WVO589848 WLS589848 WBW589848 VSA589848 VIE589848 UYI589848 UOM589848 UEQ589848 TUU589848 TKY589848 TBC589848 SRG589848 SHK589848 RXO589848 RNS589848 RDW589848 QUA589848 QKE589848 QAI589848 PQM589848 PGQ589848 OWU589848 OMY589848 ODC589848 NTG589848 NJK589848 MZO589848 MPS589848 MFW589848 LWA589848 LME589848 LCI589848 KSM589848 KIQ589848 JYU589848 JOY589848 JFC589848 IVG589848 ILK589848 IBO589848 HRS589848 HHW589848 GYA589848 GOE589848 GEI589848 FUM589848 FKQ589848 FAU589848 EQY589848 EHC589848 DXG589848 DNK589848 DDO589848 CTS589848 CJW589848 CAA589848 BQE589848 BGI589848 AWM589848 AMQ589848 ACU589848 SY589848 JC589848 B589848 WVO524312 WLS524312 WBW524312 VSA524312 VIE524312 UYI524312 UOM524312 UEQ524312 TUU524312 TKY524312 TBC524312 SRG524312 SHK524312 RXO524312 RNS524312 RDW524312 QUA524312 QKE524312 QAI524312 PQM524312 PGQ524312 OWU524312 OMY524312 ODC524312 NTG524312 NJK524312 MZO524312 MPS524312 MFW524312 LWA524312 LME524312 LCI524312 KSM524312 KIQ524312 JYU524312 JOY524312 JFC524312 IVG524312 ILK524312 IBO524312 HRS524312 HHW524312 GYA524312 GOE524312 GEI524312 FUM524312 FKQ524312 FAU524312 EQY524312 EHC524312 DXG524312 DNK524312 DDO524312 CTS524312 CJW524312 CAA524312 BQE524312 BGI524312 AWM524312 AMQ524312 ACU524312 SY524312 JC524312 B524312 WVO458776 WLS458776 WBW458776 VSA458776 VIE458776 UYI458776 UOM458776 UEQ458776 TUU458776 TKY458776 TBC458776 SRG458776 SHK458776 RXO458776 RNS458776 RDW458776 QUA458776 QKE458776 QAI458776 PQM458776 PGQ458776 OWU458776 OMY458776 ODC458776 NTG458776 NJK458776 MZO458776 MPS458776 MFW458776 LWA458776 LME458776 LCI458776 KSM458776 KIQ458776 JYU458776 JOY458776 JFC458776 IVG458776 ILK458776 IBO458776 HRS458776 HHW458776 GYA458776 GOE458776 GEI458776 FUM458776 FKQ458776 FAU458776 EQY458776 EHC458776 DXG458776 DNK458776 DDO458776 CTS458776 CJW458776 CAA458776 BQE458776 BGI458776 AWM458776 AMQ458776 ACU458776 SY458776 JC458776 B458776 WVO393240 WLS393240 WBW393240 VSA393240 VIE393240 UYI393240 UOM393240 UEQ393240 TUU393240 TKY393240 TBC393240 SRG393240 SHK393240 RXO393240 RNS393240 RDW393240 QUA393240 QKE393240 QAI393240 PQM393240 PGQ393240 OWU393240 OMY393240 ODC393240 NTG393240 NJK393240 MZO393240 MPS393240 MFW393240 LWA393240 LME393240 LCI393240 KSM393240 KIQ393240 JYU393240 JOY393240 JFC393240 IVG393240 ILK393240 IBO393240 HRS393240 HHW393240 GYA393240 GOE393240 GEI393240 FUM393240 FKQ393240 FAU393240 EQY393240 EHC393240 DXG393240 DNK393240 DDO393240 CTS393240 CJW393240 CAA393240 BQE393240 BGI393240 AWM393240 AMQ393240 ACU393240 SY393240 JC393240 B393240 WVO327704 WLS327704 WBW327704 VSA327704 VIE327704 UYI327704 UOM327704 UEQ327704 TUU327704 TKY327704 TBC327704 SRG327704 SHK327704 RXO327704 RNS327704 RDW327704 QUA327704 QKE327704 QAI327704 PQM327704 PGQ327704 OWU327704 OMY327704 ODC327704 NTG327704 NJK327704 MZO327704 MPS327704 MFW327704 LWA327704 LME327704 LCI327704 KSM327704 KIQ327704 JYU327704 JOY327704 JFC327704 IVG327704 ILK327704 IBO327704 HRS327704 HHW327704 GYA327704 GOE327704 GEI327704 FUM327704 FKQ327704 FAU327704 EQY327704 EHC327704 DXG327704 DNK327704 DDO327704 CTS327704 CJW327704 CAA327704 BQE327704 BGI327704 AWM327704 AMQ327704 ACU327704 SY327704 JC327704 B327704 WVO262168 WLS262168 WBW262168 VSA262168 VIE262168 UYI262168 UOM262168 UEQ262168 TUU262168 TKY262168 TBC262168 SRG262168 SHK262168 RXO262168 RNS262168 RDW262168 QUA262168 QKE262168 QAI262168 PQM262168 PGQ262168 OWU262168 OMY262168 ODC262168 NTG262168 NJK262168 MZO262168 MPS262168 MFW262168 LWA262168 LME262168 LCI262168 KSM262168 KIQ262168 JYU262168 JOY262168 JFC262168 IVG262168 ILK262168 IBO262168 HRS262168 HHW262168 GYA262168 GOE262168 GEI262168 FUM262168 FKQ262168 FAU262168 EQY262168 EHC262168 DXG262168 DNK262168 DDO262168 CTS262168 CJW262168 CAA262168 BQE262168 BGI262168 AWM262168 AMQ262168 ACU262168 SY262168 JC262168 B262168 WVO196632 WLS196632 WBW196632 VSA196632 VIE196632 UYI196632 UOM196632 UEQ196632 TUU196632 TKY196632 TBC196632 SRG196632 SHK196632 RXO196632 RNS196632 RDW196632 QUA196632 QKE196632 QAI196632 PQM196632 PGQ196632 OWU196632 OMY196632 ODC196632 NTG196632 NJK196632 MZO196632 MPS196632 MFW196632 LWA196632 LME196632 LCI196632 KSM196632 KIQ196632 JYU196632 JOY196632 JFC196632 IVG196632 ILK196632 IBO196632 HRS196632 HHW196632 GYA196632 GOE196632 GEI196632 FUM196632 FKQ196632 FAU196632 EQY196632 EHC196632 DXG196632 DNK196632 DDO196632 CTS196632 CJW196632 CAA196632 BQE196632 BGI196632 AWM196632 AMQ196632 ACU196632 SY196632 JC196632 B196632 WVO131096 WLS131096 WBW131096 VSA131096 VIE131096 UYI131096 UOM131096 UEQ131096 TUU131096 TKY131096 TBC131096 SRG131096 SHK131096 RXO131096 RNS131096 RDW131096 QUA131096 QKE131096 QAI131096 PQM131096 PGQ131096 OWU131096 OMY131096 ODC131096 NTG131096 NJK131096 MZO131096 MPS131096 MFW131096 LWA131096 LME131096 LCI131096 KSM131096 KIQ131096 JYU131096 JOY131096 JFC131096 IVG131096 ILK131096 IBO131096 HRS131096 HHW131096 GYA131096 GOE131096 GEI131096 FUM131096 FKQ131096 FAU131096 EQY131096 EHC131096 DXG131096 DNK131096 DDO131096 CTS131096 CJW131096 CAA131096 BQE131096 BGI131096 AWM131096 AMQ131096 ACU131096 SY131096 JC131096 B131096 WVO65560 WLS65560 WBW65560 VSA65560 VIE65560 UYI65560 UOM65560 UEQ65560 TUU65560 TKY65560 TBC65560 SRG65560 SHK65560 RXO65560 RNS65560 RDW65560 QUA65560 QKE65560 QAI65560 PQM65560 PGQ65560 OWU65560 OMY65560 ODC65560 NTG65560 NJK65560 MZO65560 MPS65560 MFW65560 LWA65560 LME65560 LCI65560 KSM65560 KIQ65560 JYU65560 JOY65560 JFC65560 IVG65560 ILK65560 IBO65560 HRS65560 HHW65560 GYA65560 GOE65560 GEI65560 FUM65560 FKQ65560 FAU65560 EQY65560 EHC65560 DXG65560 DNK65560 DDO65560 CTS65560 CJW65560 CAA65560 BQE65560 BGI65560 AWM65560 AMQ65560 ACU65560 SY65560 JC65560 B65560 WVO24 WLS24 WBW24 VSA24 VIE24 UYI24 UOM24 UEQ24 TUU24 TKY24 TBC24 SRG24 SHK24 RXO24 RNS24 RDW24 QUA24 QKE24 QAI24 PQM24 PGQ24 OWU24 OMY24 ODC24 NTG24 NJK24 MZO24 MPS24 MFW24 LWA24 LME24 LCI24 KSM24 KIQ24 JYU24 JOY24 JFC24 IVG24 ILK24 IBO24 HRS24 HHW24 GYA24 GOE24 GEI24 FUM24 FKQ24 FAU24 EQY24 EHC24 DXG24 DNK24 DDO24 CTS24 CJW24 CAA24 BQE24 BGI24 AWM24 AMQ24 ACU24 SY24 JC24 B24 WVO983066 WLS983066 WBW983066 VSA983066 VIE983066 UYI983066 UOM983066 UEQ983066 TUU983066 TKY983066 TBC983066 SRG983066 SHK983066 RXO983066 RNS983066 RDW983066 QUA983066 QKE983066 QAI983066 PQM983066 PGQ983066 OWU983066 OMY983066 ODC983066 NTG983066 NJK983066 MZO983066 MPS983066 MFW983066 LWA983066 LME983066 LCI983066 KSM983066 KIQ983066 JYU983066 JOY983066 JFC983066 IVG983066 ILK983066 IBO983066 HRS983066 HHW983066 GYA983066 GOE983066 GEI983066 FUM983066 FKQ983066 FAU983066 EQY983066 EHC983066 DXG983066 DNK983066 DDO983066 CTS983066 CJW983066 CAA983066 BQE983066 BGI983066 AWM983066 AMQ983066 ACU983066 SY983066 JC983066 B983066 WVO917530 WLS917530 WBW917530 VSA917530 VIE917530 UYI917530 UOM917530 UEQ917530 TUU917530 TKY917530 TBC917530 SRG917530 SHK917530 RXO917530 RNS917530 RDW917530 QUA917530 QKE917530 QAI917530 PQM917530 PGQ917530 OWU917530 OMY917530 ODC917530 NTG917530 NJK917530 MZO917530 MPS917530 MFW917530 LWA917530 LME917530 LCI917530 KSM917530 KIQ917530 JYU917530 JOY917530 JFC917530 IVG917530 ILK917530 IBO917530 HRS917530 HHW917530 GYA917530 GOE917530 GEI917530 FUM917530 FKQ917530 FAU917530 EQY917530 EHC917530 DXG917530 DNK917530 DDO917530 CTS917530 CJW917530 CAA917530 BQE917530 BGI917530 AWM917530 AMQ917530 ACU917530 SY917530 JC917530 B917530 WVO851994 WLS851994 WBW851994 VSA851994 VIE851994 UYI851994 UOM851994 UEQ851994 TUU851994 TKY851994 TBC851994 SRG851994 SHK851994 RXO851994 RNS851994 RDW851994 QUA851994 QKE851994 QAI851994 PQM851994 PGQ851994 OWU851994 OMY851994 ODC851994 NTG851994 NJK851994 MZO851994 MPS851994 MFW851994 LWA851994 LME851994 LCI851994 KSM851994 KIQ851994 JYU851994 JOY851994 JFC851994 IVG851994 ILK851994 IBO851994 HRS851994 HHW851994 GYA851994 GOE851994 GEI851994 FUM851994 FKQ851994 FAU851994 EQY851994 EHC851994 DXG851994 DNK851994 DDO851994 CTS851994 CJW851994 CAA851994 BQE851994 BGI851994 AWM851994 AMQ851994 ACU851994 SY851994 JC851994 B851994 WVO786458 WLS786458 WBW786458 VSA786458 VIE786458 UYI786458 UOM786458 UEQ786458 TUU786458 TKY786458 TBC786458 SRG786458 SHK786458 RXO786458 RNS786458 RDW786458 QUA786458 QKE786458 QAI786458 PQM786458 PGQ786458 OWU786458 OMY786458 ODC786458 NTG786458 NJK786458 MZO786458 MPS786458 MFW786458 LWA786458 LME786458 LCI786458 KSM786458 KIQ786458 JYU786458 JOY786458 JFC786458 IVG786458 ILK786458 IBO786458 HRS786458 HHW786458 GYA786458 GOE786458 GEI786458 FUM786458 FKQ786458 FAU786458 EQY786458 EHC786458 DXG786458 DNK786458 DDO786458 CTS786458 CJW786458 CAA786458 BQE786458 BGI786458 AWM786458 AMQ786458 ACU786458 SY786458 JC786458 B786458 WVO720922 WLS720922 WBW720922 VSA720922 VIE720922 UYI720922 UOM720922 UEQ720922 TUU720922 TKY720922 TBC720922 SRG720922 SHK720922 RXO720922 RNS720922 RDW720922 QUA720922 QKE720922 QAI720922 PQM720922 PGQ720922 OWU720922 OMY720922 ODC720922 NTG720922 NJK720922 MZO720922 MPS720922 MFW720922 LWA720922 LME720922 LCI720922 KSM720922 KIQ720922 JYU720922 JOY720922 JFC720922 IVG720922 ILK720922 IBO720922 HRS720922 HHW720922 GYA720922 GOE720922 GEI720922 FUM720922 FKQ720922 FAU720922 EQY720922 EHC720922 DXG720922 DNK720922 DDO720922 CTS720922 CJW720922 CAA720922 BQE720922 BGI720922 AWM720922 AMQ720922 ACU720922 SY720922 JC720922 B720922 WVO655386 WLS655386 WBW655386 VSA655386 VIE655386 UYI655386 UOM655386 UEQ655386 TUU655386 TKY655386 TBC655386 SRG655386 SHK655386 RXO655386 RNS655386 RDW655386 QUA655386 QKE655386 QAI655386 PQM655386 PGQ655386 OWU655386 OMY655386 ODC655386 NTG655386 NJK655386 MZO655386 MPS655386 MFW655386 LWA655386 LME655386 LCI655386 KSM655386 KIQ655386 JYU655386 JOY655386 JFC655386 IVG655386 ILK655386 IBO655386 HRS655386 HHW655386 GYA655386 GOE655386 GEI655386 FUM655386 FKQ655386 FAU655386 EQY655386 EHC655386 DXG655386 DNK655386 DDO655386 CTS655386 CJW655386 CAA655386 BQE655386 BGI655386 AWM655386 AMQ655386 ACU655386 SY655386 JC655386 B655386 WVO589850 WLS589850 WBW589850 VSA589850 VIE589850 UYI589850 UOM589850 UEQ589850 TUU589850 TKY589850 TBC589850 SRG589850 SHK589850 RXO589850 RNS589850 RDW589850 QUA589850 QKE589850 QAI589850 PQM589850 PGQ589850 OWU589850 OMY589850 ODC589850 NTG589850 NJK589850 MZO589850 MPS589850 MFW589850 LWA589850 LME589850 LCI589850 KSM589850 KIQ589850 JYU589850 JOY589850 JFC589850 IVG589850 ILK589850 IBO589850 HRS589850 HHW589850 GYA589850 GOE589850 GEI589850 FUM589850 FKQ589850 FAU589850 EQY589850 EHC589850 DXG589850 DNK589850 DDO589850 CTS589850 CJW589850 CAA589850 BQE589850 BGI589850 AWM589850 AMQ589850 ACU589850 SY589850 JC589850 B589850 WVO524314 WLS524314 WBW524314 VSA524314 VIE524314 UYI524314 UOM524314 UEQ524314 TUU524314 TKY524314 TBC524314 SRG524314 SHK524314 RXO524314 RNS524314 RDW524314 QUA524314 QKE524314 QAI524314 PQM524314 PGQ524314 OWU524314 OMY524314 ODC524314 NTG524314 NJK524314 MZO524314 MPS524314 MFW524314 LWA524314 LME524314 LCI524314 KSM524314 KIQ524314 JYU524314 JOY524314 JFC524314 IVG524314 ILK524314 IBO524314 HRS524314 HHW524314 GYA524314 GOE524314 GEI524314 FUM524314 FKQ524314 FAU524314 EQY524314 EHC524314 DXG524314 DNK524314 DDO524314 CTS524314 CJW524314 CAA524314 BQE524314 BGI524314 AWM524314 AMQ524314 ACU524314 SY524314 JC524314 B524314 WVO458778 WLS458778 WBW458778 VSA458778 VIE458778 UYI458778 UOM458778 UEQ458778 TUU458778 TKY458778 TBC458778 SRG458778 SHK458778 RXO458778 RNS458778 RDW458778 QUA458778 QKE458778 QAI458778 PQM458778 PGQ458778 OWU458778 OMY458778 ODC458778 NTG458778 NJK458778 MZO458778 MPS458778 MFW458778 LWA458778 LME458778 LCI458778 KSM458778 KIQ458778 JYU458778 JOY458778 JFC458778 IVG458778 ILK458778 IBO458778 HRS458778 HHW458778 GYA458778 GOE458778 GEI458778 FUM458778 FKQ458778 FAU458778 EQY458778 EHC458778 DXG458778 DNK458778 DDO458778 CTS458778 CJW458778 CAA458778 BQE458778 BGI458778 AWM458778 AMQ458778 ACU458778 SY458778 JC458778 B458778 WVO393242 WLS393242 WBW393242 VSA393242 VIE393242 UYI393242 UOM393242 UEQ393242 TUU393242 TKY393242 TBC393242 SRG393242 SHK393242 RXO393242 RNS393242 RDW393242 QUA393242 QKE393242 QAI393242 PQM393242 PGQ393242 OWU393242 OMY393242 ODC393242 NTG393242 NJK393242 MZO393242 MPS393242 MFW393242 LWA393242 LME393242 LCI393242 KSM393242 KIQ393242 JYU393242 JOY393242 JFC393242 IVG393242 ILK393242 IBO393242 HRS393242 HHW393242 GYA393242 GOE393242 GEI393242 FUM393242 FKQ393242 FAU393242 EQY393242 EHC393242 DXG393242 DNK393242 DDO393242 CTS393242 CJW393242 CAA393242 BQE393242 BGI393242 AWM393242 AMQ393242 ACU393242 SY393242 JC393242 B393242 WVO327706 WLS327706 WBW327706 VSA327706 VIE327706 UYI327706 UOM327706 UEQ327706 TUU327706 TKY327706 TBC327706 SRG327706 SHK327706 RXO327706 RNS327706 RDW327706 QUA327706 QKE327706 QAI327706 PQM327706 PGQ327706 OWU327706 OMY327706 ODC327706 NTG327706 NJK327706 MZO327706 MPS327706 MFW327706 LWA327706 LME327706 LCI327706 KSM327706 KIQ327706 JYU327706 JOY327706 JFC327706 IVG327706 ILK327706 IBO327706 HRS327706 HHW327706 GYA327706 GOE327706 GEI327706 FUM327706 FKQ327706 FAU327706 EQY327706 EHC327706 DXG327706 DNK327706 DDO327706 CTS327706 CJW327706 CAA327706 BQE327706 BGI327706 AWM327706 AMQ327706 ACU327706 SY327706 JC327706 B327706 WVO262170 WLS262170 WBW262170 VSA262170 VIE262170 UYI262170 UOM262170 UEQ262170 TUU262170 TKY262170 TBC262170 SRG262170 SHK262170 RXO262170 RNS262170 RDW262170 QUA262170 QKE262170 QAI262170 PQM262170 PGQ262170 OWU262170 OMY262170 ODC262170 NTG262170 NJK262170 MZO262170 MPS262170 MFW262170 LWA262170 LME262170 LCI262170 KSM262170 KIQ262170 JYU262170 JOY262170 JFC262170 IVG262170 ILK262170 IBO262170 HRS262170 HHW262170 GYA262170 GOE262170 GEI262170 FUM262170 FKQ262170 FAU262170 EQY262170 EHC262170 DXG262170 DNK262170 DDO262170 CTS262170 CJW262170 CAA262170 BQE262170 BGI262170 AWM262170 AMQ262170 ACU262170 SY262170 JC262170 B262170 WVO196634 WLS196634 WBW196634 VSA196634 VIE196634 UYI196634 UOM196634 UEQ196634 TUU196634 TKY196634 TBC196634 SRG196634 SHK196634 RXO196634 RNS196634 RDW196634 QUA196634 QKE196634 QAI196634 PQM196634 PGQ196634 OWU196634 OMY196634 ODC196634 NTG196634 NJK196634 MZO196634 MPS196634 MFW196634 LWA196634 LME196634 LCI196634 KSM196634 KIQ196634 JYU196634 JOY196634 JFC196634 IVG196634 ILK196634 IBO196634 HRS196634 HHW196634 GYA196634 GOE196634 GEI196634 FUM196634 FKQ196634 FAU196634 EQY196634 EHC196634 DXG196634 DNK196634 DDO196634 CTS196634 CJW196634 CAA196634 BQE196634 BGI196634 AWM196634 AMQ196634 ACU196634 SY196634 JC196634 B196634 WVO131098 WLS131098 WBW131098 VSA131098 VIE131098 UYI131098 UOM131098 UEQ131098 TUU131098 TKY131098 TBC131098 SRG131098 SHK131098 RXO131098 RNS131098 RDW131098 QUA131098 QKE131098 QAI131098 PQM131098 PGQ131098 OWU131098 OMY131098 ODC131098 NTG131098 NJK131098 MZO131098 MPS131098 MFW131098 LWA131098 LME131098 LCI131098 KSM131098 KIQ131098 JYU131098 JOY131098 JFC131098 IVG131098 ILK131098 IBO131098 HRS131098 HHW131098 GYA131098 GOE131098 GEI131098 FUM131098 FKQ131098 FAU131098 EQY131098 EHC131098 DXG131098 DNK131098 DDO131098 CTS131098 CJW131098 CAA131098 BQE131098 BGI131098 AWM131098 AMQ131098 ACU131098 SY131098 JC131098 B131098 WVO65562 WLS65562 WBW65562 VSA65562 VIE65562 UYI65562 UOM65562 UEQ65562 TUU65562 TKY65562 TBC65562 SRG65562 SHK65562 RXO65562 RNS65562 RDW65562 QUA65562 QKE65562 QAI65562 PQM65562 PGQ65562 OWU65562 OMY65562 ODC65562 NTG65562 NJK65562 MZO65562 MPS65562 MFW65562 LWA65562 LME65562 LCI65562 KSM65562 KIQ65562 JYU65562 JOY65562 JFC65562 IVG65562 ILK65562 IBO65562 HRS65562 HHW65562 GYA65562 GOE65562 GEI65562 FUM65562 FKQ65562 FAU65562 EQY65562 EHC65562 DXG65562 DNK65562 DDO65562 CTS65562 CJW65562 CAA65562 BQE65562 BGI65562 AWM65562 AMQ65562 ACU65562 SY65562 JC65562 B65562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B26 WVO983072 WLS983072 WBW983072 VSA983072 VIE983072 UYI983072 UOM983072 UEQ983072 TUU983072 TKY983072 TBC983072 SRG983072 SHK983072 RXO983072 RNS983072 RDW983072 QUA983072 QKE983072 QAI983072 PQM983072 PGQ983072 OWU983072 OMY983072 ODC983072 NTG983072 NJK983072 MZO983072 MPS983072 MFW983072 LWA983072 LME983072 LCI983072 KSM983072 KIQ983072 JYU983072 JOY983072 JFC983072 IVG983072 ILK983072 IBO983072 HRS983072 HHW983072 GYA983072 GOE983072 GEI983072 FUM983072 FKQ983072 FAU983072 EQY983072 EHC983072 DXG983072 DNK983072 DDO983072 CTS983072 CJW983072 CAA983072 BQE983072 BGI983072 AWM983072 AMQ983072 ACU983072 SY983072 JC983072 B983072 WVO917536 WLS917536 WBW917536 VSA917536 VIE917536 UYI917536 UOM917536 UEQ917536 TUU917536 TKY917536 TBC917536 SRG917536 SHK917536 RXO917536 RNS917536 RDW917536 QUA917536 QKE917536 QAI917536 PQM917536 PGQ917536 OWU917536 OMY917536 ODC917536 NTG917536 NJK917536 MZO917536 MPS917536 MFW917536 LWA917536 LME917536 LCI917536 KSM917536 KIQ917536 JYU917536 JOY917536 JFC917536 IVG917536 ILK917536 IBO917536 HRS917536 HHW917536 GYA917536 GOE917536 GEI917536 FUM917536 FKQ917536 FAU917536 EQY917536 EHC917536 DXG917536 DNK917536 DDO917536 CTS917536 CJW917536 CAA917536 BQE917536 BGI917536 AWM917536 AMQ917536 ACU917536 SY917536 JC917536 B917536 WVO852000 WLS852000 WBW852000 VSA852000 VIE852000 UYI852000 UOM852000 UEQ852000 TUU852000 TKY852000 TBC852000 SRG852000 SHK852000 RXO852000 RNS852000 RDW852000 QUA852000 QKE852000 QAI852000 PQM852000 PGQ852000 OWU852000 OMY852000 ODC852000 NTG852000 NJK852000 MZO852000 MPS852000 MFW852000 LWA852000 LME852000 LCI852000 KSM852000 KIQ852000 JYU852000 JOY852000 JFC852000 IVG852000 ILK852000 IBO852000 HRS852000 HHW852000 GYA852000 GOE852000 GEI852000 FUM852000 FKQ852000 FAU852000 EQY852000 EHC852000 DXG852000 DNK852000 DDO852000 CTS852000 CJW852000 CAA852000 BQE852000 BGI852000 AWM852000 AMQ852000 ACU852000 SY852000 JC852000 B852000 WVO786464 WLS786464 WBW786464 VSA786464 VIE786464 UYI786464 UOM786464 UEQ786464 TUU786464 TKY786464 TBC786464 SRG786464 SHK786464 RXO786464 RNS786464 RDW786464 QUA786464 QKE786464 QAI786464 PQM786464 PGQ786464 OWU786464 OMY786464 ODC786464 NTG786464 NJK786464 MZO786464 MPS786464 MFW786464 LWA786464 LME786464 LCI786464 KSM786464 KIQ786464 JYU786464 JOY786464 JFC786464 IVG786464 ILK786464 IBO786464 HRS786464 HHW786464 GYA786464 GOE786464 GEI786464 FUM786464 FKQ786464 FAU786464 EQY786464 EHC786464 DXG786464 DNK786464 DDO786464 CTS786464 CJW786464 CAA786464 BQE786464 BGI786464 AWM786464 AMQ786464 ACU786464 SY786464 JC786464 B786464 WVO720928 WLS720928 WBW720928 VSA720928 VIE720928 UYI720928 UOM720928 UEQ720928 TUU720928 TKY720928 TBC720928 SRG720928 SHK720928 RXO720928 RNS720928 RDW720928 QUA720928 QKE720928 QAI720928 PQM720928 PGQ720928 OWU720928 OMY720928 ODC720928 NTG720928 NJK720928 MZO720928 MPS720928 MFW720928 LWA720928 LME720928 LCI720928 KSM720928 KIQ720928 JYU720928 JOY720928 JFC720928 IVG720928 ILK720928 IBO720928 HRS720928 HHW720928 GYA720928 GOE720928 GEI720928 FUM720928 FKQ720928 FAU720928 EQY720928 EHC720928 DXG720928 DNK720928 DDO720928 CTS720928 CJW720928 CAA720928 BQE720928 BGI720928 AWM720928 AMQ720928 ACU720928 SY720928 JC720928 B720928 WVO655392 WLS655392 WBW655392 VSA655392 VIE655392 UYI655392 UOM655392 UEQ655392 TUU655392 TKY655392 TBC655392 SRG655392 SHK655392 RXO655392 RNS655392 RDW655392 QUA655392 QKE655392 QAI655392 PQM655392 PGQ655392 OWU655392 OMY655392 ODC655392 NTG655392 NJK655392 MZO655392 MPS655392 MFW655392 LWA655392 LME655392 LCI655392 KSM655392 KIQ655392 JYU655392 JOY655392 JFC655392 IVG655392 ILK655392 IBO655392 HRS655392 HHW655392 GYA655392 GOE655392 GEI655392 FUM655392 FKQ655392 FAU655392 EQY655392 EHC655392 DXG655392 DNK655392 DDO655392 CTS655392 CJW655392 CAA655392 BQE655392 BGI655392 AWM655392 AMQ655392 ACU655392 SY655392 JC655392 B655392 WVO589856 WLS589856 WBW589856 VSA589856 VIE589856 UYI589856 UOM589856 UEQ589856 TUU589856 TKY589856 TBC589856 SRG589856 SHK589856 RXO589856 RNS589856 RDW589856 QUA589856 QKE589856 QAI589856 PQM589856 PGQ589856 OWU589856 OMY589856 ODC589856 NTG589856 NJK589856 MZO589856 MPS589856 MFW589856 LWA589856 LME589856 LCI589856 KSM589856 KIQ589856 JYU589856 JOY589856 JFC589856 IVG589856 ILK589856 IBO589856 HRS589856 HHW589856 GYA589856 GOE589856 GEI589856 FUM589856 FKQ589856 FAU589856 EQY589856 EHC589856 DXG589856 DNK589856 DDO589856 CTS589856 CJW589856 CAA589856 BQE589856 BGI589856 AWM589856 AMQ589856 ACU589856 SY589856 JC589856 B589856 WVO524320 WLS524320 WBW524320 VSA524320 VIE524320 UYI524320 UOM524320 UEQ524320 TUU524320 TKY524320 TBC524320 SRG524320 SHK524320 RXO524320 RNS524320 RDW524320 QUA524320 QKE524320 QAI524320 PQM524320 PGQ524320 OWU524320 OMY524320 ODC524320 NTG524320 NJK524320 MZO524320 MPS524320 MFW524320 LWA524320 LME524320 LCI524320 KSM524320 KIQ524320 JYU524320 JOY524320 JFC524320 IVG524320 ILK524320 IBO524320 HRS524320 HHW524320 GYA524320 GOE524320 GEI524320 FUM524320 FKQ524320 FAU524320 EQY524320 EHC524320 DXG524320 DNK524320 DDO524320 CTS524320 CJW524320 CAA524320 BQE524320 BGI524320 AWM524320 AMQ524320 ACU524320 SY524320 JC524320 B524320 WVO458784 WLS458784 WBW458784 VSA458784 VIE458784 UYI458784 UOM458784 UEQ458784 TUU458784 TKY458784 TBC458784 SRG458784 SHK458784 RXO458784 RNS458784 RDW458784 QUA458784 QKE458784 QAI458784 PQM458784 PGQ458784 OWU458784 OMY458784 ODC458784 NTG458784 NJK458784 MZO458784 MPS458784 MFW458784 LWA458784 LME458784 LCI458784 KSM458784 KIQ458784 JYU458784 JOY458784 JFC458784 IVG458784 ILK458784 IBO458784 HRS458784 HHW458784 GYA458784 GOE458784 GEI458784 FUM458784 FKQ458784 FAU458784 EQY458784 EHC458784 DXG458784 DNK458784 DDO458784 CTS458784 CJW458784 CAA458784 BQE458784 BGI458784 AWM458784 AMQ458784 ACU458784 SY458784 JC458784 B458784 WVO393248 WLS393248 WBW393248 VSA393248 VIE393248 UYI393248 UOM393248 UEQ393248 TUU393248 TKY393248 TBC393248 SRG393248 SHK393248 RXO393248 RNS393248 RDW393248 QUA393248 QKE393248 QAI393248 PQM393248 PGQ393248 OWU393248 OMY393248 ODC393248 NTG393248 NJK393248 MZO393248 MPS393248 MFW393248 LWA393248 LME393248 LCI393248 KSM393248 KIQ393248 JYU393248 JOY393248 JFC393248 IVG393248 ILK393248 IBO393248 HRS393248 HHW393248 GYA393248 GOE393248 GEI393248 FUM393248 FKQ393248 FAU393248 EQY393248 EHC393248 DXG393248 DNK393248 DDO393248 CTS393248 CJW393248 CAA393248 BQE393248 BGI393248 AWM393248 AMQ393248 ACU393248 SY393248 JC393248 B393248 WVO327712 WLS327712 WBW327712 VSA327712 VIE327712 UYI327712 UOM327712 UEQ327712 TUU327712 TKY327712 TBC327712 SRG327712 SHK327712 RXO327712 RNS327712 RDW327712 QUA327712 QKE327712 QAI327712 PQM327712 PGQ327712 OWU327712 OMY327712 ODC327712 NTG327712 NJK327712 MZO327712 MPS327712 MFW327712 LWA327712 LME327712 LCI327712 KSM327712 KIQ327712 JYU327712 JOY327712 JFC327712 IVG327712 ILK327712 IBO327712 HRS327712 HHW327712 GYA327712 GOE327712 GEI327712 FUM327712 FKQ327712 FAU327712 EQY327712 EHC327712 DXG327712 DNK327712 DDO327712 CTS327712 CJW327712 CAA327712 BQE327712 BGI327712 AWM327712 AMQ327712 ACU327712 SY327712 JC327712 B327712 WVO262176 WLS262176 WBW262176 VSA262176 VIE262176 UYI262176 UOM262176 UEQ262176 TUU262176 TKY262176 TBC262176 SRG262176 SHK262176 RXO262176 RNS262176 RDW262176 QUA262176 QKE262176 QAI262176 PQM262176 PGQ262176 OWU262176 OMY262176 ODC262176 NTG262176 NJK262176 MZO262176 MPS262176 MFW262176 LWA262176 LME262176 LCI262176 KSM262176 KIQ262176 JYU262176 JOY262176 JFC262176 IVG262176 ILK262176 IBO262176 HRS262176 HHW262176 GYA262176 GOE262176 GEI262176 FUM262176 FKQ262176 FAU262176 EQY262176 EHC262176 DXG262176 DNK262176 DDO262176 CTS262176 CJW262176 CAA262176 BQE262176 BGI262176 AWM262176 AMQ262176 ACU262176 SY262176 JC262176 B262176 WVO196640 WLS196640 WBW196640 VSA196640 VIE196640 UYI196640 UOM196640 UEQ196640 TUU196640 TKY196640 TBC196640 SRG196640 SHK196640 RXO196640 RNS196640 RDW196640 QUA196640 QKE196640 QAI196640 PQM196640 PGQ196640 OWU196640 OMY196640 ODC196640 NTG196640 NJK196640 MZO196640 MPS196640 MFW196640 LWA196640 LME196640 LCI196640 KSM196640 KIQ196640 JYU196640 JOY196640 JFC196640 IVG196640 ILK196640 IBO196640 HRS196640 HHW196640 GYA196640 GOE196640 GEI196640 FUM196640 FKQ196640 FAU196640 EQY196640 EHC196640 DXG196640 DNK196640 DDO196640 CTS196640 CJW196640 CAA196640 BQE196640 BGI196640 AWM196640 AMQ196640 ACU196640 SY196640 JC196640 B196640 WVO131104 WLS131104 WBW131104 VSA131104 VIE131104 UYI131104 UOM131104 UEQ131104 TUU131104 TKY131104 TBC131104 SRG131104 SHK131104 RXO131104 RNS131104 RDW131104 QUA131104 QKE131104 QAI131104 PQM131104 PGQ131104 OWU131104 OMY131104 ODC131104 NTG131104 NJK131104 MZO131104 MPS131104 MFW131104 LWA131104 LME131104 LCI131104 KSM131104 KIQ131104 JYU131104 JOY131104 JFC131104 IVG131104 ILK131104 IBO131104 HRS131104 HHW131104 GYA131104 GOE131104 GEI131104 FUM131104 FKQ131104 FAU131104 EQY131104 EHC131104 DXG131104 DNK131104 DDO131104 CTS131104 CJW131104 CAA131104 BQE131104 BGI131104 AWM131104 AMQ131104 ACU131104 SY131104 JC131104 B131104 WVO65568 WLS65568 WBW65568 VSA65568 VIE65568 UYI65568 UOM65568 UEQ65568 TUU65568 TKY65568 TBC65568 SRG65568 SHK65568 RXO65568 RNS65568 RDW65568 QUA65568 QKE65568 QAI65568 PQM65568 PGQ65568 OWU65568 OMY65568 ODC65568 NTG65568 NJK65568 MZO65568 MPS65568 MFW65568 LWA65568 LME65568 LCI65568 KSM65568 KIQ65568 JYU65568 JOY65568 JFC65568 IVG65568 ILK65568 IBO65568 HRS65568 HHW65568 GYA65568 GOE65568 GEI65568 FUM65568 FKQ65568 FAU65568 EQY65568 EHC65568 DXG65568 DNK65568 DDO65568 CTS65568 CJW65568 CAA65568 BQE65568 BGI65568 AWM65568 AMQ65568 ACU65568 SY65568 JC65568 B65568 WVO32 WLS32 WBW32 VSA32 VIE32 UYI32 UOM32 UEQ32 TUU32 TKY32 TBC32 SRG32 SHK32 RXO32 RNS32 RDW32 QUA32 QKE32 QAI32 PQM32 PGQ32 OWU32 OMY32 ODC32 NTG32 NJK32 MZO32 MPS32 MFW32 LWA32 LME32 LCI32 KSM32 KIQ32 JYU32 JOY32 JFC32 IVG32 ILK32 IBO32 HRS32 HHW32 GYA32 GOE32 GEI32 FUM32 FKQ32 FAU32 EQY32 EHC32 DXG32 DNK32 DDO32 CTS32 CJW32 CAA32 BQE32 BGI32 AWM32 AMQ32 ACU32 SY32 JC32 B32 WVO983074 WLS983074 WBW983074 VSA983074 VIE983074 UYI983074 UOM983074 UEQ983074 TUU983074 TKY983074 TBC983074 SRG983074 SHK983074 RXO983074 RNS983074 RDW983074 QUA983074 QKE983074 QAI983074 PQM983074 PGQ983074 OWU983074 OMY983074 ODC983074 NTG983074 NJK983074 MZO983074 MPS983074 MFW983074 LWA983074 LME983074 LCI983074 KSM983074 KIQ983074 JYU983074 JOY983074 JFC983074 IVG983074 ILK983074 IBO983074 HRS983074 HHW983074 GYA983074 GOE983074 GEI983074 FUM983074 FKQ983074 FAU983074 EQY983074 EHC983074 DXG983074 DNK983074 DDO983074 CTS983074 CJW983074 CAA983074 BQE983074 BGI983074 AWM983074 AMQ983074 ACU983074 SY983074 JC983074 B983074 WVO917538 WLS917538 WBW917538 VSA917538 VIE917538 UYI917538 UOM917538 UEQ917538 TUU917538 TKY917538 TBC917538 SRG917538 SHK917538 RXO917538 RNS917538 RDW917538 QUA917538 QKE917538 QAI917538 PQM917538 PGQ917538 OWU917538 OMY917538 ODC917538 NTG917538 NJK917538 MZO917538 MPS917538 MFW917538 LWA917538 LME917538 LCI917538 KSM917538 KIQ917538 JYU917538 JOY917538 JFC917538 IVG917538 ILK917538 IBO917538 HRS917538 HHW917538 GYA917538 GOE917538 GEI917538 FUM917538 FKQ917538 FAU917538 EQY917538 EHC917538 DXG917538 DNK917538 DDO917538 CTS917538 CJW917538 CAA917538 BQE917538 BGI917538 AWM917538 AMQ917538 ACU917538 SY917538 JC917538 B917538 WVO852002 WLS852002 WBW852002 VSA852002 VIE852002 UYI852002 UOM852002 UEQ852002 TUU852002 TKY852002 TBC852002 SRG852002 SHK852002 RXO852002 RNS852002 RDW852002 QUA852002 QKE852002 QAI852002 PQM852002 PGQ852002 OWU852002 OMY852002 ODC852002 NTG852002 NJK852002 MZO852002 MPS852002 MFW852002 LWA852002 LME852002 LCI852002 KSM852002 KIQ852002 JYU852002 JOY852002 JFC852002 IVG852002 ILK852002 IBO852002 HRS852002 HHW852002 GYA852002 GOE852002 GEI852002 FUM852002 FKQ852002 FAU852002 EQY852002 EHC852002 DXG852002 DNK852002 DDO852002 CTS852002 CJW852002 CAA852002 BQE852002 BGI852002 AWM852002 AMQ852002 ACU852002 SY852002 JC852002 B852002 WVO786466 WLS786466 WBW786466 VSA786466 VIE786466 UYI786466 UOM786466 UEQ786466 TUU786466 TKY786466 TBC786466 SRG786466 SHK786466 RXO786466 RNS786466 RDW786466 QUA786466 QKE786466 QAI786466 PQM786466 PGQ786466 OWU786466 OMY786466 ODC786466 NTG786466 NJK786466 MZO786466 MPS786466 MFW786466 LWA786466 LME786466 LCI786466 KSM786466 KIQ786466 JYU786466 JOY786466 JFC786466 IVG786466 ILK786466 IBO786466 HRS786466 HHW786466 GYA786466 GOE786466 GEI786466 FUM786466 FKQ786466 FAU786466 EQY786466 EHC786466 DXG786466 DNK786466 DDO786466 CTS786466 CJW786466 CAA786466 BQE786466 BGI786466 AWM786466 AMQ786466 ACU786466 SY786466 JC786466 B786466 WVO720930 WLS720930 WBW720930 VSA720930 VIE720930 UYI720930 UOM720930 UEQ720930 TUU720930 TKY720930 TBC720930 SRG720930 SHK720930 RXO720930 RNS720930 RDW720930 QUA720930 QKE720930 QAI720930 PQM720930 PGQ720930 OWU720930 OMY720930 ODC720930 NTG720930 NJK720930 MZO720930 MPS720930 MFW720930 LWA720930 LME720930 LCI720930 KSM720930 KIQ720930 JYU720930 JOY720930 JFC720930 IVG720930 ILK720930 IBO720930 HRS720930 HHW720930 GYA720930 GOE720930 GEI720930 FUM720930 FKQ720930 FAU720930 EQY720930 EHC720930 DXG720930 DNK720930 DDO720930 CTS720930 CJW720930 CAA720930 BQE720930 BGI720930 AWM720930 AMQ720930 ACU720930 SY720930 JC720930 B720930 WVO655394 WLS655394 WBW655394 VSA655394 VIE655394 UYI655394 UOM655394 UEQ655394 TUU655394 TKY655394 TBC655394 SRG655394 SHK655394 RXO655394 RNS655394 RDW655394 QUA655394 QKE655394 QAI655394 PQM655394 PGQ655394 OWU655394 OMY655394 ODC655394 NTG655394 NJK655394 MZO655394 MPS655394 MFW655394 LWA655394 LME655394 LCI655394 KSM655394 KIQ655394 JYU655394 JOY655394 JFC655394 IVG655394 ILK655394 IBO655394 HRS655394 HHW655394 GYA655394 GOE655394 GEI655394 FUM655394 FKQ655394 FAU655394 EQY655394 EHC655394 DXG655394 DNK655394 DDO655394 CTS655394 CJW655394 CAA655394 BQE655394 BGI655394 AWM655394 AMQ655394 ACU655394 SY655394 JC655394 B655394 WVO589858 WLS589858 WBW589858 VSA589858 VIE589858 UYI589858 UOM589858 UEQ589858 TUU589858 TKY589858 TBC589858 SRG589858 SHK589858 RXO589858 RNS589858 RDW589858 QUA589858 QKE589858 QAI589858 PQM589858 PGQ589858 OWU589858 OMY589858 ODC589858 NTG589858 NJK589858 MZO589858 MPS589858 MFW589858 LWA589858 LME589858 LCI589858 KSM589858 KIQ589858 JYU589858 JOY589858 JFC589858 IVG589858 ILK589858 IBO589858 HRS589858 HHW589858 GYA589858 GOE589858 GEI589858 FUM589858 FKQ589858 FAU589858 EQY589858 EHC589858 DXG589858 DNK589858 DDO589858 CTS589858 CJW589858 CAA589858 BQE589858 BGI589858 AWM589858 AMQ589858 ACU589858 SY589858 JC589858 B589858 WVO524322 WLS524322 WBW524322 VSA524322 VIE524322 UYI524322 UOM524322 UEQ524322 TUU524322 TKY524322 TBC524322 SRG524322 SHK524322 RXO524322 RNS524322 RDW524322 QUA524322 QKE524322 QAI524322 PQM524322 PGQ524322 OWU524322 OMY524322 ODC524322 NTG524322 NJK524322 MZO524322 MPS524322 MFW524322 LWA524322 LME524322 LCI524322 KSM524322 KIQ524322 JYU524322 JOY524322 JFC524322 IVG524322 ILK524322 IBO524322 HRS524322 HHW524322 GYA524322 GOE524322 GEI524322 FUM524322 FKQ524322 FAU524322 EQY524322 EHC524322 DXG524322 DNK524322 DDO524322 CTS524322 CJW524322 CAA524322 BQE524322 BGI524322 AWM524322 AMQ524322 ACU524322 SY524322 JC524322 B524322 WVO458786 WLS458786 WBW458786 VSA458786 VIE458786 UYI458786 UOM458786 UEQ458786 TUU458786 TKY458786 TBC458786 SRG458786 SHK458786 RXO458786 RNS458786 RDW458786 QUA458786 QKE458786 QAI458786 PQM458786 PGQ458786 OWU458786 OMY458786 ODC458786 NTG458786 NJK458786 MZO458786 MPS458786 MFW458786 LWA458786 LME458786 LCI458786 KSM458786 KIQ458786 JYU458786 JOY458786 JFC458786 IVG458786 ILK458786 IBO458786 HRS458786 HHW458786 GYA458786 GOE458786 GEI458786 FUM458786 FKQ458786 FAU458786 EQY458786 EHC458786 DXG458786 DNK458786 DDO458786 CTS458786 CJW458786 CAA458786 BQE458786 BGI458786 AWM458786 AMQ458786 ACU458786 SY458786 JC458786 B458786 WVO393250 WLS393250 WBW393250 VSA393250 VIE393250 UYI393250 UOM393250 UEQ393250 TUU393250 TKY393250 TBC393250 SRG393250 SHK393250 RXO393250 RNS393250 RDW393250 QUA393250 QKE393250 QAI393250 PQM393250 PGQ393250 OWU393250 OMY393250 ODC393250 NTG393250 NJK393250 MZO393250 MPS393250 MFW393250 LWA393250 LME393250 LCI393250 KSM393250 KIQ393250 JYU393250 JOY393250 JFC393250 IVG393250 ILK393250 IBO393250 HRS393250 HHW393250 GYA393250 GOE393250 GEI393250 FUM393250 FKQ393250 FAU393250 EQY393250 EHC393250 DXG393250 DNK393250 DDO393250 CTS393250 CJW393250 CAA393250 BQE393250 BGI393250 AWM393250 AMQ393250 ACU393250 SY393250 JC393250 B393250 WVO327714 WLS327714 WBW327714 VSA327714 VIE327714 UYI327714 UOM327714 UEQ327714 TUU327714 TKY327714 TBC327714 SRG327714 SHK327714 RXO327714 RNS327714 RDW327714 QUA327714 QKE327714 QAI327714 PQM327714 PGQ327714 OWU327714 OMY327714 ODC327714 NTG327714 NJK327714 MZO327714 MPS327714 MFW327714 LWA327714 LME327714 LCI327714 KSM327714 KIQ327714 JYU327714 JOY327714 JFC327714 IVG327714 ILK327714 IBO327714 HRS327714 HHW327714 GYA327714 GOE327714 GEI327714 FUM327714 FKQ327714 FAU327714 EQY327714 EHC327714 DXG327714 DNK327714 DDO327714 CTS327714 CJW327714 CAA327714 BQE327714 BGI327714 AWM327714 AMQ327714 ACU327714 SY327714 JC327714 B327714 WVO262178 WLS262178 WBW262178 VSA262178 VIE262178 UYI262178 UOM262178 UEQ262178 TUU262178 TKY262178 TBC262178 SRG262178 SHK262178 RXO262178 RNS262178 RDW262178 QUA262178 QKE262178 QAI262178 PQM262178 PGQ262178 OWU262178 OMY262178 ODC262178 NTG262178 NJK262178 MZO262178 MPS262178 MFW262178 LWA262178 LME262178 LCI262178 KSM262178 KIQ262178 JYU262178 JOY262178 JFC262178 IVG262178 ILK262178 IBO262178 HRS262178 HHW262178 GYA262178 GOE262178 GEI262178 FUM262178 FKQ262178 FAU262178 EQY262178 EHC262178 DXG262178 DNK262178 DDO262178 CTS262178 CJW262178 CAA262178 BQE262178 BGI262178 AWM262178 AMQ262178 ACU262178 SY262178 JC262178 B262178 WVO196642 WLS196642 WBW196642 VSA196642 VIE196642 UYI196642 UOM196642 UEQ196642 TUU196642 TKY196642 TBC196642 SRG196642 SHK196642 RXO196642 RNS196642 RDW196642 QUA196642 QKE196642 QAI196642 PQM196642 PGQ196642 OWU196642 OMY196642 ODC196642 NTG196642 NJK196642 MZO196642 MPS196642 MFW196642 LWA196642 LME196642 LCI196642 KSM196642 KIQ196642 JYU196642 JOY196642 JFC196642 IVG196642 ILK196642 IBO196642 HRS196642 HHW196642 GYA196642 GOE196642 GEI196642 FUM196642 FKQ196642 FAU196642 EQY196642 EHC196642 DXG196642 DNK196642 DDO196642 CTS196642 CJW196642 CAA196642 BQE196642 BGI196642 AWM196642 AMQ196642 ACU196642 SY196642 JC196642 B196642 WVO131106 WLS131106 WBW131106 VSA131106 VIE131106 UYI131106 UOM131106 UEQ131106 TUU131106 TKY131106 TBC131106 SRG131106 SHK131106 RXO131106 RNS131106 RDW131106 QUA131106 QKE131106 QAI131106 PQM131106 PGQ131106 OWU131106 OMY131106 ODC131106 NTG131106 NJK131106 MZO131106 MPS131106 MFW131106 LWA131106 LME131106 LCI131106 KSM131106 KIQ131106 JYU131106 JOY131106 JFC131106 IVG131106 ILK131106 IBO131106 HRS131106 HHW131106 GYA131106 GOE131106 GEI131106 FUM131106 FKQ131106 FAU131106 EQY131106 EHC131106 DXG131106 DNK131106 DDO131106 CTS131106 CJW131106 CAA131106 BQE131106 BGI131106 AWM131106 AMQ131106 ACU131106 SY131106 JC131106 B131106 WVO65570 WLS65570 WBW65570 VSA65570 VIE65570 UYI65570 UOM65570 UEQ65570 TUU65570 TKY65570 TBC65570 SRG65570 SHK65570 RXO65570 RNS65570 RDW65570 QUA65570 QKE65570 QAI65570 PQM65570 PGQ65570 OWU65570 OMY65570 ODC65570 NTG65570 NJK65570 MZO65570 MPS65570 MFW65570 LWA65570 LME65570 LCI65570 KSM65570 KIQ65570 JYU65570 JOY65570 JFC65570 IVG65570 ILK65570 IBO65570 HRS65570 HHW65570 GYA65570 GOE65570 GEI65570 FUM65570 FKQ65570 FAU65570 EQY65570 EHC65570 DXG65570 DNK65570 DDO65570 CTS65570 CJW65570 CAA65570 BQE65570 BGI65570 AWM65570 AMQ65570 ACU65570 SY65570 JC65570 B65570 WVO34 WLS34 WBW34 VSA34 VIE34 UYI34 UOM34 UEQ34 TUU34 TKY34 TBC34 SRG34 SHK34 RXO34 RNS34 RDW34 QUA34 QKE34 QAI34 PQM34 PGQ34 OWU34 OMY34 ODC34 NTG34 NJK34 MZO34 MPS34 MFW34 LWA34 LME34 LCI34 KSM34 KIQ34 JYU34 JOY34 JFC34 IVG34 ILK34 IBO34 HRS34 HHW34 GYA34 GOE34 GEI34 FUM34 FKQ34 FAU34 EQY34 EHC34 DXG34 DNK34 DDO34 CTS34 CJW34 CAA34 BQE34 BGI34 AWM34 AMQ34 ACU34 SY34 JC34 B34 WVO983076 WLS983076 WBW983076 VSA983076 VIE983076 UYI983076 UOM983076 UEQ983076 TUU983076 TKY983076 TBC983076 SRG983076 SHK983076 RXO983076 RNS983076 RDW983076 QUA983076 QKE983076 QAI983076 PQM983076 PGQ983076 OWU983076 OMY983076 ODC983076 NTG983076 NJK983076 MZO983076 MPS983076 MFW983076 LWA983076 LME983076 LCI983076 KSM983076 KIQ983076 JYU983076 JOY983076 JFC983076 IVG983076 ILK983076 IBO983076 HRS983076 HHW983076 GYA983076 GOE983076 GEI983076 FUM983076 FKQ983076 FAU983076 EQY983076 EHC983076 DXG983076 DNK983076 DDO983076 CTS983076 CJW983076 CAA983076 BQE983076 BGI983076 AWM983076 AMQ983076 ACU983076 SY983076 JC983076 B983076 WVO917540 WLS917540 WBW917540 VSA917540 VIE917540 UYI917540 UOM917540 UEQ917540 TUU917540 TKY917540 TBC917540 SRG917540 SHK917540 RXO917540 RNS917540 RDW917540 QUA917540 QKE917540 QAI917540 PQM917540 PGQ917540 OWU917540 OMY917540 ODC917540 NTG917540 NJK917540 MZO917540 MPS917540 MFW917540 LWA917540 LME917540 LCI917540 KSM917540 KIQ917540 JYU917540 JOY917540 JFC917540 IVG917540 ILK917540 IBO917540 HRS917540 HHW917540 GYA917540 GOE917540 GEI917540 FUM917540 FKQ917540 FAU917540 EQY917540 EHC917540 DXG917540 DNK917540 DDO917540 CTS917540 CJW917540 CAA917540 BQE917540 BGI917540 AWM917540 AMQ917540 ACU917540 SY917540 JC917540 B917540 WVO852004 WLS852004 WBW852004 VSA852004 VIE852004 UYI852004 UOM852004 UEQ852004 TUU852004 TKY852004 TBC852004 SRG852004 SHK852004 RXO852004 RNS852004 RDW852004 QUA852004 QKE852004 QAI852004 PQM852004 PGQ852004 OWU852004 OMY852004 ODC852004 NTG852004 NJK852004 MZO852004 MPS852004 MFW852004 LWA852004 LME852004 LCI852004 KSM852004 KIQ852004 JYU852004 JOY852004 JFC852004 IVG852004 ILK852004 IBO852004 HRS852004 HHW852004 GYA852004 GOE852004 GEI852004 FUM852004 FKQ852004 FAU852004 EQY852004 EHC852004 DXG852004 DNK852004 DDO852004 CTS852004 CJW852004 CAA852004 BQE852004 BGI852004 AWM852004 AMQ852004 ACU852004 SY852004 JC852004 B852004 WVO786468 WLS786468 WBW786468 VSA786468 VIE786468 UYI786468 UOM786468 UEQ786468 TUU786468 TKY786468 TBC786468 SRG786468 SHK786468 RXO786468 RNS786468 RDW786468 QUA786468 QKE786468 QAI786468 PQM786468 PGQ786468 OWU786468 OMY786468 ODC786468 NTG786468 NJK786468 MZO786468 MPS786468 MFW786468 LWA786468 LME786468 LCI786468 KSM786468 KIQ786468 JYU786468 JOY786468 JFC786468 IVG786468 ILK786468 IBO786468 HRS786468 HHW786468 GYA786468 GOE786468 GEI786468 FUM786468 FKQ786468 FAU786468 EQY786468 EHC786468 DXG786468 DNK786468 DDO786468 CTS786468 CJW786468 CAA786468 BQE786468 BGI786468 AWM786468 AMQ786468 ACU786468 SY786468 JC786468 B786468 WVO720932 WLS720932 WBW720932 VSA720932 VIE720932 UYI720932 UOM720932 UEQ720932 TUU720932 TKY720932 TBC720932 SRG720932 SHK720932 RXO720932 RNS720932 RDW720932 QUA720932 QKE720932 QAI720932 PQM720932 PGQ720932 OWU720932 OMY720932 ODC720932 NTG720932 NJK720932 MZO720932 MPS720932 MFW720932 LWA720932 LME720932 LCI720932 KSM720932 KIQ720932 JYU720932 JOY720932 JFC720932 IVG720932 ILK720932 IBO720932 HRS720932 HHW720932 GYA720932 GOE720932 GEI720932 FUM720932 FKQ720932 FAU720932 EQY720932 EHC720932 DXG720932 DNK720932 DDO720932 CTS720932 CJW720932 CAA720932 BQE720932 BGI720932 AWM720932 AMQ720932 ACU720932 SY720932 JC720932 B720932 WVO655396 WLS655396 WBW655396 VSA655396 VIE655396 UYI655396 UOM655396 UEQ655396 TUU655396 TKY655396 TBC655396 SRG655396 SHK655396 RXO655396 RNS655396 RDW655396 QUA655396 QKE655396 QAI655396 PQM655396 PGQ655396 OWU655396 OMY655396 ODC655396 NTG655396 NJK655396 MZO655396 MPS655396 MFW655396 LWA655396 LME655396 LCI655396 KSM655396 KIQ655396 JYU655396 JOY655396 JFC655396 IVG655396 ILK655396 IBO655396 HRS655396 HHW655396 GYA655396 GOE655396 GEI655396 FUM655396 FKQ655396 FAU655396 EQY655396 EHC655396 DXG655396 DNK655396 DDO655396 CTS655396 CJW655396 CAA655396 BQE655396 BGI655396 AWM655396 AMQ655396 ACU655396 SY655396 JC655396 B655396 WVO589860 WLS589860 WBW589860 VSA589860 VIE589860 UYI589860 UOM589860 UEQ589860 TUU589860 TKY589860 TBC589860 SRG589860 SHK589860 RXO589860 RNS589860 RDW589860 QUA589860 QKE589860 QAI589860 PQM589860 PGQ589860 OWU589860 OMY589860 ODC589860 NTG589860 NJK589860 MZO589860 MPS589860 MFW589860 LWA589860 LME589860 LCI589860 KSM589860 KIQ589860 JYU589860 JOY589860 JFC589860 IVG589860 ILK589860 IBO589860 HRS589860 HHW589860 GYA589860 GOE589860 GEI589860 FUM589860 FKQ589860 FAU589860 EQY589860 EHC589860 DXG589860 DNK589860 DDO589860 CTS589860 CJW589860 CAA589860 BQE589860 BGI589860 AWM589860 AMQ589860 ACU589860 SY589860 JC589860 B589860 WVO524324 WLS524324 WBW524324 VSA524324 VIE524324 UYI524324 UOM524324 UEQ524324 TUU524324 TKY524324 TBC524324 SRG524324 SHK524324 RXO524324 RNS524324 RDW524324 QUA524324 QKE524324 QAI524324 PQM524324 PGQ524324 OWU524324 OMY524324 ODC524324 NTG524324 NJK524324 MZO524324 MPS524324 MFW524324 LWA524324 LME524324 LCI524324 KSM524324 KIQ524324 JYU524324 JOY524324 JFC524324 IVG524324 ILK524324 IBO524324 HRS524324 HHW524324 GYA524324 GOE524324 GEI524324 FUM524324 FKQ524324 FAU524324 EQY524324 EHC524324 DXG524324 DNK524324 DDO524324 CTS524324 CJW524324 CAA524324 BQE524324 BGI524324 AWM524324 AMQ524324 ACU524324 SY524324 JC524324 B524324 WVO458788 WLS458788 WBW458788 VSA458788 VIE458788 UYI458788 UOM458788 UEQ458788 TUU458788 TKY458788 TBC458788 SRG458788 SHK458788 RXO458788 RNS458788 RDW458788 QUA458788 QKE458788 QAI458788 PQM458788 PGQ458788 OWU458788 OMY458788 ODC458788 NTG458788 NJK458788 MZO458788 MPS458788 MFW458788 LWA458788 LME458788 LCI458788 KSM458788 KIQ458788 JYU458788 JOY458788 JFC458788 IVG458788 ILK458788 IBO458788 HRS458788 HHW458788 GYA458788 GOE458788 GEI458788 FUM458788 FKQ458788 FAU458788 EQY458788 EHC458788 DXG458788 DNK458788 DDO458788 CTS458788 CJW458788 CAA458788 BQE458788 BGI458788 AWM458788 AMQ458788 ACU458788 SY458788 JC458788 B458788 WVO393252 WLS393252 WBW393252 VSA393252 VIE393252 UYI393252 UOM393252 UEQ393252 TUU393252 TKY393252 TBC393252 SRG393252 SHK393252 RXO393252 RNS393252 RDW393252 QUA393252 QKE393252 QAI393252 PQM393252 PGQ393252 OWU393252 OMY393252 ODC393252 NTG393252 NJK393252 MZO393252 MPS393252 MFW393252 LWA393252 LME393252 LCI393252 KSM393252 KIQ393252 JYU393252 JOY393252 JFC393252 IVG393252 ILK393252 IBO393252 HRS393252 HHW393252 GYA393252 GOE393252 GEI393252 FUM393252 FKQ393252 FAU393252 EQY393252 EHC393252 DXG393252 DNK393252 DDO393252 CTS393252 CJW393252 CAA393252 BQE393252 BGI393252 AWM393252 AMQ393252 ACU393252 SY393252 JC393252 B393252 WVO327716 WLS327716 WBW327716 VSA327716 VIE327716 UYI327716 UOM327716 UEQ327716 TUU327716 TKY327716 TBC327716 SRG327716 SHK327716 RXO327716 RNS327716 RDW327716 QUA327716 QKE327716 QAI327716 PQM327716 PGQ327716 OWU327716 OMY327716 ODC327716 NTG327716 NJK327716 MZO327716 MPS327716 MFW327716 LWA327716 LME327716 LCI327716 KSM327716 KIQ327716 JYU327716 JOY327716 JFC327716 IVG327716 ILK327716 IBO327716 HRS327716 HHW327716 GYA327716 GOE327716 GEI327716 FUM327716 FKQ327716 FAU327716 EQY327716 EHC327716 DXG327716 DNK327716 DDO327716 CTS327716 CJW327716 CAA327716 BQE327716 BGI327716 AWM327716 AMQ327716 ACU327716 SY327716 JC327716 B327716 WVO262180 WLS262180 WBW262180 VSA262180 VIE262180 UYI262180 UOM262180 UEQ262180 TUU262180 TKY262180 TBC262180 SRG262180 SHK262180 RXO262180 RNS262180 RDW262180 QUA262180 QKE262180 QAI262180 PQM262180 PGQ262180 OWU262180 OMY262180 ODC262180 NTG262180 NJK262180 MZO262180 MPS262180 MFW262180 LWA262180 LME262180 LCI262180 KSM262180 KIQ262180 JYU262180 JOY262180 JFC262180 IVG262180 ILK262180 IBO262180 HRS262180 HHW262180 GYA262180 GOE262180 GEI262180 FUM262180 FKQ262180 FAU262180 EQY262180 EHC262180 DXG262180 DNK262180 DDO262180 CTS262180 CJW262180 CAA262180 BQE262180 BGI262180 AWM262180 AMQ262180 ACU262180 SY262180 JC262180 B262180 WVO196644 WLS196644 WBW196644 VSA196644 VIE196644 UYI196644 UOM196644 UEQ196644 TUU196644 TKY196644 TBC196644 SRG196644 SHK196644 RXO196644 RNS196644 RDW196644 QUA196644 QKE196644 QAI196644 PQM196644 PGQ196644 OWU196644 OMY196644 ODC196644 NTG196644 NJK196644 MZO196644 MPS196644 MFW196644 LWA196644 LME196644 LCI196644 KSM196644 KIQ196644 JYU196644 JOY196644 JFC196644 IVG196644 ILK196644 IBO196644 HRS196644 HHW196644 GYA196644 GOE196644 GEI196644 FUM196644 FKQ196644 FAU196644 EQY196644 EHC196644 DXG196644 DNK196644 DDO196644 CTS196644 CJW196644 CAA196644 BQE196644 BGI196644 AWM196644 AMQ196644 ACU196644 SY196644 JC196644 B196644 WVO131108 WLS131108 WBW131108 VSA131108 VIE131108 UYI131108 UOM131108 UEQ131108 TUU131108 TKY131108 TBC131108 SRG131108 SHK131108 RXO131108 RNS131108 RDW131108 QUA131108 QKE131108 QAI131108 PQM131108 PGQ131108 OWU131108 OMY131108 ODC131108 NTG131108 NJK131108 MZO131108 MPS131108 MFW131108 LWA131108 LME131108 LCI131108 KSM131108 KIQ131108 JYU131108 JOY131108 JFC131108 IVG131108 ILK131108 IBO131108 HRS131108 HHW131108 GYA131108 GOE131108 GEI131108 FUM131108 FKQ131108 FAU131108 EQY131108 EHC131108 DXG131108 DNK131108 DDO131108 CTS131108 CJW131108 CAA131108 BQE131108 BGI131108 AWM131108 AMQ131108 ACU131108 SY131108 JC131108 B131108 WVO65572 WLS65572 WBW65572 VSA65572 VIE65572 UYI65572 UOM65572 UEQ65572 TUU65572 TKY65572 TBC65572 SRG65572 SHK65572 RXO65572 RNS65572 RDW65572 QUA65572 QKE65572 QAI65572 PQM65572 PGQ65572 OWU65572 OMY65572 ODC65572 NTG65572 NJK65572 MZO65572 MPS65572 MFW65572 LWA65572 LME65572 LCI65572 KSM65572 KIQ65572 JYU65572 JOY65572 JFC65572 IVG65572 ILK65572 IBO65572 HRS65572 HHW65572 GYA65572 GOE65572 GEI65572 FUM65572 FKQ65572 FAU65572 EQY65572 EHC65572 DXG65572 DNK65572 DDO65572 CTS65572 CJW65572 CAA65572 BQE65572 BGI65572 AWM65572 AMQ65572 ACU65572 SY65572 JC65572 B65572 WVO36 WLS36 WBW36 VSA36 VIE36 UYI36 UOM36 UEQ36 TUU36 TKY36 TBC36 SRG36 SHK36 RXO36 RNS36 RDW36 QUA36 QKE36 QAI36 PQM36 PGQ36 OWU36 OMY36 ODC36 NTG36 NJK36 MZO36 MPS36 MFW36 LWA36 LME36 LCI36 KSM36 KIQ36 JYU36 JOY36 JFC36 IVG36 ILK36 IBO36 HRS36 HHW36 GYA36 GOE36 GEI36 FUM36 FKQ36 FAU36 EQY36 EHC36 DXG36 DNK36 DDO36 CTS36 CJW36 CAA36 BQE36 BGI36 AWM36 AMQ36 ACU36 SY36 JC36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BAB22-C144-4CCE-B4FB-DB5CF6E18F2E}">
  <dimension ref="B3:R50"/>
  <sheetViews>
    <sheetView showGridLines="0" topLeftCell="A43" workbookViewId="0">
      <selection activeCell="N66" sqref="N66"/>
    </sheetView>
  </sheetViews>
  <sheetFormatPr defaultRowHeight="15" x14ac:dyDescent="0.25"/>
  <cols>
    <col min="2" max="2" width="19.42578125" bestFit="1" customWidth="1"/>
  </cols>
  <sheetData>
    <row r="3" spans="2:18" x14ac:dyDescent="0.25">
      <c r="B3" s="765" t="s">
        <v>431</v>
      </c>
      <c r="C3" s="763" t="str">
        <f>'Revenue Build'!AC3</f>
        <v>1Q23</v>
      </c>
      <c r="D3" s="763" t="str">
        <f>'Revenue Build'!AD3</f>
        <v>2Q23</v>
      </c>
      <c r="E3" s="763" t="str">
        <f>'Revenue Build'!AE3</f>
        <v>3Q23</v>
      </c>
      <c r="F3" s="763" t="str">
        <f>'Revenue Build'!AF3</f>
        <v>4Q23</v>
      </c>
      <c r="G3" s="763" t="str">
        <f>'Revenue Build'!AH3</f>
        <v>1Q24</v>
      </c>
      <c r="H3" s="763" t="str">
        <f>'Revenue Build'!AI3</f>
        <v>2Q24</v>
      </c>
      <c r="I3" s="763" t="str">
        <f>'Revenue Build'!AJ3</f>
        <v>3Q24</v>
      </c>
      <c r="J3" s="763" t="str">
        <f>'Revenue Build'!AK3</f>
        <v>4Q24</v>
      </c>
      <c r="K3" s="763" t="str">
        <f>'Revenue Build'!AM3</f>
        <v>1Q25</v>
      </c>
      <c r="L3" s="763" t="str">
        <f>'Revenue Build'!AN3</f>
        <v>2Q25</v>
      </c>
      <c r="M3" s="763" t="str">
        <f>'Revenue Build'!AO3</f>
        <v>3Q25</v>
      </c>
      <c r="N3" s="763" t="str">
        <f>'Revenue Build'!AP3</f>
        <v>4Q25</v>
      </c>
      <c r="O3" s="763" t="str">
        <f>'Revenue Build'!AR3</f>
        <v>1Q26</v>
      </c>
      <c r="P3" s="763" t="str">
        <f>'Revenue Build'!AS3</f>
        <v>2Q26</v>
      </c>
      <c r="Q3" s="763" t="str">
        <f>'Revenue Build'!AT3</f>
        <v>3Q26E</v>
      </c>
      <c r="R3" s="763" t="str">
        <f>'Revenue Build'!AU3</f>
        <v>4Q26E</v>
      </c>
    </row>
    <row r="4" spans="2:18" x14ac:dyDescent="0.25">
      <c r="B4" s="764" t="s">
        <v>430</v>
      </c>
      <c r="C4" s="764">
        <f>'Revenue Build'!AC5</f>
        <v>5100</v>
      </c>
      <c r="D4" s="764">
        <f>'Revenue Build'!AD5</f>
        <v>3500</v>
      </c>
      <c r="E4" s="764">
        <f>'Revenue Build'!AE5</f>
        <v>3700</v>
      </c>
      <c r="F4" s="764">
        <f>'Revenue Build'!AF5</f>
        <v>5300</v>
      </c>
      <c r="G4" s="764">
        <f>'Revenue Build'!AH5</f>
        <v>3700</v>
      </c>
      <c r="H4" s="764">
        <f>'Revenue Build'!AI5</f>
        <v>100</v>
      </c>
      <c r="I4" s="764">
        <f>'Revenue Build'!AJ5</f>
        <v>3500</v>
      </c>
      <c r="J4" s="764">
        <f>'Revenue Build'!AK5</f>
        <v>4500</v>
      </c>
      <c r="K4" s="764">
        <f>'Revenue Build'!AM5</f>
        <v>4900</v>
      </c>
      <c r="L4" s="764">
        <f>'Revenue Build'!AN5</f>
        <v>4500</v>
      </c>
      <c r="M4" s="764">
        <f>'Revenue Build'!AO5</f>
        <v>4200</v>
      </c>
      <c r="N4" s="764">
        <f>'Revenue Build'!AP5</f>
        <v>4700</v>
      </c>
      <c r="O4" s="764">
        <f>'Revenue Build'!AR5</f>
        <v>4000</v>
      </c>
      <c r="P4" s="764">
        <f>'Revenue Build'!AS5</f>
        <v>4000</v>
      </c>
      <c r="Q4" s="764">
        <f>'Revenue Build'!AT5</f>
        <v>3750</v>
      </c>
      <c r="R4" s="764">
        <f>'Revenue Build'!AU5</f>
        <v>3750</v>
      </c>
    </row>
    <row r="5" spans="2:18" x14ac:dyDescent="0.25">
      <c r="B5" s="764" t="s">
        <v>429</v>
      </c>
      <c r="C5" s="764">
        <f>'Revenue Build'!AC36</f>
        <v>2100</v>
      </c>
      <c r="D5" s="764">
        <f>'Revenue Build'!AD36</f>
        <v>1900</v>
      </c>
      <c r="E5" s="764">
        <f>'Revenue Build'!AE36</f>
        <v>2400</v>
      </c>
      <c r="F5" s="764">
        <f>'Revenue Build'!AF36</f>
        <v>2100</v>
      </c>
      <c r="G5" s="764">
        <f>'Revenue Build'!AH36</f>
        <v>1500</v>
      </c>
      <c r="H5" s="764">
        <f>'Revenue Build'!AI36</f>
        <v>900</v>
      </c>
      <c r="I5" s="764">
        <f>'Revenue Build'!AJ36</f>
        <v>1900</v>
      </c>
      <c r="J5" s="764">
        <f>'Revenue Build'!AK36</f>
        <v>1300</v>
      </c>
      <c r="K5" s="764">
        <f>'Revenue Build'!AM36</f>
        <v>1600</v>
      </c>
      <c r="L5" s="764">
        <f>'Revenue Build'!AN36</f>
        <v>1400</v>
      </c>
      <c r="M5" s="764">
        <f>'Revenue Build'!AO36</f>
        <v>1700</v>
      </c>
      <c r="N5" s="764">
        <f>'Revenue Build'!AP36</f>
        <v>1600</v>
      </c>
      <c r="O5" s="764">
        <f>'Revenue Build'!AR36</f>
        <v>1400</v>
      </c>
      <c r="P5" s="764">
        <f>'Revenue Build'!AS36</f>
        <v>1500</v>
      </c>
      <c r="Q5" s="764">
        <f>'Revenue Build'!AT36</f>
        <v>1250</v>
      </c>
      <c r="R5" s="764">
        <f>'Revenue Build'!AU36</f>
        <v>1250</v>
      </c>
    </row>
    <row r="24" spans="2:18" x14ac:dyDescent="0.25">
      <c r="B24" s="765" t="s">
        <v>441</v>
      </c>
      <c r="C24" s="763" t="str">
        <f>'Revenue Build'!AC3</f>
        <v>1Q23</v>
      </c>
      <c r="D24" s="763" t="str">
        <f>'Revenue Build'!AD3</f>
        <v>2Q23</v>
      </c>
      <c r="E24" s="763" t="str">
        <f>'Revenue Build'!AE3</f>
        <v>3Q23</v>
      </c>
      <c r="F24" s="763" t="str">
        <f>'Revenue Build'!AF3</f>
        <v>4Q23</v>
      </c>
      <c r="G24" s="763" t="str">
        <f>'Revenue Build'!AH3</f>
        <v>1Q24</v>
      </c>
      <c r="H24" s="763" t="str">
        <f>'Revenue Build'!AI3</f>
        <v>2Q24</v>
      </c>
      <c r="I24" s="763" t="str">
        <f>'Revenue Build'!AJ3</f>
        <v>3Q24</v>
      </c>
      <c r="J24" s="763" t="str">
        <f>'Revenue Build'!AK3</f>
        <v>4Q24</v>
      </c>
      <c r="K24" s="763" t="str">
        <f>'Revenue Build'!AM3</f>
        <v>1Q25</v>
      </c>
      <c r="L24" s="763" t="str">
        <f>'Revenue Build'!AN3</f>
        <v>2Q25</v>
      </c>
      <c r="M24" s="763" t="str">
        <f>'Revenue Build'!AO3</f>
        <v>3Q25</v>
      </c>
      <c r="N24" s="763" t="str">
        <f>'Revenue Build'!AP3</f>
        <v>4Q25</v>
      </c>
      <c r="O24" s="763" t="str">
        <f>'Revenue Build'!AR3</f>
        <v>1Q26</v>
      </c>
      <c r="P24" s="763" t="str">
        <f>'Revenue Build'!AS3</f>
        <v>2Q26</v>
      </c>
      <c r="Q24" s="763" t="str">
        <f>'Revenue Build'!AT3</f>
        <v>3Q26E</v>
      </c>
      <c r="R24" s="763" t="str">
        <f>'Revenue Build'!AU3</f>
        <v>4Q26E</v>
      </c>
    </row>
    <row r="25" spans="2:18" x14ac:dyDescent="0.25">
      <c r="B25" s="764" t="s">
        <v>430</v>
      </c>
      <c r="C25" s="796">
        <f>'Revenue Build'!AC23</f>
        <v>13.572710951526032</v>
      </c>
      <c r="D25" s="796">
        <f>'Revenue Build'!AD23</f>
        <v>13.843478260869565</v>
      </c>
      <c r="E25" s="796">
        <f>'Revenue Build'!AE23</f>
        <v>14.981818181818182</v>
      </c>
      <c r="F25" s="796">
        <f>'Revenue Build'!AF23</f>
        <v>15.209380234505861</v>
      </c>
      <c r="G25" s="796">
        <f>'Revenue Build'!AH23</f>
        <v>15.553719008264464</v>
      </c>
      <c r="H25" s="796">
        <f>'Revenue Build'!AI23</f>
        <v>15.232198142414861</v>
      </c>
      <c r="I25" s="796">
        <f>'Revenue Build'!AJ23</f>
        <v>16.157635467980295</v>
      </c>
      <c r="J25" s="796">
        <f>'Revenue Build'!AK23</f>
        <v>16.086956521739129</v>
      </c>
      <c r="K25" s="796">
        <f>'Revenue Build'!AM23</f>
        <v>16.12348596750369</v>
      </c>
      <c r="L25" s="796">
        <f>'Revenue Build'!AN23</f>
        <v>15.624756606397773</v>
      </c>
      <c r="M25" s="796">
        <f>'Revenue Build'!AO23</f>
        <v>16.229446935724962</v>
      </c>
      <c r="N25" s="796">
        <f>'Revenue Build'!AP23</f>
        <v>16.484000000000002</v>
      </c>
      <c r="O25" s="796">
        <f>'Revenue Build'!AR23</f>
        <v>16.398393574297188</v>
      </c>
      <c r="P25" s="796">
        <f>'Revenue Build'!AS23</f>
        <v>16.0360450563204</v>
      </c>
      <c r="Q25" s="796">
        <f>'Revenue Build'!AT23</f>
        <v>16.600000000000001</v>
      </c>
      <c r="R25" s="796">
        <f>'Revenue Build'!AU23</f>
        <v>16.899999999999999</v>
      </c>
    </row>
    <row r="26" spans="2:18" x14ac:dyDescent="0.25">
      <c r="B26" s="764" t="s">
        <v>429</v>
      </c>
      <c r="C26" s="796">
        <f>'Revenue Build'!AC48</f>
        <v>260</v>
      </c>
      <c r="D26" s="796">
        <f>'Revenue Build'!AD48</f>
        <v>262.42424242424244</v>
      </c>
      <c r="E26" s="796">
        <f>'Revenue Build'!AE48</f>
        <v>260.58823529411768</v>
      </c>
      <c r="F26" s="796">
        <f>'Revenue Build'!AF48</f>
        <v>262.89473684210526</v>
      </c>
      <c r="G26" s="796">
        <f>'Revenue Build'!AH48</f>
        <v>265.25</v>
      </c>
      <c r="H26" s="796">
        <f>'Revenue Build'!AI48</f>
        <v>263.33333333333331</v>
      </c>
      <c r="I26" s="796">
        <f>'Revenue Build'!AJ48</f>
        <v>259.77272727272725</v>
      </c>
      <c r="J26" s="796">
        <f>'Revenue Build'!AK48</f>
        <v>263.33333333333337</v>
      </c>
      <c r="K26" s="796">
        <f>'Revenue Build'!AM48</f>
        <v>260.00784313725495</v>
      </c>
      <c r="L26" s="796">
        <f>'Revenue Build'!AN48</f>
        <v>257.40961538461539</v>
      </c>
      <c r="M26" s="796">
        <f>'Revenue Build'!AO48</f>
        <v>260.20377358490566</v>
      </c>
      <c r="N26" s="796">
        <f>'Revenue Build'!AP48</f>
        <v>255.34067796610168</v>
      </c>
      <c r="O26" s="796">
        <f>'Revenue Build'!AR48</f>
        <v>253.68709677419352</v>
      </c>
      <c r="P26" s="796">
        <f>'Revenue Build'!AS48</f>
        <v>256.15384615384619</v>
      </c>
      <c r="Q26" s="796">
        <f>'Revenue Build'!AT48</f>
        <v>252</v>
      </c>
      <c r="R26" s="796">
        <f>'Revenue Build'!AU48</f>
        <v>252</v>
      </c>
    </row>
    <row r="48" spans="2:18" x14ac:dyDescent="0.25">
      <c r="B48" s="765" t="s">
        <v>442</v>
      </c>
      <c r="C48" s="763" t="str">
        <f>'Revenue Build'!AC3</f>
        <v>1Q23</v>
      </c>
      <c r="D48" s="763" t="str">
        <f>'Revenue Build'!AD3</f>
        <v>2Q23</v>
      </c>
      <c r="E48" s="763" t="str">
        <f>'Revenue Build'!AE3</f>
        <v>3Q23</v>
      </c>
      <c r="F48" s="763" t="str">
        <f>'Revenue Build'!AF3</f>
        <v>4Q23</v>
      </c>
      <c r="G48" s="763" t="str">
        <f>'Revenue Build'!AH3</f>
        <v>1Q24</v>
      </c>
      <c r="H48" s="763" t="str">
        <f>'Revenue Build'!AI3</f>
        <v>2Q24</v>
      </c>
      <c r="I48" s="763" t="str">
        <f>'Revenue Build'!AJ3</f>
        <v>3Q24</v>
      </c>
      <c r="J48" s="763" t="str">
        <f>'Revenue Build'!AK3</f>
        <v>4Q24</v>
      </c>
      <c r="K48" s="763" t="str">
        <f>'Revenue Build'!AM3</f>
        <v>1Q25</v>
      </c>
      <c r="L48" s="763" t="str">
        <f>'Revenue Build'!AN3</f>
        <v>2Q25</v>
      </c>
      <c r="M48" s="763" t="str">
        <f>'Revenue Build'!AO3</f>
        <v>3Q25</v>
      </c>
      <c r="N48" s="763" t="str">
        <f>'Revenue Build'!AP3</f>
        <v>4Q25</v>
      </c>
      <c r="O48" s="763" t="str">
        <f>'Revenue Build'!AR3</f>
        <v>1Q26</v>
      </c>
      <c r="P48" s="763" t="str">
        <f>'Revenue Build'!AS3</f>
        <v>2Q26</v>
      </c>
      <c r="Q48" s="763" t="str">
        <f>'Revenue Build'!AT3</f>
        <v>3Q26E</v>
      </c>
      <c r="R48" s="763" t="str">
        <f>'Revenue Build'!AU3</f>
        <v>4Q26E</v>
      </c>
    </row>
    <row r="49" spans="2:18" x14ac:dyDescent="0.25">
      <c r="B49" s="764" t="s">
        <v>430</v>
      </c>
      <c r="C49" s="796">
        <f>'Revenue Build'!AC20</f>
        <v>55.7</v>
      </c>
      <c r="D49" s="796">
        <f>'Revenue Build'!AD20</f>
        <v>57.5</v>
      </c>
      <c r="E49" s="796">
        <f>'Revenue Build'!AE20</f>
        <v>55</v>
      </c>
      <c r="F49" s="796">
        <f>'Revenue Build'!AF20</f>
        <v>59.7</v>
      </c>
      <c r="G49" s="796">
        <f>'Revenue Build'!AH20</f>
        <v>60.5</v>
      </c>
      <c r="H49" s="796">
        <f>'Revenue Build'!AI20</f>
        <v>64.599999999999994</v>
      </c>
      <c r="I49" s="796">
        <f>'Revenue Build'!AJ20</f>
        <v>60.9</v>
      </c>
      <c r="J49" s="796">
        <f>'Revenue Build'!AK20</f>
        <v>64.400000000000006</v>
      </c>
      <c r="K49" s="796">
        <f>'Revenue Build'!AM20</f>
        <v>67.7</v>
      </c>
      <c r="L49" s="796">
        <f>'Revenue Build'!AN20</f>
        <v>71.900000000000006</v>
      </c>
      <c r="M49" s="796">
        <f>'Revenue Build'!AO20</f>
        <v>66.900000000000006</v>
      </c>
      <c r="N49" s="796">
        <f>'Revenue Build'!AP20</f>
        <v>72.5</v>
      </c>
      <c r="O49" s="796">
        <f>'Revenue Build'!AR20</f>
        <v>74.7</v>
      </c>
      <c r="P49" s="796">
        <f>'Revenue Build'!AS20</f>
        <v>79.900000000000006</v>
      </c>
      <c r="Q49" s="796">
        <f>'Revenue Build'!AT20</f>
        <v>76.567050000000023</v>
      </c>
      <c r="R49" s="796">
        <f>'Revenue Build'!AU20</f>
        <v>80.805600000000013</v>
      </c>
    </row>
    <row r="50" spans="2:18" x14ac:dyDescent="0.25">
      <c r="B50" s="764" t="s">
        <v>429</v>
      </c>
      <c r="C50" s="796">
        <f>'Revenue Build'!AC45</f>
        <v>3</v>
      </c>
      <c r="D50" s="796">
        <f>'Revenue Build'!AD45</f>
        <v>3.3</v>
      </c>
      <c r="E50" s="796">
        <f>'Revenue Build'!AE45</f>
        <v>3.4</v>
      </c>
      <c r="F50" s="796">
        <f>'Revenue Build'!AF45</f>
        <v>3.8</v>
      </c>
      <c r="G50" s="796">
        <f>'Revenue Build'!AH45</f>
        <v>4</v>
      </c>
      <c r="H50" s="796">
        <f>'Revenue Build'!AI45</f>
        <v>4.2</v>
      </c>
      <c r="I50" s="796">
        <f>'Revenue Build'!AJ45</f>
        <v>4.4000000000000004</v>
      </c>
      <c r="J50" s="796">
        <f>'Revenue Build'!AK45</f>
        <v>4.8</v>
      </c>
      <c r="K50" s="796">
        <f>'Revenue Build'!AM45</f>
        <v>5.0999999999999996</v>
      </c>
      <c r="L50" s="796">
        <f>'Revenue Build'!AN45</f>
        <v>5.2</v>
      </c>
      <c r="M50" s="796">
        <f>'Revenue Build'!AO45</f>
        <v>5.3</v>
      </c>
      <c r="N50" s="796">
        <f>'Revenue Build'!AP45</f>
        <v>5.9</v>
      </c>
      <c r="O50" s="796">
        <f>'Revenue Build'!AR45</f>
        <v>6.2</v>
      </c>
      <c r="P50" s="796">
        <f>'Revenue Build'!AS45</f>
        <v>6.5</v>
      </c>
      <c r="Q50" s="796">
        <f>'Revenue Build'!AT45</f>
        <v>6.3879840000000021</v>
      </c>
      <c r="R50" s="796">
        <f>'Revenue Build'!AU45</f>
        <v>7.080000000000001</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E39D8-16A4-4FF2-84EA-2DA84C0E780B}">
  <sheetPr>
    <pageSetUpPr fitToPage="1"/>
  </sheetPr>
  <dimension ref="D7:M30"/>
  <sheetViews>
    <sheetView showGridLines="0" workbookViewId="0"/>
  </sheetViews>
  <sheetFormatPr defaultRowHeight="15" x14ac:dyDescent="0.25"/>
  <cols>
    <col min="4" max="4" width="38.28515625" bestFit="1" customWidth="1"/>
    <col min="5" max="13" width="15.5703125" customWidth="1"/>
    <col min="14" max="15" width="9.140625" customWidth="1"/>
  </cols>
  <sheetData>
    <row r="7" spans="4:13" x14ac:dyDescent="0.25">
      <c r="D7" s="337"/>
      <c r="E7" s="338" t="s">
        <v>2</v>
      </c>
      <c r="F7" s="338" t="s">
        <v>3</v>
      </c>
      <c r="G7" s="338" t="s">
        <v>4</v>
      </c>
      <c r="H7" s="338" t="s">
        <v>5</v>
      </c>
      <c r="I7" s="338" t="s">
        <v>68</v>
      </c>
      <c r="J7" s="338" t="s">
        <v>274</v>
      </c>
      <c r="K7" s="338" t="s">
        <v>306</v>
      </c>
      <c r="L7" s="338" t="s">
        <v>389</v>
      </c>
      <c r="M7" s="338" t="s">
        <v>396</v>
      </c>
    </row>
    <row r="8" spans="4:13" x14ac:dyDescent="0.25">
      <c r="D8" s="3" t="s">
        <v>275</v>
      </c>
      <c r="E8" s="339">
        <v>111400</v>
      </c>
      <c r="F8" s="339">
        <v>116700</v>
      </c>
      <c r="G8" s="339">
        <v>121700</v>
      </c>
      <c r="H8" s="339">
        <v>126900</v>
      </c>
      <c r="I8" s="339">
        <v>130400</v>
      </c>
      <c r="J8" s="339">
        <v>134100</v>
      </c>
      <c r="K8" s="339">
        <f>'Old Rev Build'!AH6</f>
        <v>139400</v>
      </c>
      <c r="L8" s="339">
        <f>'Old Rev Build'!AJ6</f>
        <v>143100</v>
      </c>
      <c r="M8" s="339">
        <f>'Old Rev Build'!AK6</f>
        <v>143200</v>
      </c>
    </row>
    <row r="9" spans="4:13" x14ac:dyDescent="0.25">
      <c r="D9" s="340" t="s">
        <v>28</v>
      </c>
      <c r="E9" s="341"/>
      <c r="F9" s="341">
        <f>F8-E8</f>
        <v>5300</v>
      </c>
      <c r="G9" s="341">
        <f t="shared" ref="G9:L9" si="0">G8-F8</f>
        <v>5000</v>
      </c>
      <c r="H9" s="341">
        <f t="shared" si="0"/>
        <v>5200</v>
      </c>
      <c r="I9" s="341">
        <f t="shared" si="0"/>
        <v>3500</v>
      </c>
      <c r="J9" s="341">
        <f t="shared" si="0"/>
        <v>3700</v>
      </c>
      <c r="K9" s="341">
        <f t="shared" si="0"/>
        <v>5300</v>
      </c>
      <c r="L9" s="341">
        <f t="shared" si="0"/>
        <v>3700</v>
      </c>
      <c r="M9" s="341">
        <f>M8-L8</f>
        <v>100</v>
      </c>
    </row>
    <row r="10" spans="4:13" ht="16.5" x14ac:dyDescent="0.35">
      <c r="D10" s="3" t="s">
        <v>69</v>
      </c>
      <c r="E10" s="342">
        <v>9000000</v>
      </c>
      <c r="F10" s="342">
        <v>8700000</v>
      </c>
      <c r="G10" s="342">
        <v>9600000</v>
      </c>
      <c r="H10" s="342">
        <v>9900000</v>
      </c>
      <c r="I10" s="342">
        <v>10000000</v>
      </c>
      <c r="J10" s="342">
        <v>9900000</v>
      </c>
      <c r="K10" s="342">
        <v>10600000</v>
      </c>
      <c r="L10" s="342">
        <v>10600000</v>
      </c>
      <c r="M10" s="342">
        <v>11000000</v>
      </c>
    </row>
    <row r="11" spans="4:13" x14ac:dyDescent="0.25">
      <c r="D11" s="346" t="s">
        <v>276</v>
      </c>
      <c r="E11" s="347">
        <f>E10/E8</f>
        <v>80.789946140035909</v>
      </c>
      <c r="F11" s="347">
        <f t="shared" ref="F11:H11" si="1">F10/F8</f>
        <v>74.550128534704371</v>
      </c>
      <c r="G11" s="347">
        <f t="shared" si="1"/>
        <v>78.882497945768279</v>
      </c>
      <c r="H11" s="347">
        <f t="shared" si="1"/>
        <v>78.01418439716312</v>
      </c>
      <c r="I11" s="347">
        <f>I10/I8</f>
        <v>76.687116564417181</v>
      </c>
      <c r="J11" s="347">
        <f>J10/J8</f>
        <v>73.825503355704697</v>
      </c>
      <c r="K11" s="347">
        <f>K10/K8</f>
        <v>76.040172166427553</v>
      </c>
      <c r="L11" s="347">
        <f>L10/L8</f>
        <v>74.074074074074076</v>
      </c>
      <c r="M11" s="347">
        <f>M10/M8</f>
        <v>76.815642458100555</v>
      </c>
    </row>
    <row r="12" spans="4:13" ht="8.1" customHeight="1" x14ac:dyDescent="0.25">
      <c r="D12" s="20"/>
      <c r="E12" s="6"/>
      <c r="F12" s="6"/>
      <c r="G12" s="6"/>
      <c r="H12" s="6"/>
      <c r="I12" s="6"/>
    </row>
    <row r="13" spans="4:13" ht="16.5" x14ac:dyDescent="0.35">
      <c r="D13" s="343" t="s">
        <v>71</v>
      </c>
      <c r="E13" s="40">
        <v>51500000000</v>
      </c>
      <c r="F13" s="40">
        <v>50200000000</v>
      </c>
      <c r="G13" s="40">
        <v>55100000000</v>
      </c>
      <c r="H13" s="40">
        <v>55700000000</v>
      </c>
      <c r="I13" s="40">
        <v>57500000000</v>
      </c>
      <c r="J13" s="40">
        <v>55000000000</v>
      </c>
      <c r="K13" s="40">
        <v>59700000000</v>
      </c>
      <c r="L13" s="40">
        <v>60500000000</v>
      </c>
      <c r="M13" s="40">
        <v>64600000000</v>
      </c>
    </row>
    <row r="14" spans="4:13" x14ac:dyDescent="0.25">
      <c r="D14" s="346" t="s">
        <v>314</v>
      </c>
      <c r="E14" s="347">
        <f t="shared" ref="E14:K14" si="2">E13/E8</f>
        <v>462298.02513464988</v>
      </c>
      <c r="F14" s="347">
        <f t="shared" si="2"/>
        <v>430162.81062553555</v>
      </c>
      <c r="G14" s="347">
        <f t="shared" si="2"/>
        <v>452752.67050123255</v>
      </c>
      <c r="H14" s="347">
        <f t="shared" si="2"/>
        <v>438928.28999211977</v>
      </c>
      <c r="I14" s="347">
        <f t="shared" si="2"/>
        <v>440950.92024539877</v>
      </c>
      <c r="J14" s="347">
        <f t="shared" si="2"/>
        <v>410141.68530947057</v>
      </c>
      <c r="K14" s="347">
        <f t="shared" si="2"/>
        <v>428263.98852223816</v>
      </c>
      <c r="L14" s="347">
        <f t="shared" ref="L14:M14" si="3">L13/L8</f>
        <v>422781.2718378756</v>
      </c>
      <c r="M14" s="347">
        <f t="shared" si="3"/>
        <v>451117.31843575416</v>
      </c>
    </row>
    <row r="15" spans="4:13" x14ac:dyDescent="0.25">
      <c r="D15" s="340" t="s">
        <v>29</v>
      </c>
      <c r="E15" s="341"/>
      <c r="F15" s="542"/>
      <c r="G15" s="542"/>
      <c r="H15" s="542"/>
      <c r="I15" s="542">
        <f>I14/E14-1</f>
        <v>-4.6176067663350917E-2</v>
      </c>
      <c r="J15" s="542">
        <f>J14/F14-1</f>
        <v>-4.6543133951888138E-2</v>
      </c>
      <c r="K15" s="542">
        <f>K14/G14-1</f>
        <v>-5.4088431884639188E-2</v>
      </c>
      <c r="L15" s="542">
        <f>L14/H14-1</f>
        <v>-3.6787371701500593E-2</v>
      </c>
      <c r="M15" s="542">
        <f>M14/I14-1</f>
        <v>2.3055623026475569E-2</v>
      </c>
    </row>
    <row r="16" spans="4:13" ht="8.1" customHeight="1" x14ac:dyDescent="0.25">
      <c r="D16" s="340"/>
      <c r="E16" s="341"/>
      <c r="F16" s="542"/>
      <c r="G16" s="542"/>
      <c r="H16" s="542"/>
      <c r="I16" s="542"/>
      <c r="J16" s="542"/>
      <c r="K16" s="542"/>
    </row>
    <row r="17" spans="4:13" x14ac:dyDescent="0.25">
      <c r="D17" s="344" t="s">
        <v>70</v>
      </c>
      <c r="E17" s="345">
        <f t="shared" ref="E17:J17" si="4">E13/E10</f>
        <v>5722.2222222222226</v>
      </c>
      <c r="F17" s="345">
        <f t="shared" si="4"/>
        <v>5770.1149425287358</v>
      </c>
      <c r="G17" s="345">
        <f t="shared" si="4"/>
        <v>5739.583333333333</v>
      </c>
      <c r="H17" s="345">
        <f t="shared" si="4"/>
        <v>5626.2626262626263</v>
      </c>
      <c r="I17" s="345">
        <f t="shared" si="4"/>
        <v>5750</v>
      </c>
      <c r="J17" s="345">
        <f t="shared" si="4"/>
        <v>5555.5555555555557</v>
      </c>
      <c r="K17" s="345">
        <f t="shared" ref="K17:M17" si="5">K13/K10</f>
        <v>5632.0754716981128</v>
      </c>
      <c r="L17" s="345">
        <f t="shared" si="5"/>
        <v>5707.5471698113206</v>
      </c>
      <c r="M17" s="345">
        <f t="shared" si="5"/>
        <v>5872.727272727273</v>
      </c>
    </row>
    <row r="18" spans="4:13" x14ac:dyDescent="0.25">
      <c r="D18" s="340" t="s">
        <v>29</v>
      </c>
      <c r="E18" s="341"/>
      <c r="F18" s="542"/>
      <c r="G18" s="542"/>
      <c r="H18" s="542"/>
      <c r="I18" s="542">
        <f>I17/E17-1</f>
        <v>4.8543689320388328E-3</v>
      </c>
      <c r="J18" s="542">
        <f>J17/F17-1</f>
        <v>-3.7184594953519223E-2</v>
      </c>
      <c r="K18" s="542">
        <f>K17/G17-1</f>
        <v>-1.8730952299421344E-2</v>
      </c>
      <c r="L18" s="542">
        <f t="shared" ref="L18:M18" si="6">L17/H17-1</f>
        <v>1.4447342569696042E-2</v>
      </c>
      <c r="M18" s="542">
        <f t="shared" si="6"/>
        <v>2.134387351778666E-2</v>
      </c>
    </row>
    <row r="19" spans="4:13" x14ac:dyDescent="0.25">
      <c r="D19" s="340"/>
      <c r="E19" s="341"/>
      <c r="F19" s="542"/>
      <c r="G19" s="542"/>
      <c r="H19" s="542"/>
      <c r="I19" s="542"/>
      <c r="J19" s="542"/>
      <c r="K19" s="542"/>
    </row>
    <row r="20" spans="4:13" x14ac:dyDescent="0.25">
      <c r="D20" s="3" t="s">
        <v>277</v>
      </c>
      <c r="E20" s="339">
        <v>23600</v>
      </c>
      <c r="F20" s="339">
        <v>29900</v>
      </c>
      <c r="G20" s="339">
        <v>36100</v>
      </c>
      <c r="H20" s="339">
        <v>45100</v>
      </c>
      <c r="I20" s="339">
        <v>52300</v>
      </c>
      <c r="J20" s="339">
        <v>63700</v>
      </c>
      <c r="K20" s="339">
        <f>'Old Rev Build'!AH8</f>
        <v>61600</v>
      </c>
      <c r="L20" s="339">
        <f>'Old Rev Build'!AJ8</f>
        <v>66200</v>
      </c>
      <c r="M20" s="339">
        <f>'Old Rev Build'!AK8</f>
        <v>72400</v>
      </c>
    </row>
    <row r="21" spans="4:13" x14ac:dyDescent="0.25">
      <c r="D21" s="340" t="s">
        <v>28</v>
      </c>
      <c r="E21" s="341"/>
      <c r="F21" s="341">
        <f>F20-E20</f>
        <v>6300</v>
      </c>
      <c r="G21" s="341">
        <f t="shared" ref="G21:M21" si="7">G20-F20</f>
        <v>6200</v>
      </c>
      <c r="H21" s="341">
        <f t="shared" si="7"/>
        <v>9000</v>
      </c>
      <c r="I21" s="341">
        <f t="shared" si="7"/>
        <v>7200</v>
      </c>
      <c r="J21" s="341">
        <f t="shared" si="7"/>
        <v>11400</v>
      </c>
      <c r="K21" s="341">
        <f t="shared" si="7"/>
        <v>-2100</v>
      </c>
      <c r="L21" s="341">
        <f t="shared" si="7"/>
        <v>4600</v>
      </c>
      <c r="M21" s="341">
        <f t="shared" si="7"/>
        <v>6200</v>
      </c>
    </row>
    <row r="22" spans="4:13" x14ac:dyDescent="0.25">
      <c r="D22" s="41" t="s">
        <v>278</v>
      </c>
      <c r="E22" s="40">
        <v>800000</v>
      </c>
      <c r="F22" s="40">
        <v>800000</v>
      </c>
      <c r="G22" s="40">
        <v>900000</v>
      </c>
      <c r="H22" s="40">
        <v>900000</v>
      </c>
      <c r="I22" s="40">
        <v>1000000</v>
      </c>
      <c r="J22" s="40">
        <v>1000000</v>
      </c>
      <c r="K22" s="40">
        <v>1000000</v>
      </c>
      <c r="L22" s="40">
        <v>1000000</v>
      </c>
      <c r="M22" s="40">
        <v>1100000</v>
      </c>
    </row>
    <row r="23" spans="4:13" x14ac:dyDescent="0.25">
      <c r="D23" s="346" t="s">
        <v>279</v>
      </c>
      <c r="E23" s="347">
        <f>E22/E20</f>
        <v>33.898305084745765</v>
      </c>
      <c r="F23" s="347">
        <f t="shared" ref="F23:H23" si="8">F22/F20</f>
        <v>26.755852842809364</v>
      </c>
      <c r="G23" s="347">
        <f t="shared" si="8"/>
        <v>24.930747922437675</v>
      </c>
      <c r="H23" s="347">
        <f t="shared" si="8"/>
        <v>19.955654101995567</v>
      </c>
      <c r="I23" s="347">
        <f>I22/I20</f>
        <v>19.120458891013385</v>
      </c>
      <c r="J23" s="347">
        <f>J22/J20</f>
        <v>15.698587127158556</v>
      </c>
      <c r="K23" s="347">
        <f>K22/K20</f>
        <v>16.233766233766232</v>
      </c>
      <c r="L23" s="347">
        <f>L22/L20</f>
        <v>15.105740181268882</v>
      </c>
      <c r="M23" s="347">
        <f>M22/M20</f>
        <v>15.193370165745856</v>
      </c>
    </row>
    <row r="24" spans="4:13" ht="8.1" customHeight="1" x14ac:dyDescent="0.25">
      <c r="D24" s="20"/>
      <c r="E24" s="6"/>
      <c r="F24" s="6"/>
      <c r="G24" s="6"/>
      <c r="H24" s="6"/>
      <c r="I24" s="6"/>
      <c r="J24" s="6"/>
      <c r="K24" s="6"/>
    </row>
    <row r="25" spans="4:13" x14ac:dyDescent="0.25">
      <c r="D25" s="3" t="s">
        <v>280</v>
      </c>
      <c r="E25" s="4">
        <v>4900000000</v>
      </c>
      <c r="F25" s="4">
        <v>4800000000</v>
      </c>
      <c r="G25" s="4">
        <v>5600000000</v>
      </c>
      <c r="H25" s="4">
        <v>5900000000</v>
      </c>
      <c r="I25" s="4">
        <v>6200000000</v>
      </c>
      <c r="J25" s="4">
        <v>6100000000</v>
      </c>
      <c r="K25" s="4">
        <v>5400000000</v>
      </c>
      <c r="L25" s="4">
        <v>5300000000</v>
      </c>
      <c r="M25" s="4">
        <v>5800000000</v>
      </c>
    </row>
    <row r="26" spans="4:13" x14ac:dyDescent="0.25">
      <c r="D26" s="346" t="s">
        <v>315</v>
      </c>
      <c r="E26" s="347">
        <f t="shared" ref="E26:K26" si="9">E25/E20</f>
        <v>207627.11864406778</v>
      </c>
      <c r="F26" s="347">
        <f t="shared" si="9"/>
        <v>160535.11705685619</v>
      </c>
      <c r="G26" s="347">
        <f t="shared" si="9"/>
        <v>155124.6537396122</v>
      </c>
      <c r="H26" s="347">
        <f t="shared" si="9"/>
        <v>130820.39911308204</v>
      </c>
      <c r="I26" s="347">
        <f t="shared" si="9"/>
        <v>118546.84512428298</v>
      </c>
      <c r="J26" s="347">
        <f t="shared" si="9"/>
        <v>95761.381475667193</v>
      </c>
      <c r="K26" s="347">
        <f t="shared" si="9"/>
        <v>87662.337662337668</v>
      </c>
      <c r="L26" s="347">
        <f t="shared" ref="L26:M26" si="10">L25/L20</f>
        <v>80060.422960725075</v>
      </c>
      <c r="M26" s="347">
        <f t="shared" si="10"/>
        <v>80110.497237569056</v>
      </c>
    </row>
    <row r="27" spans="4:13" x14ac:dyDescent="0.25">
      <c r="D27" s="340" t="s">
        <v>29</v>
      </c>
      <c r="E27" s="341"/>
      <c r="F27" s="542"/>
      <c r="G27" s="542"/>
      <c r="H27" s="542"/>
      <c r="I27" s="542">
        <f>I26/E26-1</f>
        <v>-0.42903968470753506</v>
      </c>
      <c r="J27" s="542">
        <f>J26/F26-1</f>
        <v>-0.40348639455782309</v>
      </c>
      <c r="K27" s="542">
        <f>K26/G26-1</f>
        <v>-0.43489100185528762</v>
      </c>
      <c r="L27" s="542">
        <f>L26/H26-1</f>
        <v>-0.38801269906293201</v>
      </c>
      <c r="M27" s="542">
        <f>M26/I26-1</f>
        <v>-0.32422919265728034</v>
      </c>
    </row>
    <row r="28" spans="4:13" ht="8.1" customHeight="1" x14ac:dyDescent="0.35">
      <c r="D28" s="343"/>
      <c r="E28" s="342"/>
      <c r="F28" s="342"/>
      <c r="G28" s="342"/>
      <c r="H28" s="342"/>
      <c r="I28" s="342"/>
      <c r="J28" s="342"/>
      <c r="K28" s="342"/>
    </row>
    <row r="29" spans="4:13" x14ac:dyDescent="0.25">
      <c r="D29" s="344" t="s">
        <v>281</v>
      </c>
      <c r="E29" s="345">
        <f t="shared" ref="E29:J29" si="11">E25/E22</f>
        <v>6125</v>
      </c>
      <c r="F29" s="345">
        <f t="shared" si="11"/>
        <v>6000</v>
      </c>
      <c r="G29" s="345">
        <f t="shared" si="11"/>
        <v>6222.2222222222226</v>
      </c>
      <c r="H29" s="345">
        <f t="shared" si="11"/>
        <v>6555.5555555555557</v>
      </c>
      <c r="I29" s="345">
        <f t="shared" si="11"/>
        <v>6200</v>
      </c>
      <c r="J29" s="345">
        <f t="shared" si="11"/>
        <v>6100</v>
      </c>
      <c r="K29" s="345">
        <f t="shared" ref="K29:L29" si="12">K25/K22</f>
        <v>5400</v>
      </c>
      <c r="L29" s="345">
        <f t="shared" si="12"/>
        <v>5300</v>
      </c>
      <c r="M29" s="345">
        <f t="shared" ref="M29" si="13">M25/M22</f>
        <v>5272.727272727273</v>
      </c>
    </row>
    <row r="30" spans="4:13" x14ac:dyDescent="0.25">
      <c r="D30" s="340" t="s">
        <v>29</v>
      </c>
      <c r="E30" s="341"/>
      <c r="F30" s="542"/>
      <c r="G30" s="542"/>
      <c r="H30" s="542"/>
      <c r="I30" s="542">
        <f>I29/E29-1</f>
        <v>1.2244897959183598E-2</v>
      </c>
      <c r="J30" s="542">
        <f>J29/F29-1</f>
        <v>1.6666666666666607E-2</v>
      </c>
      <c r="K30" s="542">
        <f>K29/G29-1</f>
        <v>-0.13214285714285723</v>
      </c>
      <c r="L30" s="542">
        <f>L29/H29-1</f>
        <v>-0.19152542372881354</v>
      </c>
      <c r="M30" s="542">
        <f>M29/I29-1</f>
        <v>-0.14956011730205276</v>
      </c>
    </row>
  </sheetData>
  <pageMargins left="0.7" right="0.7" top="0.75" bottom="0.75" header="0.3" footer="0.3"/>
  <pageSetup scale="43"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B3C17-BA05-41F6-B755-358D00EB3F03}">
  <dimension ref="A2:AT88"/>
  <sheetViews>
    <sheetView showGridLines="0" workbookViewId="0"/>
  </sheetViews>
  <sheetFormatPr defaultColWidth="9.140625" defaultRowHeight="14.25" outlineLevelRow="1" outlineLevelCol="1" x14ac:dyDescent="0.2"/>
  <cols>
    <col min="1" max="1" width="2.5703125" style="22" customWidth="1"/>
    <col min="2" max="2" width="2.85546875" style="22" customWidth="1"/>
    <col min="3" max="3" width="1.140625" style="22" customWidth="1"/>
    <col min="4" max="4" width="0.7109375" style="22" customWidth="1"/>
    <col min="5" max="5" width="42.7109375" style="22" customWidth="1"/>
    <col min="6" max="9" width="10.28515625" style="22" hidden="1" customWidth="1" outlineLevel="1"/>
    <col min="10" max="10" width="10.28515625" style="22" hidden="1" customWidth="1" collapsed="1"/>
    <col min="11" max="14" width="10.28515625" style="22" hidden="1" customWidth="1" outlineLevel="1"/>
    <col min="15" max="15" width="10.28515625" style="22" hidden="1" customWidth="1" collapsed="1"/>
    <col min="16" max="19" width="10.28515625" style="22" hidden="1" customWidth="1" outlineLevel="1"/>
    <col min="20" max="20" width="10.28515625" style="22" hidden="1" customWidth="1" collapsed="1"/>
    <col min="21" max="24" width="10.28515625" style="22" customWidth="1" outlineLevel="1"/>
    <col min="25" max="25" width="10.28515625" style="22" customWidth="1"/>
    <col min="26" max="29" width="10.28515625" style="22" customWidth="1" outlineLevel="1"/>
    <col min="30" max="30" width="10.28515625" style="22" customWidth="1"/>
    <col min="31" max="34" width="10.28515625" style="22" hidden="1" customWidth="1" outlineLevel="1"/>
    <col min="35" max="35" width="10.85546875" style="22" bestFit="1" customWidth="1" collapsed="1"/>
    <col min="36" max="39" width="10.28515625" style="22" customWidth="1" outlineLevel="1"/>
    <col min="40" max="40" width="10.28515625" style="22" customWidth="1"/>
    <col min="41" max="44" width="10.28515625" style="22" customWidth="1" outlineLevel="1"/>
    <col min="45" max="45" width="10.28515625" style="22" bestFit="1" customWidth="1"/>
    <col min="46" max="16384" width="9.140625" style="22"/>
  </cols>
  <sheetData>
    <row r="2" spans="1:45" ht="15" x14ac:dyDescent="0.25">
      <c r="Z2" s="40"/>
      <c r="AA2" s="40"/>
      <c r="AB2" s="40"/>
      <c r="AC2" s="40"/>
      <c r="AD2" s="40"/>
      <c r="AE2" s="40"/>
      <c r="AO2" s="23"/>
      <c r="AS2" s="647"/>
    </row>
    <row r="3" spans="1:45" x14ac:dyDescent="0.2">
      <c r="Z3" s="356"/>
      <c r="AA3" s="356"/>
      <c r="AB3" s="356"/>
      <c r="AC3" s="356">
        <f>AC14-AC16-AC18</f>
        <v>37100</v>
      </c>
      <c r="AD3" s="356">
        <f t="shared" ref="AD3:AM3" si="0">AD14-AD16-AD18</f>
        <v>134000</v>
      </c>
      <c r="AE3" s="356">
        <f t="shared" si="0"/>
        <v>40500.000000000007</v>
      </c>
      <c r="AF3" s="356">
        <f t="shared" si="0"/>
        <v>43800</v>
      </c>
      <c r="AG3" s="356">
        <f t="shared" si="0"/>
        <v>48500</v>
      </c>
      <c r="AH3" s="356">
        <f t="shared" si="0"/>
        <v>48700</v>
      </c>
      <c r="AI3" s="356">
        <f t="shared" si="0"/>
        <v>181500</v>
      </c>
      <c r="AJ3" s="356">
        <f t="shared" si="0"/>
        <v>43400</v>
      </c>
      <c r="AK3" s="356">
        <f t="shared" si="0"/>
        <v>43300</v>
      </c>
      <c r="AL3" s="356">
        <f t="shared" si="0"/>
        <v>47694</v>
      </c>
      <c r="AM3" s="356">
        <f t="shared" si="0"/>
        <v>48006</v>
      </c>
    </row>
    <row r="4" spans="1:45" ht="15" thickBot="1" x14ac:dyDescent="0.25">
      <c r="A4" s="91"/>
      <c r="B4" s="91"/>
      <c r="C4" s="91"/>
      <c r="D4" s="91"/>
      <c r="E4" s="91"/>
      <c r="F4" s="91" t="s">
        <v>57</v>
      </c>
      <c r="G4" s="91" t="s">
        <v>58</v>
      </c>
      <c r="H4" s="91" t="s">
        <v>59</v>
      </c>
      <c r="I4" s="91" t="s">
        <v>60</v>
      </c>
      <c r="J4" s="91"/>
      <c r="K4" s="91" t="s">
        <v>53</v>
      </c>
      <c r="L4" s="91" t="s">
        <v>54</v>
      </c>
      <c r="M4" s="91" t="s">
        <v>55</v>
      </c>
      <c r="N4" s="91" t="s">
        <v>56</v>
      </c>
      <c r="O4" s="91"/>
      <c r="P4" s="91" t="s">
        <v>49</v>
      </c>
      <c r="Q4" s="91" t="s">
        <v>50</v>
      </c>
      <c r="R4" s="91" t="s">
        <v>51</v>
      </c>
      <c r="S4" s="91" t="s">
        <v>52</v>
      </c>
      <c r="T4" s="91"/>
      <c r="U4" s="91" t="s">
        <v>45</v>
      </c>
      <c r="V4" s="91" t="s">
        <v>46</v>
      </c>
      <c r="W4" s="91" t="s">
        <v>47</v>
      </c>
      <c r="X4" s="91" t="s">
        <v>48</v>
      </c>
      <c r="Y4" s="91"/>
      <c r="Z4" s="91" t="s">
        <v>41</v>
      </c>
      <c r="AA4" s="91" t="s">
        <v>40</v>
      </c>
      <c r="AB4" s="91" t="s">
        <v>43</v>
      </c>
      <c r="AC4" s="91" t="s">
        <v>44</v>
      </c>
      <c r="AD4" s="91"/>
      <c r="AE4" s="91" t="s">
        <v>42</v>
      </c>
      <c r="AF4" s="91" t="s">
        <v>36</v>
      </c>
      <c r="AG4" s="91" t="s">
        <v>37</v>
      </c>
      <c r="AH4" s="91"/>
      <c r="AI4" s="91"/>
      <c r="AJ4" s="91"/>
      <c r="AK4" s="91"/>
      <c r="AL4" s="91"/>
      <c r="AM4" s="91"/>
    </row>
    <row r="5" spans="1:45" ht="15" thickBot="1" x14ac:dyDescent="0.25">
      <c r="C5" s="651" t="s">
        <v>404</v>
      </c>
      <c r="D5" s="71"/>
      <c r="E5" s="71"/>
      <c r="F5" s="71" t="s">
        <v>17</v>
      </c>
      <c r="G5" s="71" t="s">
        <v>18</v>
      </c>
      <c r="H5" s="71" t="s">
        <v>19</v>
      </c>
      <c r="I5" s="71" t="s">
        <v>20</v>
      </c>
      <c r="J5" s="72">
        <v>2018</v>
      </c>
      <c r="K5" s="71" t="s">
        <v>21</v>
      </c>
      <c r="L5" s="71" t="s">
        <v>22</v>
      </c>
      <c r="M5" s="71" t="s">
        <v>10</v>
      </c>
      <c r="N5" s="71" t="s">
        <v>11</v>
      </c>
      <c r="O5" s="72">
        <v>2019</v>
      </c>
      <c r="P5" s="71" t="s">
        <v>12</v>
      </c>
      <c r="Q5" s="71" t="s">
        <v>13</v>
      </c>
      <c r="R5" s="71" t="s">
        <v>14</v>
      </c>
      <c r="S5" s="71" t="s">
        <v>15</v>
      </c>
      <c r="T5" s="72">
        <v>2020</v>
      </c>
      <c r="U5" s="71" t="s">
        <v>6</v>
      </c>
      <c r="V5" s="71" t="s">
        <v>7</v>
      </c>
      <c r="W5" s="71" t="s">
        <v>8</v>
      </c>
      <c r="X5" s="71" t="s">
        <v>0</v>
      </c>
      <c r="Y5" s="72">
        <v>2021</v>
      </c>
      <c r="Z5" s="71" t="s">
        <v>1</v>
      </c>
      <c r="AA5" s="71" t="s">
        <v>2</v>
      </c>
      <c r="AB5" s="71" t="s">
        <v>3</v>
      </c>
      <c r="AC5" s="71" t="s">
        <v>4</v>
      </c>
      <c r="AD5" s="72">
        <v>2022</v>
      </c>
      <c r="AE5" s="71" t="str">
        <f>IS!AC4</f>
        <v>1Q23</v>
      </c>
      <c r="AF5" s="71" t="str">
        <f>IS!AD4</f>
        <v>2Q23</v>
      </c>
      <c r="AG5" s="71" t="str">
        <f>IS!AE4</f>
        <v>3Q23</v>
      </c>
      <c r="AH5" s="71" t="str">
        <f>IS!AF4</f>
        <v>4Q23</v>
      </c>
      <c r="AI5" s="72">
        <f>IS!AG4</f>
        <v>2023</v>
      </c>
      <c r="AJ5" s="71" t="str">
        <f>IS!AH4</f>
        <v>1Q24</v>
      </c>
      <c r="AK5" s="71" t="str">
        <f>IS!AI4</f>
        <v>2Q24</v>
      </c>
      <c r="AL5" s="71" t="str">
        <f>IS!AJ4</f>
        <v>3Q24</v>
      </c>
      <c r="AM5" s="71" t="str">
        <f>IS!AK4</f>
        <v>4Q24</v>
      </c>
      <c r="AN5" s="72">
        <f>IS!AL4</f>
        <v>2024</v>
      </c>
      <c r="AO5" s="71" t="str">
        <f>IS!AM4</f>
        <v>1Q25</v>
      </c>
      <c r="AP5" s="71" t="str">
        <f>IS!AN4</f>
        <v>2Q25</v>
      </c>
      <c r="AQ5" s="71" t="str">
        <f>IS!AO4</f>
        <v>3Q25</v>
      </c>
      <c r="AR5" s="71" t="str">
        <f>IS!AP4</f>
        <v>4Q25</v>
      </c>
      <c r="AS5" s="72">
        <f>IS!AQ4</f>
        <v>2025</v>
      </c>
    </row>
    <row r="6" spans="1:45" x14ac:dyDescent="0.2">
      <c r="E6" s="3" t="s">
        <v>31</v>
      </c>
      <c r="J6" s="52"/>
      <c r="O6" s="52"/>
      <c r="T6" s="52"/>
      <c r="Y6" s="52"/>
      <c r="AA6" s="7">
        <v>111400</v>
      </c>
      <c r="AB6" s="7">
        <v>116700</v>
      </c>
      <c r="AC6" s="7">
        <v>121700</v>
      </c>
      <c r="AD6" s="52"/>
      <c r="AE6" s="7">
        <v>126900</v>
      </c>
      <c r="AF6" s="7">
        <v>130400</v>
      </c>
      <c r="AG6" s="7">
        <v>134100</v>
      </c>
      <c r="AH6" s="7">
        <v>139400</v>
      </c>
      <c r="AI6" s="52"/>
      <c r="AJ6" s="7">
        <v>143100</v>
      </c>
      <c r="AK6" s="7">
        <v>143200</v>
      </c>
      <c r="AL6" s="7">
        <v>146700</v>
      </c>
      <c r="AM6" s="111">
        <v>151200</v>
      </c>
      <c r="AN6" s="52"/>
      <c r="AO6" s="7">
        <f>+AM6+AO7</f>
        <v>154200</v>
      </c>
      <c r="AP6" s="7">
        <f t="shared" ref="AP6" si="1">+AO6+AP7</f>
        <v>157200</v>
      </c>
      <c r="AQ6" s="7">
        <f t="shared" ref="AQ6" si="2">+AP6+AQ7</f>
        <v>160200</v>
      </c>
      <c r="AR6" s="7">
        <f t="shared" ref="AR6" si="3">+AQ6+AR7</f>
        <v>163200</v>
      </c>
      <c r="AS6" s="52"/>
    </row>
    <row r="7" spans="1:45" x14ac:dyDescent="0.2">
      <c r="E7" s="27" t="s">
        <v>28</v>
      </c>
      <c r="J7" s="73"/>
      <c r="O7" s="73"/>
      <c r="T7" s="73"/>
      <c r="Y7" s="73"/>
      <c r="AB7" s="16">
        <f>+AB6-AA6</f>
        <v>5300</v>
      </c>
      <c r="AC7" s="16">
        <f>+AC6-AB6</f>
        <v>5000</v>
      </c>
      <c r="AD7" s="73"/>
      <c r="AE7" s="16">
        <f>+AE6-AC6</f>
        <v>5200</v>
      </c>
      <c r="AF7" s="16">
        <f>+AF6-AE6</f>
        <v>3500</v>
      </c>
      <c r="AG7" s="16">
        <f>+AG6-AF6</f>
        <v>3700</v>
      </c>
      <c r="AH7" s="16">
        <f>+AH6-AG6</f>
        <v>5300</v>
      </c>
      <c r="AI7" s="53"/>
      <c r="AJ7" s="16">
        <f>+AJ6-AH6</f>
        <v>3700</v>
      </c>
      <c r="AK7" s="16">
        <f>+AK6-AJ6</f>
        <v>100</v>
      </c>
      <c r="AL7" s="364">
        <f>+AL6-AK6</f>
        <v>3500</v>
      </c>
      <c r="AM7" s="35">
        <f>+AM6-AL6</f>
        <v>4500</v>
      </c>
      <c r="AN7" s="53"/>
      <c r="AO7" s="15">
        <v>3000</v>
      </c>
      <c r="AP7" s="15">
        <v>3000</v>
      </c>
      <c r="AQ7" s="15">
        <v>3000</v>
      </c>
      <c r="AR7" s="15">
        <v>3000</v>
      </c>
      <c r="AS7" s="53"/>
    </row>
    <row r="8" spans="1:45" x14ac:dyDescent="0.2">
      <c r="E8" s="3" t="s">
        <v>30</v>
      </c>
      <c r="J8" s="52"/>
      <c r="O8" s="52"/>
      <c r="T8" s="52"/>
      <c r="Y8" s="52"/>
      <c r="AA8" s="7">
        <v>23600</v>
      </c>
      <c r="AB8" s="7">
        <v>29900</v>
      </c>
      <c r="AC8" s="7">
        <v>36100</v>
      </c>
      <c r="AD8" s="52"/>
      <c r="AE8" s="7">
        <v>45100</v>
      </c>
      <c r="AF8" s="7">
        <v>52300</v>
      </c>
      <c r="AG8" s="7">
        <v>63700</v>
      </c>
      <c r="AH8" s="7">
        <v>61600</v>
      </c>
      <c r="AI8" s="52"/>
      <c r="AJ8" s="7">
        <v>66200</v>
      </c>
      <c r="AK8" s="7">
        <v>72400</v>
      </c>
      <c r="AL8" s="111">
        <v>64000</v>
      </c>
      <c r="AM8" s="111">
        <v>70800</v>
      </c>
      <c r="AN8" s="52"/>
      <c r="AO8" s="7">
        <f>+AM8+AO9</f>
        <v>73800</v>
      </c>
      <c r="AP8" s="7">
        <f t="shared" ref="AP8" si="4">+AO8+AP9</f>
        <v>76800</v>
      </c>
      <c r="AQ8" s="7">
        <f t="shared" ref="AQ8" si="5">+AP8+AQ9</f>
        <v>79800</v>
      </c>
      <c r="AR8" s="7">
        <f t="shared" ref="AR8" si="6">+AQ8+AR9</f>
        <v>82800</v>
      </c>
      <c r="AS8" s="52"/>
    </row>
    <row r="9" spans="1:45" ht="15" customHeight="1" x14ac:dyDescent="0.2">
      <c r="E9" s="27" t="s">
        <v>28</v>
      </c>
      <c r="J9" s="73"/>
      <c r="O9" s="73"/>
      <c r="T9" s="73"/>
      <c r="Y9" s="73"/>
      <c r="AB9" s="16">
        <f>+AB8-AA8</f>
        <v>6300</v>
      </c>
      <c r="AC9" s="16">
        <f>+AC8-AB8</f>
        <v>6200</v>
      </c>
      <c r="AD9" s="73"/>
      <c r="AE9" s="16">
        <f>+AE8-AC8</f>
        <v>9000</v>
      </c>
      <c r="AF9" s="16">
        <f>+AF8-AE8</f>
        <v>7200</v>
      </c>
      <c r="AG9" s="16">
        <f>+AG8-AF8</f>
        <v>11400</v>
      </c>
      <c r="AH9" s="16">
        <f>+AH8-AG8</f>
        <v>-2100</v>
      </c>
      <c r="AI9" s="54"/>
      <c r="AJ9" s="16">
        <f>+AJ8-AH8</f>
        <v>4600</v>
      </c>
      <c r="AK9" s="16">
        <f>+AK8-AJ8</f>
        <v>6200</v>
      </c>
      <c r="AL9" s="16">
        <f>+AL8-AK8</f>
        <v>-8400</v>
      </c>
      <c r="AM9" s="35">
        <f>+AM8-AL8</f>
        <v>6800</v>
      </c>
      <c r="AN9" s="54"/>
      <c r="AO9" s="17">
        <v>3000</v>
      </c>
      <c r="AP9" s="17">
        <v>3000</v>
      </c>
      <c r="AQ9" s="17">
        <v>3000</v>
      </c>
      <c r="AR9" s="17">
        <v>3000</v>
      </c>
      <c r="AS9" s="54"/>
    </row>
    <row r="10" spans="1:45" s="23" customFormat="1" ht="15" x14ac:dyDescent="0.25">
      <c r="C10" s="1" t="s">
        <v>16</v>
      </c>
      <c r="F10" s="14">
        <v>50585</v>
      </c>
      <c r="G10" s="14">
        <v>54573</v>
      </c>
      <c r="H10" s="14">
        <v>59634</v>
      </c>
      <c r="I10" s="14">
        <v>63653</v>
      </c>
      <c r="J10" s="55"/>
      <c r="K10" s="14">
        <v>67511</v>
      </c>
      <c r="L10" s="14">
        <v>71596</v>
      </c>
      <c r="M10" s="14">
        <v>71604</v>
      </c>
      <c r="N10" s="14">
        <v>76790</v>
      </c>
      <c r="O10" s="55"/>
      <c r="P10" s="14">
        <v>81374</v>
      </c>
      <c r="Q10" s="14">
        <v>85900</v>
      </c>
      <c r="R10" s="14">
        <v>91300</v>
      </c>
      <c r="S10" s="14">
        <v>98100</v>
      </c>
      <c r="T10" s="55"/>
      <c r="U10" s="14">
        <v>103600</v>
      </c>
      <c r="V10" s="14">
        <v>109200</v>
      </c>
      <c r="W10" s="14">
        <v>115600</v>
      </c>
      <c r="X10" s="14">
        <v>121200</v>
      </c>
      <c r="Y10" s="55"/>
      <c r="Z10" s="14">
        <v>126800</v>
      </c>
      <c r="AA10" s="14">
        <v>135000</v>
      </c>
      <c r="AB10" s="14">
        <f>+AB8+AB6</f>
        <v>146600</v>
      </c>
      <c r="AC10" s="14">
        <f>+AC8+AC6</f>
        <v>157800</v>
      </c>
      <c r="AD10" s="55"/>
      <c r="AE10" s="14">
        <f>+AE8+AE6</f>
        <v>172000</v>
      </c>
      <c r="AF10" s="14">
        <f>+AF8+AF6</f>
        <v>182700</v>
      </c>
      <c r="AG10" s="14">
        <f t="shared" ref="AG10:AL10" si="7">+AG8+AG6</f>
        <v>197800</v>
      </c>
      <c r="AH10" s="14">
        <f t="shared" si="7"/>
        <v>201000</v>
      </c>
      <c r="AI10" s="55"/>
      <c r="AJ10" s="14">
        <f t="shared" si="7"/>
        <v>209300</v>
      </c>
      <c r="AK10" s="14">
        <f t="shared" si="7"/>
        <v>215600</v>
      </c>
      <c r="AL10" s="14">
        <f t="shared" si="7"/>
        <v>210700</v>
      </c>
      <c r="AM10" s="19">
        <f t="shared" ref="AM10" si="8">+AM8+AM6</f>
        <v>222000</v>
      </c>
      <c r="AN10" s="55"/>
      <c r="AO10" s="14">
        <f t="shared" ref="AO10:AR10" si="9">+AO8+AO6</f>
        <v>228000</v>
      </c>
      <c r="AP10" s="14">
        <f t="shared" si="9"/>
        <v>234000</v>
      </c>
      <c r="AQ10" s="14">
        <f t="shared" si="9"/>
        <v>240000</v>
      </c>
      <c r="AR10" s="14">
        <f t="shared" si="9"/>
        <v>246000</v>
      </c>
      <c r="AS10" s="55"/>
    </row>
    <row r="11" spans="1:45" s="24" customFormat="1" ht="12" x14ac:dyDescent="0.2">
      <c r="C11" s="2" t="s">
        <v>28</v>
      </c>
      <c r="F11" s="25"/>
      <c r="G11" s="26">
        <f t="shared" ref="G11" si="10">+G10-F10</f>
        <v>3988</v>
      </c>
      <c r="H11" s="26">
        <f t="shared" ref="H11" si="11">+H10-G10</f>
        <v>5061</v>
      </c>
      <c r="I11" s="26">
        <f t="shared" ref="I11" si="12">+I10-H10</f>
        <v>4019</v>
      </c>
      <c r="J11" s="56"/>
      <c r="K11" s="26">
        <f>+K10-I10</f>
        <v>3858</v>
      </c>
      <c r="L11" s="26">
        <f t="shared" ref="L11" si="13">+L10-K10</f>
        <v>4085</v>
      </c>
      <c r="M11" s="26">
        <f t="shared" ref="M11" si="14">+M10-L10</f>
        <v>8</v>
      </c>
      <c r="N11" s="26">
        <f t="shared" ref="N11" si="15">+N10-M10</f>
        <v>5186</v>
      </c>
      <c r="O11" s="56"/>
      <c r="P11" s="26">
        <f>+P10-N10</f>
        <v>4584</v>
      </c>
      <c r="Q11" s="26">
        <f t="shared" ref="Q11:AM11" si="16">+Q10-P10</f>
        <v>4526</v>
      </c>
      <c r="R11" s="26">
        <f t="shared" si="16"/>
        <v>5400</v>
      </c>
      <c r="S11" s="26">
        <f t="shared" si="16"/>
        <v>6800</v>
      </c>
      <c r="T11" s="56"/>
      <c r="U11" s="26">
        <f>+U10-S10</f>
        <v>5500</v>
      </c>
      <c r="V11" s="26">
        <f t="shared" si="16"/>
        <v>5600</v>
      </c>
      <c r="W11" s="26">
        <f t="shared" si="16"/>
        <v>6400</v>
      </c>
      <c r="X11" s="26">
        <f t="shared" si="16"/>
        <v>5600</v>
      </c>
      <c r="Y11" s="56"/>
      <c r="Z11" s="26">
        <f>+Z10-X10</f>
        <v>5600</v>
      </c>
      <c r="AA11" s="26">
        <f t="shared" si="16"/>
        <v>8200</v>
      </c>
      <c r="AB11" s="26">
        <f t="shared" si="16"/>
        <v>11600</v>
      </c>
      <c r="AC11" s="26">
        <f t="shared" si="16"/>
        <v>11200</v>
      </c>
      <c r="AD11" s="56"/>
      <c r="AE11" s="26">
        <f>+AE10-AC10</f>
        <v>14200</v>
      </c>
      <c r="AF11" s="26">
        <f>+AF10-AE10</f>
        <v>10700</v>
      </c>
      <c r="AG11" s="26">
        <f t="shared" si="16"/>
        <v>15100</v>
      </c>
      <c r="AH11" s="26">
        <f t="shared" si="16"/>
        <v>3200</v>
      </c>
      <c r="AI11" s="56"/>
      <c r="AJ11" s="26">
        <f>+AJ10-AH10</f>
        <v>8300</v>
      </c>
      <c r="AK11" s="26">
        <f t="shared" si="16"/>
        <v>6300</v>
      </c>
      <c r="AL11" s="26">
        <f t="shared" si="16"/>
        <v>-4900</v>
      </c>
      <c r="AM11" s="30">
        <f t="shared" si="16"/>
        <v>11300</v>
      </c>
      <c r="AN11" s="56"/>
      <c r="AO11" s="26">
        <f>+AO10-AM10</f>
        <v>6000</v>
      </c>
      <c r="AP11" s="26">
        <f t="shared" ref="AP11" si="17">+AP10-AO10</f>
        <v>6000</v>
      </c>
      <c r="AQ11" s="26">
        <f t="shared" ref="AQ11" si="18">+AQ10-AP10</f>
        <v>6000</v>
      </c>
      <c r="AR11" s="26">
        <f>+AR10-AQ10</f>
        <v>6000</v>
      </c>
      <c r="AS11" s="56"/>
    </row>
    <row r="12" spans="1:45" ht="20.100000000000001" customHeight="1" x14ac:dyDescent="0.2">
      <c r="D12" s="3" t="s">
        <v>63</v>
      </c>
      <c r="J12" s="74"/>
      <c r="K12" s="8">
        <f>K14/((K10+I10)/2)*1000</f>
        <v>199.29741255222464</v>
      </c>
      <c r="L12" s="8">
        <f>L14/((L10+K10)/2)*1000</f>
        <v>205.83503005010428</v>
      </c>
      <c r="M12" s="8">
        <f>M14/((M10+L10)/2)*1000</f>
        <v>215.08379888268155</v>
      </c>
      <c r="N12" s="8">
        <f>N14/((N10+M10)/2)*1000</f>
        <v>226.60121470423439</v>
      </c>
      <c r="O12" s="74"/>
      <c r="P12" s="8">
        <f>P14/((P10+N10)/2)*1000</f>
        <v>228.21596014263682</v>
      </c>
      <c r="Q12" s="8">
        <f>Q14/((Q10+P10)/2)*1000</f>
        <v>237.93297224912425</v>
      </c>
      <c r="R12" s="8">
        <f>R14/((R10+Q10)/2)*1000</f>
        <v>251.60270880361173</v>
      </c>
      <c r="S12" s="8">
        <f>S14/((S10+R10)/2)*1000</f>
        <v>249.20802534318898</v>
      </c>
      <c r="T12" s="74"/>
      <c r="U12" s="8">
        <f>U14/((U10+S10)/2)*1000</f>
        <v>243.9266236985622</v>
      </c>
      <c r="V12" s="8">
        <f>V14/((V10+U10)/2)*1000</f>
        <v>250</v>
      </c>
      <c r="W12" s="8">
        <f>W14/((W10+V10)/2)*1000</f>
        <v>260.67615658362985</v>
      </c>
      <c r="X12" s="8">
        <f>X14/((X10+W10)/2)*1000</f>
        <v>263.51351351351349</v>
      </c>
      <c r="Y12" s="74"/>
      <c r="Z12" s="8">
        <f>Z14/((Z10+X10)/2)*1000</f>
        <v>275</v>
      </c>
      <c r="AA12" s="8">
        <f>AA14/((AA10+Z10)/2)*1000</f>
        <v>307.86860198624902</v>
      </c>
      <c r="AB12" s="8">
        <f>AB14/((AB10+AA10)/2)*1000</f>
        <v>306.81818181818176</v>
      </c>
      <c r="AC12" s="8">
        <f>AC14/((AC10+AB10)/2)*1000</f>
        <v>303.54796320630749</v>
      </c>
      <c r="AD12" s="74"/>
      <c r="AE12" s="8">
        <f>AE14/((AE10+AC10)/2)*1000</f>
        <v>298.9690721649485</v>
      </c>
      <c r="AF12" s="8">
        <f>AF14/((AF10+AE10)/2)*1000</f>
        <v>297.15252325909222</v>
      </c>
      <c r="AG12" s="8">
        <f>AG14/((AG10+AF10)/2)*1000</f>
        <v>302.75952693823916</v>
      </c>
      <c r="AH12" s="8">
        <f>AH14/((AH10+AG10)/2)*1000</f>
        <v>289.86960882647946</v>
      </c>
      <c r="AI12" s="57"/>
      <c r="AJ12" s="8">
        <f>AJ14/((AJ10+AH10)/2)*1000</f>
        <v>257.8601023641238</v>
      </c>
      <c r="AK12" s="8">
        <f>AK14/((AK10+AJ10)/2)*1000</f>
        <v>250.88256060249469</v>
      </c>
      <c r="AL12" s="637">
        <f>AL14/((AL10+AK10)/2)*1000</f>
        <v>265.74712643678163</v>
      </c>
      <c r="AM12" s="637">
        <f>AM14/((AM10+AL10)/2)*1000</f>
        <v>263.02750173330253</v>
      </c>
      <c r="AN12" s="57"/>
      <c r="AO12" s="9">
        <f t="shared" ref="AO12:AR12" si="19">+AJ12*(1+AO13)</f>
        <v>260.43870338776503</v>
      </c>
      <c r="AP12" s="9">
        <f t="shared" si="19"/>
        <v>260.91786302659449</v>
      </c>
      <c r="AQ12" s="9">
        <f t="shared" si="19"/>
        <v>260.432183908046</v>
      </c>
      <c r="AR12" s="9">
        <f t="shared" si="19"/>
        <v>260.39722671596951</v>
      </c>
      <c r="AS12" s="57"/>
    </row>
    <row r="13" spans="1:45" x14ac:dyDescent="0.2">
      <c r="E13" s="2" t="s">
        <v>9</v>
      </c>
      <c r="J13" s="60"/>
      <c r="K13" s="5"/>
      <c r="L13" s="5"/>
      <c r="M13" s="5"/>
      <c r="N13" s="5"/>
      <c r="O13" s="60"/>
      <c r="P13" s="5">
        <f>P12/K12-1</f>
        <v>0.14510247383585195</v>
      </c>
      <c r="Q13" s="5">
        <f>Q12/L12-1</f>
        <v>0.15594013415115349</v>
      </c>
      <c r="R13" s="5">
        <f>R12/M12-1</f>
        <v>0.16978921755445464</v>
      </c>
      <c r="S13" s="5">
        <f>S12/N12-1</f>
        <v>9.9764737221120114E-2</v>
      </c>
      <c r="T13" s="60"/>
      <c r="U13" s="5">
        <f>U12/P12-1</f>
        <v>6.8841213147871283E-2</v>
      </c>
      <c r="V13" s="5">
        <f>V12/Q12-1</f>
        <v>5.07160804020097E-2</v>
      </c>
      <c r="W13" s="5">
        <f>W12/R12-1</f>
        <v>3.606259973576198E-2</v>
      </c>
      <c r="X13" s="5">
        <f>X12/S12-1</f>
        <v>5.7403802107192092E-2</v>
      </c>
      <c r="Y13" s="60"/>
      <c r="Z13" s="5">
        <f>Z12/U12-1</f>
        <v>0.12738821138211387</v>
      </c>
      <c r="AA13" s="5">
        <f>AA12/V12-1</f>
        <v>0.23147440794499596</v>
      </c>
      <c r="AB13" s="5">
        <f>AB12/W12-1</f>
        <v>0.17700899782811041</v>
      </c>
      <c r="AC13" s="5">
        <f>AC12/X12-1</f>
        <v>0.15192560396239774</v>
      </c>
      <c r="AD13" s="60"/>
      <c r="AE13" s="5">
        <f>AE12/Z12-1</f>
        <v>8.7160262417994572E-2</v>
      </c>
      <c r="AF13" s="5">
        <f>AF12/AA12-1</f>
        <v>-3.4807312788705302E-2</v>
      </c>
      <c r="AG13" s="5">
        <f>AG12/AB12-1</f>
        <v>-1.3228208497590654E-2</v>
      </c>
      <c r="AH13" s="5">
        <f>AH12/AC12-1</f>
        <v>-4.5061591701511361E-2</v>
      </c>
      <c r="AI13" s="58"/>
      <c r="AJ13" s="5">
        <f>AJ12/AE12-1</f>
        <v>-0.13750241623034465</v>
      </c>
      <c r="AK13" s="5">
        <f>AK12/AF12-1</f>
        <v>-0.15571115516409051</v>
      </c>
      <c r="AL13" s="117">
        <f>AL12/AG12-1</f>
        <v>-0.12225015964240094</v>
      </c>
      <c r="AM13" s="5">
        <f>AM12/AH12-1</f>
        <v>-9.2600625508295509E-2</v>
      </c>
      <c r="AN13" s="58"/>
      <c r="AO13" s="18">
        <v>0.01</v>
      </c>
      <c r="AP13" s="18">
        <v>0.04</v>
      </c>
      <c r="AQ13" s="18">
        <v>-0.02</v>
      </c>
      <c r="AR13" s="18">
        <v>-0.01</v>
      </c>
      <c r="AS13" s="58"/>
    </row>
    <row r="14" spans="1:45" s="23" customFormat="1" ht="15" x14ac:dyDescent="0.25">
      <c r="C14" s="1" t="s">
        <v>24</v>
      </c>
      <c r="J14" s="59">
        <v>42000</v>
      </c>
      <c r="K14" s="14">
        <v>13070.322909999995</v>
      </c>
      <c r="L14" s="14">
        <v>14316.546762589929</v>
      </c>
      <c r="M14" s="14">
        <v>15400</v>
      </c>
      <c r="N14" s="14">
        <v>16813.130327410079</v>
      </c>
      <c r="O14" s="59">
        <f>+SUM(K14:N14)</f>
        <v>59600</v>
      </c>
      <c r="P14" s="14">
        <v>18047.774560000005</v>
      </c>
      <c r="Q14" s="14">
        <v>19900.000000000004</v>
      </c>
      <c r="R14" s="14">
        <v>22292</v>
      </c>
      <c r="S14" s="14">
        <v>23599.999999999996</v>
      </c>
      <c r="T14" s="59">
        <f>+SUM(P14:S14)</f>
        <v>83839.774560000005</v>
      </c>
      <c r="U14" s="14">
        <v>24599.999999999996</v>
      </c>
      <c r="V14" s="14">
        <v>26600</v>
      </c>
      <c r="W14" s="14">
        <v>29299.999999999996</v>
      </c>
      <c r="X14" s="14">
        <v>31200</v>
      </c>
      <c r="Y14" s="59">
        <f>+SUM(U14:X14)</f>
        <v>111700</v>
      </c>
      <c r="Z14" s="14">
        <v>34100</v>
      </c>
      <c r="AA14" s="14">
        <v>40300</v>
      </c>
      <c r="AB14" s="14">
        <v>43199.999999999993</v>
      </c>
      <c r="AC14" s="19">
        <v>46200</v>
      </c>
      <c r="AD14" s="59">
        <f>+SUM(Z14:AC14)</f>
        <v>163800</v>
      </c>
      <c r="AE14" s="19">
        <v>49300.000000000007</v>
      </c>
      <c r="AF14" s="19">
        <v>52700</v>
      </c>
      <c r="AG14" s="19">
        <v>57600</v>
      </c>
      <c r="AH14" s="19">
        <v>57800</v>
      </c>
      <c r="AI14" s="59">
        <f>+SUM(AE14:AH14)</f>
        <v>217400</v>
      </c>
      <c r="AJ14" s="19">
        <v>52900</v>
      </c>
      <c r="AK14" s="19">
        <v>53300</v>
      </c>
      <c r="AL14" s="19">
        <f>56650-6</f>
        <v>56644</v>
      </c>
      <c r="AM14" s="19">
        <f>56900+6</f>
        <v>56906</v>
      </c>
      <c r="AN14" s="59">
        <f>+SUM(AJ14:AM14)</f>
        <v>219750</v>
      </c>
      <c r="AO14" s="19">
        <f>+AO12*((AO10+AM10)/2)/1000</f>
        <v>58598.708262247128</v>
      </c>
      <c r="AP14" s="19">
        <f>+AP12*((AP10+AO10)/2)/1000</f>
        <v>60272.026359143325</v>
      </c>
      <c r="AQ14" s="19">
        <f>+AQ12*((AQ10+AP10)/2)/1000</f>
        <v>61722.427586206904</v>
      </c>
      <c r="AR14" s="19">
        <f>+AR12*((AR10+AQ10)/2)/1000</f>
        <v>63276.526091980588</v>
      </c>
      <c r="AS14" s="59">
        <f>+SUM(AO14:AR14)</f>
        <v>243869.68829957792</v>
      </c>
    </row>
    <row r="15" spans="1:45" x14ac:dyDescent="0.2">
      <c r="C15" s="3"/>
      <c r="D15" s="2" t="s">
        <v>9</v>
      </c>
      <c r="J15" s="60"/>
      <c r="K15" s="5"/>
      <c r="L15" s="5"/>
      <c r="M15" s="5"/>
      <c r="N15" s="5"/>
      <c r="O15" s="60"/>
      <c r="P15" s="5">
        <f t="shared" ref="P15:AN15" si="20">P14/K14-1</f>
        <v>0.38082086297897066</v>
      </c>
      <c r="Q15" s="5">
        <f t="shared" si="20"/>
        <v>0.39000000000000012</v>
      </c>
      <c r="R15" s="5">
        <f t="shared" si="20"/>
        <v>0.44753246753246745</v>
      </c>
      <c r="S15" s="5">
        <f t="shared" si="20"/>
        <v>0.40366484648759493</v>
      </c>
      <c r="T15" s="60">
        <f t="shared" si="20"/>
        <v>0.40670762684563777</v>
      </c>
      <c r="U15" s="5">
        <f t="shared" si="20"/>
        <v>0.36304894092161066</v>
      </c>
      <c r="V15" s="5">
        <f t="shared" si="20"/>
        <v>0.33668341708542693</v>
      </c>
      <c r="W15" s="5">
        <f t="shared" si="20"/>
        <v>0.31437286919074081</v>
      </c>
      <c r="X15" s="5">
        <f t="shared" si="20"/>
        <v>0.322033898305085</v>
      </c>
      <c r="Y15" s="60">
        <f t="shared" si="20"/>
        <v>0.33230320079238518</v>
      </c>
      <c r="Z15" s="5">
        <f t="shared" si="20"/>
        <v>0.38617886178861816</v>
      </c>
      <c r="AA15" s="5">
        <f t="shared" si="20"/>
        <v>0.51503759398496252</v>
      </c>
      <c r="AB15" s="5">
        <f t="shared" si="20"/>
        <v>0.47440273037542657</v>
      </c>
      <c r="AC15" s="5">
        <f t="shared" si="20"/>
        <v>0.48076923076923084</v>
      </c>
      <c r="AD15" s="60">
        <f t="shared" si="20"/>
        <v>0.46642793196060883</v>
      </c>
      <c r="AE15" s="5">
        <f t="shared" si="20"/>
        <v>0.44574780058651053</v>
      </c>
      <c r="AF15" s="5">
        <f t="shared" si="20"/>
        <v>0.30769230769230771</v>
      </c>
      <c r="AG15" s="5">
        <f t="shared" si="20"/>
        <v>0.33333333333333348</v>
      </c>
      <c r="AH15" s="5">
        <f t="shared" si="20"/>
        <v>0.25108225108225102</v>
      </c>
      <c r="AI15" s="60">
        <f t="shared" si="20"/>
        <v>0.32722832722832718</v>
      </c>
      <c r="AJ15" s="5">
        <f t="shared" si="20"/>
        <v>7.3022312373224985E-2</v>
      </c>
      <c r="AK15" s="5">
        <f t="shared" si="20"/>
        <v>1.1385199240986799E-2</v>
      </c>
      <c r="AL15" s="117">
        <f t="shared" si="20"/>
        <v>-1.6597222222222263E-2</v>
      </c>
      <c r="AM15" s="5">
        <f t="shared" si="20"/>
        <v>-1.5467128027681687E-2</v>
      </c>
      <c r="AN15" s="60">
        <f t="shared" si="20"/>
        <v>1.0809567617295235E-2</v>
      </c>
      <c r="AO15" s="5">
        <f t="shared" ref="AO15" si="21">AO14/AJ14-1</f>
        <v>0.10772605410675107</v>
      </c>
      <c r="AP15" s="5">
        <f t="shared" ref="AP15" si="22">AP14/AK14-1</f>
        <v>0.13080724876441518</v>
      </c>
      <c r="AQ15" s="5">
        <f t="shared" ref="AQ15" si="23">AQ14/AL14-1</f>
        <v>8.9655172413793283E-2</v>
      </c>
      <c r="AR15" s="5">
        <f t="shared" ref="AR15" si="24">AR14/AM14-1</f>
        <v>0.11194823203143067</v>
      </c>
      <c r="AS15" s="60">
        <f t="shared" ref="AS15" si="25">AS14/AN14-1</f>
        <v>0.10975967371821582</v>
      </c>
    </row>
    <row r="16" spans="1:45" x14ac:dyDescent="0.2">
      <c r="D16" s="3" t="s">
        <v>283</v>
      </c>
      <c r="J16" s="60"/>
      <c r="K16" s="5"/>
      <c r="L16" s="5"/>
      <c r="M16" s="5"/>
      <c r="N16" s="5"/>
      <c r="O16" s="60"/>
      <c r="P16" s="5"/>
      <c r="Q16" s="5"/>
      <c r="R16" s="5"/>
      <c r="S16" s="5"/>
      <c r="T16" s="60"/>
      <c r="U16" s="5"/>
      <c r="V16" s="5"/>
      <c r="W16" s="5"/>
      <c r="X16" s="5"/>
      <c r="Y16" s="60"/>
      <c r="Z16" s="4">
        <v>2800</v>
      </c>
      <c r="AA16" s="4">
        <v>8900</v>
      </c>
      <c r="AB16" s="4">
        <v>8800</v>
      </c>
      <c r="AC16" s="4">
        <v>8900</v>
      </c>
      <c r="AD16" s="77">
        <f>+SUM(Z16:AC16)</f>
        <v>29400</v>
      </c>
      <c r="AE16" s="4">
        <v>8600</v>
      </c>
      <c r="AF16" s="92">
        <v>8600</v>
      </c>
      <c r="AG16" s="92">
        <v>8900</v>
      </c>
      <c r="AH16" s="92">
        <v>8900</v>
      </c>
      <c r="AI16" s="77">
        <f>+SUM(AE16:AH16)</f>
        <v>35000</v>
      </c>
      <c r="AJ16" s="92">
        <v>9300</v>
      </c>
      <c r="AK16" s="92">
        <v>9800</v>
      </c>
      <c r="AL16" s="111">
        <v>8750</v>
      </c>
      <c r="AM16" s="92">
        <v>8700</v>
      </c>
      <c r="AN16" s="77">
        <f>+SUM(AJ16:AM16)</f>
        <v>36550</v>
      </c>
      <c r="AO16" s="21">
        <v>8700</v>
      </c>
      <c r="AP16" s="21">
        <v>8600</v>
      </c>
      <c r="AQ16" s="21">
        <v>8500</v>
      </c>
      <c r="AR16" s="21">
        <v>8500</v>
      </c>
      <c r="AS16" s="77">
        <f>+SUM(AO16:AR16)</f>
        <v>34300</v>
      </c>
    </row>
    <row r="17" spans="3:45" x14ac:dyDescent="0.2">
      <c r="D17" s="3"/>
      <c r="E17" s="2" t="s">
        <v>9</v>
      </c>
      <c r="J17" s="60"/>
      <c r="K17" s="5"/>
      <c r="L17" s="5"/>
      <c r="M17" s="5"/>
      <c r="N17" s="5"/>
      <c r="O17" s="60"/>
      <c r="P17" s="5"/>
      <c r="Q17" s="5"/>
      <c r="R17" s="5"/>
      <c r="S17" s="5"/>
      <c r="T17" s="60"/>
      <c r="U17" s="5"/>
      <c r="V17" s="5"/>
      <c r="W17" s="5"/>
      <c r="X17" s="5"/>
      <c r="Y17" s="60"/>
      <c r="Z17" s="5"/>
      <c r="AA17" s="5"/>
      <c r="AB17" s="5"/>
      <c r="AC17" s="5"/>
      <c r="AD17" s="60"/>
      <c r="AE17" s="5"/>
      <c r="AF17" s="5">
        <f>AF16/AA16-1</f>
        <v>-3.3707865168539297E-2</v>
      </c>
      <c r="AG17" s="5">
        <f>AG16/AB16-1</f>
        <v>1.1363636363636465E-2</v>
      </c>
      <c r="AH17" s="5">
        <f t="shared" ref="AH17" si="26">AH16/AC16-1</f>
        <v>0</v>
      </c>
      <c r="AI17" s="60">
        <f t="shared" ref="AI17" si="27">AI16/AD16-1</f>
        <v>0.19047619047619047</v>
      </c>
      <c r="AJ17" s="628">
        <f t="shared" ref="AJ17" si="28">AJ16/AE16-1</f>
        <v>8.1395348837209225E-2</v>
      </c>
      <c r="AK17" s="5">
        <f t="shared" ref="AK17" si="29">AK16/AF16-1</f>
        <v>0.13953488372093026</v>
      </c>
      <c r="AL17" s="117">
        <f t="shared" ref="AL17:AM17" si="30">AL16/AG16-1</f>
        <v>-1.6853932584269704E-2</v>
      </c>
      <c r="AM17" s="5">
        <f t="shared" si="30"/>
        <v>-2.2471910112359605E-2</v>
      </c>
      <c r="AN17" s="60">
        <f t="shared" ref="AN17" si="31">AN16/AI16-1</f>
        <v>4.4285714285714262E-2</v>
      </c>
      <c r="AO17" s="5">
        <f t="shared" ref="AO17" si="32">AO16/AJ16-1</f>
        <v>-6.4516129032258118E-2</v>
      </c>
      <c r="AP17" s="5">
        <f t="shared" ref="AP17" si="33">AP16/AK16-1</f>
        <v>-0.12244897959183676</v>
      </c>
      <c r="AQ17" s="5">
        <f t="shared" ref="AQ17" si="34">AQ16/AL16-1</f>
        <v>-2.8571428571428581E-2</v>
      </c>
      <c r="AR17" s="5">
        <f t="shared" ref="AR17" si="35">AR16/AM16-1</f>
        <v>-2.2988505747126409E-2</v>
      </c>
      <c r="AS17" s="60">
        <f t="shared" ref="AS17" si="36">AS16/AN16-1</f>
        <v>-6.1559507523939794E-2</v>
      </c>
    </row>
    <row r="18" spans="3:45" x14ac:dyDescent="0.2">
      <c r="D18" s="3" t="s">
        <v>282</v>
      </c>
      <c r="J18" s="77"/>
      <c r="O18" s="77"/>
      <c r="T18" s="77"/>
      <c r="Y18" s="77"/>
      <c r="Z18" s="4"/>
      <c r="AA18" s="4"/>
      <c r="AB18" s="4">
        <v>200</v>
      </c>
      <c r="AC18" s="4">
        <v>200</v>
      </c>
      <c r="AD18" s="77">
        <f>+SUM(Z18:AC18)</f>
        <v>400</v>
      </c>
      <c r="AE18" s="4">
        <v>200</v>
      </c>
      <c r="AF18" s="92">
        <v>300</v>
      </c>
      <c r="AG18" s="92">
        <v>200</v>
      </c>
      <c r="AH18" s="92">
        <v>200</v>
      </c>
      <c r="AI18" s="77">
        <f>+SUM(AE18:AH18)</f>
        <v>900</v>
      </c>
      <c r="AJ18" s="92">
        <v>200</v>
      </c>
      <c r="AK18" s="92">
        <v>200</v>
      </c>
      <c r="AL18" s="111">
        <v>200</v>
      </c>
      <c r="AM18" s="92">
        <v>200</v>
      </c>
      <c r="AN18" s="77">
        <f>+SUM(AJ18:AM18)</f>
        <v>800</v>
      </c>
      <c r="AO18" s="21">
        <v>200</v>
      </c>
      <c r="AP18" s="21">
        <v>200</v>
      </c>
      <c r="AQ18" s="21">
        <v>200</v>
      </c>
      <c r="AR18" s="21">
        <v>200</v>
      </c>
      <c r="AS18" s="77">
        <f>+SUM(AO18:AR18)</f>
        <v>800</v>
      </c>
    </row>
    <row r="19" spans="3:45" x14ac:dyDescent="0.2">
      <c r="D19" s="3"/>
      <c r="E19" s="2" t="s">
        <v>9</v>
      </c>
      <c r="J19" s="61"/>
      <c r="O19" s="61"/>
      <c r="T19" s="61"/>
      <c r="Y19" s="61"/>
      <c r="AD19" s="61"/>
      <c r="AE19" s="5"/>
      <c r="AF19" s="5"/>
      <c r="AG19" s="5">
        <f>AG18/AB18-1</f>
        <v>0</v>
      </c>
      <c r="AH19" s="5">
        <f t="shared" ref="AH19" si="37">AH18/AC18-1</f>
        <v>0</v>
      </c>
      <c r="AI19" s="60">
        <f t="shared" ref="AI19:AN19" si="38">AI18/AD18-1</f>
        <v>1.25</v>
      </c>
      <c r="AJ19" s="628">
        <f t="shared" si="38"/>
        <v>0</v>
      </c>
      <c r="AK19" s="5">
        <f t="shared" si="38"/>
        <v>-0.33333333333333337</v>
      </c>
      <c r="AL19" s="117">
        <f t="shared" si="38"/>
        <v>0</v>
      </c>
      <c r="AM19" s="5">
        <f t="shared" si="38"/>
        <v>0</v>
      </c>
      <c r="AN19" s="60">
        <f t="shared" si="38"/>
        <v>-0.11111111111111116</v>
      </c>
      <c r="AO19" s="5">
        <f t="shared" ref="AO19" si="39">AO18/AJ18-1</f>
        <v>0</v>
      </c>
      <c r="AP19" s="5">
        <f t="shared" ref="AP19" si="40">AP18/AK18-1</f>
        <v>0</v>
      </c>
      <c r="AQ19" s="5">
        <f t="shared" ref="AQ19" si="41">AQ18/AL18-1</f>
        <v>0</v>
      </c>
      <c r="AR19" s="5">
        <f t="shared" ref="AR19" si="42">AR18/AM18-1</f>
        <v>0</v>
      </c>
      <c r="AS19" s="60">
        <f t="shared" ref="AS19" si="43">AS18/AN18-1</f>
        <v>0</v>
      </c>
    </row>
    <row r="20" spans="3:45" ht="7.5" customHeight="1" x14ac:dyDescent="0.2">
      <c r="C20" s="3"/>
      <c r="D20" s="2"/>
      <c r="J20" s="61"/>
      <c r="O20" s="61"/>
      <c r="T20" s="61"/>
      <c r="Y20" s="61"/>
      <c r="AD20" s="61"/>
      <c r="AI20" s="61"/>
      <c r="AN20" s="61"/>
      <c r="AS20" s="61"/>
    </row>
    <row r="21" spans="3:45" s="23" customFormat="1" ht="15" x14ac:dyDescent="0.25">
      <c r="C21" s="11" t="s">
        <v>32</v>
      </c>
      <c r="D21" s="85"/>
      <c r="E21" s="85"/>
      <c r="F21" s="85"/>
      <c r="G21" s="85"/>
      <c r="H21" s="85"/>
      <c r="I21" s="85"/>
      <c r="J21" s="86">
        <f>J18+J14</f>
        <v>42000</v>
      </c>
      <c r="K21" s="13">
        <f>K18+K14</f>
        <v>13070.322909999995</v>
      </c>
      <c r="L21" s="13">
        <f>L18+L14</f>
        <v>14316.546762589929</v>
      </c>
      <c r="M21" s="13">
        <f>M18+M14</f>
        <v>15400</v>
      </c>
      <c r="N21" s="13">
        <f>N18+N14</f>
        <v>16813.130327410079</v>
      </c>
      <c r="O21" s="86">
        <f>+SUM(K21:N21)</f>
        <v>59600</v>
      </c>
      <c r="P21" s="13">
        <f>P18+P14</f>
        <v>18047.774560000005</v>
      </c>
      <c r="Q21" s="13">
        <f>Q18+Q14</f>
        <v>19900.000000000004</v>
      </c>
      <c r="R21" s="13">
        <f>R18+R14</f>
        <v>22292</v>
      </c>
      <c r="S21" s="13">
        <f>S18+S14</f>
        <v>23599.999999999996</v>
      </c>
      <c r="T21" s="86">
        <f>+SUM(P21:S21)</f>
        <v>83839.774560000005</v>
      </c>
      <c r="U21" s="13">
        <f>U18+U14</f>
        <v>24599.999999999996</v>
      </c>
      <c r="V21" s="13">
        <f>V18+V14</f>
        <v>26600</v>
      </c>
      <c r="W21" s="13">
        <f>W18+W14</f>
        <v>29299.999999999996</v>
      </c>
      <c r="X21" s="13">
        <f>X18+X14</f>
        <v>31200</v>
      </c>
      <c r="Y21" s="86">
        <f>+SUM(U21:X21)</f>
        <v>111700</v>
      </c>
      <c r="Z21" s="13">
        <v>36900</v>
      </c>
      <c r="AA21" s="13">
        <v>49200</v>
      </c>
      <c r="AB21" s="13">
        <v>52100</v>
      </c>
      <c r="AC21" s="13">
        <v>55200</v>
      </c>
      <c r="AD21" s="86">
        <v>193400</v>
      </c>
      <c r="AE21" s="13">
        <v>58100.000000000007</v>
      </c>
      <c r="AF21" s="13">
        <v>61500</v>
      </c>
      <c r="AG21" s="13">
        <v>66700</v>
      </c>
      <c r="AH21" s="13">
        <f>AH18+AH14+AH16</f>
        <v>66900</v>
      </c>
      <c r="AI21" s="86">
        <f>+SUM(AE21:AH21)</f>
        <v>253200</v>
      </c>
      <c r="AJ21" s="13">
        <f>AJ18+AJ14+AJ16</f>
        <v>62400</v>
      </c>
      <c r="AK21" s="13">
        <f t="shared" ref="AK21:AN21" si="44">AK18+AK14+AK16</f>
        <v>63300</v>
      </c>
      <c r="AL21" s="13">
        <f>AL18+AL14+AL16</f>
        <v>65594</v>
      </c>
      <c r="AM21" s="13">
        <f>AM18+AM14+AM16</f>
        <v>65806</v>
      </c>
      <c r="AN21" s="86">
        <f t="shared" si="44"/>
        <v>257100</v>
      </c>
      <c r="AO21" s="13">
        <f>AO18+AO14+AO16</f>
        <v>67498.708262247121</v>
      </c>
      <c r="AP21" s="13">
        <f t="shared" ref="AP21:AS21" si="45">AP18+AP14+AP16</f>
        <v>69072.026359143318</v>
      </c>
      <c r="AQ21" s="13">
        <f t="shared" si="45"/>
        <v>70422.427586206904</v>
      </c>
      <c r="AR21" s="13">
        <f t="shared" si="45"/>
        <v>71976.526091980588</v>
      </c>
      <c r="AS21" s="86">
        <f t="shared" si="45"/>
        <v>278969.68829957792</v>
      </c>
    </row>
    <row r="22" spans="3:45" x14ac:dyDescent="0.2">
      <c r="C22" s="3"/>
      <c r="D22" s="2" t="s">
        <v>9</v>
      </c>
      <c r="J22" s="60"/>
      <c r="O22" s="60">
        <f>O21/J21-1</f>
        <v>0.41904761904761911</v>
      </c>
      <c r="P22" s="5">
        <f>+P21/K21-1</f>
        <v>0.38082086297897066</v>
      </c>
      <c r="Q22" s="5">
        <f>+Q21/L21-1</f>
        <v>0.39000000000000012</v>
      </c>
      <c r="R22" s="5">
        <f>+R21/M21-1</f>
        <v>0.44753246753246745</v>
      </c>
      <c r="S22" s="5">
        <f>+S21/N21-1</f>
        <v>0.40366484648759493</v>
      </c>
      <c r="T22" s="60">
        <f>T21/O21-1</f>
        <v>0.40670762684563777</v>
      </c>
      <c r="U22" s="5">
        <f>+U21/P21-1</f>
        <v>0.36304894092161066</v>
      </c>
      <c r="V22" s="5">
        <f>+V21/Q21-1</f>
        <v>0.33668341708542693</v>
      </c>
      <c r="W22" s="5">
        <f>+W21/R21-1</f>
        <v>0.31437286919074081</v>
      </c>
      <c r="X22" s="5">
        <f>+X21/S21-1</f>
        <v>0.322033898305085</v>
      </c>
      <c r="Y22" s="60">
        <f>Y21/T21-1</f>
        <v>0.33230320079238518</v>
      </c>
      <c r="Z22" s="5">
        <f>+Z21/U21-1</f>
        <v>0.50000000000000022</v>
      </c>
      <c r="AA22" s="5">
        <f>+AA21/V21-1</f>
        <v>0.84962406015037595</v>
      </c>
      <c r="AB22" s="5">
        <f>+AB21/W21-1</f>
        <v>0.77815699658703097</v>
      </c>
      <c r="AC22" s="5">
        <f>+AC21/X21-1</f>
        <v>0.76923076923076916</v>
      </c>
      <c r="AD22" s="60">
        <f>AD21/Y21-1</f>
        <v>0.73142345568487022</v>
      </c>
      <c r="AE22" s="5">
        <f>+AE21/Z21-1</f>
        <v>0.57452574525745281</v>
      </c>
      <c r="AF22" s="5">
        <f>+AF21/AA21-1</f>
        <v>0.25</v>
      </c>
      <c r="AG22" s="5">
        <f>+AG21/AB21-1</f>
        <v>0.28023032629558542</v>
      </c>
      <c r="AH22" s="5">
        <f>+AH21/AC21-1</f>
        <v>0.21195652173913038</v>
      </c>
      <c r="AI22" s="60">
        <f>AI21/AD21-1</f>
        <v>0.30920372285418818</v>
      </c>
      <c r="AJ22" s="5">
        <f>+AJ21/AE21-1</f>
        <v>7.4010327022375089E-2</v>
      </c>
      <c r="AK22" s="5">
        <f>+AK21/AF21-1</f>
        <v>2.9268292682926855E-2</v>
      </c>
      <c r="AL22" s="117">
        <f>+AL21/AG21-1</f>
        <v>-1.6581709145427337E-2</v>
      </c>
      <c r="AM22" s="5">
        <f>+AM21/AH21-1</f>
        <v>-1.6352765321375196E-2</v>
      </c>
      <c r="AN22" s="60">
        <f>AN21/AI21-1</f>
        <v>1.540284360189581E-2</v>
      </c>
      <c r="AO22" s="5">
        <f>+AO21/AJ21-1</f>
        <v>8.17100683052423E-2</v>
      </c>
      <c r="AP22" s="5">
        <f>+AP21/AK21-1</f>
        <v>9.1185250539388862E-2</v>
      </c>
      <c r="AQ22" s="5">
        <f>+AQ21/AL21-1</f>
        <v>7.3610811754229122E-2</v>
      </c>
      <c r="AR22" s="5">
        <f>+AR21/AM21-1</f>
        <v>9.3768441965483174E-2</v>
      </c>
      <c r="AS22" s="60">
        <f>AS21/AN21-1</f>
        <v>8.5062964992524082E-2</v>
      </c>
    </row>
    <row r="23" spans="3:45" ht="7.5" customHeight="1" x14ac:dyDescent="0.2">
      <c r="C23" s="3"/>
      <c r="D23" s="2"/>
      <c r="J23" s="60"/>
      <c r="O23" s="60"/>
      <c r="P23" s="5"/>
      <c r="Q23" s="5"/>
      <c r="R23" s="5"/>
      <c r="S23" s="5"/>
      <c r="T23" s="60"/>
      <c r="U23" s="5"/>
      <c r="V23" s="5"/>
      <c r="W23" s="5"/>
      <c r="X23" s="5"/>
      <c r="Y23" s="60"/>
      <c r="Z23" s="5"/>
      <c r="AA23" s="5"/>
      <c r="AB23" s="5"/>
      <c r="AC23" s="5"/>
      <c r="AD23" s="60"/>
      <c r="AE23" s="5"/>
      <c r="AF23" s="5"/>
      <c r="AG23" s="5"/>
      <c r="AH23" s="5"/>
      <c r="AI23" s="60"/>
      <c r="AJ23" s="5"/>
      <c r="AK23" s="5"/>
      <c r="AL23" s="117"/>
      <c r="AM23" s="5"/>
      <c r="AN23" s="60"/>
      <c r="AO23" s="5"/>
      <c r="AP23" s="5"/>
      <c r="AQ23" s="5"/>
      <c r="AR23" s="5"/>
      <c r="AS23" s="60"/>
    </row>
    <row r="24" spans="3:45" x14ac:dyDescent="0.2">
      <c r="C24" s="358" t="s">
        <v>284</v>
      </c>
      <c r="D24" s="359"/>
      <c r="E24" s="360"/>
      <c r="J24" s="60"/>
      <c r="O24" s="60"/>
      <c r="P24" s="5"/>
      <c r="Q24" s="5"/>
      <c r="R24" s="5"/>
      <c r="S24" s="5"/>
      <c r="T24" s="60"/>
      <c r="U24" s="5"/>
      <c r="V24" s="5"/>
      <c r="W24" s="5"/>
      <c r="X24" s="5"/>
      <c r="Y24" s="60"/>
      <c r="Z24" s="5"/>
      <c r="AA24" s="5"/>
      <c r="AB24" s="5"/>
      <c r="AC24" s="5"/>
      <c r="AD24" s="60"/>
      <c r="AE24" s="5"/>
      <c r="AF24" s="5"/>
      <c r="AG24" s="5"/>
      <c r="AH24" s="5"/>
      <c r="AI24" s="60"/>
      <c r="AJ24" s="5"/>
      <c r="AK24" s="5"/>
      <c r="AL24" s="117"/>
      <c r="AM24" s="5"/>
      <c r="AN24" s="60"/>
      <c r="AO24" s="5"/>
      <c r="AP24" s="5"/>
      <c r="AQ24" s="5"/>
      <c r="AR24" s="5"/>
      <c r="AS24" s="60"/>
    </row>
    <row r="25" spans="3:45" ht="20.25" customHeight="1" outlineLevel="1" x14ac:dyDescent="0.2">
      <c r="C25" s="3" t="s">
        <v>285</v>
      </c>
      <c r="F25" s="4">
        <v>3426.8789999999999</v>
      </c>
      <c r="G25" s="4">
        <v>3693.924</v>
      </c>
      <c r="H25" s="4">
        <v>3846.462</v>
      </c>
      <c r="I25" s="4">
        <v>4289.0929999999998</v>
      </c>
      <c r="J25" s="62"/>
      <c r="K25" s="4">
        <v>4491.5110000000004</v>
      </c>
      <c r="L25" s="4">
        <v>4867.1120000000001</v>
      </c>
      <c r="M25" s="4">
        <v>4932.5530000000008</v>
      </c>
      <c r="N25" s="4">
        <v>5570.1219999999994</v>
      </c>
      <c r="O25" s="62"/>
      <c r="P25" s="4">
        <v>5934.6100000000006</v>
      </c>
      <c r="Q25" s="4">
        <v>6200</v>
      </c>
      <c r="R25" s="4">
        <v>6000</v>
      </c>
      <c r="S25" s="4">
        <v>5600</v>
      </c>
      <c r="T25" s="62"/>
      <c r="U25" s="4">
        <v>6500</v>
      </c>
      <c r="V25" s="4">
        <v>7200</v>
      </c>
      <c r="W25" s="4">
        <v>7200</v>
      </c>
      <c r="X25" s="4">
        <v>8200</v>
      </c>
      <c r="Y25" s="62"/>
      <c r="Z25" s="4">
        <v>8800</v>
      </c>
      <c r="AA25" s="4">
        <v>9800</v>
      </c>
      <c r="AB25" s="4">
        <v>9500</v>
      </c>
      <c r="AC25" s="4">
        <v>10500</v>
      </c>
      <c r="AD25" s="62"/>
      <c r="AE25" s="4">
        <v>10800</v>
      </c>
      <c r="AF25" s="4">
        <v>11000</v>
      </c>
      <c r="AG25" s="4">
        <v>10900</v>
      </c>
      <c r="AH25" s="4">
        <v>11600</v>
      </c>
      <c r="AI25" s="62"/>
      <c r="AJ25" s="4">
        <v>11600</v>
      </c>
      <c r="AK25" s="4">
        <v>12000</v>
      </c>
      <c r="AL25" s="111">
        <v>11800</v>
      </c>
      <c r="AM25" s="4">
        <v>12700</v>
      </c>
      <c r="AN25" s="62"/>
      <c r="AO25" s="4">
        <f>+AJ25*(1+AO26)</f>
        <v>12644.000000000002</v>
      </c>
      <c r="AP25" s="4">
        <f>+AK25*(1+AP26)</f>
        <v>12960</v>
      </c>
      <c r="AQ25" s="4">
        <f>+AL25*(1+AQ26)</f>
        <v>12744</v>
      </c>
      <c r="AR25" s="4">
        <f>+AM25*(1+AR26)</f>
        <v>13716</v>
      </c>
      <c r="AS25" s="62"/>
    </row>
    <row r="26" spans="3:45" outlineLevel="1" x14ac:dyDescent="0.2">
      <c r="D26" s="2" t="s">
        <v>9</v>
      </c>
      <c r="F26" s="4"/>
      <c r="G26" s="4"/>
      <c r="H26" s="4"/>
      <c r="I26" s="4"/>
      <c r="J26" s="60"/>
      <c r="K26" s="5">
        <f>K25/F25-1</f>
        <v>0.3106710216497286</v>
      </c>
      <c r="L26" s="5">
        <f>L25/G25-1</f>
        <v>0.31759938753477335</v>
      </c>
      <c r="M26" s="5">
        <f>M25/H25-1</f>
        <v>0.2823610372336971</v>
      </c>
      <c r="N26" s="5">
        <f>N25/I25-1</f>
        <v>0.29867130416617216</v>
      </c>
      <c r="O26" s="60"/>
      <c r="P26" s="5">
        <f>P25/K25-1</f>
        <v>0.32129477140320928</v>
      </c>
      <c r="Q26" s="5">
        <f>Q25/L25-1</f>
        <v>0.27385603618737342</v>
      </c>
      <c r="R26" s="5">
        <f>R25/M25-1</f>
        <v>0.21640862247197323</v>
      </c>
      <c r="S26" s="5">
        <f>S25/N25-1</f>
        <v>5.3639758698285078E-3</v>
      </c>
      <c r="T26" s="60"/>
      <c r="U26" s="5">
        <f>U25/P25-1</f>
        <v>9.5269950342145471E-2</v>
      </c>
      <c r="V26" s="5">
        <f>V25/Q25-1</f>
        <v>0.16129032258064524</v>
      </c>
      <c r="W26" s="5">
        <f>W25/R25-1</f>
        <v>0.19999999999999996</v>
      </c>
      <c r="X26" s="5">
        <f>X25/S25-1</f>
        <v>0.46428571428571419</v>
      </c>
      <c r="Y26" s="60"/>
      <c r="Z26" s="5">
        <f>Z25/U25-1</f>
        <v>0.35384615384615392</v>
      </c>
      <c r="AA26" s="5">
        <f>AA25/V25-1</f>
        <v>0.36111111111111116</v>
      </c>
      <c r="AB26" s="5">
        <f>AB25/W25-1</f>
        <v>0.31944444444444442</v>
      </c>
      <c r="AC26" s="5">
        <f>AC25/X25-1</f>
        <v>0.28048780487804881</v>
      </c>
      <c r="AD26" s="60"/>
      <c r="AE26" s="5">
        <f>AE25/Z25-1</f>
        <v>0.22727272727272729</v>
      </c>
      <c r="AF26" s="5">
        <f>AF25/AA25-1</f>
        <v>0.12244897959183665</v>
      </c>
      <c r="AG26" s="5">
        <f>AG25/AB25-1</f>
        <v>0.14736842105263159</v>
      </c>
      <c r="AH26" s="5">
        <f>AH25/AC25-1</f>
        <v>0.10476190476190483</v>
      </c>
      <c r="AI26" s="58"/>
      <c r="AJ26" s="5">
        <f>AJ25/AE25-1</f>
        <v>7.4074074074074181E-2</v>
      </c>
      <c r="AK26" s="5">
        <f>AK25/AF25-1</f>
        <v>9.0909090909090828E-2</v>
      </c>
      <c r="AL26" s="117">
        <f>AL25/AG25-1</f>
        <v>8.256880733944949E-2</v>
      </c>
      <c r="AM26" s="5">
        <f>AM25/AH25-1</f>
        <v>9.4827586206896575E-2</v>
      </c>
      <c r="AN26" s="58"/>
      <c r="AO26" s="18">
        <v>0.09</v>
      </c>
      <c r="AP26" s="18">
        <v>0.08</v>
      </c>
      <c r="AQ26" s="18">
        <v>0.08</v>
      </c>
      <c r="AR26" s="18">
        <v>0.08</v>
      </c>
      <c r="AS26" s="58"/>
    </row>
    <row r="27" spans="3:45" outlineLevel="1" x14ac:dyDescent="0.2">
      <c r="C27" s="41" t="s">
        <v>286</v>
      </c>
      <c r="D27" s="38"/>
      <c r="E27" s="39"/>
      <c r="F27" s="40">
        <f t="shared" ref="F27:I27" si="46">F29/F25*1000</f>
        <v>3053.5072875348096</v>
      </c>
      <c r="G27" s="40">
        <f t="shared" si="46"/>
        <v>3276.7322771123604</v>
      </c>
      <c r="H27" s="40">
        <f t="shared" si="46"/>
        <v>3289.2564647720424</v>
      </c>
      <c r="I27" s="40">
        <f t="shared" si="46"/>
        <v>3350.8249879403411</v>
      </c>
      <c r="J27" s="63"/>
      <c r="K27" s="40">
        <f t="shared" ref="K27:N27" si="47">K29/K25*1000</f>
        <v>3454.0714694898888</v>
      </c>
      <c r="L27" s="40">
        <f t="shared" si="47"/>
        <v>3623.7095016510821</v>
      </c>
      <c r="M27" s="40">
        <f t="shared" si="47"/>
        <v>3634.0207596350201</v>
      </c>
      <c r="N27" s="40">
        <f t="shared" si="47"/>
        <v>3627.5686600760273</v>
      </c>
      <c r="O27" s="63"/>
      <c r="P27" s="40">
        <f t="shared" ref="P27:AC27" si="48">P29/P25*1000</f>
        <v>3704.0344689878521</v>
      </c>
      <c r="Q27" s="40">
        <f t="shared" si="48"/>
        <v>4000</v>
      </c>
      <c r="R27" s="40">
        <f t="shared" si="48"/>
        <v>4033.333333333333</v>
      </c>
      <c r="S27" s="40">
        <f t="shared" si="48"/>
        <v>4535.7142857142844</v>
      </c>
      <c r="T27" s="63"/>
      <c r="U27" s="40">
        <f t="shared" si="48"/>
        <v>4430.7692307692314</v>
      </c>
      <c r="V27" s="40">
        <f t="shared" si="48"/>
        <v>4833.333333333333</v>
      </c>
      <c r="W27" s="40">
        <f t="shared" si="48"/>
        <v>4861.1111111111104</v>
      </c>
      <c r="X27" s="40">
        <f t="shared" si="48"/>
        <v>5085.3658536585363</v>
      </c>
      <c r="Y27" s="63"/>
      <c r="Z27" s="40">
        <f t="shared" si="48"/>
        <v>5329.545454545454</v>
      </c>
      <c r="AA27" s="40">
        <f t="shared" si="48"/>
        <v>5755.1020408163258</v>
      </c>
      <c r="AB27" s="40">
        <f t="shared" si="48"/>
        <v>5800</v>
      </c>
      <c r="AC27" s="40">
        <f t="shared" si="48"/>
        <v>5780.9523809523807</v>
      </c>
      <c r="AD27" s="63"/>
      <c r="AE27" s="40">
        <f>AE29/AE25*1000</f>
        <v>5703.7037037037035</v>
      </c>
      <c r="AF27" s="40">
        <f t="shared" ref="AF27:AG27" si="49">AF29/AF25*1000</f>
        <v>5790.909090909091</v>
      </c>
      <c r="AG27" s="40">
        <f t="shared" si="49"/>
        <v>5596.3302752293575</v>
      </c>
      <c r="AH27" s="40">
        <f t="shared" ref="AH27" si="50">AH29/AH25*1000</f>
        <v>5612.0689655172409</v>
      </c>
      <c r="AI27" s="77"/>
      <c r="AJ27" s="40">
        <f>AJ29/AJ25*1000</f>
        <v>5672.4137931034484</v>
      </c>
      <c r="AK27" s="40">
        <f>AK29/AK25*1000</f>
        <v>5866.6666666666661</v>
      </c>
      <c r="AL27" s="638">
        <f>AL29/AL25*1000</f>
        <v>5661.0169491525421</v>
      </c>
      <c r="AM27" s="40">
        <f t="shared" ref="AM27" si="51">AM29/AM25*1000</f>
        <v>5574.8031496062995</v>
      </c>
      <c r="AN27" s="77"/>
      <c r="AO27" s="40">
        <f>+AJ27*(1+AO28)</f>
        <v>5672.4137931034484</v>
      </c>
      <c r="AP27" s="40">
        <f>+AK27*(1+AP28)</f>
        <v>5749.333333333333</v>
      </c>
      <c r="AQ27" s="40">
        <f>+AL27*(1+AQ28)</f>
        <v>5774.2372881355932</v>
      </c>
      <c r="AR27" s="40">
        <f>+AM27*(1+AR28)</f>
        <v>5686.2992125984256</v>
      </c>
      <c r="AS27" s="77"/>
    </row>
    <row r="28" spans="3:45" outlineLevel="1" x14ac:dyDescent="0.2">
      <c r="C28" s="2"/>
      <c r="D28" s="2" t="s">
        <v>9</v>
      </c>
      <c r="F28" s="4"/>
      <c r="G28" s="4"/>
      <c r="H28" s="4"/>
      <c r="I28" s="4"/>
      <c r="J28" s="60"/>
      <c r="K28" s="5">
        <f>K27/F27-1</f>
        <v>0.13118166889277894</v>
      </c>
      <c r="L28" s="5">
        <f>L27/G27-1</f>
        <v>0.10589123406947887</v>
      </c>
      <c r="M28" s="5">
        <f>M27/H27-1</f>
        <v>0.10481526708403721</v>
      </c>
      <c r="N28" s="5">
        <f>N27/I27-1</f>
        <v>8.2589712423564388E-2</v>
      </c>
      <c r="O28" s="60"/>
      <c r="P28" s="5">
        <f>P27/K27-1</f>
        <v>7.2367639669852712E-2</v>
      </c>
      <c r="Q28" s="5">
        <f>Q27/L27-1</f>
        <v>0.103841242841753</v>
      </c>
      <c r="R28" s="5">
        <f>R27/M27-1</f>
        <v>0.10988175360297547</v>
      </c>
      <c r="S28" s="5">
        <f>S27/N27-1</f>
        <v>0.25034553739341869</v>
      </c>
      <c r="T28" s="60"/>
      <c r="U28" s="5">
        <f>U27/P27-1</f>
        <v>0.19620086364368095</v>
      </c>
      <c r="V28" s="5">
        <f>V27/Q27-1</f>
        <v>0.20833333333333326</v>
      </c>
      <c r="W28" s="5">
        <f>W27/R27-1</f>
        <v>0.20523415977961434</v>
      </c>
      <c r="X28" s="5">
        <f>X27/S27-1</f>
        <v>0.12118302285385085</v>
      </c>
      <c r="Y28" s="60"/>
      <c r="Z28" s="5">
        <f>Z27/U27-1</f>
        <v>0.20284880050505016</v>
      </c>
      <c r="AA28" s="5">
        <f>AA27/V27-1</f>
        <v>0.19071076706544687</v>
      </c>
      <c r="AB28" s="5">
        <f>AB27/W27-1</f>
        <v>0.19314285714285728</v>
      </c>
      <c r="AC28" s="5">
        <f>AC27/X27-1</f>
        <v>0.13678200296905341</v>
      </c>
      <c r="AD28" s="60"/>
      <c r="AE28" s="5">
        <f>AE27/Z27-1</f>
        <v>7.0204532891100069E-2</v>
      </c>
      <c r="AF28" s="5">
        <f>AF27/AA27-1</f>
        <v>6.2217923920053764E-3</v>
      </c>
      <c r="AG28" s="5">
        <f>AG27/AB27-1</f>
        <v>-3.5115469788041809E-2</v>
      </c>
      <c r="AH28" s="5">
        <f>AH27/AC27-1</f>
        <v>-2.9213770380048909E-2</v>
      </c>
      <c r="AI28" s="60"/>
      <c r="AJ28" s="5">
        <f>AJ27/AE27-1</f>
        <v>-5.485893416927845E-3</v>
      </c>
      <c r="AK28" s="5">
        <f>AK27/AF27-1</f>
        <v>1.3082155939298623E-2</v>
      </c>
      <c r="AL28" s="117">
        <f>AL27/AG27-1</f>
        <v>1.1558766323978897E-2</v>
      </c>
      <c r="AM28" s="5">
        <f>AM27/AH27-1</f>
        <v>-6.6402989948836089E-3</v>
      </c>
      <c r="AN28" s="60"/>
      <c r="AO28" s="18">
        <v>0</v>
      </c>
      <c r="AP28" s="18">
        <v>-0.02</v>
      </c>
      <c r="AQ28" s="18">
        <v>0.02</v>
      </c>
      <c r="AR28" s="18">
        <v>0.02</v>
      </c>
      <c r="AS28" s="60"/>
    </row>
    <row r="29" spans="3:45" s="23" customFormat="1" ht="15" outlineLevel="1" x14ac:dyDescent="0.25">
      <c r="C29" s="1" t="s">
        <v>71</v>
      </c>
      <c r="F29" s="6">
        <v>10464</v>
      </c>
      <c r="G29" s="6">
        <v>12104</v>
      </c>
      <c r="H29" s="6">
        <v>12652</v>
      </c>
      <c r="I29" s="6">
        <v>14372</v>
      </c>
      <c r="J29" s="68"/>
      <c r="K29" s="6">
        <v>15514</v>
      </c>
      <c r="L29" s="6">
        <v>17637</v>
      </c>
      <c r="M29" s="6">
        <v>17925</v>
      </c>
      <c r="N29" s="6">
        <v>20206</v>
      </c>
      <c r="O29" s="68"/>
      <c r="P29" s="6">
        <v>21982</v>
      </c>
      <c r="Q29" s="6">
        <v>24800</v>
      </c>
      <c r="R29" s="6">
        <v>24200</v>
      </c>
      <c r="S29" s="6">
        <v>25399.999999999996</v>
      </c>
      <c r="T29" s="68"/>
      <c r="U29" s="6">
        <v>28800</v>
      </c>
      <c r="V29" s="6">
        <v>34800</v>
      </c>
      <c r="W29" s="6">
        <v>35000</v>
      </c>
      <c r="X29" s="6">
        <v>41700</v>
      </c>
      <c r="Y29" s="289">
        <f>SUM(U29:X29)</f>
        <v>140300</v>
      </c>
      <c r="Z29" s="6">
        <v>46900</v>
      </c>
      <c r="AA29" s="6">
        <v>56400</v>
      </c>
      <c r="AB29" s="6">
        <v>55100</v>
      </c>
      <c r="AC29" s="6">
        <v>60700</v>
      </c>
      <c r="AD29" s="289">
        <f>SUM(Z29:AC29)</f>
        <v>219100</v>
      </c>
      <c r="AE29" s="6">
        <v>61600</v>
      </c>
      <c r="AF29" s="6">
        <v>63700</v>
      </c>
      <c r="AG29" s="6">
        <v>61000</v>
      </c>
      <c r="AH29" s="6">
        <v>65100</v>
      </c>
      <c r="AI29" s="289">
        <f>SUM(AE29:AH29)</f>
        <v>251400</v>
      </c>
      <c r="AJ29" s="6">
        <v>65800</v>
      </c>
      <c r="AK29" s="6">
        <v>70400</v>
      </c>
      <c r="AL29" s="19">
        <v>66800</v>
      </c>
      <c r="AM29" s="6">
        <v>70800</v>
      </c>
      <c r="AN29" s="289">
        <f>SUM(AJ29:AM29)</f>
        <v>273800</v>
      </c>
      <c r="AO29" s="6">
        <f t="shared" ref="AO29:AR29" si="52">AO27*AO25/1000</f>
        <v>71722.000000000015</v>
      </c>
      <c r="AP29" s="6">
        <f t="shared" si="52"/>
        <v>74511.360000000001</v>
      </c>
      <c r="AQ29" s="6">
        <f t="shared" si="52"/>
        <v>73586.880000000005</v>
      </c>
      <c r="AR29" s="6">
        <f t="shared" si="52"/>
        <v>77993.279999999999</v>
      </c>
      <c r="AS29" s="289"/>
    </row>
    <row r="30" spans="3:45" ht="14.25" customHeight="1" outlineLevel="1" x14ac:dyDescent="0.2">
      <c r="D30" s="2" t="s">
        <v>9</v>
      </c>
      <c r="F30" s="4"/>
      <c r="G30" s="4"/>
      <c r="H30" s="4"/>
      <c r="I30" s="4"/>
      <c r="J30" s="60"/>
      <c r="K30" s="5">
        <f>K29/F29-1</f>
        <v>0.4826070336391437</v>
      </c>
      <c r="L30" s="5">
        <f>L29/G29-1</f>
        <v>0.45712161269001972</v>
      </c>
      <c r="M30" s="5">
        <f>M29/H29-1</f>
        <v>0.41677205184950994</v>
      </c>
      <c r="N30" s="5">
        <f>N29/I29-1</f>
        <v>0.40592819370999167</v>
      </c>
      <c r="O30" s="60"/>
      <c r="P30" s="5">
        <f>P29/K29-1</f>
        <v>0.41691375531777752</v>
      </c>
      <c r="Q30" s="5">
        <f>Q29/L29-1</f>
        <v>0.40613483018653973</v>
      </c>
      <c r="R30" s="5">
        <f>R29/M29-1</f>
        <v>0.35006973500697347</v>
      </c>
      <c r="S30" s="5">
        <f>S29/N29-1</f>
        <v>0.25705236068494486</v>
      </c>
      <c r="T30" s="60"/>
      <c r="U30" s="5">
        <f>U29/P29-1</f>
        <v>0.31016286052224551</v>
      </c>
      <c r="V30" s="5">
        <f>V29/Q29-1</f>
        <v>0.40322580645161299</v>
      </c>
      <c r="W30" s="5">
        <f>W29/R29-1</f>
        <v>0.44628099173553726</v>
      </c>
      <c r="X30" s="5">
        <f>X29/S29-1</f>
        <v>0.64173228346456712</v>
      </c>
      <c r="Y30" s="60"/>
      <c r="Z30" s="5">
        <f>Z29/U29-1</f>
        <v>0.62847222222222232</v>
      </c>
      <c r="AA30" s="5">
        <f>AA29/V29-1</f>
        <v>0.6206896551724137</v>
      </c>
      <c r="AB30" s="5">
        <f>AB29/W29-1</f>
        <v>0.57428571428571429</v>
      </c>
      <c r="AC30" s="5">
        <f>AC29/X29-1</f>
        <v>0.45563549160671468</v>
      </c>
      <c r="AD30" s="60"/>
      <c r="AE30" s="5">
        <f>AE29/Z29-1</f>
        <v>0.31343283582089554</v>
      </c>
      <c r="AF30" s="5">
        <f>AF29/AA29-1</f>
        <v>0.12943262411347511</v>
      </c>
      <c r="AG30" s="5">
        <f>AG29/AB29-1</f>
        <v>0.10707803992740472</v>
      </c>
      <c r="AH30" s="5">
        <f>AH29/AC29-1</f>
        <v>7.2487644151565167E-2</v>
      </c>
      <c r="AI30" s="60"/>
      <c r="AJ30" s="5">
        <f>AJ29/AE29-1</f>
        <v>6.8181818181818121E-2</v>
      </c>
      <c r="AK30" s="5">
        <f>AK29/AF29-1</f>
        <v>0.10518053375196224</v>
      </c>
      <c r="AL30" s="117">
        <f>AL29/AG29-1</f>
        <v>9.5081967213114682E-2</v>
      </c>
      <c r="AM30" s="5">
        <f>AM29/AH29-1</f>
        <v>8.7557603686635899E-2</v>
      </c>
      <c r="AN30" s="60">
        <f t="shared" ref="AN30" si="53">AN29/AI29-1</f>
        <v>8.910103420843285E-2</v>
      </c>
      <c r="AO30" s="5">
        <f>AO29/AJ29-1</f>
        <v>9.0000000000000302E-2</v>
      </c>
      <c r="AP30" s="5">
        <f>AP29/AK29-1</f>
        <v>5.8400000000000007E-2</v>
      </c>
      <c r="AQ30" s="5">
        <f>AQ29/AL29-1</f>
        <v>0.10160000000000013</v>
      </c>
      <c r="AR30" s="5">
        <f>AR29/AM29-1</f>
        <v>0.10159999999999991</v>
      </c>
      <c r="AS30" s="60"/>
    </row>
    <row r="31" spans="3:45" ht="14.25" customHeight="1" outlineLevel="1" x14ac:dyDescent="0.2">
      <c r="C31" s="3" t="s">
        <v>287</v>
      </c>
      <c r="D31" s="2"/>
      <c r="F31" s="4"/>
      <c r="G31" s="4"/>
      <c r="H31" s="4"/>
      <c r="I31" s="4"/>
      <c r="J31" s="75"/>
      <c r="K31" s="10">
        <v>1.1354753444887478</v>
      </c>
      <c r="L31" s="10">
        <v>1.2409823320276994</v>
      </c>
      <c r="M31" s="10">
        <v>1.35832296176037</v>
      </c>
      <c r="N31" s="10">
        <v>1.5367706488295949</v>
      </c>
      <c r="O31" s="75"/>
      <c r="P31" s="10">
        <v>1.7692822274757734</v>
      </c>
      <c r="Q31" s="10">
        <v>2.1129032258064515</v>
      </c>
      <c r="R31" s="10">
        <v>2.2999999999999998</v>
      </c>
      <c r="S31" s="10">
        <v>2.7142857142857144</v>
      </c>
      <c r="T31" s="75"/>
      <c r="U31" s="10">
        <v>2.953846153846154</v>
      </c>
      <c r="V31" s="10">
        <v>3.5694444444444446</v>
      </c>
      <c r="W31" s="10">
        <v>4.0694444444444446</v>
      </c>
      <c r="X31" s="10">
        <v>5.6463414634146343</v>
      </c>
      <c r="Y31" s="75"/>
      <c r="Z31" s="10">
        <v>4.9659090909090908</v>
      </c>
      <c r="AA31" s="10">
        <v>5.795918367346939</v>
      </c>
      <c r="AB31" s="10">
        <v>6.2</v>
      </c>
      <c r="AC31" s="10">
        <v>6.5428571428571427</v>
      </c>
      <c r="AD31" s="75"/>
      <c r="AE31" s="10">
        <v>7.0648148148148149</v>
      </c>
      <c r="AF31" s="10">
        <f>AF37/AF25</f>
        <v>7.3090909090909095</v>
      </c>
      <c r="AG31" s="10">
        <f>AG37/AG25</f>
        <v>7.6330275229357802</v>
      </c>
      <c r="AH31" s="10">
        <f>AH37/AH25</f>
        <v>7.8879310344827589</v>
      </c>
      <c r="AI31" s="368"/>
      <c r="AJ31" s="10">
        <f>AJ37/AJ25</f>
        <v>8.2241379310344822</v>
      </c>
      <c r="AK31" s="10">
        <f t="shared" ref="AK31:AL31" si="54">AK37/AK25</f>
        <v>8.3249999999999993</v>
      </c>
      <c r="AL31" s="639">
        <f t="shared" si="54"/>
        <v>8.4661016949152543</v>
      </c>
      <c r="AM31" s="10">
        <f>AM37/AM25</f>
        <v>8.228346456692913</v>
      </c>
      <c r="AN31" s="64"/>
      <c r="AO31" s="10">
        <f t="shared" ref="AO31:AR31" si="55">AO37/AO25</f>
        <v>8.3554655172413792</v>
      </c>
      <c r="AP31" s="10">
        <f t="shared" si="55"/>
        <v>8.4515199999999986</v>
      </c>
      <c r="AQ31" s="10">
        <f t="shared" si="55"/>
        <v>8.4881288135593209</v>
      </c>
      <c r="AR31" s="10">
        <f t="shared" si="55"/>
        <v>8.3588598425196849</v>
      </c>
      <c r="AS31" s="64"/>
    </row>
    <row r="32" spans="3:45" outlineLevel="1" x14ac:dyDescent="0.2">
      <c r="C32" s="2"/>
      <c r="D32" s="2" t="s">
        <v>9</v>
      </c>
      <c r="F32" s="4"/>
      <c r="G32" s="4"/>
      <c r="H32" s="4"/>
      <c r="I32" s="4"/>
      <c r="J32" s="60"/>
      <c r="K32" s="5"/>
      <c r="L32" s="5"/>
      <c r="M32" s="5"/>
      <c r="N32" s="5"/>
      <c r="O32" s="60"/>
      <c r="P32" s="5">
        <f>P31/K31-1</f>
        <v>0.55818638957096822</v>
      </c>
      <c r="Q32" s="5">
        <f>Q31/L31-1</f>
        <v>0.70260540482802814</v>
      </c>
      <c r="R32" s="5">
        <f>R31/M31-1</f>
        <v>0.69326446268656738</v>
      </c>
      <c r="S32" s="5">
        <f>S31/N31-1</f>
        <v>0.7662269359145526</v>
      </c>
      <c r="T32" s="60"/>
      <c r="U32" s="5">
        <f>U31/P31-1</f>
        <v>0.66951665934065963</v>
      </c>
      <c r="V32" s="5">
        <f>V31/Q31-1</f>
        <v>0.68935538592027168</v>
      </c>
      <c r="W32" s="5">
        <f>W31/R31-1</f>
        <v>0.76932367149758485</v>
      </c>
      <c r="X32" s="5">
        <f>X31/S31-1</f>
        <v>1.0802310654685492</v>
      </c>
      <c r="Y32" s="60"/>
      <c r="Z32" s="5">
        <f>Z31/U31-1</f>
        <v>0.68116714015151514</v>
      </c>
      <c r="AA32" s="5">
        <f>AA31/V31-1</f>
        <v>0.62375923131898681</v>
      </c>
      <c r="AB32" s="5">
        <f>AB31/W31-1</f>
        <v>0.52354948805460744</v>
      </c>
      <c r="AC32" s="5">
        <f>AC31/X31-1</f>
        <v>0.15877815489046587</v>
      </c>
      <c r="AD32" s="60"/>
      <c r="AE32" s="5">
        <f>AE31/Z31-1</f>
        <v>0.4226629375370794</v>
      </c>
      <c r="AF32" s="5">
        <f>AF31/AA31-1</f>
        <v>0.2610755441741357</v>
      </c>
      <c r="AG32" s="5">
        <f>AG31/AB31-1</f>
        <v>0.23113347144125473</v>
      </c>
      <c r="AH32" s="5">
        <f>AH31/AC31-1</f>
        <v>0.20557897906941736</v>
      </c>
      <c r="AI32" s="60"/>
      <c r="AJ32" s="5">
        <f>AJ31/AE31-1</f>
        <v>0.164098160618249</v>
      </c>
      <c r="AK32" s="5">
        <f>AK31/AF31-1</f>
        <v>0.13899253731343264</v>
      </c>
      <c r="AL32" s="117">
        <f>AL31/AG31-1</f>
        <v>0.10914072685788789</v>
      </c>
      <c r="AM32" s="5">
        <f>AM31/AH31-1</f>
        <v>4.3156490684566062E-2</v>
      </c>
      <c r="AN32" s="60"/>
      <c r="AO32" s="5">
        <f>AO31/AJ31-1</f>
        <v>1.5968553459119628E-2</v>
      </c>
      <c r="AP32" s="5">
        <f>AP31/AK31-1</f>
        <v>1.5197597597597534E-2</v>
      </c>
      <c r="AQ32" s="5">
        <f>AQ31/AL31-1</f>
        <v>2.6018018018016953E-3</v>
      </c>
      <c r="AR32" s="5">
        <f>AR31/AM31-1</f>
        <v>1.5861435406698599E-2</v>
      </c>
      <c r="AS32" s="60"/>
    </row>
    <row r="33" spans="3:45" s="23" customFormat="1" ht="15" outlineLevel="1" x14ac:dyDescent="0.25">
      <c r="C33" s="1" t="s">
        <v>292</v>
      </c>
      <c r="D33" s="369"/>
      <c r="F33" s="6"/>
      <c r="G33" s="6"/>
      <c r="H33" s="6"/>
      <c r="I33" s="6"/>
      <c r="J33" s="375"/>
      <c r="K33" s="357">
        <f t="shared" ref="K33:N33" si="56">(K37/1000)/K29*10000</f>
        <v>3.2873533582570582</v>
      </c>
      <c r="L33" s="357">
        <f t="shared" si="56"/>
        <v>3.4246186993252823</v>
      </c>
      <c r="M33" s="357">
        <f t="shared" si="56"/>
        <v>3.7377963737796374</v>
      </c>
      <c r="N33" s="357">
        <f t="shared" si="56"/>
        <v>4.2363654360091063</v>
      </c>
      <c r="O33" s="375"/>
      <c r="P33" s="357">
        <f t="shared" ref="P33:S33" si="57">(P37/1000)/P29*10000</f>
        <v>4.7766354289873529</v>
      </c>
      <c r="Q33" s="357">
        <f t="shared" si="57"/>
        <v>5.2822580645161281</v>
      </c>
      <c r="R33" s="357">
        <f t="shared" si="57"/>
        <v>5.7024793388429753</v>
      </c>
      <c r="S33" s="357">
        <f t="shared" si="57"/>
        <v>5.984251968503937</v>
      </c>
      <c r="T33" s="375"/>
      <c r="U33" s="357">
        <f>(U37/1000)/U29*10000</f>
        <v>6.6666666666666661</v>
      </c>
      <c r="V33" s="357">
        <f t="shared" ref="V33:X33" si="58">(V37/1000)/V29*10000</f>
        <v>7.3850574712643677</v>
      </c>
      <c r="W33" s="357">
        <f t="shared" si="58"/>
        <v>8.3714285714285719</v>
      </c>
      <c r="X33" s="357">
        <f t="shared" si="58"/>
        <v>11.103117505995204</v>
      </c>
      <c r="Y33" s="375"/>
      <c r="Z33" s="357">
        <f t="shared" ref="Z33:AC33" si="59">(Z37/1000)/Z29*10000</f>
        <v>9.3176972281449899</v>
      </c>
      <c r="AA33" s="357">
        <f t="shared" si="59"/>
        <v>10.070921985815604</v>
      </c>
      <c r="AB33" s="357">
        <f t="shared" si="59"/>
        <v>10.689655172413794</v>
      </c>
      <c r="AC33" s="357">
        <f t="shared" si="59"/>
        <v>11.317957166392093</v>
      </c>
      <c r="AD33" s="375"/>
      <c r="AE33" s="357">
        <f>(AE37/1000)/AE29*10000</f>
        <v>12.386363636363637</v>
      </c>
      <c r="AF33" s="357">
        <f>(AF37/1000)/AF29*10000</f>
        <v>12.621664050235481</v>
      </c>
      <c r="AG33" s="357">
        <f>(AG37/1000)/AG29*10000</f>
        <v>13.639344262295083</v>
      </c>
      <c r="AH33" s="357">
        <f>(AH37/1000)/AH29*10000</f>
        <v>14.055299539170507</v>
      </c>
      <c r="AI33" s="377"/>
      <c r="AJ33" s="357">
        <f>(AJ37/1000)/AJ29*10000</f>
        <v>14.498480243161096</v>
      </c>
      <c r="AK33" s="357">
        <f>(AK37/1000)/AK29*10000</f>
        <v>14.19034090909091</v>
      </c>
      <c r="AL33" s="640">
        <f>(AL37/1000)/AL29*10000</f>
        <v>14.955089820359282</v>
      </c>
      <c r="AM33" s="357">
        <f>(AM37/1000)/AM29*10000</f>
        <v>14.759887005649718</v>
      </c>
      <c r="AN33" s="366"/>
      <c r="AO33" s="376">
        <v>14.73</v>
      </c>
      <c r="AP33" s="376">
        <v>14.7</v>
      </c>
      <c r="AQ33" s="376">
        <v>14.7</v>
      </c>
      <c r="AR33" s="376">
        <v>14.7</v>
      </c>
      <c r="AS33" s="366"/>
    </row>
    <row r="34" spans="3:45" outlineLevel="1" x14ac:dyDescent="0.2">
      <c r="C34" s="2"/>
      <c r="D34" s="2" t="s">
        <v>9</v>
      </c>
      <c r="F34" s="4"/>
      <c r="G34" s="4"/>
      <c r="H34" s="4"/>
      <c r="I34" s="4"/>
      <c r="J34" s="60"/>
      <c r="K34" s="5"/>
      <c r="L34" s="5"/>
      <c r="M34" s="5"/>
      <c r="N34" s="5"/>
      <c r="O34" s="60"/>
      <c r="P34" s="5">
        <f>P33/K33-1</f>
        <v>0.45303376559430975</v>
      </c>
      <c r="Q34" s="5">
        <f>Q33/L33-1</f>
        <v>0.54243684575945283</v>
      </c>
      <c r="R34" s="5">
        <f>R33/M33-1</f>
        <v>0.52562600222030342</v>
      </c>
      <c r="S34" s="5">
        <f>S33/N33-1</f>
        <v>0.41259106630362785</v>
      </c>
      <c r="T34" s="60"/>
      <c r="U34" s="5">
        <f>U33/P33-1</f>
        <v>0.39568253968253964</v>
      </c>
      <c r="V34" s="5">
        <f>V33/Q33-1</f>
        <v>0.39808721593401786</v>
      </c>
      <c r="W34" s="5">
        <f>W33/R33-1</f>
        <v>0.46803312629399585</v>
      </c>
      <c r="X34" s="5">
        <f>X33/S33-1</f>
        <v>0.85538937271235649</v>
      </c>
      <c r="Y34" s="60"/>
      <c r="Z34" s="5">
        <f>Z33/U33-1</f>
        <v>0.39765458422174871</v>
      </c>
      <c r="AA34" s="5">
        <f>AA33/V33-1</f>
        <v>0.36368904710654859</v>
      </c>
      <c r="AB34" s="5">
        <f>AB33/W33-1</f>
        <v>0.27692126632929259</v>
      </c>
      <c r="AC34" s="5">
        <f>AC33/X33-1</f>
        <v>1.9349489932074082E-2</v>
      </c>
      <c r="AD34" s="60"/>
      <c r="AE34" s="5">
        <f>AE33/Z33-1</f>
        <v>0.32933742458914073</v>
      </c>
      <c r="AF34" s="5">
        <f>AF33/AA33-1</f>
        <v>0.25327790921352289</v>
      </c>
      <c r="AG34" s="5">
        <f>AG33/AB33-1</f>
        <v>0.27593865679534635</v>
      </c>
      <c r="AH34" s="5">
        <f>AH33/AC33-1</f>
        <v>0.241858343562809</v>
      </c>
      <c r="AI34" s="60"/>
      <c r="AJ34" s="5">
        <f>AJ33/AE33-1</f>
        <v>0.17051950586988651</v>
      </c>
      <c r="AK34" s="5">
        <f>AK33/AF33-1</f>
        <v>0.12428447252374486</v>
      </c>
      <c r="AL34" s="117">
        <f>AL33/AG33-1</f>
        <v>9.6466921925379978E-2</v>
      </c>
      <c r="AM34" s="5">
        <f>AM33/AH33-1</f>
        <v>5.012966564786514E-2</v>
      </c>
      <c r="AN34" s="60"/>
      <c r="AO34" s="5">
        <f>AO33/AJ33-1</f>
        <v>1.5968553459119406E-2</v>
      </c>
      <c r="AP34" s="5">
        <f>AP33/AK33-1</f>
        <v>3.5915915915915697E-2</v>
      </c>
      <c r="AQ34" s="5">
        <f>AQ33/AL33-1</f>
        <v>-1.7057057057057179E-2</v>
      </c>
      <c r="AR34" s="5">
        <f>AR33/AM33-1</f>
        <v>-4.0574162679426484E-3</v>
      </c>
      <c r="AS34" s="60"/>
    </row>
    <row r="35" spans="3:45" outlineLevel="1" x14ac:dyDescent="0.2">
      <c r="C35" s="3" t="s">
        <v>288</v>
      </c>
      <c r="D35" s="2"/>
      <c r="F35" s="4"/>
      <c r="G35" s="4"/>
      <c r="H35" s="4"/>
      <c r="I35" s="4"/>
      <c r="J35" s="75"/>
      <c r="K35" s="10">
        <f>(K29*1000)/K10</f>
        <v>229.79958821525381</v>
      </c>
      <c r="L35" s="10">
        <f>(L29*1000)/L10</f>
        <v>246.34057768590424</v>
      </c>
      <c r="M35" s="10">
        <f>(M29*1000)/M10</f>
        <v>250.33517680576503</v>
      </c>
      <c r="N35" s="10">
        <f>(N29*1000)/N10</f>
        <v>263.13322047141554</v>
      </c>
      <c r="O35" s="75"/>
      <c r="P35" s="10">
        <f>(P29*1000)/P10</f>
        <v>270.13542409123306</v>
      </c>
      <c r="Q35" s="10">
        <f>(Q29*1000)/Q10</f>
        <v>288.70779976717114</v>
      </c>
      <c r="R35" s="10">
        <f>(R29*1000)/R10</f>
        <v>265.06024096385545</v>
      </c>
      <c r="S35" s="10">
        <f>(S29*1000)/S10</f>
        <v>258.91946992864422</v>
      </c>
      <c r="T35" s="75"/>
      <c r="U35" s="10">
        <f>(U29*1000)/U10</f>
        <v>277.99227799227799</v>
      </c>
      <c r="V35" s="10">
        <f>(V29*1000)/V10</f>
        <v>318.68131868131866</v>
      </c>
      <c r="W35" s="10">
        <f>(W29*1000)/W10</f>
        <v>302.7681660899654</v>
      </c>
      <c r="X35" s="10">
        <f>(X29*1000)/X10</f>
        <v>344.05940594059405</v>
      </c>
      <c r="Y35" s="75"/>
      <c r="Z35" s="10">
        <f>(Z29*1000)/Z10</f>
        <v>369.87381703470032</v>
      </c>
      <c r="AA35" s="10">
        <f>(AA29*1000)/AA10</f>
        <v>417.77777777777777</v>
      </c>
      <c r="AB35" s="10">
        <f>(AB29*1000)/AB10</f>
        <v>375.85266030013645</v>
      </c>
      <c r="AC35" s="10">
        <f>(AC29*1000)/AC10</f>
        <v>384.66413181242081</v>
      </c>
      <c r="AD35" s="75"/>
      <c r="AE35" s="10">
        <f>(AE29*1000)/AE10</f>
        <v>358.13953488372096</v>
      </c>
      <c r="AF35" s="10">
        <f>(AF29*1000)/AF10</f>
        <v>348.65900383141764</v>
      </c>
      <c r="AG35" s="10">
        <f>(AG29*1000)/AG10</f>
        <v>308.39231547017187</v>
      </c>
      <c r="AH35" s="10">
        <f>(AH29*1000)/AH10</f>
        <v>323.8805970149254</v>
      </c>
      <c r="AI35" s="60"/>
      <c r="AJ35" s="10">
        <f>(AJ29*1000)/AJ10</f>
        <v>314.38127090301003</v>
      </c>
      <c r="AK35" s="10">
        <f>(AK29*1000)/AK10</f>
        <v>326.53061224489795</v>
      </c>
      <c r="AL35" s="639">
        <f>(AL29*1000)/AL10</f>
        <v>317.03844328429045</v>
      </c>
      <c r="AM35" s="10">
        <f>(AM29*1000)/AM10</f>
        <v>318.91891891891891</v>
      </c>
      <c r="AN35" s="60"/>
      <c r="AO35" s="10">
        <f>(AO29*1000)/AO10</f>
        <v>314.57017543859655</v>
      </c>
      <c r="AP35" s="10">
        <f>(AP29*1000)/AP10</f>
        <v>318.42461538461538</v>
      </c>
      <c r="AQ35" s="10">
        <f>(AQ29*1000)/AQ10</f>
        <v>306.61200000000002</v>
      </c>
      <c r="AR35" s="10">
        <f>(AR29*1000)/AR10</f>
        <v>317.0458536585366</v>
      </c>
      <c r="AS35" s="60"/>
    </row>
    <row r="36" spans="3:45" outlineLevel="1" x14ac:dyDescent="0.2">
      <c r="C36" s="2"/>
      <c r="D36" s="2" t="s">
        <v>9</v>
      </c>
      <c r="F36" s="4"/>
      <c r="G36" s="4"/>
      <c r="H36" s="4"/>
      <c r="I36" s="4"/>
      <c r="J36" s="60"/>
      <c r="K36" s="5"/>
      <c r="L36" s="5"/>
      <c r="M36" s="5"/>
      <c r="N36" s="5"/>
      <c r="O36" s="60"/>
      <c r="P36" s="5">
        <f>P35/K35-1</f>
        <v>0.17552614514781717</v>
      </c>
      <c r="Q36" s="5">
        <f>Q35/L35-1</f>
        <v>0.17198637138574502</v>
      </c>
      <c r="R36" s="5">
        <f>R35/M35-1</f>
        <v>5.8821394364067192E-2</v>
      </c>
      <c r="S36" s="5">
        <f>S35/N35-1</f>
        <v>-1.6013753547431953E-2</v>
      </c>
      <c r="T36" s="60"/>
      <c r="U36" s="5">
        <f>U35/P35-1</f>
        <v>2.9084870773525173E-2</v>
      </c>
      <c r="V36" s="5">
        <f>V35/Q35-1</f>
        <v>0.10381956752924482</v>
      </c>
      <c r="W36" s="5">
        <f>W35/R35-1</f>
        <v>0.14226171752123307</v>
      </c>
      <c r="X36" s="5">
        <f>X35/S35-1</f>
        <v>0.32882786310127088</v>
      </c>
      <c r="Y36" s="60"/>
      <c r="Z36" s="5">
        <f>Z35/U35-1</f>
        <v>0.33051831405538024</v>
      </c>
      <c r="AA36" s="5">
        <f>AA35/V35-1</f>
        <v>0.31095785440613044</v>
      </c>
      <c r="AB36" s="5">
        <f>AB35/W35-1</f>
        <v>0.24138764373416488</v>
      </c>
      <c r="AC36" s="5">
        <f>AC35/X35-1</f>
        <v>0.11801661332530933</v>
      </c>
      <c r="AD36" s="60"/>
      <c r="AE36" s="5">
        <f>AE35/Z35-1</f>
        <v>-3.1725095452967644E-2</v>
      </c>
      <c r="AF36" s="5">
        <f>AF35/AA35-1</f>
        <v>-0.16544387380777692</v>
      </c>
      <c r="AG36" s="5">
        <f>AG35/AB35-1</f>
        <v>-0.17948614432074061</v>
      </c>
      <c r="AH36" s="5">
        <f>AH35/AC35-1</f>
        <v>-0.15801716294966683</v>
      </c>
      <c r="AI36" s="60"/>
      <c r="AJ36" s="5">
        <f t="shared" ref="AJ36:AL36" si="60">AJ35/AE35-1</f>
        <v>-0.12218216566042661</v>
      </c>
      <c r="AK36" s="5">
        <f t="shared" si="60"/>
        <v>-6.3467145099798228E-2</v>
      </c>
      <c r="AL36" s="117">
        <f t="shared" si="60"/>
        <v>2.8036132485781184E-2</v>
      </c>
      <c r="AM36" s="5">
        <f>AM35/AH35-1</f>
        <v>-1.5319466932370296E-2</v>
      </c>
      <c r="AN36" s="60"/>
      <c r="AO36" s="5">
        <f t="shared" ref="AO36" si="61">AO35/AJ35-1</f>
        <v>6.0087719298262954E-4</v>
      </c>
      <c r="AP36" s="5">
        <f t="shared" ref="AP36" si="62">AP35/AK35-1</f>
        <v>-2.4824615384615334E-2</v>
      </c>
      <c r="AQ36" s="5">
        <f t="shared" ref="AQ36" si="63">AQ35/AL35-1</f>
        <v>-3.2886999999999889E-2</v>
      </c>
      <c r="AR36" s="5">
        <f t="shared" ref="AR36" si="64">AR35/AM35-1</f>
        <v>-5.8731707317072335E-3</v>
      </c>
      <c r="AS36" s="60"/>
    </row>
    <row r="37" spans="3:45" s="23" customFormat="1" ht="15" x14ac:dyDescent="0.25">
      <c r="C37" s="31" t="s">
        <v>25</v>
      </c>
      <c r="D37" s="32"/>
      <c r="E37" s="33"/>
      <c r="F37" s="34"/>
      <c r="G37" s="34"/>
      <c r="H37" s="34"/>
      <c r="I37" s="34"/>
      <c r="J37" s="65">
        <f>+SUM(F37:I37)</f>
        <v>0</v>
      </c>
      <c r="K37" s="34">
        <v>5100</v>
      </c>
      <c r="L37" s="34">
        <v>6040</v>
      </c>
      <c r="M37" s="34">
        <v>6700</v>
      </c>
      <c r="N37" s="34">
        <v>8560</v>
      </c>
      <c r="O37" s="65">
        <f>+SUM(K37:N37)</f>
        <v>26400</v>
      </c>
      <c r="P37" s="34">
        <v>10500</v>
      </c>
      <c r="Q37" s="34">
        <v>13100</v>
      </c>
      <c r="R37" s="34">
        <v>13800</v>
      </c>
      <c r="S37" s="34">
        <v>15200</v>
      </c>
      <c r="T37" s="65">
        <f>+SUM(P37:S37)</f>
        <v>52600</v>
      </c>
      <c r="U37" s="34">
        <v>19200</v>
      </c>
      <c r="V37" s="34">
        <v>25700</v>
      </c>
      <c r="W37" s="34">
        <v>29300</v>
      </c>
      <c r="X37" s="34">
        <v>46300</v>
      </c>
      <c r="Y37" s="65">
        <f>+SUM(U37:X37)</f>
        <v>120500</v>
      </c>
      <c r="Z37" s="34">
        <v>43700</v>
      </c>
      <c r="AA37" s="34">
        <v>56800</v>
      </c>
      <c r="AB37" s="34">
        <v>58900</v>
      </c>
      <c r="AC37" s="34">
        <v>68700</v>
      </c>
      <c r="AD37" s="65">
        <f>+SUM(Z37:AC37)</f>
        <v>228100</v>
      </c>
      <c r="AE37" s="34">
        <v>76300</v>
      </c>
      <c r="AF37" s="34">
        <v>80400</v>
      </c>
      <c r="AG37" s="34">
        <v>83200</v>
      </c>
      <c r="AH37" s="34">
        <v>91500</v>
      </c>
      <c r="AI37" s="65">
        <f>+SUM(AE37:AH37)</f>
        <v>331400</v>
      </c>
      <c r="AJ37" s="34">
        <v>95400</v>
      </c>
      <c r="AK37" s="34">
        <v>99900</v>
      </c>
      <c r="AL37" s="641">
        <v>99900</v>
      </c>
      <c r="AM37" s="34">
        <v>104500</v>
      </c>
      <c r="AN37" s="65">
        <f>+SUM(AJ37:AM37)</f>
        <v>399700</v>
      </c>
      <c r="AO37" s="34">
        <f t="shared" ref="AO37:AR37" si="65">AO33*AO29/10</f>
        <v>105646.50600000002</v>
      </c>
      <c r="AP37" s="34">
        <f t="shared" si="65"/>
        <v>109531.69919999999</v>
      </c>
      <c r="AQ37" s="34">
        <f t="shared" si="65"/>
        <v>108172.71359999999</v>
      </c>
      <c r="AR37" s="34">
        <f t="shared" si="65"/>
        <v>114650.1216</v>
      </c>
      <c r="AS37" s="65">
        <f>+SUM(AO37:AR37)</f>
        <v>438001.0404</v>
      </c>
    </row>
    <row r="38" spans="3:45" x14ac:dyDescent="0.2">
      <c r="D38" s="2" t="s">
        <v>9</v>
      </c>
      <c r="F38" s="4"/>
      <c r="G38" s="4"/>
      <c r="H38" s="4"/>
      <c r="I38" s="4"/>
      <c r="J38" s="60"/>
      <c r="K38" s="5"/>
      <c r="L38" s="5"/>
      <c r="M38" s="5"/>
      <c r="N38" s="5"/>
      <c r="O38" s="60"/>
      <c r="P38" s="5">
        <f t="shared" ref="P38:AN38" si="66">P37/K37-1</f>
        <v>1.0588235294117645</v>
      </c>
      <c r="Q38" s="5">
        <f t="shared" si="66"/>
        <v>1.1688741721854305</v>
      </c>
      <c r="R38" s="5">
        <f t="shared" si="66"/>
        <v>1.0597014925373136</v>
      </c>
      <c r="S38" s="5">
        <f t="shared" si="66"/>
        <v>0.77570093457943923</v>
      </c>
      <c r="T38" s="60">
        <f t="shared" si="66"/>
        <v>0.99242424242424243</v>
      </c>
      <c r="U38" s="5">
        <f t="shared" si="66"/>
        <v>0.82857142857142851</v>
      </c>
      <c r="V38" s="5">
        <f t="shared" si="66"/>
        <v>0.96183206106870234</v>
      </c>
      <c r="W38" s="5">
        <f t="shared" si="66"/>
        <v>1.1231884057971016</v>
      </c>
      <c r="X38" s="5">
        <f t="shared" si="66"/>
        <v>2.0460526315789473</v>
      </c>
      <c r="Y38" s="60">
        <f t="shared" si="66"/>
        <v>1.290874524714829</v>
      </c>
      <c r="Z38" s="5">
        <f t="shared" si="66"/>
        <v>1.2760416666666665</v>
      </c>
      <c r="AA38" s="5">
        <f t="shared" si="66"/>
        <v>1.2101167315175099</v>
      </c>
      <c r="AB38" s="5">
        <f t="shared" si="66"/>
        <v>1.0102389078498293</v>
      </c>
      <c r="AC38" s="5">
        <f t="shared" si="66"/>
        <v>0.48380129589632825</v>
      </c>
      <c r="AD38" s="60">
        <f t="shared" si="66"/>
        <v>0.89294605809128624</v>
      </c>
      <c r="AE38" s="5">
        <f t="shared" si="66"/>
        <v>0.74599542334096114</v>
      </c>
      <c r="AF38" s="5">
        <f t="shared" si="66"/>
        <v>0.41549295774647876</v>
      </c>
      <c r="AG38" s="5">
        <f t="shared" si="66"/>
        <v>0.41256366723259763</v>
      </c>
      <c r="AH38" s="5">
        <f t="shared" si="66"/>
        <v>0.33187772925764203</v>
      </c>
      <c r="AI38" s="60">
        <f t="shared" si="66"/>
        <v>0.45287154756685655</v>
      </c>
      <c r="AJ38" s="5">
        <f>AJ37/AE37-1</f>
        <v>0.25032765399737866</v>
      </c>
      <c r="AK38" s="5">
        <f t="shared" si="66"/>
        <v>0.24253731343283591</v>
      </c>
      <c r="AL38" s="117">
        <f t="shared" si="66"/>
        <v>0.20072115384615374</v>
      </c>
      <c r="AM38" s="5">
        <f t="shared" si="66"/>
        <v>0.14207650273224037</v>
      </c>
      <c r="AN38" s="60">
        <f t="shared" si="66"/>
        <v>0.20609535304767657</v>
      </c>
      <c r="AO38" s="5">
        <f t="shared" ref="AO38" si="67">AO37/AJ37-1</f>
        <v>0.1074057232704404</v>
      </c>
      <c r="AP38" s="5">
        <f t="shared" ref="AP38" si="68">AP37/AK37-1</f>
        <v>9.6413405405405328E-2</v>
      </c>
      <c r="AQ38" s="5">
        <f t="shared" ref="AQ38" si="69">AQ37/AL37-1</f>
        <v>8.2809945945945929E-2</v>
      </c>
      <c r="AR38" s="5">
        <f t="shared" ref="AR38" si="70">AR37/AM37-1</f>
        <v>9.7130350239234442E-2</v>
      </c>
      <c r="AS38" s="60">
        <f t="shared" ref="AS38" si="71">AS37/AN37-1</f>
        <v>9.5824469352014052E-2</v>
      </c>
    </row>
    <row r="39" spans="3:45" ht="7.5" customHeight="1" x14ac:dyDescent="0.2">
      <c r="D39" s="2"/>
      <c r="F39" s="4"/>
      <c r="G39" s="4"/>
      <c r="H39" s="4"/>
      <c r="I39" s="4"/>
      <c r="J39" s="60"/>
      <c r="K39" s="5"/>
      <c r="L39" s="5"/>
      <c r="M39" s="5"/>
      <c r="N39" s="5"/>
      <c r="O39" s="60"/>
      <c r="P39" s="5"/>
      <c r="Q39" s="5"/>
      <c r="R39" s="5"/>
      <c r="S39" s="5"/>
      <c r="T39" s="60"/>
      <c r="U39" s="5"/>
      <c r="V39" s="5"/>
      <c r="W39" s="5"/>
      <c r="X39" s="5"/>
      <c r="Y39" s="60"/>
      <c r="Z39" s="5"/>
      <c r="AA39" s="5"/>
      <c r="AB39" s="5"/>
      <c r="AC39" s="5"/>
      <c r="AD39" s="60"/>
      <c r="AE39" s="5"/>
      <c r="AF39" s="5"/>
      <c r="AG39" s="5"/>
      <c r="AH39" s="5"/>
      <c r="AI39" s="60"/>
      <c r="AJ39" s="5"/>
      <c r="AK39" s="5"/>
      <c r="AL39" s="117"/>
      <c r="AM39" s="5"/>
      <c r="AN39" s="60"/>
      <c r="AO39" s="5"/>
      <c r="AP39" s="5"/>
      <c r="AQ39" s="5"/>
      <c r="AR39" s="5"/>
      <c r="AS39" s="60"/>
    </row>
    <row r="40" spans="3:45" x14ac:dyDescent="0.2">
      <c r="C40" s="358" t="s">
        <v>289</v>
      </c>
      <c r="D40" s="359"/>
      <c r="E40" s="360"/>
      <c r="F40" s="4"/>
      <c r="G40" s="4"/>
      <c r="H40" s="4"/>
      <c r="I40" s="4"/>
      <c r="J40" s="60"/>
      <c r="K40" s="5"/>
      <c r="L40" s="5"/>
      <c r="M40" s="5"/>
      <c r="N40" s="5"/>
      <c r="O40" s="60"/>
      <c r="P40" s="5"/>
      <c r="Q40" s="5"/>
      <c r="R40" s="5"/>
      <c r="S40" s="5"/>
      <c r="T40" s="60"/>
      <c r="U40" s="5"/>
      <c r="V40" s="5"/>
      <c r="W40" s="5"/>
      <c r="X40" s="5"/>
      <c r="Y40" s="60"/>
      <c r="Z40" s="5"/>
      <c r="AA40" s="5"/>
      <c r="AB40" s="5"/>
      <c r="AC40" s="5"/>
      <c r="AD40" s="60"/>
      <c r="AE40" s="5"/>
      <c r="AF40" s="5"/>
      <c r="AG40" s="5"/>
      <c r="AH40" s="5"/>
      <c r="AI40" s="60"/>
      <c r="AJ40" s="5"/>
      <c r="AK40" s="5"/>
      <c r="AL40" s="117"/>
      <c r="AM40" s="5"/>
      <c r="AN40" s="60"/>
      <c r="AO40" s="5"/>
      <c r="AP40" s="5"/>
      <c r="AQ40" s="5"/>
      <c r="AR40" s="5"/>
      <c r="AS40" s="60"/>
    </row>
    <row r="41" spans="3:45" s="23" customFormat="1" ht="20.100000000000001" customHeight="1" outlineLevel="1" x14ac:dyDescent="0.25">
      <c r="C41" s="1" t="s">
        <v>290</v>
      </c>
      <c r="F41" s="6"/>
      <c r="G41" s="6"/>
      <c r="H41" s="6"/>
      <c r="I41" s="6"/>
      <c r="J41" s="366"/>
      <c r="K41" s="367"/>
      <c r="L41" s="367"/>
      <c r="M41" s="367"/>
      <c r="N41" s="367"/>
      <c r="O41" s="366"/>
      <c r="P41" s="367"/>
      <c r="Q41" s="367"/>
      <c r="R41" s="367"/>
      <c r="S41" s="367"/>
      <c r="T41" s="366"/>
      <c r="U41" s="367"/>
      <c r="V41" s="367"/>
      <c r="W41" s="367"/>
      <c r="X41" s="367"/>
      <c r="Y41" s="366"/>
      <c r="Z41" s="14">
        <v>13500</v>
      </c>
      <c r="AA41" s="14">
        <v>15500</v>
      </c>
      <c r="AB41" s="14">
        <v>18100</v>
      </c>
      <c r="AC41" s="14">
        <v>20700</v>
      </c>
      <c r="AD41" s="55"/>
      <c r="AE41" s="14">
        <v>22800</v>
      </c>
      <c r="AF41" s="14">
        <v>24700</v>
      </c>
      <c r="AG41" s="14">
        <v>27100</v>
      </c>
      <c r="AH41" s="14">
        <v>29200</v>
      </c>
      <c r="AI41" s="366"/>
      <c r="AJ41" s="14">
        <v>30700</v>
      </c>
      <c r="AK41" s="14">
        <v>31600</v>
      </c>
      <c r="AL41" s="14">
        <v>33500</v>
      </c>
      <c r="AM41" s="19">
        <v>34800</v>
      </c>
      <c r="AN41" s="366"/>
      <c r="AO41" s="14">
        <f>+AM41+AO42</f>
        <v>36000</v>
      </c>
      <c r="AP41" s="14">
        <f t="shared" ref="AP41" si="72">+AO41+AP42</f>
        <v>37200</v>
      </c>
      <c r="AQ41" s="14">
        <f t="shared" ref="AQ41" si="73">+AP41+AQ42</f>
        <v>38400</v>
      </c>
      <c r="AR41" s="14">
        <f t="shared" ref="AR41" si="74">+AQ41+AR42</f>
        <v>39600</v>
      </c>
      <c r="AS41" s="366"/>
    </row>
    <row r="42" spans="3:45" s="28" customFormat="1" ht="12.75" outlineLevel="1" x14ac:dyDescent="0.2">
      <c r="C42" s="361" t="s">
        <v>28</v>
      </c>
      <c r="F42" s="4"/>
      <c r="G42" s="4"/>
      <c r="H42" s="4"/>
      <c r="I42" s="4"/>
      <c r="J42" s="362"/>
      <c r="K42" s="363"/>
      <c r="L42" s="363"/>
      <c r="M42" s="363"/>
      <c r="N42" s="363"/>
      <c r="O42" s="362"/>
      <c r="P42" s="363"/>
      <c r="Q42" s="363"/>
      <c r="R42" s="363"/>
      <c r="S42" s="363"/>
      <c r="T42" s="362"/>
      <c r="U42" s="363"/>
      <c r="V42" s="363"/>
      <c r="W42" s="363"/>
      <c r="X42" s="363"/>
      <c r="Y42" s="362"/>
      <c r="Z42" s="364"/>
      <c r="AA42" s="364">
        <f t="shared" ref="AA42:AC42" si="75">+AA41-Z41</f>
        <v>2000</v>
      </c>
      <c r="AB42" s="364">
        <f t="shared" si="75"/>
        <v>2600</v>
      </c>
      <c r="AC42" s="364">
        <f t="shared" si="75"/>
        <v>2600</v>
      </c>
      <c r="AD42" s="365"/>
      <c r="AE42" s="364">
        <f>+AE41-AC41</f>
        <v>2100</v>
      </c>
      <c r="AF42" s="364">
        <f>+AF41-AE41</f>
        <v>1900</v>
      </c>
      <c r="AG42" s="364">
        <f>+AG41-AF41</f>
        <v>2400</v>
      </c>
      <c r="AH42" s="364">
        <f>+AH41-AG41</f>
        <v>2100</v>
      </c>
      <c r="AI42" s="362"/>
      <c r="AJ42" s="364">
        <f>+AJ41-AH41</f>
        <v>1500</v>
      </c>
      <c r="AK42" s="364">
        <f>+AK41-AJ41</f>
        <v>900</v>
      </c>
      <c r="AL42" s="364">
        <f>+AL41-AK41</f>
        <v>1900</v>
      </c>
      <c r="AM42" s="648">
        <f>+AM41-AL41</f>
        <v>1300</v>
      </c>
      <c r="AN42" s="362"/>
      <c r="AO42" s="17">
        <v>1200</v>
      </c>
      <c r="AP42" s="17">
        <v>1200</v>
      </c>
      <c r="AQ42" s="17">
        <v>1200</v>
      </c>
      <c r="AR42" s="17">
        <v>1200</v>
      </c>
      <c r="AS42" s="362"/>
    </row>
    <row r="43" spans="3:45" ht="20.25" customHeight="1" outlineLevel="1" x14ac:dyDescent="0.2">
      <c r="C43" s="3" t="s">
        <v>285</v>
      </c>
      <c r="F43" s="4"/>
      <c r="G43" s="4"/>
      <c r="H43" s="4"/>
      <c r="I43" s="4"/>
      <c r="J43" s="62"/>
      <c r="K43" s="4"/>
      <c r="L43" s="4"/>
      <c r="M43" s="4"/>
      <c r="N43" s="4"/>
      <c r="O43" s="62"/>
      <c r="P43" s="4"/>
      <c r="Q43" s="4"/>
      <c r="R43" s="4"/>
      <c r="S43" s="4"/>
      <c r="T43" s="62"/>
      <c r="U43" s="4"/>
      <c r="V43" s="4"/>
      <c r="W43" s="4"/>
      <c r="X43" s="4"/>
      <c r="Y43" s="62"/>
      <c r="Z43" s="4">
        <v>4600</v>
      </c>
      <c r="AA43" s="4">
        <v>5300</v>
      </c>
      <c r="AB43" s="4">
        <v>5900</v>
      </c>
      <c r="AC43" s="4">
        <v>7300</v>
      </c>
      <c r="AD43" s="62"/>
      <c r="AE43" s="4">
        <v>8500</v>
      </c>
      <c r="AF43" s="4">
        <v>9400</v>
      </c>
      <c r="AG43" s="4">
        <v>10200</v>
      </c>
      <c r="AH43" s="4">
        <v>11400</v>
      </c>
      <c r="AI43" s="62"/>
      <c r="AJ43" s="4">
        <v>12800</v>
      </c>
      <c r="AK43" s="4">
        <v>13200</v>
      </c>
      <c r="AL43" s="111">
        <v>13500</v>
      </c>
      <c r="AM43" s="4">
        <v>14800</v>
      </c>
      <c r="AN43" s="62"/>
      <c r="AO43" s="4">
        <f>+AJ43*(1+AO44)</f>
        <v>16000</v>
      </c>
      <c r="AP43" s="4">
        <f>+AK43*(1+AP44)</f>
        <v>16236</v>
      </c>
      <c r="AQ43" s="4">
        <f>+AL43*(1+AQ44)</f>
        <v>16335</v>
      </c>
      <c r="AR43" s="4">
        <f>+AM43*(1+AR44)</f>
        <v>17760</v>
      </c>
      <c r="AS43" s="62"/>
    </row>
    <row r="44" spans="3:45" outlineLevel="1" x14ac:dyDescent="0.2">
      <c r="D44" s="2" t="s">
        <v>9</v>
      </c>
      <c r="F44" s="4"/>
      <c r="G44" s="4"/>
      <c r="H44" s="4"/>
      <c r="I44" s="4"/>
      <c r="J44" s="62"/>
      <c r="K44" s="4"/>
      <c r="L44" s="4"/>
      <c r="M44" s="4"/>
      <c r="N44" s="4"/>
      <c r="O44" s="62"/>
      <c r="P44" s="4"/>
      <c r="Q44" s="4"/>
      <c r="R44" s="4"/>
      <c r="S44" s="4"/>
      <c r="T44" s="62"/>
      <c r="U44" s="4"/>
      <c r="V44" s="4"/>
      <c r="W44" s="4"/>
      <c r="X44" s="4"/>
      <c r="Y44" s="62"/>
      <c r="Z44" s="4"/>
      <c r="AA44" s="4"/>
      <c r="AB44" s="4"/>
      <c r="AC44" s="4"/>
      <c r="AD44" s="62"/>
      <c r="AE44" s="5">
        <f>AE43/Z43-1</f>
        <v>0.84782608695652173</v>
      </c>
      <c r="AF44" s="5">
        <f>AF43/AA43-1</f>
        <v>0.77358490566037741</v>
      </c>
      <c r="AG44" s="5">
        <f>AG43/AB43-1</f>
        <v>0.72881355932203395</v>
      </c>
      <c r="AH44" s="5">
        <f>AH43/AC43-1</f>
        <v>0.56164383561643838</v>
      </c>
      <c r="AI44" s="58"/>
      <c r="AJ44" s="5">
        <f>AJ43/AE43-1</f>
        <v>0.50588235294117645</v>
      </c>
      <c r="AK44" s="5">
        <f>AK43/AF43-1</f>
        <v>0.4042553191489362</v>
      </c>
      <c r="AL44" s="117">
        <f>AL43/AG43-1</f>
        <v>0.32352941176470584</v>
      </c>
      <c r="AM44" s="5">
        <f>AM43/AH43-1</f>
        <v>0.29824561403508776</v>
      </c>
      <c r="AN44" s="58"/>
      <c r="AO44" s="18">
        <v>0.25</v>
      </c>
      <c r="AP44" s="18">
        <v>0.23</v>
      </c>
      <c r="AQ44" s="18">
        <v>0.21</v>
      </c>
      <c r="AR44" s="18">
        <v>0.2</v>
      </c>
      <c r="AS44" s="58"/>
    </row>
    <row r="45" spans="3:45" outlineLevel="1" x14ac:dyDescent="0.2">
      <c r="C45" s="41" t="s">
        <v>286</v>
      </c>
      <c r="D45" s="38"/>
      <c r="E45" s="39"/>
      <c r="F45" s="40"/>
      <c r="G45" s="40"/>
      <c r="H45" s="40"/>
      <c r="I45" s="40"/>
      <c r="J45" s="63"/>
      <c r="K45" s="40"/>
      <c r="L45" s="40"/>
      <c r="M45" s="40"/>
      <c r="N45" s="40"/>
      <c r="O45" s="63"/>
      <c r="P45" s="40"/>
      <c r="Q45" s="40"/>
      <c r="R45" s="40"/>
      <c r="S45" s="40"/>
      <c r="T45" s="63"/>
      <c r="U45" s="40"/>
      <c r="V45" s="40"/>
      <c r="W45" s="40"/>
      <c r="X45" s="40"/>
      <c r="Y45" s="63"/>
      <c r="Z45" s="40">
        <v>324.46463335496429</v>
      </c>
      <c r="AA45" s="40">
        <v>358.49056603773585</v>
      </c>
      <c r="AB45" s="40">
        <v>355.93220338983053</v>
      </c>
      <c r="AC45" s="40">
        <v>369.86301369863014</v>
      </c>
      <c r="AD45" s="63"/>
      <c r="AE45" s="40">
        <v>352.94117647058823</v>
      </c>
      <c r="AF45" s="40">
        <f>AF47/AF43*1000</f>
        <v>351.06382978723406</v>
      </c>
      <c r="AG45" s="40">
        <f>AG47/AG43*1000</f>
        <v>333.33333333333331</v>
      </c>
      <c r="AH45" s="40">
        <f>AH47/AH43*1000</f>
        <v>333.33333333333331</v>
      </c>
      <c r="AI45" s="63"/>
      <c r="AJ45" s="40">
        <f>AJ47/AJ43*1000</f>
        <v>312.5</v>
      </c>
      <c r="AK45" s="40">
        <f>AK47/AK43*1000</f>
        <v>318.18181818181819</v>
      </c>
      <c r="AL45" s="638">
        <f>AL47/AL43*1000</f>
        <v>325.92592592592598</v>
      </c>
      <c r="AM45" s="40">
        <f>AM47/AM43*1000</f>
        <v>324.32432432432432</v>
      </c>
      <c r="AN45" s="63"/>
      <c r="AO45" s="40">
        <f>+AJ45*(1+AO46)</f>
        <v>318.75</v>
      </c>
      <c r="AP45" s="40">
        <f>+AK45*(1+AP46)</f>
        <v>324.54545454545456</v>
      </c>
      <c r="AQ45" s="40">
        <f>+AL45*(1+AQ46)</f>
        <v>332.44444444444451</v>
      </c>
      <c r="AR45" s="40">
        <f>+AM45*(1+AR46)</f>
        <v>330.81081081081084</v>
      </c>
      <c r="AS45" s="63"/>
    </row>
    <row r="46" spans="3:45" ht="14.1" customHeight="1" outlineLevel="1" x14ac:dyDescent="0.2">
      <c r="C46" s="2"/>
      <c r="D46" s="2" t="s">
        <v>9</v>
      </c>
      <c r="F46" s="4"/>
      <c r="G46" s="4"/>
      <c r="H46" s="4"/>
      <c r="I46" s="4"/>
      <c r="J46" s="62"/>
      <c r="K46" s="4"/>
      <c r="L46" s="4"/>
      <c r="M46" s="4"/>
      <c r="N46" s="4"/>
      <c r="O46" s="62"/>
      <c r="P46" s="4"/>
      <c r="Q46" s="4"/>
      <c r="R46" s="4"/>
      <c r="S46" s="4"/>
      <c r="T46" s="62"/>
      <c r="U46" s="4"/>
      <c r="V46" s="4"/>
      <c r="W46" s="4"/>
      <c r="X46" s="4"/>
      <c r="Y46" s="62"/>
      <c r="Z46" s="4"/>
      <c r="AA46" s="4"/>
      <c r="AB46" s="4"/>
      <c r="AC46" s="4"/>
      <c r="AD46" s="62"/>
      <c r="AE46" s="5">
        <f>AE45/Z45-1</f>
        <v>8.7764705882352967E-2</v>
      </c>
      <c r="AF46" s="5">
        <f>AF45/AA45-1</f>
        <v>-2.0716685330347095E-2</v>
      </c>
      <c r="AG46" s="5">
        <f>AG45/AB45-1</f>
        <v>-6.34920634920636E-2</v>
      </c>
      <c r="AH46" s="5">
        <f>AH45/AC45-1</f>
        <v>-9.8765432098765538E-2</v>
      </c>
      <c r="AI46" s="90"/>
      <c r="AJ46" s="5">
        <f>AJ45/AE45-1</f>
        <v>-0.11458333333333337</v>
      </c>
      <c r="AK46" s="5">
        <f>AK45/AF45-1</f>
        <v>-9.3663911845730086E-2</v>
      </c>
      <c r="AL46" s="117">
        <f>AL45/AG45-1</f>
        <v>-2.2222222222222032E-2</v>
      </c>
      <c r="AM46" s="5">
        <f>AM45/AH45-1</f>
        <v>-2.7027027027026973E-2</v>
      </c>
      <c r="AN46" s="58"/>
      <c r="AO46" s="371">
        <v>0.02</v>
      </c>
      <c r="AP46" s="371">
        <v>0.02</v>
      </c>
      <c r="AQ46" s="371">
        <v>0.02</v>
      </c>
      <c r="AR46" s="371">
        <v>0.02</v>
      </c>
      <c r="AS46" s="58"/>
    </row>
    <row r="47" spans="3:45" s="23" customFormat="1" ht="15" outlineLevel="1" x14ac:dyDescent="0.25">
      <c r="C47" s="1" t="s">
        <v>23</v>
      </c>
      <c r="F47" s="6"/>
      <c r="G47" s="6"/>
      <c r="H47" s="6"/>
      <c r="I47" s="6"/>
      <c r="J47" s="68"/>
      <c r="K47" s="6"/>
      <c r="L47" s="6"/>
      <c r="M47" s="6"/>
      <c r="N47" s="6"/>
      <c r="O47" s="68"/>
      <c r="P47" s="6"/>
      <c r="Q47" s="6"/>
      <c r="R47" s="6"/>
      <c r="S47" s="6"/>
      <c r="T47" s="68"/>
      <c r="U47" s="6"/>
      <c r="V47" s="6"/>
      <c r="W47" s="6"/>
      <c r="X47" s="6"/>
      <c r="Y47" s="68"/>
      <c r="Z47" s="6">
        <v>1492.5373134328358</v>
      </c>
      <c r="AA47" s="6">
        <v>1900</v>
      </c>
      <c r="AB47" s="6">
        <v>2100</v>
      </c>
      <c r="AC47" s="6">
        <v>2700</v>
      </c>
      <c r="AD47" s="68"/>
      <c r="AE47" s="6">
        <v>3000</v>
      </c>
      <c r="AF47" s="6">
        <v>3300</v>
      </c>
      <c r="AG47" s="6">
        <v>3400</v>
      </c>
      <c r="AH47" s="6">
        <v>3800</v>
      </c>
      <c r="AI47" s="289">
        <f>SUM(AE47:AH47)</f>
        <v>13500</v>
      </c>
      <c r="AJ47" s="6">
        <v>4000</v>
      </c>
      <c r="AK47" s="6">
        <v>4200</v>
      </c>
      <c r="AL47" s="19">
        <v>4400</v>
      </c>
      <c r="AM47" s="6">
        <v>4800</v>
      </c>
      <c r="AN47" s="289">
        <f>SUM(AJ47:AM47)</f>
        <v>17400</v>
      </c>
      <c r="AO47" s="6">
        <f>AO45*AO43/1000</f>
        <v>5100</v>
      </c>
      <c r="AP47" s="6">
        <f>AP45*AP43/1000</f>
        <v>5269.32</v>
      </c>
      <c r="AQ47" s="6">
        <f>AQ45*AQ43/1000</f>
        <v>5430.4800000000014</v>
      </c>
      <c r="AR47" s="6">
        <f>AR45*AR43/1000</f>
        <v>5875.2</v>
      </c>
      <c r="AS47" s="289">
        <f>SUM(AO47:AR47)</f>
        <v>21675</v>
      </c>
    </row>
    <row r="48" spans="3:45" outlineLevel="1" x14ac:dyDescent="0.2">
      <c r="D48" s="2" t="s">
        <v>9</v>
      </c>
      <c r="F48" s="4"/>
      <c r="G48" s="4"/>
      <c r="H48" s="4"/>
      <c r="I48" s="4"/>
      <c r="J48" s="62"/>
      <c r="K48" s="4"/>
      <c r="L48" s="4"/>
      <c r="M48" s="4"/>
      <c r="N48" s="4"/>
      <c r="O48" s="62"/>
      <c r="P48" s="4"/>
      <c r="Q48" s="4"/>
      <c r="R48" s="4"/>
      <c r="S48" s="4"/>
      <c r="T48" s="62"/>
      <c r="U48" s="4"/>
      <c r="V48" s="4"/>
      <c r="W48" s="4"/>
      <c r="X48" s="4"/>
      <c r="Y48" s="62"/>
      <c r="Z48" s="4"/>
      <c r="AA48" s="4"/>
      <c r="AB48" s="4"/>
      <c r="AC48" s="4"/>
      <c r="AD48" s="62"/>
      <c r="AE48" s="5">
        <f>AE47/Z47-1</f>
        <v>1.0099999999999998</v>
      </c>
      <c r="AF48" s="5">
        <f>AF47/AA47-1</f>
        <v>0.73684210526315796</v>
      </c>
      <c r="AG48" s="5">
        <f t="shared" ref="AG48" si="76">AG47/AB47-1</f>
        <v>0.61904761904761907</v>
      </c>
      <c r="AH48" s="5">
        <f t="shared" ref="AH48" si="77">AH47/AC47-1</f>
        <v>0.40740740740740744</v>
      </c>
      <c r="AI48" s="60"/>
      <c r="AJ48" s="5">
        <f>AJ47/AE47-1</f>
        <v>0.33333333333333326</v>
      </c>
      <c r="AK48" s="5">
        <f>AK47/AF47-1</f>
        <v>0.27272727272727271</v>
      </c>
      <c r="AL48" s="117">
        <f>AL47/AG47-1</f>
        <v>0.29411764705882359</v>
      </c>
      <c r="AM48" s="5">
        <f t="shared" ref="AM48" si="78">AM47/AH47-1</f>
        <v>0.26315789473684204</v>
      </c>
      <c r="AN48" s="60">
        <f t="shared" ref="AN48" si="79">AN47/AI47-1</f>
        <v>0.28888888888888897</v>
      </c>
      <c r="AO48" s="5">
        <f>AO47/AJ47-1</f>
        <v>0.27499999999999991</v>
      </c>
      <c r="AP48" s="5">
        <f>AP47/AK47-1</f>
        <v>0.25459999999999994</v>
      </c>
      <c r="AQ48" s="5">
        <f>AQ47/AL47-1</f>
        <v>0.23420000000000041</v>
      </c>
      <c r="AR48" s="5">
        <f>AR47/AM47-1</f>
        <v>0.22399999999999998</v>
      </c>
      <c r="AS48" s="60">
        <f t="shared" ref="AS48" si="80">AS47/AN47-1</f>
        <v>0.2456896551724137</v>
      </c>
    </row>
    <row r="49" spans="3:45" outlineLevel="1" x14ac:dyDescent="0.2">
      <c r="C49" s="3" t="s">
        <v>287</v>
      </c>
      <c r="D49" s="2"/>
      <c r="F49" s="4"/>
      <c r="G49" s="4"/>
      <c r="H49" s="4"/>
      <c r="I49" s="4"/>
      <c r="J49" s="75"/>
      <c r="K49" s="4"/>
      <c r="L49" s="4"/>
      <c r="M49" s="4"/>
      <c r="N49" s="4"/>
      <c r="O49" s="75"/>
      <c r="P49" s="4"/>
      <c r="Q49" s="4"/>
      <c r="R49" s="4"/>
      <c r="S49" s="4"/>
      <c r="T49" s="75"/>
      <c r="U49" s="4"/>
      <c r="V49" s="4"/>
      <c r="W49" s="4"/>
      <c r="X49" s="4"/>
      <c r="Y49" s="75"/>
      <c r="Z49" s="10">
        <v>7.9565217391304346</v>
      </c>
      <c r="AA49" s="10">
        <v>9.3396226415094343</v>
      </c>
      <c r="AB49" s="10">
        <v>9.0847457627118651</v>
      </c>
      <c r="AC49" s="10">
        <v>9.712328767123287</v>
      </c>
      <c r="AD49" s="75"/>
      <c r="AE49" s="10">
        <v>9.1764705882352935</v>
      </c>
      <c r="AF49" s="10">
        <f>AF55/AF43</f>
        <v>9.212765957446809</v>
      </c>
      <c r="AG49" s="10">
        <f>AG55/AG43</f>
        <v>8.6862745098039209</v>
      </c>
      <c r="AH49" s="10">
        <f>AH55/AH43</f>
        <v>8.7631578947368425</v>
      </c>
      <c r="AI49" s="368"/>
      <c r="AJ49" s="10">
        <f>AJ55/AJ43</f>
        <v>8.2890625</v>
      </c>
      <c r="AK49" s="10">
        <f t="shared" ref="AK49:AL49" si="81">AK55/AK43</f>
        <v>8.3787878787878789</v>
      </c>
      <c r="AL49" s="639">
        <f t="shared" si="81"/>
        <v>8.4666666666666668</v>
      </c>
      <c r="AM49" s="10">
        <f>AM55/AM43</f>
        <v>8.5405405405405403</v>
      </c>
      <c r="AN49" s="64"/>
      <c r="AO49" s="10">
        <f t="shared" ref="AO49:AR49" si="82">AO55/AO43</f>
        <v>8.3193750000000009</v>
      </c>
      <c r="AP49" s="10">
        <f t="shared" si="82"/>
        <v>8.4706363636363644</v>
      </c>
      <c r="AQ49" s="10">
        <f t="shared" si="82"/>
        <v>8.6768000000000018</v>
      </c>
      <c r="AR49" s="10">
        <f t="shared" si="82"/>
        <v>8.6341621621621627</v>
      </c>
      <c r="AS49" s="64"/>
    </row>
    <row r="50" spans="3:45" outlineLevel="1" x14ac:dyDescent="0.2">
      <c r="C50" s="2"/>
      <c r="D50" s="2" t="s">
        <v>9</v>
      </c>
      <c r="F50" s="4"/>
      <c r="G50" s="4"/>
      <c r="H50" s="4"/>
      <c r="I50" s="4"/>
      <c r="J50" s="62"/>
      <c r="K50" s="4"/>
      <c r="L50" s="4"/>
      <c r="M50" s="4"/>
      <c r="N50" s="4"/>
      <c r="O50" s="62"/>
      <c r="P50" s="4"/>
      <c r="Q50" s="4"/>
      <c r="R50" s="4"/>
      <c r="S50" s="4"/>
      <c r="T50" s="62"/>
      <c r="U50" s="4"/>
      <c r="V50" s="4"/>
      <c r="W50" s="4"/>
      <c r="X50" s="4"/>
      <c r="Y50" s="62"/>
      <c r="Z50" s="4"/>
      <c r="AA50" s="4"/>
      <c r="AB50" s="4"/>
      <c r="AC50" s="4"/>
      <c r="AD50" s="62"/>
      <c r="AE50" s="5">
        <f>AE49/Z49-1</f>
        <v>0.15332690453230469</v>
      </c>
      <c r="AF50" s="5">
        <f>AF49/AA49-1</f>
        <v>-1.3582634859230613E-2</v>
      </c>
      <c r="AG50" s="5">
        <f>AG49/AB49-1</f>
        <v>-4.3861574480538623E-2</v>
      </c>
      <c r="AH50" s="5">
        <f>AH49/AC49-1</f>
        <v>-9.7728453715388519E-2</v>
      </c>
      <c r="AI50" s="60"/>
      <c r="AJ50" s="5">
        <f>AJ49/AE49-1</f>
        <v>-9.6704727564102533E-2</v>
      </c>
      <c r="AK50" s="5">
        <f>AK49/AF49-1</f>
        <v>-9.0524179438729147E-2</v>
      </c>
      <c r="AL50" s="117">
        <f>AL49/AG49-1</f>
        <v>-2.5282167042889325E-2</v>
      </c>
      <c r="AM50" s="5">
        <f>AM49/AH49-1</f>
        <v>-2.5403782160538957E-2</v>
      </c>
      <c r="AN50" s="60"/>
      <c r="AO50" s="5">
        <f>AO49/AJ49-1</f>
        <v>3.6569274269557805E-3</v>
      </c>
      <c r="AP50" s="5">
        <f>AP49/AK49-1</f>
        <v>1.0962025316455737E-2</v>
      </c>
      <c r="AQ50" s="5">
        <f>AQ49/AL49-1</f>
        <v>2.4818897637795434E-2</v>
      </c>
      <c r="AR50" s="5">
        <f>AR49/AM49-1</f>
        <v>1.0962025316455737E-2</v>
      </c>
      <c r="AS50" s="60"/>
    </row>
    <row r="51" spans="3:45" s="23" customFormat="1" ht="14.1" customHeight="1" outlineLevel="1" x14ac:dyDescent="0.25">
      <c r="C51" s="1" t="s">
        <v>292</v>
      </c>
      <c r="D51" s="369"/>
      <c r="F51" s="6"/>
      <c r="G51" s="6"/>
      <c r="H51" s="6"/>
      <c r="I51" s="6"/>
      <c r="J51" s="372"/>
      <c r="K51" s="373" t="e">
        <f>(K59/1000)/K47</f>
        <v>#DIV/0!</v>
      </c>
      <c r="L51" s="373" t="e">
        <f>(L59/1000)/L47</f>
        <v>#DIV/0!</v>
      </c>
      <c r="M51" s="373" t="e">
        <f>(M59/1000)/M47</f>
        <v>#DIV/0!</v>
      </c>
      <c r="N51" s="373" t="e">
        <f>(N59/1000)/N47</f>
        <v>#DIV/0!</v>
      </c>
      <c r="O51" s="374"/>
      <c r="P51" s="373"/>
      <c r="Q51" s="373"/>
      <c r="R51" s="373"/>
      <c r="S51" s="373"/>
      <c r="T51" s="374"/>
      <c r="U51" s="373"/>
      <c r="V51" s="373"/>
      <c r="W51" s="373"/>
      <c r="X51" s="373"/>
      <c r="Y51" s="374"/>
      <c r="Z51" s="357">
        <f t="shared" ref="Z51:AC51" si="83">(Z55/1000)/Z47*10000</f>
        <v>245.22000000000003</v>
      </c>
      <c r="AA51" s="357">
        <f t="shared" si="83"/>
        <v>256.31578947368422</v>
      </c>
      <c r="AB51" s="357">
        <f t="shared" si="83"/>
        <v>255.23809523809524</v>
      </c>
      <c r="AC51" s="357">
        <f t="shared" si="83"/>
        <v>257.40740740740739</v>
      </c>
      <c r="AD51" s="374"/>
      <c r="AE51" s="357">
        <f>(AE55/1000)/AE47*10000</f>
        <v>260</v>
      </c>
      <c r="AF51" s="357">
        <f>(AF55/1000)/AF47*10000</f>
        <v>262.42424242424238</v>
      </c>
      <c r="AG51" s="357">
        <f>(AG55/1000)/AG47*10000</f>
        <v>260.58823529411762</v>
      </c>
      <c r="AH51" s="357">
        <f>(AH55/1000)/AH47*10000</f>
        <v>262.89473684210532</v>
      </c>
      <c r="AI51" s="378"/>
      <c r="AJ51" s="357">
        <f>(AJ55/1000)/AJ47*10000</f>
        <v>265.25</v>
      </c>
      <c r="AK51" s="357">
        <f>(AK55/1000)/AK47*10000</f>
        <v>263.33333333333331</v>
      </c>
      <c r="AL51" s="640">
        <f>(AL55/1000)/AL47*10000</f>
        <v>259.77272727272725</v>
      </c>
      <c r="AM51" s="357">
        <f>(AM55/1000)/AM47*10000</f>
        <v>263.33333333333331</v>
      </c>
      <c r="AN51" s="366"/>
      <c r="AO51" s="376">
        <v>261</v>
      </c>
      <c r="AP51" s="376">
        <v>261</v>
      </c>
      <c r="AQ51" s="376">
        <v>261</v>
      </c>
      <c r="AR51" s="376">
        <v>261</v>
      </c>
      <c r="AS51" s="366"/>
    </row>
    <row r="52" spans="3:45" outlineLevel="1" x14ac:dyDescent="0.2">
      <c r="C52" s="2"/>
      <c r="D52" s="2" t="s">
        <v>9</v>
      </c>
      <c r="F52" s="4"/>
      <c r="G52" s="4"/>
      <c r="H52" s="4"/>
      <c r="I52" s="4"/>
      <c r="J52" s="60"/>
      <c r="K52" s="5"/>
      <c r="L52" s="5"/>
      <c r="M52" s="5"/>
      <c r="N52" s="5"/>
      <c r="O52" s="60"/>
      <c r="P52" s="5"/>
      <c r="Q52" s="5"/>
      <c r="R52" s="5"/>
      <c r="S52" s="5"/>
      <c r="T52" s="60"/>
      <c r="U52" s="5"/>
      <c r="V52" s="5"/>
      <c r="W52" s="5"/>
      <c r="X52" s="5"/>
      <c r="Y52" s="60"/>
      <c r="Z52" s="5"/>
      <c r="AA52" s="5"/>
      <c r="AB52" s="5"/>
      <c r="AC52" s="5"/>
      <c r="AD52" s="60"/>
      <c r="AE52" s="5">
        <f>AE51/Z51-1</f>
        <v>6.0272408449555392E-2</v>
      </c>
      <c r="AF52" s="5">
        <f>AF51/AA51-1</f>
        <v>2.3831746624354277E-2</v>
      </c>
      <c r="AG52" s="5">
        <f>AG51/AB51-1</f>
        <v>2.0961369622475745E-2</v>
      </c>
      <c r="AH52" s="5">
        <f>AH51/AC51-1</f>
        <v>2.1317682695948692E-2</v>
      </c>
      <c r="AI52" s="60"/>
      <c r="AJ52" s="5">
        <f>AJ51/AE51-1</f>
        <v>2.0192307692307621E-2</v>
      </c>
      <c r="AK52" s="5">
        <f>AK51/AF51-1</f>
        <v>3.4642032332563577E-3</v>
      </c>
      <c r="AL52" s="117">
        <f>AL51/AG51-1</f>
        <v>-3.1294890211368553E-3</v>
      </c>
      <c r="AM52" s="5">
        <f>AM51/AH51-1</f>
        <v>1.6683350016679643E-3</v>
      </c>
      <c r="AN52" s="60"/>
      <c r="AO52" s="5">
        <f>AO51/AJ51-1</f>
        <v>-1.602262016965128E-2</v>
      </c>
      <c r="AP52" s="5">
        <f>AP51/AK51-1</f>
        <v>-8.8607594936708223E-3</v>
      </c>
      <c r="AQ52" s="5">
        <f>AQ51/AL51-1</f>
        <v>4.7244094488190225E-3</v>
      </c>
      <c r="AR52" s="5">
        <f>AR51/AM51-1</f>
        <v>-8.8607594936708223E-3</v>
      </c>
      <c r="AS52" s="60"/>
    </row>
    <row r="53" spans="3:45" outlineLevel="1" x14ac:dyDescent="0.2">
      <c r="C53" s="3" t="s">
        <v>288</v>
      </c>
      <c r="D53" s="2"/>
      <c r="F53" s="4"/>
      <c r="G53" s="4"/>
      <c r="H53" s="4"/>
      <c r="I53" s="4"/>
      <c r="J53" s="75"/>
      <c r="K53" s="10">
        <f>(K47*1000)/K26</f>
        <v>0</v>
      </c>
      <c r="L53" s="10">
        <f>(L47*1000)/L26</f>
        <v>0</v>
      </c>
      <c r="M53" s="10">
        <f>(M47*1000)/M26</f>
        <v>0</v>
      </c>
      <c r="N53" s="10">
        <f>(N47*1000)/N26</f>
        <v>0</v>
      </c>
      <c r="O53" s="75"/>
      <c r="P53" s="10"/>
      <c r="Q53" s="10"/>
      <c r="R53" s="10"/>
      <c r="S53" s="10"/>
      <c r="T53" s="75"/>
      <c r="U53" s="10"/>
      <c r="V53" s="10"/>
      <c r="W53" s="10"/>
      <c r="X53" s="10"/>
      <c r="Y53" s="75"/>
      <c r="Z53" s="10">
        <f>(Z47*1000)/Z41</f>
        <v>110.55831951354338</v>
      </c>
      <c r="AA53" s="10">
        <f>(AA47*1000)/AA41</f>
        <v>122.58064516129032</v>
      </c>
      <c r="AB53" s="10">
        <f>(AB47*1000)/AB41</f>
        <v>116.02209944751381</v>
      </c>
      <c r="AC53" s="10">
        <f>(AC47*1000)/AC41</f>
        <v>130.43478260869566</v>
      </c>
      <c r="AD53" s="75"/>
      <c r="AE53" s="10">
        <f>(AE47*1000)/AE41</f>
        <v>131.57894736842104</v>
      </c>
      <c r="AF53" s="10">
        <f>(AF47*1000)/AF41</f>
        <v>133.60323886639677</v>
      </c>
      <c r="AG53" s="10">
        <f>(AG47*1000)/AG41</f>
        <v>125.46125461254613</v>
      </c>
      <c r="AH53" s="10">
        <f>(AH47*1000)/AH41</f>
        <v>130.13698630136986</v>
      </c>
      <c r="AI53" s="60"/>
      <c r="AJ53" s="10">
        <f>(AJ47*1000)/AJ41</f>
        <v>130.29315960912052</v>
      </c>
      <c r="AK53" s="10">
        <f>(AK47*1000)/AK41</f>
        <v>132.91139240506328</v>
      </c>
      <c r="AL53" s="639">
        <f>(AL47*1000)/AL41</f>
        <v>131.34328358208955</v>
      </c>
      <c r="AM53" s="10">
        <f>(AM47*1000)/AM41</f>
        <v>137.93103448275863</v>
      </c>
      <c r="AN53" s="60"/>
      <c r="AO53" s="10">
        <f>(AO47*1000)/AO41</f>
        <v>141.66666666666666</v>
      </c>
      <c r="AP53" s="10">
        <f>(AP47*1000)/AP41</f>
        <v>141.6483870967742</v>
      </c>
      <c r="AQ53" s="10">
        <f>(AQ47*1000)/AQ41</f>
        <v>141.41875000000002</v>
      </c>
      <c r="AR53" s="10">
        <f>(AR47*1000)/AR41</f>
        <v>148.36363636363637</v>
      </c>
      <c r="AS53" s="60"/>
    </row>
    <row r="54" spans="3:45" outlineLevel="1" x14ac:dyDescent="0.2">
      <c r="C54" s="2"/>
      <c r="D54" s="2" t="s">
        <v>9</v>
      </c>
      <c r="F54" s="4"/>
      <c r="G54" s="4"/>
      <c r="H54" s="4"/>
      <c r="I54" s="4"/>
      <c r="J54" s="60"/>
      <c r="K54" s="5"/>
      <c r="L54" s="5"/>
      <c r="M54" s="5"/>
      <c r="N54" s="5"/>
      <c r="O54" s="60"/>
      <c r="P54" s="5"/>
      <c r="Q54" s="5"/>
      <c r="R54" s="5"/>
      <c r="S54" s="5"/>
      <c r="T54" s="60"/>
      <c r="U54" s="5"/>
      <c r="V54" s="5"/>
      <c r="W54" s="5"/>
      <c r="X54" s="5"/>
      <c r="Y54" s="60"/>
      <c r="Z54" s="5"/>
      <c r="AA54" s="5"/>
      <c r="AB54" s="5"/>
      <c r="AC54" s="5"/>
      <c r="AD54" s="60"/>
      <c r="AE54" s="5">
        <f>AE53/Z53-1</f>
        <v>0.19013157894736854</v>
      </c>
      <c r="AF54" s="5">
        <f>AF53/AA53-1</f>
        <v>8.9921159173236731E-2</v>
      </c>
      <c r="AG54" s="5">
        <f>AG53/AB53-1</f>
        <v>8.1356527850992899E-2</v>
      </c>
      <c r="AH54" s="5">
        <f>AH53/AC53-1</f>
        <v>-2.2831050228311334E-3</v>
      </c>
      <c r="AI54" s="60"/>
      <c r="AJ54" s="5">
        <f>AJ53/AE53-1</f>
        <v>-9.7719869706839324E-3</v>
      </c>
      <c r="AK54" s="5">
        <f>AK53/AF53-1</f>
        <v>-5.1783659378596969E-3</v>
      </c>
      <c r="AL54" s="117">
        <f>AL53/AG53-1</f>
        <v>4.6883230904301909E-2</v>
      </c>
      <c r="AM54" s="5">
        <f>AM53/AH53-1</f>
        <v>5.9891107078040129E-2</v>
      </c>
      <c r="AN54" s="60"/>
      <c r="AO54" s="5">
        <f>AO53/AJ53-1</f>
        <v>8.7291666666666545E-2</v>
      </c>
      <c r="AP54" s="5">
        <f>AP53/AK53-1</f>
        <v>6.5735483870967837E-2</v>
      </c>
      <c r="AQ54" s="5">
        <f>AQ53/AL53-1</f>
        <v>7.6710937500000131E-2</v>
      </c>
      <c r="AR54" s="5">
        <f>AR53/AM53-1</f>
        <v>7.5636363636363502E-2</v>
      </c>
      <c r="AS54" s="60"/>
    </row>
    <row r="55" spans="3:45" s="23" customFormat="1" ht="15" x14ac:dyDescent="0.25">
      <c r="C55" s="31" t="s">
        <v>27</v>
      </c>
      <c r="D55" s="32"/>
      <c r="E55" s="33"/>
      <c r="F55" s="34"/>
      <c r="G55" s="34"/>
      <c r="H55" s="34"/>
      <c r="I55" s="34"/>
      <c r="J55" s="65">
        <f>+SUM(F55:I55)</f>
        <v>0</v>
      </c>
      <c r="K55" s="34"/>
      <c r="L55" s="34"/>
      <c r="M55" s="34"/>
      <c r="N55" s="34"/>
      <c r="O55" s="65">
        <f>+SUM(K55:N55)</f>
        <v>0</v>
      </c>
      <c r="P55" s="34"/>
      <c r="Q55" s="34"/>
      <c r="R55" s="34"/>
      <c r="S55" s="34"/>
      <c r="T55" s="65">
        <f>+SUM(P55:S55)</f>
        <v>0</v>
      </c>
      <c r="U55" s="34"/>
      <c r="V55" s="34"/>
      <c r="W55" s="34"/>
      <c r="X55" s="34"/>
      <c r="Y55" s="65">
        <f>+SUM(U55:X55)</f>
        <v>0</v>
      </c>
      <c r="Z55" s="34">
        <v>36600</v>
      </c>
      <c r="AA55" s="34">
        <v>48700</v>
      </c>
      <c r="AB55" s="34">
        <v>53600</v>
      </c>
      <c r="AC55" s="34">
        <v>69500</v>
      </c>
      <c r="AD55" s="65">
        <f>+SUM(Z55:AC55)</f>
        <v>208400</v>
      </c>
      <c r="AE55" s="34">
        <v>78000</v>
      </c>
      <c r="AF55" s="34">
        <v>86600</v>
      </c>
      <c r="AG55" s="34">
        <v>88600</v>
      </c>
      <c r="AH55" s="34">
        <v>99900</v>
      </c>
      <c r="AI55" s="65">
        <f>+SUM(AE55:AH55)</f>
        <v>353100</v>
      </c>
      <c r="AJ55" s="34">
        <v>106100</v>
      </c>
      <c r="AK55" s="34">
        <v>110600</v>
      </c>
      <c r="AL55" s="641">
        <v>114300</v>
      </c>
      <c r="AM55" s="34">
        <v>126400</v>
      </c>
      <c r="AN55" s="65">
        <f>+SUM(AJ55:AM55)</f>
        <v>457400</v>
      </c>
      <c r="AO55" s="34">
        <f t="shared" ref="AO55:AR55" si="84">AO51*AO47/10</f>
        <v>133110</v>
      </c>
      <c r="AP55" s="34">
        <f t="shared" si="84"/>
        <v>137529.25200000001</v>
      </c>
      <c r="AQ55" s="34">
        <f t="shared" si="84"/>
        <v>141735.52800000002</v>
      </c>
      <c r="AR55" s="34">
        <f t="shared" si="84"/>
        <v>153342.72</v>
      </c>
      <c r="AS55" s="65">
        <f>+SUM(AO55:AR55)</f>
        <v>565717.5</v>
      </c>
    </row>
    <row r="56" spans="3:45" x14ac:dyDescent="0.2">
      <c r="D56" s="2" t="s">
        <v>9</v>
      </c>
      <c r="F56" s="4"/>
      <c r="G56" s="4"/>
      <c r="H56" s="4"/>
      <c r="I56" s="4"/>
      <c r="J56" s="60"/>
      <c r="K56" s="4"/>
      <c r="L56" s="4"/>
      <c r="M56" s="4"/>
      <c r="N56" s="4"/>
      <c r="O56" s="60"/>
      <c r="P56" s="4"/>
      <c r="Q56" s="4"/>
      <c r="R56" s="4"/>
      <c r="S56" s="4"/>
      <c r="T56" s="60"/>
      <c r="U56" s="4"/>
      <c r="V56" s="4"/>
      <c r="W56" s="4"/>
      <c r="X56" s="4"/>
      <c r="Y56" s="60"/>
      <c r="Z56" s="4"/>
      <c r="AA56" s="4"/>
      <c r="AB56" s="4"/>
      <c r="AC56" s="4"/>
      <c r="AD56" s="60"/>
      <c r="AE56" s="5">
        <f>AE55/Z55-1</f>
        <v>1.1311475409836067</v>
      </c>
      <c r="AF56" s="5">
        <f t="shared" ref="AF56" si="85">AF55/AA55-1</f>
        <v>0.77823408624229984</v>
      </c>
      <c r="AG56" s="5">
        <f t="shared" ref="AG56" si="86">AG55/AB55-1</f>
        <v>0.65298507462686572</v>
      </c>
      <c r="AH56" s="5">
        <f t="shared" ref="AH56" si="87">AH55/AC55-1</f>
        <v>0.43741007194244608</v>
      </c>
      <c r="AI56" s="60">
        <f t="shared" ref="AI56:AN56" si="88">AI55/AD55-1</f>
        <v>0.69433781190019195</v>
      </c>
      <c r="AJ56" s="5">
        <f t="shared" si="88"/>
        <v>0.36025641025641031</v>
      </c>
      <c r="AK56" s="5">
        <f t="shared" si="88"/>
        <v>0.27713625866050817</v>
      </c>
      <c r="AL56" s="117">
        <f t="shared" si="88"/>
        <v>0.29006772009029347</v>
      </c>
      <c r="AM56" s="5">
        <f t="shared" si="88"/>
        <v>0.26526526526526517</v>
      </c>
      <c r="AN56" s="60">
        <f t="shared" si="88"/>
        <v>0.29538374398187472</v>
      </c>
      <c r="AO56" s="5">
        <f t="shared" ref="AO56" si="89">AO55/AJ55-1</f>
        <v>0.25457115928369456</v>
      </c>
      <c r="AP56" s="5">
        <f t="shared" ref="AP56" si="90">AP55/AK55-1</f>
        <v>0.24348329113924061</v>
      </c>
      <c r="AQ56" s="5">
        <f t="shared" ref="AQ56" si="91">AQ55/AL55-1</f>
        <v>0.24003086614173252</v>
      </c>
      <c r="AR56" s="5">
        <f t="shared" ref="AR56" si="92">AR55/AM55-1</f>
        <v>0.2131544303797468</v>
      </c>
      <c r="AS56" s="60">
        <f t="shared" ref="AS56" si="93">AS55/AN55-1</f>
        <v>0.2368113248797552</v>
      </c>
    </row>
    <row r="57" spans="3:45" x14ac:dyDescent="0.2">
      <c r="D57" s="2"/>
      <c r="F57" s="4"/>
      <c r="G57" s="4"/>
      <c r="H57" s="4"/>
      <c r="I57" s="4"/>
      <c r="J57" s="60"/>
      <c r="K57" s="4"/>
      <c r="L57" s="4"/>
      <c r="M57" s="4"/>
      <c r="N57" s="4"/>
      <c r="O57" s="60"/>
      <c r="P57" s="4"/>
      <c r="Q57" s="4"/>
      <c r="R57" s="4"/>
      <c r="S57" s="4"/>
      <c r="T57" s="60"/>
      <c r="U57" s="4"/>
      <c r="V57" s="4"/>
      <c r="W57" s="4"/>
      <c r="X57" s="4"/>
      <c r="Y57" s="60"/>
      <c r="Z57" s="4"/>
      <c r="AA57" s="4"/>
      <c r="AB57" s="4"/>
      <c r="AC57" s="4"/>
      <c r="AD57" s="60"/>
      <c r="AE57" s="5"/>
      <c r="AF57" s="5"/>
      <c r="AG57" s="5"/>
      <c r="AH57" s="5"/>
      <c r="AI57" s="60"/>
      <c r="AJ57" s="5"/>
      <c r="AK57" s="5"/>
      <c r="AL57" s="117"/>
      <c r="AM57" s="5"/>
      <c r="AN57" s="60"/>
      <c r="AO57" s="5"/>
      <c r="AP57" s="5"/>
      <c r="AQ57" s="5"/>
      <c r="AR57" s="5"/>
      <c r="AS57" s="60"/>
    </row>
    <row r="58" spans="3:45" x14ac:dyDescent="0.2">
      <c r="C58" s="358" t="s">
        <v>291</v>
      </c>
      <c r="D58" s="359"/>
      <c r="E58" s="360"/>
      <c r="F58" s="360"/>
      <c r="G58" s="4"/>
      <c r="H58" s="4"/>
      <c r="I58" s="4"/>
      <c r="J58" s="60"/>
      <c r="K58" s="4"/>
      <c r="L58" s="4"/>
      <c r="M58" s="4"/>
      <c r="N58" s="4"/>
      <c r="O58" s="60"/>
      <c r="P58" s="4"/>
      <c r="Q58" s="4"/>
      <c r="R58" s="4"/>
      <c r="S58" s="4"/>
      <c r="T58" s="60"/>
      <c r="U58" s="4"/>
      <c r="V58" s="4"/>
      <c r="W58" s="4"/>
      <c r="X58" s="4"/>
      <c r="Y58" s="60"/>
      <c r="Z58" s="4"/>
      <c r="AA58" s="4"/>
      <c r="AB58" s="4"/>
      <c r="AC58" s="4"/>
      <c r="AD58" s="60"/>
      <c r="AE58" s="5"/>
      <c r="AF58" s="5"/>
      <c r="AG58" s="5"/>
      <c r="AH58" s="5"/>
      <c r="AI58" s="60"/>
      <c r="AJ58" s="5"/>
      <c r="AK58" s="5"/>
      <c r="AL58" s="117"/>
      <c r="AM58" s="5"/>
      <c r="AN58" s="60"/>
      <c r="AO58" s="5"/>
      <c r="AP58" s="5"/>
      <c r="AQ58" s="5"/>
      <c r="AR58" s="5"/>
      <c r="AS58" s="60"/>
    </row>
    <row r="59" spans="3:45" s="23" customFormat="1" ht="14.1" customHeight="1" x14ac:dyDescent="0.25">
      <c r="C59" s="31" t="s">
        <v>67</v>
      </c>
      <c r="D59" s="32"/>
      <c r="E59" s="33"/>
      <c r="F59" s="34"/>
      <c r="G59" s="34"/>
      <c r="H59" s="34"/>
      <c r="I59" s="34"/>
      <c r="J59" s="65">
        <f>+SUM(F59:I59)</f>
        <v>0</v>
      </c>
      <c r="K59" s="34"/>
      <c r="L59" s="34"/>
      <c r="M59" s="34"/>
      <c r="N59" s="34"/>
      <c r="O59" s="65">
        <f>+SUM(K59:N59)</f>
        <v>0</v>
      </c>
      <c r="P59" s="34"/>
      <c r="Q59" s="34"/>
      <c r="R59" s="34"/>
      <c r="S59" s="34"/>
      <c r="T59" s="65">
        <f>+SUM(P59:S59)</f>
        <v>0</v>
      </c>
      <c r="U59" s="34"/>
      <c r="V59" s="34"/>
      <c r="W59" s="34"/>
      <c r="X59" s="34"/>
      <c r="Y59" s="65">
        <f>+SUM(U59:X59)</f>
        <v>0</v>
      </c>
      <c r="Z59" s="34">
        <v>300</v>
      </c>
      <c r="AA59" s="34">
        <v>800</v>
      </c>
      <c r="AB59" s="34">
        <v>800</v>
      </c>
      <c r="AC59" s="34">
        <v>1400</v>
      </c>
      <c r="AD59" s="65">
        <f>+SUM(Z59:AC59)</f>
        <v>3300</v>
      </c>
      <c r="AE59" s="34">
        <v>2200</v>
      </c>
      <c r="AF59" s="34">
        <v>2600</v>
      </c>
      <c r="AG59" s="34">
        <v>1000</v>
      </c>
      <c r="AH59" s="538">
        <v>1100</v>
      </c>
      <c r="AI59" s="65">
        <f>+SUM(AE59:AH59)</f>
        <v>6900</v>
      </c>
      <c r="AJ59" s="538">
        <v>1300</v>
      </c>
      <c r="AK59" s="538">
        <v>1200</v>
      </c>
      <c r="AL59" s="641">
        <v>1500</v>
      </c>
      <c r="AM59" s="538">
        <v>4600</v>
      </c>
      <c r="AN59" s="65">
        <f>+SUM(AJ59:AM59)</f>
        <v>8600</v>
      </c>
      <c r="AO59" s="370">
        <v>1200</v>
      </c>
      <c r="AP59" s="370">
        <v>1500</v>
      </c>
      <c r="AQ59" s="370">
        <v>1500</v>
      </c>
      <c r="AR59" s="370">
        <v>1500</v>
      </c>
      <c r="AS59" s="65">
        <f>+SUM(AO59:AR59)</f>
        <v>5700</v>
      </c>
    </row>
    <row r="60" spans="3:45" x14ac:dyDescent="0.2">
      <c r="D60" s="2" t="s">
        <v>9</v>
      </c>
      <c r="F60" s="4"/>
      <c r="G60" s="4"/>
      <c r="H60" s="4"/>
      <c r="I60" s="4"/>
      <c r="J60" s="60"/>
      <c r="K60" s="4"/>
      <c r="L60" s="4"/>
      <c r="M60" s="4"/>
      <c r="N60" s="4"/>
      <c r="O60" s="60"/>
      <c r="P60" s="4"/>
      <c r="Q60" s="4"/>
      <c r="R60" s="4"/>
      <c r="S60" s="4"/>
      <c r="T60" s="60"/>
      <c r="U60" s="4"/>
      <c r="V60" s="4"/>
      <c r="W60" s="4"/>
      <c r="X60" s="4"/>
      <c r="Y60" s="60"/>
      <c r="Z60" s="4"/>
      <c r="AA60" s="4"/>
      <c r="AB60" s="4"/>
      <c r="AC60" s="4"/>
      <c r="AD60" s="60"/>
      <c r="AE60" s="5">
        <f>AE59/Z59-1</f>
        <v>6.333333333333333</v>
      </c>
      <c r="AF60" s="5">
        <f>AF59/AA59-1</f>
        <v>2.25</v>
      </c>
      <c r="AG60" s="5">
        <f>AG59/AB59-1</f>
        <v>0.25</v>
      </c>
      <c r="AH60" s="5">
        <f>AH59/AC59-1</f>
        <v>-0.2142857142857143</v>
      </c>
      <c r="AI60" s="60">
        <f t="shared" ref="AI60:AN60" si="94">AI59/AD59-1</f>
        <v>1.0909090909090908</v>
      </c>
      <c r="AJ60" s="5">
        <f t="shared" si="94"/>
        <v>-0.40909090909090906</v>
      </c>
      <c r="AK60" s="5">
        <f t="shared" si="94"/>
        <v>-0.53846153846153844</v>
      </c>
      <c r="AL60" s="117">
        <f t="shared" si="94"/>
        <v>0.5</v>
      </c>
      <c r="AM60" s="5">
        <f>AM59/AH59-1</f>
        <v>3.1818181818181817</v>
      </c>
      <c r="AN60" s="60">
        <f t="shared" si="94"/>
        <v>0.24637681159420288</v>
      </c>
      <c r="AO60" s="5">
        <f t="shared" ref="AO60" si="95">AO59/AJ59-1</f>
        <v>-7.6923076923076872E-2</v>
      </c>
      <c r="AP60" s="5">
        <f t="shared" ref="AP60" si="96">AP59/AK59-1</f>
        <v>0.25</v>
      </c>
      <c r="AQ60" s="5">
        <f t="shared" ref="AQ60" si="97">AQ59/AL59-1</f>
        <v>0</v>
      </c>
      <c r="AR60" s="5">
        <f t="shared" ref="AR60" si="98">AR59/AM59-1</f>
        <v>-0.67391304347826086</v>
      </c>
      <c r="AS60" s="60">
        <f t="shared" ref="AS60" si="99">AS59/AN59-1</f>
        <v>-0.33720930232558144</v>
      </c>
    </row>
    <row r="61" spans="3:45" ht="7.5" customHeight="1" x14ac:dyDescent="0.25">
      <c r="C61" s="28"/>
      <c r="D61" s="29"/>
      <c r="F61" s="23"/>
      <c r="G61" s="23"/>
      <c r="H61" s="23"/>
      <c r="I61" s="23"/>
      <c r="J61" s="59"/>
      <c r="K61" s="19"/>
      <c r="L61" s="19"/>
      <c r="M61" s="19"/>
      <c r="N61" s="19"/>
      <c r="O61" s="59"/>
      <c r="P61" s="19"/>
      <c r="Q61" s="19"/>
      <c r="R61" s="19"/>
      <c r="S61" s="19"/>
      <c r="T61" s="59"/>
      <c r="U61" s="19"/>
      <c r="V61" s="19"/>
      <c r="W61" s="19"/>
      <c r="X61" s="19"/>
      <c r="Y61" s="59"/>
      <c r="Z61" s="19"/>
      <c r="AA61" s="19"/>
      <c r="AB61" s="19"/>
      <c r="AC61" s="19"/>
      <c r="AD61" s="59"/>
      <c r="AE61" s="19"/>
      <c r="AF61" s="30"/>
      <c r="AG61" s="30"/>
      <c r="AH61" s="30"/>
      <c r="AI61" s="66"/>
      <c r="AJ61" s="30"/>
      <c r="AK61" s="30"/>
      <c r="AL61" s="30"/>
      <c r="AM61" s="30"/>
      <c r="AN61" s="66"/>
      <c r="AO61" s="30"/>
      <c r="AP61" s="30"/>
      <c r="AQ61" s="30"/>
      <c r="AR61" s="30"/>
      <c r="AS61" s="66"/>
    </row>
    <row r="62" spans="3:45" ht="15" x14ac:dyDescent="0.25">
      <c r="C62" s="11" t="s">
        <v>33</v>
      </c>
      <c r="D62" s="87"/>
      <c r="E62" s="85"/>
      <c r="F62" s="12"/>
      <c r="G62" s="12"/>
      <c r="H62" s="12"/>
      <c r="I62" s="12"/>
      <c r="J62" s="86">
        <v>15000</v>
      </c>
      <c r="K62" s="12">
        <f>+K37+K55+K59</f>
        <v>5100</v>
      </c>
      <c r="L62" s="12">
        <f>+L37+L55+L59</f>
        <v>6040</v>
      </c>
      <c r="M62" s="12">
        <f>+M37+M55+M59</f>
        <v>6700</v>
      </c>
      <c r="N62" s="12">
        <f>+N37+N55+N59</f>
        <v>8560</v>
      </c>
      <c r="O62" s="86">
        <f>+SUM(K62:N62)</f>
        <v>26400</v>
      </c>
      <c r="P62" s="12">
        <f>+P37+P55+P59</f>
        <v>10500</v>
      </c>
      <c r="Q62" s="12">
        <f>+Q37+Q55+Q59</f>
        <v>13100</v>
      </c>
      <c r="R62" s="12">
        <f>+R37+R55+R59</f>
        <v>13800</v>
      </c>
      <c r="S62" s="12">
        <f>+S37+S55+S59</f>
        <v>15200</v>
      </c>
      <c r="T62" s="86">
        <f>+SUM(P62:S62)</f>
        <v>52600</v>
      </c>
      <c r="U62" s="12">
        <f>+U37+U55+U59</f>
        <v>19200</v>
      </c>
      <c r="V62" s="12">
        <f>+V37+V55+V59</f>
        <v>25700</v>
      </c>
      <c r="W62" s="12">
        <f>+W37+W55+W59</f>
        <v>29300</v>
      </c>
      <c r="X62" s="12">
        <f>+X37+X55+X59</f>
        <v>46300</v>
      </c>
      <c r="Y62" s="86">
        <f>+SUM(U62:X62)</f>
        <v>120500</v>
      </c>
      <c r="Z62" s="12">
        <f>+Z37+Z55+Z59</f>
        <v>80600</v>
      </c>
      <c r="AA62" s="12">
        <v>106400</v>
      </c>
      <c r="AB62" s="12">
        <v>113400</v>
      </c>
      <c r="AC62" s="12">
        <f>+AC37+AC55+AC59</f>
        <v>139600</v>
      </c>
      <c r="AD62" s="86">
        <f>+SUM(Z62:AC62)</f>
        <v>440000</v>
      </c>
      <c r="AE62" s="12">
        <f>+AE37+AE55+AE59</f>
        <v>156500</v>
      </c>
      <c r="AF62" s="12">
        <f>+AF37+AF55+AF59</f>
        <v>169600</v>
      </c>
      <c r="AG62" s="12">
        <f>+AG37+AG55+AG59</f>
        <v>172800</v>
      </c>
      <c r="AH62" s="12">
        <f>+AH37+AH55+AH59+100</f>
        <v>192600</v>
      </c>
      <c r="AI62" s="86">
        <f>+SUM(AE62:AH62)</f>
        <v>691500</v>
      </c>
      <c r="AJ62" s="12">
        <f>+AJ37+AJ55+AJ59</f>
        <v>202800</v>
      </c>
      <c r="AK62" s="12">
        <f>+AK37+AK55+AK59</f>
        <v>211700</v>
      </c>
      <c r="AL62" s="13">
        <f>+AL37+AL55+AL59</f>
        <v>215700</v>
      </c>
      <c r="AM62" s="13">
        <f>+AM37+AM55+AM59</f>
        <v>235500</v>
      </c>
      <c r="AN62" s="86">
        <f>+SUM(AJ62:AM62)</f>
        <v>865700</v>
      </c>
      <c r="AO62" s="12">
        <f>+AO37+AO55+AO59</f>
        <v>239956.50600000002</v>
      </c>
      <c r="AP62" s="12">
        <f>+AP37+AP55+AP59</f>
        <v>248560.95120000001</v>
      </c>
      <c r="AQ62" s="12">
        <f>+AQ37+AQ55+AQ59</f>
        <v>251408.24160000001</v>
      </c>
      <c r="AR62" s="12">
        <f>+AR37+AR55+AR59</f>
        <v>269492.84159999999</v>
      </c>
      <c r="AS62" s="86">
        <f>+SUM(AO62:AR62)</f>
        <v>1009418.5404000001</v>
      </c>
    </row>
    <row r="63" spans="3:45" x14ac:dyDescent="0.2">
      <c r="D63" s="2" t="s">
        <v>9</v>
      </c>
      <c r="F63" s="4"/>
      <c r="G63" s="4"/>
      <c r="H63" s="4"/>
      <c r="I63" s="4"/>
      <c r="J63" s="60"/>
      <c r="K63" s="4"/>
      <c r="L63" s="4"/>
      <c r="M63" s="4"/>
      <c r="N63" s="4"/>
      <c r="O63" s="60">
        <f>O62/J62-1</f>
        <v>0.76</v>
      </c>
      <c r="P63" s="5">
        <f t="shared" ref="P63" si="100">P62/K62-1</f>
        <v>1.0588235294117645</v>
      </c>
      <c r="Q63" s="5">
        <f t="shared" ref="Q63" si="101">Q62/L62-1</f>
        <v>1.1688741721854305</v>
      </c>
      <c r="R63" s="5">
        <f t="shared" ref="R63" si="102">R62/M62-1</f>
        <v>1.0597014925373136</v>
      </c>
      <c r="S63" s="5">
        <f t="shared" ref="S63" si="103">S62/N62-1</f>
        <v>0.77570093457943923</v>
      </c>
      <c r="T63" s="60">
        <f>T62/O62-1</f>
        <v>0.99242424242424243</v>
      </c>
      <c r="U63" s="5">
        <f t="shared" ref="U63" si="104">U62/P62-1</f>
        <v>0.82857142857142851</v>
      </c>
      <c r="V63" s="5">
        <f t="shared" ref="V63" si="105">V62/Q62-1</f>
        <v>0.96183206106870234</v>
      </c>
      <c r="W63" s="5">
        <f t="shared" ref="W63" si="106">W62/R62-1</f>
        <v>1.1231884057971016</v>
      </c>
      <c r="X63" s="5">
        <f t="shared" ref="X63" si="107">X62/S62-1</f>
        <v>2.0460526315789473</v>
      </c>
      <c r="Y63" s="60">
        <f>Y62/T62-1</f>
        <v>1.290874524714829</v>
      </c>
      <c r="Z63" s="5">
        <f t="shared" ref="Z63" si="108">Z62/U62-1</f>
        <v>3.197916666666667</v>
      </c>
      <c r="AA63" s="5">
        <f t="shared" ref="AA63" si="109">AA62/V62-1</f>
        <v>3.1400778210116735</v>
      </c>
      <c r="AB63" s="5">
        <f t="shared" ref="AB63" si="110">AB62/W62-1</f>
        <v>2.8703071672354947</v>
      </c>
      <c r="AC63" s="5">
        <f t="shared" ref="AC63" si="111">AC62/X62-1</f>
        <v>2.0151187904967602</v>
      </c>
      <c r="AD63" s="60">
        <f>AD62/Y62-1</f>
        <v>2.6514522821576763</v>
      </c>
      <c r="AE63" s="5">
        <f t="shared" ref="AE63" si="112">AE62/Z62-1</f>
        <v>0.94168734491315131</v>
      </c>
      <c r="AF63" s="5">
        <f t="shared" ref="AF63" si="113">AF62/AA62-1</f>
        <v>0.59398496240601495</v>
      </c>
      <c r="AG63" s="5">
        <f t="shared" ref="AG63" si="114">AG62/AB62-1</f>
        <v>0.52380952380952372</v>
      </c>
      <c r="AH63" s="5">
        <f t="shared" ref="AH63" si="115">AH62/AC62-1</f>
        <v>0.37965616045845274</v>
      </c>
      <c r="AI63" s="60">
        <f t="shared" ref="AI63:AN63" si="116">AI62/AD62-1</f>
        <v>0.57159090909090904</v>
      </c>
      <c r="AJ63" s="5">
        <f t="shared" si="116"/>
        <v>0.29584664536741223</v>
      </c>
      <c r="AK63" s="5">
        <f t="shared" si="116"/>
        <v>0.24823113207547176</v>
      </c>
      <c r="AL63" s="117">
        <f t="shared" si="116"/>
        <v>0.24826388888888884</v>
      </c>
      <c r="AM63" s="5">
        <f t="shared" si="116"/>
        <v>0.22274143302180693</v>
      </c>
      <c r="AN63" s="60">
        <f t="shared" si="116"/>
        <v>0.25191612436731736</v>
      </c>
      <c r="AO63" s="5">
        <f t="shared" ref="AO63" si="117">AO62/AJ62-1</f>
        <v>0.18321748520710068</v>
      </c>
      <c r="AP63" s="5">
        <f t="shared" ref="AP63" si="118">AP62/AK62-1</f>
        <v>0.17411880585734529</v>
      </c>
      <c r="AQ63" s="5">
        <f t="shared" ref="AQ63" si="119">AQ62/AL62-1</f>
        <v>0.16554585813630052</v>
      </c>
      <c r="AR63" s="5">
        <f t="shared" ref="AR63" si="120">AR62/AM62-1</f>
        <v>0.14434327643312095</v>
      </c>
      <c r="AS63" s="60">
        <f t="shared" ref="AS63" si="121">AS62/AN62-1</f>
        <v>0.16601425482268684</v>
      </c>
    </row>
    <row r="64" spans="3:45" x14ac:dyDescent="0.2">
      <c r="D64" s="2"/>
      <c r="F64" s="4"/>
      <c r="G64" s="4"/>
      <c r="H64" s="4"/>
      <c r="I64" s="4"/>
      <c r="J64" s="60"/>
      <c r="K64" s="4"/>
      <c r="L64" s="4"/>
      <c r="M64" s="4"/>
      <c r="N64" s="4"/>
      <c r="O64" s="60"/>
      <c r="P64" s="5"/>
      <c r="Q64" s="5"/>
      <c r="R64" s="5"/>
      <c r="S64" s="5"/>
      <c r="T64" s="60"/>
      <c r="U64" s="5"/>
      <c r="V64" s="5"/>
      <c r="W64" s="5"/>
      <c r="X64" s="5"/>
      <c r="Y64" s="60"/>
      <c r="Z64" s="5"/>
      <c r="AA64" s="5"/>
      <c r="AB64" s="5"/>
      <c r="AC64" s="5"/>
      <c r="AD64" s="60"/>
      <c r="AE64" s="5"/>
      <c r="AF64" s="5"/>
      <c r="AG64" s="35"/>
      <c r="AH64" s="5"/>
      <c r="AI64" s="60"/>
      <c r="AJ64" s="5"/>
      <c r="AK64" s="5"/>
      <c r="AL64" s="117"/>
      <c r="AM64" s="5"/>
      <c r="AN64" s="60"/>
      <c r="AO64" s="5"/>
      <c r="AP64" s="5"/>
      <c r="AQ64" s="5"/>
      <c r="AR64" s="5"/>
      <c r="AS64" s="60"/>
    </row>
    <row r="65" spans="3:46" ht="15" x14ac:dyDescent="0.25">
      <c r="C65" s="46" t="s">
        <v>166</v>
      </c>
      <c r="D65" s="47"/>
      <c r="E65" s="48"/>
      <c r="F65" s="49">
        <v>12365.458350000001</v>
      </c>
      <c r="G65" s="49">
        <v>13337.969880000001</v>
      </c>
      <c r="H65" s="49">
        <v>14920.694810000003</v>
      </c>
      <c r="I65" s="49">
        <v>16367.557599999998</v>
      </c>
      <c r="J65" s="67">
        <f>+SUM(F65:I65)</f>
        <v>56991.680640000006</v>
      </c>
      <c r="K65" s="49">
        <f>+K62+K21</f>
        <v>18170.322909999995</v>
      </c>
      <c r="L65" s="49">
        <f>+L62+L21</f>
        <v>20356.546762589929</v>
      </c>
      <c r="M65" s="49">
        <f>+M62+M21</f>
        <v>22100</v>
      </c>
      <c r="N65" s="49">
        <f>+N62+N21</f>
        <v>25373.130327410079</v>
      </c>
      <c r="O65" s="67">
        <f>+SUM(K65:N65)</f>
        <v>86000</v>
      </c>
      <c r="P65" s="49">
        <f>+P62+P21</f>
        <v>28547.774560000005</v>
      </c>
      <c r="Q65" s="49">
        <f>+Q62+Q21</f>
        <v>33000</v>
      </c>
      <c r="R65" s="49">
        <f>+R62+R21</f>
        <v>36092</v>
      </c>
      <c r="S65" s="49">
        <f>+S62+S21</f>
        <v>38800</v>
      </c>
      <c r="T65" s="67">
        <f>+SUM(P65:S65)</f>
        <v>136439.77455999999</v>
      </c>
      <c r="U65" s="49">
        <f>+U62+U21</f>
        <v>43800</v>
      </c>
      <c r="V65" s="49">
        <f>+V62+V21</f>
        <v>52300</v>
      </c>
      <c r="W65" s="49">
        <f>+W62+W21</f>
        <v>58600</v>
      </c>
      <c r="X65" s="49">
        <f>+X62+X21</f>
        <v>77500</v>
      </c>
      <c r="Y65" s="67">
        <f>+SUM(U65:X65)</f>
        <v>232200</v>
      </c>
      <c r="Z65" s="49">
        <f>+Z62+Z21</f>
        <v>117500</v>
      </c>
      <c r="AA65" s="49">
        <f>+AA62+AA21</f>
        <v>155600</v>
      </c>
      <c r="AB65" s="49">
        <f>+AB62+AB21</f>
        <v>165500</v>
      </c>
      <c r="AC65" s="49">
        <v>194820</v>
      </c>
      <c r="AD65" s="67">
        <f>+SUM(Z65:AC65)</f>
        <v>633420</v>
      </c>
      <c r="AE65" s="49">
        <f>+AE62+AE21</f>
        <v>214600</v>
      </c>
      <c r="AF65" s="49">
        <f>+AF62+AF21</f>
        <v>231100</v>
      </c>
      <c r="AG65" s="49">
        <f>+AG62+AG21</f>
        <v>239500</v>
      </c>
      <c r="AH65" s="49">
        <v>259510</v>
      </c>
      <c r="AI65" s="67">
        <f>+SUM(AE65:AH65)</f>
        <v>944710</v>
      </c>
      <c r="AJ65" s="49">
        <f>+AJ62+AJ21</f>
        <v>265200</v>
      </c>
      <c r="AK65" s="49">
        <f>+AK62+AK21</f>
        <v>275000</v>
      </c>
      <c r="AL65" s="642">
        <f>+AL62+AL21</f>
        <v>281294</v>
      </c>
      <c r="AM65" s="642">
        <f>+AM62+AM21</f>
        <v>301306</v>
      </c>
      <c r="AN65" s="67">
        <f>+SUM(AJ65:AM65)</f>
        <v>1122800</v>
      </c>
      <c r="AO65" s="49">
        <f>+AO62+AO21</f>
        <v>307455.21426224714</v>
      </c>
      <c r="AP65" s="49">
        <f>+AP62+AP21</f>
        <v>317632.97755914333</v>
      </c>
      <c r="AQ65" s="49">
        <f>+AQ62+AQ21</f>
        <v>321830.66918620688</v>
      </c>
      <c r="AR65" s="49">
        <f>+AR62+AR21</f>
        <v>341469.36769198056</v>
      </c>
      <c r="AS65" s="67">
        <f>+SUM(AO65:AR65)</f>
        <v>1288388.228699578</v>
      </c>
    </row>
    <row r="66" spans="3:46" x14ac:dyDescent="0.2">
      <c r="D66" s="2" t="s">
        <v>9</v>
      </c>
      <c r="F66" s="5"/>
      <c r="G66" s="5"/>
      <c r="H66" s="5"/>
      <c r="I66" s="5"/>
      <c r="J66" s="60"/>
      <c r="K66" s="5">
        <f t="shared" ref="K66" si="122">K65/F65-1</f>
        <v>0.4694419240836305</v>
      </c>
      <c r="L66" s="5">
        <f t="shared" ref="L66" si="123">L65/G65-1</f>
        <v>0.52621028130481351</v>
      </c>
      <c r="M66" s="5">
        <f t="shared" ref="M66" si="124">M65/H65-1</f>
        <v>0.48116426757742903</v>
      </c>
      <c r="N66" s="5">
        <f t="shared" ref="N66" si="125">N65/I65-1</f>
        <v>0.55020870843980307</v>
      </c>
      <c r="O66" s="60">
        <f>O65/J65-1</f>
        <v>0.50899217279162512</v>
      </c>
      <c r="P66" s="5">
        <f t="shared" ref="P66" si="126">P65/K65-1</f>
        <v>0.57112092621583543</v>
      </c>
      <c r="Q66" s="5">
        <f t="shared" ref="Q66" si="127">Q65/L65-1</f>
        <v>0.62110010036896179</v>
      </c>
      <c r="R66" s="5">
        <f t="shared" ref="R66" si="128">R65/M65-1</f>
        <v>0.63312217194570142</v>
      </c>
      <c r="S66" s="5">
        <f t="shared" ref="S66" si="129">S65/N65-1</f>
        <v>0.52917671171558789</v>
      </c>
      <c r="T66" s="60">
        <f>T65/O65-1</f>
        <v>0.58650900651162785</v>
      </c>
      <c r="U66" s="5">
        <f t="shared" ref="U66" si="130">U65/P65-1</f>
        <v>0.53427020757585786</v>
      </c>
      <c r="V66" s="5">
        <f t="shared" ref="V66" si="131">V65/Q65-1</f>
        <v>0.58484848484848495</v>
      </c>
      <c r="W66" s="5">
        <f t="shared" ref="W66" si="132">W65/R65-1</f>
        <v>0.62362850493184085</v>
      </c>
      <c r="X66" s="5">
        <f t="shared" ref="X66" si="133">X65/S65-1</f>
        <v>0.99742268041237114</v>
      </c>
      <c r="Y66" s="60">
        <f>Y65/T65-1</f>
        <v>0.7018497776679411</v>
      </c>
      <c r="Z66" s="5">
        <f t="shared" ref="Z66" si="134">Z65/U65-1</f>
        <v>1.682648401826484</v>
      </c>
      <c r="AA66" s="5">
        <f t="shared" ref="AA66" si="135">AA65/V65-1</f>
        <v>1.9751434034416828</v>
      </c>
      <c r="AB66" s="5">
        <f t="shared" ref="AB66" si="136">AB65/W65-1</f>
        <v>1.824232081911263</v>
      </c>
      <c r="AC66" s="5">
        <f t="shared" ref="AC66" si="137">AC65/X65-1</f>
        <v>1.5138064516129033</v>
      </c>
      <c r="AD66" s="60">
        <f>AD65/Y65-1</f>
        <v>1.7279069767441859</v>
      </c>
      <c r="AE66" s="5">
        <f t="shared" ref="AE66" si="138">AE65/Z65-1</f>
        <v>0.82638297872340427</v>
      </c>
      <c r="AF66" s="5">
        <f t="shared" ref="AF66" si="139">AF65/AA65-1</f>
        <v>0.48521850899742924</v>
      </c>
      <c r="AG66" s="5">
        <f t="shared" ref="AG66" si="140">AG65/AB65-1</f>
        <v>0.44712990936555896</v>
      </c>
      <c r="AH66" s="5">
        <f t="shared" ref="AH66" si="141">AH65/AC65-1</f>
        <v>0.3320500975259213</v>
      </c>
      <c r="AI66" s="60">
        <f t="shared" ref="AI66:AN66" si="142">AI65/AD65-1</f>
        <v>0.49144327618325923</v>
      </c>
      <c r="AJ66" s="5">
        <f t="shared" si="142"/>
        <v>0.23578751164958067</v>
      </c>
      <c r="AK66" s="5">
        <f t="shared" si="142"/>
        <v>0.18996105581999134</v>
      </c>
      <c r="AL66" s="117">
        <f t="shared" si="142"/>
        <v>0.1745052192066805</v>
      </c>
      <c r="AM66" s="5">
        <f t="shared" si="142"/>
        <v>0.16105737736503412</v>
      </c>
      <c r="AN66" s="60">
        <f t="shared" si="142"/>
        <v>0.18851287696753505</v>
      </c>
      <c r="AO66" s="5">
        <f t="shared" ref="AO66" si="143">AO65/AJ65-1</f>
        <v>0.15933338711254574</v>
      </c>
      <c r="AP66" s="5">
        <f t="shared" ref="AP66" si="144">AP65/AK65-1</f>
        <v>0.15502900930597563</v>
      </c>
      <c r="AQ66" s="5">
        <f t="shared" ref="AQ66" si="145">AQ65/AL65-1</f>
        <v>0.14410783445863351</v>
      </c>
      <c r="AR66" s="5">
        <f t="shared" ref="AR66" si="146">AR65/AM65-1</f>
        <v>0.13329760340643926</v>
      </c>
      <c r="AS66" s="60">
        <f t="shared" ref="AS66" si="147">AS65/AN65-1</f>
        <v>0.14747793792267361</v>
      </c>
    </row>
    <row r="67" spans="3:46" x14ac:dyDescent="0.2">
      <c r="D67" s="29"/>
      <c r="F67" s="4"/>
      <c r="G67" s="4"/>
      <c r="H67" s="4"/>
      <c r="I67" s="4"/>
      <c r="J67" s="62"/>
      <c r="K67" s="4"/>
      <c r="L67" s="4"/>
      <c r="M67" s="4"/>
      <c r="N67" s="4"/>
      <c r="O67" s="62"/>
      <c r="P67" s="4"/>
      <c r="Q67" s="4"/>
      <c r="R67" s="4"/>
      <c r="S67" s="4"/>
      <c r="T67" s="62"/>
      <c r="U67" s="4"/>
      <c r="V67" s="4"/>
      <c r="W67" s="4"/>
      <c r="X67" s="4"/>
      <c r="Y67" s="62"/>
      <c r="Z67" s="4"/>
      <c r="AA67" s="4"/>
      <c r="AB67" s="4"/>
      <c r="AC67" s="4"/>
      <c r="AD67" s="62"/>
      <c r="AE67" s="5"/>
      <c r="AF67" s="18"/>
      <c r="AG67" s="18"/>
      <c r="AH67" s="18"/>
      <c r="AI67" s="58"/>
      <c r="AJ67" s="18"/>
      <c r="AK67" s="18"/>
      <c r="AL67" s="117"/>
      <c r="AM67" s="18"/>
      <c r="AN67" s="58"/>
      <c r="AO67" s="18"/>
      <c r="AP67" s="18"/>
      <c r="AQ67" s="18"/>
      <c r="AR67" s="18"/>
      <c r="AS67" s="58"/>
    </row>
    <row r="68" spans="3:46" x14ac:dyDescent="0.2">
      <c r="C68" s="28" t="s">
        <v>62</v>
      </c>
      <c r="F68" s="4"/>
      <c r="G68" s="4"/>
      <c r="H68" s="4"/>
      <c r="I68" s="4"/>
      <c r="J68" s="62">
        <f>J70/(J74)</f>
        <v>764315.08640776703</v>
      </c>
      <c r="K68" s="4"/>
      <c r="L68" s="4"/>
      <c r="M68" s="4">
        <f>M70/(M74/4)</f>
        <v>1094986.3982142857</v>
      </c>
      <c r="N68" s="4"/>
      <c r="O68" s="62">
        <f>O70/(O74)</f>
        <v>1092681.4658536585</v>
      </c>
      <c r="P68" s="4"/>
      <c r="Q68" s="4"/>
      <c r="R68" s="4"/>
      <c r="S68" s="4">
        <f>S70/(S74/4)</f>
        <v>1393263.1578947369</v>
      </c>
      <c r="T68" s="62"/>
      <c r="U68" s="4">
        <f t="shared" ref="U68:X68" si="148">U70/(U74/4)</f>
        <v>1561935.4838709678</v>
      </c>
      <c r="V68" s="4">
        <f t="shared" si="148"/>
        <v>1956571.4285714286</v>
      </c>
      <c r="W68" s="4">
        <f t="shared" si="148"/>
        <v>1940869.5652173914</v>
      </c>
      <c r="X68" s="4">
        <f t="shared" si="148"/>
        <v>2029333.3333333333</v>
      </c>
      <c r="Y68" s="62"/>
      <c r="Z68" s="4"/>
      <c r="AA68" s="4"/>
      <c r="AB68" s="4"/>
      <c r="AC68" s="4">
        <f>AC70/(AC74/4)</f>
        <v>3177058.823529412</v>
      </c>
      <c r="AD68" s="62"/>
      <c r="AE68" s="4">
        <f>AE70/(AE74/4)</f>
        <v>3192500.0000000005</v>
      </c>
      <c r="AF68" s="4">
        <f>AF70/(AF74/4)</f>
        <v>3390029.3255131966</v>
      </c>
      <c r="AG68" s="4">
        <f>AG70/(AG74/4)</f>
        <v>3086247.0862470861</v>
      </c>
      <c r="AH68" s="4">
        <f>AH70/(AH74/4)</f>
        <v>3220573.9514348786</v>
      </c>
      <c r="AI68" s="62">
        <f>AVERAGE(AE68:AH68)</f>
        <v>3222337.5907987906</v>
      </c>
      <c r="AJ68" s="4">
        <f>AJ70/(AJ74/4)</f>
        <v>3292809.9173553721</v>
      </c>
      <c r="AK68" s="4">
        <f>AK70/(AK74/4)</f>
        <v>3551265.3061224488</v>
      </c>
      <c r="AL68" s="111">
        <f>AL70/(AL74/4)</f>
        <v>3406857.1428571427</v>
      </c>
      <c r="AM68" s="4">
        <f>AM70/(AM74/4)</f>
        <v>3567073.6842105263</v>
      </c>
      <c r="AN68" s="62">
        <f>AVERAGE(AJ68:AM68)</f>
        <v>3454501.5126363724</v>
      </c>
      <c r="AO68" s="4">
        <f>AJ68*(1+AO69)</f>
        <v>3490378.5123966946</v>
      </c>
      <c r="AP68" s="4">
        <f>AK68*(1+AP69)</f>
        <v>3693315.9183673467</v>
      </c>
      <c r="AQ68" s="4">
        <f>AL68*(1+AQ69)</f>
        <v>3509062.8571428573</v>
      </c>
      <c r="AR68" s="4">
        <f>AM68*(1+AR69)</f>
        <v>3674085.8947368423</v>
      </c>
      <c r="AS68" s="62">
        <f>AVERAGE(AO68:AR68)</f>
        <v>3591710.7956609353</v>
      </c>
    </row>
    <row r="69" spans="3:46" x14ac:dyDescent="0.2">
      <c r="D69" s="29" t="s">
        <v>9</v>
      </c>
      <c r="F69" s="4"/>
      <c r="G69" s="4"/>
      <c r="H69" s="4"/>
      <c r="I69" s="4"/>
      <c r="J69" s="60"/>
      <c r="K69" s="4"/>
      <c r="L69" s="5"/>
      <c r="M69" s="5"/>
      <c r="N69" s="5"/>
      <c r="O69" s="60"/>
      <c r="P69" s="5"/>
      <c r="Q69" s="5"/>
      <c r="R69" s="5"/>
      <c r="S69" s="5"/>
      <c r="T69" s="60"/>
      <c r="U69" s="5"/>
      <c r="V69" s="5"/>
      <c r="W69" s="5"/>
      <c r="X69" s="5"/>
      <c r="Y69" s="60"/>
      <c r="Z69" s="5"/>
      <c r="AA69" s="5"/>
      <c r="AB69" s="5"/>
      <c r="AC69" s="5"/>
      <c r="AD69" s="60"/>
      <c r="AE69" s="5"/>
      <c r="AF69" s="5"/>
      <c r="AG69" s="5"/>
      <c r="AH69" s="5">
        <f>AH68/AC68-1</f>
        <v>1.3696670512737041E-2</v>
      </c>
      <c r="AI69" s="60"/>
      <c r="AJ69" s="5">
        <f>AJ68/AE68-1</f>
        <v>3.1420490949215951E-2</v>
      </c>
      <c r="AK69" s="5">
        <f>AK68/AF68-1</f>
        <v>4.7561824729891899E-2</v>
      </c>
      <c r="AL69" s="117">
        <f>AL68/AG68-1</f>
        <v>0.10388347000431586</v>
      </c>
      <c r="AM69" s="5">
        <f>AM68/AH68-1</f>
        <v>0.10758943529965204</v>
      </c>
      <c r="AN69" s="60">
        <f t="shared" ref="AN69" si="149">AN68/AI68-1</f>
        <v>7.204829267439683E-2</v>
      </c>
      <c r="AO69" s="18">
        <v>0.06</v>
      </c>
      <c r="AP69" s="18">
        <v>0.04</v>
      </c>
      <c r="AQ69" s="18">
        <v>0.03</v>
      </c>
      <c r="AR69" s="18">
        <v>0.03</v>
      </c>
      <c r="AS69" s="60">
        <f t="shared" ref="AS69" si="150">AS68/AN68-1</f>
        <v>3.9718981891499805E-2</v>
      </c>
    </row>
    <row r="70" spans="3:46" s="23" customFormat="1" ht="15" x14ac:dyDescent="0.25">
      <c r="C70" s="20" t="s">
        <v>61</v>
      </c>
      <c r="F70" s="6">
        <v>737.1711499999999</v>
      </c>
      <c r="G70" s="283">
        <v>1825.1479900000002</v>
      </c>
      <c r="H70" s="6">
        <v>2177.0098399999997</v>
      </c>
      <c r="I70" s="6">
        <v>3133.1164100000001</v>
      </c>
      <c r="J70" s="289">
        <v>7872.4453900000008</v>
      </c>
      <c r="K70" s="6">
        <v>4253.8066700000008</v>
      </c>
      <c r="L70" s="6">
        <v>5554.82755</v>
      </c>
      <c r="M70" s="6">
        <v>6131.9238300000006</v>
      </c>
      <c r="N70" s="6">
        <v>6459.4120000000003</v>
      </c>
      <c r="O70" s="289">
        <v>22399.97005</v>
      </c>
      <c r="P70" s="6">
        <v>6631.7050600000002</v>
      </c>
      <c r="Q70" s="283">
        <v>6116</v>
      </c>
      <c r="R70" s="6">
        <v>5138</v>
      </c>
      <c r="S70" s="6">
        <v>3309</v>
      </c>
      <c r="T70" s="289">
        <v>21194.70506</v>
      </c>
      <c r="U70" s="283">
        <v>2421</v>
      </c>
      <c r="V70" s="283">
        <v>1712</v>
      </c>
      <c r="W70" s="283">
        <v>1116</v>
      </c>
      <c r="X70" s="283">
        <v>761</v>
      </c>
      <c r="Y70" s="289">
        <v>6010</v>
      </c>
      <c r="Z70" s="283">
        <v>803</v>
      </c>
      <c r="AA70" s="283">
        <v>978</v>
      </c>
      <c r="AB70" s="283">
        <v>1411</v>
      </c>
      <c r="AC70" s="283">
        <v>5401</v>
      </c>
      <c r="AD70" s="289">
        <v>8613</v>
      </c>
      <c r="AE70" s="283">
        <v>15324</v>
      </c>
      <c r="AF70" s="6">
        <v>28900</v>
      </c>
      <c r="AG70" s="6">
        <v>33100</v>
      </c>
      <c r="AH70" s="283">
        <v>36473</v>
      </c>
      <c r="AI70" s="68">
        <f>+SUM(AE70:AH70)</f>
        <v>113797</v>
      </c>
      <c r="AJ70" s="283">
        <v>39843</v>
      </c>
      <c r="AK70" s="6">
        <v>43503</v>
      </c>
      <c r="AL70" s="19">
        <v>41734</v>
      </c>
      <c r="AM70" s="283">
        <v>42359</v>
      </c>
      <c r="AN70" s="68">
        <f>+SUM(AJ70:AM70)</f>
        <v>167439</v>
      </c>
      <c r="AO70" s="6">
        <f>(AO68/4)*AO74</f>
        <v>41011.947520661161</v>
      </c>
      <c r="AP70" s="6">
        <f>(AP68/4)*AP74</f>
        <v>39241.481632653064</v>
      </c>
      <c r="AQ70" s="6">
        <f>(AQ68/4)*AQ74</f>
        <v>32897.464285714283</v>
      </c>
      <c r="AR70" s="6">
        <f>(AR68/4)*AR74</f>
        <v>32148.251578947373</v>
      </c>
      <c r="AS70" s="68">
        <f>+SUM(AO70:AR70)</f>
        <v>145299.14501797588</v>
      </c>
    </row>
    <row r="71" spans="3:46" x14ac:dyDescent="0.2">
      <c r="D71" s="29" t="s">
        <v>9</v>
      </c>
      <c r="J71" s="60"/>
      <c r="K71" s="5">
        <f t="shared" ref="K71" si="151">K70/F70-1</f>
        <v>4.7704464831538802</v>
      </c>
      <c r="L71" s="5">
        <f t="shared" ref="L71" si="152">L70/G70-1</f>
        <v>2.0434943250820989</v>
      </c>
      <c r="M71" s="5">
        <f t="shared" ref="M71" si="153">M70/H70-1</f>
        <v>1.8166725374103048</v>
      </c>
      <c r="N71" s="5">
        <f t="shared" ref="N71" si="154">N70/I70-1</f>
        <v>1.0616571983675511</v>
      </c>
      <c r="O71" s="60">
        <f>O70/J70-1</f>
        <v>1.845363662789409</v>
      </c>
      <c r="P71" s="5">
        <f t="shared" ref="P71" si="155">P70/K70-1</f>
        <v>0.55900481015513548</v>
      </c>
      <c r="Q71" s="5">
        <f t="shared" ref="Q71" si="156">Q70/L70-1</f>
        <v>0.10102427932258662</v>
      </c>
      <c r="R71" s="5">
        <f t="shared" ref="R71" si="157">R70/M70-1</f>
        <v>-0.16209004833642893</v>
      </c>
      <c r="S71" s="5">
        <f t="shared" ref="S71" si="158">S70/N70-1</f>
        <v>-0.48772426963940374</v>
      </c>
      <c r="T71" s="60">
        <f>T70/O70-1</f>
        <v>-5.3806544710089943E-2</v>
      </c>
      <c r="U71" s="5">
        <f t="shared" ref="U71" si="159">U70/P70-1</f>
        <v>-0.63493551385410973</v>
      </c>
      <c r="V71" s="5">
        <f t="shared" ref="V71" si="160">V70/Q70-1</f>
        <v>-0.72007848266841079</v>
      </c>
      <c r="W71" s="5">
        <f t="shared" ref="W71" si="161">W70/R70-1</f>
        <v>-0.78279486181393532</v>
      </c>
      <c r="X71" s="5">
        <f t="shared" ref="X71" si="162">X70/S70-1</f>
        <v>-0.77002115442731944</v>
      </c>
      <c r="Y71" s="60">
        <f>Y70/T70-1</f>
        <v>-0.71643861129530628</v>
      </c>
      <c r="Z71" s="5">
        <f t="shared" ref="Z71" si="163">Z70/U70-1</f>
        <v>-0.66831887649731514</v>
      </c>
      <c r="AA71" s="5">
        <f t="shared" ref="AA71" si="164">AA70/V70-1</f>
        <v>-0.42873831775700932</v>
      </c>
      <c r="AB71" s="5">
        <f t="shared" ref="AB71" si="165">AB70/W70-1</f>
        <v>0.26433691756272393</v>
      </c>
      <c r="AC71" s="5">
        <f t="shared" ref="AC71" si="166">AC70/X70-1</f>
        <v>6.0972404730617606</v>
      </c>
      <c r="AD71" s="60">
        <f>AD70/Y70-1</f>
        <v>0.43311148086522455</v>
      </c>
      <c r="AE71" s="5">
        <f t="shared" ref="AE71" si="167">AE70/Z70-1</f>
        <v>18.083437110834371</v>
      </c>
      <c r="AF71" s="5">
        <f>AF70/AA70-1</f>
        <v>28.550102249488752</v>
      </c>
      <c r="AG71" s="5">
        <f t="shared" ref="AG71" si="168">AG70/AB70-1</f>
        <v>22.458540042523033</v>
      </c>
      <c r="AH71" s="5">
        <f t="shared" ref="AH71" si="169">AH70/AC70-1</f>
        <v>5.7530087020922052</v>
      </c>
      <c r="AI71" s="60">
        <f t="shared" ref="AI71:AN71" si="170">AI70/AD70-1</f>
        <v>12.212237315685591</v>
      </c>
      <c r="AJ71" s="5">
        <f t="shared" si="170"/>
        <v>1.6000391542678152</v>
      </c>
      <c r="AK71" s="5">
        <f t="shared" si="170"/>
        <v>0.50529411764705889</v>
      </c>
      <c r="AL71" s="117">
        <f t="shared" si="170"/>
        <v>0.26084592145015106</v>
      </c>
      <c r="AM71" s="5">
        <f t="shared" si="170"/>
        <v>0.1613796507005183</v>
      </c>
      <c r="AN71" s="60">
        <f t="shared" si="170"/>
        <v>0.47138325263407643</v>
      </c>
      <c r="AO71" s="5">
        <f t="shared" ref="AO71" si="171">AO70/AJ70-1</f>
        <v>2.9338842975206614E-2</v>
      </c>
      <c r="AP71" s="5">
        <f t="shared" ref="AP71" si="172">AP70/AK70-1</f>
        <v>-9.7959183673469341E-2</v>
      </c>
      <c r="AQ71" s="5">
        <f t="shared" ref="AQ71" si="173">AQ70/AL70-1</f>
        <v>-0.21173469387755106</v>
      </c>
      <c r="AR71" s="5">
        <f t="shared" ref="AR71" si="174">AR70/AM70-1</f>
        <v>-0.2410526315789473</v>
      </c>
      <c r="AS71" s="60">
        <f t="shared" ref="AS71" si="175">AS70/AN70-1</f>
        <v>-0.13222639278796522</v>
      </c>
    </row>
    <row r="72" spans="3:46" s="50" customFormat="1" ht="12.75" outlineLevel="1" x14ac:dyDescent="0.2">
      <c r="D72" s="50" t="s">
        <v>65</v>
      </c>
      <c r="J72" s="82"/>
      <c r="K72" s="51"/>
      <c r="L72" s="51"/>
      <c r="M72" s="51"/>
      <c r="N72" s="51"/>
      <c r="O72" s="82"/>
      <c r="P72" s="51"/>
      <c r="Q72" s="51"/>
      <c r="R72" s="51"/>
      <c r="S72" s="51"/>
      <c r="T72" s="82"/>
      <c r="U72" s="51"/>
      <c r="V72" s="51"/>
      <c r="W72" s="51"/>
      <c r="X72" s="51"/>
      <c r="Y72" s="82"/>
      <c r="Z72" s="51"/>
      <c r="AA72" s="51"/>
      <c r="AB72" s="51"/>
      <c r="AC72" s="51"/>
      <c r="AD72" s="82"/>
      <c r="AE72" s="51"/>
      <c r="AF72" s="51"/>
      <c r="AG72" s="51"/>
      <c r="AH72" s="354">
        <v>32000</v>
      </c>
      <c r="AI72" s="82">
        <v>109000</v>
      </c>
      <c r="AJ72" s="540">
        <v>38000</v>
      </c>
      <c r="AK72" s="51"/>
      <c r="AL72" s="643"/>
      <c r="AM72" s="354">
        <v>32000</v>
      </c>
      <c r="AN72" s="82">
        <v>136500</v>
      </c>
      <c r="AO72" s="540">
        <v>38000</v>
      </c>
      <c r="AP72" s="51"/>
      <c r="AQ72" s="51"/>
      <c r="AR72" s="51"/>
      <c r="AS72" s="82">
        <v>136500</v>
      </c>
    </row>
    <row r="73" spans="3:46" s="78" customFormat="1" ht="12" outlineLevel="1" x14ac:dyDescent="0.2">
      <c r="E73" s="79" t="s">
        <v>35</v>
      </c>
      <c r="J73" s="84"/>
      <c r="O73" s="84"/>
      <c r="P73" s="80"/>
      <c r="Q73" s="80"/>
      <c r="R73" s="80"/>
      <c r="S73" s="80"/>
      <c r="T73" s="84"/>
      <c r="U73" s="80"/>
      <c r="V73" s="80"/>
      <c r="W73" s="80"/>
      <c r="X73" s="80"/>
      <c r="Y73" s="84"/>
      <c r="Z73" s="80"/>
      <c r="AA73" s="80"/>
      <c r="AB73" s="80"/>
      <c r="AC73" s="80"/>
      <c r="AD73" s="84"/>
      <c r="AE73" s="80"/>
      <c r="AF73" s="81"/>
      <c r="AG73" s="81"/>
      <c r="AH73" s="355">
        <f>AH70-AH72</f>
        <v>4473</v>
      </c>
      <c r="AI73" s="83">
        <f>AI70-AI72</f>
        <v>4797</v>
      </c>
      <c r="AJ73" s="541">
        <f>AJ70-AJ72</f>
        <v>1843</v>
      </c>
      <c r="AK73" s="81"/>
      <c r="AL73" s="644"/>
      <c r="AM73" s="355">
        <f>AM70-AM72</f>
        <v>10359</v>
      </c>
      <c r="AN73" s="83">
        <f>AN70-AN72</f>
        <v>30939</v>
      </c>
      <c r="AO73" s="541">
        <f>AO70-AO72</f>
        <v>3011.9475206611605</v>
      </c>
      <c r="AP73" s="81"/>
      <c r="AQ73" s="81"/>
      <c r="AR73" s="81"/>
      <c r="AS73" s="83">
        <f>AS70-AS72</f>
        <v>8799.1450179758831</v>
      </c>
    </row>
    <row r="74" spans="3:46" s="23" customFormat="1" ht="20.100000000000001" customHeight="1" x14ac:dyDescent="0.25">
      <c r="C74" s="20" t="s">
        <v>66</v>
      </c>
      <c r="J74" s="380">
        <v>1.03E-2</v>
      </c>
      <c r="K74" s="36"/>
      <c r="L74" s="36"/>
      <c r="M74" s="379">
        <f>R74+0.0074</f>
        <v>2.24E-2</v>
      </c>
      <c r="N74" s="4"/>
      <c r="O74" s="380">
        <v>2.0500000000000001E-2</v>
      </c>
      <c r="P74" s="4"/>
      <c r="Q74" s="4"/>
      <c r="R74" s="36">
        <v>1.4999999999999999E-2</v>
      </c>
      <c r="S74" s="36">
        <v>9.4999999999999998E-3</v>
      </c>
      <c r="T74" s="62"/>
      <c r="U74" s="36">
        <v>6.1999999999999998E-3</v>
      </c>
      <c r="V74" s="36">
        <v>3.5000000000000001E-3</v>
      </c>
      <c r="W74" s="36">
        <v>2.3E-3</v>
      </c>
      <c r="X74" s="36">
        <v>1.5E-3</v>
      </c>
      <c r="Y74" s="62"/>
      <c r="Z74" s="36"/>
      <c r="AA74" s="36"/>
      <c r="AB74" s="36"/>
      <c r="AC74" s="36">
        <v>6.7999999999999996E-3</v>
      </c>
      <c r="AD74" s="62"/>
      <c r="AE74" s="36">
        <v>1.9199999999999998E-2</v>
      </c>
      <c r="AF74" s="36">
        <v>3.4099999999999998E-2</v>
      </c>
      <c r="AG74" s="36">
        <v>4.2900000000000001E-2</v>
      </c>
      <c r="AH74" s="539">
        <v>4.53E-2</v>
      </c>
      <c r="AI74" s="76">
        <f>(AI70)/AI68</f>
        <v>3.5315045923475286E-2</v>
      </c>
      <c r="AJ74" s="539">
        <v>4.8399999999999999E-2</v>
      </c>
      <c r="AK74" s="539">
        <v>4.9000000000000002E-2</v>
      </c>
      <c r="AL74" s="645">
        <v>4.9000000000000002E-2</v>
      </c>
      <c r="AM74" s="649">
        <v>4.7500000000000001E-2</v>
      </c>
      <c r="AN74" s="76">
        <f>(AN70)/AN68</f>
        <v>4.8469800747667227E-2</v>
      </c>
      <c r="AO74" s="37">
        <v>4.7E-2</v>
      </c>
      <c r="AP74" s="37">
        <v>4.2500000000000003E-2</v>
      </c>
      <c r="AQ74" s="37">
        <v>3.7499999999999999E-2</v>
      </c>
      <c r="AR74" s="37">
        <v>3.5000000000000003E-2</v>
      </c>
      <c r="AS74" s="76">
        <f>(AS70)/AS68</f>
        <v>4.0454021296343928E-2</v>
      </c>
      <c r="AT74" s="23">
        <v>400</v>
      </c>
    </row>
    <row r="75" spans="3:46" outlineLevel="1" x14ac:dyDescent="0.2">
      <c r="D75" s="50" t="s">
        <v>65</v>
      </c>
      <c r="E75" s="50"/>
      <c r="F75" s="50"/>
      <c r="G75" s="50"/>
      <c r="H75" s="50"/>
      <c r="I75" s="50"/>
      <c r="J75" s="82"/>
      <c r="K75" s="51"/>
      <c r="L75" s="51"/>
      <c r="M75" s="51"/>
      <c r="N75" s="51"/>
      <c r="O75" s="82"/>
      <c r="P75" s="51"/>
      <c r="Q75" s="51"/>
      <c r="R75" s="51"/>
      <c r="S75" s="51"/>
      <c r="T75" s="82"/>
      <c r="U75" s="51"/>
      <c r="V75" s="51"/>
      <c r="W75" s="51"/>
      <c r="X75" s="51"/>
      <c r="Y75" s="82"/>
      <c r="Z75" s="51"/>
      <c r="AA75" s="51"/>
      <c r="AB75" s="51"/>
      <c r="AC75" s="51"/>
      <c r="AD75" s="82"/>
      <c r="AE75" s="51"/>
      <c r="AF75" s="88"/>
      <c r="AG75" s="88"/>
      <c r="AH75" s="51"/>
      <c r="AI75" s="89">
        <v>3.2000000000000001E-2</v>
      </c>
      <c r="AM75" s="51"/>
      <c r="AN75" s="61"/>
      <c r="AS75" s="61"/>
    </row>
    <row r="76" spans="3:46" ht="15" customHeight="1" thickBot="1" x14ac:dyDescent="0.25">
      <c r="D76" s="78"/>
      <c r="E76" s="79"/>
      <c r="F76" s="78"/>
      <c r="G76" s="78"/>
      <c r="H76" s="78"/>
      <c r="I76" s="78"/>
      <c r="J76" s="335"/>
      <c r="K76" s="78"/>
      <c r="L76" s="78"/>
      <c r="M76" s="78"/>
      <c r="N76" s="78"/>
      <c r="O76" s="335"/>
      <c r="P76" s="80"/>
      <c r="Q76" s="80"/>
      <c r="R76" s="80"/>
      <c r="S76" s="80"/>
      <c r="T76" s="84"/>
      <c r="U76" s="80"/>
      <c r="V76" s="80"/>
      <c r="W76" s="80"/>
      <c r="X76" s="80"/>
      <c r="Y76" s="84"/>
      <c r="Z76" s="80"/>
      <c r="AA76" s="80"/>
      <c r="AB76" s="80"/>
      <c r="AC76" s="80"/>
      <c r="AD76" s="84"/>
      <c r="AE76" s="80"/>
      <c r="AF76" s="81"/>
      <c r="AG76" s="88"/>
      <c r="AH76" s="81"/>
      <c r="AI76" s="83"/>
      <c r="AM76" s="81"/>
      <c r="AN76" s="61"/>
      <c r="AS76" s="61"/>
    </row>
    <row r="77" spans="3:46" s="23" customFormat="1" ht="15.75" thickBot="1" x14ac:dyDescent="0.3">
      <c r="C77" s="42" t="s">
        <v>34</v>
      </c>
      <c r="D77" s="43"/>
      <c r="E77" s="44"/>
      <c r="F77" s="45" t="e">
        <f ca="1">_xll.VAData("BILL_US", F4, "Revenue", "va actuals", "CD", "IMPL","","")*1000</f>
        <v>#NAME?</v>
      </c>
      <c r="G77" s="45" t="e">
        <f ca="1">_xll.VAData("BILL_US", G4, "Revenue", "va actuals", "CD", "IMPL","","")*1000</f>
        <v>#NAME?</v>
      </c>
      <c r="H77" s="45" t="e">
        <f ca="1">_xll.VAData("BILL_US", H4, "Revenue", "va actuals", "CD", "IMPL","","")*1000</f>
        <v>#NAME?</v>
      </c>
      <c r="I77" s="45" t="e">
        <f ca="1">_xll.VAData("BILL_US", I4, "Revenue", "va actuals", "CD", "IMPL","","")*1000</f>
        <v>#NAME?</v>
      </c>
      <c r="J77" s="69" t="e">
        <f ca="1">+SUM(F77:I77)</f>
        <v>#NAME?</v>
      </c>
      <c r="K77" s="45" t="e">
        <f ca="1">_xll.VAData("BILL_US", K4, "Revenue", "va actuals", "CD", "IMPL","","")*1000</f>
        <v>#NAME?</v>
      </c>
      <c r="L77" s="45" t="e">
        <f ca="1">_xll.VAData("BILL_US", L4, "Revenue", "va actuals", "CD", "IMPL","","")*1000</f>
        <v>#NAME?</v>
      </c>
      <c r="M77" s="45" t="e">
        <f ca="1">_xll.VAData("BILL_US", M4, "Revenue", "va actuals", "CD", "IMPL","","")*1000</f>
        <v>#NAME?</v>
      </c>
      <c r="N77" s="45" t="e">
        <f ca="1">_xll.VAData("BILL_US", N4, "Revenue", "va actuals", "CD", "IMPL","","")*1000</f>
        <v>#NAME?</v>
      </c>
      <c r="O77" s="69" t="e">
        <f ca="1">+SUM(K77:N77)</f>
        <v>#NAME?</v>
      </c>
      <c r="P77" s="45" t="e">
        <f ca="1">_xll.VAData("BILL_US", P4, "Revenue", "va actuals", "CD", "IMPL","","")*1000</f>
        <v>#NAME?</v>
      </c>
      <c r="Q77" s="45" t="e">
        <f ca="1">_xll.VAData("BILL_US", Q4, "Revenue", "va actuals", "CD", "IMPL","","")*1000</f>
        <v>#NAME?</v>
      </c>
      <c r="R77" s="45" t="e">
        <f ca="1">_xll.VAData("BILL_US", R4, "Revenue", "va actuals", "CD", "IMPL","","")*1000</f>
        <v>#NAME?</v>
      </c>
      <c r="S77" s="45" t="e">
        <f ca="1">_xll.VAData("BILL_US", S4, "Revenue", "va actuals", "CD", "IMPL","","")*1000</f>
        <v>#NAME?</v>
      </c>
      <c r="T77" s="69" t="e">
        <f ca="1">+SUM(P77:S77)</f>
        <v>#NAME?</v>
      </c>
      <c r="U77" s="45" t="e">
        <f ca="1">_xll.VAData("BILL_US", U4, "Revenue", "va actuals", "CD", "IMPL","","")*1000</f>
        <v>#NAME?</v>
      </c>
      <c r="V77" s="45" t="e">
        <f ca="1">_xll.VAData("BILL_US", V4, "Revenue", "va actuals", "CD", "IMPL","","")*1000</f>
        <v>#NAME?</v>
      </c>
      <c r="W77" s="45" t="e">
        <f ca="1">_xll.VAData("BILL_US", W4, "Revenue", "va actuals", "CD", "IMPL","","")*1000</f>
        <v>#NAME?</v>
      </c>
      <c r="X77" s="45" t="e">
        <f ca="1">_xll.VAData("BILL_US", X4, "Revenue", "va actuals", "CD", "IMPL","","")*1000</f>
        <v>#NAME?</v>
      </c>
      <c r="Y77" s="69" t="e">
        <f ca="1">+SUM(U77:X77)</f>
        <v>#NAME?</v>
      </c>
      <c r="Z77" s="45" t="e">
        <f ca="1">_xll.VAData("BILL_US", Z4, "Revenue", "va actuals", "CD", "IMPL","","")*1000</f>
        <v>#NAME?</v>
      </c>
      <c r="AA77" s="45" t="e">
        <f ca="1">_xll.VAData("BILL_US", AA4, "Revenue", "va actuals", "CD", "IMPL","","")*1000</f>
        <v>#NAME?</v>
      </c>
      <c r="AB77" s="45" t="e">
        <f ca="1">_xll.VAData("BILL_US", AB4, "Revenue", "va actuals", "CD", "IMPL","","")*1000</f>
        <v>#NAME?</v>
      </c>
      <c r="AC77" s="45" t="e">
        <f ca="1">_xll.VAData("BILL_US", AC4, "Revenue", "va actuals", "CD", "IMPL","","")*1000</f>
        <v>#NAME?</v>
      </c>
      <c r="AD77" s="69" t="e">
        <f ca="1">+SUM(Z77:AC77)</f>
        <v>#NAME?</v>
      </c>
      <c r="AE77" s="45" t="e">
        <f ca="1">_xll.VAData("BILL_US", AE4, "Revenue", "va actuals", "CD", "IMPL","","")*1000</f>
        <v>#NAME?</v>
      </c>
      <c r="AF77" s="45">
        <v>260006</v>
      </c>
      <c r="AG77" s="45">
        <v>272555</v>
      </c>
      <c r="AH77" s="45">
        <f>+AH65+AH70</f>
        <v>295983</v>
      </c>
      <c r="AI77" s="69" t="e">
        <f ca="1">+SUM(AE77:AH77)</f>
        <v>#NAME?</v>
      </c>
      <c r="AJ77" s="45">
        <f>IS!AH17</f>
        <v>304985</v>
      </c>
      <c r="AK77" s="45">
        <f>IS!AI17</f>
        <v>318495</v>
      </c>
      <c r="AL77" s="45">
        <f>+AL65+AL70</f>
        <v>323028</v>
      </c>
      <c r="AM77" s="45">
        <f>+AM65+AM70</f>
        <v>343665</v>
      </c>
      <c r="AN77" s="69">
        <f>+SUM(AJ77:AM77)</f>
        <v>1290173</v>
      </c>
      <c r="AO77" s="45">
        <f>+AO65+AO70</f>
        <v>348467.16178290831</v>
      </c>
      <c r="AP77" s="45">
        <f>+AP65+AP70</f>
        <v>356874.45919179637</v>
      </c>
      <c r="AQ77" s="45">
        <f>+AQ65+AQ70</f>
        <v>354728.13347192114</v>
      </c>
      <c r="AR77" s="45">
        <f>+AR65+AR70</f>
        <v>373617.61927092791</v>
      </c>
      <c r="AS77" s="69">
        <f>+SUM(AO77:AR77)</f>
        <v>1433687.3737175537</v>
      </c>
    </row>
    <row r="78" spans="3:46" x14ac:dyDescent="0.2">
      <c r="D78" s="2" t="s">
        <v>9</v>
      </c>
      <c r="F78" s="5"/>
      <c r="G78" s="5"/>
      <c r="H78" s="5"/>
      <c r="I78" s="5"/>
      <c r="J78" s="5"/>
      <c r="K78" s="5" t="e">
        <f ca="1">K77/F77-1</f>
        <v>#NAME?</v>
      </c>
      <c r="L78" s="5" t="e">
        <f ca="1">L77/G77-1</f>
        <v>#NAME?</v>
      </c>
      <c r="M78" s="5" t="e">
        <f ca="1">M77/H77-1</f>
        <v>#NAME?</v>
      </c>
      <c r="N78" s="5" t="e">
        <f ca="1">N77/I77-1</f>
        <v>#NAME?</v>
      </c>
      <c r="O78" s="5" t="e">
        <f t="shared" ref="O78" ca="1" si="176">O77/J77-1</f>
        <v>#NAME?</v>
      </c>
      <c r="P78" s="5" t="e">
        <f t="shared" ref="P78" ca="1" si="177">P77/K77-1</f>
        <v>#NAME?</v>
      </c>
      <c r="Q78" s="5" t="e">
        <f t="shared" ref="Q78" ca="1" si="178">Q77/L77-1</f>
        <v>#NAME?</v>
      </c>
      <c r="R78" s="5" t="e">
        <f t="shared" ref="R78" ca="1" si="179">R77/M77-1</f>
        <v>#NAME?</v>
      </c>
      <c r="S78" s="5" t="e">
        <f t="shared" ref="S78:T78" ca="1" si="180">S77/N77-1</f>
        <v>#NAME?</v>
      </c>
      <c r="T78" s="5" t="e">
        <f t="shared" ca="1" si="180"/>
        <v>#NAME?</v>
      </c>
      <c r="U78" s="5" t="e">
        <f t="shared" ref="U78" ca="1" si="181">U77/P77-1</f>
        <v>#NAME?</v>
      </c>
      <c r="V78" s="5" t="e">
        <f t="shared" ref="V78" ca="1" si="182">V77/Q77-1</f>
        <v>#NAME?</v>
      </c>
      <c r="W78" s="5" t="e">
        <f t="shared" ref="W78" ca="1" si="183">W77/R77-1</f>
        <v>#NAME?</v>
      </c>
      <c r="X78" s="5" t="e">
        <f t="shared" ref="X78:Y78" ca="1" si="184">X77/S77-1</f>
        <v>#NAME?</v>
      </c>
      <c r="Y78" s="5" t="e">
        <f t="shared" ca="1" si="184"/>
        <v>#NAME?</v>
      </c>
      <c r="Z78" s="5" t="e">
        <f t="shared" ref="Z78" ca="1" si="185">Z77/U77-1</f>
        <v>#NAME?</v>
      </c>
      <c r="AA78" s="5" t="e">
        <f t="shared" ref="AA78" ca="1" si="186">AA77/V77-1</f>
        <v>#NAME?</v>
      </c>
      <c r="AB78" s="5" t="e">
        <f t="shared" ref="AB78" ca="1" si="187">AB77/W77-1</f>
        <v>#NAME?</v>
      </c>
      <c r="AC78" s="5" t="e">
        <f t="shared" ref="AC78:AD78" ca="1" si="188">AC77/X77-1</f>
        <v>#NAME?</v>
      </c>
      <c r="AD78" s="5" t="e">
        <f t="shared" ca="1" si="188"/>
        <v>#NAME?</v>
      </c>
      <c r="AE78" s="5" t="e">
        <f t="shared" ref="AE78" ca="1" si="189">AE77/Z77-1</f>
        <v>#NAME?</v>
      </c>
      <c r="AF78" s="5" t="e">
        <f t="shared" ref="AF78" ca="1" si="190">AF77/AA77-1</f>
        <v>#NAME?</v>
      </c>
      <c r="AG78" s="5" t="e">
        <f t="shared" ref="AG78" ca="1" si="191">AG77/AB77-1</f>
        <v>#NAME?</v>
      </c>
      <c r="AH78" s="5" t="e">
        <f t="shared" ref="AH78" ca="1" si="192">AH77/AC77-1</f>
        <v>#NAME?</v>
      </c>
      <c r="AI78" s="5" t="e">
        <f ca="1">AI77/AD77-1</f>
        <v>#NAME?</v>
      </c>
      <c r="AJ78" s="5" t="e">
        <f ca="1">AJ77/AE77-1</f>
        <v>#NAME?</v>
      </c>
      <c r="AK78" s="5">
        <f>AK77/AF77-1</f>
        <v>0.22495250109612863</v>
      </c>
      <c r="AL78" s="5">
        <f>AL77/AG77-1</f>
        <v>0.18518464163196424</v>
      </c>
      <c r="AM78" s="5">
        <f t="shared" ref="AM78" si="193">AM77/AH77-1</f>
        <v>0.16109709003557637</v>
      </c>
      <c r="AN78" s="5" t="e">
        <f t="shared" ref="AN78" ca="1" si="194">AN77/AI77-1</f>
        <v>#NAME?</v>
      </c>
      <c r="AO78" s="5">
        <f>AO77/AJ77-1</f>
        <v>0.14257147657395719</v>
      </c>
      <c r="AP78" s="5">
        <f>AP77/AK77-1</f>
        <v>0.12050254852288544</v>
      </c>
      <c r="AQ78" s="5">
        <f>AQ77/AL77-1</f>
        <v>9.8134321086472909E-2</v>
      </c>
      <c r="AR78" s="5">
        <f>AR77/AM77-1</f>
        <v>8.7156443836084341E-2</v>
      </c>
      <c r="AS78" s="5">
        <f t="shared" ref="AS78" si="195">AS77/AN77-1</f>
        <v>0.11123653472639217</v>
      </c>
    </row>
    <row r="79" spans="3:46" s="50" customFormat="1" ht="12.75" hidden="1" outlineLevel="1" x14ac:dyDescent="0.2">
      <c r="D79" s="50" t="s">
        <v>65</v>
      </c>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f>+(1042500+1039500)/2</f>
        <v>1041000</v>
      </c>
      <c r="AJ79" s="51">
        <f>+(295500+298500)/2</f>
        <v>297000</v>
      </c>
      <c r="AK79" s="51"/>
      <c r="AL79" s="51"/>
      <c r="AM79" s="51"/>
      <c r="AN79" s="51">
        <f>+(1288500+1306500)/2</f>
        <v>1297500</v>
      </c>
    </row>
    <row r="80" spans="3:46" s="78" customFormat="1" ht="12" hidden="1" outlineLevel="1" x14ac:dyDescent="0.2">
      <c r="E80" s="79" t="s">
        <v>35</v>
      </c>
      <c r="P80" s="80"/>
      <c r="Q80" s="80"/>
      <c r="R80" s="80"/>
      <c r="S80" s="80"/>
      <c r="T80" s="80"/>
      <c r="U80" s="80"/>
      <c r="V80" s="80"/>
      <c r="W80" s="80"/>
      <c r="X80" s="80"/>
      <c r="Y80" s="80"/>
      <c r="Z80" s="80"/>
      <c r="AA80" s="80"/>
      <c r="AB80" s="80"/>
      <c r="AC80" s="80"/>
      <c r="AD80" s="80"/>
      <c r="AE80" s="80"/>
      <c r="AF80" s="81"/>
      <c r="AG80" s="81"/>
      <c r="AH80" s="81"/>
      <c r="AI80" s="81" t="e">
        <f ca="1">AI77-AI79</f>
        <v>#NAME?</v>
      </c>
      <c r="AJ80" s="81">
        <f>AJ77-AJ79</f>
        <v>7985</v>
      </c>
      <c r="AK80" s="81"/>
      <c r="AL80" s="81"/>
      <c r="AM80" s="81"/>
      <c r="AN80" s="81">
        <f>AN77-AN79</f>
        <v>-7327</v>
      </c>
    </row>
    <row r="81" spans="3:40" collapsed="1" x14ac:dyDescent="0.2"/>
    <row r="82" spans="3:40" x14ac:dyDescent="0.2">
      <c r="C82" s="2"/>
      <c r="D82" s="2"/>
      <c r="F82" s="4"/>
      <c r="G82" s="4"/>
      <c r="H82" s="4"/>
      <c r="I82" s="4"/>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6"/>
      <c r="AL82" s="6"/>
      <c r="AM82" s="5"/>
      <c r="AN82" s="6"/>
    </row>
    <row r="83" spans="3:40" x14ac:dyDescent="0.2">
      <c r="C83" s="3"/>
      <c r="D83" s="2"/>
      <c r="AK83" s="356"/>
      <c r="AL83" s="356"/>
      <c r="AN83" s="356"/>
    </row>
    <row r="84" spans="3:40" x14ac:dyDescent="0.2">
      <c r="C84" s="2"/>
      <c r="D84" s="2"/>
      <c r="Y84" s="6"/>
      <c r="Z84" s="6"/>
      <c r="AA84" s="6"/>
      <c r="AB84" s="6"/>
      <c r="AC84" s="6"/>
      <c r="AD84" s="6"/>
      <c r="AE84" s="6"/>
      <c r="AF84" s="6"/>
      <c r="AG84" s="6"/>
      <c r="AH84" s="6"/>
      <c r="AI84" s="6"/>
      <c r="AJ84" s="6"/>
      <c r="AK84" s="6"/>
      <c r="AL84" s="6"/>
      <c r="AM84" s="6"/>
      <c r="AN84" s="6"/>
    </row>
    <row r="85" spans="3:40" x14ac:dyDescent="0.2">
      <c r="C85" s="3"/>
      <c r="D85" s="2"/>
      <c r="Z85" s="5"/>
      <c r="AA85" s="5"/>
      <c r="AB85" s="5"/>
      <c r="AC85" s="5"/>
      <c r="AD85" s="5"/>
      <c r="AE85" s="5"/>
      <c r="AF85" s="5"/>
      <c r="AG85" s="5"/>
      <c r="AH85" s="5"/>
      <c r="AI85" s="5"/>
      <c r="AJ85" s="5"/>
      <c r="AK85" s="5"/>
      <c r="AL85" s="5"/>
      <c r="AM85" s="5"/>
      <c r="AN85" s="5"/>
    </row>
    <row r="86" spans="3:40" x14ac:dyDescent="0.2">
      <c r="C86" s="2"/>
      <c r="D86" s="2"/>
    </row>
    <row r="87" spans="3:40" x14ac:dyDescent="0.2">
      <c r="C87" s="3"/>
      <c r="D87" s="2"/>
    </row>
    <row r="88" spans="3:40" x14ac:dyDescent="0.2">
      <c r="C88" s="2"/>
      <c r="D88" s="2"/>
    </row>
  </sheetData>
  <pageMargins left="0.7" right="0.7" top="0.75" bottom="0.75" header="0.3" footer="0.3"/>
  <pageSetup orientation="portrait" r:id="rId1"/>
  <ignoredErrors>
    <ignoredError sqref="AB10:AC10 K27:N27 O21 T32:AE32 T30:AE30 P27:AF27 T15:AL15 T61:AH61 T31:AF31 AN31 T28:AE28 T26:AE26 AI26 U78:X78 AI60:AL63 AJ75:AL75 AI64:AL64 AI67:AL67 T25:AE25 AI73 T56:AD56 T44:AE44 AN44 AI31 AI71:AL71 T29:X29 T38:AE38 T37:AE37 AI37 T71:AH71 AI68 AN68 T20:AL20 AD18 AI18 AE10:AF10 AI25 AG32:AL32 AG30:AL30 AG38:AI38 T43:AE43 AI43 T45:AE50 AN45 AF45:AF48 T59:Z59 AG59 T63:AH63 T62:Z62 AD62:AG62 T55:Z55 AD55:AE55 AB55 AB59 AD59:AE59 T60:AE60 AG60 AF56:AL56 T67:AE67 AG67:AH67 T72:AE73 AN74 AK72:AL72 AI80:AI81 T77:AE77 AN26 AE78:AH78 Z78:AC78 AI44 AG50:AI50 AI49 P71:S71 AG48:AI48 AN46 T64:AH64 T22:AI22 T21:Y21 T19:AE19 AH19:AL19 AN18 AI59 AN59 AN49 AL77 AJ78:AL78 AN69 T66:AH66 T65:AB65 AD65:AG65 AK22:AL22 AI70 AN70 AK73:AL73 AI66:AL66 AI65:AL65 AN65 AN43 AK50:AL50 AK48:AL48 AN25 AK38:AL38 AN15 AN60:AN63 AN75 AN64 AN67 AN71 AN20 AN32 AN56 AN19 AN78 AN22 AN66 AN50 AN38 AE29 Z29:AC29" formula="1"/>
  </ignoredError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D225D-EF2A-4F07-B458-6A2CD8AE5078}">
  <sheetPr>
    <pageSetUpPr fitToPage="1"/>
  </sheetPr>
  <dimension ref="A1:AW158"/>
  <sheetViews>
    <sheetView showGridLines="0" workbookViewId="0">
      <selection activeCell="O9" sqref="O9"/>
    </sheetView>
  </sheetViews>
  <sheetFormatPr defaultColWidth="10.28515625" defaultRowHeight="12.75" outlineLevelRow="2" outlineLevelCol="1" x14ac:dyDescent="0.2"/>
  <cols>
    <col min="1" max="2" width="1.85546875" style="93" customWidth="1"/>
    <col min="3" max="3" width="38.42578125" style="93" customWidth="1"/>
    <col min="4" max="7" width="10.28515625" style="93" customWidth="1" outlineLevel="1"/>
    <col min="8" max="8" width="10.28515625" style="93" customWidth="1"/>
    <col min="9" max="12" width="10.28515625" style="93" customWidth="1" outlineLevel="1"/>
    <col min="13" max="13" width="10.28515625" style="93" customWidth="1"/>
    <col min="14" max="17" width="10.28515625" style="93" customWidth="1" outlineLevel="1"/>
    <col min="18" max="18" width="10.28515625" style="93" customWidth="1"/>
    <col min="19" max="22" width="10.28515625" style="93" customWidth="1" outlineLevel="1"/>
    <col min="23" max="23" width="10.28515625" style="93" customWidth="1"/>
    <col min="24" max="27" width="10.28515625" style="93" customWidth="1" outlineLevel="1"/>
    <col min="28" max="28" width="10.28515625" style="93" customWidth="1"/>
    <col min="29" max="32" width="10.28515625" style="93" customWidth="1" outlineLevel="1"/>
    <col min="33" max="33" width="10.28515625" style="93" customWidth="1"/>
    <col min="34" max="37" width="10.28515625" style="93" customWidth="1" outlineLevel="1"/>
    <col min="38" max="38" width="10.28515625" style="93" customWidth="1"/>
    <col min="39" max="42" width="10.28515625" style="93" customWidth="1" outlineLevel="1"/>
    <col min="43" max="43" width="10.28515625" style="93" customWidth="1"/>
    <col min="44" max="48" width="9.85546875" style="93" customWidth="1"/>
    <col min="49" max="49" width="11" style="93" bestFit="1" customWidth="1"/>
    <col min="50" max="56" width="9.85546875" style="93" customWidth="1"/>
    <col min="57" max="16384" width="10.28515625" style="93"/>
  </cols>
  <sheetData>
    <row r="1" spans="1:46" ht="10.35" customHeight="1" x14ac:dyDescent="0.2">
      <c r="S1" s="94" t="s">
        <v>73</v>
      </c>
      <c r="V1" s="95"/>
    </row>
    <row r="2" spans="1:46" ht="15.75" x14ac:dyDescent="0.25">
      <c r="A2" s="28"/>
      <c r="B2" s="96" t="s">
        <v>74</v>
      </c>
      <c r="C2" s="96"/>
      <c r="D2" s="97"/>
      <c r="E2" s="97"/>
      <c r="F2" s="97"/>
      <c r="G2" s="98"/>
      <c r="H2" s="97"/>
      <c r="I2" s="97"/>
      <c r="J2" s="97"/>
      <c r="K2" s="97"/>
      <c r="L2" s="98"/>
      <c r="M2" s="97"/>
      <c r="N2" s="99"/>
      <c r="O2" s="97"/>
      <c r="P2" s="97"/>
      <c r="Q2" s="100"/>
      <c r="R2" s="100"/>
      <c r="S2" s="100"/>
      <c r="T2" s="101" t="e">
        <f ca="1">T26-'Old Rev Build'!V77</f>
        <v>#NAME?</v>
      </c>
      <c r="U2" s="101" t="e">
        <f ca="1">U26-'Old Rev Build'!W77</f>
        <v>#NAME?</v>
      </c>
      <c r="V2" s="101" t="e">
        <f ca="1">V26-'Old Rev Build'!X77</f>
        <v>#NAME?</v>
      </c>
      <c r="W2" s="101" t="e">
        <f ca="1">W26-'Old Rev Build'!Y77</f>
        <v>#NAME?</v>
      </c>
      <c r="X2" s="101" t="e">
        <f ca="1">X26-'Old Rev Build'!Z77</f>
        <v>#NAME?</v>
      </c>
      <c r="Y2" s="101" t="e">
        <f ca="1">Y26-'Old Rev Build'!AA77</f>
        <v>#NAME?</v>
      </c>
      <c r="Z2" s="101" t="e">
        <f ca="1">Z26-'Old Rev Build'!AB77</f>
        <v>#NAME?</v>
      </c>
      <c r="AA2" s="101" t="e">
        <f ca="1">AA26-'Old Rev Build'!AC77</f>
        <v>#NAME?</v>
      </c>
      <c r="AB2" s="101" t="e">
        <f ca="1">AB26-'Old Rev Build'!AD77</f>
        <v>#NAME?</v>
      </c>
      <c r="AC2" s="101" t="e">
        <f ca="1">AC26-'Old Rev Build'!AE77</f>
        <v>#NAME?</v>
      </c>
      <c r="AD2" s="101">
        <f>AD26-'Old Rev Build'!AF77</f>
        <v>0</v>
      </c>
      <c r="AE2" s="101">
        <f>AE26-'Old Rev Build'!AG77</f>
        <v>0</v>
      </c>
      <c r="AF2" s="101">
        <f>AF26-'Old Rev Build'!AH77</f>
        <v>0</v>
      </c>
      <c r="AG2" s="101">
        <f>AG9+AG17</f>
        <v>944700</v>
      </c>
      <c r="AH2" s="101">
        <f>AH26-'Old Rev Build'!AJ77</f>
        <v>0</v>
      </c>
      <c r="AI2" s="521"/>
      <c r="AJ2" s="521"/>
      <c r="AK2" s="650">
        <f>AL2/AG2</f>
        <v>1.1885254578172966</v>
      </c>
      <c r="AL2" s="101">
        <f>AL9+AL17</f>
        <v>1122800</v>
      </c>
      <c r="AM2" s="101"/>
      <c r="AN2" s="101"/>
      <c r="AO2" s="101"/>
      <c r="AP2" s="101"/>
      <c r="AQ2" s="101"/>
    </row>
    <row r="3" spans="1:46" ht="5.0999999999999996" customHeight="1" thickBot="1" x14ac:dyDescent="0.25">
      <c r="A3" s="28"/>
      <c r="B3" s="28"/>
      <c r="C3" s="97"/>
      <c r="D3" s="102"/>
      <c r="E3" s="103"/>
      <c r="F3" s="103"/>
      <c r="G3" s="103"/>
      <c r="H3" s="97"/>
      <c r="I3" s="102"/>
      <c r="J3" s="103"/>
      <c r="K3" s="103"/>
      <c r="L3" s="103"/>
      <c r="M3" s="97"/>
      <c r="N3" s="102"/>
      <c r="O3" s="103"/>
      <c r="P3" s="103"/>
      <c r="Q3" s="103"/>
      <c r="R3" s="97"/>
      <c r="S3" s="102"/>
      <c r="T3" s="103"/>
      <c r="U3" s="103"/>
      <c r="V3" s="103"/>
      <c r="W3" s="97"/>
      <c r="X3" s="102"/>
      <c r="Y3" s="103"/>
      <c r="Z3" s="103"/>
      <c r="AA3" s="103"/>
    </row>
    <row r="4" spans="1:46" ht="13.5" thickBot="1" x14ac:dyDescent="0.25">
      <c r="A4" s="28"/>
      <c r="B4" s="104" t="s">
        <v>75</v>
      </c>
      <c r="C4" s="288"/>
      <c r="D4" s="71" t="s">
        <v>17</v>
      </c>
      <c r="E4" s="71" t="s">
        <v>18</v>
      </c>
      <c r="F4" s="71" t="s">
        <v>19</v>
      </c>
      <c r="G4" s="71" t="s">
        <v>20</v>
      </c>
      <c r="H4" s="72">
        <v>2018</v>
      </c>
      <c r="I4" s="71" t="s">
        <v>21</v>
      </c>
      <c r="J4" s="71" t="s">
        <v>22</v>
      </c>
      <c r="K4" s="71" t="s">
        <v>10</v>
      </c>
      <c r="L4" s="71" t="s">
        <v>11</v>
      </c>
      <c r="M4" s="72">
        <v>2019</v>
      </c>
      <c r="N4" s="71" t="s">
        <v>12</v>
      </c>
      <c r="O4" s="71" t="s">
        <v>13</v>
      </c>
      <c r="P4" s="71" t="s">
        <v>14</v>
      </c>
      <c r="Q4" s="71" t="s">
        <v>15</v>
      </c>
      <c r="R4" s="72">
        <v>2020</v>
      </c>
      <c r="S4" s="71" t="s">
        <v>6</v>
      </c>
      <c r="T4" s="71" t="s">
        <v>7</v>
      </c>
      <c r="U4" s="71" t="s">
        <v>8</v>
      </c>
      <c r="V4" s="71" t="s">
        <v>0</v>
      </c>
      <c r="W4" s="72">
        <v>2021</v>
      </c>
      <c r="X4" s="71" t="s">
        <v>1</v>
      </c>
      <c r="Y4" s="71" t="s">
        <v>2</v>
      </c>
      <c r="Z4" s="71" t="s">
        <v>3</v>
      </c>
      <c r="AA4" s="71" t="s">
        <v>4</v>
      </c>
      <c r="AB4" s="72">
        <v>2022</v>
      </c>
      <c r="AC4" s="71" t="s">
        <v>5</v>
      </c>
      <c r="AD4" s="71" t="s">
        <v>68</v>
      </c>
      <c r="AE4" s="71" t="s">
        <v>274</v>
      </c>
      <c r="AF4" s="71" t="s">
        <v>306</v>
      </c>
      <c r="AG4" s="72">
        <v>2023</v>
      </c>
      <c r="AH4" s="71" t="s">
        <v>389</v>
      </c>
      <c r="AI4" s="71" t="s">
        <v>396</v>
      </c>
      <c r="AJ4" s="71" t="s">
        <v>397</v>
      </c>
      <c r="AK4" s="71" t="s">
        <v>401</v>
      </c>
      <c r="AL4" s="72">
        <v>2024</v>
      </c>
      <c r="AM4" s="71" t="s">
        <v>390</v>
      </c>
      <c r="AN4" s="71" t="s">
        <v>391</v>
      </c>
      <c r="AO4" s="71" t="s">
        <v>392</v>
      </c>
      <c r="AP4" s="71" t="s">
        <v>403</v>
      </c>
      <c r="AQ4" s="72" t="s">
        <v>393</v>
      </c>
    </row>
    <row r="5" spans="1:46" s="121" customFormat="1" ht="18" customHeight="1" outlineLevel="2" x14ac:dyDescent="0.2">
      <c r="A5" s="105"/>
      <c r="B5" s="119" t="s">
        <v>167</v>
      </c>
      <c r="C5" s="120"/>
      <c r="D5" s="108"/>
      <c r="E5" s="109"/>
      <c r="F5" s="108"/>
      <c r="G5" s="108"/>
      <c r="H5" s="286">
        <f>'Old Rev Build'!J14</f>
        <v>42000</v>
      </c>
      <c r="I5" s="108">
        <f>'Old Rev Build'!K14</f>
        <v>13070.322909999995</v>
      </c>
      <c r="J5" s="108">
        <f>'Old Rev Build'!L14</f>
        <v>14316.546762589929</v>
      </c>
      <c r="K5" s="108">
        <f>'Old Rev Build'!M14</f>
        <v>15400</v>
      </c>
      <c r="L5" s="108">
        <f>'Old Rev Build'!N14</f>
        <v>16813.130327410079</v>
      </c>
      <c r="M5" s="286">
        <f>'Old Rev Build'!O14</f>
        <v>59600</v>
      </c>
      <c r="N5" s="108">
        <f>'Old Rev Build'!P14</f>
        <v>18047.774560000005</v>
      </c>
      <c r="O5" s="108">
        <f>'Old Rev Build'!Q14</f>
        <v>19900.000000000004</v>
      </c>
      <c r="P5" s="108">
        <f>'Old Rev Build'!R14</f>
        <v>22292</v>
      </c>
      <c r="Q5" s="108">
        <f>'Old Rev Build'!S14</f>
        <v>23599.999999999996</v>
      </c>
      <c r="R5" s="286">
        <f>'Old Rev Build'!T14</f>
        <v>83839.774560000005</v>
      </c>
      <c r="S5" s="108">
        <f>'Old Rev Build'!U14</f>
        <v>24599.999999999996</v>
      </c>
      <c r="T5" s="108">
        <f>'Old Rev Build'!V14</f>
        <v>26600</v>
      </c>
      <c r="U5" s="108">
        <f>'Old Rev Build'!W14</f>
        <v>29299.999999999996</v>
      </c>
      <c r="V5" s="108">
        <f>'Old Rev Build'!X14</f>
        <v>31200</v>
      </c>
      <c r="W5" s="286">
        <f>'Old Rev Build'!Y14</f>
        <v>111700</v>
      </c>
      <c r="X5" s="108">
        <f>'Old Rev Build'!Z14</f>
        <v>34100</v>
      </c>
      <c r="Y5" s="108">
        <f>'Old Rev Build'!AA14</f>
        <v>40300</v>
      </c>
      <c r="Z5" s="108">
        <f>'Old Rev Build'!AB14</f>
        <v>43199.999999999993</v>
      </c>
      <c r="AA5" s="108">
        <f>'Old Rev Build'!AC14</f>
        <v>46200</v>
      </c>
      <c r="AB5" s="286">
        <f>'Old Rev Build'!AD14</f>
        <v>163800</v>
      </c>
      <c r="AC5" s="108">
        <f>'Old Rev Build'!AE14</f>
        <v>49300.000000000007</v>
      </c>
      <c r="AD5" s="108">
        <f>'Old Rev Build'!AF14</f>
        <v>52700</v>
      </c>
      <c r="AE5" s="108">
        <f>'Old Rev Build'!AG14</f>
        <v>57600</v>
      </c>
      <c r="AF5" s="108">
        <f>'Old Rev Build'!AH14</f>
        <v>57800</v>
      </c>
      <c r="AG5" s="286">
        <f>SUM(AC5:AF5)</f>
        <v>217400</v>
      </c>
      <c r="AH5" s="108">
        <f>'Old Rev Build'!AJ14</f>
        <v>52900</v>
      </c>
      <c r="AI5" s="108">
        <f>'Old Rev Build'!AK14</f>
        <v>53300</v>
      </c>
      <c r="AJ5" s="108">
        <f>'Old Rev Build'!AL14</f>
        <v>56644</v>
      </c>
      <c r="AK5" s="108">
        <f>'Old Rev Build'!AM14</f>
        <v>56906</v>
      </c>
      <c r="AL5" s="286">
        <f>SUM(AH5:AK5)</f>
        <v>219750</v>
      </c>
      <c r="AM5" s="108">
        <f>'Old Rev Build'!AO14</f>
        <v>58598.708262247128</v>
      </c>
      <c r="AN5" s="108">
        <f>'Old Rev Build'!AP14</f>
        <v>60272.026359143325</v>
      </c>
      <c r="AO5" s="108">
        <f>'Old Rev Build'!AQ14</f>
        <v>61722.427586206904</v>
      </c>
      <c r="AP5" s="108">
        <f>'Old Rev Build'!AR14</f>
        <v>63276.526091980588</v>
      </c>
      <c r="AQ5" s="286">
        <f>SUM(AM5:AP5)</f>
        <v>243869.68829957792</v>
      </c>
    </row>
    <row r="6" spans="1:46" s="121" customFormat="1" ht="13.35" customHeight="1" outlineLevel="2" x14ac:dyDescent="0.2">
      <c r="A6" s="105"/>
      <c r="B6" s="119"/>
      <c r="C6" s="112" t="s">
        <v>29</v>
      </c>
      <c r="D6" s="108"/>
      <c r="E6" s="109"/>
      <c r="F6" s="108"/>
      <c r="G6" s="108"/>
      <c r="H6" s="110"/>
      <c r="I6" s="108"/>
      <c r="J6" s="108"/>
      <c r="K6" s="108"/>
      <c r="L6" s="108"/>
      <c r="M6" s="285">
        <f t="shared" ref="M6:V6" si="0">M5/H5-1</f>
        <v>0.41904761904761911</v>
      </c>
      <c r="N6" s="114">
        <f t="shared" si="0"/>
        <v>0.38082086297897066</v>
      </c>
      <c r="O6" s="114">
        <f t="shared" si="0"/>
        <v>0.39000000000000012</v>
      </c>
      <c r="P6" s="114">
        <f t="shared" si="0"/>
        <v>0.44753246753246745</v>
      </c>
      <c r="Q6" s="114">
        <f t="shared" si="0"/>
        <v>0.40366484648759493</v>
      </c>
      <c r="R6" s="285">
        <f t="shared" si="0"/>
        <v>0.40670762684563777</v>
      </c>
      <c r="S6" s="115">
        <f t="shared" si="0"/>
        <v>0.36304894092161066</v>
      </c>
      <c r="T6" s="115">
        <f t="shared" si="0"/>
        <v>0.33668341708542693</v>
      </c>
      <c r="U6" s="115">
        <f t="shared" si="0"/>
        <v>0.31437286919074081</v>
      </c>
      <c r="V6" s="115">
        <f t="shared" si="0"/>
        <v>0.322033898305085</v>
      </c>
      <c r="W6" s="116">
        <f>W5/R5-1</f>
        <v>0.33230320079238518</v>
      </c>
      <c r="X6" s="115">
        <f t="shared" ref="X6:AA6" si="1">X5/S5-1</f>
        <v>0.38617886178861816</v>
      </c>
      <c r="Y6" s="115">
        <f t="shared" si="1"/>
        <v>0.51503759398496252</v>
      </c>
      <c r="Z6" s="115">
        <f t="shared" si="1"/>
        <v>0.47440273037542657</v>
      </c>
      <c r="AA6" s="5">
        <f t="shared" si="1"/>
        <v>0.48076923076923084</v>
      </c>
      <c r="AB6" s="116">
        <f>AB5/W5-1</f>
        <v>0.46642793196060883</v>
      </c>
      <c r="AC6" s="115">
        <f t="shared" ref="AC6" si="2">AC5/X5-1</f>
        <v>0.44574780058651053</v>
      </c>
      <c r="AD6" s="115">
        <f>AD5/Y5-1</f>
        <v>0.30769230769230771</v>
      </c>
      <c r="AE6" s="115">
        <f>AE5/Z5-1</f>
        <v>0.33333333333333348</v>
      </c>
      <c r="AF6" s="115">
        <f>AF5/AA5-1</f>
        <v>0.25108225108225102</v>
      </c>
      <c r="AG6" s="116">
        <f>AG5/AB5-1</f>
        <v>0.32722832722832718</v>
      </c>
      <c r="AH6" s="115">
        <f t="shared" ref="AH6" si="3">AH5/AC5-1</f>
        <v>7.3022312373224985E-2</v>
      </c>
      <c r="AI6" s="115">
        <f>AI5/AD5-1</f>
        <v>1.1385199240986799E-2</v>
      </c>
      <c r="AJ6" s="115">
        <f>AJ5/AE5-1</f>
        <v>-1.6597222222222263E-2</v>
      </c>
      <c r="AK6" s="115">
        <f>AK5/AF5-1</f>
        <v>-1.5467128027681687E-2</v>
      </c>
      <c r="AL6" s="116">
        <f>AL5/AG5-1</f>
        <v>1.0809567617295235E-2</v>
      </c>
      <c r="AM6" s="115">
        <f t="shared" ref="AM6" si="4">AM5/AH5-1</f>
        <v>0.10772605410675107</v>
      </c>
      <c r="AN6" s="115">
        <f>AN5/AI5-1</f>
        <v>0.13080724876441518</v>
      </c>
      <c r="AO6" s="115">
        <f>AO5/AJ5-1</f>
        <v>8.9655172413793283E-2</v>
      </c>
      <c r="AP6" s="115">
        <f>AP5/AK5-1</f>
        <v>0.11194823203143067</v>
      </c>
      <c r="AQ6" s="116">
        <f>AQ5/AL5-1</f>
        <v>0.10975967371821582</v>
      </c>
    </row>
    <row r="7" spans="1:46" s="121" customFormat="1" ht="13.35" customHeight="1" outlineLevel="2" x14ac:dyDescent="0.2">
      <c r="A7" s="105"/>
      <c r="B7" s="119" t="s">
        <v>293</v>
      </c>
      <c r="C7" s="120"/>
      <c r="D7" s="108"/>
      <c r="E7" s="109"/>
      <c r="F7" s="108"/>
      <c r="G7" s="108"/>
      <c r="H7" s="110"/>
      <c r="I7" s="108"/>
      <c r="J7" s="108"/>
      <c r="K7" s="108"/>
      <c r="L7" s="108"/>
      <c r="M7" s="286"/>
      <c r="N7" s="108"/>
      <c r="O7" s="108"/>
      <c r="P7" s="108"/>
      <c r="Q7" s="108"/>
      <c r="R7" s="286"/>
      <c r="S7" s="108"/>
      <c r="T7" s="108"/>
      <c r="U7" s="108"/>
      <c r="V7" s="108"/>
      <c r="W7" s="286"/>
      <c r="X7" s="108">
        <f>'Old Rev Build'!Z18+'Old Rev Build'!Z16</f>
        <v>2800</v>
      </c>
      <c r="Y7" s="108">
        <f>'Old Rev Build'!AA18+'Old Rev Build'!AA16</f>
        <v>8900</v>
      </c>
      <c r="Z7" s="108">
        <f>'Old Rev Build'!AB18+'Old Rev Build'!AB16</f>
        <v>9000</v>
      </c>
      <c r="AA7" s="108">
        <f>'Old Rev Build'!AC18+'Old Rev Build'!AC16</f>
        <v>9100</v>
      </c>
      <c r="AB7" s="286">
        <f>SUM(X7:AA7)</f>
        <v>29800</v>
      </c>
      <c r="AC7" s="108">
        <f>'Old Rev Build'!AE18+'Old Rev Build'!AE16</f>
        <v>8800</v>
      </c>
      <c r="AD7" s="108">
        <f>'Old Rev Build'!AF18+'Old Rev Build'!AF16</f>
        <v>8900</v>
      </c>
      <c r="AE7" s="108">
        <f>'Old Rev Build'!AG18+'Old Rev Build'!AG16</f>
        <v>9100</v>
      </c>
      <c r="AF7" s="108">
        <f>'Old Rev Build'!AH18+'Old Rev Build'!AH16</f>
        <v>9100</v>
      </c>
      <c r="AG7" s="286">
        <f>SUM(AC7:AF7)</f>
        <v>35900</v>
      </c>
      <c r="AH7" s="108">
        <f>'Old Rev Build'!AJ18+'Old Rev Build'!AJ16</f>
        <v>9500</v>
      </c>
      <c r="AI7" s="108">
        <f>'Old Rev Build'!AK18+'Old Rev Build'!AK16</f>
        <v>10000</v>
      </c>
      <c r="AJ7" s="108">
        <f>'Old Rev Build'!AL18+'Old Rev Build'!AL16</f>
        <v>8950</v>
      </c>
      <c r="AK7" s="108">
        <f>'Old Rev Build'!AM18+'Old Rev Build'!AM16</f>
        <v>8900</v>
      </c>
      <c r="AL7" s="286">
        <f>SUM(AH7:AK7)</f>
        <v>37350</v>
      </c>
      <c r="AM7" s="108">
        <f>'Old Rev Build'!AO18+'Old Rev Build'!AO16</f>
        <v>8900</v>
      </c>
      <c r="AN7" s="108">
        <f>'Old Rev Build'!AP18+'Old Rev Build'!AP16</f>
        <v>8800</v>
      </c>
      <c r="AO7" s="108">
        <f>'Old Rev Build'!AQ18+'Old Rev Build'!AQ16</f>
        <v>8700</v>
      </c>
      <c r="AP7" s="108">
        <f>'Old Rev Build'!AR18+'Old Rev Build'!AR16</f>
        <v>8700</v>
      </c>
      <c r="AQ7" s="286">
        <f>SUM(AM7:AP7)</f>
        <v>35100</v>
      </c>
    </row>
    <row r="8" spans="1:46" s="121" customFormat="1" ht="13.35" customHeight="1" outlineLevel="2" x14ac:dyDescent="0.2">
      <c r="A8" s="105"/>
      <c r="B8" s="119"/>
      <c r="C8" s="112" t="s">
        <v>29</v>
      </c>
      <c r="D8" s="108"/>
      <c r="E8" s="109"/>
      <c r="F8" s="108"/>
      <c r="G8" s="108"/>
      <c r="H8" s="110"/>
      <c r="I8" s="108"/>
      <c r="J8" s="108"/>
      <c r="K8" s="108"/>
      <c r="L8" s="108"/>
      <c r="M8" s="113"/>
      <c r="N8" s="114"/>
      <c r="O8" s="114"/>
      <c r="P8" s="114"/>
      <c r="Q8" s="114"/>
      <c r="R8" s="113"/>
      <c r="S8" s="115"/>
      <c r="T8" s="115"/>
      <c r="U8" s="115"/>
      <c r="V8" s="115"/>
      <c r="W8" s="116"/>
      <c r="X8" s="115"/>
      <c r="Y8" s="115"/>
      <c r="Z8" s="115"/>
      <c r="AA8" s="5"/>
      <c r="AB8" s="116"/>
      <c r="AC8" s="115">
        <f t="shared" ref="AC8:AQ8" si="5">AC7/X7-1</f>
        <v>2.1428571428571428</v>
      </c>
      <c r="AD8" s="115">
        <f t="shared" si="5"/>
        <v>0</v>
      </c>
      <c r="AE8" s="115">
        <f t="shared" si="5"/>
        <v>1.1111111111111072E-2</v>
      </c>
      <c r="AF8" s="115">
        <f t="shared" si="5"/>
        <v>0</v>
      </c>
      <c r="AG8" s="116">
        <f t="shared" si="5"/>
        <v>0.20469798657718119</v>
      </c>
      <c r="AH8" s="115">
        <f t="shared" si="5"/>
        <v>7.9545454545454586E-2</v>
      </c>
      <c r="AI8" s="115">
        <f t="shared" si="5"/>
        <v>0.12359550561797761</v>
      </c>
      <c r="AJ8" s="115">
        <f t="shared" si="5"/>
        <v>-1.6483516483516536E-2</v>
      </c>
      <c r="AK8" s="115">
        <f t="shared" si="5"/>
        <v>-2.1978021978022011E-2</v>
      </c>
      <c r="AL8" s="116">
        <f t="shared" si="5"/>
        <v>4.0389972144846853E-2</v>
      </c>
      <c r="AM8" s="115">
        <f t="shared" si="5"/>
        <v>-6.315789473684208E-2</v>
      </c>
      <c r="AN8" s="115">
        <f t="shared" si="5"/>
        <v>-0.12</v>
      </c>
      <c r="AO8" s="115">
        <f t="shared" si="5"/>
        <v>-2.7932960893854775E-2</v>
      </c>
      <c r="AP8" s="115">
        <f t="shared" si="5"/>
        <v>-2.2471910112359605E-2</v>
      </c>
      <c r="AQ8" s="116">
        <f t="shared" si="5"/>
        <v>-6.0240963855421659E-2</v>
      </c>
    </row>
    <row r="9" spans="1:46" s="185" customFormat="1" ht="13.35" customHeight="1" x14ac:dyDescent="0.2">
      <c r="A9" s="180"/>
      <c r="B9" s="284" t="s">
        <v>32</v>
      </c>
      <c r="C9" s="181"/>
      <c r="D9" s="182"/>
      <c r="E9" s="183"/>
      <c r="F9" s="182"/>
      <c r="G9" s="182"/>
      <c r="H9" s="184">
        <f t="shared" ref="H9:AA9" si="6">+H7+H5</f>
        <v>42000</v>
      </c>
      <c r="I9" s="182">
        <f t="shared" si="6"/>
        <v>13070.322909999995</v>
      </c>
      <c r="J9" s="182">
        <f t="shared" si="6"/>
        <v>14316.546762589929</v>
      </c>
      <c r="K9" s="182">
        <f t="shared" si="6"/>
        <v>15400</v>
      </c>
      <c r="L9" s="182">
        <f t="shared" si="6"/>
        <v>16813.130327410079</v>
      </c>
      <c r="M9" s="184">
        <f>SUM(I9:L9)</f>
        <v>59600</v>
      </c>
      <c r="N9" s="182">
        <f t="shared" si="6"/>
        <v>18047.774560000005</v>
      </c>
      <c r="O9" s="182">
        <f t="shared" si="6"/>
        <v>19900.000000000004</v>
      </c>
      <c r="P9" s="182">
        <f t="shared" si="6"/>
        <v>22292</v>
      </c>
      <c r="Q9" s="182">
        <f t="shared" si="6"/>
        <v>23599.999999999996</v>
      </c>
      <c r="R9" s="184">
        <f>SUM(N9:Q9)</f>
        <v>83839.774560000005</v>
      </c>
      <c r="S9" s="183">
        <f t="shared" si="6"/>
        <v>24599.999999999996</v>
      </c>
      <c r="T9" s="183">
        <f t="shared" si="6"/>
        <v>26600</v>
      </c>
      <c r="U9" s="183">
        <f t="shared" si="6"/>
        <v>29299.999999999996</v>
      </c>
      <c r="V9" s="183">
        <f t="shared" si="6"/>
        <v>31200</v>
      </c>
      <c r="W9" s="184">
        <f>SUM(S9:V9)</f>
        <v>111700</v>
      </c>
      <c r="X9" s="182">
        <f t="shared" si="6"/>
        <v>36900</v>
      </c>
      <c r="Y9" s="182">
        <f t="shared" si="6"/>
        <v>49200</v>
      </c>
      <c r="Z9" s="182">
        <f t="shared" si="6"/>
        <v>52199.999999999993</v>
      </c>
      <c r="AA9" s="182">
        <f t="shared" si="6"/>
        <v>55300</v>
      </c>
      <c r="AB9" s="184">
        <f>SUM(X9:AA9)</f>
        <v>193600</v>
      </c>
      <c r="AC9" s="182">
        <f>+AC7+AC5</f>
        <v>58100.000000000007</v>
      </c>
      <c r="AD9" s="182">
        <f>+AD7+AD5</f>
        <v>61600</v>
      </c>
      <c r="AE9" s="182">
        <f>+AE7+AE5</f>
        <v>66700</v>
      </c>
      <c r="AF9" s="182">
        <f>+AF7+AF5</f>
        <v>66900</v>
      </c>
      <c r="AG9" s="184">
        <f>SUM(AC9:AF9)</f>
        <v>253300</v>
      </c>
      <c r="AH9" s="182">
        <f>+AH7+AH5</f>
        <v>62400</v>
      </c>
      <c r="AI9" s="182">
        <f>+AI7+AI5</f>
        <v>63300</v>
      </c>
      <c r="AJ9" s="182">
        <f>+AJ7+AJ5</f>
        <v>65594</v>
      </c>
      <c r="AK9" s="182">
        <f>+AK7+AK5</f>
        <v>65806</v>
      </c>
      <c r="AL9" s="184">
        <f>SUM(AH9:AK9)</f>
        <v>257100</v>
      </c>
      <c r="AM9" s="182">
        <f>+AM7+AM5</f>
        <v>67498.708262247121</v>
      </c>
      <c r="AN9" s="182">
        <f>+AN7+AN5</f>
        <v>69072.026359143318</v>
      </c>
      <c r="AO9" s="182">
        <f>+AO7+AO5</f>
        <v>70422.427586206904</v>
      </c>
      <c r="AP9" s="182">
        <f>+AP7+AP5</f>
        <v>71976.526091980588</v>
      </c>
      <c r="AQ9" s="184">
        <f>SUM(AM9:AP9)</f>
        <v>278969.68829957792</v>
      </c>
      <c r="AR9" s="522"/>
    </row>
    <row r="10" spans="1:46" s="121" customFormat="1" ht="13.35" customHeight="1" x14ac:dyDescent="0.2">
      <c r="A10" s="105"/>
      <c r="B10" s="119"/>
      <c r="C10" s="112" t="s">
        <v>29</v>
      </c>
      <c r="D10" s="108"/>
      <c r="E10" s="109"/>
      <c r="F10" s="108"/>
      <c r="G10" s="108"/>
      <c r="H10" s="110"/>
      <c r="I10" s="108"/>
      <c r="J10" s="108"/>
      <c r="K10" s="108"/>
      <c r="L10" s="108"/>
      <c r="M10" s="285">
        <f t="shared" ref="M10:V10" si="7">M9/H9-1</f>
        <v>0.41904761904761911</v>
      </c>
      <c r="N10" s="114">
        <f t="shared" si="7"/>
        <v>0.38082086297897066</v>
      </c>
      <c r="O10" s="114">
        <f t="shared" si="7"/>
        <v>0.39000000000000012</v>
      </c>
      <c r="P10" s="114">
        <f t="shared" si="7"/>
        <v>0.44753246753246745</v>
      </c>
      <c r="Q10" s="114">
        <f t="shared" si="7"/>
        <v>0.40366484648759493</v>
      </c>
      <c r="R10" s="285">
        <f t="shared" si="7"/>
        <v>0.40670762684563777</v>
      </c>
      <c r="S10" s="115">
        <f t="shared" si="7"/>
        <v>0.36304894092161066</v>
      </c>
      <c r="T10" s="115">
        <f t="shared" si="7"/>
        <v>0.33668341708542693</v>
      </c>
      <c r="U10" s="115">
        <f t="shared" si="7"/>
        <v>0.31437286919074081</v>
      </c>
      <c r="V10" s="115">
        <f t="shared" si="7"/>
        <v>0.322033898305085</v>
      </c>
      <c r="W10" s="116">
        <f>W9/R9-1</f>
        <v>0.33230320079238518</v>
      </c>
      <c r="X10" s="115">
        <f t="shared" ref="X10:AA10" si="8">X9/S9-1</f>
        <v>0.50000000000000022</v>
      </c>
      <c r="Y10" s="115">
        <f t="shared" si="8"/>
        <v>0.84962406015037595</v>
      </c>
      <c r="Z10" s="115">
        <f t="shared" si="8"/>
        <v>0.78156996587030725</v>
      </c>
      <c r="AA10" s="5">
        <f t="shared" si="8"/>
        <v>0.77243589743589736</v>
      </c>
      <c r="AB10" s="116">
        <f>AB9/W9-1</f>
        <v>0.73321396598030431</v>
      </c>
      <c r="AC10" s="115">
        <f t="shared" ref="AC10" si="9">AC9/X9-1</f>
        <v>0.57452574525745281</v>
      </c>
      <c r="AD10" s="115">
        <f>AD9/Y9-1</f>
        <v>0.25203252032520318</v>
      </c>
      <c r="AE10" s="115">
        <f>AE9/Z9-1</f>
        <v>0.2777777777777779</v>
      </c>
      <c r="AF10" s="115">
        <f>AF9/AA9-1</f>
        <v>0.20976491862567803</v>
      </c>
      <c r="AG10" s="116">
        <f>AG9/AB9-1</f>
        <v>0.30836776859504123</v>
      </c>
      <c r="AH10" s="115">
        <f t="shared" ref="AH10" si="10">AH9/AC9-1</f>
        <v>7.4010327022375089E-2</v>
      </c>
      <c r="AI10" s="115">
        <f>AI9/AD9-1</f>
        <v>2.759740259740262E-2</v>
      </c>
      <c r="AJ10" s="115">
        <f>AJ9/AE9-1</f>
        <v>-1.6581709145427337E-2</v>
      </c>
      <c r="AK10" s="115">
        <f>AK9/AF9-1</f>
        <v>-1.6352765321375196E-2</v>
      </c>
      <c r="AL10" s="116">
        <f>AL9/AG9-1</f>
        <v>1.5001973943939984E-2</v>
      </c>
      <c r="AM10" s="115">
        <f t="shared" ref="AM10" si="11">AM9/AH9-1</f>
        <v>8.17100683052423E-2</v>
      </c>
      <c r="AN10" s="115">
        <f>AN9/AI9-1</f>
        <v>9.1185250539388862E-2</v>
      </c>
      <c r="AO10" s="115">
        <f>AO9/AJ9-1</f>
        <v>7.3610811754229122E-2</v>
      </c>
      <c r="AP10" s="115">
        <f>AP9/AK9-1</f>
        <v>9.3768441965483174E-2</v>
      </c>
      <c r="AQ10" s="116">
        <f>AQ9/AL9-1</f>
        <v>8.5062964992524082E-2</v>
      </c>
    </row>
    <row r="11" spans="1:46" s="121" customFormat="1" ht="13.35" customHeight="1" x14ac:dyDescent="0.2">
      <c r="A11" s="105"/>
      <c r="B11" s="119"/>
      <c r="C11" s="112" t="s">
        <v>76</v>
      </c>
      <c r="D11" s="108"/>
      <c r="E11" s="109"/>
      <c r="F11" s="108"/>
      <c r="G11" s="108"/>
      <c r="H11" s="110"/>
      <c r="I11" s="114"/>
      <c r="J11" s="114">
        <f>J9/I9-1</f>
        <v>9.5347594789449097E-2</v>
      </c>
      <c r="K11" s="114">
        <f t="shared" ref="K11:L11" si="12">K9/J9-1</f>
        <v>7.5678391959798974E-2</v>
      </c>
      <c r="L11" s="114">
        <f t="shared" si="12"/>
        <v>9.1761709572083072E-2</v>
      </c>
      <c r="M11" s="110"/>
      <c r="N11" s="114">
        <f>N9/L9-1</f>
        <v>7.3433335051064974E-2</v>
      </c>
      <c r="O11" s="114">
        <f>O9/N9-1</f>
        <v>0.10262902131463658</v>
      </c>
      <c r="P11" s="114">
        <f t="shared" ref="P11:Q11" si="13">P9/O9-1</f>
        <v>0.12020100502512543</v>
      </c>
      <c r="Q11" s="114">
        <f t="shared" si="13"/>
        <v>5.867575811950454E-2</v>
      </c>
      <c r="R11" s="110"/>
      <c r="S11" s="114">
        <f>S9/Q9-1</f>
        <v>4.2372881355932313E-2</v>
      </c>
      <c r="T11" s="114">
        <f>T9/S9-1</f>
        <v>8.1300813008130302E-2</v>
      </c>
      <c r="U11" s="114">
        <f t="shared" ref="U11:V11" si="14">U9/T9-1</f>
        <v>0.10150375939849621</v>
      </c>
      <c r="V11" s="114">
        <f t="shared" si="14"/>
        <v>6.4846416382252636E-2</v>
      </c>
      <c r="W11" s="110"/>
      <c r="X11" s="114">
        <f>X9/V9-1</f>
        <v>0.18269230769230771</v>
      </c>
      <c r="Y11" s="114">
        <f>Y9/X9-1</f>
        <v>0.33333333333333326</v>
      </c>
      <c r="Z11" s="114">
        <f t="shared" ref="Z11:AA11" si="15">Z9/Y9-1</f>
        <v>6.0975609756097393E-2</v>
      </c>
      <c r="AA11" s="114">
        <f t="shared" si="15"/>
        <v>5.9386973180076685E-2</v>
      </c>
      <c r="AB11" s="110"/>
      <c r="AC11" s="114">
        <f>AC9/AA9-1</f>
        <v>5.0632911392405111E-2</v>
      </c>
      <c r="AD11" s="114">
        <f>AD9/AC9-1</f>
        <v>6.0240963855421548E-2</v>
      </c>
      <c r="AE11" s="114">
        <f>AE9/AD9-1</f>
        <v>8.2792207792207861E-2</v>
      </c>
      <c r="AF11" s="114">
        <f t="shared" ref="AF11" si="16">AF9/AE9-1</f>
        <v>2.9985007496251548E-3</v>
      </c>
      <c r="AG11" s="110"/>
      <c r="AH11" s="114">
        <f>AH9/AF9-1</f>
        <v>-6.7264573991031362E-2</v>
      </c>
      <c r="AI11" s="114">
        <f>AI9/AH9-1</f>
        <v>1.4423076923076872E-2</v>
      </c>
      <c r="AJ11" s="114">
        <f>AJ9/AI9-1</f>
        <v>3.6240126382306448E-2</v>
      </c>
      <c r="AK11" s="114">
        <f t="shared" ref="AK11" si="17">AK9/AJ9-1</f>
        <v>3.2320029270969108E-3</v>
      </c>
      <c r="AL11" s="110"/>
      <c r="AM11" s="114">
        <f>AM9/AK9-1</f>
        <v>2.5722704042900668E-2</v>
      </c>
      <c r="AN11" s="114">
        <f>AN9/AM9-1</f>
        <v>2.330886230864615E-2</v>
      </c>
      <c r="AO11" s="114">
        <f>AO9/AN9-1</f>
        <v>1.9550624156327912E-2</v>
      </c>
      <c r="AP11" s="114">
        <f t="shared" ref="AP11" si="18">AP9/AO9-1</f>
        <v>2.2068232508333452E-2</v>
      </c>
      <c r="AQ11" s="110"/>
    </row>
    <row r="12" spans="1:46" s="121" customFormat="1" ht="13.35" customHeight="1" outlineLevel="1" x14ac:dyDescent="0.2">
      <c r="A12" s="105"/>
      <c r="B12" s="119"/>
      <c r="C12" s="120"/>
      <c r="D12" s="108"/>
      <c r="E12" s="109"/>
      <c r="F12" s="108"/>
      <c r="G12" s="108"/>
      <c r="H12" s="110"/>
      <c r="I12" s="108"/>
      <c r="J12" s="108"/>
      <c r="K12" s="108"/>
      <c r="L12" s="108"/>
      <c r="M12" s="110"/>
      <c r="N12" s="108"/>
      <c r="O12" s="108"/>
      <c r="P12" s="108"/>
      <c r="Q12" s="108"/>
      <c r="R12" s="110"/>
      <c r="S12" s="109"/>
      <c r="T12" s="109"/>
      <c r="U12" s="109"/>
      <c r="V12" s="109"/>
      <c r="W12" s="110"/>
      <c r="X12" s="108"/>
      <c r="Y12" s="108"/>
      <c r="Z12" s="108"/>
      <c r="AA12" s="108"/>
      <c r="AB12" s="110"/>
      <c r="AC12" s="108"/>
      <c r="AD12" s="108"/>
      <c r="AE12" s="108"/>
      <c r="AF12" s="108"/>
      <c r="AG12" s="110"/>
      <c r="AH12" s="108"/>
      <c r="AI12" s="108"/>
      <c r="AJ12" s="108"/>
      <c r="AK12" s="108"/>
      <c r="AL12" s="110"/>
      <c r="AM12" s="108"/>
      <c r="AN12" s="108"/>
      <c r="AO12" s="108"/>
      <c r="AP12" s="108"/>
      <c r="AQ12" s="110"/>
    </row>
    <row r="13" spans="1:46" s="121" customFormat="1" ht="13.35" customHeight="1" outlineLevel="1" x14ac:dyDescent="0.2">
      <c r="A13" s="105"/>
      <c r="B13" s="119" t="s">
        <v>168</v>
      </c>
      <c r="C13" s="120"/>
      <c r="D13" s="108"/>
      <c r="E13" s="108"/>
      <c r="F13" s="108"/>
      <c r="G13" s="108"/>
      <c r="H13" s="286"/>
      <c r="I13" s="108">
        <f>'Old Rev Build'!K37</f>
        <v>5100</v>
      </c>
      <c r="J13" s="108">
        <f>'Old Rev Build'!L37</f>
        <v>6040</v>
      </c>
      <c r="K13" s="108">
        <f>'Old Rev Build'!M37</f>
        <v>6700</v>
      </c>
      <c r="L13" s="108">
        <f>'Old Rev Build'!N37</f>
        <v>8560</v>
      </c>
      <c r="M13" s="286">
        <f>'Old Rev Build'!O37</f>
        <v>26400</v>
      </c>
      <c r="N13" s="108">
        <f>'Old Rev Build'!P37</f>
        <v>10500</v>
      </c>
      <c r="O13" s="108">
        <f>'Old Rev Build'!Q37</f>
        <v>13100</v>
      </c>
      <c r="P13" s="108">
        <f>'Old Rev Build'!R37</f>
        <v>13800</v>
      </c>
      <c r="Q13" s="108">
        <f>'Old Rev Build'!S37</f>
        <v>15200</v>
      </c>
      <c r="R13" s="286">
        <f>'Old Rev Build'!T37</f>
        <v>52600</v>
      </c>
      <c r="S13" s="108">
        <f>'Old Rev Build'!U37</f>
        <v>19200</v>
      </c>
      <c r="T13" s="108">
        <f>'Old Rev Build'!V37</f>
        <v>25700</v>
      </c>
      <c r="U13" s="108">
        <f>'Old Rev Build'!W37</f>
        <v>29300</v>
      </c>
      <c r="V13" s="108">
        <f>'Old Rev Build'!X37</f>
        <v>46300</v>
      </c>
      <c r="W13" s="286">
        <f>'Old Rev Build'!Y37</f>
        <v>120500</v>
      </c>
      <c r="X13" s="108">
        <f>'Old Rev Build'!Z37</f>
        <v>43700</v>
      </c>
      <c r="Y13" s="108">
        <f>'Old Rev Build'!AA37</f>
        <v>56800</v>
      </c>
      <c r="Z13" s="108">
        <f>'Old Rev Build'!AB37</f>
        <v>58900</v>
      </c>
      <c r="AA13" s="108">
        <f>'Old Rev Build'!AC37</f>
        <v>68700</v>
      </c>
      <c r="AB13" s="286">
        <f>'Old Rev Build'!AD37</f>
        <v>228100</v>
      </c>
      <c r="AC13" s="108">
        <f>'Old Rev Build'!AE37</f>
        <v>76300</v>
      </c>
      <c r="AD13" s="108">
        <f>'Old Rev Build'!AF37</f>
        <v>80400</v>
      </c>
      <c r="AE13" s="108">
        <f>'Old Rev Build'!AG37</f>
        <v>83200</v>
      </c>
      <c r="AF13" s="108">
        <f>'Old Rev Build'!AH37</f>
        <v>91500</v>
      </c>
      <c r="AG13" s="286">
        <f>SUM(AC13:AF13)</f>
        <v>331400</v>
      </c>
      <c r="AH13" s="108">
        <f>'Old Rev Build'!AJ37</f>
        <v>95400</v>
      </c>
      <c r="AI13" s="108">
        <f>'Old Rev Build'!AK37</f>
        <v>99900</v>
      </c>
      <c r="AJ13" s="108">
        <f>'Old Rev Build'!AL37</f>
        <v>99900</v>
      </c>
      <c r="AK13" s="108">
        <f>'Old Rev Build'!AM37</f>
        <v>104500</v>
      </c>
      <c r="AL13" s="286">
        <f>SUM(AH13:AK13)</f>
        <v>399700</v>
      </c>
      <c r="AM13" s="108">
        <f>'Old Rev Build'!AO37</f>
        <v>105646.50600000002</v>
      </c>
      <c r="AN13" s="108">
        <f>'Old Rev Build'!AP37</f>
        <v>109531.69919999999</v>
      </c>
      <c r="AO13" s="108">
        <f>'Old Rev Build'!AQ37</f>
        <v>108172.71359999999</v>
      </c>
      <c r="AP13" s="108">
        <f>'Old Rev Build'!AR37</f>
        <v>114650.1216</v>
      </c>
      <c r="AQ13" s="286">
        <f>SUM(AM13:AP13)</f>
        <v>438001.0404</v>
      </c>
      <c r="AT13" s="121">
        <f>AJ9+AJ17</f>
        <v>281294</v>
      </c>
    </row>
    <row r="14" spans="1:46" s="121" customFormat="1" ht="13.35" customHeight="1" outlineLevel="1" x14ac:dyDescent="0.2">
      <c r="A14" s="105"/>
      <c r="B14" s="119"/>
      <c r="C14" s="112" t="s">
        <v>29</v>
      </c>
      <c r="D14" s="115"/>
      <c r="E14" s="115"/>
      <c r="F14" s="115"/>
      <c r="G14" s="115"/>
      <c r="H14" s="116"/>
      <c r="I14" s="115"/>
      <c r="J14" s="115"/>
      <c r="K14" s="115"/>
      <c r="L14" s="115"/>
      <c r="M14" s="116"/>
      <c r="N14" s="115">
        <f t="shared" ref="N14:AC14" si="19">N13/I13-1</f>
        <v>1.0588235294117645</v>
      </c>
      <c r="O14" s="115">
        <f t="shared" si="19"/>
        <v>1.1688741721854305</v>
      </c>
      <c r="P14" s="115">
        <f t="shared" si="19"/>
        <v>1.0597014925373136</v>
      </c>
      <c r="Q14" s="115">
        <f t="shared" si="19"/>
        <v>0.77570093457943923</v>
      </c>
      <c r="R14" s="116">
        <f t="shared" si="19"/>
        <v>0.99242424242424243</v>
      </c>
      <c r="S14" s="115">
        <f t="shared" si="19"/>
        <v>0.82857142857142851</v>
      </c>
      <c r="T14" s="115">
        <f t="shared" si="19"/>
        <v>0.96183206106870234</v>
      </c>
      <c r="U14" s="115">
        <f t="shared" si="19"/>
        <v>1.1231884057971016</v>
      </c>
      <c r="V14" s="115">
        <f t="shared" si="19"/>
        <v>2.0460526315789473</v>
      </c>
      <c r="W14" s="116">
        <f t="shared" si="19"/>
        <v>1.290874524714829</v>
      </c>
      <c r="X14" s="115">
        <f t="shared" si="19"/>
        <v>1.2760416666666665</v>
      </c>
      <c r="Y14" s="115">
        <f t="shared" si="19"/>
        <v>1.2101167315175099</v>
      </c>
      <c r="Z14" s="115">
        <f t="shared" si="19"/>
        <v>1.0102389078498293</v>
      </c>
      <c r="AA14" s="115">
        <f t="shared" si="19"/>
        <v>0.48380129589632825</v>
      </c>
      <c r="AB14" s="116">
        <f t="shared" si="19"/>
        <v>0.89294605809128624</v>
      </c>
      <c r="AC14" s="115">
        <f t="shared" si="19"/>
        <v>0.74599542334096114</v>
      </c>
      <c r="AD14" s="115">
        <f>AD13/Y13-1</f>
        <v>0.41549295774647876</v>
      </c>
      <c r="AE14" s="115">
        <f>AE13/Z13-1</f>
        <v>0.41256366723259763</v>
      </c>
      <c r="AF14" s="115">
        <f>AF13/AA13-1</f>
        <v>0.33187772925764203</v>
      </c>
      <c r="AG14" s="116">
        <f>AG13/AB13-1</f>
        <v>0.45287154756685655</v>
      </c>
      <c r="AH14" s="115">
        <f t="shared" ref="AH14" si="20">AH13/AC13-1</f>
        <v>0.25032765399737866</v>
      </c>
      <c r="AI14" s="115">
        <f>AI13/AD13-1</f>
        <v>0.24253731343283591</v>
      </c>
      <c r="AJ14" s="115">
        <f>AJ13/AE13-1</f>
        <v>0.20072115384615374</v>
      </c>
      <c r="AK14" s="115">
        <f>AK13/AF13-1</f>
        <v>0.14207650273224037</v>
      </c>
      <c r="AL14" s="116">
        <f>AL13/AG13-1</f>
        <v>0.20609535304767657</v>
      </c>
      <c r="AM14" s="115">
        <f t="shared" ref="AM14" si="21">AM13/AH13-1</f>
        <v>0.1074057232704404</v>
      </c>
      <c r="AN14" s="115">
        <f>AN13/AI13-1</f>
        <v>9.6413405405405328E-2</v>
      </c>
      <c r="AO14" s="115">
        <f>AO13/AJ13-1</f>
        <v>8.2809945945945929E-2</v>
      </c>
      <c r="AP14" s="115">
        <f>AP13/AK13-1</f>
        <v>9.7130350239234442E-2</v>
      </c>
      <c r="AQ14" s="116">
        <f>AQ13/AL13-1</f>
        <v>9.5824469352014052E-2</v>
      </c>
    </row>
    <row r="15" spans="1:46" s="121" customFormat="1" ht="13.35" customHeight="1" outlineLevel="1" x14ac:dyDescent="0.2">
      <c r="A15" s="105"/>
      <c r="B15" s="119" t="s">
        <v>294</v>
      </c>
      <c r="C15" s="120"/>
      <c r="D15" s="108"/>
      <c r="E15" s="108"/>
      <c r="F15" s="108"/>
      <c r="G15" s="108"/>
      <c r="H15" s="286"/>
      <c r="I15" s="108"/>
      <c r="J15" s="108"/>
      <c r="K15" s="108"/>
      <c r="L15" s="108"/>
      <c r="M15" s="286"/>
      <c r="N15" s="108"/>
      <c r="O15" s="108"/>
      <c r="P15" s="108"/>
      <c r="Q15" s="108"/>
      <c r="R15" s="286"/>
      <c r="S15" s="108"/>
      <c r="T15" s="108"/>
      <c r="U15" s="108"/>
      <c r="V15" s="108"/>
      <c r="W15" s="286"/>
      <c r="X15" s="108">
        <f>'Old Rev Build'!Z55+'Old Rev Build'!Z59</f>
        <v>36900</v>
      </c>
      <c r="Y15" s="108">
        <f>'Old Rev Build'!AA55+'Old Rev Build'!AA59</f>
        <v>49500</v>
      </c>
      <c r="Z15" s="108">
        <f>'Old Rev Build'!AB55+'Old Rev Build'!AB59</f>
        <v>54400</v>
      </c>
      <c r="AA15" s="108">
        <f>'Old Rev Build'!AC55+'Old Rev Build'!AC59</f>
        <v>70900</v>
      </c>
      <c r="AB15" s="286">
        <f>'Old Rev Build'!AD55+'Old Rev Build'!AD59</f>
        <v>211700</v>
      </c>
      <c r="AC15" s="108">
        <f>'Old Rev Build'!AE55+'Old Rev Build'!AE59</f>
        <v>80200</v>
      </c>
      <c r="AD15" s="108">
        <f>'Old Rev Build'!AF55+'Old Rev Build'!AF59</f>
        <v>89200</v>
      </c>
      <c r="AE15" s="108">
        <f>'Old Rev Build'!AG55+'Old Rev Build'!AG59</f>
        <v>89600</v>
      </c>
      <c r="AF15" s="108">
        <f>'Old Rev Build'!AH55+'Old Rev Build'!AH59</f>
        <v>101000</v>
      </c>
      <c r="AG15" s="286">
        <f>SUM(AC15:AF15)</f>
        <v>360000</v>
      </c>
      <c r="AH15" s="108">
        <f>'Old Rev Build'!AJ55+'Old Rev Build'!AJ59</f>
        <v>107400</v>
      </c>
      <c r="AI15" s="108">
        <f>'Old Rev Build'!AK55+'Old Rev Build'!AK59</f>
        <v>111800</v>
      </c>
      <c r="AJ15" s="108">
        <f>'Old Rev Build'!AL55+'Old Rev Build'!AL59</f>
        <v>115800</v>
      </c>
      <c r="AK15" s="108">
        <f>'Old Rev Build'!AM55+'Old Rev Build'!AM59</f>
        <v>131000</v>
      </c>
      <c r="AL15" s="286">
        <f>SUM(AH15:AK15)</f>
        <v>466000</v>
      </c>
      <c r="AM15" s="108">
        <f>'Old Rev Build'!AO55+'Old Rev Build'!AO59</f>
        <v>134310</v>
      </c>
      <c r="AN15" s="108">
        <f>'Old Rev Build'!AP55+'Old Rev Build'!AP59</f>
        <v>139029.25200000001</v>
      </c>
      <c r="AO15" s="108">
        <f>'Old Rev Build'!AQ55+'Old Rev Build'!AQ59</f>
        <v>143235.52800000002</v>
      </c>
      <c r="AP15" s="108">
        <f>'Old Rev Build'!AR55+'Old Rev Build'!AR59</f>
        <v>154842.72</v>
      </c>
      <c r="AQ15" s="286">
        <f>SUM(AM15:AP15)</f>
        <v>571417.5</v>
      </c>
    </row>
    <row r="16" spans="1:46" s="121" customFormat="1" ht="13.35" customHeight="1" outlineLevel="1" x14ac:dyDescent="0.2">
      <c r="A16" s="105"/>
      <c r="B16" s="119"/>
      <c r="C16" s="112" t="s">
        <v>29</v>
      </c>
      <c r="D16" s="115"/>
      <c r="E16" s="115"/>
      <c r="F16" s="115"/>
      <c r="G16" s="115"/>
      <c r="H16" s="116"/>
      <c r="I16" s="115"/>
      <c r="J16" s="115"/>
      <c r="K16" s="115"/>
      <c r="L16" s="115"/>
      <c r="M16" s="116"/>
      <c r="N16" s="115"/>
      <c r="O16" s="115"/>
      <c r="P16" s="115"/>
      <c r="Q16" s="115"/>
      <c r="R16" s="116"/>
      <c r="S16" s="115"/>
      <c r="T16" s="115"/>
      <c r="U16" s="115"/>
      <c r="V16" s="115"/>
      <c r="W16" s="116"/>
      <c r="X16" s="115"/>
      <c r="Y16" s="115"/>
      <c r="Z16" s="115"/>
      <c r="AA16" s="115"/>
      <c r="AB16" s="116"/>
      <c r="AC16" s="115">
        <f t="shared" ref="AC16" si="22">AC15/X15-1</f>
        <v>1.1734417344173442</v>
      </c>
      <c r="AD16" s="115">
        <f>AD15/Y15-1</f>
        <v>0.80202020202020208</v>
      </c>
      <c r="AE16" s="115">
        <f>AE15/Z15-1</f>
        <v>0.64705882352941169</v>
      </c>
      <c r="AF16" s="115">
        <f>AF15/AA15-1</f>
        <v>0.42454160789844853</v>
      </c>
      <c r="AG16" s="116">
        <f>AG15/AB15-1</f>
        <v>0.70051960321209261</v>
      </c>
      <c r="AH16" s="115">
        <f t="shared" ref="AH16" si="23">AH15/AC15-1</f>
        <v>0.3391521197007481</v>
      </c>
      <c r="AI16" s="115">
        <f>AI15/AD15-1</f>
        <v>0.25336322869955152</v>
      </c>
      <c r="AJ16" s="115">
        <f>AJ15/AE15-1</f>
        <v>0.29241071428571419</v>
      </c>
      <c r="AK16" s="115">
        <f>AK15/AF15-1</f>
        <v>0.29702970297029707</v>
      </c>
      <c r="AL16" s="116">
        <f>AL15/AG15-1</f>
        <v>0.29444444444444451</v>
      </c>
      <c r="AM16" s="115">
        <f t="shared" ref="AM16" si="24">AM15/AH15-1</f>
        <v>0.25055865921787701</v>
      </c>
      <c r="AN16" s="115">
        <f>AN15/AI15-1</f>
        <v>0.24355323792486594</v>
      </c>
      <c r="AO16" s="115">
        <f>AO15/AJ15-1</f>
        <v>0.23692165803108822</v>
      </c>
      <c r="AP16" s="115">
        <f>AP15/AK15-1</f>
        <v>0.18200549618320605</v>
      </c>
      <c r="AQ16" s="116">
        <f>AQ15/AL15-1</f>
        <v>0.22621781115879824</v>
      </c>
    </row>
    <row r="17" spans="1:49" s="185" customFormat="1" ht="13.35" customHeight="1" x14ac:dyDescent="0.2">
      <c r="A17" s="180"/>
      <c r="B17" s="284" t="s">
        <v>33</v>
      </c>
      <c r="C17" s="181"/>
      <c r="D17" s="182"/>
      <c r="E17" s="182"/>
      <c r="F17" s="182"/>
      <c r="G17" s="182"/>
      <c r="H17" s="287"/>
      <c r="I17" s="182">
        <f t="shared" ref="I17:AC17" si="25">+I15+I13</f>
        <v>5100</v>
      </c>
      <c r="J17" s="182">
        <f t="shared" si="25"/>
        <v>6040</v>
      </c>
      <c r="K17" s="182">
        <f t="shared" si="25"/>
        <v>6700</v>
      </c>
      <c r="L17" s="182">
        <f t="shared" si="25"/>
        <v>8560</v>
      </c>
      <c r="M17" s="287">
        <f t="shared" si="25"/>
        <v>26400</v>
      </c>
      <c r="N17" s="182">
        <f t="shared" si="25"/>
        <v>10500</v>
      </c>
      <c r="O17" s="182">
        <f t="shared" si="25"/>
        <v>13100</v>
      </c>
      <c r="P17" s="182">
        <f t="shared" si="25"/>
        <v>13800</v>
      </c>
      <c r="Q17" s="182">
        <f t="shared" si="25"/>
        <v>15200</v>
      </c>
      <c r="R17" s="287">
        <f t="shared" si="25"/>
        <v>52600</v>
      </c>
      <c r="S17" s="182">
        <f t="shared" si="25"/>
        <v>19200</v>
      </c>
      <c r="T17" s="182">
        <f t="shared" si="25"/>
        <v>25700</v>
      </c>
      <c r="U17" s="182">
        <f t="shared" si="25"/>
        <v>29300</v>
      </c>
      <c r="V17" s="182">
        <f t="shared" si="25"/>
        <v>46300</v>
      </c>
      <c r="W17" s="287">
        <f t="shared" si="25"/>
        <v>120500</v>
      </c>
      <c r="X17" s="182">
        <f t="shared" si="25"/>
        <v>80600</v>
      </c>
      <c r="Y17" s="182">
        <f t="shared" si="25"/>
        <v>106300</v>
      </c>
      <c r="Z17" s="182">
        <f t="shared" si="25"/>
        <v>113300</v>
      </c>
      <c r="AA17" s="182">
        <f t="shared" si="25"/>
        <v>139600</v>
      </c>
      <c r="AB17" s="287">
        <f t="shared" si="25"/>
        <v>439800</v>
      </c>
      <c r="AC17" s="182">
        <f t="shared" si="25"/>
        <v>156500</v>
      </c>
      <c r="AD17" s="182">
        <f>+AD15+AD13</f>
        <v>169600</v>
      </c>
      <c r="AE17" s="182">
        <f>+AE15+AE13</f>
        <v>172800</v>
      </c>
      <c r="AF17" s="182">
        <f>+AF15+AF13</f>
        <v>192500</v>
      </c>
      <c r="AG17" s="184">
        <f>SUM(AC17:AF17)</f>
        <v>691400</v>
      </c>
      <c r="AH17" s="182">
        <f t="shared" ref="AH17" si="26">+AH15+AH13</f>
        <v>202800</v>
      </c>
      <c r="AI17" s="182">
        <f>+AI15+AI13</f>
        <v>211700</v>
      </c>
      <c r="AJ17" s="182">
        <f>+AJ15+AJ13</f>
        <v>215700</v>
      </c>
      <c r="AK17" s="182">
        <f>+AK15+AK13</f>
        <v>235500</v>
      </c>
      <c r="AL17" s="184">
        <f>SUM(AH17:AK17)</f>
        <v>865700</v>
      </c>
      <c r="AM17" s="182">
        <f t="shared" ref="AM17" si="27">+AM15+AM13</f>
        <v>239956.50600000002</v>
      </c>
      <c r="AN17" s="182">
        <f>+AN15+AN13</f>
        <v>248560.95120000001</v>
      </c>
      <c r="AO17" s="182">
        <f>+AO15+AO13</f>
        <v>251408.24160000001</v>
      </c>
      <c r="AP17" s="182">
        <f>+AP15+AP13</f>
        <v>269492.84159999999</v>
      </c>
      <c r="AQ17" s="184">
        <f>SUM(AM17:AP17)</f>
        <v>1009418.5404000001</v>
      </c>
      <c r="AR17" s="522"/>
    </row>
    <row r="18" spans="1:49" s="121" customFormat="1" ht="13.35" customHeight="1" x14ac:dyDescent="0.2">
      <c r="A18" s="105"/>
      <c r="B18" s="119"/>
      <c r="C18" s="112" t="s">
        <v>29</v>
      </c>
      <c r="D18" s="115"/>
      <c r="E18" s="115"/>
      <c r="F18" s="115"/>
      <c r="G18" s="115"/>
      <c r="H18" s="116"/>
      <c r="I18" s="115"/>
      <c r="J18" s="115"/>
      <c r="K18" s="115"/>
      <c r="L18" s="115"/>
      <c r="M18" s="116"/>
      <c r="N18" s="115">
        <f t="shared" ref="N18:AC18" si="28">N17/I17-1</f>
        <v>1.0588235294117645</v>
      </c>
      <c r="O18" s="115">
        <f t="shared" si="28"/>
        <v>1.1688741721854305</v>
      </c>
      <c r="P18" s="115">
        <f t="shared" si="28"/>
        <v>1.0597014925373136</v>
      </c>
      <c r="Q18" s="115">
        <f t="shared" si="28"/>
        <v>0.77570093457943923</v>
      </c>
      <c r="R18" s="116">
        <f t="shared" si="28"/>
        <v>0.99242424242424243</v>
      </c>
      <c r="S18" s="115">
        <f t="shared" si="28"/>
        <v>0.82857142857142851</v>
      </c>
      <c r="T18" s="115">
        <f t="shared" si="28"/>
        <v>0.96183206106870234</v>
      </c>
      <c r="U18" s="115">
        <f t="shared" si="28"/>
        <v>1.1231884057971016</v>
      </c>
      <c r="V18" s="115">
        <f t="shared" si="28"/>
        <v>2.0460526315789473</v>
      </c>
      <c r="W18" s="116">
        <f t="shared" si="28"/>
        <v>1.290874524714829</v>
      </c>
      <c r="X18" s="115">
        <f t="shared" si="28"/>
        <v>3.197916666666667</v>
      </c>
      <c r="Y18" s="115">
        <f t="shared" si="28"/>
        <v>3.136186770428016</v>
      </c>
      <c r="Z18" s="115">
        <f t="shared" si="28"/>
        <v>2.8668941979522184</v>
      </c>
      <c r="AA18" s="115">
        <f t="shared" si="28"/>
        <v>2.0151187904967602</v>
      </c>
      <c r="AB18" s="116">
        <f t="shared" si="28"/>
        <v>2.6497925311203319</v>
      </c>
      <c r="AC18" s="115">
        <f t="shared" si="28"/>
        <v>0.94168734491315131</v>
      </c>
      <c r="AD18" s="115">
        <f>AD17/Y17-1</f>
        <v>0.59548447789275638</v>
      </c>
      <c r="AE18" s="115">
        <f>AE17/Z17-1</f>
        <v>0.52515445719329223</v>
      </c>
      <c r="AF18" s="115">
        <f>AF17/AA17-1</f>
        <v>0.37893982808022919</v>
      </c>
      <c r="AG18" s="116">
        <f>AG17/AB17-1</f>
        <v>0.57207821737153242</v>
      </c>
      <c r="AH18" s="115">
        <f t="shared" ref="AH18" si="29">AH17/AC17-1</f>
        <v>0.29584664536741223</v>
      </c>
      <c r="AI18" s="115">
        <f>AI17/AD17-1</f>
        <v>0.24823113207547176</v>
      </c>
      <c r="AJ18" s="115">
        <f>AJ17/AE17-1</f>
        <v>0.24826388888888884</v>
      </c>
      <c r="AK18" s="115">
        <f>AK17/AF17-1</f>
        <v>0.22337662337662345</v>
      </c>
      <c r="AL18" s="116">
        <f>AL17/AG17-1</f>
        <v>0.25209719409892961</v>
      </c>
      <c r="AM18" s="115">
        <f t="shared" ref="AM18" si="30">AM17/AH17-1</f>
        <v>0.18321748520710068</v>
      </c>
      <c r="AN18" s="115">
        <f>AN17/AI17-1</f>
        <v>0.17411880585734529</v>
      </c>
      <c r="AO18" s="115">
        <f>AO17/AJ17-1</f>
        <v>0.16554585813630052</v>
      </c>
      <c r="AP18" s="115">
        <f>AP17/AK17-1</f>
        <v>0.14434327643312095</v>
      </c>
      <c r="AQ18" s="116">
        <f>AQ17/AL17-1</f>
        <v>0.16601425482268684</v>
      </c>
      <c r="AW18" s="121">
        <v>100</v>
      </c>
    </row>
    <row r="19" spans="1:49" s="121" customFormat="1" ht="13.35" customHeight="1" x14ac:dyDescent="0.2">
      <c r="A19" s="105"/>
      <c r="B19" s="119"/>
      <c r="C19" s="112" t="s">
        <v>76</v>
      </c>
      <c r="D19" s="108"/>
      <c r="E19" s="109"/>
      <c r="F19" s="108"/>
      <c r="G19" s="108"/>
      <c r="H19" s="110"/>
      <c r="I19" s="114"/>
      <c r="J19" s="114">
        <f>J17/I17-1</f>
        <v>0.18431372549019609</v>
      </c>
      <c r="K19" s="114">
        <f t="shared" ref="K19:L19" si="31">K17/J17-1</f>
        <v>0.10927152317880795</v>
      </c>
      <c r="L19" s="114">
        <f t="shared" si="31"/>
        <v>0.27761194029850755</v>
      </c>
      <c r="M19" s="110"/>
      <c r="N19" s="114">
        <f>N17/L17-1</f>
        <v>0.22663551401869153</v>
      </c>
      <c r="O19" s="114">
        <f>O17/N17-1</f>
        <v>0.24761904761904763</v>
      </c>
      <c r="P19" s="114">
        <f t="shared" ref="P19:Q19" si="32">P17/O17-1</f>
        <v>5.3435114503816772E-2</v>
      </c>
      <c r="Q19" s="114">
        <f t="shared" si="32"/>
        <v>0.10144927536231885</v>
      </c>
      <c r="R19" s="110"/>
      <c r="S19" s="114">
        <f>S17/Q17-1</f>
        <v>0.26315789473684204</v>
      </c>
      <c r="T19" s="114">
        <f>T17/S17-1</f>
        <v>0.33854166666666674</v>
      </c>
      <c r="U19" s="114">
        <f t="shared" ref="U19:V19" si="33">U17/T17-1</f>
        <v>0.1400778210116731</v>
      </c>
      <c r="V19" s="114">
        <f t="shared" si="33"/>
        <v>0.58020477815699656</v>
      </c>
      <c r="W19" s="110"/>
      <c r="X19" s="114">
        <f>X17/V17-1</f>
        <v>0.74082073434125273</v>
      </c>
      <c r="Y19" s="114">
        <f>Y17/X17-1</f>
        <v>0.31885856079404462</v>
      </c>
      <c r="Z19" s="114">
        <f t="shared" ref="Z19:AA19" si="34">Z17/Y17-1</f>
        <v>6.5851364063969964E-2</v>
      </c>
      <c r="AA19" s="114">
        <f t="shared" si="34"/>
        <v>0.23212709620476613</v>
      </c>
      <c r="AB19" s="110"/>
      <c r="AC19" s="114">
        <f>AC17/AA17-1</f>
        <v>0.12106017191977081</v>
      </c>
      <c r="AD19" s="114">
        <f>AD17/AC17-1</f>
        <v>8.3706070287539847E-2</v>
      </c>
      <c r="AE19" s="114">
        <f>AE17/AD17-1</f>
        <v>1.8867924528301883E-2</v>
      </c>
      <c r="AF19" s="114">
        <f t="shared" ref="AF19" si="35">AF17/AE17-1</f>
        <v>0.11400462962962954</v>
      </c>
      <c r="AG19" s="110"/>
      <c r="AH19" s="114">
        <f>AH17/AF17-1</f>
        <v>5.3506493506493502E-2</v>
      </c>
      <c r="AI19" s="114">
        <f>AI17/AH17-1</f>
        <v>4.3885601577909217E-2</v>
      </c>
      <c r="AJ19" s="114">
        <f>AJ17/AI17-1</f>
        <v>1.8894662257912032E-2</v>
      </c>
      <c r="AK19" s="114">
        <f t="shared" ref="AK19" si="36">AK17/AJ17-1</f>
        <v>9.1794158553546668E-2</v>
      </c>
      <c r="AL19" s="110"/>
      <c r="AM19" s="114">
        <f>AM17/AK17-1</f>
        <v>1.8923592356687946E-2</v>
      </c>
      <c r="AN19" s="114">
        <f>AN17/AM17-1</f>
        <v>3.5858353430100243E-2</v>
      </c>
      <c r="AO19" s="114">
        <f>AO17/AN17-1</f>
        <v>1.1455099388113288E-2</v>
      </c>
      <c r="AP19" s="114">
        <f t="shared" ref="AP19" si="37">AP17/AO17-1</f>
        <v>7.1933202686224051E-2</v>
      </c>
      <c r="AQ19" s="110"/>
      <c r="AW19" s="121">
        <f>AW18*AH92</f>
        <v>11794800</v>
      </c>
    </row>
    <row r="20" spans="1:49" s="121" customFormat="1" ht="18" hidden="1" customHeight="1" outlineLevel="1" x14ac:dyDescent="0.2">
      <c r="A20" s="105"/>
      <c r="B20" s="119" t="s">
        <v>169</v>
      </c>
      <c r="C20" s="181"/>
      <c r="D20" s="108">
        <v>12365.458350000001</v>
      </c>
      <c r="E20" s="109">
        <v>13337.969880000001</v>
      </c>
      <c r="F20" s="108">
        <v>14920.694810000003</v>
      </c>
      <c r="G20" s="108">
        <v>16367.557599999998</v>
      </c>
      <c r="H20" s="110">
        <f>SUM(D20:G20)</f>
        <v>56991.680640000006</v>
      </c>
      <c r="I20" s="108">
        <v>18170.322909999995</v>
      </c>
      <c r="J20" s="108">
        <v>20443.822600000003</v>
      </c>
      <c r="K20" s="108">
        <v>22111.761559999999</v>
      </c>
      <c r="L20" s="108">
        <v>25224.915560000001</v>
      </c>
      <c r="M20" s="110">
        <f>SUM(I20:L20)</f>
        <v>85950.82263000001</v>
      </c>
      <c r="N20" s="108">
        <v>28547.774560000005</v>
      </c>
      <c r="O20" s="108">
        <v>32964</v>
      </c>
      <c r="P20" s="108">
        <v>36092</v>
      </c>
      <c r="Q20" s="108">
        <v>38801</v>
      </c>
      <c r="R20" s="110">
        <f>SUM(N20:Q20)</f>
        <v>136404.77455999999</v>
      </c>
      <c r="S20" s="109">
        <v>43788</v>
      </c>
      <c r="T20" s="109">
        <v>52333</v>
      </c>
      <c r="U20" s="109">
        <v>58622</v>
      </c>
      <c r="V20" s="109">
        <v>77512</v>
      </c>
      <c r="W20" s="110">
        <f>SUM(S20:V20)</f>
        <v>232255</v>
      </c>
      <c r="X20" s="108">
        <f>115600+1946</f>
        <v>117546</v>
      </c>
      <c r="Y20" s="108">
        <f t="shared" ref="Y20:AE20" si="38">Y17+Y9</f>
        <v>155500</v>
      </c>
      <c r="Z20" s="108">
        <f t="shared" si="38"/>
        <v>165500</v>
      </c>
      <c r="AA20" s="108">
        <v>194820</v>
      </c>
      <c r="AB20" s="286">
        <f t="shared" si="38"/>
        <v>633400</v>
      </c>
      <c r="AC20" s="108">
        <f t="shared" si="38"/>
        <v>214600</v>
      </c>
      <c r="AD20" s="108">
        <f t="shared" si="38"/>
        <v>231200</v>
      </c>
      <c r="AE20" s="108">
        <f t="shared" si="38"/>
        <v>239500</v>
      </c>
      <c r="AF20" s="108">
        <v>259510</v>
      </c>
      <c r="AG20" s="110">
        <v>944710</v>
      </c>
      <c r="AH20" s="108">
        <v>265142</v>
      </c>
      <c r="AI20" s="108">
        <v>274992</v>
      </c>
      <c r="AJ20" s="108">
        <f>AJ17+AJ9</f>
        <v>281294</v>
      </c>
      <c r="AK20" s="108">
        <f>AK17+AK9</f>
        <v>301306</v>
      </c>
      <c r="AL20" s="110">
        <f>SUM(AH20:AK20)</f>
        <v>1122734</v>
      </c>
      <c r="AM20" s="108">
        <f>AM17+AM9</f>
        <v>307455.21426224714</v>
      </c>
      <c r="AN20" s="108">
        <f>AN17+AN9</f>
        <v>317632.97755914333</v>
      </c>
      <c r="AO20" s="108">
        <f>AO17+AO9</f>
        <v>321830.66918620688</v>
      </c>
      <c r="AP20" s="108">
        <f>AP17+AP9</f>
        <v>341469.36769198056</v>
      </c>
      <c r="AQ20" s="110">
        <f>SUM(AM20:AP20)</f>
        <v>1288388.228699578</v>
      </c>
    </row>
    <row r="21" spans="1:49" s="121" customFormat="1" ht="13.35" hidden="1" customHeight="1" outlineLevel="1" x14ac:dyDescent="0.2">
      <c r="A21" s="105"/>
      <c r="B21" s="119"/>
      <c r="C21" s="112" t="s">
        <v>29</v>
      </c>
      <c r="D21" s="115"/>
      <c r="E21" s="115"/>
      <c r="F21" s="115"/>
      <c r="G21" s="115"/>
      <c r="H21" s="116"/>
      <c r="I21" s="115">
        <f t="shared" ref="I21:AC21" si="39">I20/D20-1</f>
        <v>0.4694419240836305</v>
      </c>
      <c r="J21" s="115">
        <f t="shared" si="39"/>
        <v>0.5327536936977999</v>
      </c>
      <c r="K21" s="115">
        <f t="shared" si="39"/>
        <v>0.48195253917937309</v>
      </c>
      <c r="L21" s="115">
        <f t="shared" si="39"/>
        <v>0.54115330927566152</v>
      </c>
      <c r="M21" s="116">
        <f t="shared" si="39"/>
        <v>0.50812928597292206</v>
      </c>
      <c r="N21" s="115">
        <f t="shared" si="39"/>
        <v>0.57112092621583543</v>
      </c>
      <c r="O21" s="115">
        <f t="shared" si="39"/>
        <v>0.61241860903253942</v>
      </c>
      <c r="P21" s="115">
        <f t="shared" si="39"/>
        <v>0.63225349106921191</v>
      </c>
      <c r="Q21" s="115">
        <f t="shared" si="39"/>
        <v>0.5382013829821517</v>
      </c>
      <c r="R21" s="116">
        <f t="shared" si="39"/>
        <v>0.58700952924201211</v>
      </c>
      <c r="S21" s="115">
        <f t="shared" si="39"/>
        <v>0.53384985957378217</v>
      </c>
      <c r="T21" s="115">
        <f t="shared" si="39"/>
        <v>0.58758039072928048</v>
      </c>
      <c r="U21" s="115">
        <f t="shared" si="39"/>
        <v>0.62423805829546719</v>
      </c>
      <c r="V21" s="115">
        <f t="shared" si="39"/>
        <v>0.99768047215277966</v>
      </c>
      <c r="W21" s="116">
        <f t="shared" si="39"/>
        <v>0.70268966573335478</v>
      </c>
      <c r="X21" s="115">
        <f t="shared" si="39"/>
        <v>1.6844340915319265</v>
      </c>
      <c r="Y21" s="115">
        <f t="shared" si="39"/>
        <v>1.9713565054554487</v>
      </c>
      <c r="Z21" s="115">
        <f t="shared" si="39"/>
        <v>1.8231721879157994</v>
      </c>
      <c r="AA21" s="115">
        <f t="shared" si="39"/>
        <v>1.5134172773248014</v>
      </c>
      <c r="AB21" s="116">
        <f t="shared" si="39"/>
        <v>1.7271748724462337</v>
      </c>
      <c r="AC21" s="115">
        <f t="shared" si="39"/>
        <v>0.82566824902591329</v>
      </c>
      <c r="AD21" s="115">
        <f>AD20/Y20-1</f>
        <v>0.48681672025723466</v>
      </c>
      <c r="AE21" s="115">
        <f>AE20/Z20-1</f>
        <v>0.44712990936555896</v>
      </c>
      <c r="AF21" s="115">
        <f>AF20/AA20-1</f>
        <v>0.3320500975259213</v>
      </c>
      <c r="AG21" s="116">
        <f>AG20/AB20-1</f>
        <v>0.49149036943479629</v>
      </c>
      <c r="AH21" s="115">
        <f t="shared" ref="AH21" si="40">AH20/AC20-1</f>
        <v>0.23551724137931029</v>
      </c>
      <c r="AI21" s="115">
        <f>AI20/AD20-1</f>
        <v>0.18941176470588239</v>
      </c>
      <c r="AJ21" s="115">
        <f>AJ20/AE20-1</f>
        <v>0.1745052192066805</v>
      </c>
      <c r="AK21" s="115">
        <f>AK20/AF20-1</f>
        <v>0.16105737736503412</v>
      </c>
      <c r="AL21" s="116">
        <f>AL20/AG20-1</f>
        <v>0.18844301425834376</v>
      </c>
      <c r="AM21" s="115">
        <f t="shared" ref="AM21" si="41">AM20/AH20-1</f>
        <v>0.15958699211082039</v>
      </c>
      <c r="AN21" s="115">
        <f>AN20/AI20-1</f>
        <v>0.15506261112739028</v>
      </c>
      <c r="AO21" s="115">
        <f>AO20/AJ20-1</f>
        <v>0.14410783445863351</v>
      </c>
      <c r="AP21" s="115">
        <f>AP20/AK20-1</f>
        <v>0.13329760340643926</v>
      </c>
      <c r="AQ21" s="116">
        <f>AQ20/AL20-1</f>
        <v>0.14754539249686749</v>
      </c>
    </row>
    <row r="22" spans="1:49" s="121" customFormat="1" ht="13.35" hidden="1" customHeight="1" outlineLevel="1" x14ac:dyDescent="0.2">
      <c r="A22" s="105"/>
      <c r="B22" s="119"/>
      <c r="C22" s="112" t="s">
        <v>76</v>
      </c>
      <c r="D22" s="108"/>
      <c r="E22" s="109"/>
      <c r="F22" s="108"/>
      <c r="G22" s="108"/>
      <c r="H22" s="110"/>
      <c r="I22" s="114"/>
      <c r="J22" s="114">
        <f>J20/I20-1</f>
        <v>0.12512158981769073</v>
      </c>
      <c r="K22" s="114">
        <f t="shared" ref="K22:L22" si="42">K20/J20-1</f>
        <v>8.158645242793261E-2</v>
      </c>
      <c r="L22" s="114">
        <f t="shared" si="42"/>
        <v>0.14079176783597713</v>
      </c>
      <c r="M22" s="110"/>
      <c r="N22" s="114">
        <f>N20/L20-1</f>
        <v>0.13172924175291101</v>
      </c>
      <c r="O22" s="114">
        <f>O20/N20-1</f>
        <v>0.15469596170161126</v>
      </c>
      <c r="P22" s="114">
        <f t="shared" ref="P22:Q22" si="43">P20/O20-1</f>
        <v>9.4891396675160777E-2</v>
      </c>
      <c r="Q22" s="114">
        <f t="shared" si="43"/>
        <v>7.5058184639255288E-2</v>
      </c>
      <c r="R22" s="110"/>
      <c r="S22" s="114">
        <f>S20/Q20-1</f>
        <v>0.12852761526764778</v>
      </c>
      <c r="T22" s="114">
        <f>T20/S20-1</f>
        <v>0.19514478852653694</v>
      </c>
      <c r="U22" s="114">
        <f t="shared" ref="U22:V22" si="44">U20/T20-1</f>
        <v>0.12017273995375777</v>
      </c>
      <c r="V22" s="114">
        <f t="shared" si="44"/>
        <v>0.32223397359353134</v>
      </c>
      <c r="W22" s="110"/>
      <c r="X22" s="114">
        <f>X20/V20-1</f>
        <v>0.51648776963566934</v>
      </c>
      <c r="Y22" s="114">
        <f>Y20/X20-1</f>
        <v>0.32288635938270982</v>
      </c>
      <c r="Z22" s="114">
        <f t="shared" ref="Z22:AA22" si="45">Z20/Y20-1</f>
        <v>6.4308681672025747E-2</v>
      </c>
      <c r="AA22" s="114">
        <f t="shared" si="45"/>
        <v>0.17716012084592148</v>
      </c>
      <c r="AB22" s="110"/>
      <c r="AC22" s="114">
        <f>AC20/AA20-1</f>
        <v>0.10152961708243513</v>
      </c>
      <c r="AD22" s="114">
        <f>AD20/AC20-1</f>
        <v>7.7353215284249766E-2</v>
      </c>
      <c r="AE22" s="114">
        <f>AE20/AD20-1</f>
        <v>3.5899653979238666E-2</v>
      </c>
      <c r="AF22" s="114">
        <f t="shared" ref="AF22" si="46">AF20/AE20-1</f>
        <v>8.3549060542797537E-2</v>
      </c>
      <c r="AG22" s="110"/>
      <c r="AH22" s="114">
        <f>AH20/AF20-1</f>
        <v>2.1702439212361702E-2</v>
      </c>
      <c r="AI22" s="114">
        <f>AI20/AH20-1</f>
        <v>3.7149904579433013E-2</v>
      </c>
      <c r="AJ22" s="114">
        <f>AJ20/AI20-1</f>
        <v>2.2917030313609033E-2</v>
      </c>
      <c r="AK22" s="114">
        <f t="shared" ref="AK22" si="47">AK20/AJ20-1</f>
        <v>7.1142647905749756E-2</v>
      </c>
      <c r="AL22" s="110"/>
      <c r="AM22" s="114">
        <f>AM20/AK20-1</f>
        <v>2.0408535715342957E-2</v>
      </c>
      <c r="AN22" s="114">
        <f>AN20/AM20-1</f>
        <v>3.3103238536117185E-2</v>
      </c>
      <c r="AO22" s="114">
        <f>AO20/AN20-1</f>
        <v>1.3215540965931138E-2</v>
      </c>
      <c r="AP22" s="114">
        <f t="shared" ref="AP22" si="48">AP20/AO20-1</f>
        <v>6.1021836593239565E-2</v>
      </c>
      <c r="AQ22" s="110"/>
    </row>
    <row r="23" spans="1:49" s="121" customFormat="1" ht="18" customHeight="1" collapsed="1" x14ac:dyDescent="0.2">
      <c r="A23" s="105"/>
      <c r="B23" s="119" t="s">
        <v>61</v>
      </c>
      <c r="C23" s="126"/>
      <c r="D23" s="108">
        <f>'Old Rev Build'!F70</f>
        <v>737.1711499999999</v>
      </c>
      <c r="E23" s="108">
        <f>'Old Rev Build'!G70</f>
        <v>1825.1479900000002</v>
      </c>
      <c r="F23" s="108">
        <f>'Old Rev Build'!H70</f>
        <v>2177.0098399999997</v>
      </c>
      <c r="G23" s="108">
        <f>'Old Rev Build'!I70</f>
        <v>3133.1164100000001</v>
      </c>
      <c r="H23" s="286">
        <f>'Old Rev Build'!J70</f>
        <v>7872.4453900000008</v>
      </c>
      <c r="I23" s="108">
        <f>'Old Rev Build'!K70</f>
        <v>4253.8066700000008</v>
      </c>
      <c r="J23" s="108">
        <f>'Old Rev Build'!L70</f>
        <v>5554.82755</v>
      </c>
      <c r="K23" s="108">
        <f>'Old Rev Build'!M70</f>
        <v>6131.9238300000006</v>
      </c>
      <c r="L23" s="108">
        <f>'Old Rev Build'!N70</f>
        <v>6459.4120000000003</v>
      </c>
      <c r="M23" s="286">
        <f>'Old Rev Build'!O70</f>
        <v>22399.97005</v>
      </c>
      <c r="N23" s="108">
        <f>'Old Rev Build'!P70</f>
        <v>6631.7050600000002</v>
      </c>
      <c r="O23" s="108">
        <f>'Old Rev Build'!Q70</f>
        <v>6116</v>
      </c>
      <c r="P23" s="108">
        <f>'Old Rev Build'!R70</f>
        <v>5138</v>
      </c>
      <c r="Q23" s="108">
        <f>'Old Rev Build'!S70</f>
        <v>3309</v>
      </c>
      <c r="R23" s="286">
        <f>'Old Rev Build'!T70</f>
        <v>21194.70506</v>
      </c>
      <c r="S23" s="108">
        <f>'Old Rev Build'!U70</f>
        <v>2421</v>
      </c>
      <c r="T23" s="108">
        <f>'Old Rev Build'!V70</f>
        <v>1712</v>
      </c>
      <c r="U23" s="108">
        <f>'Old Rev Build'!W70</f>
        <v>1116</v>
      </c>
      <c r="V23" s="108">
        <f>'Old Rev Build'!X70</f>
        <v>761</v>
      </c>
      <c r="W23" s="286">
        <f>'Old Rev Build'!Y70</f>
        <v>6010</v>
      </c>
      <c r="X23" s="108">
        <f>'Old Rev Build'!Z70</f>
        <v>803</v>
      </c>
      <c r="Y23" s="108">
        <f>'Old Rev Build'!AA70</f>
        <v>978</v>
      </c>
      <c r="Z23" s="108">
        <f>'Old Rev Build'!AB70</f>
        <v>1411</v>
      </c>
      <c r="AA23" s="108">
        <v>5401</v>
      </c>
      <c r="AB23" s="286">
        <f>'Old Rev Build'!AD70</f>
        <v>8613</v>
      </c>
      <c r="AC23" s="108">
        <f>'Old Rev Build'!AE70</f>
        <v>15324</v>
      </c>
      <c r="AD23" s="108">
        <f>'Old Rev Build'!AF70</f>
        <v>28900</v>
      </c>
      <c r="AE23" s="179">
        <f>'Old Rev Build'!AG70</f>
        <v>33100</v>
      </c>
      <c r="AF23" s="179">
        <v>36473</v>
      </c>
      <c r="AG23" s="110">
        <v>113758</v>
      </c>
      <c r="AH23" s="108">
        <v>39843</v>
      </c>
      <c r="AI23" s="108">
        <v>43503</v>
      </c>
      <c r="AJ23" s="179">
        <v>41734</v>
      </c>
      <c r="AK23" s="92">
        <v>42359</v>
      </c>
      <c r="AL23" s="110">
        <f>SUM(AH23:AK23)</f>
        <v>167439</v>
      </c>
      <c r="AM23" s="108">
        <f>'Old Rev Build'!AO70</f>
        <v>41011.947520661161</v>
      </c>
      <c r="AN23" s="108">
        <f>'Old Rev Build'!AP70</f>
        <v>39241.481632653064</v>
      </c>
      <c r="AO23" s="179">
        <f>'Old Rev Build'!AQ70</f>
        <v>32897.464285714283</v>
      </c>
      <c r="AP23" s="179">
        <f>'Old Rev Build'!AR70</f>
        <v>32148.251578947373</v>
      </c>
      <c r="AQ23" s="110">
        <f>SUM(AM23:AP23)</f>
        <v>145299.14501797588</v>
      </c>
      <c r="AW23" s="121">
        <v>1839800</v>
      </c>
    </row>
    <row r="24" spans="1:49" s="121" customFormat="1" ht="13.35" customHeight="1" x14ac:dyDescent="0.2">
      <c r="A24" s="105"/>
      <c r="B24" s="124"/>
      <c r="C24" s="112" t="s">
        <v>29</v>
      </c>
      <c r="D24" s="115"/>
      <c r="E24" s="115"/>
      <c r="F24" s="115"/>
      <c r="G24" s="115"/>
      <c r="H24" s="116"/>
      <c r="I24" s="114">
        <f t="shared" ref="I24:V24" si="49">I23/D23-1</f>
        <v>4.7704464831538802</v>
      </c>
      <c r="J24" s="114">
        <f t="shared" si="49"/>
        <v>2.0434943250820989</v>
      </c>
      <c r="K24" s="114">
        <f t="shared" si="49"/>
        <v>1.8166725374103048</v>
      </c>
      <c r="L24" s="114">
        <f t="shared" si="49"/>
        <v>1.0616571983675511</v>
      </c>
      <c r="M24" s="116">
        <f t="shared" si="49"/>
        <v>1.845363662789409</v>
      </c>
      <c r="N24" s="114">
        <f t="shared" si="49"/>
        <v>0.55900481015513548</v>
      </c>
      <c r="O24" s="115">
        <f t="shared" si="49"/>
        <v>0.10102427932258662</v>
      </c>
      <c r="P24" s="115">
        <f t="shared" si="49"/>
        <v>-0.16209004833642893</v>
      </c>
      <c r="Q24" s="115">
        <f t="shared" si="49"/>
        <v>-0.48772426963940374</v>
      </c>
      <c r="R24" s="116">
        <f t="shared" si="49"/>
        <v>-5.3806544710089943E-2</v>
      </c>
      <c r="S24" s="115">
        <f t="shared" si="49"/>
        <v>-0.63493551385410973</v>
      </c>
      <c r="T24" s="115">
        <f t="shared" si="49"/>
        <v>-0.72007848266841079</v>
      </c>
      <c r="U24" s="115">
        <f t="shared" si="49"/>
        <v>-0.78279486181393532</v>
      </c>
      <c r="V24" s="115">
        <f t="shared" si="49"/>
        <v>-0.77002115442731944</v>
      </c>
      <c r="W24" s="116">
        <f>W23/R23-1</f>
        <v>-0.71643861129530628</v>
      </c>
      <c r="X24" s="115">
        <f t="shared" ref="X24:AA24" si="50">X23/S23-1</f>
        <v>-0.66831887649731514</v>
      </c>
      <c r="Y24" s="114">
        <f t="shared" si="50"/>
        <v>-0.42873831775700932</v>
      </c>
      <c r="Z24" s="114">
        <f t="shared" si="50"/>
        <v>0.26433691756272393</v>
      </c>
      <c r="AA24" s="114">
        <f t="shared" si="50"/>
        <v>6.0972404730617606</v>
      </c>
      <c r="AB24" s="116">
        <f>AB23/W23-1</f>
        <v>0.43311148086522455</v>
      </c>
      <c r="AC24" s="115">
        <f t="shared" ref="AC24" si="51">AC23/X23-1</f>
        <v>18.083437110834371</v>
      </c>
      <c r="AD24" s="115">
        <f>AD23/Y23-1</f>
        <v>28.550102249488752</v>
      </c>
      <c r="AE24" s="115">
        <f>AE23/Z23-1</f>
        <v>22.458540042523033</v>
      </c>
      <c r="AF24" s="115">
        <f>AF23/AA23-1</f>
        <v>5.7530087020922052</v>
      </c>
      <c r="AG24" s="116">
        <f>AG23/AB23-1</f>
        <v>12.207709276674795</v>
      </c>
      <c r="AH24" s="115">
        <f t="shared" ref="AH24" si="52">AH23/AC23-1</f>
        <v>1.6000391542678152</v>
      </c>
      <c r="AI24" s="115">
        <f>AI23/AD23-1</f>
        <v>0.50529411764705889</v>
      </c>
      <c r="AJ24" s="115">
        <f>AJ23/AE23-1</f>
        <v>0.26084592145015106</v>
      </c>
      <c r="AK24" s="115">
        <f>AK23/AF23-1</f>
        <v>0.1613796507005183</v>
      </c>
      <c r="AL24" s="116">
        <f>AL23/AG23-1</f>
        <v>0.47188769141510933</v>
      </c>
      <c r="AM24" s="115">
        <f t="shared" ref="AM24" si="53">AM23/AH23-1</f>
        <v>2.9338842975206614E-2</v>
      </c>
      <c r="AN24" s="115">
        <f>AN23/AI23-1</f>
        <v>-9.7959183673469341E-2</v>
      </c>
      <c r="AO24" s="115">
        <f>AO23/AJ23-1</f>
        <v>-0.21173469387755106</v>
      </c>
      <c r="AP24" s="115">
        <f>AP23/AK23-1</f>
        <v>-0.2410526315789473</v>
      </c>
      <c r="AQ24" s="116">
        <f>AQ23/AL23-1</f>
        <v>-0.13222639278796522</v>
      </c>
      <c r="AW24" s="121">
        <v>2663708</v>
      </c>
    </row>
    <row r="25" spans="1:49" s="121" customFormat="1" ht="13.35" customHeight="1" thickBot="1" x14ac:dyDescent="0.25">
      <c r="A25" s="105"/>
      <c r="B25" s="124"/>
      <c r="C25" s="112" t="s">
        <v>76</v>
      </c>
      <c r="D25" s="114"/>
      <c r="E25" s="115">
        <f>E23/D23-1</f>
        <v>1.475880926702029</v>
      </c>
      <c r="F25" s="114">
        <f>F23/E23-1</f>
        <v>0.19278538065288586</v>
      </c>
      <c r="G25" s="114">
        <f>G23/F23-1</f>
        <v>0.43918339386100369</v>
      </c>
      <c r="H25" s="116"/>
      <c r="I25" s="114">
        <f>I23/G23-1</f>
        <v>0.35769186756772964</v>
      </c>
      <c r="J25" s="114">
        <f>J23/I23-1</f>
        <v>0.30584861535326868</v>
      </c>
      <c r="K25" s="114">
        <f>K23/J23-1</f>
        <v>0.10389094437324164</v>
      </c>
      <c r="L25" s="114">
        <f>L23/K23-1</f>
        <v>5.340708382543613E-2</v>
      </c>
      <c r="M25" s="116"/>
      <c r="N25" s="114">
        <f>N23/L23-1</f>
        <v>2.667318015943243E-2</v>
      </c>
      <c r="O25" s="115">
        <f>O23/N23-1</f>
        <v>-7.7763569901584284E-2</v>
      </c>
      <c r="P25" s="114">
        <f>P23/O23-1</f>
        <v>-0.15990843688685419</v>
      </c>
      <c r="Q25" s="114">
        <f>Q23/P23-1</f>
        <v>-0.35597508758271701</v>
      </c>
      <c r="R25" s="116"/>
      <c r="S25" s="115">
        <f>S23/Q23-1</f>
        <v>-0.26835902085222119</v>
      </c>
      <c r="T25" s="115">
        <f>T23/S23-1</f>
        <v>-0.29285419248244526</v>
      </c>
      <c r="U25" s="115">
        <f>U23/T23-1</f>
        <v>-0.34813084112149528</v>
      </c>
      <c r="V25" s="115">
        <f>V23/U23-1</f>
        <v>-0.31810035842293904</v>
      </c>
      <c r="W25" s="116"/>
      <c r="X25" s="115">
        <f>X23/V23-1</f>
        <v>5.5190538764783081E-2</v>
      </c>
      <c r="Y25" s="114">
        <f>Y23/X23-1</f>
        <v>0.2179327521793275</v>
      </c>
      <c r="Z25" s="114">
        <f>Z23/Y23-1</f>
        <v>0.44274028629856854</v>
      </c>
      <c r="AA25" s="114">
        <f>AA23/Z23-1</f>
        <v>2.8277817150956768</v>
      </c>
      <c r="AB25" s="116"/>
      <c r="AC25" s="115">
        <f>AC23/AA23-1</f>
        <v>1.8372523606739493</v>
      </c>
      <c r="AD25" s="114">
        <f>AD23/AC23-1</f>
        <v>0.88593056643174095</v>
      </c>
      <c r="AE25" s="114">
        <f>AE23/AD23-1</f>
        <v>0.1453287197231834</v>
      </c>
      <c r="AF25" s="114">
        <f>AF23/AE23-1</f>
        <v>0.10190332326283991</v>
      </c>
      <c r="AG25" s="116"/>
      <c r="AH25" s="115">
        <f>AH23/AF23-1</f>
        <v>9.2397115674608621E-2</v>
      </c>
      <c r="AI25" s="114">
        <f>AI23/AH23-1</f>
        <v>9.1860552669226658E-2</v>
      </c>
      <c r="AJ25" s="114">
        <f>AJ23/AI23-1</f>
        <v>-4.066386226237273E-2</v>
      </c>
      <c r="AK25" s="114">
        <f>AK23/AJ23-1</f>
        <v>1.4975799108640331E-2</v>
      </c>
      <c r="AL25" s="116"/>
      <c r="AM25" s="115">
        <f>AM23/AK23-1</f>
        <v>-3.1800856472977146E-2</v>
      </c>
      <c r="AN25" s="114">
        <f>AN23/AM23-1</f>
        <v>-4.3169515105717982E-2</v>
      </c>
      <c r="AO25" s="114">
        <f>AO23/AN23-1</f>
        <v>-0.16166610135484505</v>
      </c>
      <c r="AP25" s="114">
        <f>AP23/AO23-1</f>
        <v>-2.2774177981013999E-2</v>
      </c>
      <c r="AQ25" s="116"/>
      <c r="AW25" s="121">
        <f>AW19+AW23-AW24</f>
        <v>10970892</v>
      </c>
    </row>
    <row r="26" spans="1:49" s="133" customFormat="1" ht="13.5" thickBot="1" x14ac:dyDescent="0.25">
      <c r="A26" s="20"/>
      <c r="B26" s="129" t="s">
        <v>77</v>
      </c>
      <c r="C26" s="130"/>
      <c r="D26" s="131">
        <f>D20+D23</f>
        <v>13102.629500000001</v>
      </c>
      <c r="E26" s="131">
        <f>E20+E23</f>
        <v>15163.11787</v>
      </c>
      <c r="F26" s="131">
        <f>F20+F23</f>
        <v>17097.704650000003</v>
      </c>
      <c r="G26" s="131">
        <f>G20+G23</f>
        <v>19500.674009999999</v>
      </c>
      <c r="H26" s="132">
        <f>H20+H23</f>
        <v>64864.126030000007</v>
      </c>
      <c r="I26" s="131">
        <f t="shared" ref="I26:X26" si="54">I20+I23</f>
        <v>22424.129579999997</v>
      </c>
      <c r="J26" s="131">
        <f t="shared" si="54"/>
        <v>25998.650150000001</v>
      </c>
      <c r="K26" s="131">
        <f t="shared" si="54"/>
        <v>28243.685389999999</v>
      </c>
      <c r="L26" s="131">
        <f t="shared" si="54"/>
        <v>31684.327560000002</v>
      </c>
      <c r="M26" s="132">
        <f t="shared" si="54"/>
        <v>108350.79268000001</v>
      </c>
      <c r="N26" s="131">
        <f t="shared" si="54"/>
        <v>35179.479620000006</v>
      </c>
      <c r="O26" s="131">
        <f t="shared" si="54"/>
        <v>39080</v>
      </c>
      <c r="P26" s="131">
        <f t="shared" si="54"/>
        <v>41230</v>
      </c>
      <c r="Q26" s="131">
        <f t="shared" si="54"/>
        <v>42110</v>
      </c>
      <c r="R26" s="132">
        <f t="shared" si="54"/>
        <v>157599.47962</v>
      </c>
      <c r="S26" s="131">
        <f t="shared" si="54"/>
        <v>46209</v>
      </c>
      <c r="T26" s="131">
        <f t="shared" si="54"/>
        <v>54045</v>
      </c>
      <c r="U26" s="131">
        <f t="shared" si="54"/>
        <v>59738</v>
      </c>
      <c r="V26" s="131">
        <f t="shared" si="54"/>
        <v>78273</v>
      </c>
      <c r="W26" s="132">
        <f t="shared" si="54"/>
        <v>238265</v>
      </c>
      <c r="X26" s="131">
        <f t="shared" si="54"/>
        <v>118349</v>
      </c>
      <c r="Y26" s="131">
        <v>156478</v>
      </c>
      <c r="Z26" s="131">
        <v>166911</v>
      </c>
      <c r="AA26" s="131">
        <v>200221</v>
      </c>
      <c r="AB26" s="132">
        <f>SUM(X26:AA26)</f>
        <v>641959</v>
      </c>
      <c r="AC26" s="131">
        <f>AC20+AC23</f>
        <v>229924</v>
      </c>
      <c r="AD26" s="131">
        <v>260006</v>
      </c>
      <c r="AE26" s="131">
        <v>272555</v>
      </c>
      <c r="AF26" s="131">
        <v>295983</v>
      </c>
      <c r="AG26" s="132">
        <f>SUM(AC26:AF26)</f>
        <v>1058468</v>
      </c>
      <c r="AH26" s="131">
        <f t="shared" ref="AH26:AK26" si="55">AH20+AH23</f>
        <v>304985</v>
      </c>
      <c r="AI26" s="131">
        <f>AI20+AI23</f>
        <v>318495</v>
      </c>
      <c r="AJ26" s="131">
        <f t="shared" si="55"/>
        <v>323028</v>
      </c>
      <c r="AK26" s="131">
        <f t="shared" si="55"/>
        <v>343665</v>
      </c>
      <c r="AL26" s="132">
        <f>SUM(AH26:AK26)</f>
        <v>1290173</v>
      </c>
      <c r="AM26" s="131">
        <f t="shared" ref="AM26:AO26" si="56">AM20+AM23</f>
        <v>348467.16178290831</v>
      </c>
      <c r="AN26" s="131">
        <f t="shared" si="56"/>
        <v>356874.45919179637</v>
      </c>
      <c r="AO26" s="131">
        <f t="shared" si="56"/>
        <v>354728.13347192114</v>
      </c>
      <c r="AP26" s="131">
        <f>AP20+AP23</f>
        <v>373617.61927092791</v>
      </c>
      <c r="AQ26" s="132">
        <f>SUM(AM26:AP26)</f>
        <v>1433687.3737175537</v>
      </c>
      <c r="AW26" s="133">
        <f>AW25/AL26</f>
        <v>8.5034270597819059</v>
      </c>
    </row>
    <row r="27" spans="1:49" s="125" customFormat="1" ht="13.35" customHeight="1" x14ac:dyDescent="0.2">
      <c r="A27" s="123"/>
      <c r="B27" s="134"/>
      <c r="C27" s="135" t="s">
        <v>29</v>
      </c>
      <c r="D27" s="114"/>
      <c r="E27" s="115"/>
      <c r="F27" s="114"/>
      <c r="G27" s="114"/>
      <c r="H27" s="136"/>
      <c r="I27" s="114">
        <f t="shared" ref="I27:AQ27" si="57">I26/D26-1</f>
        <v>0.71142209126801581</v>
      </c>
      <c r="J27" s="114">
        <f t="shared" si="57"/>
        <v>0.71459790610992591</v>
      </c>
      <c r="K27" s="114">
        <f t="shared" si="57"/>
        <v>0.65189924426493073</v>
      </c>
      <c r="L27" s="114">
        <f t="shared" si="57"/>
        <v>0.62478115083366825</v>
      </c>
      <c r="M27" s="136">
        <f t="shared" si="57"/>
        <v>0.67042708060056477</v>
      </c>
      <c r="N27" s="114">
        <f t="shared" si="57"/>
        <v>0.56882252639926145</v>
      </c>
      <c r="O27" s="115">
        <f t="shared" si="57"/>
        <v>0.50315496283563776</v>
      </c>
      <c r="P27" s="114">
        <f t="shared" si="57"/>
        <v>0.45979532878517171</v>
      </c>
      <c r="Q27" s="114">
        <f t="shared" si="57"/>
        <v>0.32904824696869772</v>
      </c>
      <c r="R27" s="136">
        <f t="shared" si="57"/>
        <v>0.45453001055054187</v>
      </c>
      <c r="S27" s="115">
        <f t="shared" si="57"/>
        <v>0.31352141928016364</v>
      </c>
      <c r="T27" s="115">
        <f t="shared" si="57"/>
        <v>0.38293244626407374</v>
      </c>
      <c r="U27" s="115">
        <f t="shared" si="57"/>
        <v>0.44889643463497464</v>
      </c>
      <c r="V27" s="115">
        <f t="shared" si="57"/>
        <v>0.85877463785324148</v>
      </c>
      <c r="W27" s="136">
        <f t="shared" si="57"/>
        <v>0.51183874829091258</v>
      </c>
      <c r="X27" s="115">
        <f t="shared" si="57"/>
        <v>1.5611677378865587</v>
      </c>
      <c r="Y27" s="114">
        <f t="shared" si="57"/>
        <v>1.8953279674345453</v>
      </c>
      <c r="Z27" s="114">
        <f t="shared" si="57"/>
        <v>1.7940506880042855</v>
      </c>
      <c r="AA27" s="114">
        <f t="shared" si="57"/>
        <v>1.5579829570860961</v>
      </c>
      <c r="AB27" s="136">
        <f t="shared" si="57"/>
        <v>1.6943067592806331</v>
      </c>
      <c r="AC27" s="115">
        <f t="shared" si="57"/>
        <v>0.94276250749900714</v>
      </c>
      <c r="AD27" s="114">
        <f t="shared" si="57"/>
        <v>0.66161377318217252</v>
      </c>
      <c r="AE27" s="114">
        <f t="shared" si="57"/>
        <v>0.63293611565445063</v>
      </c>
      <c r="AF27" s="114">
        <f t="shared" si="57"/>
        <v>0.47828149894366723</v>
      </c>
      <c r="AG27" s="136">
        <f t="shared" si="57"/>
        <v>0.64880934763746589</v>
      </c>
      <c r="AH27" s="115">
        <f t="shared" si="57"/>
        <v>0.32646004766792514</v>
      </c>
      <c r="AI27" s="114">
        <f t="shared" si="57"/>
        <v>0.22495250109612863</v>
      </c>
      <c r="AJ27" s="114">
        <f t="shared" si="57"/>
        <v>0.18518464163196424</v>
      </c>
      <c r="AK27" s="114">
        <f t="shared" si="57"/>
        <v>0.16109709003557637</v>
      </c>
      <c r="AL27" s="136">
        <f t="shared" si="57"/>
        <v>0.2189060037714885</v>
      </c>
      <c r="AM27" s="115">
        <f t="shared" si="57"/>
        <v>0.14257147657395719</v>
      </c>
      <c r="AN27" s="114">
        <f t="shared" si="57"/>
        <v>0.12050254852288544</v>
      </c>
      <c r="AO27" s="114">
        <f t="shared" si="57"/>
        <v>9.8134321086472909E-2</v>
      </c>
      <c r="AP27" s="114">
        <f t="shared" si="57"/>
        <v>8.7156443836084341E-2</v>
      </c>
      <c r="AQ27" s="136">
        <f t="shared" si="57"/>
        <v>0.11123653472639217</v>
      </c>
    </row>
    <row r="28" spans="1:49" s="125" customFormat="1" ht="13.35" customHeight="1" x14ac:dyDescent="0.2">
      <c r="A28" s="123"/>
      <c r="B28" s="137"/>
      <c r="C28" s="112" t="s">
        <v>76</v>
      </c>
      <c r="D28" s="114"/>
      <c r="E28" s="115">
        <f>E26/D26-1</f>
        <v>0.15725762298323387</v>
      </c>
      <c r="F28" s="114">
        <f>F26/E26-1</f>
        <v>0.12758502549317741</v>
      </c>
      <c r="G28" s="114">
        <f>G26/F26-1</f>
        <v>0.14054338925546905</v>
      </c>
      <c r="H28" s="116"/>
      <c r="I28" s="114">
        <f>I26/G26-1</f>
        <v>0.14991561668590747</v>
      </c>
      <c r="J28" s="114">
        <f>J26/I26-1</f>
        <v>0.15940509785441592</v>
      </c>
      <c r="K28" s="114">
        <f>K26/J26-1</f>
        <v>8.635199239372815E-2</v>
      </c>
      <c r="L28" s="114">
        <f>L26/K26-1</f>
        <v>0.12181987309695086</v>
      </c>
      <c r="M28" s="116"/>
      <c r="N28" s="114">
        <f>N26/L26-1</f>
        <v>0.1103117007416774</v>
      </c>
      <c r="O28" s="115">
        <f>O26/N26-1</f>
        <v>0.11087487427706288</v>
      </c>
      <c r="P28" s="114">
        <f>P26/O26-1</f>
        <v>5.5015353121801391E-2</v>
      </c>
      <c r="Q28" s="114">
        <f>Q26/P26-1</f>
        <v>2.1343681785108037E-2</v>
      </c>
      <c r="R28" s="116"/>
      <c r="S28" s="115">
        <f>S26/Q26-1</f>
        <v>9.7340299216338133E-2</v>
      </c>
      <c r="T28" s="115">
        <f>T26/S26-1</f>
        <v>0.16957735506070248</v>
      </c>
      <c r="U28" s="115">
        <f>U26/T26-1</f>
        <v>0.10533814413914322</v>
      </c>
      <c r="V28" s="115">
        <f>V26/U26-1</f>
        <v>0.31027151896615224</v>
      </c>
      <c r="W28" s="116"/>
      <c r="X28" s="115">
        <f>X26/V26-1</f>
        <v>0.51200286177864651</v>
      </c>
      <c r="Y28" s="114">
        <f>Y26/X26-1</f>
        <v>0.32217424735316724</v>
      </c>
      <c r="Z28" s="114">
        <f>Z26/Y26-1</f>
        <v>6.6673909431357758E-2</v>
      </c>
      <c r="AA28" s="114">
        <f>AA26/Z26-1</f>
        <v>0.19956743414154854</v>
      </c>
      <c r="AB28" s="116"/>
      <c r="AC28" s="115">
        <f>AC26/AA26-1</f>
        <v>0.1483510720653678</v>
      </c>
      <c r="AD28" s="114">
        <f>AD26/AC26-1</f>
        <v>0.13083453662949496</v>
      </c>
      <c r="AE28" s="114">
        <f>AE26/AD26-1</f>
        <v>4.826427082451934E-2</v>
      </c>
      <c r="AF28" s="114">
        <f>AF26/AE26-1</f>
        <v>8.5956962814844662E-2</v>
      </c>
      <c r="AG28" s="116"/>
      <c r="AH28" s="115">
        <f>AH26/AF26-1</f>
        <v>3.0413908906930409E-2</v>
      </c>
      <c r="AI28" s="114">
        <f>AI26/AH26-1</f>
        <v>4.4297260521009241E-2</v>
      </c>
      <c r="AJ28" s="114">
        <f>AJ26/AI26-1</f>
        <v>1.4232562520604786E-2</v>
      </c>
      <c r="AK28" s="114">
        <f>AK26/AJ26-1</f>
        <v>6.3886102752702456E-2</v>
      </c>
      <c r="AL28" s="116"/>
      <c r="AM28" s="115">
        <f>AM26/AK26-1</f>
        <v>1.3973380422528603E-2</v>
      </c>
      <c r="AN28" s="114">
        <f>AN26/AM26-1</f>
        <v>2.4126512713199988E-2</v>
      </c>
      <c r="AO28" s="114">
        <f>AO26/AN26-1</f>
        <v>-6.0142317966266345E-3</v>
      </c>
      <c r="AP28" s="114">
        <f>AP26/AO26-1</f>
        <v>5.3250599590522807E-2</v>
      </c>
      <c r="AQ28" s="116"/>
    </row>
    <row r="29" spans="1:49" x14ac:dyDescent="0.2">
      <c r="A29" s="28"/>
      <c r="B29" s="138"/>
      <c r="C29" s="126"/>
      <c r="D29" s="139"/>
      <c r="E29" s="140"/>
      <c r="F29" s="139"/>
      <c r="G29" s="139"/>
      <c r="H29" s="141"/>
      <c r="I29" s="139"/>
      <c r="J29" s="139"/>
      <c r="K29" s="139"/>
      <c r="L29" s="139"/>
      <c r="M29" s="141"/>
      <c r="N29" s="139"/>
      <c r="O29" s="140"/>
      <c r="P29" s="139"/>
      <c r="Q29" s="139"/>
      <c r="R29" s="141"/>
      <c r="S29" s="142"/>
      <c r="T29" s="142"/>
      <c r="U29" s="142"/>
      <c r="V29" s="142"/>
      <c r="W29" s="143"/>
      <c r="X29" s="140"/>
      <c r="Y29" s="139"/>
      <c r="Z29" s="139"/>
      <c r="AA29" s="139"/>
      <c r="AB29" s="141"/>
      <c r="AC29" s="140"/>
      <c r="AD29" s="139"/>
      <c r="AE29" s="139"/>
      <c r="AF29" s="139"/>
      <c r="AG29" s="141"/>
      <c r="AH29" s="140"/>
      <c r="AI29" s="140"/>
      <c r="AJ29" s="140"/>
      <c r="AK29" s="139"/>
      <c r="AL29" s="141"/>
      <c r="AM29" s="140"/>
      <c r="AN29" s="140"/>
      <c r="AO29" s="140"/>
      <c r="AQ29" s="141"/>
    </row>
    <row r="30" spans="1:49" ht="13.5" thickBot="1" x14ac:dyDescent="0.25">
      <c r="A30" s="28"/>
      <c r="B30" s="144" t="s">
        <v>78</v>
      </c>
      <c r="C30" s="145"/>
      <c r="D30" s="146">
        <v>3903.0363900000002</v>
      </c>
      <c r="E30" s="142">
        <v>4027.94578</v>
      </c>
      <c r="F30" s="146">
        <v>4565.1249899999993</v>
      </c>
      <c r="G30" s="146">
        <v>4973.47552</v>
      </c>
      <c r="H30" s="143">
        <f>SUM(D30:G30)</f>
        <v>17469.58268</v>
      </c>
      <c r="I30" s="146">
        <v>5577</v>
      </c>
      <c r="J30" s="146">
        <v>6289</v>
      </c>
      <c r="K30" s="146">
        <v>6770.5639899999996</v>
      </c>
      <c r="L30" s="146">
        <v>7560</v>
      </c>
      <c r="M30" s="143">
        <f>SUM(I30:L30)</f>
        <v>26196.563989999999</v>
      </c>
      <c r="N30" s="146">
        <v>8010.416940000001</v>
      </c>
      <c r="O30" s="147">
        <f>9787-211-982</f>
        <v>8594</v>
      </c>
      <c r="P30" s="148">
        <f>10110-422-956</f>
        <v>8732</v>
      </c>
      <c r="Q30" s="148">
        <f>10100-476-608</f>
        <v>9016</v>
      </c>
      <c r="R30" s="143">
        <f>SUM(N30:Q30)</f>
        <v>34352.416940000003</v>
      </c>
      <c r="S30" s="147">
        <f>10605+400</f>
        <v>11005</v>
      </c>
      <c r="T30" s="147">
        <f>12246+400</f>
        <v>12646</v>
      </c>
      <c r="U30" s="147">
        <f>15434-728-119-800</f>
        <v>13787</v>
      </c>
      <c r="V30" s="147">
        <f>20293-967-2653-108-709</f>
        <v>15856</v>
      </c>
      <c r="W30" s="143">
        <f>SUM(S30:V30)</f>
        <v>53294</v>
      </c>
      <c r="X30" s="147">
        <f>29835-1127-8401-163-721</f>
        <v>19423</v>
      </c>
      <c r="Y30" s="148">
        <f>34386-9285-1285-89-763</f>
        <v>22964</v>
      </c>
      <c r="Z30" s="148">
        <f>37342-1401-9285-881</f>
        <v>25775</v>
      </c>
      <c r="AA30" s="148">
        <f>43441-10172-1534</f>
        <v>31735</v>
      </c>
      <c r="AB30" s="143">
        <f>SUM(X30:AA30)</f>
        <v>99897</v>
      </c>
      <c r="AC30" s="147">
        <f>34820-2066</f>
        <v>32754</v>
      </c>
      <c r="AD30" s="147">
        <f>47467-10502-2353</f>
        <v>34612</v>
      </c>
      <c r="AE30" s="148">
        <f>37897-2514</f>
        <v>35383</v>
      </c>
      <c r="AF30" s="148">
        <f>52552-11225-2495</f>
        <v>38832</v>
      </c>
      <c r="AG30" s="143">
        <f>SUM(AC30:AF30)</f>
        <v>141581</v>
      </c>
      <c r="AH30" s="148">
        <f>44904-2628</f>
        <v>42276</v>
      </c>
      <c r="AI30" s="148">
        <f>47239-2446</f>
        <v>44793</v>
      </c>
      <c r="AJ30" s="148">
        <f>43845-2277</f>
        <v>41568</v>
      </c>
      <c r="AK30" s="148">
        <f>53905+11295-11295-2243</f>
        <v>51662</v>
      </c>
      <c r="AL30" s="143">
        <f>SUM(AH30:AK30)</f>
        <v>180299</v>
      </c>
      <c r="AM30" s="148">
        <f t="shared" ref="AM30:AP30" si="58">AM26*(1-AM32)</f>
        <v>48785.402649607167</v>
      </c>
      <c r="AN30" s="148">
        <f t="shared" si="58"/>
        <v>53531.168878769466</v>
      </c>
      <c r="AO30" s="148">
        <f t="shared" si="58"/>
        <v>56756.501355507397</v>
      </c>
      <c r="AP30" s="148">
        <f t="shared" si="58"/>
        <v>63514.995276057758</v>
      </c>
      <c r="AQ30" s="143">
        <f>SUM(AM30:AP30)</f>
        <v>222588.06815994176</v>
      </c>
      <c r="AR30" s="101"/>
      <c r="AS30" s="101"/>
      <c r="AT30" s="101"/>
      <c r="AU30" s="101"/>
    </row>
    <row r="31" spans="1:49" ht="13.5" thickBot="1" x14ac:dyDescent="0.25">
      <c r="A31" s="20"/>
      <c r="B31" s="149" t="s">
        <v>79</v>
      </c>
      <c r="C31" s="150"/>
      <c r="D31" s="151">
        <f t="shared" ref="D31:AQ31" si="59">D26-D30</f>
        <v>9199.5931100000016</v>
      </c>
      <c r="E31" s="151">
        <f t="shared" si="59"/>
        <v>11135.17209</v>
      </c>
      <c r="F31" s="151">
        <f t="shared" si="59"/>
        <v>12532.579660000003</v>
      </c>
      <c r="G31" s="151">
        <f t="shared" si="59"/>
        <v>14527.198489999999</v>
      </c>
      <c r="H31" s="152">
        <f t="shared" si="59"/>
        <v>47394.543350000007</v>
      </c>
      <c r="I31" s="151">
        <f t="shared" si="59"/>
        <v>16847.129579999997</v>
      </c>
      <c r="J31" s="151">
        <f t="shared" si="59"/>
        <v>19709.650150000001</v>
      </c>
      <c r="K31" s="151">
        <f t="shared" si="59"/>
        <v>21473.1214</v>
      </c>
      <c r="L31" s="151">
        <f t="shared" si="59"/>
        <v>24124.327560000002</v>
      </c>
      <c r="M31" s="152">
        <f t="shared" si="59"/>
        <v>82154.228690000018</v>
      </c>
      <c r="N31" s="151">
        <f t="shared" si="59"/>
        <v>27169.062680000003</v>
      </c>
      <c r="O31" s="153">
        <f t="shared" si="59"/>
        <v>30486</v>
      </c>
      <c r="P31" s="151">
        <f t="shared" si="59"/>
        <v>32498</v>
      </c>
      <c r="Q31" s="151">
        <f t="shared" si="59"/>
        <v>33094</v>
      </c>
      <c r="R31" s="152">
        <f t="shared" si="59"/>
        <v>123247.06268</v>
      </c>
      <c r="S31" s="153">
        <f t="shared" si="59"/>
        <v>35204</v>
      </c>
      <c r="T31" s="153">
        <f t="shared" si="59"/>
        <v>41399</v>
      </c>
      <c r="U31" s="153">
        <f t="shared" si="59"/>
        <v>45951</v>
      </c>
      <c r="V31" s="153">
        <f t="shared" si="59"/>
        <v>62417</v>
      </c>
      <c r="W31" s="152">
        <f t="shared" si="59"/>
        <v>184971</v>
      </c>
      <c r="X31" s="153">
        <f t="shared" si="59"/>
        <v>98926</v>
      </c>
      <c r="Y31" s="151">
        <f t="shared" si="59"/>
        <v>133514</v>
      </c>
      <c r="Z31" s="151">
        <f t="shared" si="59"/>
        <v>141136</v>
      </c>
      <c r="AA31" s="151">
        <f t="shared" si="59"/>
        <v>168486</v>
      </c>
      <c r="AB31" s="152">
        <f t="shared" si="59"/>
        <v>542062</v>
      </c>
      <c r="AC31" s="153">
        <f t="shared" si="59"/>
        <v>197170</v>
      </c>
      <c r="AD31" s="153">
        <f t="shared" si="59"/>
        <v>225394</v>
      </c>
      <c r="AE31" s="151">
        <f t="shared" si="59"/>
        <v>237172</v>
      </c>
      <c r="AF31" s="151">
        <f t="shared" si="59"/>
        <v>257151</v>
      </c>
      <c r="AG31" s="152">
        <f t="shared" si="59"/>
        <v>916887</v>
      </c>
      <c r="AH31" s="151">
        <f t="shared" si="59"/>
        <v>262709</v>
      </c>
      <c r="AI31" s="151">
        <f>AI26-AI30</f>
        <v>273702</v>
      </c>
      <c r="AJ31" s="151">
        <f t="shared" si="59"/>
        <v>281460</v>
      </c>
      <c r="AK31" s="151">
        <f t="shared" si="59"/>
        <v>292003</v>
      </c>
      <c r="AL31" s="152">
        <f t="shared" si="59"/>
        <v>1109874</v>
      </c>
      <c r="AM31" s="151">
        <f t="shared" si="59"/>
        <v>299681.75913330115</v>
      </c>
      <c r="AN31" s="151">
        <f t="shared" si="59"/>
        <v>303343.29031302693</v>
      </c>
      <c r="AO31" s="151">
        <f t="shared" si="59"/>
        <v>297971.63211641373</v>
      </c>
      <c r="AP31" s="151">
        <f t="shared" si="59"/>
        <v>310102.62399487017</v>
      </c>
      <c r="AQ31" s="152">
        <f t="shared" si="59"/>
        <v>1211099.3055576119</v>
      </c>
      <c r="AR31" s="121"/>
      <c r="AS31" s="121">
        <v>273702</v>
      </c>
      <c r="AT31" s="121"/>
      <c r="AU31" s="121"/>
    </row>
    <row r="32" spans="1:49" s="118" customFormat="1" ht="13.35" customHeight="1" x14ac:dyDescent="0.2">
      <c r="A32" s="115"/>
      <c r="B32" s="154"/>
      <c r="C32" s="155" t="s">
        <v>80</v>
      </c>
      <c r="D32" s="114">
        <f t="shared" ref="D32:AK32" si="60">D31/D26</f>
        <v>0.70211808324428326</v>
      </c>
      <c r="E32" s="115">
        <f t="shared" si="60"/>
        <v>0.7343590009301959</v>
      </c>
      <c r="F32" s="114">
        <f t="shared" si="60"/>
        <v>0.73299778634320956</v>
      </c>
      <c r="G32" s="114">
        <f t="shared" si="60"/>
        <v>0.74495878873470789</v>
      </c>
      <c r="H32" s="136">
        <f t="shared" si="60"/>
        <v>0.7306741992959217</v>
      </c>
      <c r="I32" s="114">
        <f t="shared" si="60"/>
        <v>0.75129469440035224</v>
      </c>
      <c r="J32" s="114">
        <f t="shared" si="60"/>
        <v>0.75810282596537037</v>
      </c>
      <c r="K32" s="114">
        <f t="shared" si="60"/>
        <v>0.76028043449325511</v>
      </c>
      <c r="L32" s="114">
        <f t="shared" si="60"/>
        <v>0.76139623018087499</v>
      </c>
      <c r="M32" s="136">
        <f t="shared" si="60"/>
        <v>0.75822452847790289</v>
      </c>
      <c r="N32" s="114">
        <f t="shared" si="60"/>
        <v>0.7722985949045712</v>
      </c>
      <c r="O32" s="115">
        <f t="shared" si="60"/>
        <v>0.78009211873080864</v>
      </c>
      <c r="P32" s="115">
        <f t="shared" si="60"/>
        <v>0.78821246665049716</v>
      </c>
      <c r="Q32" s="156">
        <f t="shared" si="60"/>
        <v>0.785894086915222</v>
      </c>
      <c r="R32" s="136">
        <f t="shared" si="60"/>
        <v>0.78202709156889538</v>
      </c>
      <c r="S32" s="157">
        <f t="shared" si="60"/>
        <v>0.76184293103075162</v>
      </c>
      <c r="T32" s="157">
        <f t="shared" si="60"/>
        <v>0.76600980664261265</v>
      </c>
      <c r="U32" s="157">
        <f t="shared" si="60"/>
        <v>0.76920887877063171</v>
      </c>
      <c r="V32" s="157">
        <f t="shared" si="60"/>
        <v>0.79742695437762701</v>
      </c>
      <c r="W32" s="136">
        <f>W31/W26</f>
        <v>0.77632468050280146</v>
      </c>
      <c r="X32" s="157">
        <f t="shared" si="60"/>
        <v>0.83588369990451972</v>
      </c>
      <c r="Y32" s="157">
        <f t="shared" si="60"/>
        <v>0.8532445455591201</v>
      </c>
      <c r="Z32" s="157">
        <f t="shared" si="60"/>
        <v>0.84557638501956134</v>
      </c>
      <c r="AA32" s="157">
        <f t="shared" si="60"/>
        <v>0.84150014234271131</v>
      </c>
      <c r="AB32" s="136">
        <f>AB31/AB26</f>
        <v>0.84438725837631379</v>
      </c>
      <c r="AC32" s="157">
        <f t="shared" si="60"/>
        <v>0.85754423200709795</v>
      </c>
      <c r="AD32" s="157">
        <f t="shared" si="60"/>
        <v>0.86687999507703672</v>
      </c>
      <c r="AE32" s="157">
        <f t="shared" si="60"/>
        <v>0.87018033057548017</v>
      </c>
      <c r="AF32" s="157">
        <f t="shared" si="60"/>
        <v>0.86880327586381645</v>
      </c>
      <c r="AG32" s="136">
        <f>AG31/AG26</f>
        <v>0.86623969737394046</v>
      </c>
      <c r="AH32" s="157">
        <f t="shared" si="60"/>
        <v>0.86138334672196992</v>
      </c>
      <c r="AI32" s="157">
        <f t="shared" si="60"/>
        <v>0.85936042952008662</v>
      </c>
      <c r="AJ32" s="157">
        <f t="shared" si="60"/>
        <v>0.87131765667372485</v>
      </c>
      <c r="AK32" s="157">
        <f t="shared" si="60"/>
        <v>0.8496733737796982</v>
      </c>
      <c r="AL32" s="136">
        <f>AL31/AL26</f>
        <v>0.86025207472176213</v>
      </c>
      <c r="AM32" s="158">
        <v>0.86</v>
      </c>
      <c r="AN32" s="158">
        <v>0.85</v>
      </c>
      <c r="AO32" s="158">
        <v>0.84</v>
      </c>
      <c r="AP32" s="158">
        <v>0.83</v>
      </c>
      <c r="AQ32" s="136">
        <f>AQ31/AQ26</f>
        <v>0.84474434786799402</v>
      </c>
      <c r="AR32" s="635"/>
      <c r="AS32" s="635">
        <f>AS31-AI31</f>
        <v>0</v>
      </c>
    </row>
    <row r="33" spans="1:48" x14ac:dyDescent="0.2">
      <c r="A33" s="28"/>
      <c r="B33" s="138"/>
      <c r="C33" s="126"/>
      <c r="D33" s="139"/>
      <c r="E33" s="140"/>
      <c r="F33" s="139"/>
      <c r="G33" s="139"/>
      <c r="H33" s="141"/>
      <c r="I33" s="139"/>
      <c r="J33" s="139"/>
      <c r="K33" s="139"/>
      <c r="L33" s="139"/>
      <c r="M33" s="141"/>
      <c r="N33" s="139"/>
      <c r="O33" s="140"/>
      <c r="P33" s="139"/>
      <c r="Q33" s="139"/>
      <c r="R33" s="141"/>
      <c r="S33" s="140"/>
      <c r="T33" s="140"/>
      <c r="U33" s="140"/>
      <c r="V33" s="140"/>
      <c r="W33" s="141"/>
      <c r="X33" s="140"/>
      <c r="Y33" s="139"/>
      <c r="Z33" s="139"/>
      <c r="AA33" s="139"/>
      <c r="AB33" s="141"/>
      <c r="AC33" s="140"/>
      <c r="AD33" s="139"/>
      <c r="AE33" s="139"/>
      <c r="AF33" s="139"/>
      <c r="AG33" s="141"/>
      <c r="AH33" s="140"/>
      <c r="AI33" s="140"/>
      <c r="AJ33" s="140"/>
      <c r="AK33" s="139"/>
      <c r="AL33" s="141"/>
      <c r="AM33" s="140"/>
      <c r="AN33" s="140"/>
      <c r="AO33" s="140"/>
      <c r="AQ33" s="141"/>
      <c r="AR33" s="121"/>
      <c r="AS33" s="121"/>
    </row>
    <row r="34" spans="1:48" x14ac:dyDescent="0.2">
      <c r="A34" s="28"/>
      <c r="B34" s="159" t="s">
        <v>81</v>
      </c>
      <c r="C34" s="126"/>
      <c r="D34" s="146"/>
      <c r="E34" s="142"/>
      <c r="F34" s="146"/>
      <c r="G34" s="146"/>
      <c r="H34" s="143"/>
      <c r="I34" s="146"/>
      <c r="J34" s="146"/>
      <c r="K34" s="146"/>
      <c r="L34" s="146"/>
      <c r="M34" s="143"/>
      <c r="N34" s="146"/>
      <c r="O34" s="142"/>
      <c r="P34" s="146"/>
      <c r="Q34" s="146"/>
      <c r="R34" s="143"/>
      <c r="S34" s="142"/>
      <c r="T34" s="142"/>
      <c r="U34" s="142"/>
      <c r="V34" s="142"/>
      <c r="W34" s="143"/>
      <c r="X34" s="142"/>
      <c r="Y34" s="146"/>
      <c r="Z34" s="146"/>
      <c r="AA34" s="146"/>
      <c r="AB34" s="143"/>
      <c r="AC34" s="142"/>
      <c r="AD34" s="146"/>
      <c r="AE34" s="146"/>
      <c r="AF34" s="146"/>
      <c r="AG34" s="143"/>
      <c r="AH34" s="142"/>
      <c r="AI34" s="142"/>
      <c r="AJ34" s="142"/>
      <c r="AK34" s="146"/>
      <c r="AL34" s="143"/>
      <c r="AM34" s="142"/>
      <c r="AN34" s="142"/>
      <c r="AO34" s="142"/>
      <c r="AQ34" s="143"/>
      <c r="AR34" s="121"/>
      <c r="AS34" s="121"/>
    </row>
    <row r="35" spans="1:48" x14ac:dyDescent="0.2">
      <c r="A35" s="105"/>
      <c r="B35" s="119"/>
      <c r="C35" s="126" t="s">
        <v>82</v>
      </c>
      <c r="D35" s="108">
        <v>4598.3354500000014</v>
      </c>
      <c r="E35" s="109">
        <v>4806.1978500000014</v>
      </c>
      <c r="F35" s="108">
        <v>5245.8858499999997</v>
      </c>
      <c r="G35" s="108">
        <v>5549.860529999999</v>
      </c>
      <c r="H35" s="110">
        <f>SUM(D35:G35)</f>
        <v>20200.27968</v>
      </c>
      <c r="I35" s="108">
        <v>6159.1792300000006</v>
      </c>
      <c r="J35" s="108">
        <v>6542</v>
      </c>
      <c r="K35" s="108">
        <v>8050</v>
      </c>
      <c r="L35" s="108">
        <v>9102</v>
      </c>
      <c r="M35" s="110">
        <f>SUM(I35:L35)</f>
        <v>29853.179230000002</v>
      </c>
      <c r="N35" s="108">
        <v>10942.97143</v>
      </c>
      <c r="O35" s="109">
        <f>12992-1084+74</f>
        <v>11982</v>
      </c>
      <c r="P35" s="108">
        <f>13969-1466+280</f>
        <v>12783</v>
      </c>
      <c r="Q35" s="108">
        <f>14929-2274+67</f>
        <v>12722</v>
      </c>
      <c r="R35" s="110">
        <f>SUM(N35:Q35)</f>
        <v>48429.971429999998</v>
      </c>
      <c r="S35" s="109">
        <f>15484-700</f>
        <v>14784</v>
      </c>
      <c r="T35" s="109">
        <f>17848-500</f>
        <v>17348</v>
      </c>
      <c r="U35" s="109">
        <v>18031</v>
      </c>
      <c r="V35" s="109">
        <v>22792</v>
      </c>
      <c r="W35" s="110">
        <f>SUM(S35:V35)</f>
        <v>72955</v>
      </c>
      <c r="X35" s="109">
        <f>42472-10560-582-588</f>
        <v>30742</v>
      </c>
      <c r="Y35" s="108">
        <f>51954-14280-659-577</f>
        <v>36438</v>
      </c>
      <c r="Z35" s="108">
        <f>60230-14998-581</f>
        <v>44651</v>
      </c>
      <c r="AA35" s="108">
        <f>66908-16681</f>
        <v>50227</v>
      </c>
      <c r="AB35" s="110">
        <f>SUM(X35:AA35)</f>
        <v>162058</v>
      </c>
      <c r="AC35" s="109">
        <v>53764</v>
      </c>
      <c r="AD35" s="109">
        <f>78910-27310</f>
        <v>51600</v>
      </c>
      <c r="AE35" s="109">
        <f>78761-23274</f>
        <v>55487</v>
      </c>
      <c r="AF35" s="109">
        <f>81841-23935</f>
        <v>57906</v>
      </c>
      <c r="AG35" s="110">
        <f>SUM(AC35:AF35)</f>
        <v>218757</v>
      </c>
      <c r="AH35" s="109">
        <f>89065-27887</f>
        <v>61178</v>
      </c>
      <c r="AI35" s="109">
        <f>86489-26550</f>
        <v>59939</v>
      </c>
      <c r="AJ35" s="108">
        <v>55532</v>
      </c>
      <c r="AK35" s="109">
        <v>54348</v>
      </c>
      <c r="AL35" s="110">
        <f>SUM(AH35:AK35)</f>
        <v>230997</v>
      </c>
      <c r="AM35" s="108">
        <f t="shared" ref="AM35:AP35" si="61">AM26*AM36</f>
        <v>59239.417503094417</v>
      </c>
      <c r="AN35" s="108">
        <f t="shared" si="61"/>
        <v>64237.402654523343</v>
      </c>
      <c r="AO35" s="108">
        <f t="shared" si="61"/>
        <v>69171.986027024628</v>
      </c>
      <c r="AP35" s="108">
        <f t="shared" si="61"/>
        <v>72855.435757830943</v>
      </c>
      <c r="AQ35" s="110">
        <f>SUM(AM35:AP35)</f>
        <v>265504.24194247334</v>
      </c>
      <c r="AR35" s="101"/>
      <c r="AS35" s="101"/>
      <c r="AT35" s="101"/>
      <c r="AU35" s="101"/>
    </row>
    <row r="36" spans="1:48" s="160" customFormat="1" ht="13.35" customHeight="1" x14ac:dyDescent="0.2">
      <c r="A36" s="123"/>
      <c r="B36" s="124"/>
      <c r="C36" s="112" t="s">
        <v>83</v>
      </c>
      <c r="D36" s="115">
        <f t="shared" ref="D36:AF36" si="62">D35/D26</f>
        <v>0.35094752927265488</v>
      </c>
      <c r="E36" s="115">
        <f t="shared" si="62"/>
        <v>0.31696633180626993</v>
      </c>
      <c r="F36" s="115">
        <f t="shared" si="62"/>
        <v>0.30681813479565506</v>
      </c>
      <c r="G36" s="115">
        <f t="shared" si="62"/>
        <v>0.28459839527362057</v>
      </c>
      <c r="H36" s="116">
        <f t="shared" si="62"/>
        <v>0.31142452564083362</v>
      </c>
      <c r="I36" s="156">
        <f t="shared" si="62"/>
        <v>0.27466748299088278</v>
      </c>
      <c r="J36" s="156">
        <f t="shared" si="62"/>
        <v>0.25162844848696886</v>
      </c>
      <c r="K36" s="156">
        <f t="shared" si="62"/>
        <v>0.28501946147758023</v>
      </c>
      <c r="L36" s="156">
        <f t="shared" si="62"/>
        <v>0.28727136413937515</v>
      </c>
      <c r="M36" s="116">
        <f t="shared" si="62"/>
        <v>0.27552340404345255</v>
      </c>
      <c r="N36" s="156">
        <f t="shared" si="62"/>
        <v>0.31106120807366272</v>
      </c>
      <c r="O36" s="157">
        <f t="shared" si="62"/>
        <v>0.30660184237461618</v>
      </c>
      <c r="P36" s="157">
        <f t="shared" si="62"/>
        <v>0.31004123211253942</v>
      </c>
      <c r="Q36" s="157">
        <f t="shared" si="62"/>
        <v>0.30211351222987415</v>
      </c>
      <c r="R36" s="116">
        <f t="shared" si="62"/>
        <v>0.30729778770065203</v>
      </c>
      <c r="S36" s="157">
        <f t="shared" si="62"/>
        <v>0.31993767447899762</v>
      </c>
      <c r="T36" s="157">
        <f t="shared" si="62"/>
        <v>0.32099176612082525</v>
      </c>
      <c r="U36" s="157">
        <f t="shared" si="62"/>
        <v>0.30183467809434533</v>
      </c>
      <c r="V36" s="157">
        <f t="shared" si="62"/>
        <v>0.29118597728463197</v>
      </c>
      <c r="W36" s="116">
        <f>W35/W26</f>
        <v>0.3061926846158689</v>
      </c>
      <c r="X36" s="157">
        <f t="shared" si="62"/>
        <v>0.25975715891135542</v>
      </c>
      <c r="Y36" s="157">
        <f t="shared" si="62"/>
        <v>0.23286340571837574</v>
      </c>
      <c r="Z36" s="157">
        <f t="shared" si="62"/>
        <v>0.2675138247329415</v>
      </c>
      <c r="AA36" s="157">
        <f t="shared" si="62"/>
        <v>0.25085780212864783</v>
      </c>
      <c r="AB36" s="116">
        <f>AB35/AB26</f>
        <v>0.25244291302092503</v>
      </c>
      <c r="AC36" s="157">
        <f t="shared" si="62"/>
        <v>0.23383378855621859</v>
      </c>
      <c r="AD36" s="157">
        <f t="shared" si="62"/>
        <v>0.19845695868556879</v>
      </c>
      <c r="AE36" s="157">
        <f t="shared" si="62"/>
        <v>0.20358092861991159</v>
      </c>
      <c r="AF36" s="157">
        <f t="shared" si="62"/>
        <v>0.19563961443731565</v>
      </c>
      <c r="AG36" s="116">
        <f>AG35/AG26</f>
        <v>0.2066732296110983</v>
      </c>
      <c r="AH36" s="157">
        <f t="shared" ref="AH36:AK36" si="63">AH35/AH26</f>
        <v>0.20059347181008902</v>
      </c>
      <c r="AI36" s="157">
        <f t="shared" si="63"/>
        <v>0.18819447715034773</v>
      </c>
      <c r="AJ36" s="157">
        <f t="shared" si="63"/>
        <v>0.17191079411072724</v>
      </c>
      <c r="AK36" s="157">
        <f t="shared" si="63"/>
        <v>0.15814237702413689</v>
      </c>
      <c r="AL36" s="116">
        <f>AL35/AL26</f>
        <v>0.17904343060969344</v>
      </c>
      <c r="AM36" s="158">
        <v>0.17</v>
      </c>
      <c r="AN36" s="158">
        <v>0.18</v>
      </c>
      <c r="AO36" s="158">
        <v>0.19500000000000001</v>
      </c>
      <c r="AP36" s="158">
        <v>0.19500000000000001</v>
      </c>
      <c r="AQ36" s="116">
        <f>AQ35/AQ26</f>
        <v>0.18518977484890614</v>
      </c>
      <c r="AR36" s="121"/>
      <c r="AS36" s="121"/>
      <c r="AT36" s="121"/>
      <c r="AU36" s="121"/>
    </row>
    <row r="37" spans="1:48" x14ac:dyDescent="0.2">
      <c r="A37" s="28"/>
      <c r="B37" s="138"/>
      <c r="C37" s="126" t="s">
        <v>84</v>
      </c>
      <c r="D37" s="146">
        <v>4279.0769900000005</v>
      </c>
      <c r="E37" s="142">
        <v>4654.7802300000003</v>
      </c>
      <c r="F37" s="146">
        <v>4808.8669599999994</v>
      </c>
      <c r="G37" s="146">
        <v>6245.3871999999992</v>
      </c>
      <c r="H37" s="143">
        <f>SUM(D37:G37)</f>
        <v>19988.111380000002</v>
      </c>
      <c r="I37" s="146">
        <v>5763.5564899999999</v>
      </c>
      <c r="J37" s="146">
        <v>7226.2048299999997</v>
      </c>
      <c r="K37" s="146">
        <v>7414</v>
      </c>
      <c r="L37" s="146">
        <v>10155.766509999999</v>
      </c>
      <c r="M37" s="143">
        <f>SUM(I37:L37)</f>
        <v>30559.527829999999</v>
      </c>
      <c r="N37" s="146">
        <v>10344.748629999998</v>
      </c>
      <c r="O37" s="142">
        <f>11491-494+682</f>
        <v>11679</v>
      </c>
      <c r="P37" s="146">
        <f>11802-767+506</f>
        <v>11541</v>
      </c>
      <c r="Q37" s="146">
        <f>11796-1134+1306</f>
        <v>11968</v>
      </c>
      <c r="R37" s="143">
        <f>SUM(N37:Q37)</f>
        <v>45532.748630000002</v>
      </c>
      <c r="S37" s="142">
        <f>11940-1100</f>
        <v>10840</v>
      </c>
      <c r="T37" s="142">
        <f>12592-1000</f>
        <v>11592</v>
      </c>
      <c r="U37" s="142">
        <v>13156</v>
      </c>
      <c r="V37" s="142">
        <v>22254</v>
      </c>
      <c r="W37" s="143">
        <f>SUM(S37:V37)</f>
        <v>57842</v>
      </c>
      <c r="X37" s="142">
        <f>62312-8114-195-8271-413</f>
        <v>45319</v>
      </c>
      <c r="Y37" s="146">
        <f>80817-10483-11039-288-437</f>
        <v>58570</v>
      </c>
      <c r="Z37" s="146">
        <f>92065-18179-10484-439</f>
        <v>62963</v>
      </c>
      <c r="AA37" s="146">
        <f>102484-23551</f>
        <v>78933</v>
      </c>
      <c r="AB37" s="143">
        <f>SUM(X37:AA37)</f>
        <v>245785</v>
      </c>
      <c r="AC37" s="142">
        <v>88441</v>
      </c>
      <c r="AD37" s="142">
        <f>164683-69818</f>
        <v>94865</v>
      </c>
      <c r="AE37" s="142">
        <f>115350-18602</f>
        <v>96748</v>
      </c>
      <c r="AF37" s="142">
        <f>117199-13802</f>
        <v>103397</v>
      </c>
      <c r="AG37" s="143">
        <f>SUM(AC37:AF37)</f>
        <v>383451</v>
      </c>
      <c r="AH37" s="142">
        <f>118398-14082</f>
        <v>104316</v>
      </c>
      <c r="AI37" s="142">
        <f>118305-13009</f>
        <v>105296</v>
      </c>
      <c r="AJ37" s="146">
        <v>106688</v>
      </c>
      <c r="AK37" s="142">
        <v>112167</v>
      </c>
      <c r="AL37" s="143">
        <f>SUM(AH37:AK37)</f>
        <v>428467</v>
      </c>
      <c r="AM37" s="146">
        <f t="shared" ref="AM37:AP37" si="64">AM26*AM38</f>
        <v>116736.49919727429</v>
      </c>
      <c r="AN37" s="146">
        <f t="shared" si="64"/>
        <v>119552.94382925179</v>
      </c>
      <c r="AO37" s="146">
        <f t="shared" si="64"/>
        <v>122381.20604781278</v>
      </c>
      <c r="AP37" s="146">
        <f t="shared" si="64"/>
        <v>128898.07864847012</v>
      </c>
      <c r="AQ37" s="143">
        <f>SUM(AM37:AP37)</f>
        <v>487568.72772280895</v>
      </c>
      <c r="AR37" s="101"/>
      <c r="AS37" s="101"/>
      <c r="AT37" s="101"/>
      <c r="AU37" s="101"/>
    </row>
    <row r="38" spans="1:48" s="160" customFormat="1" ht="13.35" customHeight="1" x14ac:dyDescent="0.2">
      <c r="A38" s="123"/>
      <c r="B38" s="124"/>
      <c r="C38" s="112" t="s">
        <v>83</v>
      </c>
      <c r="D38" s="115">
        <f t="shared" ref="D38:AF38" si="65">D37/D26</f>
        <v>0.32658154533027134</v>
      </c>
      <c r="E38" s="115">
        <f t="shared" si="65"/>
        <v>0.30698041589516445</v>
      </c>
      <c r="F38" s="115">
        <f t="shared" si="65"/>
        <v>0.28125804360528583</v>
      </c>
      <c r="G38" s="115">
        <f t="shared" si="65"/>
        <v>0.32026519682331739</v>
      </c>
      <c r="H38" s="116">
        <f t="shared" si="65"/>
        <v>0.30815356042499353</v>
      </c>
      <c r="I38" s="156">
        <f t="shared" si="65"/>
        <v>0.25702475850569895</v>
      </c>
      <c r="J38" s="156">
        <f t="shared" si="65"/>
        <v>0.2779453851760838</v>
      </c>
      <c r="K38" s="156">
        <f t="shared" si="65"/>
        <v>0.26250115371363725</v>
      </c>
      <c r="L38" s="156">
        <f t="shared" si="65"/>
        <v>0.32052965273661621</v>
      </c>
      <c r="M38" s="116">
        <f t="shared" si="65"/>
        <v>0.28204249432907791</v>
      </c>
      <c r="N38" s="156">
        <f t="shared" si="65"/>
        <v>0.29405632890939271</v>
      </c>
      <c r="O38" s="157">
        <f t="shared" si="65"/>
        <v>0.29884851586489253</v>
      </c>
      <c r="P38" s="157">
        <f t="shared" si="65"/>
        <v>0.27991753577492118</v>
      </c>
      <c r="Q38" s="157">
        <f t="shared" si="65"/>
        <v>0.28420802659700783</v>
      </c>
      <c r="R38" s="116">
        <f t="shared" si="65"/>
        <v>0.2889143335992444</v>
      </c>
      <c r="S38" s="157">
        <f t="shared" si="65"/>
        <v>0.23458633599515247</v>
      </c>
      <c r="T38" s="157">
        <f t="shared" si="65"/>
        <v>0.2144879267277269</v>
      </c>
      <c r="U38" s="157">
        <f t="shared" si="65"/>
        <v>0.22022833037597508</v>
      </c>
      <c r="V38" s="157">
        <f t="shared" si="65"/>
        <v>0.2843125982139435</v>
      </c>
      <c r="W38" s="116">
        <f>W37/W26</f>
        <v>0.24276330976014102</v>
      </c>
      <c r="X38" s="157">
        <f t="shared" si="65"/>
        <v>0.38292676744205695</v>
      </c>
      <c r="Y38" s="157">
        <f t="shared" si="65"/>
        <v>0.37430181878602742</v>
      </c>
      <c r="Z38" s="157">
        <f t="shared" si="65"/>
        <v>0.37722498816734668</v>
      </c>
      <c r="AA38" s="157">
        <f t="shared" si="65"/>
        <v>0.39422937653892448</v>
      </c>
      <c r="AB38" s="116">
        <f>AB37/AB26</f>
        <v>0.3828671301438254</v>
      </c>
      <c r="AC38" s="157">
        <f t="shared" si="65"/>
        <v>0.3846531897496564</v>
      </c>
      <c r="AD38" s="157">
        <f t="shared" si="65"/>
        <v>0.36485696483927293</v>
      </c>
      <c r="AE38" s="157">
        <f t="shared" si="65"/>
        <v>0.35496688741721855</v>
      </c>
      <c r="AF38" s="157">
        <f t="shared" si="65"/>
        <v>0.34933425230503101</v>
      </c>
      <c r="AG38" s="116">
        <f>AG37/AG26</f>
        <v>0.36226980881802756</v>
      </c>
      <c r="AH38" s="157">
        <f t="shared" ref="AH38:AK38" si="66">AH37/AH26</f>
        <v>0.34203649359804583</v>
      </c>
      <c r="AI38" s="157">
        <f t="shared" si="66"/>
        <v>0.33060487605770889</v>
      </c>
      <c r="AJ38" s="157">
        <f t="shared" si="66"/>
        <v>0.33027477494211027</v>
      </c>
      <c r="AK38" s="157">
        <f t="shared" si="66"/>
        <v>0.32638470603640174</v>
      </c>
      <c r="AL38" s="116">
        <f>AL37/AL26</f>
        <v>0.33210042374162224</v>
      </c>
      <c r="AM38" s="158">
        <v>0.33500000000000002</v>
      </c>
      <c r="AN38" s="158">
        <v>0.33500000000000002</v>
      </c>
      <c r="AO38" s="158">
        <v>0.34499999999999997</v>
      </c>
      <c r="AP38" s="158">
        <v>0.34499999999999997</v>
      </c>
      <c r="AQ38" s="116">
        <f>AQ37/AQ26</f>
        <v>0.34008022715478231</v>
      </c>
      <c r="AR38" s="121"/>
      <c r="AS38" s="121"/>
      <c r="AT38" s="121"/>
      <c r="AU38" s="121"/>
    </row>
    <row r="39" spans="1:48" s="163" customFormat="1" x14ac:dyDescent="0.2">
      <c r="A39" s="161"/>
      <c r="B39" s="162"/>
      <c r="C39" s="126" t="s">
        <v>85</v>
      </c>
      <c r="D39" s="146">
        <v>3199.5839799999999</v>
      </c>
      <c r="E39" s="142">
        <v>3278.0349700000002</v>
      </c>
      <c r="F39" s="146">
        <v>4268.4498200000007</v>
      </c>
      <c r="G39" s="146">
        <v>4436.5702999999994</v>
      </c>
      <c r="H39" s="110">
        <f>SUM(D39:G39)</f>
        <v>15182.639070000001</v>
      </c>
      <c r="I39" s="146">
        <v>5698.7927500000005</v>
      </c>
      <c r="J39" s="146">
        <v>6010</v>
      </c>
      <c r="K39" s="146">
        <v>7117</v>
      </c>
      <c r="L39" s="146">
        <v>8048</v>
      </c>
      <c r="M39" s="110">
        <f>SUM(I39:L39)</f>
        <v>26873.792750000001</v>
      </c>
      <c r="N39" s="146">
        <v>9395.2054800000005</v>
      </c>
      <c r="O39" s="142">
        <f>12748-1286-127</f>
        <v>11335</v>
      </c>
      <c r="P39" s="146">
        <f>15064-2430-133</f>
        <v>12501</v>
      </c>
      <c r="Q39" s="146">
        <f>15546-3744-789</f>
        <v>11013</v>
      </c>
      <c r="R39" s="110">
        <f>SUM(N39:Q39)</f>
        <v>44244.205480000004</v>
      </c>
      <c r="S39" s="142">
        <v>11857</v>
      </c>
      <c r="T39" s="142">
        <v>14017</v>
      </c>
      <c r="U39" s="142">
        <v>16894</v>
      </c>
      <c r="V39" s="142">
        <v>23569</v>
      </c>
      <c r="W39" s="110">
        <f>SUM(S39:V39)</f>
        <v>66337</v>
      </c>
      <c r="X39" s="142">
        <f>57935-18086-1042-6325-419</f>
        <v>32063</v>
      </c>
      <c r="Y39" s="146">
        <f>65396-23080-2343-432-4417</f>
        <v>35124</v>
      </c>
      <c r="Z39" s="146">
        <f>60457-20565-243-449</f>
        <v>39200</v>
      </c>
      <c r="AA39" s="146">
        <f>58686-16191</f>
        <v>42495</v>
      </c>
      <c r="AB39" s="110">
        <f>SUM(X39:AA39)</f>
        <v>148882</v>
      </c>
      <c r="AC39" s="142">
        <v>45820</v>
      </c>
      <c r="AD39" s="142">
        <f>69381-20989-215</f>
        <v>48177</v>
      </c>
      <c r="AE39" s="142">
        <f>71719-21334-289</f>
        <v>50096</v>
      </c>
      <c r="AF39" s="142">
        <f>73441-18937-1004</f>
        <v>53500</v>
      </c>
      <c r="AG39" s="110">
        <f>SUM(AC39:AF39)</f>
        <v>197593</v>
      </c>
      <c r="AH39" s="142">
        <f>85326-21387-97</f>
        <v>63842</v>
      </c>
      <c r="AI39" s="142">
        <f>85583-20547-872</f>
        <v>64164</v>
      </c>
      <c r="AJ39" s="146">
        <v>60707</v>
      </c>
      <c r="AK39" s="142">
        <f>50732+14785</f>
        <v>65517</v>
      </c>
      <c r="AL39" s="110">
        <f>SUM(AH39:AK39)</f>
        <v>254230</v>
      </c>
      <c r="AM39" s="146">
        <f t="shared" ref="AM39:AP39" si="67">AM26*AM40</f>
        <v>67951.096547667126</v>
      </c>
      <c r="AN39" s="146">
        <f t="shared" si="67"/>
        <v>68876.770624016703</v>
      </c>
      <c r="AO39" s="146">
        <f t="shared" si="67"/>
        <v>71655.08296132808</v>
      </c>
      <c r="AP39" s="146">
        <f t="shared" si="67"/>
        <v>71734.582900018155</v>
      </c>
      <c r="AQ39" s="110">
        <f>SUM(AM39:AP39)</f>
        <v>280217.53303303005</v>
      </c>
      <c r="AR39" s="101"/>
      <c r="AS39" s="101"/>
      <c r="AT39" s="101"/>
      <c r="AU39" s="101"/>
    </row>
    <row r="40" spans="1:48" s="160" customFormat="1" ht="13.35" customHeight="1" x14ac:dyDescent="0.2">
      <c r="A40" s="123"/>
      <c r="B40" s="124"/>
      <c r="C40" s="112" t="s">
        <v>83</v>
      </c>
      <c r="D40" s="115">
        <f t="shared" ref="D40:AF40" si="68">D39/D26</f>
        <v>0.24419403601391612</v>
      </c>
      <c r="E40" s="115">
        <f t="shared" si="68"/>
        <v>0.21618475818126712</v>
      </c>
      <c r="F40" s="115">
        <f t="shared" si="68"/>
        <v>0.24965045936736308</v>
      </c>
      <c r="G40" s="115">
        <f t="shared" si="68"/>
        <v>0.227508561895087</v>
      </c>
      <c r="H40" s="116">
        <f t="shared" si="68"/>
        <v>0.2340683517878272</v>
      </c>
      <c r="I40" s="156">
        <f t="shared" si="68"/>
        <v>0.25413663124221036</v>
      </c>
      <c r="J40" s="156">
        <f t="shared" si="68"/>
        <v>0.23116584766228718</v>
      </c>
      <c r="K40" s="156">
        <f t="shared" si="68"/>
        <v>0.25198552886160724</v>
      </c>
      <c r="L40" s="156">
        <f t="shared" si="68"/>
        <v>0.25400570628364</v>
      </c>
      <c r="M40" s="116">
        <f t="shared" si="68"/>
        <v>0.24802580659809528</v>
      </c>
      <c r="N40" s="156">
        <f t="shared" si="68"/>
        <v>0.26706493619248139</v>
      </c>
      <c r="O40" s="157">
        <f t="shared" si="68"/>
        <v>0.29004605936540429</v>
      </c>
      <c r="P40" s="157">
        <f t="shared" si="68"/>
        <v>0.30320155226776618</v>
      </c>
      <c r="Q40" s="157">
        <f t="shared" si="68"/>
        <v>0.26152932795060557</v>
      </c>
      <c r="R40" s="116">
        <f t="shared" si="68"/>
        <v>0.28073827138693952</v>
      </c>
      <c r="S40" s="157">
        <f t="shared" si="68"/>
        <v>0.25659503559912572</v>
      </c>
      <c r="T40" s="157">
        <f t="shared" si="68"/>
        <v>0.25935794245536126</v>
      </c>
      <c r="U40" s="157">
        <f t="shared" si="68"/>
        <v>0.28280156684187618</v>
      </c>
      <c r="V40" s="157">
        <f t="shared" si="68"/>
        <v>0.30111277196478992</v>
      </c>
      <c r="W40" s="116">
        <f>W39/W26</f>
        <v>0.27841688875831533</v>
      </c>
      <c r="X40" s="157">
        <f t="shared" si="68"/>
        <v>0.27091906142003735</v>
      </c>
      <c r="Y40" s="157">
        <f t="shared" si="68"/>
        <v>0.22446605912652257</v>
      </c>
      <c r="Z40" s="157">
        <f t="shared" si="68"/>
        <v>0.23485570154154009</v>
      </c>
      <c r="AA40" s="157">
        <f t="shared" si="68"/>
        <v>0.2122404742759251</v>
      </c>
      <c r="AB40" s="116">
        <f>AB39/AB26</f>
        <v>0.23191823776907872</v>
      </c>
      <c r="AC40" s="157">
        <f t="shared" si="68"/>
        <v>0.19928324141890363</v>
      </c>
      <c r="AD40" s="157">
        <f t="shared" si="68"/>
        <v>0.18529187787974125</v>
      </c>
      <c r="AE40" s="157">
        <f t="shared" si="68"/>
        <v>0.18380143457283851</v>
      </c>
      <c r="AF40" s="157">
        <f t="shared" si="68"/>
        <v>0.18075362436356143</v>
      </c>
      <c r="AG40" s="116">
        <f>AG39/AG26</f>
        <v>0.18667829353367318</v>
      </c>
      <c r="AH40" s="157">
        <f t="shared" ref="AH40:AK40" si="69">AH39/AH26</f>
        <v>0.20932832762266998</v>
      </c>
      <c r="AI40" s="157">
        <f t="shared" si="69"/>
        <v>0.20145999152262986</v>
      </c>
      <c r="AJ40" s="157">
        <f t="shared" si="69"/>
        <v>0.18793107718216379</v>
      </c>
      <c r="AK40" s="157">
        <f t="shared" si="69"/>
        <v>0.19064204967046397</v>
      </c>
      <c r="AL40" s="116">
        <f>AL39/AL26</f>
        <v>0.19705109314797317</v>
      </c>
      <c r="AM40" s="158">
        <v>0.19500000000000001</v>
      </c>
      <c r="AN40" s="158">
        <v>0.193</v>
      </c>
      <c r="AO40" s="158">
        <v>0.20200000000000001</v>
      </c>
      <c r="AP40" s="158">
        <v>0.192</v>
      </c>
      <c r="AQ40" s="116">
        <f>AQ39/AQ26</f>
        <v>0.19545232675546659</v>
      </c>
      <c r="AR40" s="121"/>
      <c r="AS40" s="121"/>
      <c r="AT40" s="121"/>
      <c r="AU40" s="121"/>
    </row>
    <row r="41" spans="1:48" x14ac:dyDescent="0.2">
      <c r="A41" s="28"/>
      <c r="B41" s="138" t="s">
        <v>86</v>
      </c>
      <c r="C41" s="126"/>
      <c r="D41" s="108">
        <f t="shared" ref="D41:AQ41" si="70">D35+D37+D39</f>
        <v>12076.996420000001</v>
      </c>
      <c r="E41" s="109">
        <f t="shared" si="70"/>
        <v>12739.013050000001</v>
      </c>
      <c r="F41" s="108">
        <f t="shared" si="70"/>
        <v>14323.20263</v>
      </c>
      <c r="G41" s="108">
        <f t="shared" si="70"/>
        <v>16231.818029999999</v>
      </c>
      <c r="H41" s="110">
        <f t="shared" si="70"/>
        <v>55371.030129999999</v>
      </c>
      <c r="I41" s="108">
        <f t="shared" si="70"/>
        <v>17621.528470000001</v>
      </c>
      <c r="J41" s="108">
        <f t="shared" si="70"/>
        <v>19778.204829999999</v>
      </c>
      <c r="K41" s="108">
        <f t="shared" si="70"/>
        <v>22581</v>
      </c>
      <c r="L41" s="108">
        <f t="shared" si="70"/>
        <v>27305.766510000001</v>
      </c>
      <c r="M41" s="110">
        <f t="shared" si="70"/>
        <v>87286.499810000008</v>
      </c>
      <c r="N41" s="108">
        <f t="shared" si="70"/>
        <v>30682.92554</v>
      </c>
      <c r="O41" s="109">
        <f t="shared" si="70"/>
        <v>34996</v>
      </c>
      <c r="P41" s="108">
        <f t="shared" si="70"/>
        <v>36825</v>
      </c>
      <c r="Q41" s="108">
        <f t="shared" si="70"/>
        <v>35703</v>
      </c>
      <c r="R41" s="110">
        <f t="shared" si="70"/>
        <v>138206.92554</v>
      </c>
      <c r="S41" s="109">
        <f t="shared" si="70"/>
        <v>37481</v>
      </c>
      <c r="T41" s="109">
        <f t="shared" si="70"/>
        <v>42957</v>
      </c>
      <c r="U41" s="109">
        <f t="shared" si="70"/>
        <v>48081</v>
      </c>
      <c r="V41" s="109">
        <f t="shared" si="70"/>
        <v>68615</v>
      </c>
      <c r="W41" s="110">
        <f t="shared" si="70"/>
        <v>197134</v>
      </c>
      <c r="X41" s="109">
        <f t="shared" si="70"/>
        <v>108124</v>
      </c>
      <c r="Y41" s="108">
        <f t="shared" si="70"/>
        <v>130132</v>
      </c>
      <c r="Z41" s="108">
        <f t="shared" si="70"/>
        <v>146814</v>
      </c>
      <c r="AA41" s="108">
        <f t="shared" si="70"/>
        <v>171655</v>
      </c>
      <c r="AB41" s="110">
        <f t="shared" si="70"/>
        <v>556725</v>
      </c>
      <c r="AC41" s="109">
        <f t="shared" si="70"/>
        <v>188025</v>
      </c>
      <c r="AD41" s="109">
        <f t="shared" si="70"/>
        <v>194642</v>
      </c>
      <c r="AE41" s="109">
        <f t="shared" si="70"/>
        <v>202331</v>
      </c>
      <c r="AF41" s="109">
        <f t="shared" si="70"/>
        <v>214803</v>
      </c>
      <c r="AG41" s="110">
        <f t="shared" si="70"/>
        <v>799801</v>
      </c>
      <c r="AH41" s="109">
        <f t="shared" si="70"/>
        <v>229336</v>
      </c>
      <c r="AI41" s="109">
        <f t="shared" si="70"/>
        <v>229399</v>
      </c>
      <c r="AJ41" s="108">
        <f t="shared" si="70"/>
        <v>222927</v>
      </c>
      <c r="AK41" s="109">
        <f t="shared" si="70"/>
        <v>232032</v>
      </c>
      <c r="AL41" s="110">
        <f t="shared" si="70"/>
        <v>913694</v>
      </c>
      <c r="AM41" s="108">
        <f t="shared" si="70"/>
        <v>243927.0132480358</v>
      </c>
      <c r="AN41" s="108">
        <f t="shared" si="70"/>
        <v>252667.11710779183</v>
      </c>
      <c r="AO41" s="108">
        <f t="shared" si="70"/>
        <v>263208.27503616549</v>
      </c>
      <c r="AP41" s="108">
        <f t="shared" si="70"/>
        <v>273488.09730631922</v>
      </c>
      <c r="AQ41" s="110">
        <f t="shared" si="70"/>
        <v>1033290.5026983123</v>
      </c>
      <c r="AR41" s="101"/>
      <c r="AS41" s="101"/>
      <c r="AT41" s="101"/>
      <c r="AU41" s="101"/>
      <c r="AV41" s="93">
        <v>235</v>
      </c>
    </row>
    <row r="42" spans="1:48" ht="7.5" customHeight="1" x14ac:dyDescent="0.2">
      <c r="A42" s="28"/>
      <c r="B42" s="138"/>
      <c r="C42" s="126"/>
      <c r="D42" s="139"/>
      <c r="E42" s="140"/>
      <c r="F42" s="139"/>
      <c r="G42" s="139"/>
      <c r="H42" s="141"/>
      <c r="I42" s="139"/>
      <c r="J42" s="139"/>
      <c r="K42" s="139"/>
      <c r="L42" s="139"/>
      <c r="M42" s="141"/>
      <c r="N42" s="139"/>
      <c r="O42" s="140"/>
      <c r="P42" s="139"/>
      <c r="Q42" s="139"/>
      <c r="R42" s="141"/>
      <c r="S42" s="140"/>
      <c r="T42" s="140"/>
      <c r="U42" s="140"/>
      <c r="V42" s="140"/>
      <c r="W42" s="141"/>
      <c r="X42" s="140"/>
      <c r="Y42" s="139"/>
      <c r="Z42" s="139"/>
      <c r="AA42" s="139"/>
      <c r="AB42" s="141"/>
      <c r="AC42" s="140"/>
      <c r="AD42" s="139"/>
      <c r="AE42" s="139"/>
      <c r="AF42" s="139"/>
      <c r="AG42" s="141"/>
      <c r="AH42" s="140"/>
      <c r="AI42" s="140"/>
      <c r="AJ42" s="140"/>
      <c r="AK42" s="139"/>
      <c r="AL42" s="141"/>
      <c r="AM42" s="140"/>
      <c r="AN42" s="140"/>
      <c r="AO42" s="140"/>
      <c r="AQ42" s="141"/>
      <c r="AR42" s="635"/>
      <c r="AS42" s="635"/>
    </row>
    <row r="43" spans="1:48" x14ac:dyDescent="0.2">
      <c r="A43" s="28"/>
      <c r="B43" s="138" t="s">
        <v>87</v>
      </c>
      <c r="C43" s="126"/>
      <c r="D43" s="146">
        <f t="shared" ref="D43:AQ43" si="71">D31-D41</f>
        <v>-2877.4033099999997</v>
      </c>
      <c r="E43" s="142">
        <f t="shared" si="71"/>
        <v>-1603.8409600000014</v>
      </c>
      <c r="F43" s="146">
        <f t="shared" si="71"/>
        <v>-1790.6229699999967</v>
      </c>
      <c r="G43" s="146">
        <f t="shared" si="71"/>
        <v>-1704.6195399999997</v>
      </c>
      <c r="H43" s="143">
        <f t="shared" si="71"/>
        <v>-7976.486779999992</v>
      </c>
      <c r="I43" s="146">
        <f t="shared" si="71"/>
        <v>-774.39889000000403</v>
      </c>
      <c r="J43" s="146">
        <f t="shared" si="71"/>
        <v>-68.554679999997461</v>
      </c>
      <c r="K43" s="146">
        <f t="shared" si="71"/>
        <v>-1107.8786</v>
      </c>
      <c r="L43" s="146">
        <f t="shared" si="71"/>
        <v>-3181.4389499999997</v>
      </c>
      <c r="M43" s="143">
        <f t="shared" si="71"/>
        <v>-5132.2711199999903</v>
      </c>
      <c r="N43" s="146">
        <f t="shared" si="71"/>
        <v>-3513.8628599999975</v>
      </c>
      <c r="O43" s="142">
        <f t="shared" si="71"/>
        <v>-4510</v>
      </c>
      <c r="P43" s="146">
        <f t="shared" si="71"/>
        <v>-4327</v>
      </c>
      <c r="Q43" s="146">
        <f t="shared" si="71"/>
        <v>-2609</v>
      </c>
      <c r="R43" s="143">
        <f t="shared" si="71"/>
        <v>-14959.862859999994</v>
      </c>
      <c r="S43" s="142">
        <f t="shared" si="71"/>
        <v>-2277</v>
      </c>
      <c r="T43" s="142">
        <f t="shared" si="71"/>
        <v>-1558</v>
      </c>
      <c r="U43" s="142">
        <f t="shared" si="71"/>
        <v>-2130</v>
      </c>
      <c r="V43" s="142">
        <f t="shared" si="71"/>
        <v>-6198</v>
      </c>
      <c r="W43" s="143">
        <f t="shared" si="71"/>
        <v>-12163</v>
      </c>
      <c r="X43" s="142">
        <f t="shared" si="71"/>
        <v>-9198</v>
      </c>
      <c r="Y43" s="146">
        <f t="shared" si="71"/>
        <v>3382</v>
      </c>
      <c r="Z43" s="146">
        <f t="shared" si="71"/>
        <v>-5678</v>
      </c>
      <c r="AA43" s="146">
        <f t="shared" si="71"/>
        <v>-3169</v>
      </c>
      <c r="AB43" s="143">
        <f t="shared" si="71"/>
        <v>-14663</v>
      </c>
      <c r="AC43" s="142">
        <f t="shared" si="71"/>
        <v>9145</v>
      </c>
      <c r="AD43" s="146">
        <f t="shared" si="71"/>
        <v>30752</v>
      </c>
      <c r="AE43" s="146">
        <f t="shared" si="71"/>
        <v>34841</v>
      </c>
      <c r="AF43" s="146">
        <f t="shared" si="71"/>
        <v>42348</v>
      </c>
      <c r="AG43" s="143">
        <f t="shared" si="71"/>
        <v>117086</v>
      </c>
      <c r="AH43" s="142">
        <f t="shared" si="71"/>
        <v>33373</v>
      </c>
      <c r="AI43" s="146">
        <f t="shared" si="71"/>
        <v>44303</v>
      </c>
      <c r="AJ43" s="146">
        <f t="shared" si="71"/>
        <v>58533</v>
      </c>
      <c r="AK43" s="146">
        <f>AK31-AK41</f>
        <v>59971</v>
      </c>
      <c r="AL43" s="143">
        <f t="shared" si="71"/>
        <v>196180</v>
      </c>
      <c r="AM43" s="142">
        <f t="shared" si="71"/>
        <v>55754.745885265351</v>
      </c>
      <c r="AN43" s="146">
        <f t="shared" si="71"/>
        <v>50676.1732052351</v>
      </c>
      <c r="AO43" s="146">
        <f t="shared" si="71"/>
        <v>34763.357080248243</v>
      </c>
      <c r="AP43" s="146">
        <f t="shared" si="71"/>
        <v>36614.526688550948</v>
      </c>
      <c r="AQ43" s="143">
        <f t="shared" si="71"/>
        <v>177808.80285929958</v>
      </c>
      <c r="AR43" s="629"/>
      <c r="AS43" s="629">
        <v>44303</v>
      </c>
    </row>
    <row r="44" spans="1:48" s="160" customFormat="1" ht="13.35" customHeight="1" x14ac:dyDescent="0.2">
      <c r="A44" s="123"/>
      <c r="B44" s="124"/>
      <c r="C44" s="112" t="s">
        <v>88</v>
      </c>
      <c r="D44" s="114">
        <f t="shared" ref="D44:AQ44" si="72">D43/D26</f>
        <v>-0.21960502737255905</v>
      </c>
      <c r="E44" s="115">
        <f t="shared" si="72"/>
        <v>-0.10577250495250562</v>
      </c>
      <c r="F44" s="114">
        <f t="shared" si="72"/>
        <v>-0.10472885142509444</v>
      </c>
      <c r="G44" s="114">
        <f t="shared" si="72"/>
        <v>-8.7413365257317063E-2</v>
      </c>
      <c r="H44" s="116">
        <f t="shared" si="72"/>
        <v>-0.12297223855773258</v>
      </c>
      <c r="I44" s="114">
        <f t="shared" si="72"/>
        <v>-3.4534178338439844E-2</v>
      </c>
      <c r="J44" s="114">
        <f t="shared" si="72"/>
        <v>-2.6368553599694275E-3</v>
      </c>
      <c r="K44" s="114">
        <f t="shared" si="72"/>
        <v>-3.9225709559569631E-2</v>
      </c>
      <c r="L44" s="114">
        <f t="shared" si="72"/>
        <v>-0.10041049297875645</v>
      </c>
      <c r="M44" s="116">
        <f t="shared" si="72"/>
        <v>-4.7367176492722908E-2</v>
      </c>
      <c r="N44" s="114">
        <f t="shared" si="72"/>
        <v>-9.9883878270965648E-2</v>
      </c>
      <c r="O44" s="115">
        <f t="shared" si="72"/>
        <v>-0.1154042988741044</v>
      </c>
      <c r="P44" s="114">
        <f t="shared" si="72"/>
        <v>-0.10494785350472957</v>
      </c>
      <c r="Q44" s="114">
        <f t="shared" si="72"/>
        <v>-6.1956779862265492E-2</v>
      </c>
      <c r="R44" s="116">
        <f t="shared" si="72"/>
        <v>-9.4923301117940548E-2</v>
      </c>
      <c r="S44" s="115">
        <f t="shared" si="72"/>
        <v>-4.9276115042524181E-2</v>
      </c>
      <c r="T44" s="115">
        <f t="shared" si="72"/>
        <v>-2.8827828661300767E-2</v>
      </c>
      <c r="U44" s="115">
        <f t="shared" si="72"/>
        <v>-3.5655696541564835E-2</v>
      </c>
      <c r="V44" s="115">
        <f t="shared" si="72"/>
        <v>-7.918439308573838E-2</v>
      </c>
      <c r="W44" s="116">
        <f t="shared" si="72"/>
        <v>-5.1048202631523723E-2</v>
      </c>
      <c r="X44" s="114">
        <f t="shared" si="72"/>
        <v>-7.7719287868930023E-2</v>
      </c>
      <c r="Y44" s="114">
        <f t="shared" si="72"/>
        <v>2.1613261928194377E-2</v>
      </c>
      <c r="Z44" s="114">
        <f t="shared" si="72"/>
        <v>-3.4018129422266959E-2</v>
      </c>
      <c r="AA44" s="114">
        <f t="shared" si="72"/>
        <v>-1.5827510600786132E-2</v>
      </c>
      <c r="AB44" s="116">
        <f t="shared" si="72"/>
        <v>-2.2841022557515356E-2</v>
      </c>
      <c r="AC44" s="115">
        <f t="shared" si="72"/>
        <v>3.9774012282319374E-2</v>
      </c>
      <c r="AD44" s="114">
        <f t="shared" si="72"/>
        <v>0.11827419367245372</v>
      </c>
      <c r="AE44" s="114">
        <f t="shared" si="72"/>
        <v>0.12783107996551155</v>
      </c>
      <c r="AF44" s="114">
        <f t="shared" si="72"/>
        <v>0.14307578475790839</v>
      </c>
      <c r="AG44" s="116">
        <f t="shared" si="72"/>
        <v>0.11061836541114138</v>
      </c>
      <c r="AH44" s="115">
        <f t="shared" si="72"/>
        <v>0.10942505369116513</v>
      </c>
      <c r="AI44" s="114">
        <f t="shared" si="72"/>
        <v>0.13910108478940014</v>
      </c>
      <c r="AJ44" s="114">
        <f t="shared" si="72"/>
        <v>0.18120101043872358</v>
      </c>
      <c r="AK44" s="114">
        <f t="shared" si="72"/>
        <v>0.17450424104869569</v>
      </c>
      <c r="AL44" s="116">
        <f t="shared" si="72"/>
        <v>0.15205712722247328</v>
      </c>
      <c r="AM44" s="115">
        <f t="shared" si="72"/>
        <v>0.16000000000000006</v>
      </c>
      <c r="AN44" s="114">
        <f t="shared" si="72"/>
        <v>0.14200000000000004</v>
      </c>
      <c r="AO44" s="114">
        <f t="shared" si="72"/>
        <v>9.7999999999999921E-2</v>
      </c>
      <c r="AP44" s="114">
        <f t="shared" si="72"/>
        <v>9.8000000000000032E-2</v>
      </c>
      <c r="AQ44" s="116">
        <f t="shared" si="72"/>
        <v>0.12402201910883896</v>
      </c>
      <c r="AR44" s="630"/>
      <c r="AS44" s="630">
        <f>AS43-AI43</f>
        <v>0</v>
      </c>
    </row>
    <row r="45" spans="1:48" s="163" customFormat="1" ht="11.25" x14ac:dyDescent="0.2">
      <c r="A45" s="161"/>
      <c r="B45" s="162"/>
      <c r="C45" s="122"/>
      <c r="D45" s="164"/>
      <c r="E45" s="165"/>
      <c r="F45" s="166"/>
      <c r="G45" s="165"/>
      <c r="H45" s="167"/>
      <c r="I45" s="164"/>
      <c r="J45" s="166"/>
      <c r="K45" s="166"/>
      <c r="L45" s="165"/>
      <c r="M45" s="167"/>
      <c r="N45" s="164"/>
      <c r="O45" s="165"/>
      <c r="P45" s="166"/>
      <c r="Q45" s="165"/>
      <c r="R45" s="167"/>
      <c r="S45" s="168"/>
      <c r="T45" s="165"/>
      <c r="U45" s="165"/>
      <c r="V45" s="165"/>
      <c r="W45" s="167"/>
      <c r="X45" s="164"/>
      <c r="Y45" s="166"/>
      <c r="Z45" s="166"/>
      <c r="AA45" s="165"/>
      <c r="AB45" s="167"/>
      <c r="AC45" s="168"/>
      <c r="AD45" s="166"/>
      <c r="AE45" s="166"/>
      <c r="AF45" s="165"/>
      <c r="AG45" s="167"/>
      <c r="AH45" s="169"/>
      <c r="AI45" s="169"/>
      <c r="AJ45" s="169"/>
      <c r="AK45" s="165"/>
      <c r="AL45" s="167"/>
      <c r="AM45" s="169"/>
      <c r="AN45" s="169"/>
      <c r="AO45" s="169"/>
      <c r="AQ45" s="167"/>
      <c r="AR45" s="631"/>
      <c r="AS45" s="631"/>
    </row>
    <row r="46" spans="1:48" s="121" customFormat="1" hidden="1" outlineLevel="1" x14ac:dyDescent="0.2">
      <c r="A46" s="105"/>
      <c r="B46" s="119" t="s">
        <v>89</v>
      </c>
      <c r="C46" s="120"/>
      <c r="D46" s="170"/>
      <c r="E46" s="171"/>
      <c r="F46" s="170"/>
      <c r="G46" s="171"/>
      <c r="H46" s="172"/>
      <c r="I46" s="170"/>
      <c r="J46" s="170"/>
      <c r="K46" s="170"/>
      <c r="L46" s="171"/>
      <c r="M46" s="172"/>
      <c r="N46" s="170"/>
      <c r="O46" s="171"/>
      <c r="P46" s="170"/>
      <c r="Q46" s="171"/>
      <c r="R46" s="172"/>
      <c r="S46" s="171"/>
      <c r="T46" s="171"/>
      <c r="U46" s="171"/>
      <c r="V46" s="171"/>
      <c r="W46" s="172"/>
      <c r="X46" s="170"/>
      <c r="Y46" s="170"/>
      <c r="Z46" s="170"/>
      <c r="AA46" s="171"/>
      <c r="AB46" s="172"/>
      <c r="AC46" s="171"/>
      <c r="AD46" s="170"/>
      <c r="AE46" s="170"/>
      <c r="AF46" s="171"/>
      <c r="AG46" s="172"/>
      <c r="AH46" s="173"/>
      <c r="AI46" s="173"/>
      <c r="AJ46" s="173"/>
      <c r="AK46" s="171"/>
      <c r="AL46" s="172"/>
      <c r="AM46" s="173"/>
      <c r="AN46" s="173"/>
      <c r="AO46" s="173"/>
      <c r="AQ46" s="172"/>
      <c r="AR46" s="629"/>
      <c r="AS46" s="632"/>
    </row>
    <row r="47" spans="1:48" s="121" customFormat="1" hidden="1" outlineLevel="1" x14ac:dyDescent="0.2">
      <c r="A47" s="105"/>
      <c r="B47" s="119"/>
      <c r="C47" s="120" t="s">
        <v>90</v>
      </c>
      <c r="D47" s="170"/>
      <c r="E47" s="171"/>
      <c r="F47" s="170"/>
      <c r="G47" s="171"/>
      <c r="H47" s="172"/>
      <c r="I47" s="170"/>
      <c r="J47" s="170"/>
      <c r="K47" s="170"/>
      <c r="L47" s="171"/>
      <c r="M47" s="172"/>
      <c r="N47" s="170"/>
      <c r="O47" s="171"/>
      <c r="P47" s="170"/>
      <c r="Q47" s="171"/>
      <c r="R47" s="172"/>
      <c r="S47" s="171"/>
      <c r="T47" s="171"/>
      <c r="U47" s="171"/>
      <c r="V47" s="109">
        <v>5659</v>
      </c>
      <c r="W47" s="110">
        <f t="shared" ref="W47:W56" si="73">SUM(S47:V47)</f>
        <v>5659</v>
      </c>
      <c r="X47" s="108">
        <f>8401+8271</f>
        <v>16672</v>
      </c>
      <c r="Y47" s="108">
        <v>19768</v>
      </c>
      <c r="Z47" s="108">
        <f>9285+10484</f>
        <v>19769</v>
      </c>
      <c r="AA47" s="111">
        <v>19769</v>
      </c>
      <c r="AB47" s="110">
        <f t="shared" ref="AB47:AB56" si="74">SUM(X47:AA47)</f>
        <v>75978</v>
      </c>
      <c r="AC47" s="109">
        <v>19769</v>
      </c>
      <c r="AD47" s="4">
        <v>19994</v>
      </c>
      <c r="AE47" s="108">
        <v>20220</v>
      </c>
      <c r="AF47" s="92">
        <v>20221</v>
      </c>
      <c r="AG47" s="110">
        <f t="shared" ref="AG47:AG56" si="75">SUM(AC47:AF47)</f>
        <v>80204</v>
      </c>
      <c r="AH47" s="92">
        <f>23939-AH48</f>
        <v>20221</v>
      </c>
      <c r="AI47" s="92">
        <f>23462-AI48</f>
        <v>20222</v>
      </c>
      <c r="AJ47" s="109">
        <v>23429</v>
      </c>
      <c r="AK47" s="92">
        <v>22965</v>
      </c>
      <c r="AL47" s="110">
        <f t="shared" ref="AL47:AL56" si="76">SUM(AH47:AK47)</f>
        <v>86837</v>
      </c>
      <c r="AM47" s="175">
        <v>2300</v>
      </c>
      <c r="AN47" s="175">
        <v>2300</v>
      </c>
      <c r="AO47" s="175">
        <v>2300</v>
      </c>
      <c r="AP47" s="175">
        <v>2300</v>
      </c>
      <c r="AQ47" s="110">
        <f t="shared" ref="AQ47:AQ56" si="77">SUM(AM47:AP47)</f>
        <v>9200</v>
      </c>
      <c r="AR47" s="629"/>
      <c r="AS47" s="633"/>
    </row>
    <row r="48" spans="1:48" s="121" customFormat="1" hidden="1" outlineLevel="1" x14ac:dyDescent="0.2">
      <c r="A48" s="105"/>
      <c r="B48" s="119"/>
      <c r="C48" s="120" t="s">
        <v>91</v>
      </c>
      <c r="D48" s="108"/>
      <c r="E48" s="109"/>
      <c r="F48" s="108"/>
      <c r="G48" s="108"/>
      <c r="H48" s="110">
        <f t="shared" ref="H48:H56" si="78">SUM(D48:G48)</f>
        <v>0</v>
      </c>
      <c r="I48" s="108"/>
      <c r="J48" s="174"/>
      <c r="K48" s="174"/>
      <c r="L48" s="174"/>
      <c r="M48" s="110">
        <f t="shared" ref="M48:M56" si="79">SUM(I48:L48)</f>
        <v>0</v>
      </c>
      <c r="N48" s="174"/>
      <c r="O48" s="109"/>
      <c r="P48" s="174"/>
      <c r="Q48" s="174"/>
      <c r="R48" s="110">
        <f t="shared" ref="R48:R56" si="80">SUM(N48:Q48)</f>
        <v>0</v>
      </c>
      <c r="S48" s="109">
        <f>-400+1600</f>
        <v>1200</v>
      </c>
      <c r="T48" s="109">
        <f>-400+1500</f>
        <v>1100</v>
      </c>
      <c r="U48" s="109">
        <v>1314</v>
      </c>
      <c r="V48" s="109">
        <v>1694</v>
      </c>
      <c r="W48" s="110">
        <f t="shared" si="73"/>
        <v>5308</v>
      </c>
      <c r="X48" s="108">
        <v>2141</v>
      </c>
      <c r="Y48" s="108">
        <v>2209</v>
      </c>
      <c r="Z48" s="108">
        <v>2350</v>
      </c>
      <c r="AA48" s="92">
        <v>2460</v>
      </c>
      <c r="AB48" s="110">
        <f t="shared" si="74"/>
        <v>9160</v>
      </c>
      <c r="AC48" s="109">
        <f>22306-AC47</f>
        <v>2537</v>
      </c>
      <c r="AD48" s="92">
        <v>2536</v>
      </c>
      <c r="AE48" s="92">
        <v>2826</v>
      </c>
      <c r="AF48" s="179">
        <v>3351</v>
      </c>
      <c r="AG48" s="110">
        <f t="shared" si="75"/>
        <v>11250</v>
      </c>
      <c r="AH48" s="92">
        <v>3718</v>
      </c>
      <c r="AI48" s="92">
        <v>3240</v>
      </c>
      <c r="AJ48" s="109"/>
      <c r="AK48" s="179"/>
      <c r="AL48" s="110">
        <f t="shared" si="76"/>
        <v>6958</v>
      </c>
      <c r="AM48" s="175"/>
      <c r="AN48" s="175"/>
      <c r="AO48" s="175"/>
      <c r="AP48" s="175"/>
      <c r="AQ48" s="110">
        <f t="shared" si="77"/>
        <v>0</v>
      </c>
      <c r="AR48" s="629"/>
      <c r="AS48" s="632"/>
    </row>
    <row r="49" spans="1:45" s="121" customFormat="1" hidden="1" outlineLevel="1" x14ac:dyDescent="0.2">
      <c r="A49" s="105"/>
      <c r="B49" s="119"/>
      <c r="C49" s="120" t="s">
        <v>92</v>
      </c>
      <c r="D49" s="108"/>
      <c r="E49" s="109"/>
      <c r="F49" s="108"/>
      <c r="G49" s="176"/>
      <c r="H49" s="172">
        <f t="shared" si="78"/>
        <v>0</v>
      </c>
      <c r="I49" s="108"/>
      <c r="J49" s="108"/>
      <c r="K49" s="108"/>
      <c r="L49" s="176"/>
      <c r="M49" s="172">
        <f t="shared" si="79"/>
        <v>0</v>
      </c>
      <c r="N49" s="108"/>
      <c r="O49" s="109"/>
      <c r="P49" s="108"/>
      <c r="Q49" s="176"/>
      <c r="R49" s="172">
        <f t="shared" si="80"/>
        <v>0</v>
      </c>
      <c r="S49" s="109"/>
      <c r="T49" s="109"/>
      <c r="U49" s="109"/>
      <c r="V49" s="109"/>
      <c r="W49" s="172">
        <f t="shared" si="73"/>
        <v>0</v>
      </c>
      <c r="X49" s="108"/>
      <c r="Y49" s="108"/>
      <c r="Z49" s="108"/>
      <c r="AA49" s="177"/>
      <c r="AB49" s="172">
        <f t="shared" si="74"/>
        <v>0</v>
      </c>
      <c r="AC49" s="109"/>
      <c r="AD49" s="108"/>
      <c r="AE49" s="108"/>
      <c r="AF49" s="176"/>
      <c r="AG49" s="172">
        <f t="shared" si="75"/>
        <v>0</v>
      </c>
      <c r="AH49" s="109"/>
      <c r="AI49" s="108"/>
      <c r="AJ49" s="109"/>
      <c r="AK49" s="176"/>
      <c r="AL49" s="172">
        <f t="shared" si="76"/>
        <v>0</v>
      </c>
      <c r="AM49" s="109"/>
      <c r="AN49" s="108"/>
      <c r="AO49" s="108"/>
      <c r="AP49" s="176"/>
      <c r="AQ49" s="172">
        <f t="shared" si="77"/>
        <v>0</v>
      </c>
      <c r="AR49" s="629"/>
      <c r="AS49" s="632"/>
    </row>
    <row r="50" spans="1:45" s="121" customFormat="1" hidden="1" outlineLevel="1" x14ac:dyDescent="0.2">
      <c r="A50" s="105"/>
      <c r="B50" s="119"/>
      <c r="C50" s="120" t="s">
        <v>93</v>
      </c>
      <c r="D50" s="108"/>
      <c r="E50" s="109"/>
      <c r="F50" s="108"/>
      <c r="G50" s="108"/>
      <c r="H50" s="110">
        <f t="shared" si="78"/>
        <v>0</v>
      </c>
      <c r="I50" s="108"/>
      <c r="J50" s="108"/>
      <c r="K50" s="108"/>
      <c r="L50" s="108"/>
      <c r="M50" s="110">
        <f t="shared" si="79"/>
        <v>0</v>
      </c>
      <c r="N50" s="108"/>
      <c r="O50" s="109"/>
      <c r="P50" s="108"/>
      <c r="Q50" s="108"/>
      <c r="R50" s="110">
        <f t="shared" si="80"/>
        <v>0</v>
      </c>
      <c r="S50" s="109"/>
      <c r="T50" s="109"/>
      <c r="U50" s="109"/>
      <c r="V50" s="109"/>
      <c r="W50" s="110">
        <f t="shared" si="73"/>
        <v>0</v>
      </c>
      <c r="X50" s="108"/>
      <c r="Y50" s="108"/>
      <c r="Z50" s="108"/>
      <c r="AA50" s="108"/>
      <c r="AB50" s="110">
        <f t="shared" si="74"/>
        <v>0</v>
      </c>
      <c r="AC50" s="109"/>
      <c r="AD50" s="108"/>
      <c r="AE50" s="108"/>
      <c r="AF50" s="108"/>
      <c r="AG50" s="110">
        <f t="shared" si="75"/>
        <v>0</v>
      </c>
      <c r="AH50" s="109"/>
      <c r="AI50" s="108"/>
      <c r="AJ50" s="109"/>
      <c r="AK50" s="108"/>
      <c r="AL50" s="110">
        <f t="shared" si="76"/>
        <v>0</v>
      </c>
      <c r="AM50" s="109"/>
      <c r="AN50" s="108"/>
      <c r="AO50" s="108"/>
      <c r="AP50" s="108"/>
      <c r="AQ50" s="110">
        <f t="shared" si="77"/>
        <v>0</v>
      </c>
      <c r="AR50" s="629"/>
      <c r="AS50" s="629"/>
    </row>
    <row r="51" spans="1:45" s="121" customFormat="1" hidden="1" outlineLevel="1" x14ac:dyDescent="0.2">
      <c r="A51" s="105"/>
      <c r="B51" s="119"/>
      <c r="C51" s="120" t="s">
        <v>94</v>
      </c>
      <c r="D51" s="108"/>
      <c r="E51" s="109"/>
      <c r="F51" s="108"/>
      <c r="G51" s="108"/>
      <c r="H51" s="110"/>
      <c r="I51" s="108"/>
      <c r="J51" s="108"/>
      <c r="K51" s="108"/>
      <c r="L51" s="108"/>
      <c r="M51" s="110"/>
      <c r="N51" s="108"/>
      <c r="O51" s="109"/>
      <c r="P51" s="108"/>
      <c r="Q51" s="108"/>
      <c r="R51" s="110"/>
      <c r="S51" s="109"/>
      <c r="T51" s="109"/>
      <c r="U51" s="109"/>
      <c r="V51" s="109"/>
      <c r="W51" s="110"/>
      <c r="X51" s="108"/>
      <c r="Y51" s="108">
        <v>3379</v>
      </c>
      <c r="Z51" s="108"/>
      <c r="AA51" s="108"/>
      <c r="AB51" s="110">
        <f t="shared" si="74"/>
        <v>3379</v>
      </c>
      <c r="AC51" s="109"/>
      <c r="AD51" s="108"/>
      <c r="AE51" s="108"/>
      <c r="AF51" s="108"/>
      <c r="AG51" s="110">
        <f t="shared" si="75"/>
        <v>0</v>
      </c>
      <c r="AH51" s="109"/>
      <c r="AI51" s="108"/>
      <c r="AJ51" s="109"/>
      <c r="AK51" s="108"/>
      <c r="AL51" s="110">
        <f t="shared" si="76"/>
        <v>0</v>
      </c>
      <c r="AM51" s="109"/>
      <c r="AN51" s="108"/>
      <c r="AO51" s="108"/>
      <c r="AP51" s="108"/>
      <c r="AQ51" s="110">
        <f t="shared" si="77"/>
        <v>0</v>
      </c>
      <c r="AR51" s="629"/>
      <c r="AS51" s="629"/>
    </row>
    <row r="52" spans="1:45" s="121" customFormat="1" hidden="1" outlineLevel="1" x14ac:dyDescent="0.2">
      <c r="A52" s="105"/>
      <c r="B52" s="119"/>
      <c r="C52" s="120" t="s">
        <v>95</v>
      </c>
      <c r="D52" s="108"/>
      <c r="E52" s="109"/>
      <c r="F52" s="108"/>
      <c r="G52" s="108"/>
      <c r="H52" s="110"/>
      <c r="I52" s="108"/>
      <c r="J52" s="108"/>
      <c r="K52" s="108"/>
      <c r="L52" s="108"/>
      <c r="M52" s="110"/>
      <c r="N52" s="108"/>
      <c r="O52" s="109"/>
      <c r="P52" s="108"/>
      <c r="Q52" s="108"/>
      <c r="R52" s="110"/>
      <c r="S52" s="109"/>
      <c r="T52" s="109"/>
      <c r="U52" s="109"/>
      <c r="V52" s="109"/>
      <c r="W52" s="110"/>
      <c r="X52" s="108"/>
      <c r="Y52" s="108">
        <v>4417</v>
      </c>
      <c r="Z52" s="108">
        <v>243</v>
      </c>
      <c r="AA52" s="108"/>
      <c r="AB52" s="110">
        <f t="shared" si="74"/>
        <v>4660</v>
      </c>
      <c r="AC52" s="109"/>
      <c r="AD52" s="108">
        <v>215</v>
      </c>
      <c r="AE52" s="108">
        <v>289</v>
      </c>
      <c r="AF52" s="108">
        <v>1004</v>
      </c>
      <c r="AG52" s="110">
        <f t="shared" si="75"/>
        <v>1508</v>
      </c>
      <c r="AH52" s="109">
        <v>97</v>
      </c>
      <c r="AI52" s="108">
        <v>872</v>
      </c>
      <c r="AJ52" s="109"/>
      <c r="AK52" s="108"/>
      <c r="AL52" s="110">
        <f t="shared" si="76"/>
        <v>969</v>
      </c>
      <c r="AM52" s="109"/>
      <c r="AN52" s="108"/>
      <c r="AO52" s="108"/>
      <c r="AP52" s="108"/>
      <c r="AQ52" s="110">
        <f t="shared" si="77"/>
        <v>0</v>
      </c>
      <c r="AR52" s="629"/>
      <c r="AS52" s="629"/>
    </row>
    <row r="53" spans="1:45" s="121" customFormat="1" hidden="1" outlineLevel="1" x14ac:dyDescent="0.2">
      <c r="A53" s="105"/>
      <c r="B53" s="119"/>
      <c r="C53" s="120" t="s">
        <v>96</v>
      </c>
      <c r="D53" s="108"/>
      <c r="E53" s="109"/>
      <c r="F53" s="108"/>
      <c r="G53" s="176"/>
      <c r="H53" s="172">
        <f t="shared" si="78"/>
        <v>0</v>
      </c>
      <c r="I53" s="108"/>
      <c r="J53" s="108"/>
      <c r="K53" s="108"/>
      <c r="L53" s="176"/>
      <c r="M53" s="172">
        <f t="shared" si="79"/>
        <v>0</v>
      </c>
      <c r="N53" s="108"/>
      <c r="O53" s="109"/>
      <c r="P53" s="108"/>
      <c r="Q53" s="176"/>
      <c r="R53" s="172">
        <f t="shared" si="80"/>
        <v>0</v>
      </c>
      <c r="S53" s="109"/>
      <c r="T53" s="109"/>
      <c r="U53" s="109"/>
      <c r="V53" s="109"/>
      <c r="W53" s="172">
        <f t="shared" si="73"/>
        <v>0</v>
      </c>
      <c r="X53" s="109"/>
      <c r="Y53" s="108"/>
      <c r="Z53" s="108"/>
      <c r="AA53" s="176"/>
      <c r="AB53" s="172">
        <f t="shared" si="74"/>
        <v>0</v>
      </c>
      <c r="AC53" s="109"/>
      <c r="AD53" s="108"/>
      <c r="AE53" s="108"/>
      <c r="AF53" s="176"/>
      <c r="AG53" s="172">
        <f t="shared" si="75"/>
        <v>0</v>
      </c>
      <c r="AH53" s="109"/>
      <c r="AI53" s="108"/>
      <c r="AJ53" s="109"/>
      <c r="AK53" s="176"/>
      <c r="AL53" s="172">
        <f t="shared" si="76"/>
        <v>0</v>
      </c>
      <c r="AM53" s="109"/>
      <c r="AN53" s="108"/>
      <c r="AO53" s="108"/>
      <c r="AP53" s="176"/>
      <c r="AQ53" s="172">
        <f t="shared" si="77"/>
        <v>0</v>
      </c>
      <c r="AR53" s="629"/>
      <c r="AS53" s="629"/>
    </row>
    <row r="54" spans="1:45" s="121" customFormat="1" hidden="1" outlineLevel="1" x14ac:dyDescent="0.2">
      <c r="A54" s="105"/>
      <c r="B54" s="119"/>
      <c r="C54" s="120" t="s">
        <v>97</v>
      </c>
      <c r="D54" s="108"/>
      <c r="E54" s="109"/>
      <c r="F54" s="108"/>
      <c r="G54" s="109"/>
      <c r="H54" s="172">
        <f t="shared" si="78"/>
        <v>0</v>
      </c>
      <c r="I54" s="108"/>
      <c r="J54" s="108"/>
      <c r="K54" s="108"/>
      <c r="L54" s="109"/>
      <c r="M54" s="172">
        <f t="shared" si="79"/>
        <v>0</v>
      </c>
      <c r="N54" s="108"/>
      <c r="O54" s="109"/>
      <c r="P54" s="109"/>
      <c r="Q54" s="109"/>
      <c r="R54" s="172">
        <f t="shared" si="80"/>
        <v>0</v>
      </c>
      <c r="S54" s="109"/>
      <c r="T54" s="109"/>
      <c r="U54" s="109"/>
      <c r="V54" s="109"/>
      <c r="W54" s="172">
        <f t="shared" si="73"/>
        <v>0</v>
      </c>
      <c r="X54" s="109"/>
      <c r="Y54" s="108"/>
      <c r="Z54" s="108"/>
      <c r="AA54" s="109"/>
      <c r="AB54" s="172">
        <f t="shared" si="74"/>
        <v>0</v>
      </c>
      <c r="AC54" s="109"/>
      <c r="AD54" s="108"/>
      <c r="AE54" s="108"/>
      <c r="AF54" s="109"/>
      <c r="AG54" s="172">
        <f t="shared" si="75"/>
        <v>0</v>
      </c>
      <c r="AH54" s="109"/>
      <c r="AI54" s="108"/>
      <c r="AJ54" s="109"/>
      <c r="AK54" s="109"/>
      <c r="AL54" s="172">
        <f t="shared" si="76"/>
        <v>0</v>
      </c>
      <c r="AM54" s="109"/>
      <c r="AN54" s="108"/>
      <c r="AO54" s="108"/>
      <c r="AP54" s="109"/>
      <c r="AQ54" s="172">
        <f t="shared" si="77"/>
        <v>0</v>
      </c>
      <c r="AR54" s="629"/>
      <c r="AS54" s="629"/>
    </row>
    <row r="55" spans="1:45" s="121" customFormat="1" hidden="1" outlineLevel="1" x14ac:dyDescent="0.2">
      <c r="A55" s="105"/>
      <c r="B55" s="119"/>
      <c r="C55" s="178" t="s">
        <v>98</v>
      </c>
      <c r="D55" s="108">
        <v>-297.24736000000001</v>
      </c>
      <c r="E55" s="109">
        <v>-310.55432000000002</v>
      </c>
      <c r="F55" s="108">
        <v>-696.34339000000023</v>
      </c>
      <c r="G55" s="108">
        <v>-401.40482000000009</v>
      </c>
      <c r="H55" s="110">
        <f t="shared" si="78"/>
        <v>-1705.5498900000002</v>
      </c>
      <c r="I55" s="108">
        <v>-159.82792999999987</v>
      </c>
      <c r="J55" s="108">
        <v>-365.27410999999995</v>
      </c>
      <c r="K55" s="108">
        <v>519.21715000000017</v>
      </c>
      <c r="L55" s="108">
        <v>594.46883999999977</v>
      </c>
      <c r="M55" s="110">
        <f t="shared" si="79"/>
        <v>588.58395000000019</v>
      </c>
      <c r="N55" s="108">
        <v>660.2988600000001</v>
      </c>
      <c r="O55" s="109">
        <v>905</v>
      </c>
      <c r="P55" s="109">
        <v>303</v>
      </c>
      <c r="Q55" s="108">
        <v>24</v>
      </c>
      <c r="R55" s="110">
        <f t="shared" si="80"/>
        <v>1892.2988600000001</v>
      </c>
      <c r="S55" s="109">
        <f>925-1671</f>
        <v>-746</v>
      </c>
      <c r="T55" s="109"/>
      <c r="U55" s="109"/>
      <c r="V55" s="109">
        <v>15471</v>
      </c>
      <c r="W55" s="110">
        <f t="shared" si="73"/>
        <v>14725</v>
      </c>
      <c r="X55" s="109">
        <v>6325</v>
      </c>
      <c r="Y55" s="175"/>
      <c r="Z55" s="108"/>
      <c r="AA55" s="175"/>
      <c r="AB55" s="110">
        <f t="shared" si="74"/>
        <v>6325</v>
      </c>
      <c r="AC55" s="109"/>
      <c r="AD55" s="175"/>
      <c r="AE55" s="175"/>
      <c r="AF55" s="179">
        <v>1</v>
      </c>
      <c r="AG55" s="110">
        <f t="shared" si="75"/>
        <v>1</v>
      </c>
      <c r="AH55" s="109"/>
      <c r="AI55" s="179">
        <v>25091</v>
      </c>
      <c r="AJ55" s="109">
        <v>2107</v>
      </c>
      <c r="AK55" s="179">
        <v>392</v>
      </c>
      <c r="AL55" s="110">
        <f t="shared" si="76"/>
        <v>27590</v>
      </c>
      <c r="AM55" s="109"/>
      <c r="AN55" s="175"/>
      <c r="AO55" s="175"/>
      <c r="AP55" s="175"/>
      <c r="AQ55" s="110">
        <f t="shared" si="77"/>
        <v>0</v>
      </c>
      <c r="AR55" s="629"/>
      <c r="AS55" s="629"/>
    </row>
    <row r="56" spans="1:45" s="121" customFormat="1" hidden="1" outlineLevel="1" x14ac:dyDescent="0.2">
      <c r="A56" s="119"/>
      <c r="B56" s="119"/>
      <c r="C56" s="120" t="s">
        <v>170</v>
      </c>
      <c r="D56" s="108">
        <v>370.23185000000001</v>
      </c>
      <c r="E56" s="109">
        <v>364.32182</v>
      </c>
      <c r="F56" s="108">
        <v>369.67399999999998</v>
      </c>
      <c r="G56" s="108">
        <v>440.53721000000002</v>
      </c>
      <c r="H56" s="110">
        <f t="shared" si="78"/>
        <v>1544.7648799999999</v>
      </c>
      <c r="I56" s="108">
        <v>786.37352999999996</v>
      </c>
      <c r="J56" s="108">
        <v>414.58766000000003</v>
      </c>
      <c r="K56" s="108">
        <v>1376.3448800000001</v>
      </c>
      <c r="L56" s="108">
        <v>1505.1670199999999</v>
      </c>
      <c r="M56" s="110">
        <f t="shared" si="79"/>
        <v>4082.47309</v>
      </c>
      <c r="N56" s="108">
        <v>2275.6993700000003</v>
      </c>
      <c r="O56" s="109">
        <v>3075</v>
      </c>
      <c r="P56" s="109">
        <v>5085</v>
      </c>
      <c r="Q56" s="108">
        <v>7628</v>
      </c>
      <c r="R56" s="110">
        <f t="shared" si="80"/>
        <v>18063.699370000002</v>
      </c>
      <c r="S56" s="109">
        <f>9894+956</f>
        <v>10850</v>
      </c>
      <c r="T56" s="109">
        <f>10689+1105</f>
        <v>11794</v>
      </c>
      <c r="U56" s="109">
        <f>10680+1172</f>
        <v>11852</v>
      </c>
      <c r="V56" s="109">
        <f>40724+973</f>
        <v>41697</v>
      </c>
      <c r="W56" s="110">
        <f t="shared" si="73"/>
        <v>76193</v>
      </c>
      <c r="X56" s="109">
        <f>37887+163+582+195+1042</f>
        <v>39869</v>
      </c>
      <c r="Y56" s="108">
        <v>49684</v>
      </c>
      <c r="Z56" s="108">
        <v>55143</v>
      </c>
      <c r="AA56" s="179">
        <v>57957</v>
      </c>
      <c r="AB56" s="110">
        <f t="shared" si="74"/>
        <v>202653</v>
      </c>
      <c r="AC56" s="109">
        <v>74533</v>
      </c>
      <c r="AD56" s="179">
        <v>120470</v>
      </c>
      <c r="AE56" s="179">
        <v>65724</v>
      </c>
      <c r="AF56" s="179">
        <v>59169</v>
      </c>
      <c r="AG56" s="110">
        <f t="shared" si="75"/>
        <v>319896</v>
      </c>
      <c r="AH56" s="179">
        <v>65984</v>
      </c>
      <c r="AI56" s="179">
        <v>62552</v>
      </c>
      <c r="AJ56" s="109">
        <v>60619</v>
      </c>
      <c r="AK56" s="179">
        <v>58837</v>
      </c>
      <c r="AL56" s="110">
        <f t="shared" si="76"/>
        <v>247992</v>
      </c>
      <c r="AM56" s="175">
        <v>6000</v>
      </c>
      <c r="AN56" s="175">
        <v>60000</v>
      </c>
      <c r="AO56" s="175">
        <v>60000</v>
      </c>
      <c r="AP56" s="175">
        <v>60000</v>
      </c>
      <c r="AQ56" s="110">
        <f t="shared" si="77"/>
        <v>186000</v>
      </c>
      <c r="AR56" s="629"/>
      <c r="AS56" s="629"/>
    </row>
    <row r="57" spans="1:45" s="121" customFormat="1" hidden="1" outlineLevel="1" x14ac:dyDescent="0.2">
      <c r="A57" s="109"/>
      <c r="B57" s="119"/>
      <c r="C57" s="112" t="s">
        <v>83</v>
      </c>
      <c r="D57" s="114">
        <f>D56/D26</f>
        <v>2.8256301530925527E-2</v>
      </c>
      <c r="E57" s="114">
        <f t="shared" ref="E57:AQ57" si="81">E56/E26</f>
        <v>2.4026840859741994E-2</v>
      </c>
      <c r="F57" s="114">
        <f t="shared" si="81"/>
        <v>2.1621264816970617E-2</v>
      </c>
      <c r="G57" s="114">
        <f t="shared" si="81"/>
        <v>2.2590870950106205E-2</v>
      </c>
      <c r="H57" s="114">
        <f t="shared" si="81"/>
        <v>2.3815396499531002E-2</v>
      </c>
      <c r="I57" s="114">
        <f t="shared" si="81"/>
        <v>3.5068185241908509E-2</v>
      </c>
      <c r="J57" s="114">
        <f t="shared" si="81"/>
        <v>1.594650713048654E-2</v>
      </c>
      <c r="K57" s="114">
        <f t="shared" si="81"/>
        <v>4.8731065404350904E-2</v>
      </c>
      <c r="L57" s="114">
        <f t="shared" si="81"/>
        <v>4.7505095923203483E-2</v>
      </c>
      <c r="M57" s="114">
        <f t="shared" si="81"/>
        <v>3.7678294630082251E-2</v>
      </c>
      <c r="N57" s="114">
        <f t="shared" si="81"/>
        <v>6.4688261298391544E-2</v>
      </c>
      <c r="O57" s="114">
        <f t="shared" si="81"/>
        <v>7.8684749232343906E-2</v>
      </c>
      <c r="P57" s="114">
        <f t="shared" si="81"/>
        <v>0.12333252486053844</v>
      </c>
      <c r="Q57" s="114">
        <f t="shared" si="81"/>
        <v>0.1811446212301116</v>
      </c>
      <c r="R57" s="114">
        <f t="shared" si="81"/>
        <v>0.11461776024612995</v>
      </c>
      <c r="S57" s="114">
        <f t="shared" si="81"/>
        <v>0.23480274405418858</v>
      </c>
      <c r="T57" s="114">
        <f t="shared" si="81"/>
        <v>0.21822555278009068</v>
      </c>
      <c r="U57" s="114">
        <f t="shared" si="81"/>
        <v>0.1983996785965382</v>
      </c>
      <c r="V57" s="114">
        <f t="shared" si="81"/>
        <v>0.53271242957341614</v>
      </c>
      <c r="W57" s="336">
        <f t="shared" si="81"/>
        <v>0.31978259500975803</v>
      </c>
      <c r="X57" s="114">
        <f t="shared" si="81"/>
        <v>0.33687652620638958</v>
      </c>
      <c r="Y57" s="114">
        <f t="shared" si="81"/>
        <v>0.31751428315801583</v>
      </c>
      <c r="Z57" s="114">
        <f t="shared" si="81"/>
        <v>0.33037367219655983</v>
      </c>
      <c r="AA57" s="114">
        <f t="shared" si="81"/>
        <v>0.28946514101917381</v>
      </c>
      <c r="AB57" s="336">
        <f t="shared" si="81"/>
        <v>0.31567903869250219</v>
      </c>
      <c r="AC57" s="114">
        <f t="shared" si="81"/>
        <v>0.32416363667994641</v>
      </c>
      <c r="AD57" s="114">
        <f t="shared" si="81"/>
        <v>0.46333546148935023</v>
      </c>
      <c r="AE57" s="114">
        <f t="shared" si="81"/>
        <v>0.2411403203023243</v>
      </c>
      <c r="AF57" s="114">
        <f t="shared" si="81"/>
        <v>0.19990675140126291</v>
      </c>
      <c r="AG57" s="336">
        <f t="shared" si="81"/>
        <v>0.30222548060026377</v>
      </c>
      <c r="AH57" s="114">
        <f t="shared" si="81"/>
        <v>0.21635162385035331</v>
      </c>
      <c r="AI57" s="114">
        <f t="shared" si="81"/>
        <v>0.196398687577513</v>
      </c>
      <c r="AJ57" s="115">
        <f t="shared" si="81"/>
        <v>0.18765865497727752</v>
      </c>
      <c r="AK57" s="114">
        <f t="shared" si="81"/>
        <v>0.17120451602578093</v>
      </c>
      <c r="AL57" s="336">
        <f t="shared" si="81"/>
        <v>0.19221608264938114</v>
      </c>
      <c r="AM57" s="114">
        <f t="shared" si="81"/>
        <v>1.721826518545223E-2</v>
      </c>
      <c r="AN57" s="114">
        <f t="shared" si="81"/>
        <v>0.16812634934951726</v>
      </c>
      <c r="AO57" s="114">
        <f t="shared" si="81"/>
        <v>0.16914361827675378</v>
      </c>
      <c r="AP57" s="114">
        <f t="shared" si="81"/>
        <v>0.16059199808907071</v>
      </c>
      <c r="AQ57" s="336">
        <f t="shared" si="81"/>
        <v>0.12973539657931263</v>
      </c>
      <c r="AR57" s="629"/>
      <c r="AS57" s="629"/>
    </row>
    <row r="58" spans="1:45" s="185" customFormat="1" collapsed="1" x14ac:dyDescent="0.2">
      <c r="A58" s="180"/>
      <c r="B58" s="159" t="s">
        <v>99</v>
      </c>
      <c r="C58" s="181"/>
      <c r="D58" s="182">
        <f t="shared" ref="D58:U58" si="82">SUM(D48:D56)</f>
        <v>72.984489999999994</v>
      </c>
      <c r="E58" s="183">
        <f>SUM(E48:E56)</f>
        <v>53.767499999999984</v>
      </c>
      <c r="F58" s="183">
        <f t="shared" si="82"/>
        <v>-326.66939000000025</v>
      </c>
      <c r="G58" s="183">
        <f t="shared" si="82"/>
        <v>39.13238999999993</v>
      </c>
      <c r="H58" s="184">
        <f t="shared" si="82"/>
        <v>-160.78501000000028</v>
      </c>
      <c r="I58" s="183">
        <f t="shared" si="82"/>
        <v>626.54560000000015</v>
      </c>
      <c r="J58" s="183">
        <f t="shared" si="82"/>
        <v>49.313550000000077</v>
      </c>
      <c r="K58" s="183">
        <f t="shared" si="82"/>
        <v>1895.5620300000003</v>
      </c>
      <c r="L58" s="183">
        <f t="shared" si="82"/>
        <v>2099.6358599999994</v>
      </c>
      <c r="M58" s="184">
        <f t="shared" si="82"/>
        <v>4671.0570399999997</v>
      </c>
      <c r="N58" s="183">
        <f t="shared" si="82"/>
        <v>2935.9982300000001</v>
      </c>
      <c r="O58" s="183">
        <f t="shared" si="82"/>
        <v>3980</v>
      </c>
      <c r="P58" s="183">
        <f t="shared" si="82"/>
        <v>5388</v>
      </c>
      <c r="Q58" s="183">
        <f t="shared" si="82"/>
        <v>7652</v>
      </c>
      <c r="R58" s="184">
        <f t="shared" si="82"/>
        <v>19955.998230000001</v>
      </c>
      <c r="S58" s="183">
        <f t="shared" si="82"/>
        <v>11304</v>
      </c>
      <c r="T58" s="183">
        <f t="shared" si="82"/>
        <v>12894</v>
      </c>
      <c r="U58" s="183">
        <f t="shared" si="82"/>
        <v>13166</v>
      </c>
      <c r="V58" s="183">
        <f t="shared" ref="V58:AK58" si="83">SUM(V47:V56)</f>
        <v>64521</v>
      </c>
      <c r="W58" s="184">
        <f t="shared" si="83"/>
        <v>101885</v>
      </c>
      <c r="X58" s="183">
        <f t="shared" si="83"/>
        <v>65007</v>
      </c>
      <c r="Y58" s="183">
        <f t="shared" si="83"/>
        <v>79457</v>
      </c>
      <c r="Z58" s="182">
        <f t="shared" si="83"/>
        <v>77505</v>
      </c>
      <c r="AA58" s="183">
        <f t="shared" si="83"/>
        <v>80186</v>
      </c>
      <c r="AB58" s="184">
        <f t="shared" si="83"/>
        <v>302155</v>
      </c>
      <c r="AC58" s="183">
        <f t="shared" si="83"/>
        <v>96839</v>
      </c>
      <c r="AD58" s="183">
        <f t="shared" si="83"/>
        <v>143215</v>
      </c>
      <c r="AE58" s="183">
        <f t="shared" si="83"/>
        <v>89059</v>
      </c>
      <c r="AF58" s="183">
        <f t="shared" si="83"/>
        <v>83746</v>
      </c>
      <c r="AG58" s="184">
        <f t="shared" si="83"/>
        <v>412859</v>
      </c>
      <c r="AH58" s="183">
        <f t="shared" si="83"/>
        <v>90020</v>
      </c>
      <c r="AI58" s="183">
        <f>SUM(AI47:AI56)</f>
        <v>111977</v>
      </c>
      <c r="AJ58" s="183">
        <f t="shared" si="83"/>
        <v>86155</v>
      </c>
      <c r="AK58" s="183">
        <f t="shared" si="83"/>
        <v>82194</v>
      </c>
      <c r="AL58" s="184">
        <f>SUM(AL47:AL56)</f>
        <v>370346</v>
      </c>
      <c r="AM58" s="183">
        <f t="shared" ref="AM58:AP58" si="84">SUM(AM47:AM56)</f>
        <v>8300</v>
      </c>
      <c r="AN58" s="183">
        <f t="shared" si="84"/>
        <v>62300</v>
      </c>
      <c r="AO58" s="183">
        <f t="shared" si="84"/>
        <v>62300</v>
      </c>
      <c r="AP58" s="183">
        <f t="shared" si="84"/>
        <v>62300</v>
      </c>
      <c r="AQ58" s="184">
        <f>SUM(AQ47:AQ56)</f>
        <v>195200</v>
      </c>
      <c r="AR58" s="634"/>
      <c r="AS58" s="634"/>
    </row>
    <row r="59" spans="1:45" s="121" customFormat="1" ht="12.75" hidden="1" customHeight="1" x14ac:dyDescent="0.2">
      <c r="A59" s="105"/>
      <c r="B59" s="119"/>
      <c r="C59" s="120"/>
      <c r="D59" s="108"/>
      <c r="E59" s="171"/>
      <c r="F59" s="170"/>
      <c r="G59" s="171"/>
      <c r="H59" s="172"/>
      <c r="I59" s="108"/>
      <c r="J59" s="170"/>
      <c r="K59" s="170"/>
      <c r="L59" s="171"/>
      <c r="M59" s="172"/>
      <c r="N59" s="108"/>
      <c r="O59" s="171"/>
      <c r="P59" s="171"/>
      <c r="Q59" s="171"/>
      <c r="R59" s="172"/>
      <c r="S59" s="109"/>
      <c r="T59" s="171"/>
      <c r="U59" s="171"/>
      <c r="V59" s="171"/>
      <c r="W59" s="172"/>
      <c r="X59" s="109"/>
      <c r="Y59" s="170"/>
      <c r="Z59" s="170"/>
      <c r="AA59" s="171"/>
      <c r="AB59" s="172"/>
      <c r="AC59" s="109"/>
      <c r="AD59" s="170"/>
      <c r="AE59" s="170"/>
      <c r="AF59" s="171"/>
      <c r="AG59" s="172"/>
      <c r="AH59" s="109"/>
      <c r="AI59" s="170"/>
      <c r="AJ59" s="171"/>
      <c r="AK59" s="171"/>
      <c r="AL59" s="172"/>
      <c r="AM59" s="109"/>
      <c r="AN59" s="170"/>
      <c r="AO59" s="170"/>
      <c r="AP59" s="171"/>
      <c r="AQ59" s="172"/>
      <c r="AR59" s="629"/>
      <c r="AS59" s="629"/>
    </row>
    <row r="60" spans="1:45" s="121" customFormat="1" ht="18" customHeight="1" x14ac:dyDescent="0.2">
      <c r="A60" s="105"/>
      <c r="B60" s="119" t="s">
        <v>100</v>
      </c>
      <c r="C60" s="120"/>
      <c r="D60" s="108">
        <f t="shared" ref="D60:AQ60" si="85">D43-D58</f>
        <v>-2950.3877999999995</v>
      </c>
      <c r="E60" s="109">
        <f t="shared" si="85"/>
        <v>-1657.6084600000013</v>
      </c>
      <c r="F60" s="108">
        <f t="shared" si="85"/>
        <v>-1463.9535799999965</v>
      </c>
      <c r="G60" s="109">
        <f t="shared" si="85"/>
        <v>-1743.7519299999997</v>
      </c>
      <c r="H60" s="110">
        <f t="shared" si="85"/>
        <v>-7815.7017699999915</v>
      </c>
      <c r="I60" s="108">
        <f t="shared" si="85"/>
        <v>-1400.9444900000042</v>
      </c>
      <c r="J60" s="108">
        <f t="shared" si="85"/>
        <v>-117.86822999999754</v>
      </c>
      <c r="K60" s="108">
        <f t="shared" si="85"/>
        <v>-3003.4406300000001</v>
      </c>
      <c r="L60" s="109">
        <f t="shared" si="85"/>
        <v>-5281.0748099999992</v>
      </c>
      <c r="M60" s="110">
        <f t="shared" si="85"/>
        <v>-9803.32815999999</v>
      </c>
      <c r="N60" s="108">
        <f t="shared" si="85"/>
        <v>-6449.8610899999976</v>
      </c>
      <c r="O60" s="109">
        <f t="shared" si="85"/>
        <v>-8490</v>
      </c>
      <c r="P60" s="109">
        <f t="shared" si="85"/>
        <v>-9715</v>
      </c>
      <c r="Q60" s="109">
        <f t="shared" si="85"/>
        <v>-10261</v>
      </c>
      <c r="R60" s="110">
        <f t="shared" si="85"/>
        <v>-34915.861089999991</v>
      </c>
      <c r="S60" s="109">
        <f t="shared" si="85"/>
        <v>-13581</v>
      </c>
      <c r="T60" s="109">
        <f t="shared" si="85"/>
        <v>-14452</v>
      </c>
      <c r="U60" s="109">
        <f t="shared" si="85"/>
        <v>-15296</v>
      </c>
      <c r="V60" s="109">
        <f t="shared" si="85"/>
        <v>-70719</v>
      </c>
      <c r="W60" s="110">
        <f t="shared" si="85"/>
        <v>-114048</v>
      </c>
      <c r="X60" s="109">
        <f t="shared" si="85"/>
        <v>-74205</v>
      </c>
      <c r="Y60" s="108">
        <f t="shared" si="85"/>
        <v>-76075</v>
      </c>
      <c r="Z60" s="108">
        <f t="shared" si="85"/>
        <v>-83183</v>
      </c>
      <c r="AA60" s="109">
        <f t="shared" si="85"/>
        <v>-83355</v>
      </c>
      <c r="AB60" s="110">
        <f t="shared" si="85"/>
        <v>-316818</v>
      </c>
      <c r="AC60" s="109">
        <f t="shared" si="85"/>
        <v>-87694</v>
      </c>
      <c r="AD60" s="108">
        <f t="shared" si="85"/>
        <v>-112463</v>
      </c>
      <c r="AE60" s="108">
        <f t="shared" si="85"/>
        <v>-54218</v>
      </c>
      <c r="AF60" s="109">
        <f t="shared" si="85"/>
        <v>-41398</v>
      </c>
      <c r="AG60" s="110">
        <f t="shared" si="85"/>
        <v>-295773</v>
      </c>
      <c r="AH60" s="109">
        <f t="shared" si="85"/>
        <v>-56647</v>
      </c>
      <c r="AI60" s="108">
        <f t="shared" si="85"/>
        <v>-67674</v>
      </c>
      <c r="AJ60" s="109">
        <f t="shared" si="85"/>
        <v>-27622</v>
      </c>
      <c r="AK60" s="109">
        <f>AK43-AK58</f>
        <v>-22223</v>
      </c>
      <c r="AL60" s="110">
        <f t="shared" si="85"/>
        <v>-174166</v>
      </c>
      <c r="AM60" s="109">
        <f t="shared" si="85"/>
        <v>47454.745885265351</v>
      </c>
      <c r="AN60" s="108">
        <f t="shared" si="85"/>
        <v>-11623.8267947649</v>
      </c>
      <c r="AO60" s="108">
        <f t="shared" si="85"/>
        <v>-27536.642919751757</v>
      </c>
      <c r="AP60" s="109">
        <f>AP43-AP58</f>
        <v>-25685.473311449052</v>
      </c>
      <c r="AQ60" s="110">
        <f t="shared" si="85"/>
        <v>-17391.197140700417</v>
      </c>
      <c r="AR60" s="629"/>
      <c r="AS60" s="629"/>
    </row>
    <row r="61" spans="1:45" s="160" customFormat="1" ht="13.35" customHeight="1" x14ac:dyDescent="0.2">
      <c r="A61" s="123"/>
      <c r="B61" s="124"/>
      <c r="C61" s="112" t="s">
        <v>101</v>
      </c>
      <c r="D61" s="114">
        <f t="shared" ref="D61:AQ61" si="86">D60/D26</f>
        <v>-0.22517524440418615</v>
      </c>
      <c r="E61" s="115">
        <f t="shared" si="86"/>
        <v>-0.10931844454494116</v>
      </c>
      <c r="F61" s="114">
        <f t="shared" si="86"/>
        <v>-8.5622813703241513E-2</v>
      </c>
      <c r="G61" s="115">
        <f t="shared" si="86"/>
        <v>-8.9420085126585822E-2</v>
      </c>
      <c r="H61" s="116">
        <f t="shared" si="86"/>
        <v>-0.12049344141914727</v>
      </c>
      <c r="I61" s="114">
        <f t="shared" si="86"/>
        <v>-6.2474865969803423E-2</v>
      </c>
      <c r="J61" s="114">
        <f t="shared" si="86"/>
        <v>-4.5336288353415742E-3</v>
      </c>
      <c r="K61" s="114">
        <f t="shared" si="86"/>
        <v>-0.10634025229099184</v>
      </c>
      <c r="L61" s="115">
        <f t="shared" si="86"/>
        <v>-0.16667782518026711</v>
      </c>
      <c r="M61" s="116">
        <f t="shared" si="86"/>
        <v>-9.0477678266303471E-2</v>
      </c>
      <c r="N61" s="114">
        <f t="shared" si="86"/>
        <v>-0.18334157183874786</v>
      </c>
      <c r="O61" s="115">
        <f t="shared" si="86"/>
        <v>-0.21724667349027635</v>
      </c>
      <c r="P61" s="115">
        <f t="shared" si="86"/>
        <v>-0.23562939607082223</v>
      </c>
      <c r="Q61" s="115">
        <f t="shared" si="86"/>
        <v>-0.24367133697459037</v>
      </c>
      <c r="R61" s="116">
        <f t="shared" si="86"/>
        <v>-0.22154807347199534</v>
      </c>
      <c r="S61" s="115">
        <f t="shared" si="86"/>
        <v>-0.29390378497695252</v>
      </c>
      <c r="T61" s="115">
        <f t="shared" si="86"/>
        <v>-0.26740679063743178</v>
      </c>
      <c r="U61" s="115">
        <f t="shared" si="86"/>
        <v>-0.2560514245538853</v>
      </c>
      <c r="V61" s="115">
        <f t="shared" si="86"/>
        <v>-0.90349162546471962</v>
      </c>
      <c r="W61" s="116">
        <f t="shared" si="86"/>
        <v>-0.47866031519526575</v>
      </c>
      <c r="X61" s="115">
        <f t="shared" si="86"/>
        <v>-0.62700149557664198</v>
      </c>
      <c r="Y61" s="114">
        <f t="shared" si="86"/>
        <v>-0.48617057988982476</v>
      </c>
      <c r="Z61" s="114">
        <f t="shared" si="86"/>
        <v>-0.49836739340127373</v>
      </c>
      <c r="AA61" s="115">
        <f t="shared" si="86"/>
        <v>-0.41631497195598866</v>
      </c>
      <c r="AB61" s="116">
        <f t="shared" si="86"/>
        <v>-0.49351749878107481</v>
      </c>
      <c r="AC61" s="115">
        <f t="shared" si="86"/>
        <v>-0.38140429011325483</v>
      </c>
      <c r="AD61" s="114">
        <f t="shared" si="86"/>
        <v>-0.43254001830726985</v>
      </c>
      <c r="AE61" s="114">
        <f t="shared" si="86"/>
        <v>-0.19892498761717819</v>
      </c>
      <c r="AF61" s="115">
        <f t="shared" si="86"/>
        <v>-0.13986614096079841</v>
      </c>
      <c r="AG61" s="116">
        <f t="shared" si="86"/>
        <v>-0.27943499472822986</v>
      </c>
      <c r="AH61" s="115">
        <f t="shared" si="86"/>
        <v>-0.18573700345918651</v>
      </c>
      <c r="AI61" s="114">
        <f t="shared" si="86"/>
        <v>-0.21248057269344889</v>
      </c>
      <c r="AJ61" s="115">
        <f t="shared" si="86"/>
        <v>-8.5509615265549732E-2</v>
      </c>
      <c r="AK61" s="115">
        <f t="shared" si="86"/>
        <v>-6.4664717093681351E-2</v>
      </c>
      <c r="AL61" s="116">
        <f t="shared" si="86"/>
        <v>-0.13499429921413639</v>
      </c>
      <c r="AM61" s="115">
        <f t="shared" si="86"/>
        <v>0.13618139982679114</v>
      </c>
      <c r="AN61" s="114">
        <f t="shared" si="86"/>
        <v>-3.2571192741248721E-2</v>
      </c>
      <c r="AO61" s="114">
        <f t="shared" si="86"/>
        <v>-7.7627456977362772E-2</v>
      </c>
      <c r="AP61" s="115">
        <f t="shared" si="86"/>
        <v>-6.8748024682485046E-2</v>
      </c>
      <c r="AQ61" s="116">
        <f t="shared" si="86"/>
        <v>-1.2130397086224603E-2</v>
      </c>
      <c r="AR61" s="630"/>
      <c r="AS61" s="630"/>
    </row>
    <row r="62" spans="1:45" s="121" customFormat="1" x14ac:dyDescent="0.2">
      <c r="A62" s="105"/>
      <c r="B62" s="119"/>
      <c r="C62" s="120"/>
      <c r="D62" s="170"/>
      <c r="E62" s="171"/>
      <c r="F62" s="170"/>
      <c r="G62" s="171"/>
      <c r="H62" s="172"/>
      <c r="I62" s="170"/>
      <c r="J62" s="170"/>
      <c r="K62" s="170"/>
      <c r="L62" s="171"/>
      <c r="M62" s="172"/>
      <c r="N62" s="170"/>
      <c r="O62" s="109"/>
      <c r="P62" s="109"/>
      <c r="Q62" s="186"/>
      <c r="R62" s="172"/>
      <c r="S62" s="171"/>
      <c r="T62" s="171"/>
      <c r="U62" s="171"/>
      <c r="V62" s="171"/>
      <c r="W62" s="172"/>
      <c r="X62" s="171"/>
      <c r="Y62" s="170"/>
      <c r="Z62" s="170"/>
      <c r="AA62" s="171"/>
      <c r="AB62" s="172"/>
      <c r="AC62" s="171"/>
      <c r="AD62" s="170"/>
      <c r="AE62" s="170"/>
      <c r="AF62" s="171"/>
      <c r="AG62" s="172"/>
      <c r="AH62" s="173"/>
      <c r="AI62" s="173"/>
      <c r="AJ62" s="173"/>
      <c r="AK62" s="171"/>
      <c r="AL62" s="290"/>
      <c r="AM62" s="173"/>
      <c r="AN62" s="173"/>
      <c r="AO62" s="173"/>
      <c r="AQ62" s="290"/>
      <c r="AR62" s="629"/>
      <c r="AS62" s="629"/>
    </row>
    <row r="63" spans="1:45" hidden="1" outlineLevel="1" x14ac:dyDescent="0.2">
      <c r="A63" s="28"/>
      <c r="B63" s="138" t="s">
        <v>102</v>
      </c>
      <c r="C63" s="126"/>
      <c r="D63" s="108"/>
      <c r="E63" s="109"/>
      <c r="F63" s="108"/>
      <c r="G63" s="108"/>
      <c r="H63" s="110">
        <f>SUM(D63:G63)</f>
        <v>0</v>
      </c>
      <c r="I63" s="108"/>
      <c r="J63" s="108"/>
      <c r="K63" s="108"/>
      <c r="L63" s="108"/>
      <c r="M63" s="110">
        <f>SUM(I63:L63)</f>
        <v>0</v>
      </c>
      <c r="N63" s="108"/>
      <c r="R63" s="110">
        <f>SUM(N63:Q63)</f>
        <v>0</v>
      </c>
      <c r="S63" s="109"/>
      <c r="T63" s="109"/>
      <c r="U63" s="109"/>
      <c r="V63" s="109"/>
      <c r="W63" s="110">
        <f>SUM(S63:V63)</f>
        <v>0</v>
      </c>
      <c r="X63" s="109"/>
      <c r="Y63" s="108"/>
      <c r="Z63" s="108"/>
      <c r="AA63" s="108"/>
      <c r="AB63" s="110">
        <f>SUM(X63:AA63)</f>
        <v>0</v>
      </c>
      <c r="AC63" s="109"/>
      <c r="AD63" s="108"/>
      <c r="AE63" s="108"/>
      <c r="AF63" s="108"/>
      <c r="AG63" s="110">
        <f>SUM(AC63:AF63)</f>
        <v>0</v>
      </c>
      <c r="AH63" s="109"/>
      <c r="AI63" s="108"/>
      <c r="AJ63" s="109"/>
      <c r="AK63" s="108"/>
      <c r="AL63" s="110">
        <f>SUM(AH63:AK63)</f>
        <v>0</v>
      </c>
      <c r="AM63" s="109"/>
      <c r="AN63" s="108"/>
      <c r="AO63" s="108"/>
      <c r="AP63" s="108"/>
      <c r="AQ63" s="110">
        <f>SUM(AM63:AP63)</f>
        <v>0</v>
      </c>
      <c r="AR63" s="629"/>
      <c r="AS63" s="629"/>
    </row>
    <row r="64" spans="1:45" hidden="1" outlineLevel="1" x14ac:dyDescent="0.2">
      <c r="A64" s="28"/>
      <c r="B64" s="138" t="s">
        <v>103</v>
      </c>
      <c r="C64" s="126"/>
      <c r="D64" s="108"/>
      <c r="E64" s="109"/>
      <c r="F64" s="108"/>
      <c r="G64" s="108"/>
      <c r="H64" s="110"/>
      <c r="I64" s="108"/>
      <c r="J64" s="108"/>
      <c r="K64" s="108"/>
      <c r="L64" s="108"/>
      <c r="M64" s="110"/>
      <c r="N64" s="108"/>
      <c r="R64" s="110"/>
      <c r="S64" s="109"/>
      <c r="T64" s="109">
        <v>3905</v>
      </c>
      <c r="U64" s="109">
        <v>11819</v>
      </c>
      <c r="V64" s="109">
        <v>11807</v>
      </c>
      <c r="W64" s="110">
        <f>SUM(S64:V64)</f>
        <v>27531</v>
      </c>
      <c r="X64" s="109">
        <v>556</v>
      </c>
      <c r="Y64" s="108">
        <v>1399</v>
      </c>
      <c r="Z64" s="108">
        <v>1407</v>
      </c>
      <c r="AA64" s="179">
        <v>1415</v>
      </c>
      <c r="AB64" s="110">
        <f>SUM(X64:AA64)</f>
        <v>4777</v>
      </c>
      <c r="AC64" s="109">
        <v>1712</v>
      </c>
      <c r="AD64" s="179">
        <v>1771</v>
      </c>
      <c r="AE64" s="179">
        <v>1734</v>
      </c>
      <c r="AF64" s="179">
        <v>1747</v>
      </c>
      <c r="AG64" s="110">
        <f>SUM(AC64:AF64)</f>
        <v>6964</v>
      </c>
      <c r="AH64" s="179">
        <v>1761</v>
      </c>
      <c r="AI64" s="179">
        <v>1762</v>
      </c>
      <c r="AJ64" s="109">
        <v>1651</v>
      </c>
      <c r="AK64" s="179">
        <v>1064</v>
      </c>
      <c r="AL64" s="110">
        <f>SUM(AH64:AK64)</f>
        <v>6238</v>
      </c>
      <c r="AM64" s="175">
        <v>1000</v>
      </c>
      <c r="AN64" s="175">
        <v>1000</v>
      </c>
      <c r="AO64" s="175">
        <v>1000</v>
      </c>
      <c r="AP64" s="175">
        <v>1000</v>
      </c>
      <c r="AQ64" s="110">
        <f>SUM(AM64:AP64)</f>
        <v>4000</v>
      </c>
      <c r="AR64" s="629"/>
      <c r="AS64" s="629"/>
    </row>
    <row r="65" spans="1:47" hidden="1" outlineLevel="1" x14ac:dyDescent="0.2">
      <c r="A65" s="28"/>
      <c r="B65" s="138" t="s">
        <v>104</v>
      </c>
      <c r="C65" s="126"/>
      <c r="D65" s="108"/>
      <c r="E65" s="109"/>
      <c r="F65" s="108"/>
      <c r="G65" s="108"/>
      <c r="H65" s="110">
        <f>SUM(D65:G65)</f>
        <v>0</v>
      </c>
      <c r="I65" s="108"/>
      <c r="J65" s="186"/>
      <c r="K65" s="186"/>
      <c r="L65" s="186"/>
      <c r="M65" s="110">
        <f>SUM(I65:L65)</f>
        <v>0</v>
      </c>
      <c r="N65" s="186"/>
      <c r="R65" s="110">
        <f>SUM(N65:Q65)</f>
        <v>0</v>
      </c>
      <c r="S65" s="109"/>
      <c r="T65" s="109"/>
      <c r="U65" s="109"/>
      <c r="V65" s="109"/>
      <c r="W65" s="110">
        <f>SUM(S65:V65)</f>
        <v>0</v>
      </c>
      <c r="X65" s="109"/>
      <c r="Y65" s="186"/>
      <c r="Z65" s="108"/>
      <c r="AA65" s="186"/>
      <c r="AB65" s="110">
        <f>SUM(X65:AA65)</f>
        <v>0</v>
      </c>
      <c r="AC65" s="109"/>
      <c r="AD65" s="186"/>
      <c r="AE65" s="186"/>
      <c r="AF65" s="186"/>
      <c r="AG65" s="110">
        <f>SUM(AC65:AF65)</f>
        <v>0</v>
      </c>
      <c r="AH65" s="179"/>
      <c r="AI65" s="179"/>
      <c r="AJ65" s="109"/>
      <c r="AK65" s="186"/>
      <c r="AL65" s="110">
        <f>SUM(AH65:AK65)</f>
        <v>0</v>
      </c>
      <c r="AM65" s="186"/>
      <c r="AN65" s="186"/>
      <c r="AO65" s="186"/>
      <c r="AP65" s="186"/>
      <c r="AQ65" s="110">
        <f>SUM(AM65:AP65)</f>
        <v>0</v>
      </c>
      <c r="AR65" s="629"/>
      <c r="AS65" s="629"/>
    </row>
    <row r="66" spans="1:47" hidden="1" outlineLevel="1" x14ac:dyDescent="0.2">
      <c r="A66" s="28"/>
      <c r="B66" s="138" t="s">
        <v>105</v>
      </c>
      <c r="C66" s="126"/>
      <c r="D66" s="108">
        <v>-37.620950000000008</v>
      </c>
      <c r="E66" s="109">
        <v>70.246000000000009</v>
      </c>
      <c r="F66" s="108">
        <v>273.88174000000004</v>
      </c>
      <c r="G66" s="108">
        <v>324.35540000000003</v>
      </c>
      <c r="H66" s="110">
        <f>SUM(D66:G66)</f>
        <v>630.86219000000006</v>
      </c>
      <c r="I66" s="108">
        <v>316.61560000000003</v>
      </c>
      <c r="J66" s="108">
        <v>392.91079999999999</v>
      </c>
      <c r="K66" s="108">
        <v>901.24214000000006</v>
      </c>
      <c r="L66" s="108">
        <v>721.96713</v>
      </c>
      <c r="M66" s="110">
        <f>SUM(I66:L66)</f>
        <v>2332.73567</v>
      </c>
      <c r="N66" s="108">
        <v>804.74401999999998</v>
      </c>
      <c r="O66" s="109">
        <f>360+552</f>
        <v>912</v>
      </c>
      <c r="P66" s="109">
        <v>1397</v>
      </c>
      <c r="Q66" s="108">
        <v>764</v>
      </c>
      <c r="R66" s="110">
        <f>SUM(N66:Q66)</f>
        <v>3877.7440200000001</v>
      </c>
      <c r="S66" s="109">
        <v>830</v>
      </c>
      <c r="T66" s="109">
        <f>-3341+3905</f>
        <v>564</v>
      </c>
      <c r="U66" s="109">
        <f>-11432+U64</f>
        <v>387</v>
      </c>
      <c r="V66" s="109">
        <v>380</v>
      </c>
      <c r="W66" s="110">
        <f>SUM(S66:V66)</f>
        <v>2161</v>
      </c>
      <c r="X66" s="109">
        <f>-3475+556</f>
        <v>-2919</v>
      </c>
      <c r="Y66" s="108">
        <f>-5000+1399</f>
        <v>-3601</v>
      </c>
      <c r="Z66" s="108">
        <f>-4416+1407</f>
        <v>-3009</v>
      </c>
      <c r="AA66" s="179">
        <f>+-970+AA64</f>
        <v>445</v>
      </c>
      <c r="AB66" s="110">
        <f>SUM(X66:AA66)</f>
        <v>-9084</v>
      </c>
      <c r="AC66" s="109">
        <f>5947+1712</f>
        <v>7659</v>
      </c>
      <c r="AD66" s="179">
        <f>17022+AD64</f>
        <v>18793</v>
      </c>
      <c r="AE66" s="179">
        <f>23622+AE64</f>
        <v>25356</v>
      </c>
      <c r="AF66" s="179">
        <f>26264+AF64</f>
        <v>28011</v>
      </c>
      <c r="AG66" s="110">
        <f>SUM(AC66:AF66)</f>
        <v>79819</v>
      </c>
      <c r="AH66" s="179">
        <f>29308+AH64</f>
        <v>31069</v>
      </c>
      <c r="AI66" s="179">
        <f>28919+AI64</f>
        <v>30681</v>
      </c>
      <c r="AJ66" s="109">
        <f>59801+AJ64</f>
        <v>61452</v>
      </c>
      <c r="AK66" s="179">
        <f>29819+AK64</f>
        <v>30883</v>
      </c>
      <c r="AL66" s="110">
        <f>SUM(AH66:AK66)</f>
        <v>154085</v>
      </c>
      <c r="AM66" s="175">
        <v>13500</v>
      </c>
      <c r="AN66" s="175">
        <v>9000</v>
      </c>
      <c r="AO66" s="175">
        <v>7000</v>
      </c>
      <c r="AP66" s="175">
        <v>5000</v>
      </c>
      <c r="AQ66" s="110">
        <f>SUM(AM66:AP66)</f>
        <v>34500</v>
      </c>
      <c r="AR66" s="629"/>
      <c r="AS66" s="629"/>
    </row>
    <row r="67" spans="1:47" hidden="1" outlineLevel="1" x14ac:dyDescent="0.2">
      <c r="A67" s="28"/>
      <c r="B67" s="138"/>
      <c r="C67" s="126" t="s">
        <v>106</v>
      </c>
      <c r="D67" s="108"/>
      <c r="E67" s="109"/>
      <c r="F67" s="108"/>
      <c r="G67" s="108"/>
      <c r="H67" s="110"/>
      <c r="I67" s="108"/>
      <c r="J67" s="108"/>
      <c r="K67" s="108"/>
      <c r="L67" s="108"/>
      <c r="M67" s="110"/>
      <c r="N67" s="108"/>
      <c r="O67" s="109"/>
      <c r="P67" s="109"/>
      <c r="Q67" s="108"/>
      <c r="R67" s="110"/>
      <c r="S67" s="109"/>
      <c r="T67" s="109"/>
      <c r="U67" s="109"/>
      <c r="V67" s="109"/>
      <c r="W67" s="110"/>
      <c r="X67" s="109"/>
      <c r="Y67" s="108"/>
      <c r="Z67" s="108"/>
      <c r="AA67" s="179">
        <v>-566</v>
      </c>
      <c r="AB67" s="110">
        <f>SUM(X67:AA67)</f>
        <v>-566</v>
      </c>
      <c r="AC67" s="109"/>
      <c r="AD67" s="175"/>
      <c r="AE67" s="175"/>
      <c r="AF67" s="175"/>
      <c r="AG67" s="110"/>
      <c r="AH67" s="175"/>
      <c r="AI67" s="179"/>
      <c r="AJ67" s="109">
        <v>-34297</v>
      </c>
      <c r="AK67" s="179">
        <v>-10974</v>
      </c>
      <c r="AL67" s="110"/>
      <c r="AM67" s="175"/>
      <c r="AN67" s="175"/>
      <c r="AO67" s="175"/>
      <c r="AP67" s="175"/>
      <c r="AQ67" s="110"/>
      <c r="AR67" s="629"/>
      <c r="AS67" s="629"/>
    </row>
    <row r="68" spans="1:47" collapsed="1" x14ac:dyDescent="0.2">
      <c r="A68" s="105"/>
      <c r="B68" s="119" t="s">
        <v>107</v>
      </c>
      <c r="C68" s="120"/>
      <c r="D68" s="108">
        <f>SUM(D63:D66)</f>
        <v>-37.620950000000008</v>
      </c>
      <c r="E68" s="109">
        <f>SUM(E63:E66)</f>
        <v>70.246000000000009</v>
      </c>
      <c r="F68" s="109">
        <f>SUM(F63:F66)</f>
        <v>273.88174000000004</v>
      </c>
      <c r="G68" s="109">
        <f>SUM(G63:G66)</f>
        <v>324.35540000000003</v>
      </c>
      <c r="H68" s="110">
        <f>SUM(D68:G68)</f>
        <v>630.86219000000006</v>
      </c>
      <c r="I68" s="108">
        <f>SUM(I63:I66)</f>
        <v>316.61560000000003</v>
      </c>
      <c r="J68" s="109">
        <f>SUM(J63:J66)</f>
        <v>392.91079999999999</v>
      </c>
      <c r="K68" s="109">
        <f>SUM(K63:K66)</f>
        <v>901.24214000000006</v>
      </c>
      <c r="L68" s="109">
        <f>SUM(L63:L66)</f>
        <v>721.96713</v>
      </c>
      <c r="M68" s="110">
        <f>SUM(I68:L68)</f>
        <v>2332.73567</v>
      </c>
      <c r="N68" s="109">
        <f>SUM(N63:N66)</f>
        <v>804.74401999999998</v>
      </c>
      <c r="O68" s="109">
        <f>SUM(O62:O66)</f>
        <v>912</v>
      </c>
      <c r="P68" s="109">
        <f>SUM(P62:P66)</f>
        <v>1397</v>
      </c>
      <c r="Q68" s="109">
        <f>SUM(Q62:Q66)</f>
        <v>764</v>
      </c>
      <c r="R68" s="110">
        <f>SUM(N68:Q68)</f>
        <v>3877.7440200000001</v>
      </c>
      <c r="S68" s="109">
        <f>SUM(S63:S66)</f>
        <v>830</v>
      </c>
      <c r="T68" s="109">
        <f>+T66-T64</f>
        <v>-3341</v>
      </c>
      <c r="U68" s="109">
        <f t="shared" ref="U68:AQ68" si="87">+U66-U64</f>
        <v>-11432</v>
      </c>
      <c r="V68" s="109">
        <f t="shared" si="87"/>
        <v>-11427</v>
      </c>
      <c r="W68" s="110">
        <f t="shared" si="87"/>
        <v>-25370</v>
      </c>
      <c r="X68" s="109">
        <f t="shared" si="87"/>
        <v>-3475</v>
      </c>
      <c r="Y68" s="109">
        <f t="shared" si="87"/>
        <v>-5000</v>
      </c>
      <c r="Z68" s="108">
        <f t="shared" si="87"/>
        <v>-4416</v>
      </c>
      <c r="AA68" s="109">
        <f>+AA66-AA64</f>
        <v>-970</v>
      </c>
      <c r="AB68" s="110">
        <f t="shared" si="87"/>
        <v>-13861</v>
      </c>
      <c r="AC68" s="109">
        <f t="shared" si="87"/>
        <v>5947</v>
      </c>
      <c r="AD68" s="109">
        <f t="shared" si="87"/>
        <v>17022</v>
      </c>
      <c r="AE68" s="109">
        <f>+AE66-AE64</f>
        <v>23622</v>
      </c>
      <c r="AF68" s="109">
        <f>+AF66-AF64</f>
        <v>26264</v>
      </c>
      <c r="AG68" s="110">
        <f t="shared" si="87"/>
        <v>72855</v>
      </c>
      <c r="AH68" s="109">
        <f t="shared" si="87"/>
        <v>29308</v>
      </c>
      <c r="AI68" s="109">
        <f>+AI66-AI64</f>
        <v>28919</v>
      </c>
      <c r="AJ68" s="109">
        <f>+AJ66-AJ64</f>
        <v>59801</v>
      </c>
      <c r="AK68" s="109">
        <f>+AK66-AK64</f>
        <v>29819</v>
      </c>
      <c r="AL68" s="110">
        <f t="shared" si="87"/>
        <v>147847</v>
      </c>
      <c r="AM68" s="109">
        <f t="shared" si="87"/>
        <v>12500</v>
      </c>
      <c r="AN68" s="109">
        <f t="shared" si="87"/>
        <v>8000</v>
      </c>
      <c r="AO68" s="109">
        <f t="shared" si="87"/>
        <v>6000</v>
      </c>
      <c r="AP68" s="109">
        <f t="shared" si="87"/>
        <v>4000</v>
      </c>
      <c r="AQ68" s="110">
        <f t="shared" si="87"/>
        <v>30500</v>
      </c>
      <c r="AR68" s="629"/>
      <c r="AS68" s="629"/>
    </row>
    <row r="69" spans="1:47" x14ac:dyDescent="0.2">
      <c r="A69" s="28"/>
      <c r="B69" s="138"/>
      <c r="C69" s="109" t="s">
        <v>400</v>
      </c>
      <c r="D69" s="139"/>
      <c r="E69" s="140"/>
      <c r="F69" s="139"/>
      <c r="G69" s="140"/>
      <c r="H69" s="141"/>
      <c r="I69" s="139"/>
      <c r="J69" s="139"/>
      <c r="K69" s="139"/>
      <c r="L69" s="140"/>
      <c r="M69" s="141"/>
      <c r="N69" s="139"/>
      <c r="O69" s="140"/>
      <c r="P69" s="140"/>
      <c r="Q69" s="140"/>
      <c r="R69" s="141"/>
      <c r="S69" s="140"/>
      <c r="T69" s="140"/>
      <c r="U69" s="140"/>
      <c r="V69" s="142"/>
      <c r="W69" s="141"/>
      <c r="X69" s="139"/>
      <c r="Y69" s="139"/>
      <c r="Z69" s="139"/>
      <c r="AA69" s="109"/>
      <c r="AB69" s="141"/>
      <c r="AC69" s="140"/>
      <c r="AD69" s="139"/>
      <c r="AE69" s="139"/>
      <c r="AF69" s="140"/>
      <c r="AG69" s="141"/>
      <c r="AH69" s="140"/>
      <c r="AI69" s="139"/>
      <c r="AJ69" s="142">
        <f>+AJ68+AJ67+AJ64</f>
        <v>27155</v>
      </c>
      <c r="AK69" s="142">
        <f>+AK68+AK67+AK64</f>
        <v>19909</v>
      </c>
      <c r="AL69" s="141"/>
      <c r="AM69" s="140"/>
      <c r="AN69" s="139"/>
      <c r="AO69" s="139"/>
      <c r="AP69" s="140"/>
      <c r="AQ69" s="141"/>
      <c r="AR69" s="629"/>
      <c r="AS69" s="629"/>
    </row>
    <row r="70" spans="1:47" hidden="1" outlineLevel="1" x14ac:dyDescent="0.2">
      <c r="A70" s="28"/>
      <c r="B70" s="138" t="s">
        <v>108</v>
      </c>
      <c r="C70" s="126"/>
      <c r="D70" s="146">
        <v>-2356.4033099999997</v>
      </c>
      <c r="E70" s="142">
        <v>-1090.8409600000014</v>
      </c>
      <c r="F70" s="146">
        <v>-1204.6229699999967</v>
      </c>
      <c r="G70" s="142">
        <v>-1010.6195399999996</v>
      </c>
      <c r="H70" s="143">
        <f>H83+CF!H8+'Old IS'!H80-H63+H58-H66</f>
        <v>-7976.486779999992</v>
      </c>
      <c r="I70" s="146">
        <f>I83+CF!I8+'Old IS'!I80-I63+I58-I66</f>
        <v>-774.39889000000403</v>
      </c>
      <c r="J70" s="146">
        <f>J83+CF!J8+'Old IS'!J80-J63+J58-J66</f>
        <v>-68.554679999997461</v>
      </c>
      <c r="K70" s="146">
        <f>K83+CF!K8+'Old IS'!K80-K63+K58-K66</f>
        <v>-1107.8785999999996</v>
      </c>
      <c r="L70" s="142">
        <f>L83+CF!L8+'Old IS'!L80-L63+L58-L66</f>
        <v>-3181.4389499999997</v>
      </c>
      <c r="M70" s="143">
        <f>M83+CF!M8+'Old IS'!M80-M63+M58-M66</f>
        <v>-5132.2711200000003</v>
      </c>
      <c r="N70" s="146">
        <f>N83+CF!N8+'Old IS'!N80-N63+N58-N66</f>
        <v>-3513.8628599999975</v>
      </c>
      <c r="O70" s="142">
        <f>O83+CF!O8+'Old IS'!O80-O63+O58-O66</f>
        <v>-4510</v>
      </c>
      <c r="P70" s="146">
        <f>P83+CF!P8+'Old IS'!P80-P63+P58-P66</f>
        <v>-4327</v>
      </c>
      <c r="Q70" s="142">
        <f>Q83+CF!Q8+'Old IS'!Q80-Q63+Q58-Q66</f>
        <v>-2609</v>
      </c>
      <c r="R70" s="143">
        <f>R83+CF!R8+'Old IS'!R80-R63+R58-R66</f>
        <v>-14959.862859999992</v>
      </c>
      <c r="S70" s="142">
        <f>S83+CF!S8+'Old IS'!S80-S63+S58-S66</f>
        <v>-2277</v>
      </c>
      <c r="T70" s="142">
        <f>T83+CF!T8+'Old IS'!T80-T63+T58-T66</f>
        <v>-5463</v>
      </c>
      <c r="U70" s="142">
        <f>U83+CF!U8+'Old IS'!U80-U63+U58-U66</f>
        <v>-13949</v>
      </c>
      <c r="V70" s="142">
        <f>V83+CF!V8+'Old IS'!V80-V63+V58-V66</f>
        <v>-18005</v>
      </c>
      <c r="W70" s="143">
        <f>W83+CF!W8+'Old IS'!W80-W63+W58-W66</f>
        <v>-39694</v>
      </c>
      <c r="X70" s="146">
        <f>X83+CF!X8+'Old IS'!X80-X63+X58-X66</f>
        <v>-9754</v>
      </c>
      <c r="Y70" s="146">
        <f>Y83+CF!Y8+'Old IS'!Y80-Y63+Y58-Y66</f>
        <v>1983</v>
      </c>
      <c r="Z70" s="146">
        <f>Z83+CF!Z8+'Old IS'!Z80-Z63+Z58-Z66</f>
        <v>-7085</v>
      </c>
      <c r="AA70" s="142">
        <f>AA83+CF!AA8+'Old IS'!AA80-AA63+AA58-AA66</f>
        <v>-4584</v>
      </c>
      <c r="AB70" s="143">
        <f>AB83+CF!AB8+'Old IS'!AB80-AB63+AB58-AB66</f>
        <v>-19440</v>
      </c>
      <c r="AC70" s="142">
        <f>AC83+CF!AC8+'Old IS'!AC80-AC63+AC58-AC66</f>
        <v>7433</v>
      </c>
      <c r="AD70" s="146">
        <f>AD83+CF!AD8+'Old IS'!AD80-AD63+AD58-AD66</f>
        <v>28981</v>
      </c>
      <c r="AE70" s="146">
        <f>AE83+CF!AE8+'Old IS'!AE80-AE63+AE58-AE66</f>
        <v>33107</v>
      </c>
      <c r="AF70" s="142">
        <f>AF83+CF!AF8+'Old IS'!AF80-AF63+AF58-AF66</f>
        <v>40601</v>
      </c>
      <c r="AG70" s="143">
        <f>AG83+CF!AG8+'Old IS'!AG80-AG63+AG58-AG66</f>
        <v>110122</v>
      </c>
      <c r="AH70" s="142">
        <f>AH83+CF!AH8+'Old IS'!AH80-AH63+AH58-AH66</f>
        <v>31612</v>
      </c>
      <c r="AI70" s="146">
        <f>AI83+CF!AI8+'Old IS'!AI80-AI63+AI58-AI66</f>
        <v>42541</v>
      </c>
      <c r="AJ70" s="142">
        <f>AJ83+CF!AJ8+'Old IS'!AJ80-AJ63+AJ58-AJ66</f>
        <v>56882</v>
      </c>
      <c r="AK70" s="142">
        <f>AK83+CF!AK8+'Old IS'!AK80-AK63+AK58-AK66</f>
        <v>58907</v>
      </c>
      <c r="AL70" s="143">
        <f>AL83+CF!AL8+'Old IS'!AL80-AL63+AL58-AL66</f>
        <v>189942</v>
      </c>
      <c r="AM70" s="142">
        <f>AM83+CF!AM8+'Old IS'!AM80-AM63+AM58-AM66</f>
        <v>54754.745885265351</v>
      </c>
      <c r="AN70" s="146">
        <f>AN83+CF!AN8+'Old IS'!AN80-AN63+AN58-AN66</f>
        <v>49676.1732052351</v>
      </c>
      <c r="AO70" s="146">
        <f>AO83+CF!AO8+'Old IS'!AO80-AO63+AO58-AO66</f>
        <v>33763.357080248243</v>
      </c>
      <c r="AP70" s="142">
        <f>AP83+CF!AP8+'Old IS'!AP80-AP63+AP58-AP66</f>
        <v>35614.526688550948</v>
      </c>
      <c r="AQ70" s="143">
        <f>AQ83+CF!AQ8+'Old IS'!AQ80-AQ63+AQ58-AQ66</f>
        <v>173808.80285929958</v>
      </c>
    </row>
    <row r="71" spans="1:47" s="160" customFormat="1" ht="13.35" hidden="1" customHeight="1" outlineLevel="1" x14ac:dyDescent="0.2">
      <c r="A71" s="123"/>
      <c r="B71" s="124"/>
      <c r="C71" s="187" t="s">
        <v>109</v>
      </c>
      <c r="D71" s="5">
        <f t="shared" ref="D71:AQ71" si="88">D70/D26</f>
        <v>-0.1798420164441038</v>
      </c>
      <c r="E71" s="117">
        <f t="shared" si="88"/>
        <v>-7.1940412872356141E-2</v>
      </c>
      <c r="F71" s="5">
        <f t="shared" si="88"/>
        <v>-7.0455244996877192E-2</v>
      </c>
      <c r="G71" s="117">
        <f t="shared" si="88"/>
        <v>-5.1824851770854233E-2</v>
      </c>
      <c r="H71" s="188">
        <f t="shared" si="88"/>
        <v>-0.12297223855773258</v>
      </c>
      <c r="I71" s="5">
        <f t="shared" si="88"/>
        <v>-3.4534178338439844E-2</v>
      </c>
      <c r="J71" s="5">
        <f t="shared" si="88"/>
        <v>-2.6368553599694275E-3</v>
      </c>
      <c r="K71" s="5">
        <f t="shared" si="88"/>
        <v>-3.922570955956961E-2</v>
      </c>
      <c r="L71" s="117">
        <f t="shared" si="88"/>
        <v>-0.10041049297875645</v>
      </c>
      <c r="M71" s="188">
        <f t="shared" si="88"/>
        <v>-4.7367176492723005E-2</v>
      </c>
      <c r="N71" s="5">
        <f t="shared" si="88"/>
        <v>-9.9883878270965648E-2</v>
      </c>
      <c r="O71" s="117">
        <f t="shared" si="88"/>
        <v>-0.1154042988741044</v>
      </c>
      <c r="P71" s="5">
        <f t="shared" si="88"/>
        <v>-0.10494785350472957</v>
      </c>
      <c r="Q71" s="117">
        <f t="shared" si="88"/>
        <v>-6.1956779862265492E-2</v>
      </c>
      <c r="R71" s="188">
        <f t="shared" si="88"/>
        <v>-9.4923301117940534E-2</v>
      </c>
      <c r="S71" s="117">
        <f t="shared" si="88"/>
        <v>-4.9276115042524181E-2</v>
      </c>
      <c r="T71" s="117">
        <f t="shared" si="88"/>
        <v>-0.10108243130724397</v>
      </c>
      <c r="U71" s="117">
        <f t="shared" si="88"/>
        <v>-0.23350296293816331</v>
      </c>
      <c r="V71" s="117">
        <f t="shared" si="88"/>
        <v>-0.23002823451253945</v>
      </c>
      <c r="W71" s="188">
        <f t="shared" si="88"/>
        <v>-0.16659601703985058</v>
      </c>
      <c r="X71" s="117">
        <f t="shared" si="88"/>
        <v>-8.2417257433522892E-2</v>
      </c>
      <c r="Y71" s="5">
        <f t="shared" si="88"/>
        <v>1.2672707984509004E-2</v>
      </c>
      <c r="Z71" s="5">
        <f t="shared" si="88"/>
        <v>-4.2447771566882952E-2</v>
      </c>
      <c r="AA71" s="117">
        <f t="shared" si="88"/>
        <v>-2.2894701355002722E-2</v>
      </c>
      <c r="AB71" s="188">
        <f t="shared" si="88"/>
        <v>-3.0282307748625691E-2</v>
      </c>
      <c r="AC71" s="117">
        <f t="shared" si="88"/>
        <v>3.2328073624328039E-2</v>
      </c>
      <c r="AD71" s="5">
        <f t="shared" si="88"/>
        <v>0.111462812396637</v>
      </c>
      <c r="AE71" s="5">
        <f t="shared" si="88"/>
        <v>0.12146906129038176</v>
      </c>
      <c r="AF71" s="117">
        <f t="shared" si="88"/>
        <v>0.13717341874364405</v>
      </c>
      <c r="AG71" s="188">
        <f t="shared" si="88"/>
        <v>0.10403904511048043</v>
      </c>
      <c r="AH71" s="5">
        <f t="shared" si="88"/>
        <v>0.1036509992294703</v>
      </c>
      <c r="AI71" s="5">
        <f t="shared" si="88"/>
        <v>0.13356881583698332</v>
      </c>
      <c r="AJ71" s="117">
        <f t="shared" si="88"/>
        <v>0.17608999839023243</v>
      </c>
      <c r="AK71" s="117">
        <f t="shared" si="88"/>
        <v>0.17140820275559046</v>
      </c>
      <c r="AL71" s="188">
        <f t="shared" si="88"/>
        <v>0.14722211672388122</v>
      </c>
      <c r="AM71" s="117">
        <f t="shared" si="88"/>
        <v>0.15713028913575802</v>
      </c>
      <c r="AN71" s="5">
        <f t="shared" si="88"/>
        <v>0.13919789417750808</v>
      </c>
      <c r="AO71" s="5">
        <f t="shared" si="88"/>
        <v>9.5180939695387351E-2</v>
      </c>
      <c r="AP71" s="117">
        <f t="shared" si="88"/>
        <v>9.5323466698515519E-2</v>
      </c>
      <c r="AQ71" s="188">
        <f t="shared" si="88"/>
        <v>0.12123201058025158</v>
      </c>
    </row>
    <row r="72" spans="1:47" ht="9.75" customHeight="1" collapsed="1" x14ac:dyDescent="0.2">
      <c r="A72" s="28"/>
      <c r="B72" s="138"/>
      <c r="C72" s="126"/>
      <c r="D72" s="139"/>
      <c r="E72" s="140"/>
      <c r="F72" s="139"/>
      <c r="G72" s="140"/>
      <c r="H72" s="141"/>
      <c r="I72" s="139"/>
      <c r="J72" s="139"/>
      <c r="K72" s="139"/>
      <c r="L72" s="140"/>
      <c r="M72" s="141"/>
      <c r="N72" s="139"/>
      <c r="O72" s="140"/>
      <c r="P72" s="139"/>
      <c r="Q72" s="140"/>
      <c r="R72" s="141"/>
      <c r="S72" s="140"/>
      <c r="T72" s="140"/>
      <c r="U72" s="140"/>
      <c r="V72" s="140">
        <f>+V73+5818</f>
        <v>0</v>
      </c>
      <c r="W72" s="141"/>
      <c r="X72" s="140"/>
      <c r="Y72" s="139"/>
      <c r="Z72" s="139"/>
      <c r="AA72" s="140"/>
      <c r="AB72" s="141"/>
      <c r="AC72" s="140"/>
      <c r="AD72" s="139"/>
      <c r="AE72" s="139"/>
      <c r="AF72" s="140"/>
      <c r="AG72" s="141"/>
      <c r="AH72" s="140"/>
      <c r="AI72" s="139"/>
      <c r="AJ72" s="140"/>
      <c r="AK72" s="140"/>
      <c r="AL72" s="141"/>
      <c r="AM72" s="140"/>
      <c r="AN72" s="139"/>
      <c r="AO72" s="139"/>
      <c r="AP72" s="140"/>
      <c r="AQ72" s="141"/>
      <c r="AU72" s="93">
        <v>42</v>
      </c>
    </row>
    <row r="73" spans="1:47" x14ac:dyDescent="0.2">
      <c r="A73" s="28"/>
      <c r="B73" s="138" t="s">
        <v>110</v>
      </c>
      <c r="C73" s="126"/>
      <c r="D73" s="146">
        <f t="shared" ref="D73:S73" si="89">D43+D68</f>
        <v>-2915.0242599999997</v>
      </c>
      <c r="E73" s="142">
        <f t="shared" si="89"/>
        <v>-1533.5949600000013</v>
      </c>
      <c r="F73" s="146">
        <f t="shared" si="89"/>
        <v>-1516.7412299999967</v>
      </c>
      <c r="G73" s="142">
        <f t="shared" si="89"/>
        <v>-1380.2641399999998</v>
      </c>
      <c r="H73" s="143">
        <f t="shared" si="89"/>
        <v>-7345.6245899999922</v>
      </c>
      <c r="I73" s="146">
        <f t="shared" si="89"/>
        <v>-457.783290000004</v>
      </c>
      <c r="J73" s="146">
        <f t="shared" si="89"/>
        <v>324.35612000000253</v>
      </c>
      <c r="K73" s="146">
        <f t="shared" si="89"/>
        <v>-206.63645999999994</v>
      </c>
      <c r="L73" s="142">
        <f t="shared" si="89"/>
        <v>-2459.4718199999998</v>
      </c>
      <c r="M73" s="143">
        <f t="shared" si="89"/>
        <v>-2799.5354499999903</v>
      </c>
      <c r="N73" s="146">
        <f t="shared" si="89"/>
        <v>-2709.1188399999974</v>
      </c>
      <c r="O73" s="142">
        <f t="shared" si="89"/>
        <v>-3598</v>
      </c>
      <c r="P73" s="142">
        <f t="shared" si="89"/>
        <v>-2930</v>
      </c>
      <c r="Q73" s="142">
        <f t="shared" si="89"/>
        <v>-1845</v>
      </c>
      <c r="R73" s="143">
        <f t="shared" si="89"/>
        <v>-11082.118839999994</v>
      </c>
      <c r="S73" s="142">
        <f t="shared" si="89"/>
        <v>-1447</v>
      </c>
      <c r="T73" s="142">
        <f>T43+T68+T64</f>
        <v>-994</v>
      </c>
      <c r="U73" s="142">
        <f t="shared" ref="U73:AQ73" si="90">U43+U68+U64</f>
        <v>-1743</v>
      </c>
      <c r="V73" s="142">
        <f t="shared" si="90"/>
        <v>-5818</v>
      </c>
      <c r="W73" s="143">
        <f t="shared" si="90"/>
        <v>-10002</v>
      </c>
      <c r="X73" s="142">
        <f t="shared" si="90"/>
        <v>-12117</v>
      </c>
      <c r="Y73" s="146">
        <f>Y43+Y68+Y64-1</f>
        <v>-220</v>
      </c>
      <c r="Z73" s="146">
        <f t="shared" si="90"/>
        <v>-8687</v>
      </c>
      <c r="AA73" s="142">
        <f>AA43+AA68+AA64+AA67</f>
        <v>-3290</v>
      </c>
      <c r="AB73" s="143">
        <f t="shared" si="90"/>
        <v>-23747</v>
      </c>
      <c r="AC73" s="142">
        <f t="shared" si="90"/>
        <v>16804</v>
      </c>
      <c r="AD73" s="146">
        <f t="shared" si="90"/>
        <v>49545</v>
      </c>
      <c r="AE73" s="146">
        <f>AE43+AE68+AE64</f>
        <v>60197</v>
      </c>
      <c r="AF73" s="142">
        <f>AF43+AF68+AF64</f>
        <v>70359</v>
      </c>
      <c r="AG73" s="143">
        <f t="shared" si="90"/>
        <v>196905</v>
      </c>
      <c r="AH73" s="142">
        <f t="shared" si="90"/>
        <v>64442</v>
      </c>
      <c r="AI73" s="146">
        <f>AI43+AI68+AI64</f>
        <v>74984</v>
      </c>
      <c r="AJ73" s="146">
        <f>AJ43+AJ69</f>
        <v>85688</v>
      </c>
      <c r="AK73" s="146">
        <f>AK43+AK69</f>
        <v>79880</v>
      </c>
      <c r="AL73" s="143">
        <f t="shared" si="90"/>
        <v>350265</v>
      </c>
      <c r="AM73" s="142">
        <f t="shared" si="90"/>
        <v>69254.745885265351</v>
      </c>
      <c r="AN73" s="146">
        <f t="shared" si="90"/>
        <v>59676.1732052351</v>
      </c>
      <c r="AO73" s="146">
        <f t="shared" si="90"/>
        <v>41763.357080248243</v>
      </c>
      <c r="AP73" s="142">
        <f t="shared" si="90"/>
        <v>41614.526688550948</v>
      </c>
      <c r="AQ73" s="143">
        <f t="shared" si="90"/>
        <v>212308.80285929958</v>
      </c>
      <c r="AU73" s="93">
        <v>52</v>
      </c>
    </row>
    <row r="74" spans="1:47" x14ac:dyDescent="0.2">
      <c r="A74" s="105"/>
      <c r="B74" s="119"/>
      <c r="C74" s="120" t="s">
        <v>111</v>
      </c>
      <c r="D74" s="108">
        <v>6.7249999999999996</v>
      </c>
      <c r="E74" s="109">
        <v>0</v>
      </c>
      <c r="F74" s="108">
        <v>0.41099999999999998</v>
      </c>
      <c r="G74" s="108">
        <v>2.7037300000000002</v>
      </c>
      <c r="H74" s="110">
        <f>SUM(D74:G74)</f>
        <v>9.8397299999999994</v>
      </c>
      <c r="I74" s="108">
        <v>-21.032589999999995</v>
      </c>
      <c r="J74" s="108">
        <v>-6.1292900000000001</v>
      </c>
      <c r="K74" s="108">
        <v>-69.606529999999992</v>
      </c>
      <c r="L74" s="108">
        <v>-59</v>
      </c>
      <c r="M74" s="110">
        <f>SUM(I74:L74)</f>
        <v>-155.76840999999999</v>
      </c>
      <c r="N74" s="108">
        <v>51.163429999999998</v>
      </c>
      <c r="O74" s="109">
        <v>0</v>
      </c>
      <c r="P74" s="109">
        <v>1</v>
      </c>
      <c r="Q74" s="108">
        <v>1</v>
      </c>
      <c r="R74" s="110">
        <f>SUM(N74:Q74)</f>
        <v>53.163429999999998</v>
      </c>
      <c r="S74" s="109">
        <v>0</v>
      </c>
      <c r="T74" s="109">
        <v>0</v>
      </c>
      <c r="U74" s="109">
        <v>0</v>
      </c>
      <c r="V74" s="109">
        <v>0</v>
      </c>
      <c r="W74" s="110">
        <f>SUM(S74:V74)</f>
        <v>0</v>
      </c>
      <c r="X74" s="109">
        <f>-3941+3943</f>
        <v>2</v>
      </c>
      <c r="Y74" s="108">
        <v>0</v>
      </c>
      <c r="Z74" s="108">
        <v>0</v>
      </c>
      <c r="AA74" s="179">
        <v>1</v>
      </c>
      <c r="AB74" s="110">
        <f>SUM(X74:AA74)</f>
        <v>3</v>
      </c>
      <c r="AC74" s="109">
        <v>-107</v>
      </c>
      <c r="AD74" s="179">
        <f>AD80+526</f>
        <v>161</v>
      </c>
      <c r="AE74" s="179">
        <f>AE80+966</f>
        <v>1508</v>
      </c>
      <c r="AF74" s="179">
        <f>AF80+193</f>
        <v>930</v>
      </c>
      <c r="AG74" s="110">
        <f>SUM(AC74:AF74)</f>
        <v>2492</v>
      </c>
      <c r="AH74" s="179">
        <f>AH80+42</f>
        <v>564</v>
      </c>
      <c r="AI74" s="179">
        <f>AI80+94</f>
        <v>1760</v>
      </c>
      <c r="AJ74" s="109">
        <v>17138</v>
      </c>
      <c r="AK74" s="179">
        <v>15976</v>
      </c>
      <c r="AL74" s="110">
        <f>SUM(AH74:AK74)</f>
        <v>35438</v>
      </c>
      <c r="AM74" s="175">
        <f>AM73*AM75</f>
        <v>13850.949177053071</v>
      </c>
      <c r="AN74" s="175">
        <f t="shared" ref="AN74:AP74" si="91">AN73*AN75</f>
        <v>11935.23464104702</v>
      </c>
      <c r="AO74" s="175">
        <f t="shared" si="91"/>
        <v>8352.6714160496485</v>
      </c>
      <c r="AP74" s="175">
        <f t="shared" si="91"/>
        <v>8322.90533771019</v>
      </c>
      <c r="AQ74" s="110">
        <f>SUM(AM74:AP74)</f>
        <v>42461.76057185993</v>
      </c>
    </row>
    <row r="75" spans="1:47" s="160" customFormat="1" ht="13.35" customHeight="1" thickBot="1" x14ac:dyDescent="0.25">
      <c r="A75" s="123"/>
      <c r="B75" s="124"/>
      <c r="C75" s="112" t="s">
        <v>112</v>
      </c>
      <c r="D75" s="114">
        <f t="shared" ref="D75:AL75" si="92">D74/D73</f>
        <v>-2.3070133900017697E-3</v>
      </c>
      <c r="E75" s="115">
        <f t="shared" si="92"/>
        <v>0</v>
      </c>
      <c r="F75" s="114">
        <f t="shared" si="92"/>
        <v>-2.7097568910947376E-4</v>
      </c>
      <c r="G75" s="114">
        <f t="shared" si="92"/>
        <v>-1.9588497024924526E-3</v>
      </c>
      <c r="H75" s="189">
        <f t="shared" si="92"/>
        <v>-1.3395361932047782E-3</v>
      </c>
      <c r="I75" s="114">
        <f t="shared" si="92"/>
        <v>4.5944424926475172E-2</v>
      </c>
      <c r="J75" s="114">
        <f t="shared" si="92"/>
        <v>-1.8896791588208516E-2</v>
      </c>
      <c r="K75" s="114">
        <f t="shared" si="92"/>
        <v>0.33685502548775764</v>
      </c>
      <c r="L75" s="114">
        <f t="shared" si="92"/>
        <v>2.3988890427701672E-2</v>
      </c>
      <c r="M75" s="189">
        <f t="shared" si="92"/>
        <v>5.5640806405934433E-2</v>
      </c>
      <c r="N75" s="114">
        <f t="shared" si="92"/>
        <v>-1.8885635153605904E-2</v>
      </c>
      <c r="O75" s="115">
        <f t="shared" si="92"/>
        <v>0</v>
      </c>
      <c r="P75" s="115">
        <f t="shared" si="92"/>
        <v>-3.4129692832764505E-4</v>
      </c>
      <c r="Q75" s="114">
        <f t="shared" si="92"/>
        <v>-5.4200542005420054E-4</v>
      </c>
      <c r="R75" s="189">
        <f t="shared" si="92"/>
        <v>-4.7972261232311448E-3</v>
      </c>
      <c r="S75" s="115">
        <f t="shared" si="92"/>
        <v>0</v>
      </c>
      <c r="T75" s="115">
        <f t="shared" si="92"/>
        <v>0</v>
      </c>
      <c r="U75" s="115">
        <f t="shared" si="92"/>
        <v>0</v>
      </c>
      <c r="V75" s="114">
        <f t="shared" si="92"/>
        <v>0</v>
      </c>
      <c r="W75" s="189">
        <f t="shared" si="92"/>
        <v>0</v>
      </c>
      <c r="X75" s="115">
        <f t="shared" si="92"/>
        <v>-1.6505735743170752E-4</v>
      </c>
      <c r="Y75" s="114">
        <f t="shared" si="92"/>
        <v>0</v>
      </c>
      <c r="Z75" s="114">
        <f t="shared" si="92"/>
        <v>0</v>
      </c>
      <c r="AA75" s="114">
        <f t="shared" si="92"/>
        <v>-3.0395136778115504E-4</v>
      </c>
      <c r="AB75" s="189">
        <f t="shared" si="92"/>
        <v>-1.2633174716806332E-4</v>
      </c>
      <c r="AC75" s="115">
        <f t="shared" si="92"/>
        <v>-6.367531540109498E-3</v>
      </c>
      <c r="AD75" s="114">
        <f t="shared" si="92"/>
        <v>3.2495710969825411E-3</v>
      </c>
      <c r="AE75" s="114">
        <f t="shared" si="92"/>
        <v>2.5051082279847831E-2</v>
      </c>
      <c r="AF75" s="114">
        <f t="shared" si="92"/>
        <v>1.3217925212126381E-2</v>
      </c>
      <c r="AG75" s="189">
        <f t="shared" si="92"/>
        <v>1.265584926741322E-2</v>
      </c>
      <c r="AH75" s="115">
        <f t="shared" si="92"/>
        <v>8.7520561124732315E-3</v>
      </c>
      <c r="AI75" s="114">
        <f t="shared" si="92"/>
        <v>2.3471673957110851E-2</v>
      </c>
      <c r="AJ75" s="115">
        <f t="shared" si="92"/>
        <v>0.20000466809821679</v>
      </c>
      <c r="AK75" s="114">
        <f t="shared" si="92"/>
        <v>0.2</v>
      </c>
      <c r="AL75" s="189">
        <f t="shared" si="92"/>
        <v>0.1011748247755271</v>
      </c>
      <c r="AM75" s="115">
        <v>0.2</v>
      </c>
      <c r="AN75" s="114">
        <v>0.2</v>
      </c>
      <c r="AO75" s="114">
        <v>0.2</v>
      </c>
      <c r="AP75" s="114">
        <v>0.2</v>
      </c>
      <c r="AQ75" s="189">
        <f t="shared" ref="AQ75" si="93">AQ74/AQ73</f>
        <v>0.20000000000000007</v>
      </c>
    </row>
    <row r="76" spans="1:47" ht="13.5" thickBot="1" x14ac:dyDescent="0.25">
      <c r="A76" s="28"/>
      <c r="B76" s="190" t="s">
        <v>113</v>
      </c>
      <c r="C76" s="191"/>
      <c r="D76" s="192">
        <f t="shared" ref="D76:AH76" si="94">D73-D74</f>
        <v>-2921.7492599999996</v>
      </c>
      <c r="E76" s="193">
        <f t="shared" si="94"/>
        <v>-1533.5949600000013</v>
      </c>
      <c r="F76" s="192">
        <f t="shared" si="94"/>
        <v>-1517.1522299999967</v>
      </c>
      <c r="G76" s="193">
        <f t="shared" si="94"/>
        <v>-1382.9678699999997</v>
      </c>
      <c r="H76" s="194">
        <f t="shared" si="94"/>
        <v>-7355.4643199999919</v>
      </c>
      <c r="I76" s="192">
        <f t="shared" si="94"/>
        <v>-436.75070000000403</v>
      </c>
      <c r="J76" s="192">
        <f t="shared" si="94"/>
        <v>330.48541000000256</v>
      </c>
      <c r="K76" s="192">
        <f t="shared" si="94"/>
        <v>-137.02992999999995</v>
      </c>
      <c r="L76" s="193">
        <f t="shared" si="94"/>
        <v>-2400.4718199999998</v>
      </c>
      <c r="M76" s="194">
        <f t="shared" si="94"/>
        <v>-2643.7670399999902</v>
      </c>
      <c r="N76" s="192">
        <f t="shared" si="94"/>
        <v>-2760.2822699999974</v>
      </c>
      <c r="O76" s="193">
        <f t="shared" si="94"/>
        <v>-3598</v>
      </c>
      <c r="P76" s="193">
        <f t="shared" si="94"/>
        <v>-2931</v>
      </c>
      <c r="Q76" s="193">
        <f t="shared" si="94"/>
        <v>-1846</v>
      </c>
      <c r="R76" s="194">
        <f t="shared" si="94"/>
        <v>-11135.282269999994</v>
      </c>
      <c r="S76" s="193">
        <f t="shared" si="94"/>
        <v>-1447</v>
      </c>
      <c r="T76" s="193">
        <f t="shared" si="94"/>
        <v>-994</v>
      </c>
      <c r="U76" s="193">
        <f t="shared" si="94"/>
        <v>-1743</v>
      </c>
      <c r="V76" s="193">
        <f t="shared" si="94"/>
        <v>-5818</v>
      </c>
      <c r="W76" s="194">
        <f t="shared" si="94"/>
        <v>-10002</v>
      </c>
      <c r="X76" s="193">
        <f t="shared" si="94"/>
        <v>-12119</v>
      </c>
      <c r="Y76" s="192">
        <f t="shared" si="94"/>
        <v>-220</v>
      </c>
      <c r="Z76" s="192">
        <f t="shared" si="94"/>
        <v>-8687</v>
      </c>
      <c r="AA76" s="193">
        <f>AA73-AA74</f>
        <v>-3291</v>
      </c>
      <c r="AB76" s="194">
        <f t="shared" si="94"/>
        <v>-23750</v>
      </c>
      <c r="AC76" s="193">
        <f t="shared" si="94"/>
        <v>16911</v>
      </c>
      <c r="AD76" s="192">
        <f>AD73-AD74</f>
        <v>49384</v>
      </c>
      <c r="AE76" s="192">
        <f t="shared" ref="AE76" si="95">AE73-AE74</f>
        <v>58689</v>
      </c>
      <c r="AF76" s="193">
        <f t="shared" si="94"/>
        <v>69429</v>
      </c>
      <c r="AG76" s="194">
        <f t="shared" si="94"/>
        <v>194413</v>
      </c>
      <c r="AH76" s="193">
        <f t="shared" si="94"/>
        <v>63878</v>
      </c>
      <c r="AI76" s="192">
        <f>AI73-AI74</f>
        <v>73224</v>
      </c>
      <c r="AJ76" s="192">
        <f>AJ73-AJ74</f>
        <v>68550</v>
      </c>
      <c r="AK76" s="193">
        <f t="shared" ref="AK76" si="96">AK73-AK74</f>
        <v>63904</v>
      </c>
      <c r="AL76" s="194">
        <f>AL73-AL74</f>
        <v>314827</v>
      </c>
      <c r="AM76" s="193">
        <f t="shared" ref="AM76" si="97">AM73-AM74</f>
        <v>55403.796708212278</v>
      </c>
      <c r="AN76" s="192">
        <f>AN73-AN74</f>
        <v>47740.93856418808</v>
      </c>
      <c r="AO76" s="192">
        <f t="shared" ref="AO76:AQ76" si="98">AO73-AO74</f>
        <v>33410.685664198594</v>
      </c>
      <c r="AP76" s="193">
        <f t="shared" si="98"/>
        <v>33291.62135084076</v>
      </c>
      <c r="AQ76" s="194">
        <f t="shared" si="98"/>
        <v>169847.04228743966</v>
      </c>
      <c r="AS76" s="93">
        <f>(56000+66000)/2</f>
        <v>61000</v>
      </c>
      <c r="AT76" s="93">
        <f>(245000+270000)/2</f>
        <v>257500</v>
      </c>
    </row>
    <row r="77" spans="1:47" s="118" customFormat="1" ht="13.35" customHeight="1" x14ac:dyDescent="0.2">
      <c r="A77" s="123"/>
      <c r="B77" s="124"/>
      <c r="C77" s="112" t="s">
        <v>114</v>
      </c>
      <c r="D77" s="114">
        <f t="shared" ref="D77:AQ77" si="99">D76/D26</f>
        <v>-0.22298953503951244</v>
      </c>
      <c r="E77" s="115">
        <f t="shared" si="99"/>
        <v>-0.10113981656992825</v>
      </c>
      <c r="F77" s="114">
        <f t="shared" si="99"/>
        <v>-8.8734263519986381E-2</v>
      </c>
      <c r="G77" s="115">
        <f t="shared" si="99"/>
        <v>-7.091897794357313E-2</v>
      </c>
      <c r="H77" s="136">
        <f t="shared" si="99"/>
        <v>-0.1133980332456503</v>
      </c>
      <c r="I77" s="114">
        <f t="shared" si="99"/>
        <v>-1.947681841749347E-2</v>
      </c>
      <c r="J77" s="114">
        <f t="shared" si="99"/>
        <v>1.2711637261675393E-2</v>
      </c>
      <c r="K77" s="114">
        <f t="shared" si="99"/>
        <v>-4.8517014726596891E-3</v>
      </c>
      <c r="L77" s="115">
        <f t="shared" si="99"/>
        <v>-7.5762119787906895E-2</v>
      </c>
      <c r="M77" s="136">
        <f t="shared" si="99"/>
        <v>-2.4400071052622683E-2</v>
      </c>
      <c r="N77" s="114">
        <f t="shared" si="99"/>
        <v>-7.8462851065902062E-2</v>
      </c>
      <c r="O77" s="115">
        <f t="shared" si="99"/>
        <v>-9.2067553735926302E-2</v>
      </c>
      <c r="P77" s="115">
        <f t="shared" si="99"/>
        <v>-7.1089012854717443E-2</v>
      </c>
      <c r="Q77" s="115">
        <f t="shared" si="99"/>
        <v>-4.3837568273569223E-2</v>
      </c>
      <c r="R77" s="136">
        <f t="shared" si="99"/>
        <v>-7.0655577650694745E-2</v>
      </c>
      <c r="S77" s="115">
        <f t="shared" si="99"/>
        <v>-3.1314246142526349E-2</v>
      </c>
      <c r="T77" s="115">
        <f t="shared" si="99"/>
        <v>-1.8392080673512813E-2</v>
      </c>
      <c r="U77" s="114">
        <f t="shared" si="99"/>
        <v>-2.9177408014998827E-2</v>
      </c>
      <c r="V77" s="115">
        <f t="shared" si="99"/>
        <v>-7.4329590024657291E-2</v>
      </c>
      <c r="W77" s="136">
        <f t="shared" si="99"/>
        <v>-4.1978469351352486E-2</v>
      </c>
      <c r="X77" s="115">
        <f t="shared" si="99"/>
        <v>-0.10240052725413819</v>
      </c>
      <c r="Y77" s="114">
        <f t="shared" si="99"/>
        <v>-1.405948440036299E-3</v>
      </c>
      <c r="Z77" s="114">
        <f t="shared" si="99"/>
        <v>-5.204570100233058E-2</v>
      </c>
      <c r="AA77" s="115">
        <f t="shared" si="99"/>
        <v>-1.6436837294789258E-2</v>
      </c>
      <c r="AB77" s="136">
        <f t="shared" si="99"/>
        <v>-3.699613215174178E-2</v>
      </c>
      <c r="AC77" s="115">
        <f t="shared" si="99"/>
        <v>7.3550390563838483E-2</v>
      </c>
      <c r="AD77" s="114">
        <f t="shared" si="99"/>
        <v>0.1899340784443436</v>
      </c>
      <c r="AE77" s="114">
        <f t="shared" si="99"/>
        <v>0.21532901616187558</v>
      </c>
      <c r="AF77" s="115">
        <f t="shared" si="99"/>
        <v>0.23457090441005057</v>
      </c>
      <c r="AG77" s="136">
        <f t="shared" si="99"/>
        <v>0.18367395140901757</v>
      </c>
      <c r="AH77" s="115">
        <f t="shared" si="99"/>
        <v>0.20944636621473187</v>
      </c>
      <c r="AI77" s="114">
        <f t="shared" si="99"/>
        <v>0.22990627796354732</v>
      </c>
      <c r="AJ77" s="114">
        <f t="shared" si="99"/>
        <v>0.21221070619265203</v>
      </c>
      <c r="AK77" s="115">
        <f t="shared" si="99"/>
        <v>0.18594852545356669</v>
      </c>
      <c r="AL77" s="136">
        <f t="shared" si="99"/>
        <v>0.24401921292725859</v>
      </c>
      <c r="AM77" s="115">
        <f t="shared" si="99"/>
        <v>0.15899287733381406</v>
      </c>
      <c r="AN77" s="114">
        <f t="shared" si="99"/>
        <v>0.13377516192194211</v>
      </c>
      <c r="AO77" s="114">
        <f t="shared" si="99"/>
        <v>9.418673770583029E-2</v>
      </c>
      <c r="AP77" s="115">
        <f t="shared" si="99"/>
        <v>8.9106133205938076E-2</v>
      </c>
      <c r="AQ77" s="136">
        <f t="shared" si="99"/>
        <v>0.11846867413432401</v>
      </c>
      <c r="AS77" s="543">
        <f>AS76-AJ76</f>
        <v>-7550</v>
      </c>
      <c r="AT77" s="543">
        <f>AT76-AL76</f>
        <v>-57327</v>
      </c>
    </row>
    <row r="78" spans="1:47" s="200" customFormat="1" ht="11.25" x14ac:dyDescent="0.2">
      <c r="A78" s="161"/>
      <c r="B78" s="162"/>
      <c r="C78" s="122"/>
      <c r="D78" s="195"/>
      <c r="E78" s="196"/>
      <c r="F78" s="195"/>
      <c r="G78" s="197"/>
      <c r="H78" s="198"/>
      <c r="I78" s="195"/>
      <c r="J78" s="195"/>
      <c r="K78" s="195"/>
      <c r="L78" s="197"/>
      <c r="M78" s="198"/>
      <c r="N78" s="195"/>
      <c r="O78" s="197"/>
      <c r="P78" s="197"/>
      <c r="Q78" s="197"/>
      <c r="R78" s="198"/>
      <c r="S78" s="197"/>
      <c r="T78" s="197"/>
      <c r="U78" s="195"/>
      <c r="V78" s="197"/>
      <c r="W78" s="198"/>
      <c r="X78" s="197"/>
      <c r="Y78" s="195"/>
      <c r="Z78" s="195"/>
      <c r="AA78" s="197"/>
      <c r="AB78" s="198"/>
      <c r="AC78" s="197"/>
      <c r="AD78" s="195"/>
      <c r="AE78" s="195"/>
      <c r="AF78" s="197"/>
      <c r="AG78" s="198"/>
      <c r="AH78" s="197"/>
      <c r="AI78" s="195"/>
      <c r="AJ78" s="646"/>
      <c r="AK78" s="197"/>
      <c r="AL78" s="198"/>
      <c r="AM78" s="197"/>
      <c r="AN78" s="195"/>
      <c r="AO78" s="195"/>
      <c r="AP78" s="197"/>
      <c r="AQ78" s="198"/>
    </row>
    <row r="79" spans="1:47" s="121" customFormat="1" x14ac:dyDescent="0.2">
      <c r="A79" s="105"/>
      <c r="B79" s="138" t="s">
        <v>115</v>
      </c>
      <c r="C79" s="120"/>
      <c r="D79" s="108">
        <f t="shared" ref="D79:AG79" si="100">D60+D68</f>
        <v>-2988.0087499999995</v>
      </c>
      <c r="E79" s="108">
        <f t="shared" si="100"/>
        <v>-1587.3624600000012</v>
      </c>
      <c r="F79" s="108">
        <f t="shared" si="100"/>
        <v>-1190.0718399999964</v>
      </c>
      <c r="G79" s="109">
        <f t="shared" si="100"/>
        <v>-1419.3965299999995</v>
      </c>
      <c r="H79" s="110">
        <f t="shared" si="100"/>
        <v>-7184.8395799999917</v>
      </c>
      <c r="I79" s="108">
        <f t="shared" si="100"/>
        <v>-1084.3288900000041</v>
      </c>
      <c r="J79" s="108">
        <f t="shared" si="100"/>
        <v>275.04257000000246</v>
      </c>
      <c r="K79" s="108">
        <f t="shared" si="100"/>
        <v>-2102.1984899999998</v>
      </c>
      <c r="L79" s="109">
        <f t="shared" si="100"/>
        <v>-4559.1076799999992</v>
      </c>
      <c r="M79" s="110">
        <f t="shared" si="100"/>
        <v>-7470.59248999999</v>
      </c>
      <c r="N79" s="108">
        <f t="shared" si="100"/>
        <v>-5645.1170699999975</v>
      </c>
      <c r="O79" s="109">
        <f t="shared" si="100"/>
        <v>-7578</v>
      </c>
      <c r="P79" s="109">
        <f t="shared" si="100"/>
        <v>-8318</v>
      </c>
      <c r="Q79" s="109">
        <f t="shared" si="100"/>
        <v>-9497</v>
      </c>
      <c r="R79" s="110">
        <f t="shared" si="100"/>
        <v>-31038.117069999993</v>
      </c>
      <c r="S79" s="109">
        <f t="shared" si="100"/>
        <v>-12751</v>
      </c>
      <c r="T79" s="109">
        <f t="shared" si="100"/>
        <v>-17793</v>
      </c>
      <c r="U79" s="108">
        <f t="shared" si="100"/>
        <v>-26728</v>
      </c>
      <c r="V79" s="109">
        <f t="shared" si="100"/>
        <v>-82146</v>
      </c>
      <c r="W79" s="110">
        <f t="shared" si="100"/>
        <v>-139418</v>
      </c>
      <c r="X79" s="109">
        <f>X60+X68</f>
        <v>-77680</v>
      </c>
      <c r="Y79" s="108">
        <f>Y60+Y68</f>
        <v>-81075</v>
      </c>
      <c r="Z79" s="108">
        <f t="shared" si="100"/>
        <v>-87599</v>
      </c>
      <c r="AA79" s="109">
        <f t="shared" si="100"/>
        <v>-84325</v>
      </c>
      <c r="AB79" s="110">
        <f t="shared" si="100"/>
        <v>-330679</v>
      </c>
      <c r="AC79" s="109">
        <f t="shared" si="100"/>
        <v>-81747</v>
      </c>
      <c r="AD79" s="108">
        <f t="shared" si="100"/>
        <v>-95441</v>
      </c>
      <c r="AE79" s="108">
        <f t="shared" si="100"/>
        <v>-30596</v>
      </c>
      <c r="AF79" s="109">
        <f t="shared" si="100"/>
        <v>-15134</v>
      </c>
      <c r="AG79" s="110">
        <f t="shared" si="100"/>
        <v>-222918</v>
      </c>
      <c r="AH79" s="109">
        <f>AH60+AH68</f>
        <v>-27339</v>
      </c>
      <c r="AI79" s="108">
        <f t="shared" ref="AI79:AQ79" si="101">AI60+AI68</f>
        <v>-38755</v>
      </c>
      <c r="AJ79" s="108">
        <f t="shared" si="101"/>
        <v>32179</v>
      </c>
      <c r="AK79" s="109">
        <f t="shared" si="101"/>
        <v>7596</v>
      </c>
      <c r="AL79" s="110">
        <f t="shared" si="101"/>
        <v>-26319</v>
      </c>
      <c r="AM79" s="109">
        <f t="shared" si="101"/>
        <v>59954.745885265351</v>
      </c>
      <c r="AN79" s="108">
        <f t="shared" si="101"/>
        <v>-3623.8267947649001</v>
      </c>
      <c r="AO79" s="108">
        <f t="shared" si="101"/>
        <v>-21536.642919751757</v>
      </c>
      <c r="AP79" s="109">
        <f t="shared" si="101"/>
        <v>-21685.473311449052</v>
      </c>
      <c r="AQ79" s="110">
        <f t="shared" si="101"/>
        <v>13108.802859299583</v>
      </c>
    </row>
    <row r="80" spans="1:47" s="121" customFormat="1" x14ac:dyDescent="0.2">
      <c r="A80" s="105"/>
      <c r="B80" s="119"/>
      <c r="C80" s="120" t="s">
        <v>111</v>
      </c>
      <c r="D80" s="108">
        <v>6.7249999999999996</v>
      </c>
      <c r="E80" s="108">
        <v>0</v>
      </c>
      <c r="F80" s="108">
        <v>0.41099999999999998</v>
      </c>
      <c r="G80" s="108">
        <v>2.7037300000000002</v>
      </c>
      <c r="H80" s="110">
        <f>SUM(D80:G80)</f>
        <v>9.8397299999999994</v>
      </c>
      <c r="I80" s="108">
        <v>-21.032589999999995</v>
      </c>
      <c r="J80" s="108">
        <v>-6.1292900000000001</v>
      </c>
      <c r="K80" s="108">
        <v>-69.606529999999992</v>
      </c>
      <c r="L80" s="108">
        <v>-59</v>
      </c>
      <c r="M80" s="110">
        <f>SUM(I80:L80)</f>
        <v>-155.76840999999999</v>
      </c>
      <c r="N80" s="108">
        <v>51.163429999999998</v>
      </c>
      <c r="O80" s="109">
        <v>0</v>
      </c>
      <c r="P80" s="109">
        <v>1</v>
      </c>
      <c r="Q80" s="108">
        <v>1</v>
      </c>
      <c r="R80" s="110">
        <f>SUM(N80:Q80)</f>
        <v>53.163429999999998</v>
      </c>
      <c r="S80" s="109">
        <v>0</v>
      </c>
      <c r="T80" s="109">
        <v>-333</v>
      </c>
      <c r="U80" s="175">
        <v>0</v>
      </c>
      <c r="V80" s="108">
        <v>-40284</v>
      </c>
      <c r="W80" s="110">
        <f>SUM(S80:V80)</f>
        <v>-40617</v>
      </c>
      <c r="X80" s="109">
        <v>-3941</v>
      </c>
      <c r="Y80" s="108">
        <v>-635</v>
      </c>
      <c r="Z80" s="108">
        <v>-879</v>
      </c>
      <c r="AA80" s="179">
        <v>617</v>
      </c>
      <c r="AB80" s="110">
        <f>SUM(X80:AA80)</f>
        <v>-4838</v>
      </c>
      <c r="AC80" s="109">
        <v>-107</v>
      </c>
      <c r="AD80" s="179">
        <v>-365</v>
      </c>
      <c r="AE80" s="179">
        <v>542</v>
      </c>
      <c r="AF80" s="179">
        <v>737</v>
      </c>
      <c r="AG80" s="110">
        <f>SUM(AC80:AF80)</f>
        <v>807</v>
      </c>
      <c r="AH80" s="179">
        <v>522</v>
      </c>
      <c r="AI80" s="179">
        <v>1666</v>
      </c>
      <c r="AJ80" s="179">
        <v>370</v>
      </c>
      <c r="AK80" s="179">
        <v>0</v>
      </c>
      <c r="AL80" s="110">
        <f>SUM(AH80:AK80)</f>
        <v>2558</v>
      </c>
      <c r="AM80" s="175">
        <v>500</v>
      </c>
      <c r="AN80" s="175">
        <v>500</v>
      </c>
      <c r="AO80" s="175">
        <v>500</v>
      </c>
      <c r="AP80" s="175">
        <v>500</v>
      </c>
      <c r="AQ80" s="110">
        <f>SUM(AM80:AP80)</f>
        <v>2000</v>
      </c>
    </row>
    <row r="81" spans="1:43" s="160" customFormat="1" ht="13.35" customHeight="1" x14ac:dyDescent="0.2">
      <c r="A81" s="123"/>
      <c r="B81" s="124"/>
      <c r="C81" s="112" t="s">
        <v>112</v>
      </c>
      <c r="D81" s="114">
        <f t="shared" ref="D81:AQ81" si="102">D80/D79</f>
        <v>-2.2506627532466231E-3</v>
      </c>
      <c r="E81" s="114">
        <f t="shared" si="102"/>
        <v>0</v>
      </c>
      <c r="F81" s="114">
        <f t="shared" si="102"/>
        <v>-3.4535730212724067E-4</v>
      </c>
      <c r="G81" s="114">
        <f t="shared" si="102"/>
        <v>-1.9048447300346726E-3</v>
      </c>
      <c r="H81" s="116">
        <f t="shared" si="102"/>
        <v>-1.3695128319065422E-3</v>
      </c>
      <c r="I81" s="114">
        <f t="shared" si="102"/>
        <v>1.9396873212517575E-2</v>
      </c>
      <c r="J81" s="114">
        <f t="shared" si="102"/>
        <v>-2.2284877573678669E-2</v>
      </c>
      <c r="K81" s="114">
        <f t="shared" si="102"/>
        <v>3.3111302444137895E-2</v>
      </c>
      <c r="L81" s="114">
        <f t="shared" si="102"/>
        <v>1.2941128865813499E-2</v>
      </c>
      <c r="M81" s="116">
        <f t="shared" si="102"/>
        <v>2.0850877652409627E-2</v>
      </c>
      <c r="N81" s="114">
        <f t="shared" si="102"/>
        <v>-9.0633071671620841E-3</v>
      </c>
      <c r="O81" s="115">
        <f t="shared" si="102"/>
        <v>0</v>
      </c>
      <c r="P81" s="115">
        <f t="shared" si="102"/>
        <v>-1.2022120702091849E-4</v>
      </c>
      <c r="Q81" s="114">
        <f t="shared" si="102"/>
        <v>-1.0529640939243972E-4</v>
      </c>
      <c r="R81" s="116">
        <f t="shared" si="102"/>
        <v>-1.7128432720355097E-3</v>
      </c>
      <c r="S81" s="115">
        <f t="shared" si="102"/>
        <v>0</v>
      </c>
      <c r="T81" s="115">
        <f t="shared" si="102"/>
        <v>1.8715225088517955E-2</v>
      </c>
      <c r="U81" s="114">
        <f t="shared" si="102"/>
        <v>0</v>
      </c>
      <c r="V81" s="114">
        <f t="shared" si="102"/>
        <v>0.4903951500986049</v>
      </c>
      <c r="W81" s="116">
        <f t="shared" si="102"/>
        <v>0.29133253955730248</v>
      </c>
      <c r="X81" s="115">
        <f t="shared" si="102"/>
        <v>5.0733779608650872E-2</v>
      </c>
      <c r="Y81" s="114">
        <f t="shared" si="102"/>
        <v>7.8322540857230956E-3</v>
      </c>
      <c r="Z81" s="114">
        <f t="shared" si="102"/>
        <v>1.0034361122843867E-2</v>
      </c>
      <c r="AA81" s="114">
        <f t="shared" si="102"/>
        <v>-7.3169285502520014E-3</v>
      </c>
      <c r="AB81" s="116">
        <f t="shared" si="102"/>
        <v>1.4630502692943912E-2</v>
      </c>
      <c r="AC81" s="115">
        <f t="shared" si="102"/>
        <v>1.3089165351633698E-3</v>
      </c>
      <c r="AD81" s="114">
        <f t="shared" si="102"/>
        <v>3.8243522176004022E-3</v>
      </c>
      <c r="AE81" s="114">
        <f t="shared" si="102"/>
        <v>-1.7714733952150608E-2</v>
      </c>
      <c r="AF81" s="114">
        <f t="shared" si="102"/>
        <v>-4.8698295229285052E-2</v>
      </c>
      <c r="AG81" s="116">
        <f t="shared" si="102"/>
        <v>-3.6201652625629157E-3</v>
      </c>
      <c r="AH81" s="115">
        <f t="shared" si="102"/>
        <v>-1.9093602545813673E-2</v>
      </c>
      <c r="AI81" s="114">
        <f t="shared" si="102"/>
        <v>-4.2988001548187334E-2</v>
      </c>
      <c r="AJ81" s="114">
        <f t="shared" si="102"/>
        <v>1.149818204419031E-2</v>
      </c>
      <c r="AK81" s="114">
        <f t="shared" si="102"/>
        <v>0</v>
      </c>
      <c r="AL81" s="116">
        <f t="shared" si="102"/>
        <v>-9.719214255860785E-2</v>
      </c>
      <c r="AM81" s="115">
        <f t="shared" si="102"/>
        <v>8.3396233712147456E-3</v>
      </c>
      <c r="AN81" s="114">
        <f t="shared" si="102"/>
        <v>-0.13797568932442261</v>
      </c>
      <c r="AO81" s="114">
        <f t="shared" si="102"/>
        <v>-2.3216245998183789E-2</v>
      </c>
      <c r="AP81" s="114">
        <f t="shared" si="102"/>
        <v>-2.3056909702589716E-2</v>
      </c>
      <c r="AQ81" s="116">
        <f t="shared" si="102"/>
        <v>0.15256923316847118</v>
      </c>
    </row>
    <row r="82" spans="1:43" s="163" customFormat="1" ht="12.75" hidden="1" customHeight="1" outlineLevel="1" x14ac:dyDescent="0.2">
      <c r="A82" s="161"/>
      <c r="B82" s="162"/>
      <c r="C82" s="122"/>
      <c r="D82" s="195"/>
      <c r="E82" s="195"/>
      <c r="F82" s="195"/>
      <c r="G82" s="195"/>
      <c r="H82" s="198"/>
      <c r="I82" s="195"/>
      <c r="J82" s="195"/>
      <c r="K82" s="195"/>
      <c r="L82" s="195"/>
      <c r="M82" s="198"/>
      <c r="N82" s="195"/>
      <c r="O82" s="197"/>
      <c r="P82" s="197"/>
      <c r="Q82" s="195"/>
      <c r="R82" s="198"/>
      <c r="S82" s="197"/>
      <c r="T82" s="197"/>
      <c r="U82" s="195"/>
      <c r="V82" s="195"/>
      <c r="W82" s="198"/>
      <c r="X82" s="195"/>
      <c r="Y82" s="195"/>
      <c r="Z82" s="195"/>
      <c r="AA82" s="195"/>
      <c r="AB82" s="198"/>
      <c r="AC82" s="197"/>
      <c r="AD82" s="195"/>
      <c r="AE82" s="195"/>
      <c r="AF82" s="195"/>
      <c r="AG82" s="198"/>
      <c r="AH82" s="197"/>
      <c r="AI82" s="195"/>
      <c r="AJ82" s="195"/>
      <c r="AK82" s="195"/>
      <c r="AL82" s="198"/>
      <c r="AM82" s="197"/>
      <c r="AN82" s="195"/>
      <c r="AO82" s="195"/>
      <c r="AP82" s="195"/>
      <c r="AQ82" s="198"/>
    </row>
    <row r="83" spans="1:43" collapsed="1" x14ac:dyDescent="0.2">
      <c r="A83" s="28"/>
      <c r="B83" s="201" t="s">
        <v>116</v>
      </c>
      <c r="C83" s="202"/>
      <c r="D83" s="203">
        <f t="shared" ref="D83:L83" si="103">D79-D80</f>
        <v>-2994.7337499999994</v>
      </c>
      <c r="E83" s="203">
        <f t="shared" si="103"/>
        <v>-1587.3624600000012</v>
      </c>
      <c r="F83" s="203">
        <f t="shared" si="103"/>
        <v>-1190.4828399999965</v>
      </c>
      <c r="G83" s="204">
        <f t="shared" si="103"/>
        <v>-1422.1002599999995</v>
      </c>
      <c r="H83" s="205">
        <f t="shared" si="103"/>
        <v>-7194.6793099999913</v>
      </c>
      <c r="I83" s="203">
        <f t="shared" si="103"/>
        <v>-1063.2963000000041</v>
      </c>
      <c r="J83" s="203">
        <f t="shared" si="103"/>
        <v>281.17186000000248</v>
      </c>
      <c r="K83" s="203">
        <f t="shared" si="103"/>
        <v>-2032.5919599999997</v>
      </c>
      <c r="L83" s="204">
        <f t="shared" si="103"/>
        <v>-4500.1076799999992</v>
      </c>
      <c r="M83" s="205">
        <f>SUM(I83:L83)</f>
        <v>-7314.8240800000003</v>
      </c>
      <c r="N83" s="203">
        <f t="shared" ref="N83:AQ83" si="104">N79-N80</f>
        <v>-5696.2804999999971</v>
      </c>
      <c r="O83" s="204">
        <f t="shared" si="104"/>
        <v>-7578</v>
      </c>
      <c r="P83" s="204">
        <f t="shared" si="104"/>
        <v>-8319</v>
      </c>
      <c r="Q83" s="204">
        <f t="shared" si="104"/>
        <v>-9498</v>
      </c>
      <c r="R83" s="205">
        <f t="shared" si="104"/>
        <v>-31091.280499999993</v>
      </c>
      <c r="S83" s="204">
        <f t="shared" si="104"/>
        <v>-12751</v>
      </c>
      <c r="T83" s="204">
        <f t="shared" si="104"/>
        <v>-17460</v>
      </c>
      <c r="U83" s="203">
        <f t="shared" si="104"/>
        <v>-26728</v>
      </c>
      <c r="V83" s="204">
        <f t="shared" si="104"/>
        <v>-41862</v>
      </c>
      <c r="W83" s="205">
        <f t="shared" si="104"/>
        <v>-98801</v>
      </c>
      <c r="X83" s="203">
        <f t="shared" si="104"/>
        <v>-73739</v>
      </c>
      <c r="Y83" s="203">
        <f t="shared" si="104"/>
        <v>-80440</v>
      </c>
      <c r="Z83" s="203">
        <f t="shared" si="104"/>
        <v>-86720</v>
      </c>
      <c r="AA83" s="204">
        <f t="shared" si="104"/>
        <v>-84942</v>
      </c>
      <c r="AB83" s="205">
        <f t="shared" si="104"/>
        <v>-325841</v>
      </c>
      <c r="AC83" s="204">
        <f t="shared" si="104"/>
        <v>-81640</v>
      </c>
      <c r="AD83" s="203">
        <f t="shared" si="104"/>
        <v>-95076</v>
      </c>
      <c r="AE83" s="203">
        <f t="shared" si="104"/>
        <v>-31138</v>
      </c>
      <c r="AF83" s="204">
        <f t="shared" si="104"/>
        <v>-15871</v>
      </c>
      <c r="AG83" s="205">
        <f t="shared" si="104"/>
        <v>-223725</v>
      </c>
      <c r="AH83" s="204">
        <f t="shared" si="104"/>
        <v>-27861</v>
      </c>
      <c r="AI83" s="203">
        <f t="shared" si="104"/>
        <v>-40421</v>
      </c>
      <c r="AJ83" s="203">
        <f t="shared" si="104"/>
        <v>31809</v>
      </c>
      <c r="AK83" s="204">
        <f t="shared" si="104"/>
        <v>7596</v>
      </c>
      <c r="AL83" s="205">
        <f t="shared" si="104"/>
        <v>-28877</v>
      </c>
      <c r="AM83" s="204">
        <f t="shared" si="104"/>
        <v>59454.745885265351</v>
      </c>
      <c r="AN83" s="203">
        <f t="shared" si="104"/>
        <v>-4123.8267947649001</v>
      </c>
      <c r="AO83" s="203">
        <f t="shared" si="104"/>
        <v>-22036.642919751757</v>
      </c>
      <c r="AP83" s="204">
        <f t="shared" si="104"/>
        <v>-22185.473311449052</v>
      </c>
      <c r="AQ83" s="205">
        <f t="shared" si="104"/>
        <v>11108.802859299583</v>
      </c>
    </row>
    <row r="84" spans="1:43" s="118" customFormat="1" ht="13.35" customHeight="1" x14ac:dyDescent="0.2">
      <c r="A84" s="123"/>
      <c r="B84" s="124"/>
      <c r="C84" s="112" t="s">
        <v>117</v>
      </c>
      <c r="D84" s="114">
        <f t="shared" ref="D84:AQ84" si="105">D83/D26</f>
        <v>-0.22855975207113954</v>
      </c>
      <c r="E84" s="114">
        <f t="shared" si="105"/>
        <v>-0.10468575616236381</v>
      </c>
      <c r="F84" s="114">
        <f t="shared" si="105"/>
        <v>-6.962822579813345E-2</v>
      </c>
      <c r="G84" s="115">
        <f t="shared" si="105"/>
        <v>-7.2925697812841889E-2</v>
      </c>
      <c r="H84" s="116">
        <f t="shared" si="105"/>
        <v>-0.110919236107065</v>
      </c>
      <c r="I84" s="114">
        <f t="shared" si="105"/>
        <v>-4.7417506048857049E-2</v>
      </c>
      <c r="J84" s="114">
        <f t="shared" si="105"/>
        <v>1.0814863786303246E-2</v>
      </c>
      <c r="K84" s="114">
        <f t="shared" si="105"/>
        <v>-7.1966244204081889E-2</v>
      </c>
      <c r="L84" s="115">
        <f t="shared" si="105"/>
        <v>-0.14202945198941755</v>
      </c>
      <c r="M84" s="116">
        <f t="shared" si="105"/>
        <v>-6.7510572826203333E-2</v>
      </c>
      <c r="N84" s="114">
        <f t="shared" si="105"/>
        <v>-0.16192054463368427</v>
      </c>
      <c r="O84" s="115">
        <f t="shared" si="105"/>
        <v>-0.19390992835209825</v>
      </c>
      <c r="P84" s="114">
        <f t="shared" si="105"/>
        <v>-0.2017705554208101</v>
      </c>
      <c r="Q84" s="115">
        <f t="shared" si="105"/>
        <v>-0.22555212538589409</v>
      </c>
      <c r="R84" s="116">
        <f t="shared" si="105"/>
        <v>-0.19728035000474956</v>
      </c>
      <c r="S84" s="115">
        <f t="shared" si="105"/>
        <v>-0.27594191607695473</v>
      </c>
      <c r="T84" s="114">
        <f t="shared" si="105"/>
        <v>-0.32306411323896755</v>
      </c>
      <c r="U84" s="114">
        <f t="shared" si="105"/>
        <v>-0.44742040242391778</v>
      </c>
      <c r="V84" s="115">
        <f t="shared" si="105"/>
        <v>-0.53482043616572761</v>
      </c>
      <c r="W84" s="116">
        <f t="shared" si="105"/>
        <v>-0.41466854133003167</v>
      </c>
      <c r="X84" s="114">
        <f t="shared" si="105"/>
        <v>-0.62306398871135371</v>
      </c>
      <c r="Y84" s="114">
        <f t="shared" si="105"/>
        <v>-0.51406587507509038</v>
      </c>
      <c r="Z84" s="114">
        <f t="shared" si="105"/>
        <v>-0.5195583274918969</v>
      </c>
      <c r="AA84" s="115">
        <f t="shared" si="105"/>
        <v>-0.42424121345912769</v>
      </c>
      <c r="AB84" s="116">
        <f t="shared" si="105"/>
        <v>-0.50757291353497658</v>
      </c>
      <c r="AC84" s="114">
        <f t="shared" si="105"/>
        <v>-0.35507385048972706</v>
      </c>
      <c r="AD84" s="114">
        <f t="shared" si="105"/>
        <v>-0.36566848457343293</v>
      </c>
      <c r="AE84" s="114">
        <f t="shared" si="105"/>
        <v>-0.11424483131844949</v>
      </c>
      <c r="AF84" s="115">
        <f t="shared" si="105"/>
        <v>-5.3621322846244546E-2</v>
      </c>
      <c r="AG84" s="116">
        <f t="shared" si="105"/>
        <v>-0.21136680560961693</v>
      </c>
      <c r="AH84" s="114">
        <f t="shared" si="105"/>
        <v>-9.1352033706575728E-2</v>
      </c>
      <c r="AI84" s="114">
        <f t="shared" si="105"/>
        <v>-0.12691251040047724</v>
      </c>
      <c r="AJ84" s="114">
        <f t="shared" si="105"/>
        <v>9.8471339945763209E-2</v>
      </c>
      <c r="AK84" s="115">
        <f t="shared" si="105"/>
        <v>2.2102919994762341E-2</v>
      </c>
      <c r="AL84" s="116">
        <f t="shared" si="105"/>
        <v>-2.238226966461087E-2</v>
      </c>
      <c r="AM84" s="114">
        <f t="shared" si="105"/>
        <v>0.17061793019769561</v>
      </c>
      <c r="AN84" s="114">
        <f t="shared" si="105"/>
        <v>-1.155539907255906E-2</v>
      </c>
      <c r="AO84" s="114">
        <f t="shared" si="105"/>
        <v>-6.2122625301993674E-2</v>
      </c>
      <c r="AP84" s="115">
        <f t="shared" si="105"/>
        <v>-5.9380158127289251E-2</v>
      </c>
      <c r="AQ84" s="116">
        <f t="shared" si="105"/>
        <v>7.7484136799603944E-3</v>
      </c>
    </row>
    <row r="85" spans="1:43" ht="13.5" thickBot="1" x14ac:dyDescent="0.25">
      <c r="A85" s="28"/>
      <c r="B85" s="138"/>
      <c r="C85" s="126"/>
      <c r="D85" s="139"/>
      <c r="E85" s="139"/>
      <c r="F85" s="139"/>
      <c r="G85" s="140"/>
      <c r="H85" s="141"/>
      <c r="I85" s="139"/>
      <c r="J85" s="139"/>
      <c r="K85" s="139"/>
      <c r="L85" s="140"/>
      <c r="M85" s="141"/>
      <c r="N85" s="139"/>
      <c r="O85" s="140">
        <f>-7578-O83</f>
        <v>0</v>
      </c>
      <c r="P85" s="139"/>
      <c r="Q85" s="140"/>
      <c r="R85" s="141"/>
      <c r="S85" s="140"/>
      <c r="T85" s="146"/>
      <c r="U85" s="146"/>
      <c r="V85" s="140"/>
      <c r="W85" s="141"/>
      <c r="X85" s="139"/>
      <c r="Y85" s="139"/>
      <c r="Z85" s="139"/>
      <c r="AA85" s="140"/>
      <c r="AB85" s="141"/>
      <c r="AC85" s="139"/>
      <c r="AD85" s="139"/>
      <c r="AE85" s="139"/>
      <c r="AF85" s="140"/>
      <c r="AG85" s="141"/>
      <c r="AH85" s="139"/>
      <c r="AI85" s="139"/>
      <c r="AJ85" s="139"/>
      <c r="AK85" s="140"/>
      <c r="AL85" s="141"/>
      <c r="AM85" s="139"/>
      <c r="AN85" s="139"/>
      <c r="AO85" s="139"/>
      <c r="AP85" s="140"/>
      <c r="AQ85" s="141"/>
    </row>
    <row r="86" spans="1:43" s="133" customFormat="1" x14ac:dyDescent="0.2">
      <c r="A86" s="206"/>
      <c r="B86" s="207" t="s">
        <v>118</v>
      </c>
      <c r="C86" s="208"/>
      <c r="D86" s="209">
        <f>IF(D76&gt;0,D76/D92,D76/D91)</f>
        <v>-6.0082445865635721E-2</v>
      </c>
      <c r="E86" s="209">
        <f>IF(E76&gt;0,E76/E92,E76/E91)</f>
        <v>-2.8385976511526773E-2</v>
      </c>
      <c r="F86" s="209">
        <f>IF(F76&gt;0,F76/F92,F76/F91)</f>
        <v>-2.7930929526123877E-2</v>
      </c>
      <c r="G86" s="210">
        <f>IF(G76&gt;0,G76/G92,G76/G91)</f>
        <v>-2.5393262641842013E-2</v>
      </c>
      <c r="H86" s="211">
        <f>IF(H76&gt;0,H76/H92,H76/H91)</f>
        <v>-0.1391528730038237</v>
      </c>
      <c r="I86" s="209">
        <f>I76/I92</f>
        <v>-8.0059152941608525E-3</v>
      </c>
      <c r="J86" s="209">
        <f>IF(J76&gt;0,J76/J92,J76/J91)</f>
        <v>5.9681877037264909E-3</v>
      </c>
      <c r="K86" s="209">
        <f>IF(K76&gt;0,K76/K92,K76/K91)</f>
        <v>-2.2827288477235996E-3</v>
      </c>
      <c r="L86" s="210">
        <f>IF(L76&gt;0,L76/L92,L76/L91)</f>
        <v>-3.9662469660043782E-2</v>
      </c>
      <c r="M86" s="211">
        <f>SUM(I86:L86)</f>
        <v>-4.3982926098201744E-2</v>
      </c>
      <c r="N86" s="209">
        <f>IF(N76&gt;0,N76/N92,N76/N91)</f>
        <v>-4.5500033297343589E-2</v>
      </c>
      <c r="O86" s="210">
        <f>IF(O76&gt;0,O76/O92,O76/O91)</f>
        <v>-5.731946280925905E-2</v>
      </c>
      <c r="P86" s="209">
        <f>IF(P76&gt;0,P76/P92,P76/P91)</f>
        <v>-4.0495171251329808E-2</v>
      </c>
      <c r="Q86" s="210">
        <f>IF(Q76&gt;0,Q76/Q92,Q76/Q91)</f>
        <v>-2.4898504201453987E-2</v>
      </c>
      <c r="R86" s="211">
        <f>SUM(N86:Q86)</f>
        <v>-0.16821317155938642</v>
      </c>
      <c r="S86" s="210">
        <f>IF(S76&gt;0,S76/S92,S76/S91)</f>
        <v>-1.8038795252817392E-2</v>
      </c>
      <c r="T86" s="209">
        <f>IF(T76&gt;0,T76/T92,T76/T91)</f>
        <v>-1.2193476367472613E-2</v>
      </c>
      <c r="U86" s="209">
        <f>IF(U76&gt;0,U76/U92,U76/U91)</f>
        <v>-2.1094799520737773E-2</v>
      </c>
      <c r="V86" s="210">
        <f>IF(V76&gt;0,V76/V92,V76/V91)</f>
        <v>-6.6900477203472655E-2</v>
      </c>
      <c r="W86" s="211">
        <f>SUM(S86:V86)</f>
        <v>-0.11822754834450043</v>
      </c>
      <c r="X86" s="209">
        <f>IF(X76&gt;0,X76/X92,X76/X91)</f>
        <v>-0.1263817628165019</v>
      </c>
      <c r="Y86" s="209">
        <f>IF(Y76&gt;0,Y76/Y92,Y76/Y91)</f>
        <v>-2.1377903022058108E-3</v>
      </c>
      <c r="Z86" s="209">
        <f>IF(Z76&gt;0,Z76/Z92,Z76/Z91)</f>
        <v>-8.3665607242608103E-2</v>
      </c>
      <c r="AA86" s="210">
        <f>IF(AA76&gt;0,AA76/AA92,AA76/AA91)</f>
        <v>-3.151121707408152E-2</v>
      </c>
      <c r="AB86" s="211">
        <f>SUM(X86:AA86)</f>
        <v>-0.24369637743539735</v>
      </c>
      <c r="AC86" s="209">
        <f>IF(AC76&gt;0,AC76/AC92,AC76/AC91)</f>
        <v>0.14392340425531916</v>
      </c>
      <c r="AD86" s="209">
        <f>IF(AD76&gt;0,AD76/AD92,AD76/AD91)</f>
        <v>0.4211567654232547</v>
      </c>
      <c r="AE86" s="209">
        <f>IF(AE76&gt;0,AE76/AE92,AE76/AE91)</f>
        <v>0.50070384684292701</v>
      </c>
      <c r="AF86" s="210">
        <f>IF(AF76&gt;0,AF76/AF92,AF76/AF91)</f>
        <v>0.5932986959716976</v>
      </c>
      <c r="AG86" s="211">
        <f>SUM(AC86:AF86)</f>
        <v>1.6590827124931984</v>
      </c>
      <c r="AH86" s="209">
        <f>IF(AH76&gt;0,AH76/AH92,AH76/AH91)</f>
        <v>0.54157764438566147</v>
      </c>
      <c r="AI86" s="209">
        <f>IF(AI76&gt;0,AI76/AI92,AI76/AI91)</f>
        <v>0.62739049969154848</v>
      </c>
      <c r="AJ86" s="209">
        <f>IF(AJ76&gt;0,AJ76/AJ92,AJ76/AJ91)</f>
        <v>0.61658991149168885</v>
      </c>
      <c r="AK86" s="210">
        <f>IF(AK76&gt;0,AK76/AK92,AK76/AK91)</f>
        <v>0.57364967369545505</v>
      </c>
      <c r="AL86" s="211">
        <f>SUM(AH86:AK86)</f>
        <v>2.3592077292643538</v>
      </c>
      <c r="AM86" s="209">
        <f>IF(AM76&gt;0,AM76/AM92,AM76/AM91)</f>
        <v>0.49193427107704246</v>
      </c>
      <c r="AN86" s="209">
        <f>IF(AN76&gt;0,AN76/AN92,AN76/AN91)</f>
        <v>0.42136700387383919</v>
      </c>
      <c r="AO86" s="209">
        <f>IF(AO76&gt;0,AO76/AO92,AO76/AO91)</f>
        <v>0.29341944958370259</v>
      </c>
      <c r="AP86" s="210">
        <f>IF(AP76&gt;0,AP76/AP92,AP76/AP91)</f>
        <v>0.29120896665548945</v>
      </c>
      <c r="AQ86" s="211">
        <f>SUM(AM86:AP86)</f>
        <v>1.4979296911900737</v>
      </c>
    </row>
    <row r="87" spans="1:43" s="160" customFormat="1" ht="13.35" customHeight="1" x14ac:dyDescent="0.2">
      <c r="A87" s="123"/>
      <c r="B87" s="124"/>
      <c r="C87" s="112" t="s">
        <v>119</v>
      </c>
      <c r="D87" s="114" t="e">
        <f>D86/#REF!-1</f>
        <v>#REF!</v>
      </c>
      <c r="E87" s="114" t="e">
        <f>E86/#REF!-1</f>
        <v>#REF!</v>
      </c>
      <c r="F87" s="114" t="e">
        <f>F86/#REF!-1</f>
        <v>#REF!</v>
      </c>
      <c r="G87" s="115" t="e">
        <f>G86/#REF!-1</f>
        <v>#REF!</v>
      </c>
      <c r="H87" s="116"/>
      <c r="I87" s="114">
        <f t="shared" ref="I87:AB87" si="106">I86/D86-1</f>
        <v>-0.86675117534221668</v>
      </c>
      <c r="J87" s="114">
        <f t="shared" si="106"/>
        <v>-1.2102512732406079</v>
      </c>
      <c r="K87" s="114">
        <f t="shared" si="106"/>
        <v>-0.9182723637754856</v>
      </c>
      <c r="L87" s="115">
        <f t="shared" si="106"/>
        <v>0.56192885567566009</v>
      </c>
      <c r="M87" s="116">
        <f t="shared" si="106"/>
        <v>-0.68392369378537254</v>
      </c>
      <c r="N87" s="114">
        <f t="shared" si="106"/>
        <v>4.6833018618782072</v>
      </c>
      <c r="O87" s="115">
        <f t="shared" si="106"/>
        <v>-10.604165561594051</v>
      </c>
      <c r="P87" s="114">
        <f t="shared" si="106"/>
        <v>16.739807902157416</v>
      </c>
      <c r="Q87" s="115">
        <f t="shared" si="106"/>
        <v>-0.37224019545770004</v>
      </c>
      <c r="R87" s="116">
        <f t="shared" si="106"/>
        <v>2.8245107018076241</v>
      </c>
      <c r="S87" s="115">
        <f t="shared" si="106"/>
        <v>-0.60354325160745448</v>
      </c>
      <c r="T87" s="114">
        <f t="shared" si="106"/>
        <v>-0.7872716217168918</v>
      </c>
      <c r="U87" s="114">
        <f t="shared" si="106"/>
        <v>-0.47907864397424793</v>
      </c>
      <c r="V87" s="115">
        <f t="shared" si="106"/>
        <v>1.6869275624824844</v>
      </c>
      <c r="W87" s="116">
        <f t="shared" si="106"/>
        <v>-0.29715641618016186</v>
      </c>
      <c r="X87" s="114">
        <f t="shared" si="106"/>
        <v>6.0061088362740271</v>
      </c>
      <c r="Y87" s="114">
        <f t="shared" si="106"/>
        <v>-0.82467753757996431</v>
      </c>
      <c r="Z87" s="114">
        <f t="shared" si="106"/>
        <v>2.9661721914142167</v>
      </c>
      <c r="AA87" s="115">
        <f t="shared" si="106"/>
        <v>-0.52898367259410461</v>
      </c>
      <c r="AB87" s="116">
        <f t="shared" si="106"/>
        <v>1.0612486755226986</v>
      </c>
      <c r="AC87" s="114">
        <f>AC86/X86-1</f>
        <v>-2.1387988349575924</v>
      </c>
      <c r="AD87" s="114">
        <f t="shared" ref="AD87:AG87" si="107">AD86/Y86-1</f>
        <v>-198.0056487713961</v>
      </c>
      <c r="AE87" s="114">
        <f t="shared" si="107"/>
        <v>-6.9845839090251083</v>
      </c>
      <c r="AF87" s="115">
        <f t="shared" si="107"/>
        <v>-19.828174569610493</v>
      </c>
      <c r="AG87" s="116">
        <f t="shared" si="107"/>
        <v>-7.8079908694293687</v>
      </c>
      <c r="AH87" s="114">
        <f>AH86/AC86-1</f>
        <v>2.7629574368940464</v>
      </c>
      <c r="AI87" s="114">
        <f t="shared" ref="AI87:AL87" si="108">AI86/AD86-1</f>
        <v>0.4896840112755465</v>
      </c>
      <c r="AJ87" s="114">
        <f t="shared" si="108"/>
        <v>0.23144632376893992</v>
      </c>
      <c r="AK87" s="115">
        <f t="shared" si="108"/>
        <v>-3.3118263042971274E-2</v>
      </c>
      <c r="AL87" s="116">
        <f t="shared" si="108"/>
        <v>0.42199524562523916</v>
      </c>
      <c r="AM87" s="114">
        <f>AM86/AH86-1</f>
        <v>-9.1664369501314957E-2</v>
      </c>
      <c r="AN87" s="114">
        <f t="shared" ref="AN87:AQ87" si="109">AN86/AI86-1</f>
        <v>-0.32838159952852186</v>
      </c>
      <c r="AO87" s="114">
        <f t="shared" si="109"/>
        <v>-0.52412544526742932</v>
      </c>
      <c r="AP87" s="115">
        <f t="shared" si="109"/>
        <v>-0.49235747877355296</v>
      </c>
      <c r="AQ87" s="116">
        <f t="shared" si="109"/>
        <v>-0.36507087841003438</v>
      </c>
    </row>
    <row r="88" spans="1:43" x14ac:dyDescent="0.2">
      <c r="A88" s="212"/>
      <c r="B88" s="138" t="s">
        <v>120</v>
      </c>
      <c r="C88" s="213"/>
      <c r="D88" s="214">
        <f t="shared" ref="D88:Q88" si="110">D83/D93</f>
        <v>-0.42889133548156094</v>
      </c>
      <c r="E88" s="214">
        <f t="shared" si="110"/>
        <v>-0.22283462623710271</v>
      </c>
      <c r="F88" s="214">
        <f t="shared" si="110"/>
        <v>-0.16564391818561242</v>
      </c>
      <c r="G88" s="215">
        <f t="shared" si="110"/>
        <v>-0.19399771639042351</v>
      </c>
      <c r="H88" s="216">
        <f t="shared" si="110"/>
        <v>-1.0055456757512218</v>
      </c>
      <c r="I88" s="214">
        <f t="shared" si="110"/>
        <v>-0.1432531222633889</v>
      </c>
      <c r="J88" s="214">
        <f t="shared" si="110"/>
        <v>3.6329460559467987E-2</v>
      </c>
      <c r="K88" s="214">
        <f t="shared" si="110"/>
        <v>-0.25581674658611792</v>
      </c>
      <c r="L88" s="215">
        <f t="shared" si="110"/>
        <v>-0.55639313550939651</v>
      </c>
      <c r="M88" s="216">
        <f t="shared" si="110"/>
        <v>-0.9381587892779274</v>
      </c>
      <c r="N88" s="214">
        <f t="shared" si="110"/>
        <v>-0.69205205928805702</v>
      </c>
      <c r="O88" s="215">
        <f t="shared" si="110"/>
        <v>-0.33972922083744284</v>
      </c>
      <c r="P88" s="214">
        <f t="shared" si="110"/>
        <v>-0.1149366528965584</v>
      </c>
      <c r="Q88" s="215">
        <f t="shared" si="110"/>
        <v>-0.12810725509502166</v>
      </c>
      <c r="R88" s="216">
        <f>R83/R93</f>
        <v>-0.74810588306063508</v>
      </c>
      <c r="S88" s="215">
        <f t="shared" ref="S88:AQ88" si="111">S83/S92</f>
        <v>-0.15895831255609855</v>
      </c>
      <c r="T88" s="214">
        <f t="shared" si="111"/>
        <v>-0.21418319655540427</v>
      </c>
      <c r="U88" s="214">
        <f t="shared" si="111"/>
        <v>-0.32347779781427377</v>
      </c>
      <c r="V88" s="215">
        <f t="shared" si="111"/>
        <v>-0.48136606680848615</v>
      </c>
      <c r="W88" s="216">
        <f t="shared" si="111"/>
        <v>-1.1927914115058538</v>
      </c>
      <c r="X88" s="214">
        <f>X83/X91</f>
        <v>-0.7689796854794978</v>
      </c>
      <c r="Y88" s="214">
        <f t="shared" si="111"/>
        <v>-0.78165387231561556</v>
      </c>
      <c r="Z88" s="214">
        <f t="shared" si="111"/>
        <v>-0.83521140325532117</v>
      </c>
      <c r="AA88" s="215">
        <f t="shared" si="111"/>
        <v>-0.81331686438973949</v>
      </c>
      <c r="AB88" s="216">
        <f t="shared" si="111"/>
        <v>-3.2018100036602952</v>
      </c>
      <c r="AC88" s="214">
        <f t="shared" si="111"/>
        <v>-0.69480851063829785</v>
      </c>
      <c r="AD88" s="214">
        <f t="shared" si="111"/>
        <v>-0.81082740623241056</v>
      </c>
      <c r="AE88" s="214">
        <f t="shared" si="111"/>
        <v>-0.26565312721285184</v>
      </c>
      <c r="AF88" s="215">
        <f t="shared" si="111"/>
        <v>-0.13562407068756302</v>
      </c>
      <c r="AG88" s="216">
        <f t="shared" si="111"/>
        <v>-1.9081308249803302</v>
      </c>
      <c r="AH88" s="214">
        <f t="shared" si="111"/>
        <v>-0.23621426391291078</v>
      </c>
      <c r="AI88" s="214">
        <f t="shared" si="111"/>
        <v>-0.34633113989992459</v>
      </c>
      <c r="AJ88" s="214">
        <f t="shared" si="111"/>
        <v>0.28611390947686549</v>
      </c>
      <c r="AK88" s="215">
        <f>AK83/AK92</f>
        <v>6.8187326636684351E-2</v>
      </c>
      <c r="AL88" s="216">
        <f t="shared" si="111"/>
        <v>-0.25262283071068486</v>
      </c>
      <c r="AM88" s="214">
        <f t="shared" si="111"/>
        <v>0.52790293837035029</v>
      </c>
      <c r="AN88" s="214">
        <f t="shared" si="111"/>
        <v>-3.6397368658106007E-2</v>
      </c>
      <c r="AO88" s="214">
        <f t="shared" si="111"/>
        <v>-0.19353028851828727</v>
      </c>
      <c r="AP88" s="215">
        <f t="shared" si="111"/>
        <v>-0.19406110293354215</v>
      </c>
      <c r="AQ88" s="216">
        <f t="shared" si="111"/>
        <v>9.7850503536259403E-2</v>
      </c>
    </row>
    <row r="89" spans="1:43" s="160" customFormat="1" ht="13.35" customHeight="1" thickBot="1" x14ac:dyDescent="0.25">
      <c r="A89" s="123"/>
      <c r="B89" s="127"/>
      <c r="C89" s="128" t="s">
        <v>119</v>
      </c>
      <c r="D89" s="217" t="e">
        <f>D88/#REF!-1</f>
        <v>#REF!</v>
      </c>
      <c r="E89" s="217" t="e">
        <f>E88/#REF!-1</f>
        <v>#REF!</v>
      </c>
      <c r="F89" s="217" t="e">
        <f>F88/#REF!-1</f>
        <v>#REF!</v>
      </c>
      <c r="G89" s="218" t="e">
        <f>G88/#REF!-1</f>
        <v>#REF!</v>
      </c>
      <c r="H89" s="189"/>
      <c r="I89" s="217">
        <f t="shared" ref="I89:AQ89" si="112">I88/D88-1</f>
        <v>-0.66599203478302094</v>
      </c>
      <c r="J89" s="217">
        <f t="shared" si="112"/>
        <v>-1.1630332824523077</v>
      </c>
      <c r="K89" s="217">
        <f t="shared" si="112"/>
        <v>0.54437753820494805</v>
      </c>
      <c r="L89" s="218">
        <f t="shared" si="112"/>
        <v>1.8680396133614603</v>
      </c>
      <c r="M89" s="189">
        <f t="shared" si="112"/>
        <v>-6.7015241672588433E-2</v>
      </c>
      <c r="N89" s="217">
        <f t="shared" si="112"/>
        <v>3.8309736524669402</v>
      </c>
      <c r="O89" s="218">
        <f t="shared" si="112"/>
        <v>-10.351342288205391</v>
      </c>
      <c r="P89" s="217">
        <f t="shared" si="112"/>
        <v>-0.55070708063333829</v>
      </c>
      <c r="Q89" s="218">
        <f t="shared" si="112"/>
        <v>-0.76975406970516413</v>
      </c>
      <c r="R89" s="189">
        <f t="shared" si="112"/>
        <v>-0.20258074474105847</v>
      </c>
      <c r="S89" s="218">
        <f t="shared" si="112"/>
        <v>-0.77030873556011725</v>
      </c>
      <c r="T89" s="217">
        <f t="shared" si="112"/>
        <v>-0.36954732352007813</v>
      </c>
      <c r="U89" s="217">
        <f t="shared" si="112"/>
        <v>1.8144007125855657</v>
      </c>
      <c r="V89" s="218">
        <f t="shared" si="112"/>
        <v>2.7575238533636521</v>
      </c>
      <c r="W89" s="189">
        <f t="shared" si="112"/>
        <v>0.59441522719475293</v>
      </c>
      <c r="X89" s="217">
        <f t="shared" si="112"/>
        <v>3.8376185750469292</v>
      </c>
      <c r="Y89" s="217">
        <f t="shared" si="112"/>
        <v>2.6494640330639556</v>
      </c>
      <c r="Z89" s="217">
        <f t="shared" si="112"/>
        <v>1.5819744319357012</v>
      </c>
      <c r="AA89" s="218">
        <f t="shared" si="112"/>
        <v>0.68960157449844006</v>
      </c>
      <c r="AB89" s="189">
        <f t="shared" si="112"/>
        <v>1.6843000148853622</v>
      </c>
      <c r="AC89" s="217">
        <f t="shared" si="112"/>
        <v>-9.6454010738853846E-2</v>
      </c>
      <c r="AD89" s="217">
        <f t="shared" si="112"/>
        <v>3.7322829131991142E-2</v>
      </c>
      <c r="AE89" s="217">
        <f t="shared" si="112"/>
        <v>-0.68193306966662348</v>
      </c>
      <c r="AF89" s="218">
        <f t="shared" si="112"/>
        <v>-0.83324571685928761</v>
      </c>
      <c r="AG89" s="189">
        <f t="shared" si="112"/>
        <v>-0.40404620424105009</v>
      </c>
      <c r="AH89" s="217">
        <f t="shared" si="112"/>
        <v>-0.66002969120814536</v>
      </c>
      <c r="AI89" s="217">
        <f t="shared" si="112"/>
        <v>-0.57286700321442474</v>
      </c>
      <c r="AJ89" s="217">
        <f t="shared" si="112"/>
        <v>-2.0770206715753048</v>
      </c>
      <c r="AK89" s="218">
        <f t="shared" si="112"/>
        <v>-1.5027671437009689</v>
      </c>
      <c r="AL89" s="189">
        <f t="shared" si="112"/>
        <v>-0.86760717483127026</v>
      </c>
      <c r="AM89" s="217">
        <f t="shared" si="112"/>
        <v>-3.2348478437567234</v>
      </c>
      <c r="AN89" s="217">
        <f t="shared" si="112"/>
        <v>-0.8949058734117199</v>
      </c>
      <c r="AO89" s="217">
        <f t="shared" si="112"/>
        <v>-1.6764099266342578</v>
      </c>
      <c r="AP89" s="218">
        <f t="shared" si="112"/>
        <v>-3.8459995794752055</v>
      </c>
      <c r="AQ89" s="189">
        <f t="shared" si="112"/>
        <v>-1.3873383227516844</v>
      </c>
    </row>
    <row r="90" spans="1:43" ht="5.25" customHeight="1" x14ac:dyDescent="0.2">
      <c r="A90" s="28"/>
      <c r="B90" s="219"/>
      <c r="C90" s="220"/>
      <c r="D90" s="221"/>
      <c r="E90" s="221"/>
      <c r="F90" s="221"/>
      <c r="G90" s="222"/>
      <c r="H90" s="223"/>
      <c r="I90" s="221"/>
      <c r="J90" s="221"/>
      <c r="K90" s="221"/>
      <c r="L90" s="222"/>
      <c r="M90" s="223"/>
      <c r="N90" s="221"/>
      <c r="O90" s="222"/>
      <c r="P90" s="221"/>
      <c r="Q90" s="222"/>
      <c r="R90" s="223"/>
      <c r="S90" s="222"/>
      <c r="T90" s="221"/>
      <c r="U90" s="221"/>
      <c r="V90" s="222"/>
      <c r="W90" s="223"/>
      <c r="X90" s="221"/>
      <c r="Y90" s="221"/>
      <c r="Z90" s="221"/>
      <c r="AA90" s="222"/>
      <c r="AB90" s="223"/>
      <c r="AC90" s="221"/>
      <c r="AD90" s="221"/>
      <c r="AE90" s="221"/>
      <c r="AF90" s="222"/>
      <c r="AG90" s="223"/>
      <c r="AH90" s="221"/>
      <c r="AI90" s="221"/>
      <c r="AJ90" s="221"/>
      <c r="AK90" s="222"/>
      <c r="AL90" s="223"/>
      <c r="AM90" s="221"/>
      <c r="AN90" s="221"/>
      <c r="AO90" s="221"/>
      <c r="AP90" s="222"/>
      <c r="AQ90" s="223"/>
    </row>
    <row r="91" spans="1:43" x14ac:dyDescent="0.2">
      <c r="A91" s="105"/>
      <c r="B91" s="119"/>
      <c r="C91" s="120" t="s">
        <v>121</v>
      </c>
      <c r="D91" s="108">
        <v>48629</v>
      </c>
      <c r="E91" s="108">
        <v>54026.5</v>
      </c>
      <c r="F91" s="108">
        <v>54318</v>
      </c>
      <c r="G91" s="108">
        <v>54462</v>
      </c>
      <c r="H91" s="110">
        <f>AVERAGE(D91:G91)</f>
        <v>52858.875</v>
      </c>
      <c r="I91" s="108">
        <v>54553.5</v>
      </c>
      <c r="J91" s="108">
        <v>55374.5</v>
      </c>
      <c r="K91" s="108">
        <v>60029</v>
      </c>
      <c r="L91" s="108">
        <v>60522.5</v>
      </c>
      <c r="M91" s="110">
        <f>AVERAGE(I91:L91)</f>
        <v>57619.875</v>
      </c>
      <c r="N91" s="108">
        <v>60665.5</v>
      </c>
      <c r="O91" s="109">
        <v>62771</v>
      </c>
      <c r="P91" s="108">
        <v>72379</v>
      </c>
      <c r="Q91" s="108">
        <v>74141</v>
      </c>
      <c r="R91" s="110">
        <f>AVERAGE(N91:Q91)</f>
        <v>67489.125</v>
      </c>
      <c r="S91" s="109">
        <v>80216</v>
      </c>
      <c r="T91" s="108">
        <v>81519</v>
      </c>
      <c r="U91" s="108">
        <v>82627</v>
      </c>
      <c r="V91" s="108">
        <v>86965</v>
      </c>
      <c r="W91" s="110">
        <f>AVERAGE(S91:V91)</f>
        <v>82831.75</v>
      </c>
      <c r="X91" s="108">
        <v>95892</v>
      </c>
      <c r="Y91" s="108">
        <v>102910</v>
      </c>
      <c r="Z91" s="108">
        <v>103830</v>
      </c>
      <c r="AA91" s="108">
        <v>104439</v>
      </c>
      <c r="AB91" s="110">
        <f>AVERAGE(X91:AA91)</f>
        <v>101767.75</v>
      </c>
      <c r="AC91" s="108">
        <v>105086</v>
      </c>
      <c r="AD91" s="108">
        <v>105906</v>
      </c>
      <c r="AE91" s="108">
        <v>106597</v>
      </c>
      <c r="AF91" s="108">
        <v>106414</v>
      </c>
      <c r="AG91" s="110">
        <f>AVERAGE(AC91:AF91)</f>
        <v>106000.75</v>
      </c>
      <c r="AH91" s="108">
        <v>106817</v>
      </c>
      <c r="AI91" s="108">
        <v>105914</v>
      </c>
      <c r="AJ91" s="108">
        <v>105436</v>
      </c>
      <c r="AK91" s="108">
        <v>106289</v>
      </c>
      <c r="AL91" s="110">
        <f>AVERAGE(AH91:AK91)</f>
        <v>106114</v>
      </c>
      <c r="AM91" s="108">
        <f t="shared" ref="AM91:AP91" si="113">AL91+400</f>
        <v>106514</v>
      </c>
      <c r="AN91" s="108">
        <f t="shared" si="113"/>
        <v>106914</v>
      </c>
      <c r="AO91" s="108">
        <f t="shared" si="113"/>
        <v>107314</v>
      </c>
      <c r="AP91" s="108">
        <f t="shared" si="113"/>
        <v>107714</v>
      </c>
      <c r="AQ91" s="110">
        <f>AVERAGE(AM91:AP91)</f>
        <v>107114</v>
      </c>
    </row>
    <row r="92" spans="1:43" ht="13.5" thickBot="1" x14ac:dyDescent="0.25">
      <c r="A92" s="28"/>
      <c r="B92" s="224"/>
      <c r="C92" s="225" t="s">
        <v>122</v>
      </c>
      <c r="D92" s="108">
        <f>D91</f>
        <v>48629</v>
      </c>
      <c r="E92" s="108">
        <f>E91</f>
        <v>54026.5</v>
      </c>
      <c r="F92" s="108">
        <f>F91</f>
        <v>54318</v>
      </c>
      <c r="G92" s="108">
        <f>G91</f>
        <v>54462</v>
      </c>
      <c r="H92" s="110">
        <f>AVERAGE(D92:G92)</f>
        <v>52858.875</v>
      </c>
      <c r="I92" s="108">
        <f>I91</f>
        <v>54553.5</v>
      </c>
      <c r="J92" s="108">
        <f>J91</f>
        <v>55374.5</v>
      </c>
      <c r="K92" s="108">
        <f>K91</f>
        <v>60029</v>
      </c>
      <c r="L92" s="108">
        <f>L91</f>
        <v>60522.5</v>
      </c>
      <c r="M92" s="110">
        <f>AVERAGE(I92:L92)</f>
        <v>57619.875</v>
      </c>
      <c r="N92" s="108">
        <f>N91</f>
        <v>60665.5</v>
      </c>
      <c r="O92" s="109">
        <v>66000</v>
      </c>
      <c r="P92" s="108">
        <v>81900</v>
      </c>
      <c r="Q92" s="108">
        <v>85000</v>
      </c>
      <c r="R92" s="110">
        <f>AVERAGE(N92:Q92)</f>
        <v>73391.375</v>
      </c>
      <c r="S92" s="109">
        <v>80216</v>
      </c>
      <c r="T92" s="108">
        <v>81519</v>
      </c>
      <c r="U92" s="108">
        <v>82627</v>
      </c>
      <c r="V92" s="108">
        <v>86965</v>
      </c>
      <c r="W92" s="110">
        <f>AVERAGE(S92:V92)</f>
        <v>82831.75</v>
      </c>
      <c r="X92" s="108">
        <v>95892</v>
      </c>
      <c r="Y92" s="108">
        <v>102910</v>
      </c>
      <c r="Z92" s="108">
        <v>103830</v>
      </c>
      <c r="AA92" s="108">
        <f>AA91</f>
        <v>104439</v>
      </c>
      <c r="AB92" s="110">
        <f>AVERAGE(X92:AA92)</f>
        <v>101767.75</v>
      </c>
      <c r="AC92" s="108">
        <v>117500</v>
      </c>
      <c r="AD92" s="108">
        <v>117258</v>
      </c>
      <c r="AE92" s="108">
        <v>117213</v>
      </c>
      <c r="AF92" s="108">
        <v>117022</v>
      </c>
      <c r="AG92" s="110">
        <f>AVERAGE(AC92:AF92)</f>
        <v>117248.25</v>
      </c>
      <c r="AH92" s="4">
        <v>117948</v>
      </c>
      <c r="AI92" s="4">
        <v>116712</v>
      </c>
      <c r="AJ92" s="108">
        <v>111176</v>
      </c>
      <c r="AK92" s="108">
        <v>111399</v>
      </c>
      <c r="AL92" s="110">
        <f>AVERAGE(AH92:AK92)</f>
        <v>114308.75</v>
      </c>
      <c r="AM92" s="108">
        <f>+AK92*1.011</f>
        <v>112624.389</v>
      </c>
      <c r="AN92" s="108">
        <f>+AM92*1.006</f>
        <v>113300.13533399999</v>
      </c>
      <c r="AO92" s="108">
        <f>+AN92*1.005</f>
        <v>113866.63601066997</v>
      </c>
      <c r="AP92" s="108">
        <f>+AO92*1.004</f>
        <v>114322.10255471265</v>
      </c>
      <c r="AQ92" s="110">
        <f>AVERAGE(AM92:AP92)</f>
        <v>113528.31572484566</v>
      </c>
    </row>
    <row r="93" spans="1:43" ht="13.5" hidden="1" outlineLevel="1" thickBot="1" x14ac:dyDescent="0.25">
      <c r="A93" s="28"/>
      <c r="B93" s="224"/>
      <c r="C93" s="225" t="s">
        <v>123</v>
      </c>
      <c r="D93" s="108">
        <v>6982.5</v>
      </c>
      <c r="E93" s="108">
        <v>7123.5</v>
      </c>
      <c r="F93" s="108">
        <v>7187</v>
      </c>
      <c r="G93" s="108">
        <v>7330.5</v>
      </c>
      <c r="H93" s="110">
        <v>7155</v>
      </c>
      <c r="I93" s="108">
        <v>7422.5</v>
      </c>
      <c r="J93" s="108">
        <v>7739.5</v>
      </c>
      <c r="K93" s="108">
        <v>7945.5</v>
      </c>
      <c r="L93" s="108">
        <v>8088</v>
      </c>
      <c r="M93" s="110">
        <v>7797</v>
      </c>
      <c r="N93" s="108">
        <v>8231</v>
      </c>
      <c r="O93" s="108">
        <v>22306</v>
      </c>
      <c r="P93" s="108">
        <f>P91</f>
        <v>72379</v>
      </c>
      <c r="Q93" s="108">
        <f>Q91</f>
        <v>74141</v>
      </c>
      <c r="R93" s="110">
        <v>41560</v>
      </c>
      <c r="S93" s="109"/>
      <c r="T93" s="108"/>
      <c r="U93" s="108"/>
      <c r="V93" s="108"/>
      <c r="W93" s="110"/>
      <c r="X93" s="108"/>
      <c r="Y93" s="108"/>
      <c r="Z93" s="108"/>
      <c r="AA93" s="108"/>
      <c r="AB93" s="110"/>
      <c r="AC93" s="108"/>
      <c r="AD93" s="108"/>
      <c r="AE93" s="108"/>
      <c r="AF93" s="108"/>
      <c r="AG93" s="110"/>
      <c r="AH93" s="108"/>
      <c r="AI93" s="108"/>
      <c r="AJ93" s="108"/>
      <c r="AK93" s="108"/>
      <c r="AL93" s="110"/>
      <c r="AM93" s="108"/>
      <c r="AN93" s="108"/>
      <c r="AO93" s="108"/>
      <c r="AP93" s="108"/>
      <c r="AQ93" s="110"/>
    </row>
    <row r="94" spans="1:43" ht="7.5" customHeight="1" collapsed="1" x14ac:dyDescent="0.2">
      <c r="A94" s="28"/>
      <c r="B94" s="219"/>
      <c r="C94" s="226"/>
      <c r="D94" s="226"/>
      <c r="E94" s="226"/>
      <c r="F94" s="226"/>
      <c r="G94" s="226"/>
      <c r="H94" s="227"/>
      <c r="I94" s="226"/>
      <c r="J94" s="226"/>
      <c r="K94" s="226"/>
      <c r="L94" s="226"/>
      <c r="M94" s="227"/>
      <c r="N94" s="226"/>
      <c r="O94" s="226"/>
      <c r="P94" s="226"/>
      <c r="Q94" s="226"/>
      <c r="R94" s="227"/>
      <c r="S94" s="226"/>
      <c r="T94" s="226"/>
      <c r="U94" s="226"/>
      <c r="V94" s="226"/>
      <c r="W94" s="227"/>
      <c r="X94" s="226"/>
      <c r="Y94" s="226"/>
      <c r="Z94" s="226"/>
      <c r="AA94" s="226"/>
      <c r="AB94" s="227"/>
      <c r="AC94" s="226"/>
      <c r="AD94" s="226"/>
      <c r="AE94" s="226"/>
      <c r="AF94" s="226"/>
      <c r="AG94" s="227"/>
      <c r="AH94" s="226"/>
      <c r="AI94" s="226"/>
      <c r="AJ94" s="226"/>
      <c r="AK94" s="226"/>
      <c r="AL94" s="227"/>
      <c r="AM94" s="226"/>
      <c r="AN94" s="226"/>
      <c r="AO94" s="226"/>
      <c r="AP94" s="226"/>
      <c r="AQ94" s="227"/>
    </row>
    <row r="95" spans="1:43" ht="13.5" thickBot="1" x14ac:dyDescent="0.25">
      <c r="A95" s="105"/>
      <c r="B95" s="228" t="s">
        <v>124</v>
      </c>
      <c r="C95" s="229"/>
      <c r="D95" s="108"/>
      <c r="E95" s="229"/>
      <c r="F95" s="229"/>
      <c r="G95" s="229"/>
      <c r="H95" s="230">
        <v>5208</v>
      </c>
      <c r="I95" s="228">
        <v>5095</v>
      </c>
      <c r="J95" s="229">
        <v>5642</v>
      </c>
      <c r="K95" s="229">
        <v>5471.9015600000002</v>
      </c>
      <c r="L95" s="229">
        <v>5254.1441499999992</v>
      </c>
      <c r="M95" s="230"/>
      <c r="N95" s="229">
        <v>5248.0812299999998</v>
      </c>
      <c r="O95" s="229">
        <v>6365</v>
      </c>
      <c r="P95" s="229">
        <v>8199</v>
      </c>
      <c r="Q95" s="229">
        <v>8513</v>
      </c>
      <c r="R95" s="230"/>
      <c r="S95" s="229">
        <v>8951</v>
      </c>
      <c r="T95" s="229">
        <v>8545</v>
      </c>
      <c r="U95" s="229">
        <v>11437</v>
      </c>
      <c r="V95" s="229">
        <v>16576.340381735263</v>
      </c>
      <c r="W95" s="230"/>
      <c r="X95" s="229">
        <v>23968</v>
      </c>
      <c r="Y95" s="229">
        <v>32809</v>
      </c>
      <c r="Z95" s="229">
        <v>30370</v>
      </c>
      <c r="AA95" s="229">
        <v>34027</v>
      </c>
      <c r="AB95" s="230"/>
      <c r="AC95" s="109">
        <v>32724</v>
      </c>
      <c r="AD95" s="109">
        <v>32371</v>
      </c>
      <c r="AE95" s="109">
        <v>29341</v>
      </c>
      <c r="AF95" s="109">
        <v>35497.708345757295</v>
      </c>
      <c r="AG95" s="110"/>
      <c r="AH95" s="109">
        <v>37268.568743836513</v>
      </c>
      <c r="AI95" s="109">
        <v>39231.429297165327</v>
      </c>
      <c r="AJ95" s="109">
        <v>40414.933764027919</v>
      </c>
      <c r="AK95" s="109">
        <v>35497.708345757295</v>
      </c>
      <c r="AL95" s="110"/>
      <c r="AM95" s="109"/>
      <c r="AN95" s="109"/>
      <c r="AO95" s="109"/>
      <c r="AP95" s="109"/>
      <c r="AQ95" s="110"/>
    </row>
    <row r="96" spans="1:43" ht="13.5" thickBot="1" x14ac:dyDescent="0.25">
      <c r="A96" s="105"/>
      <c r="B96" s="231" t="s">
        <v>125</v>
      </c>
      <c r="C96" s="232"/>
      <c r="D96" s="233"/>
      <c r="E96" s="234"/>
      <c r="F96" s="234"/>
      <c r="G96" s="234"/>
      <c r="H96" s="235">
        <v>-8355.6793099999923</v>
      </c>
      <c r="I96" s="233">
        <v>-2255.2963000000041</v>
      </c>
      <c r="J96" s="234">
        <v>76.171860000002198</v>
      </c>
      <c r="K96" s="234">
        <v>102.40804000000026</v>
      </c>
      <c r="L96" s="232">
        <v>-1873.1076799999992</v>
      </c>
      <c r="M96" s="235">
        <v>-3949.8240800000003</v>
      </c>
      <c r="N96" s="231">
        <v>-2380.2804999999971</v>
      </c>
      <c r="O96" s="234">
        <v>-1769</v>
      </c>
      <c r="P96" s="234">
        <v>822</v>
      </c>
      <c r="Q96" s="232">
        <v>-1103</v>
      </c>
      <c r="R96" s="235">
        <v>-4430.2804999999935</v>
      </c>
      <c r="S96" s="231">
        <v>-2156</v>
      </c>
      <c r="T96" s="234">
        <v>-8403</v>
      </c>
      <c r="U96" s="234">
        <v>-408</v>
      </c>
      <c r="V96" s="234">
        <v>17786</v>
      </c>
      <c r="W96" s="235">
        <v>6819</v>
      </c>
      <c r="X96" s="234">
        <v>-17206</v>
      </c>
      <c r="Y96" s="234">
        <v>-12930</v>
      </c>
      <c r="Z96" s="234">
        <v>26445</v>
      </c>
      <c r="AA96" s="234">
        <v>-10474</v>
      </c>
      <c r="AB96" s="235">
        <v>-10786</v>
      </c>
      <c r="AC96" s="234">
        <v>20065</v>
      </c>
      <c r="AD96" s="234">
        <v>55230</v>
      </c>
      <c r="AE96" s="234">
        <v>34031</v>
      </c>
      <c r="AF96" s="234">
        <v>116893.19751184554</v>
      </c>
      <c r="AG96" s="235">
        <v>233079.1975118457</v>
      </c>
      <c r="AH96" s="234">
        <v>31999.314481350171</v>
      </c>
      <c r="AI96" s="234">
        <v>35970.230859995747</v>
      </c>
      <c r="AJ96" s="234">
        <v>34723.734373790612</v>
      </c>
      <c r="AK96" s="234">
        <v>116893.19751184554</v>
      </c>
      <c r="AL96" s="235">
        <v>233079.1975118457</v>
      </c>
      <c r="AM96" s="231"/>
      <c r="AN96" s="234"/>
      <c r="AO96" s="234"/>
      <c r="AP96" s="234"/>
      <c r="AQ96" s="235"/>
    </row>
    <row r="97" spans="1:43" ht="13.5" hidden="1" customHeight="1" outlineLevel="1" x14ac:dyDescent="0.2">
      <c r="A97" s="105"/>
      <c r="B97" s="106"/>
      <c r="C97" s="107"/>
      <c r="D97" s="108"/>
      <c r="E97" s="236"/>
      <c r="F97" s="236"/>
      <c r="G97" s="236"/>
      <c r="H97" s="237"/>
      <c r="I97" s="108"/>
      <c r="J97" s="236"/>
      <c r="K97" s="236"/>
      <c r="L97" s="236"/>
      <c r="M97" s="237"/>
      <c r="N97" s="236"/>
      <c r="O97" s="236"/>
      <c r="P97" s="236"/>
      <c r="Q97" s="236"/>
      <c r="R97" s="237"/>
      <c r="S97" s="236"/>
      <c r="T97" s="236"/>
      <c r="U97" s="236"/>
      <c r="V97" s="236"/>
      <c r="W97" s="237"/>
      <c r="X97" s="236"/>
      <c r="Y97" s="236"/>
      <c r="Z97" s="236"/>
      <c r="AA97" s="236"/>
      <c r="AB97" s="237"/>
      <c r="AC97" s="109"/>
      <c r="AD97" s="109"/>
      <c r="AE97" s="109"/>
      <c r="AF97" s="109"/>
      <c r="AG97" s="110"/>
      <c r="AH97" s="109"/>
      <c r="AI97" s="109"/>
      <c r="AJ97" s="109"/>
      <c r="AK97" s="109"/>
      <c r="AL97" s="110"/>
      <c r="AM97" s="109"/>
      <c r="AN97" s="109"/>
      <c r="AO97" s="109"/>
      <c r="AP97" s="109"/>
      <c r="AQ97" s="110"/>
    </row>
    <row r="98" spans="1:43" collapsed="1" x14ac:dyDescent="0.2">
      <c r="A98" s="105"/>
      <c r="B98" s="119" t="s">
        <v>126</v>
      </c>
      <c r="C98" s="120"/>
      <c r="D98" s="108"/>
      <c r="E98" s="109"/>
      <c r="F98" s="109"/>
      <c r="G98" s="109"/>
      <c r="H98" s="110">
        <v>92268</v>
      </c>
      <c r="I98" s="108">
        <v>89403</v>
      </c>
      <c r="J98" s="109">
        <v>158512</v>
      </c>
      <c r="K98" s="109">
        <v>175368.96432</v>
      </c>
      <c r="L98" s="109">
        <v>162274.73773999995</v>
      </c>
      <c r="M98" s="110">
        <v>162274.73773999995</v>
      </c>
      <c r="N98" s="109">
        <v>157641.84125</v>
      </c>
      <c r="O98" s="109">
        <v>383029</v>
      </c>
      <c r="P98" s="109">
        <v>382423</v>
      </c>
      <c r="Q98" s="109">
        <v>697617</v>
      </c>
      <c r="R98" s="110"/>
      <c r="S98" s="109">
        <v>700324</v>
      </c>
      <c r="T98" s="109">
        <v>848220</v>
      </c>
      <c r="U98" s="109">
        <v>838373</v>
      </c>
      <c r="V98" s="109">
        <v>175548</v>
      </c>
      <c r="W98" s="110"/>
      <c r="X98" s="109">
        <v>1063057</v>
      </c>
      <c r="Y98" s="109">
        <v>1016010</v>
      </c>
      <c r="Z98" s="109">
        <v>1038416</v>
      </c>
      <c r="AA98" s="109">
        <v>931953</v>
      </c>
      <c r="AB98" s="110"/>
      <c r="AC98" s="109">
        <v>868730</v>
      </c>
      <c r="AD98" s="109">
        <v>869329</v>
      </c>
      <c r="AE98" s="109">
        <v>825432</v>
      </c>
      <c r="AF98" s="109">
        <v>1051383.1975118453</v>
      </c>
      <c r="AG98" s="110"/>
      <c r="AH98" s="109">
        <v>1070882.5119931959</v>
      </c>
      <c r="AI98" s="109">
        <v>1094352.7428531917</v>
      </c>
      <c r="AJ98" s="109">
        <v>1116576.4772269819</v>
      </c>
      <c r="AK98" s="109">
        <v>1051383.1975118453</v>
      </c>
      <c r="AL98" s="110"/>
      <c r="AM98" s="109"/>
      <c r="AN98" s="109"/>
      <c r="AO98" s="109"/>
      <c r="AP98" s="109"/>
      <c r="AQ98" s="110"/>
    </row>
    <row r="99" spans="1:43" ht="13.5" thickBot="1" x14ac:dyDescent="0.25">
      <c r="A99" s="212"/>
      <c r="B99" s="238" t="s">
        <v>127</v>
      </c>
      <c r="C99" s="239"/>
      <c r="D99" s="240"/>
      <c r="E99" s="241"/>
      <c r="F99" s="241"/>
      <c r="G99" s="241"/>
      <c r="H99" s="242">
        <f>H98/H92</f>
        <v>1.7455536085472874</v>
      </c>
      <c r="I99" s="243">
        <f t="shared" ref="I99:N99" si="114">I98/I92</f>
        <v>1.6388132750419313</v>
      </c>
      <c r="J99" s="244">
        <f t="shared" si="114"/>
        <v>2.8625450342666752</v>
      </c>
      <c r="K99" s="244">
        <f t="shared" si="114"/>
        <v>2.9214040600376485</v>
      </c>
      <c r="L99" s="244">
        <f t="shared" si="114"/>
        <v>2.6812299184600761</v>
      </c>
      <c r="M99" s="242">
        <f t="shared" si="114"/>
        <v>2.8162979829442523</v>
      </c>
      <c r="N99" s="244">
        <f t="shared" si="114"/>
        <v>2.5985418606951232</v>
      </c>
      <c r="O99" s="244">
        <f>O98/O92</f>
        <v>5.8034696969696968</v>
      </c>
      <c r="P99" s="244">
        <f>P98/P92</f>
        <v>4.6693894993894993</v>
      </c>
      <c r="Q99" s="244">
        <f>Q98/Q92</f>
        <v>8.2072588235294113</v>
      </c>
      <c r="R99" s="242"/>
      <c r="S99" s="244">
        <f>S98/S92</f>
        <v>8.7304777101825071</v>
      </c>
      <c r="T99" s="244">
        <f>T98/T92</f>
        <v>10.405181614102235</v>
      </c>
      <c r="U99" s="244">
        <f>U98/U92</f>
        <v>10.146477543660062</v>
      </c>
      <c r="V99" s="244">
        <f>V98/V92</f>
        <v>2.0186051859943657</v>
      </c>
      <c r="W99" s="242"/>
      <c r="X99" s="244">
        <f>X98/X92</f>
        <v>11.085982146581571</v>
      </c>
      <c r="Y99" s="244">
        <f>Y98/Y92</f>
        <v>9.8728014770187542</v>
      </c>
      <c r="Z99" s="244">
        <f>Z98/Z92</f>
        <v>10.001117210825388</v>
      </c>
      <c r="AA99" s="244">
        <f>AA98/AA92</f>
        <v>8.9234194122885135</v>
      </c>
      <c r="AB99" s="242"/>
      <c r="AC99" s="244">
        <f>AC98/AC92</f>
        <v>7.393446808510638</v>
      </c>
      <c r="AD99" s="244">
        <f>AD98/AD92</f>
        <v>7.4138139828412557</v>
      </c>
      <c r="AE99" s="244">
        <f>AE98/AE92</f>
        <v>7.0421540272836634</v>
      </c>
      <c r="AF99" s="244">
        <f>AF98/AF92</f>
        <v>8.9844917836974698</v>
      </c>
      <c r="AG99" s="242"/>
      <c r="AH99" s="244">
        <f>AH98/AH92</f>
        <v>9.079276562495302</v>
      </c>
      <c r="AI99" s="244">
        <f>AI98/AI92</f>
        <v>9.376522918407634</v>
      </c>
      <c r="AJ99" s="244">
        <f>AJ98/AJ92</f>
        <v>10.043322994414099</v>
      </c>
      <c r="AK99" s="244">
        <f>AK98/AK92</f>
        <v>9.4379949327358883</v>
      </c>
      <c r="AL99" s="242"/>
      <c r="AM99" s="244"/>
      <c r="AN99" s="244"/>
      <c r="AO99" s="244"/>
      <c r="AP99" s="244"/>
      <c r="AQ99" s="242"/>
    </row>
    <row r="100" spans="1:43" x14ac:dyDescent="0.2">
      <c r="B100" s="245" t="s">
        <v>128</v>
      </c>
      <c r="C100" s="215"/>
      <c r="D100" s="246"/>
      <c r="E100" s="246"/>
      <c r="F100" s="246"/>
      <c r="G100" s="246"/>
      <c r="H100" s="246"/>
      <c r="I100" s="246"/>
      <c r="J100" s="246"/>
      <c r="K100" s="246"/>
      <c r="L100" s="246"/>
      <c r="M100" s="246"/>
      <c r="N100" s="246"/>
      <c r="O100" s="246"/>
      <c r="P100" s="246"/>
      <c r="Q100" s="246"/>
      <c r="R100" s="246"/>
      <c r="S100" s="246"/>
      <c r="T100" s="246"/>
      <c r="U100" s="246"/>
      <c r="V100" s="246"/>
      <c r="W100" s="246"/>
      <c r="AC100" s="246"/>
      <c r="AD100" s="246"/>
      <c r="AE100" s="246"/>
      <c r="AF100" s="246"/>
      <c r="AG100" s="246" t="s">
        <v>129</v>
      </c>
      <c r="AH100" s="246"/>
      <c r="AI100" s="246"/>
      <c r="AJ100" s="246"/>
      <c r="AK100" s="246"/>
    </row>
    <row r="101" spans="1:43" x14ac:dyDescent="0.2">
      <c r="B101" s="245" t="s">
        <v>130</v>
      </c>
      <c r="C101" s="215"/>
      <c r="D101" s="247"/>
      <c r="E101" s="247"/>
      <c r="F101" s="247"/>
      <c r="G101" s="247"/>
      <c r="H101" s="247"/>
      <c r="I101" s="247"/>
      <c r="J101" s="247"/>
      <c r="K101" s="247"/>
      <c r="L101" s="247"/>
      <c r="M101" s="247"/>
      <c r="N101" s="247"/>
      <c r="O101" s="247"/>
      <c r="P101" s="247"/>
      <c r="Q101" s="247"/>
      <c r="R101" s="247"/>
      <c r="S101" s="247"/>
      <c r="T101" s="247"/>
      <c r="U101" s="247"/>
      <c r="V101" s="247"/>
      <c r="W101" s="247"/>
      <c r="AC101" s="247"/>
      <c r="AD101" s="247"/>
      <c r="AE101" s="247"/>
      <c r="AF101" s="247"/>
      <c r="AG101" s="247" t="s">
        <v>131</v>
      </c>
      <c r="AH101" s="248"/>
      <c r="AI101" s="248"/>
      <c r="AJ101" s="248"/>
      <c r="AK101" s="247"/>
    </row>
    <row r="102" spans="1:43" x14ac:dyDescent="0.2">
      <c r="B102" s="245"/>
      <c r="C102" s="215"/>
      <c r="D102" s="247"/>
      <c r="E102" s="247"/>
      <c r="F102" s="247"/>
      <c r="G102" s="247"/>
      <c r="H102" s="247"/>
      <c r="I102" s="247"/>
      <c r="J102" s="247"/>
      <c r="K102" s="247"/>
      <c r="L102" s="247"/>
      <c r="M102" s="247"/>
      <c r="N102" s="247"/>
      <c r="O102" s="247"/>
      <c r="P102" s="247"/>
      <c r="Q102" s="247"/>
      <c r="R102" s="247"/>
      <c r="S102" s="247"/>
      <c r="T102" s="247"/>
      <c r="U102" s="247"/>
      <c r="V102" s="247"/>
      <c r="W102" s="247"/>
      <c r="AC102" s="247"/>
      <c r="AD102" s="247"/>
      <c r="AE102" s="247"/>
      <c r="AF102" s="247"/>
      <c r="AG102" s="247"/>
      <c r="AH102" s="248"/>
      <c r="AI102" s="248"/>
      <c r="AJ102" s="248"/>
      <c r="AK102" s="247"/>
    </row>
    <row r="103" spans="1:43" x14ac:dyDescent="0.2">
      <c r="B103" s="245"/>
      <c r="C103" s="215"/>
      <c r="D103" s="247"/>
      <c r="E103" s="247"/>
      <c r="F103" s="247"/>
      <c r="G103" s="247"/>
      <c r="H103" s="247"/>
      <c r="I103" s="247"/>
      <c r="J103" s="247"/>
      <c r="K103" s="247"/>
      <c r="L103" s="247"/>
      <c r="M103" s="247"/>
      <c r="N103" s="247"/>
      <c r="O103" s="247"/>
      <c r="P103" s="247"/>
      <c r="Q103" s="247"/>
      <c r="R103" s="247"/>
      <c r="S103" s="247"/>
      <c r="T103" s="247"/>
      <c r="U103" s="247"/>
      <c r="V103" s="247"/>
      <c r="W103" s="247"/>
      <c r="AC103" s="247"/>
      <c r="AD103" s="247"/>
      <c r="AE103" s="247"/>
      <c r="AF103" s="247"/>
      <c r="AG103" s="247"/>
      <c r="AH103" s="248"/>
      <c r="AI103" s="248"/>
      <c r="AJ103" s="248"/>
      <c r="AK103" s="247"/>
    </row>
    <row r="104" spans="1:43" x14ac:dyDescent="0.2">
      <c r="B104" s="245"/>
      <c r="C104" s="215"/>
      <c r="D104" s="247"/>
      <c r="E104" s="247"/>
      <c r="F104" s="247"/>
      <c r="G104" s="247"/>
      <c r="H104" s="247"/>
      <c r="I104" s="247"/>
      <c r="J104" s="247"/>
      <c r="K104" s="247"/>
      <c r="L104" s="247"/>
      <c r="M104" s="247"/>
      <c r="N104" s="247"/>
      <c r="O104" s="247"/>
      <c r="P104" s="247"/>
      <c r="Q104" s="247"/>
      <c r="R104" s="247"/>
      <c r="S104" s="247"/>
      <c r="T104" s="247"/>
      <c r="U104" s="247"/>
      <c r="V104" s="247"/>
      <c r="W104" s="247"/>
      <c r="AC104" s="247"/>
      <c r="AD104" s="247"/>
      <c r="AE104" s="247"/>
      <c r="AF104" s="247"/>
      <c r="AG104" s="247"/>
      <c r="AH104" s="248"/>
      <c r="AI104" s="248"/>
      <c r="AJ104" s="248"/>
      <c r="AK104" s="247"/>
    </row>
    <row r="105" spans="1:43" x14ac:dyDescent="0.2">
      <c r="B105" s="245"/>
      <c r="C105" s="215"/>
      <c r="D105" s="247"/>
      <c r="E105" s="247"/>
      <c r="F105" s="247"/>
      <c r="G105" s="247"/>
      <c r="H105" s="247"/>
      <c r="I105" s="247"/>
      <c r="J105" s="247"/>
      <c r="K105" s="247"/>
      <c r="L105" s="247"/>
      <c r="M105" s="247"/>
      <c r="N105" s="247"/>
      <c r="O105" s="247"/>
      <c r="P105" s="247"/>
      <c r="Q105" s="247"/>
      <c r="R105" s="247"/>
      <c r="S105" s="247"/>
      <c r="T105" s="247"/>
      <c r="U105" s="247"/>
      <c r="V105" s="247"/>
      <c r="W105" s="247"/>
      <c r="AC105" s="247"/>
      <c r="AD105" s="247"/>
      <c r="AE105" s="247"/>
      <c r="AF105" s="247"/>
      <c r="AG105" s="247"/>
      <c r="AH105" s="248"/>
      <c r="AI105" s="248"/>
      <c r="AJ105" s="248"/>
      <c r="AK105" s="247"/>
    </row>
    <row r="106" spans="1:43" x14ac:dyDescent="0.2">
      <c r="B106" s="245"/>
      <c r="C106" s="215"/>
      <c r="D106" s="247"/>
      <c r="E106" s="247"/>
      <c r="F106" s="247"/>
      <c r="G106" s="247"/>
      <c r="H106" s="247"/>
      <c r="I106" s="247"/>
      <c r="J106" s="247"/>
      <c r="K106" s="247"/>
      <c r="L106" s="247"/>
      <c r="M106" s="247"/>
      <c r="N106" s="247"/>
      <c r="O106" s="247"/>
      <c r="P106" s="247"/>
      <c r="Q106" s="247"/>
      <c r="R106" s="247"/>
      <c r="S106" s="247"/>
      <c r="T106" s="247"/>
      <c r="U106" s="247"/>
      <c r="V106" s="247"/>
      <c r="W106" s="247"/>
      <c r="AC106" s="247"/>
      <c r="AD106" s="247"/>
      <c r="AE106" s="247"/>
      <c r="AF106" s="247"/>
      <c r="AG106" s="247"/>
      <c r="AH106" s="248"/>
      <c r="AI106" s="248"/>
      <c r="AJ106" s="248"/>
      <c r="AK106" s="247"/>
    </row>
    <row r="107" spans="1:43" x14ac:dyDescent="0.2">
      <c r="B107" s="245"/>
      <c r="C107" s="215"/>
      <c r="D107" s="247"/>
      <c r="E107" s="247"/>
      <c r="F107" s="247"/>
      <c r="G107" s="247"/>
      <c r="H107" s="247"/>
      <c r="I107" s="247"/>
      <c r="J107" s="247"/>
      <c r="K107" s="247"/>
      <c r="L107" s="247"/>
      <c r="M107" s="247"/>
      <c r="N107" s="247"/>
      <c r="O107" s="247"/>
      <c r="P107" s="247"/>
      <c r="Q107" s="247"/>
      <c r="R107" s="247"/>
      <c r="S107" s="247"/>
      <c r="T107" s="247"/>
      <c r="U107" s="247"/>
      <c r="V107" s="247"/>
      <c r="W107" s="247"/>
      <c r="AC107" s="247"/>
      <c r="AD107" s="247"/>
      <c r="AE107" s="247"/>
      <c r="AF107" s="247"/>
      <c r="AG107" s="247"/>
      <c r="AH107" s="248"/>
      <c r="AI107" s="248"/>
      <c r="AJ107" s="248"/>
      <c r="AK107" s="247"/>
    </row>
    <row r="108" spans="1:43" x14ac:dyDescent="0.2">
      <c r="B108" s="245"/>
      <c r="C108" s="215"/>
      <c r="D108" s="247"/>
      <c r="E108" s="247"/>
      <c r="F108" s="247"/>
      <c r="G108" s="247"/>
      <c r="H108" s="247"/>
      <c r="I108" s="247"/>
      <c r="J108" s="247"/>
      <c r="K108" s="247"/>
      <c r="L108" s="247"/>
      <c r="M108" s="247"/>
      <c r="N108" s="247"/>
      <c r="O108" s="247"/>
      <c r="P108" s="247"/>
      <c r="Q108" s="247"/>
      <c r="R108" s="247"/>
      <c r="S108" s="247"/>
      <c r="T108" s="247"/>
      <c r="U108" s="247"/>
      <c r="V108" s="247"/>
      <c r="W108" s="247"/>
      <c r="AC108" s="247"/>
      <c r="AD108" s="247"/>
      <c r="AE108" s="247"/>
      <c r="AF108" s="247"/>
      <c r="AG108" s="247"/>
      <c r="AH108" s="248"/>
      <c r="AI108" s="248"/>
      <c r="AJ108" s="248"/>
      <c r="AK108" s="247"/>
    </row>
    <row r="109" spans="1:43" x14ac:dyDescent="0.2">
      <c r="B109" s="245"/>
      <c r="C109" s="215"/>
      <c r="D109" s="247"/>
      <c r="E109" s="247"/>
      <c r="F109" s="247"/>
      <c r="G109" s="247"/>
      <c r="H109" s="247"/>
      <c r="I109" s="247"/>
      <c r="J109" s="247"/>
      <c r="K109" s="247"/>
      <c r="L109" s="247"/>
      <c r="M109" s="247"/>
      <c r="N109" s="247"/>
      <c r="O109" s="247"/>
      <c r="P109" s="247"/>
      <c r="Q109" s="247"/>
      <c r="R109" s="247"/>
      <c r="S109" s="247"/>
      <c r="T109" s="247"/>
      <c r="U109" s="247"/>
      <c r="V109" s="247"/>
      <c r="W109" s="247"/>
      <c r="AC109" s="247"/>
      <c r="AD109" s="247"/>
      <c r="AE109" s="247"/>
      <c r="AF109" s="247"/>
      <c r="AG109" s="247"/>
      <c r="AH109" s="248"/>
      <c r="AI109" s="248"/>
      <c r="AJ109" s="248"/>
      <c r="AK109" s="247"/>
    </row>
    <row r="110" spans="1:43" x14ac:dyDescent="0.2">
      <c r="B110" s="245"/>
      <c r="C110" s="215"/>
      <c r="D110" s="247"/>
      <c r="E110" s="247"/>
      <c r="F110" s="247"/>
      <c r="G110" s="247"/>
      <c r="H110" s="247"/>
      <c r="I110" s="247"/>
      <c r="J110" s="247"/>
      <c r="K110" s="247"/>
      <c r="L110" s="247"/>
      <c r="M110" s="247"/>
      <c r="N110" s="247"/>
      <c r="O110" s="247"/>
      <c r="P110" s="247"/>
      <c r="Q110" s="247"/>
      <c r="R110" s="247"/>
      <c r="S110" s="247"/>
      <c r="T110" s="247"/>
      <c r="U110" s="247"/>
      <c r="V110" s="247"/>
      <c r="W110" s="247"/>
      <c r="AC110" s="247"/>
      <c r="AD110" s="247"/>
      <c r="AE110" s="247"/>
      <c r="AF110" s="247"/>
      <c r="AG110" s="247"/>
      <c r="AH110" s="248"/>
      <c r="AI110" s="248"/>
      <c r="AJ110" s="248"/>
      <c r="AK110" s="247"/>
    </row>
    <row r="111" spans="1:43" x14ac:dyDescent="0.2">
      <c r="B111" s="245"/>
      <c r="C111" s="215"/>
      <c r="D111" s="247"/>
      <c r="E111" s="247"/>
      <c r="F111" s="247"/>
      <c r="G111" s="247"/>
      <c r="H111" s="247"/>
      <c r="I111" s="247"/>
      <c r="J111" s="247"/>
      <c r="K111" s="247"/>
      <c r="L111" s="247"/>
      <c r="M111" s="247"/>
      <c r="N111" s="247"/>
      <c r="O111" s="247"/>
      <c r="P111" s="247"/>
      <c r="Q111" s="247"/>
      <c r="R111" s="247"/>
      <c r="S111" s="247"/>
      <c r="T111" s="247"/>
      <c r="U111" s="247"/>
      <c r="V111" s="247"/>
      <c r="W111" s="247"/>
      <c r="AC111" s="247"/>
      <c r="AD111" s="247"/>
      <c r="AE111" s="247"/>
      <c r="AF111" s="247"/>
      <c r="AG111" s="247"/>
      <c r="AH111" s="248"/>
      <c r="AI111" s="248"/>
      <c r="AJ111" s="248"/>
      <c r="AK111" s="247"/>
    </row>
    <row r="112" spans="1:43" x14ac:dyDescent="0.2">
      <c r="B112" s="245"/>
      <c r="C112" s="215"/>
      <c r="D112" s="247"/>
      <c r="E112" s="247"/>
      <c r="F112" s="247"/>
      <c r="G112" s="247"/>
      <c r="H112" s="247"/>
      <c r="I112" s="247"/>
      <c r="J112" s="247"/>
      <c r="K112" s="247"/>
      <c r="L112" s="247"/>
      <c r="M112" s="247"/>
      <c r="N112" s="247"/>
      <c r="O112" s="247"/>
      <c r="P112" s="247"/>
      <c r="Q112" s="247"/>
      <c r="R112" s="247"/>
      <c r="S112" s="247"/>
      <c r="T112" s="247"/>
      <c r="U112" s="247"/>
      <c r="V112" s="247"/>
      <c r="W112" s="247"/>
      <c r="AC112" s="247"/>
      <c r="AD112" s="247"/>
      <c r="AE112" s="247"/>
      <c r="AF112" s="247"/>
      <c r="AG112" s="247"/>
      <c r="AH112" s="248"/>
      <c r="AI112" s="248"/>
      <c r="AJ112" s="248"/>
      <c r="AK112" s="247"/>
    </row>
    <row r="113" spans="1:37" x14ac:dyDescent="0.2">
      <c r="B113" s="245"/>
      <c r="C113" s="249"/>
      <c r="D113" s="247"/>
      <c r="E113" s="247"/>
      <c r="F113" s="247"/>
      <c r="G113" s="247"/>
      <c r="H113" s="247"/>
      <c r="I113" s="247"/>
      <c r="J113" s="247"/>
      <c r="K113" s="247"/>
      <c r="L113" s="247"/>
      <c r="M113" s="247"/>
      <c r="N113" s="247"/>
      <c r="O113" s="247"/>
      <c r="P113" s="247"/>
      <c r="Q113" s="247"/>
      <c r="R113" s="247"/>
      <c r="S113" s="247"/>
      <c r="T113" s="247"/>
      <c r="U113" s="247" t="s">
        <v>132</v>
      </c>
      <c r="V113" s="247"/>
      <c r="W113" s="247"/>
      <c r="X113" s="247"/>
      <c r="Y113" s="247"/>
      <c r="Z113" s="247"/>
      <c r="AA113" s="247"/>
      <c r="AB113" s="247"/>
    </row>
    <row r="114" spans="1:37" x14ac:dyDescent="0.2">
      <c r="B114" s="245"/>
      <c r="C114" s="250" t="s">
        <v>133</v>
      </c>
      <c r="D114" s="247"/>
      <c r="E114" s="247"/>
      <c r="F114" s="247"/>
      <c r="G114" s="247"/>
      <c r="H114" s="251"/>
      <c r="I114" s="251"/>
      <c r="J114" s="251"/>
      <c r="K114" s="251"/>
      <c r="L114" s="251"/>
      <c r="M114" s="251"/>
      <c r="N114" s="251"/>
      <c r="O114" s="251">
        <v>46200</v>
      </c>
      <c r="P114" s="251">
        <v>43700</v>
      </c>
      <c r="Q114" s="251">
        <v>152300</v>
      </c>
      <c r="R114" s="251"/>
      <c r="S114" s="251">
        <v>151200</v>
      </c>
      <c r="T114" s="251">
        <v>148700</v>
      </c>
      <c r="U114" s="251"/>
      <c r="V114" s="251"/>
      <c r="W114" s="251"/>
      <c r="X114" s="251"/>
      <c r="Y114" s="251">
        <v>155000</v>
      </c>
      <c r="Z114" s="251">
        <v>148000</v>
      </c>
      <c r="AA114" s="251"/>
      <c r="AB114" s="251"/>
      <c r="AC114" s="251"/>
      <c r="AD114" s="251"/>
      <c r="AE114" s="251"/>
      <c r="AF114" s="251"/>
      <c r="AG114" s="251"/>
      <c r="AH114" s="252"/>
      <c r="AI114" s="252"/>
      <c r="AJ114" s="252"/>
      <c r="AK114" s="251"/>
    </row>
    <row r="115" spans="1:37" x14ac:dyDescent="0.2">
      <c r="B115" s="245"/>
      <c r="C115" s="250" t="s">
        <v>134</v>
      </c>
      <c r="D115" s="247"/>
      <c r="E115" s="247"/>
      <c r="F115" s="247"/>
      <c r="G115" s="247"/>
      <c r="H115" s="251"/>
      <c r="I115" s="251"/>
      <c r="J115" s="251"/>
      <c r="K115" s="251"/>
      <c r="L115" s="251"/>
      <c r="M115" s="251"/>
      <c r="N115" s="251"/>
      <c r="O115" s="251"/>
      <c r="P115" s="251"/>
      <c r="Q115" s="251"/>
      <c r="R115" s="251"/>
      <c r="S115" s="251"/>
      <c r="T115" s="251">
        <f>T114-P114</f>
        <v>105000</v>
      </c>
      <c r="U115" s="251"/>
      <c r="V115" s="251"/>
      <c r="W115" s="251"/>
      <c r="X115" s="251"/>
      <c r="Y115" s="251">
        <f>Y114-U114</f>
        <v>155000</v>
      </c>
      <c r="Z115" s="251">
        <f>Z114-V114</f>
        <v>148000</v>
      </c>
      <c r="AA115" s="251"/>
      <c r="AB115" s="251"/>
      <c r="AC115" s="251"/>
      <c r="AD115" s="251"/>
      <c r="AE115" s="251"/>
      <c r="AF115" s="251"/>
      <c r="AG115" s="251"/>
      <c r="AH115" s="252"/>
      <c r="AI115" s="252"/>
      <c r="AJ115" s="252"/>
      <c r="AK115" s="251"/>
    </row>
    <row r="116" spans="1:37" s="133" customFormat="1" x14ac:dyDescent="0.2">
      <c r="B116" s="253"/>
      <c r="C116" s="254" t="s">
        <v>135</v>
      </c>
      <c r="D116" s="255"/>
      <c r="E116" s="255"/>
      <c r="F116" s="255"/>
      <c r="G116" s="255"/>
      <c r="H116" s="256"/>
      <c r="I116" s="256"/>
      <c r="J116" s="256"/>
      <c r="K116" s="256"/>
      <c r="L116" s="256"/>
      <c r="M116" s="256"/>
      <c r="N116" s="256"/>
      <c r="O116" s="256"/>
      <c r="P116" s="256"/>
      <c r="Q116" s="256"/>
      <c r="R116" s="256"/>
      <c r="S116" s="256"/>
      <c r="T116" s="256">
        <f>T115+T26</f>
        <v>159045</v>
      </c>
      <c r="U116" s="256"/>
      <c r="V116" s="256"/>
      <c r="W116" s="256"/>
      <c r="X116" s="256"/>
      <c r="Y116" s="256">
        <f>Y115+Y26</f>
        <v>311478</v>
      </c>
      <c r="Z116" s="256">
        <f>Z115+Z26</f>
        <v>314911</v>
      </c>
      <c r="AA116" s="256"/>
      <c r="AB116" s="256"/>
      <c r="AC116" s="256"/>
      <c r="AD116" s="256"/>
      <c r="AE116" s="256"/>
      <c r="AF116" s="256"/>
      <c r="AG116" s="256"/>
      <c r="AH116" s="257"/>
      <c r="AI116" s="257"/>
      <c r="AJ116" s="257"/>
      <c r="AK116" s="256"/>
    </row>
    <row r="117" spans="1:37" s="133" customFormat="1" x14ac:dyDescent="0.2">
      <c r="B117" s="253"/>
      <c r="C117" s="258" t="s">
        <v>136</v>
      </c>
      <c r="D117" s="255"/>
      <c r="E117" s="255"/>
      <c r="F117" s="255"/>
      <c r="G117" s="255"/>
      <c r="H117" s="256"/>
      <c r="I117" s="256"/>
      <c r="J117" s="256"/>
      <c r="K117" s="256"/>
      <c r="L117" s="256"/>
      <c r="M117" s="256"/>
      <c r="N117" s="256"/>
      <c r="O117" s="256"/>
      <c r="P117" s="256"/>
      <c r="Q117" s="256"/>
      <c r="R117" s="256"/>
      <c r="S117" s="256"/>
      <c r="T117" s="256"/>
      <c r="U117" s="256"/>
      <c r="V117" s="256"/>
      <c r="W117" s="256"/>
      <c r="X117" s="256"/>
      <c r="Y117" s="256"/>
      <c r="Z117" s="256"/>
      <c r="AA117" s="256"/>
      <c r="AB117" s="256"/>
      <c r="AC117" s="256"/>
      <c r="AD117" s="256"/>
      <c r="AE117" s="256"/>
      <c r="AF117" s="256"/>
      <c r="AG117" s="256"/>
      <c r="AH117" s="257"/>
      <c r="AI117" s="257"/>
      <c r="AJ117" s="257"/>
      <c r="AK117" s="256"/>
    </row>
    <row r="118" spans="1:37" s="133" customFormat="1" x14ac:dyDescent="0.2">
      <c r="B118" s="253"/>
      <c r="C118" s="258" t="s">
        <v>137</v>
      </c>
      <c r="D118" s="255"/>
      <c r="E118" s="255"/>
      <c r="F118" s="255"/>
      <c r="G118" s="255"/>
      <c r="H118" s="256"/>
      <c r="I118" s="256"/>
      <c r="J118" s="256"/>
      <c r="K118" s="256"/>
      <c r="L118" s="256"/>
      <c r="M118" s="256"/>
      <c r="N118" s="256"/>
      <c r="O118" s="256"/>
      <c r="P118" s="256"/>
      <c r="Q118" s="256"/>
      <c r="R118" s="256"/>
      <c r="S118" s="256"/>
      <c r="T118" s="256"/>
      <c r="U118" s="256"/>
      <c r="V118" s="256"/>
      <c r="W118" s="256"/>
      <c r="X118" s="256"/>
      <c r="Y118" s="256"/>
      <c r="Z118" s="256"/>
      <c r="AA118" s="256"/>
      <c r="AB118" s="256"/>
      <c r="AC118" s="256"/>
      <c r="AD118" s="256"/>
      <c r="AE118" s="256"/>
      <c r="AF118" s="256"/>
      <c r="AG118" s="256"/>
      <c r="AH118" s="257"/>
      <c r="AI118" s="257"/>
      <c r="AJ118" s="257"/>
      <c r="AK118" s="256"/>
    </row>
    <row r="119" spans="1:37" x14ac:dyDescent="0.2">
      <c r="B119" s="245"/>
      <c r="D119" s="247"/>
      <c r="E119" s="247"/>
      <c r="F119" s="247"/>
      <c r="G119" s="247"/>
      <c r="H119" s="251"/>
      <c r="I119" s="251"/>
      <c r="J119" s="251"/>
      <c r="K119" s="251"/>
      <c r="L119" s="251"/>
      <c r="M119" s="251"/>
      <c r="N119" s="251"/>
      <c r="O119" s="251"/>
      <c r="P119" s="251"/>
      <c r="Q119" s="251"/>
      <c r="R119" s="251"/>
      <c r="S119" s="251"/>
      <c r="T119" s="251"/>
      <c r="U119" s="251"/>
      <c r="V119" s="251"/>
      <c r="W119" s="251"/>
      <c r="X119" s="251"/>
      <c r="Y119" s="251"/>
      <c r="Z119" s="251"/>
      <c r="AA119" s="251"/>
      <c r="AB119" s="251"/>
      <c r="AC119" s="251"/>
      <c r="AD119" s="251"/>
      <c r="AE119" s="251"/>
      <c r="AF119" s="251"/>
      <c r="AG119" s="251"/>
      <c r="AH119" s="252"/>
      <c r="AI119" s="252"/>
      <c r="AJ119" s="252"/>
      <c r="AK119" s="251"/>
    </row>
    <row r="120" spans="1:37" x14ac:dyDescent="0.2">
      <c r="B120" s="245"/>
      <c r="C120" s="250" t="s">
        <v>138</v>
      </c>
      <c r="D120" s="247"/>
      <c r="E120" s="247"/>
      <c r="F120" s="247"/>
      <c r="G120" s="247"/>
      <c r="H120" s="251"/>
      <c r="I120" s="251"/>
      <c r="J120" s="251"/>
      <c r="K120" s="251"/>
      <c r="L120" s="251"/>
      <c r="M120" s="251"/>
      <c r="N120" s="251"/>
      <c r="O120" s="251">
        <v>8100</v>
      </c>
      <c r="P120" s="251">
        <v>7500</v>
      </c>
      <c r="Q120" s="251">
        <v>13000</v>
      </c>
      <c r="R120" s="251"/>
      <c r="S120" s="251">
        <v>17900</v>
      </c>
      <c r="T120" s="251">
        <v>17800</v>
      </c>
      <c r="U120" s="251"/>
      <c r="V120" s="251"/>
      <c r="W120" s="251"/>
      <c r="X120" s="251"/>
      <c r="Y120" s="251">
        <f>Y114*0.6</f>
        <v>93000</v>
      </c>
      <c r="Z120" s="251">
        <f>Z114*0.63</f>
        <v>93240</v>
      </c>
      <c r="AA120" s="251"/>
      <c r="AB120" s="251"/>
      <c r="AC120" s="251"/>
      <c r="AD120" s="251"/>
      <c r="AE120" s="251"/>
      <c r="AF120" s="251"/>
      <c r="AG120" s="251"/>
      <c r="AH120" s="252"/>
      <c r="AI120" s="252"/>
      <c r="AJ120" s="252"/>
      <c r="AK120" s="251"/>
    </row>
    <row r="121" spans="1:37" x14ac:dyDescent="0.2">
      <c r="B121" s="245"/>
      <c r="C121" s="250" t="s">
        <v>139</v>
      </c>
      <c r="D121" s="867"/>
      <c r="E121" s="867"/>
      <c r="F121" s="867"/>
      <c r="G121" s="867"/>
      <c r="H121" s="251"/>
      <c r="I121" s="251"/>
      <c r="J121" s="251"/>
      <c r="K121" s="251"/>
      <c r="L121" s="251"/>
      <c r="M121" s="251"/>
      <c r="N121" s="251"/>
      <c r="O121" s="251"/>
      <c r="P121" s="251"/>
      <c r="Q121" s="251"/>
      <c r="R121" s="251"/>
      <c r="S121" s="251"/>
      <c r="T121" s="251">
        <f>T120-P120</f>
        <v>10300</v>
      </c>
      <c r="U121" s="251"/>
      <c r="V121" s="251"/>
      <c r="W121" s="251"/>
      <c r="X121" s="251"/>
      <c r="Y121" s="251">
        <f>Y120-U120</f>
        <v>93000</v>
      </c>
      <c r="Z121" s="251">
        <f>Z120-V120</f>
        <v>93240</v>
      </c>
      <c r="AA121" s="251"/>
      <c r="AB121" s="251"/>
      <c r="AC121" s="251"/>
      <c r="AD121" s="251"/>
      <c r="AE121" s="251"/>
      <c r="AF121" s="251"/>
      <c r="AG121" s="251"/>
      <c r="AH121" s="252"/>
      <c r="AI121" s="252"/>
      <c r="AJ121" s="252"/>
      <c r="AK121" s="251"/>
    </row>
    <row r="122" spans="1:37" s="133" customFormat="1" x14ac:dyDescent="0.2">
      <c r="A122" s="206"/>
      <c r="B122" s="253"/>
      <c r="C122" s="254" t="s">
        <v>140</v>
      </c>
      <c r="D122" s="259"/>
      <c r="E122" s="259"/>
      <c r="F122" s="259"/>
      <c r="G122" s="259"/>
      <c r="H122" s="256"/>
      <c r="I122" s="256"/>
      <c r="J122" s="256"/>
      <c r="K122" s="256"/>
      <c r="L122" s="256"/>
      <c r="M122" s="256"/>
      <c r="N122" s="256"/>
      <c r="O122" s="256"/>
      <c r="P122" s="256"/>
      <c r="Q122" s="256"/>
      <c r="R122" s="256"/>
      <c r="S122" s="256"/>
      <c r="T122" s="256" t="e">
        <f>T121+#REF!</f>
        <v>#REF!</v>
      </c>
      <c r="U122" s="256"/>
      <c r="V122" s="256"/>
      <c r="W122" s="256"/>
      <c r="X122" s="256"/>
      <c r="Y122" s="256" t="e">
        <f>Y121+#REF!</f>
        <v>#REF!</v>
      </c>
      <c r="Z122" s="256" t="e">
        <f>Z121+#REF!</f>
        <v>#REF!</v>
      </c>
      <c r="AA122" s="256"/>
      <c r="AB122" s="256"/>
      <c r="AC122" s="256"/>
      <c r="AD122" s="256"/>
      <c r="AE122" s="256"/>
      <c r="AF122" s="256"/>
      <c r="AG122" s="256"/>
      <c r="AH122" s="257"/>
      <c r="AI122" s="257"/>
      <c r="AJ122" s="257"/>
      <c r="AK122" s="256"/>
    </row>
    <row r="123" spans="1:37" s="133" customFormat="1" x14ac:dyDescent="0.2">
      <c r="A123" s="206"/>
      <c r="B123" s="253"/>
      <c r="C123" s="260" t="s">
        <v>136</v>
      </c>
      <c r="D123" s="259"/>
      <c r="E123" s="259"/>
      <c r="F123" s="259"/>
      <c r="G123" s="259"/>
      <c r="H123" s="256"/>
      <c r="I123" s="256"/>
      <c r="J123" s="256"/>
      <c r="K123" s="256"/>
      <c r="L123" s="256"/>
      <c r="M123" s="256"/>
      <c r="N123" s="256"/>
      <c r="O123" s="256"/>
      <c r="P123" s="256"/>
      <c r="Q123" s="256"/>
      <c r="R123" s="256"/>
      <c r="S123" s="256"/>
      <c r="T123" s="256"/>
      <c r="U123" s="256"/>
      <c r="V123" s="256"/>
      <c r="W123" s="256"/>
      <c r="X123" s="256"/>
      <c r="Y123" s="256"/>
      <c r="Z123" s="256"/>
      <c r="AA123" s="256"/>
      <c r="AB123" s="256"/>
      <c r="AC123" s="256"/>
      <c r="AD123" s="256"/>
      <c r="AE123" s="256"/>
      <c r="AF123" s="256"/>
      <c r="AG123" s="256"/>
      <c r="AH123" s="257"/>
      <c r="AI123" s="257"/>
      <c r="AJ123" s="257"/>
      <c r="AK123" s="256"/>
    </row>
    <row r="124" spans="1:37" ht="15" x14ac:dyDescent="0.25">
      <c r="A124"/>
      <c r="C124" s="260" t="s">
        <v>137</v>
      </c>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c r="AA124" s="251"/>
      <c r="AB124" s="251"/>
    </row>
    <row r="125" spans="1:37" ht="15" x14ac:dyDescent="0.25">
      <c r="A125"/>
      <c r="C125" s="260"/>
      <c r="D125" s="251"/>
      <c r="E125" s="251"/>
      <c r="F125" s="251"/>
      <c r="G125" s="251"/>
      <c r="H125" s="251"/>
      <c r="I125" s="251"/>
      <c r="J125" s="251"/>
      <c r="K125" s="251"/>
      <c r="L125" s="251"/>
      <c r="M125" s="251"/>
      <c r="N125" s="251"/>
      <c r="O125" s="251"/>
      <c r="P125" s="251"/>
      <c r="Q125" s="251"/>
      <c r="R125" s="251"/>
      <c r="S125" s="251"/>
      <c r="T125" s="251"/>
      <c r="U125" s="251"/>
      <c r="V125" s="251"/>
      <c r="W125" s="251"/>
      <c r="X125" s="251"/>
      <c r="Y125" s="251"/>
      <c r="Z125" s="251"/>
      <c r="AA125" s="251"/>
      <c r="AB125" s="251"/>
    </row>
    <row r="126" spans="1:37" s="261" customFormat="1" ht="12" x14ac:dyDescent="0.2">
      <c r="C126" s="262" t="s">
        <v>141</v>
      </c>
      <c r="D126" s="251"/>
      <c r="E126" s="251"/>
      <c r="F126" s="251"/>
      <c r="G126" s="251"/>
      <c r="H126" s="251"/>
      <c r="I126" s="251"/>
      <c r="J126" s="251"/>
      <c r="K126" s="251"/>
      <c r="L126" s="251">
        <f>L26+K26+J26+I26-G26-F26-E26-D26</f>
        <v>43486.666649999992</v>
      </c>
      <c r="M126" s="251"/>
      <c r="N126" s="251">
        <f>N26+L26+K26+J26-I26-G26-F26-E26</f>
        <v>46920.516610000006</v>
      </c>
      <c r="O126" s="251">
        <f>+O26+N26+L26+K26-J26-I26-G26-F26</f>
        <v>49166.334180000005</v>
      </c>
      <c r="P126" s="251">
        <f>+P26+O26+N26+L26-K26-J26-I26-G26</f>
        <v>51006.668050000007</v>
      </c>
      <c r="Q126" s="251">
        <f>Q26+P26+O26+N26-L26-K26-J26-I26</f>
        <v>49248.68694</v>
      </c>
      <c r="R126" s="251"/>
      <c r="S126" s="251">
        <f>S26+Q26+P26+O26-N26-L26-K26-J26</f>
        <v>47522.857279999997</v>
      </c>
      <c r="T126" s="251">
        <f>+T26+S26+Q26+P26-O26-N26-L26-K26</f>
        <v>49406.507429999998</v>
      </c>
      <c r="U126" s="251">
        <f>+U26+T26+S26+Q26-P26-O26-N26-L26</f>
        <v>54928.192819999997</v>
      </c>
      <c r="V126" s="251">
        <f>V26+U26+T26+S26-Q26-P26-O26-N26</f>
        <v>80665.520380000002</v>
      </c>
      <c r="W126" s="251"/>
      <c r="X126" s="251">
        <f>X26+V26+U26+T26-S26-Q26-P26-O26</f>
        <v>141776</v>
      </c>
      <c r="Y126" s="251">
        <f>+Y26+X26+V26+U26-T26-S26-Q26-P26</f>
        <v>229244</v>
      </c>
      <c r="Z126" s="251">
        <f>+Z26+Y26+X26+V26-U26-T26-S26-Q26</f>
        <v>317909</v>
      </c>
      <c r="AA126" s="251">
        <f>AA26+Z26+Y26+X26-V26-U26-T26-S26</f>
        <v>403694</v>
      </c>
      <c r="AB126" s="251"/>
    </row>
    <row r="127" spans="1:37" s="261" customFormat="1" ht="12" x14ac:dyDescent="0.2">
      <c r="C127" s="263" t="s">
        <v>142</v>
      </c>
      <c r="D127" s="251"/>
      <c r="E127" s="251"/>
      <c r="F127" s="251"/>
      <c r="G127" s="251"/>
      <c r="H127" s="251"/>
      <c r="I127" s="251"/>
      <c r="J127" s="251"/>
      <c r="K127" s="251"/>
      <c r="L127" s="251">
        <f>L37+K37+J37+I37</f>
        <v>30559.527829999999</v>
      </c>
      <c r="M127" s="251"/>
      <c r="N127" s="264">
        <f>+N37+L37+K37+J37</f>
        <v>35140.719969999998</v>
      </c>
      <c r="O127" s="264">
        <f>+O37+N37+L37+K37</f>
        <v>39593.515139999996</v>
      </c>
      <c r="P127" s="264">
        <f>+P37+O37+N37+L37</f>
        <v>43720.515140000003</v>
      </c>
      <c r="Q127" s="251">
        <f>Q37+P37+O37+N37</f>
        <v>45532.748630000002</v>
      </c>
      <c r="R127" s="251"/>
      <c r="S127" s="264">
        <f>+S37+Q37+P37+O37</f>
        <v>46028</v>
      </c>
      <c r="T127" s="264">
        <f>+T37+S37+Q37+P37</f>
        <v>45941</v>
      </c>
      <c r="U127" s="264">
        <f>+U37+T37+S37+Q37</f>
        <v>47556</v>
      </c>
      <c r="V127" s="251">
        <f>V37+U37+T37+S37</f>
        <v>57842</v>
      </c>
      <c r="W127" s="251"/>
      <c r="X127" s="264">
        <f>+X37+V37+U37+T37</f>
        <v>92321</v>
      </c>
      <c r="Y127" s="264">
        <f>+Y37+X37+V37+U37</f>
        <v>139299</v>
      </c>
      <c r="Z127" s="264">
        <f>+Z37+Y37+X37+V37</f>
        <v>189106</v>
      </c>
      <c r="AA127" s="251">
        <f>AA37+Z37+Y37+X37</f>
        <v>245785</v>
      </c>
      <c r="AB127" s="251"/>
    </row>
    <row r="128" spans="1:37" s="261" customFormat="1" ht="12" x14ac:dyDescent="0.2">
      <c r="C128" s="265" t="s">
        <v>143</v>
      </c>
      <c r="D128" s="266"/>
      <c r="E128" s="266"/>
      <c r="F128" s="266"/>
      <c r="G128" s="266"/>
      <c r="H128" s="267"/>
      <c r="I128" s="266"/>
      <c r="J128" s="266"/>
      <c r="K128" s="266"/>
      <c r="L128" s="268">
        <f>L127/L126</f>
        <v>0.70273327859218671</v>
      </c>
      <c r="M128" s="267"/>
      <c r="N128" s="268">
        <f>N127/N126</f>
        <v>0.74894145480296304</v>
      </c>
      <c r="O128" s="268">
        <f>O127/O126</f>
        <v>0.80529727913101024</v>
      </c>
      <c r="P128" s="268">
        <f>P127/P126</f>
        <v>0.85715293336044518</v>
      </c>
      <c r="Q128" s="268">
        <f>Q127/Q126</f>
        <v>0.92454746429022261</v>
      </c>
      <c r="R128" s="267"/>
      <c r="S128" s="268">
        <f>S127/S126</f>
        <v>0.9685444570137598</v>
      </c>
      <c r="T128" s="268">
        <f>T127/T126</f>
        <v>0.92985726758949738</v>
      </c>
      <c r="U128" s="268">
        <f>U127/U126</f>
        <v>0.86578490131363484</v>
      </c>
      <c r="V128" s="268">
        <f>V127/V126</f>
        <v>0.71705977631480322</v>
      </c>
      <c r="W128" s="267"/>
      <c r="X128" s="268">
        <f>X127/X126</f>
        <v>0.65117509310461574</v>
      </c>
      <c r="Y128" s="268">
        <f>Y127/Y126</f>
        <v>0.60764512920730751</v>
      </c>
      <c r="Z128" s="268">
        <f>Z127/Z126</f>
        <v>0.59484317839381706</v>
      </c>
      <c r="AA128" s="268">
        <f>AA127/AA126</f>
        <v>0.60883986385727806</v>
      </c>
      <c r="AB128" s="267"/>
    </row>
    <row r="129" spans="1:28" ht="15" x14ac:dyDescent="0.25">
      <c r="A129"/>
      <c r="C129" s="265"/>
      <c r="D129" s="269"/>
      <c r="E129" s="270"/>
      <c r="F129" s="270"/>
      <c r="G129" s="270"/>
      <c r="H129" s="271"/>
      <c r="I129" s="269"/>
      <c r="J129" s="270"/>
      <c r="K129" s="270"/>
      <c r="L129" s="270"/>
      <c r="M129" s="271"/>
      <c r="N129" s="269"/>
      <c r="O129" s="270"/>
      <c r="P129" s="270"/>
      <c r="Q129" s="270"/>
      <c r="R129" s="271"/>
      <c r="S129" s="269"/>
      <c r="T129" s="270"/>
      <c r="U129" s="270"/>
      <c r="V129" s="270"/>
      <c r="W129" s="271"/>
      <c r="X129" s="269"/>
      <c r="Y129" s="270"/>
      <c r="Z129" s="270"/>
      <c r="AA129" s="270"/>
      <c r="AB129" s="271"/>
    </row>
    <row r="130" spans="1:28" ht="15" x14ac:dyDescent="0.25">
      <c r="A130"/>
      <c r="C130" s="265" t="s">
        <v>144</v>
      </c>
      <c r="L130" s="101" t="e">
        <f>+#REF!+#REF!+#REF!+#REF!-#REF!-#REF!-#REF!-#REF!</f>
        <v>#REF!</v>
      </c>
      <c r="N130" s="101" t="e">
        <f>+#REF!+#REF!+#REF!+#REF!-#REF!-#REF!-#REF!-#REF!</f>
        <v>#REF!</v>
      </c>
      <c r="O130" s="101" t="e">
        <f>+#REF!+#REF!+#REF!+#REF!-#REF!-#REF!-#REF!-#REF!</f>
        <v>#REF!</v>
      </c>
      <c r="P130" s="101" t="e">
        <f>+#REF!+#REF!+#REF!+#REF!-#REF!-#REF!-#REF!-#REF!</f>
        <v>#REF!</v>
      </c>
      <c r="Q130" s="101" t="e">
        <f>+#REF!+#REF!+#REF!+#REF!-#REF!-#REF!-#REF!-#REF!</f>
        <v>#REF!</v>
      </c>
      <c r="S130" s="101" t="e">
        <f>+#REF!+#REF!+#REF!+#REF!-#REF!-#REF!-#REF!-#REF!</f>
        <v>#REF!</v>
      </c>
      <c r="T130" s="101" t="e">
        <f>+#REF!+#REF!+#REF!+#REF!-#REF!-#REF!-#REF!-#REF!</f>
        <v>#REF!</v>
      </c>
      <c r="U130" s="101" t="e">
        <f>+#REF!+#REF!+#REF!+#REF!-#REF!-#REF!-#REF!-#REF!</f>
        <v>#REF!</v>
      </c>
      <c r="V130" s="101" t="e">
        <f>+#REF!+#REF!+#REF!+#REF!-#REF!-#REF!-#REF!-#REF!</f>
        <v>#REF!</v>
      </c>
      <c r="X130" s="101" t="e">
        <f>+#REF!+#REF!+#REF!+#REF!-#REF!-#REF!-#REF!-#REF!</f>
        <v>#REF!</v>
      </c>
      <c r="Y130" s="101" t="e">
        <f>+#REF!+#REF!+#REF!+#REF!-#REF!-#REF!-#REF!-#REF!</f>
        <v>#REF!</v>
      </c>
      <c r="Z130" s="101" t="e">
        <f>+#REF!+#REF!+#REF!+#REF!-#REF!-#REF!-#REF!-#REF!</f>
        <v>#REF!</v>
      </c>
      <c r="AA130" s="101" t="e">
        <f>+#REF!+#REF!+#REF!+#REF!-#REF!-#REF!-#REF!-#REF!</f>
        <v>#REF!</v>
      </c>
    </row>
    <row r="131" spans="1:28" ht="15" x14ac:dyDescent="0.25">
      <c r="A131"/>
      <c r="C131" s="265" t="s">
        <v>145</v>
      </c>
      <c r="L131" s="272" t="e">
        <f>L127/L130</f>
        <v>#REF!</v>
      </c>
      <c r="N131" s="272" t="e">
        <f>N127/N130</f>
        <v>#REF!</v>
      </c>
      <c r="O131" s="272" t="e">
        <f>O127/O130</f>
        <v>#REF!</v>
      </c>
      <c r="P131" s="272" t="e">
        <f>P127/P130</f>
        <v>#REF!</v>
      </c>
      <c r="Q131" s="272" t="e">
        <f>Q127/Q130</f>
        <v>#REF!</v>
      </c>
      <c r="S131" s="272" t="e">
        <f>S127/S130</f>
        <v>#REF!</v>
      </c>
      <c r="T131" s="272" t="e">
        <f>T127/T130</f>
        <v>#REF!</v>
      </c>
      <c r="U131" s="272" t="e">
        <f>U127/U130</f>
        <v>#REF!</v>
      </c>
      <c r="V131" s="272" t="e">
        <f>V127/V130</f>
        <v>#REF!</v>
      </c>
      <c r="X131" s="272" t="e">
        <f>X127/X130</f>
        <v>#REF!</v>
      </c>
      <c r="Y131" s="272" t="e">
        <f>Y127/Y130</f>
        <v>#REF!</v>
      </c>
      <c r="Z131" s="272" t="e">
        <f>Z127/Z130</f>
        <v>#REF!</v>
      </c>
      <c r="AA131" s="272" t="e">
        <f>AA127/AA130</f>
        <v>#REF!</v>
      </c>
    </row>
    <row r="132" spans="1:28" ht="15" x14ac:dyDescent="0.25">
      <c r="O132" s="273"/>
      <c r="P132" s="273"/>
      <c r="Q132" s="273"/>
      <c r="S132" s="273"/>
      <c r="T132" s="273"/>
      <c r="U132" s="273"/>
      <c r="V132" s="273"/>
    </row>
    <row r="133" spans="1:28" x14ac:dyDescent="0.2">
      <c r="C133" s="274" t="s">
        <v>133</v>
      </c>
      <c r="N133" s="101"/>
      <c r="O133" s="101">
        <v>46200</v>
      </c>
      <c r="P133" s="101">
        <v>43700</v>
      </c>
      <c r="Q133" s="101">
        <v>152300</v>
      </c>
      <c r="R133" s="101"/>
      <c r="S133" s="101">
        <v>151200</v>
      </c>
      <c r="T133" s="101">
        <v>148700</v>
      </c>
      <c r="U133" s="101"/>
      <c r="V133" s="101"/>
      <c r="W133" s="101"/>
      <c r="X133" s="101"/>
      <c r="Y133" s="101"/>
      <c r="Z133" s="101"/>
      <c r="AA133" s="101"/>
      <c r="AB133" s="101"/>
    </row>
    <row r="134" spans="1:28" s="28" customFormat="1" x14ac:dyDescent="0.2">
      <c r="C134" s="275" t="s">
        <v>146</v>
      </c>
      <c r="D134" s="142"/>
      <c r="E134" s="142"/>
      <c r="F134" s="142"/>
      <c r="G134" s="142"/>
      <c r="I134" s="142"/>
      <c r="J134" s="142"/>
      <c r="K134" s="142"/>
      <c r="L134" s="142"/>
      <c r="N134" s="101"/>
      <c r="O134" s="101"/>
      <c r="P134" s="101"/>
      <c r="Q134" s="101"/>
      <c r="R134" s="101"/>
      <c r="S134" s="101"/>
      <c r="T134" s="101">
        <f>T133-O133</f>
        <v>102500</v>
      </c>
      <c r="U134" s="101"/>
      <c r="V134" s="101"/>
      <c r="W134" s="101"/>
      <c r="X134" s="101"/>
      <c r="Y134" s="101"/>
      <c r="Z134" s="101"/>
      <c r="AA134" s="101"/>
      <c r="AB134" s="101"/>
    </row>
    <row r="135" spans="1:28" s="28" customFormat="1" x14ac:dyDescent="0.2">
      <c r="C135" s="275" t="s">
        <v>147</v>
      </c>
      <c r="D135" s="142"/>
      <c r="E135" s="142"/>
      <c r="F135" s="142"/>
      <c r="G135" s="142"/>
      <c r="I135" s="142"/>
      <c r="J135" s="142"/>
      <c r="K135" s="142"/>
      <c r="L135" s="142"/>
      <c r="N135" s="101"/>
      <c r="O135" s="101"/>
      <c r="P135" s="101"/>
      <c r="Q135" s="101"/>
      <c r="R135" s="101"/>
      <c r="S135" s="101"/>
      <c r="T135" s="101">
        <f>T134+T26</f>
        <v>156545</v>
      </c>
      <c r="U135" s="101"/>
      <c r="V135" s="101"/>
      <c r="W135" s="101"/>
      <c r="X135" s="101"/>
      <c r="Y135" s="101"/>
      <c r="Z135" s="101"/>
      <c r="AA135" s="101"/>
      <c r="AB135" s="101"/>
    </row>
    <row r="136" spans="1:28" s="28" customFormat="1" x14ac:dyDescent="0.2">
      <c r="C136" s="275"/>
      <c r="D136" s="142"/>
      <c r="E136" s="142"/>
      <c r="F136" s="142"/>
      <c r="G136" s="142"/>
      <c r="I136" s="142"/>
      <c r="J136" s="142"/>
      <c r="K136" s="142"/>
      <c r="L136" s="142"/>
      <c r="N136" s="101"/>
      <c r="O136" s="101"/>
      <c r="P136" s="101"/>
      <c r="Q136" s="101"/>
      <c r="R136" s="101"/>
      <c r="S136" s="101"/>
      <c r="T136" s="101"/>
      <c r="U136" s="101"/>
      <c r="V136" s="101"/>
      <c r="W136" s="101"/>
      <c r="X136" s="101"/>
      <c r="Y136" s="101"/>
      <c r="Z136" s="101"/>
      <c r="AA136" s="101"/>
      <c r="AB136" s="101"/>
    </row>
    <row r="137" spans="1:28" s="28" customFormat="1" x14ac:dyDescent="0.2">
      <c r="C137" s="274" t="s">
        <v>148</v>
      </c>
      <c r="D137" s="142"/>
      <c r="E137" s="142"/>
      <c r="F137" s="142"/>
      <c r="G137" s="142"/>
      <c r="I137" s="142"/>
      <c r="J137" s="142"/>
      <c r="K137" s="142"/>
      <c r="L137" s="142"/>
      <c r="N137" s="101"/>
      <c r="O137" s="101">
        <v>8100</v>
      </c>
      <c r="P137" s="101">
        <v>7500</v>
      </c>
      <c r="Q137" s="101">
        <v>13000</v>
      </c>
      <c r="R137" s="101"/>
      <c r="S137" s="101">
        <v>17900</v>
      </c>
      <c r="T137" s="101">
        <v>17800</v>
      </c>
      <c r="U137" s="101"/>
      <c r="V137" s="101"/>
      <c r="W137" s="101"/>
      <c r="X137" s="101"/>
      <c r="Y137" s="101"/>
      <c r="Z137" s="101"/>
      <c r="AA137" s="101"/>
      <c r="AB137" s="101"/>
    </row>
    <row r="138" spans="1:28" s="28" customFormat="1" x14ac:dyDescent="0.2">
      <c r="C138" s="275" t="s">
        <v>146</v>
      </c>
      <c r="D138" s="142"/>
      <c r="E138" s="142"/>
      <c r="F138" s="142"/>
      <c r="G138" s="142"/>
      <c r="I138" s="142"/>
      <c r="J138" s="142"/>
      <c r="K138" s="142"/>
      <c r="L138" s="142"/>
      <c r="N138" s="101"/>
      <c r="O138" s="101"/>
      <c r="P138" s="101"/>
      <c r="Q138" s="101"/>
      <c r="R138" s="101"/>
      <c r="S138" s="101"/>
      <c r="T138" s="101">
        <f>T137-O137</f>
        <v>9700</v>
      </c>
      <c r="U138" s="101"/>
      <c r="V138" s="101"/>
      <c r="W138" s="101"/>
      <c r="X138" s="101"/>
      <c r="Y138" s="101"/>
      <c r="Z138" s="101"/>
      <c r="AA138" s="101"/>
      <c r="AB138" s="101"/>
    </row>
    <row r="139" spans="1:28" s="28" customFormat="1" x14ac:dyDescent="0.2">
      <c r="C139" s="275" t="s">
        <v>149</v>
      </c>
      <c r="D139" s="142"/>
      <c r="E139" s="142"/>
      <c r="F139" s="142"/>
      <c r="G139" s="142"/>
      <c r="I139" s="142"/>
      <c r="J139" s="142"/>
      <c r="K139" s="142"/>
      <c r="L139" s="142"/>
      <c r="N139" s="101"/>
      <c r="O139" s="101"/>
      <c r="P139" s="101"/>
      <c r="Q139" s="101"/>
      <c r="R139" s="101"/>
      <c r="S139" s="101"/>
      <c r="T139" s="101" t="e">
        <f>T138+#REF!</f>
        <v>#REF!</v>
      </c>
      <c r="U139" s="101"/>
      <c r="V139" s="101"/>
      <c r="W139" s="101"/>
      <c r="X139" s="101"/>
      <c r="Y139" s="101"/>
      <c r="Z139" s="101"/>
      <c r="AA139" s="101"/>
      <c r="AB139" s="101"/>
    </row>
    <row r="140" spans="1:28" s="28" customFormat="1" x14ac:dyDescent="0.2">
      <c r="C140" s="275"/>
      <c r="D140" s="142"/>
      <c r="E140" s="142"/>
      <c r="F140" s="142"/>
      <c r="G140" s="142"/>
      <c r="I140" s="142"/>
      <c r="J140" s="142"/>
      <c r="K140" s="142"/>
      <c r="L140" s="142"/>
      <c r="N140" s="142"/>
      <c r="O140" s="142"/>
      <c r="P140" s="142"/>
      <c r="Q140" s="142"/>
      <c r="S140" s="142"/>
      <c r="T140" s="142"/>
      <c r="U140" s="142"/>
      <c r="V140" s="142"/>
    </row>
    <row r="141" spans="1:28" s="28" customFormat="1" x14ac:dyDescent="0.2">
      <c r="C141" s="275"/>
      <c r="D141" s="142"/>
      <c r="E141" s="142"/>
      <c r="F141" s="142"/>
      <c r="G141" s="142"/>
      <c r="I141" s="142"/>
      <c r="J141" s="142"/>
      <c r="K141" s="142"/>
      <c r="L141" s="142"/>
      <c r="N141" s="142"/>
      <c r="O141" s="142"/>
      <c r="P141" s="142"/>
      <c r="Q141" s="142"/>
      <c r="S141" s="142"/>
      <c r="T141" s="142"/>
      <c r="U141" s="142"/>
      <c r="V141" s="142"/>
    </row>
    <row r="142" spans="1:28" s="28" customFormat="1" x14ac:dyDescent="0.2">
      <c r="C142" s="275" t="s">
        <v>150</v>
      </c>
      <c r="D142" s="276"/>
      <c r="E142" s="276"/>
      <c r="F142" s="276"/>
      <c r="G142" s="276"/>
      <c r="I142" s="277" t="e">
        <f>0.95*#REF!</f>
        <v>#REF!</v>
      </c>
      <c r="J142" s="277" t="e">
        <f>0.95*#REF!</f>
        <v>#REF!</v>
      </c>
      <c r="K142" s="277" t="e">
        <f>0.95*#REF!</f>
        <v>#REF!</v>
      </c>
      <c r="L142" s="277" t="e">
        <f>0.95*#REF!</f>
        <v>#REF!</v>
      </c>
      <c r="N142" s="277" t="e">
        <f>0.95*#REF!</f>
        <v>#REF!</v>
      </c>
      <c r="O142" s="277" t="e">
        <f>0.95*#REF!</f>
        <v>#REF!</v>
      </c>
      <c r="P142" s="277" t="e">
        <f>0.95*#REF!</f>
        <v>#REF!</v>
      </c>
      <c r="Q142" s="277" t="e">
        <f>0.95*#REF!</f>
        <v>#REF!</v>
      </c>
      <c r="S142" s="277" t="e">
        <f>0.95*#REF!</f>
        <v>#REF!</v>
      </c>
      <c r="T142" s="277" t="e">
        <f>0.95*#REF!</f>
        <v>#REF!</v>
      </c>
      <c r="U142" s="277" t="e">
        <f>0.95*#REF!</f>
        <v>#REF!</v>
      </c>
      <c r="V142" s="277" t="e">
        <f>0.95*#REF!</f>
        <v>#REF!</v>
      </c>
      <c r="X142" s="277" t="e">
        <f>0.95*#REF!</f>
        <v>#REF!</v>
      </c>
      <c r="Y142" s="277" t="e">
        <f>0.95*#REF!</f>
        <v>#REF!</v>
      </c>
      <c r="Z142" s="277" t="e">
        <f>0.95*#REF!</f>
        <v>#REF!</v>
      </c>
      <c r="AA142" s="277" t="e">
        <f>0.95*#REF!</f>
        <v>#REF!</v>
      </c>
    </row>
    <row r="143" spans="1:28" s="28" customFormat="1" x14ac:dyDescent="0.2">
      <c r="C143" s="275" t="s">
        <v>151</v>
      </c>
      <c r="D143" s="142"/>
      <c r="E143" s="142"/>
      <c r="F143" s="142"/>
      <c r="G143" s="142"/>
      <c r="I143" s="142" t="e">
        <f>I31-I142</f>
        <v>#REF!</v>
      </c>
      <c r="J143" s="142" t="e">
        <f>J31-J142</f>
        <v>#REF!</v>
      </c>
      <c r="K143" s="142" t="e">
        <f>K31-K142</f>
        <v>#REF!</v>
      </c>
      <c r="L143" s="142" t="e">
        <f>L31-L142</f>
        <v>#REF!</v>
      </c>
      <c r="N143" s="142" t="e">
        <f>N31-N142</f>
        <v>#REF!</v>
      </c>
      <c r="O143" s="142" t="e">
        <f>O31-O142</f>
        <v>#REF!</v>
      </c>
      <c r="P143" s="142" t="e">
        <f>P31-P142</f>
        <v>#REF!</v>
      </c>
      <c r="Q143" s="142" t="e">
        <f>Q31-Q142</f>
        <v>#REF!</v>
      </c>
      <c r="S143" s="142" t="e">
        <f>S31-S142</f>
        <v>#REF!</v>
      </c>
      <c r="T143" s="142" t="e">
        <f>T31-T142</f>
        <v>#REF!</v>
      </c>
      <c r="U143" s="142" t="e">
        <f>U31-U142</f>
        <v>#REF!</v>
      </c>
      <c r="V143" s="142" t="e">
        <f>V31-V142</f>
        <v>#REF!</v>
      </c>
      <c r="X143" s="142" t="e">
        <f>X31-X142</f>
        <v>#REF!</v>
      </c>
      <c r="Y143" s="142" t="e">
        <f>Y31-Y142</f>
        <v>#REF!</v>
      </c>
      <c r="Z143" s="142" t="e">
        <f>Z31-Z142</f>
        <v>#REF!</v>
      </c>
      <c r="AA143" s="142" t="e">
        <f>AA31-AA142</f>
        <v>#REF!</v>
      </c>
    </row>
    <row r="144" spans="1:28" s="28" customFormat="1" x14ac:dyDescent="0.2">
      <c r="C144" s="275" t="s">
        <v>152</v>
      </c>
      <c r="D144" s="142"/>
      <c r="E144" s="142"/>
      <c r="F144" s="142"/>
      <c r="G144" s="142"/>
      <c r="I144" s="28" t="e">
        <f>I143/#REF!</f>
        <v>#REF!</v>
      </c>
      <c r="J144" s="28" t="e">
        <f>J143/#REF!</f>
        <v>#REF!</v>
      </c>
      <c r="K144" s="28" t="e">
        <f>K143/#REF!</f>
        <v>#REF!</v>
      </c>
      <c r="L144" s="28" t="e">
        <f>L143/#REF!</f>
        <v>#REF!</v>
      </c>
      <c r="N144" s="28" t="e">
        <f>N143/#REF!</f>
        <v>#REF!</v>
      </c>
      <c r="O144" s="28" t="e">
        <f>O143/#REF!</f>
        <v>#REF!</v>
      </c>
      <c r="P144" s="28" t="e">
        <f>P143/#REF!</f>
        <v>#REF!</v>
      </c>
      <c r="Q144" s="28" t="e">
        <f>Q143/#REF!</f>
        <v>#REF!</v>
      </c>
      <c r="S144" s="28" t="e">
        <f>S143/#REF!</f>
        <v>#REF!</v>
      </c>
      <c r="T144" s="28" t="e">
        <f>T143/#REF!</f>
        <v>#REF!</v>
      </c>
      <c r="U144" s="28" t="e">
        <f>U143/#REF!</f>
        <v>#REF!</v>
      </c>
      <c r="V144" s="28" t="e">
        <f>V143/#REF!</f>
        <v>#REF!</v>
      </c>
      <c r="X144" s="28" t="e">
        <f>X143/#REF!</f>
        <v>#REF!</v>
      </c>
      <c r="Y144" s="28" t="e">
        <f>Y143/#REF!</f>
        <v>#REF!</v>
      </c>
      <c r="Z144" s="28" t="e">
        <f>Z143/#REF!</f>
        <v>#REF!</v>
      </c>
      <c r="AA144" s="28" t="e">
        <f>AA143/#REF!</f>
        <v>#REF!</v>
      </c>
    </row>
    <row r="145" spans="3:23" s="28" customFormat="1" x14ac:dyDescent="0.2">
      <c r="C145" s="275"/>
      <c r="D145" s="142"/>
      <c r="E145" s="142"/>
      <c r="F145" s="142"/>
      <c r="G145" s="142"/>
      <c r="I145" s="142"/>
      <c r="J145" s="142"/>
      <c r="K145" s="142"/>
      <c r="L145" s="142"/>
      <c r="N145" s="142"/>
      <c r="O145" s="142"/>
      <c r="P145" s="142"/>
      <c r="Q145" s="142"/>
      <c r="S145" s="142"/>
      <c r="T145" s="142"/>
      <c r="U145" s="142"/>
      <c r="V145" s="142"/>
    </row>
    <row r="146" spans="3:23" s="28" customFormat="1" x14ac:dyDescent="0.2">
      <c r="C146" s="275"/>
    </row>
    <row r="147" spans="3:23" s="28" customFormat="1" ht="13.5" thickBot="1" x14ac:dyDescent="0.25">
      <c r="C147" s="275"/>
      <c r="D147" s="109"/>
      <c r="E147" s="109"/>
      <c r="F147" s="109"/>
      <c r="G147" s="109"/>
      <c r="I147" s="109"/>
      <c r="J147" s="109"/>
      <c r="K147" s="109"/>
      <c r="L147" s="109"/>
      <c r="N147" s="109"/>
      <c r="O147" s="109"/>
      <c r="P147" s="109"/>
      <c r="Q147" s="109"/>
      <c r="S147" s="109"/>
      <c r="T147" s="109"/>
      <c r="U147" s="109"/>
      <c r="V147" s="109"/>
    </row>
    <row r="148" spans="3:23" s="28" customFormat="1" ht="13.5" thickBot="1" x14ac:dyDescent="0.25">
      <c r="C148" s="275"/>
      <c r="D148" s="142"/>
      <c r="E148" s="142"/>
      <c r="F148" s="142"/>
      <c r="G148" s="142"/>
      <c r="I148" s="142"/>
      <c r="J148" s="278" t="s">
        <v>11</v>
      </c>
      <c r="K148" s="278" t="s">
        <v>12</v>
      </c>
      <c r="L148" s="278" t="s">
        <v>153</v>
      </c>
      <c r="M148" s="278" t="s">
        <v>154</v>
      </c>
      <c r="N148" s="278" t="s">
        <v>155</v>
      </c>
      <c r="O148" s="278" t="s">
        <v>156</v>
      </c>
      <c r="P148" s="278" t="s">
        <v>157</v>
      </c>
      <c r="Q148" s="278" t="s">
        <v>158</v>
      </c>
      <c r="R148" s="278" t="s">
        <v>159</v>
      </c>
      <c r="S148" s="278" t="s">
        <v>160</v>
      </c>
      <c r="T148" s="278" t="s">
        <v>161</v>
      </c>
      <c r="U148" s="278" t="s">
        <v>162</v>
      </c>
      <c r="V148" s="278" t="s">
        <v>163</v>
      </c>
      <c r="W148" s="279" t="s">
        <v>164</v>
      </c>
    </row>
    <row r="149" spans="3:23" s="28" customFormat="1" x14ac:dyDescent="0.2">
      <c r="C149" s="275"/>
      <c r="D149" s="142"/>
      <c r="E149" s="142"/>
      <c r="F149" s="142"/>
      <c r="G149" s="142"/>
      <c r="I149" s="142" t="s">
        <v>165</v>
      </c>
      <c r="J149" s="142"/>
      <c r="K149" s="142"/>
      <c r="L149" s="142"/>
      <c r="N149" s="142"/>
      <c r="O149" s="142"/>
      <c r="P149" s="142"/>
      <c r="Q149" s="142"/>
      <c r="S149" s="142"/>
      <c r="T149" s="142"/>
      <c r="U149" s="142"/>
      <c r="V149" s="142"/>
    </row>
    <row r="150" spans="3:23" s="28" customFormat="1" x14ac:dyDescent="0.2">
      <c r="C150" s="280"/>
      <c r="D150" s="142"/>
      <c r="E150" s="142"/>
      <c r="F150" s="142"/>
      <c r="G150" s="142"/>
      <c r="I150" s="142"/>
      <c r="J150" s="277" t="e">
        <f>L131</f>
        <v>#REF!</v>
      </c>
      <c r="K150" s="277" t="e">
        <f>N131</f>
        <v>#REF!</v>
      </c>
      <c r="L150" s="277" t="e">
        <f>O131</f>
        <v>#REF!</v>
      </c>
      <c r="M150" s="277" t="e">
        <f>P131</f>
        <v>#REF!</v>
      </c>
      <c r="N150" s="277" t="e">
        <f>Q131</f>
        <v>#REF!</v>
      </c>
      <c r="O150" s="277" t="e">
        <f>S131</f>
        <v>#REF!</v>
      </c>
      <c r="P150" s="277" t="e">
        <f>T131</f>
        <v>#REF!</v>
      </c>
      <c r="Q150" s="277" t="e">
        <f>U131</f>
        <v>#REF!</v>
      </c>
      <c r="R150" s="277" t="e">
        <f>V131</f>
        <v>#REF!</v>
      </c>
      <c r="S150" s="277" t="e">
        <f>X131</f>
        <v>#REF!</v>
      </c>
      <c r="T150" s="277" t="e">
        <f>Y131</f>
        <v>#REF!</v>
      </c>
      <c r="U150" s="277" t="e">
        <f>Z131</f>
        <v>#REF!</v>
      </c>
      <c r="V150" s="277" t="e">
        <f>AA131</f>
        <v>#REF!</v>
      </c>
    </row>
    <row r="151" spans="3:23" s="28" customFormat="1" x14ac:dyDescent="0.2">
      <c r="C151" s="280"/>
      <c r="D151" s="142"/>
      <c r="E151" s="142"/>
      <c r="F151" s="142"/>
      <c r="G151" s="142"/>
      <c r="I151" s="142"/>
      <c r="J151" s="142"/>
      <c r="K151" s="142"/>
      <c r="L151" s="142"/>
      <c r="N151" s="142"/>
      <c r="O151" s="142"/>
      <c r="P151" s="142"/>
      <c r="Q151" s="142"/>
      <c r="S151" s="142"/>
      <c r="T151" s="142"/>
      <c r="U151" s="142"/>
      <c r="V151" s="142"/>
    </row>
    <row r="152" spans="3:23" s="28" customFormat="1" x14ac:dyDescent="0.2">
      <c r="C152" s="275"/>
      <c r="D152" s="142"/>
      <c r="E152" s="142"/>
      <c r="F152" s="142"/>
      <c r="G152" s="142"/>
      <c r="I152" s="142"/>
      <c r="J152" s="142"/>
      <c r="K152" s="142"/>
      <c r="L152" s="142"/>
      <c r="N152" s="142"/>
      <c r="O152" s="142"/>
      <c r="P152" s="142"/>
      <c r="Q152" s="142"/>
      <c r="S152" s="142"/>
      <c r="T152" s="142"/>
      <c r="U152" s="142"/>
      <c r="V152" s="142"/>
    </row>
    <row r="153" spans="3:23" s="28" customFormat="1" x14ac:dyDescent="0.2">
      <c r="C153" s="275"/>
      <c r="G153" s="142"/>
      <c r="L153" s="142"/>
      <c r="Q153" s="142"/>
      <c r="V153" s="142"/>
    </row>
    <row r="154" spans="3:23" s="28" customFormat="1" x14ac:dyDescent="0.2">
      <c r="C154" s="281"/>
      <c r="D154" s="142"/>
      <c r="E154" s="142"/>
      <c r="F154" s="142"/>
      <c r="G154" s="142"/>
      <c r="I154" s="142"/>
      <c r="J154" s="142"/>
      <c r="K154" s="142"/>
      <c r="L154" s="142"/>
      <c r="N154" s="142"/>
      <c r="O154" s="142"/>
      <c r="P154" s="142"/>
      <c r="Q154" s="142"/>
      <c r="S154" s="142"/>
      <c r="T154" s="142"/>
      <c r="U154" s="142"/>
      <c r="V154" s="142"/>
    </row>
    <row r="155" spans="3:23" s="28" customFormat="1" x14ac:dyDescent="0.2">
      <c r="C155" s="275"/>
    </row>
    <row r="156" spans="3:23" s="28" customFormat="1" x14ac:dyDescent="0.2">
      <c r="C156" s="275"/>
      <c r="D156" s="282"/>
      <c r="E156" s="282"/>
      <c r="F156" s="282"/>
      <c r="G156" s="282"/>
      <c r="I156" s="282"/>
      <c r="J156" s="282"/>
      <c r="K156" s="282"/>
      <c r="L156" s="282"/>
      <c r="N156" s="282"/>
      <c r="O156" s="282"/>
      <c r="P156" s="282"/>
      <c r="Q156" s="282"/>
      <c r="S156" s="282"/>
      <c r="T156" s="282"/>
      <c r="U156" s="282"/>
      <c r="V156" s="282"/>
    </row>
    <row r="158" spans="3:23" x14ac:dyDescent="0.2">
      <c r="D158" s="272"/>
      <c r="E158" s="272"/>
      <c r="F158" s="272"/>
      <c r="G158" s="272"/>
      <c r="H158" s="272"/>
      <c r="I158" s="272"/>
      <c r="J158" s="272"/>
      <c r="K158" s="272"/>
      <c r="L158" s="272"/>
      <c r="N158" s="272"/>
      <c r="O158" s="272"/>
      <c r="P158" s="272"/>
      <c r="Q158" s="272"/>
      <c r="S158" s="272"/>
      <c r="T158" s="272"/>
      <c r="U158" s="272"/>
      <c r="V158" s="272"/>
    </row>
  </sheetData>
  <mergeCells count="1">
    <mergeCell ref="D121:G121"/>
  </mergeCells>
  <pageMargins left="0.17" right="0.17" top="0.75" bottom="0.75" header="0.3" footer="0.3"/>
  <pageSetup scale="26" orientation="landscape"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3D1A1-3897-4B3F-94C7-E6D08E5A0F56}">
  <sheetPr>
    <pageSetUpPr fitToPage="1"/>
  </sheetPr>
  <dimension ref="A1:BA42"/>
  <sheetViews>
    <sheetView showGridLines="0" zoomScaleNormal="100" workbookViewId="0">
      <pane xSplit="3" ySplit="4" topLeftCell="D5" activePane="bottomRight" state="frozen"/>
      <selection pane="topRight" activeCell="D1" sqref="D1"/>
      <selection pane="bottomLeft" activeCell="A5" sqref="A5"/>
      <selection pane="bottomRight" activeCell="AR17" sqref="AR17"/>
    </sheetView>
  </sheetViews>
  <sheetFormatPr defaultColWidth="10.28515625" defaultRowHeight="12.75" outlineLevelRow="1" outlineLevelCol="1" x14ac:dyDescent="0.2"/>
  <cols>
    <col min="1" max="2" width="1.85546875" style="93" customWidth="1"/>
    <col min="3" max="3" width="38.42578125" style="93" customWidth="1"/>
    <col min="4" max="7" width="10.28515625" style="93" hidden="1" customWidth="1" outlineLevel="1"/>
    <col min="8" max="8" width="10.28515625" style="93" customWidth="1" collapsed="1"/>
    <col min="9" max="12" width="10.28515625" style="93" hidden="1" customWidth="1" outlineLevel="1"/>
    <col min="13" max="13" width="10.28515625" style="93" customWidth="1" collapsed="1"/>
    <col min="14" max="17" width="10.28515625" style="93" hidden="1" customWidth="1" outlineLevel="1"/>
    <col min="18" max="18" width="10.28515625" style="93" customWidth="1" collapsed="1"/>
    <col min="19" max="22" width="10.28515625" style="93" hidden="1" customWidth="1" outlineLevel="1"/>
    <col min="23" max="23" width="10.28515625" style="93" customWidth="1" collapsed="1"/>
    <col min="24" max="27" width="10.28515625" style="93" hidden="1" customWidth="1" outlineLevel="1"/>
    <col min="28" max="28" width="10.28515625" style="93" customWidth="1" collapsed="1"/>
    <col min="29" max="32" width="10.28515625" style="93" hidden="1" customWidth="1" outlineLevel="1"/>
    <col min="33" max="33" width="10.28515625" style="93" customWidth="1" collapsed="1"/>
    <col min="34" max="37" width="10.28515625" style="93" customWidth="1" outlineLevel="1"/>
    <col min="38" max="38" width="10.28515625" style="93" customWidth="1"/>
    <col min="39" max="42" width="10.28515625" style="93" customWidth="1" outlineLevel="1"/>
    <col min="43" max="43" width="10.28515625" style="93" customWidth="1"/>
    <col min="44" max="44" width="10.28515625" style="93" customWidth="1" outlineLevel="1"/>
    <col min="45" max="47" width="10.28515625" style="93" hidden="1" customWidth="1" outlineLevel="1"/>
    <col min="48" max="48" width="10.28515625" style="93" hidden="1" customWidth="1"/>
    <col min="49" max="52" width="10.28515625" style="93" hidden="1" customWidth="1" outlineLevel="1"/>
    <col min="53" max="53" width="10.28515625" style="93" hidden="1" customWidth="1" collapsed="1"/>
    <col min="54" max="56" width="9.85546875" style="93" customWidth="1"/>
    <col min="57" max="16384" width="10.28515625" style="93"/>
  </cols>
  <sheetData>
    <row r="1" spans="1:53" ht="10.35" customHeight="1" x14ac:dyDescent="0.2">
      <c r="S1" s="94" t="s">
        <v>73</v>
      </c>
      <c r="V1" s="95"/>
    </row>
    <row r="2" spans="1:53" ht="15.75" x14ac:dyDescent="0.25">
      <c r="A2" s="28"/>
      <c r="B2" s="96" t="s">
        <v>74</v>
      </c>
      <c r="C2" s="96"/>
      <c r="D2" s="831" t="str">
        <f>"Sep. " &amp;C4</f>
        <v xml:space="preserve">Sep. </v>
      </c>
      <c r="E2" s="831" t="str">
        <f>"Dec. " &amp;C4</f>
        <v xml:space="preserve">Dec. </v>
      </c>
      <c r="F2" s="831" t="str">
        <f>"Mar. " &amp;H4</f>
        <v>Mar. 2018</v>
      </c>
      <c r="G2" s="831" t="str">
        <f>"Jun. " &amp;H4</f>
        <v>Jun. 2018</v>
      </c>
      <c r="H2" s="97"/>
      <c r="I2" s="831" t="str">
        <f>"Sep. " &amp;H4</f>
        <v>Sep. 2018</v>
      </c>
      <c r="J2" s="831" t="str">
        <f>"Dec. " &amp;H4</f>
        <v>Dec. 2018</v>
      </c>
      <c r="K2" s="831" t="str">
        <f>"Mar. " &amp;M4</f>
        <v>Mar. 2019</v>
      </c>
      <c r="L2" s="831" t="str">
        <f>"Jun. " &amp;M4</f>
        <v>Jun. 2019</v>
      </c>
      <c r="M2" s="97"/>
      <c r="N2" s="831" t="str">
        <f>"Sep. " &amp;M4</f>
        <v>Sep. 2019</v>
      </c>
      <c r="O2" s="831" t="str">
        <f>"Dec. " &amp;M4</f>
        <v>Dec. 2019</v>
      </c>
      <c r="P2" s="831" t="str">
        <f>"Mar. " &amp;R4</f>
        <v>Mar. 2020</v>
      </c>
      <c r="Q2" s="831" t="str">
        <f>"Jun. " &amp;R4</f>
        <v>Jun. 2020</v>
      </c>
      <c r="R2" s="100"/>
      <c r="S2" s="831" t="str">
        <f>"Sep. " &amp;R4</f>
        <v>Sep. 2020</v>
      </c>
      <c r="T2" s="831" t="str">
        <f>"Dec. " &amp;R4</f>
        <v>Dec. 2020</v>
      </c>
      <c r="U2" s="831" t="str">
        <f>"Mar. " &amp;W4</f>
        <v>Mar. 2021</v>
      </c>
      <c r="V2" s="831" t="str">
        <f>"Jun. " &amp;W4</f>
        <v>Jun. 2021</v>
      </c>
      <c r="W2" s="101"/>
      <c r="X2" s="831" t="str">
        <f>"Sep. " &amp;W4</f>
        <v>Sep. 2021</v>
      </c>
      <c r="Y2" s="831" t="str">
        <f>"Dec. " &amp;W4</f>
        <v>Dec. 2021</v>
      </c>
      <c r="Z2" s="831" t="str">
        <f>"Mar. " &amp;AB4</f>
        <v>Mar. 2022</v>
      </c>
      <c r="AA2" s="831" t="str">
        <f>"Jun. " &amp;AB4</f>
        <v>Jun. 2022</v>
      </c>
      <c r="AB2" s="101"/>
      <c r="AC2" s="831" t="str">
        <f>"Sep. " &amp;AB4</f>
        <v>Sep. 2022</v>
      </c>
      <c r="AD2" s="831" t="str">
        <f>"Dec. " &amp;AB4</f>
        <v>Dec. 2022</v>
      </c>
      <c r="AE2" s="831" t="str">
        <f>"Mar. " &amp;AG4</f>
        <v>Mar. 2023</v>
      </c>
      <c r="AF2" s="831" t="str">
        <f>"Jun. " &amp;AG4</f>
        <v>Jun. 2023</v>
      </c>
      <c r="AG2" s="101"/>
      <c r="AH2" s="831" t="str">
        <f>"Sep. " &amp;AG4</f>
        <v>Sep. 2023</v>
      </c>
      <c r="AI2" s="831" t="str">
        <f>"Dec. " &amp;AG4</f>
        <v>Dec. 2023</v>
      </c>
      <c r="AJ2" s="831" t="str">
        <f>"Mar. " &amp;AL4</f>
        <v>Mar. 2024</v>
      </c>
      <c r="AK2" s="831" t="str">
        <f>"Jun. " &amp;AL4</f>
        <v>Jun. 2024</v>
      </c>
      <c r="AL2" s="831"/>
      <c r="AM2" s="831" t="str">
        <f>"Sep. " &amp;AL4</f>
        <v>Sep. 2024</v>
      </c>
      <c r="AN2" s="831" t="str">
        <f>"Dec. " &amp;AL4</f>
        <v>Dec. 2024</v>
      </c>
      <c r="AO2" s="831" t="str">
        <f>"Mar. " &amp;AQ4</f>
        <v>Mar. 2025</v>
      </c>
      <c r="AP2" s="831" t="str">
        <f>"Jun. " &amp;AQ4</f>
        <v>Jun. 2025</v>
      </c>
      <c r="AQ2" s="831"/>
      <c r="AR2" s="831" t="str">
        <f>"Sep. " &amp;AQ4</f>
        <v>Sep. 2025</v>
      </c>
      <c r="AS2" s="831" t="str">
        <f>"Dec. " &amp;AQ4</f>
        <v>Dec. 2025</v>
      </c>
      <c r="AT2" s="831" t="str">
        <f>"Mar. " &amp;AV4</f>
        <v>Mar. 2026E</v>
      </c>
      <c r="AU2" s="831" t="str">
        <f>"Jun. " &amp;AV4</f>
        <v>Jun. 2026E</v>
      </c>
      <c r="AV2" s="95"/>
      <c r="AW2" s="831" t="str">
        <f>"Sep. " &amp;AV4</f>
        <v>Sep. 2026E</v>
      </c>
      <c r="AX2" s="831" t="str">
        <f>"Dec. " &amp;AV4</f>
        <v>Dec. 2026E</v>
      </c>
      <c r="AY2" s="831" t="str">
        <f>"Mar. " &amp;BA4</f>
        <v>Mar. 2027E</v>
      </c>
      <c r="AZ2" s="831" t="str">
        <f>"Jun. " &amp;BA4</f>
        <v>Jun. 2027E</v>
      </c>
      <c r="BA2" s="101"/>
    </row>
    <row r="3" spans="1:53" ht="5.0999999999999996" customHeight="1" thickBot="1" x14ac:dyDescent="0.25">
      <c r="A3" s="28"/>
      <c r="B3" s="28"/>
      <c r="C3" s="97"/>
      <c r="D3" s="102"/>
      <c r="E3" s="103"/>
      <c r="F3" s="103"/>
      <c r="G3" s="103"/>
      <c r="H3" s="97"/>
      <c r="I3" s="102"/>
      <c r="J3" s="103"/>
      <c r="K3" s="103"/>
      <c r="L3" s="103"/>
      <c r="M3" s="97"/>
      <c r="N3" s="102"/>
      <c r="O3" s="103"/>
      <c r="P3" s="103"/>
      <c r="Q3" s="103"/>
      <c r="R3" s="97"/>
      <c r="S3" s="102"/>
      <c r="T3" s="103"/>
      <c r="U3" s="103"/>
      <c r="V3" s="103"/>
      <c r="W3" s="97"/>
      <c r="X3" s="102"/>
      <c r="Y3" s="103"/>
      <c r="Z3" s="103"/>
      <c r="AA3" s="103"/>
    </row>
    <row r="4" spans="1:53" ht="13.5" thickBot="1" x14ac:dyDescent="0.25">
      <c r="A4" s="28"/>
      <c r="B4" s="104" t="s">
        <v>75</v>
      </c>
      <c r="C4" s="288"/>
      <c r="D4" s="71" t="s">
        <v>17</v>
      </c>
      <c r="E4" s="71" t="s">
        <v>18</v>
      </c>
      <c r="F4" s="71" t="s">
        <v>19</v>
      </c>
      <c r="G4" s="71" t="s">
        <v>20</v>
      </c>
      <c r="H4" s="72">
        <v>2018</v>
      </c>
      <c r="I4" s="71" t="s">
        <v>21</v>
      </c>
      <c r="J4" s="71" t="s">
        <v>22</v>
      </c>
      <c r="K4" s="71" t="s">
        <v>10</v>
      </c>
      <c r="L4" s="71" t="s">
        <v>11</v>
      </c>
      <c r="M4" s="72">
        <v>2019</v>
      </c>
      <c r="N4" s="71" t="s">
        <v>12</v>
      </c>
      <c r="O4" s="71" t="s">
        <v>13</v>
      </c>
      <c r="P4" s="71" t="s">
        <v>14</v>
      </c>
      <c r="Q4" s="71" t="s">
        <v>15</v>
      </c>
      <c r="R4" s="72">
        <v>2020</v>
      </c>
      <c r="S4" s="71" t="s">
        <v>6</v>
      </c>
      <c r="T4" s="71" t="s">
        <v>7</v>
      </c>
      <c r="U4" s="71" t="s">
        <v>8</v>
      </c>
      <c r="V4" s="71" t="s">
        <v>0</v>
      </c>
      <c r="W4" s="72">
        <v>2021</v>
      </c>
      <c r="X4" s="71" t="s">
        <v>1</v>
      </c>
      <c r="Y4" s="71" t="s">
        <v>2</v>
      </c>
      <c r="Z4" s="71" t="s">
        <v>3</v>
      </c>
      <c r="AA4" s="71" t="s">
        <v>4</v>
      </c>
      <c r="AB4" s="72">
        <v>2022</v>
      </c>
      <c r="AC4" s="71" t="s">
        <v>5</v>
      </c>
      <c r="AD4" s="71" t="s">
        <v>68</v>
      </c>
      <c r="AE4" s="71" t="s">
        <v>274</v>
      </c>
      <c r="AF4" s="71" t="s">
        <v>306</v>
      </c>
      <c r="AG4" s="72">
        <v>2023</v>
      </c>
      <c r="AH4" s="71" t="s">
        <v>389</v>
      </c>
      <c r="AI4" s="71" t="s">
        <v>396</v>
      </c>
      <c r="AJ4" s="71" t="s">
        <v>397</v>
      </c>
      <c r="AK4" s="71" t="s">
        <v>401</v>
      </c>
      <c r="AL4" s="72">
        <v>2024</v>
      </c>
      <c r="AM4" s="71" t="s">
        <v>427</v>
      </c>
      <c r="AN4" s="71" t="s">
        <v>432</v>
      </c>
      <c r="AO4" s="71" t="s">
        <v>434</v>
      </c>
      <c r="AP4" s="71" t="s">
        <v>437</v>
      </c>
      <c r="AQ4" s="72">
        <v>2025</v>
      </c>
      <c r="AR4" s="71" t="s">
        <v>450</v>
      </c>
      <c r="AS4" s="71" t="s">
        <v>421</v>
      </c>
      <c r="AT4" s="71" t="s">
        <v>422</v>
      </c>
      <c r="AU4" s="71" t="s">
        <v>423</v>
      </c>
      <c r="AV4" s="72" t="s">
        <v>424</v>
      </c>
      <c r="AW4" s="71" t="s">
        <v>445</v>
      </c>
      <c r="AX4" s="71" t="s">
        <v>446</v>
      </c>
      <c r="AY4" s="71" t="s">
        <v>447</v>
      </c>
      <c r="AZ4" s="71" t="s">
        <v>448</v>
      </c>
      <c r="BA4" s="72" t="s">
        <v>449</v>
      </c>
    </row>
    <row r="5" spans="1:53" s="121" customFormat="1" ht="18" customHeight="1" x14ac:dyDescent="0.2">
      <c r="A5" s="105"/>
      <c r="B5" s="119" t="s">
        <v>169</v>
      </c>
      <c r="C5" s="120"/>
      <c r="D5" s="108">
        <v>12365.458350000001</v>
      </c>
      <c r="E5" s="109">
        <v>13337.969880000001</v>
      </c>
      <c r="F5" s="108">
        <v>14920.694810000003</v>
      </c>
      <c r="G5" s="108">
        <v>16367.557599999998</v>
      </c>
      <c r="H5" s="110">
        <v>56991.680640000006</v>
      </c>
      <c r="I5" s="108">
        <v>18170.322909999995</v>
      </c>
      <c r="J5" s="108">
        <v>20443.822600000003</v>
      </c>
      <c r="K5" s="108">
        <v>22111.761559999999</v>
      </c>
      <c r="L5" s="108">
        <v>25224.915560000001</v>
      </c>
      <c r="M5" s="110">
        <v>85950.82263000001</v>
      </c>
      <c r="N5" s="108">
        <v>28547.774560000005</v>
      </c>
      <c r="O5" s="108">
        <v>32964</v>
      </c>
      <c r="P5" s="108">
        <v>36092</v>
      </c>
      <c r="Q5" s="108">
        <v>38801</v>
      </c>
      <c r="R5" s="110">
        <v>136404.77455999999</v>
      </c>
      <c r="S5" s="109">
        <v>43788</v>
      </c>
      <c r="T5" s="109">
        <v>52333</v>
      </c>
      <c r="U5" s="109">
        <v>58622</v>
      </c>
      <c r="V5" s="109">
        <v>77512</v>
      </c>
      <c r="W5" s="110">
        <v>232255</v>
      </c>
      <c r="X5" s="108">
        <v>117546</v>
      </c>
      <c r="Y5" s="108">
        <v>155500</v>
      </c>
      <c r="Z5" s="108">
        <v>165500</v>
      </c>
      <c r="AA5" s="108">
        <v>194820</v>
      </c>
      <c r="AB5" s="286">
        <v>633400</v>
      </c>
      <c r="AC5" s="108">
        <v>214600</v>
      </c>
      <c r="AD5" s="108">
        <v>231100</v>
      </c>
      <c r="AE5" s="108">
        <v>239400</v>
      </c>
      <c r="AF5" s="108">
        <v>259510</v>
      </c>
      <c r="AG5" s="110">
        <v>944710</v>
      </c>
      <c r="AH5" s="108">
        <v>265142</v>
      </c>
      <c r="AI5" s="108">
        <v>274992</v>
      </c>
      <c r="AJ5" s="108">
        <v>281294</v>
      </c>
      <c r="AK5" s="108">
        <v>301306</v>
      </c>
      <c r="AL5" s="110">
        <v>1122734</v>
      </c>
      <c r="AM5" s="108">
        <v>314943</v>
      </c>
      <c r="AN5" s="108">
        <v>319616</v>
      </c>
      <c r="AO5" s="108">
        <v>320287</v>
      </c>
      <c r="AP5" s="108">
        <v>345947</v>
      </c>
      <c r="AQ5" s="110">
        <v>1300793</v>
      </c>
      <c r="AR5" s="108">
        <v>358041</v>
      </c>
      <c r="AS5" s="108">
        <v>364029.9365748922</v>
      </c>
      <c r="AT5" s="108">
        <v>363652.57544906024</v>
      </c>
      <c r="AU5" s="108">
        <v>391685.42387410632</v>
      </c>
      <c r="AV5" s="110">
        <v>1477408.9358980586</v>
      </c>
      <c r="AW5" s="108">
        <v>405130.83428300981</v>
      </c>
      <c r="AX5" s="108">
        <v>411214.97593444725</v>
      </c>
      <c r="AY5" s="108">
        <v>410167.748195144</v>
      </c>
      <c r="AZ5" s="108">
        <v>442578.65259004978</v>
      </c>
      <c r="BA5" s="110">
        <v>1669092.2110026511</v>
      </c>
    </row>
    <row r="6" spans="1:53" s="121" customFormat="1" ht="13.35" customHeight="1" x14ac:dyDescent="0.2">
      <c r="A6" s="105"/>
      <c r="B6" s="119"/>
      <c r="C6" s="112" t="s">
        <v>29</v>
      </c>
      <c r="D6" s="115"/>
      <c r="E6" s="115"/>
      <c r="F6" s="115"/>
      <c r="G6" s="115"/>
      <c r="H6" s="116"/>
      <c r="I6" s="115">
        <f t="shared" ref="I6:AC6" si="0">I5/D5-1</f>
        <v>0.4694419240836305</v>
      </c>
      <c r="J6" s="115">
        <f t="shared" si="0"/>
        <v>0.5327536936977999</v>
      </c>
      <c r="K6" s="115">
        <f t="shared" si="0"/>
        <v>0.48195253917937309</v>
      </c>
      <c r="L6" s="115">
        <f t="shared" si="0"/>
        <v>0.54115330927566152</v>
      </c>
      <c r="M6" s="116">
        <f t="shared" si="0"/>
        <v>0.50812928597292206</v>
      </c>
      <c r="N6" s="115">
        <f t="shared" si="0"/>
        <v>0.57112092621583543</v>
      </c>
      <c r="O6" s="115">
        <f t="shared" si="0"/>
        <v>0.61241860903253942</v>
      </c>
      <c r="P6" s="115">
        <f t="shared" si="0"/>
        <v>0.63225349106921191</v>
      </c>
      <c r="Q6" s="115">
        <f t="shared" si="0"/>
        <v>0.5382013829821517</v>
      </c>
      <c r="R6" s="116">
        <f t="shared" si="0"/>
        <v>0.58700952924201211</v>
      </c>
      <c r="S6" s="115">
        <f t="shared" si="0"/>
        <v>0.53384985957378217</v>
      </c>
      <c r="T6" s="115">
        <f t="shared" si="0"/>
        <v>0.58758039072928048</v>
      </c>
      <c r="U6" s="115">
        <f t="shared" si="0"/>
        <v>0.62423805829546719</v>
      </c>
      <c r="V6" s="115">
        <f t="shared" si="0"/>
        <v>0.99768047215277966</v>
      </c>
      <c r="W6" s="116">
        <f t="shared" si="0"/>
        <v>0.70268966573335478</v>
      </c>
      <c r="X6" s="115">
        <f t="shared" si="0"/>
        <v>1.6844340915319265</v>
      </c>
      <c r="Y6" s="115">
        <f t="shared" si="0"/>
        <v>1.9713565054554487</v>
      </c>
      <c r="Z6" s="115">
        <f t="shared" si="0"/>
        <v>1.8231721879157994</v>
      </c>
      <c r="AA6" s="115">
        <f t="shared" si="0"/>
        <v>1.5134172773248014</v>
      </c>
      <c r="AB6" s="116">
        <f t="shared" si="0"/>
        <v>1.7271748724462337</v>
      </c>
      <c r="AC6" s="115">
        <f t="shared" si="0"/>
        <v>0.82566824902591329</v>
      </c>
      <c r="AD6" s="115">
        <f>AD5/Y5-1</f>
        <v>0.48617363344051445</v>
      </c>
      <c r="AE6" s="115">
        <f>AE5/Z5-1</f>
        <v>0.44652567975830815</v>
      </c>
      <c r="AF6" s="115">
        <f>AF5/AA5-1</f>
        <v>0.3320500975259213</v>
      </c>
      <c r="AG6" s="116">
        <f>AG5/AB5-1</f>
        <v>0.49149036943479629</v>
      </c>
      <c r="AH6" s="115">
        <f t="shared" ref="AH6" si="1">AH5/AC5-1</f>
        <v>0.23551724137931029</v>
      </c>
      <c r="AI6" s="115">
        <f>AI5/AD5-1</f>
        <v>0.18992643877109483</v>
      </c>
      <c r="AJ6" s="115">
        <f>AJ5/AE5-1</f>
        <v>0.1749958228905597</v>
      </c>
      <c r="AK6" s="115">
        <f>AK5/AF5-1</f>
        <v>0.16105737736503412</v>
      </c>
      <c r="AL6" s="116">
        <f>AL5/AG5-1</f>
        <v>0.18844301425834376</v>
      </c>
      <c r="AM6" s="115">
        <f t="shared" ref="AM6" si="2">AM5/AH5-1</f>
        <v>0.18782765461526285</v>
      </c>
      <c r="AN6" s="115">
        <f>AN5/AI5-1</f>
        <v>0.16227381160179211</v>
      </c>
      <c r="AO6" s="115">
        <f>AO5/AJ5-1</f>
        <v>0.13862009143458454</v>
      </c>
      <c r="AP6" s="115">
        <f>AP5/AK5-1</f>
        <v>0.14815835064685068</v>
      </c>
      <c r="AQ6" s="116">
        <f>AQ5/AL5-1</f>
        <v>0.15859411044824512</v>
      </c>
      <c r="AR6" s="115">
        <f t="shared" ref="AR6" si="3">AR5/AM5-1</f>
        <v>0.1368438098322553</v>
      </c>
      <c r="AS6" s="115">
        <f>AS5/AN5-1</f>
        <v>0.13896030416153193</v>
      </c>
      <c r="AT6" s="115">
        <f>AT5/AO5-1</f>
        <v>0.13539598999978231</v>
      </c>
      <c r="AU6" s="115">
        <f>AU5/AP5-1</f>
        <v>0.13221222867695426</v>
      </c>
      <c r="AV6" s="116">
        <f>AV5/AQ5-1</f>
        <v>0.13577558911991261</v>
      </c>
      <c r="AW6" s="115">
        <f t="shared" ref="AW6" si="4">AW5/AR5-1</f>
        <v>0.13152078751598228</v>
      </c>
      <c r="AX6" s="115">
        <f>AX5/AS5-1</f>
        <v>0.12961856874605604</v>
      </c>
      <c r="AY6" s="115">
        <f>AY5/AT5-1</f>
        <v>0.1279110224605009</v>
      </c>
      <c r="AZ6" s="115">
        <f>AZ5/AU5-1</f>
        <v>0.12993393579103762</v>
      </c>
      <c r="BA6" s="116">
        <f>BA5/AV5-1</f>
        <v>0.12974286972758553</v>
      </c>
    </row>
    <row r="7" spans="1:53" s="121" customFormat="1" ht="18" customHeight="1" x14ac:dyDescent="0.2">
      <c r="A7" s="105"/>
      <c r="B7" s="119" t="s">
        <v>61</v>
      </c>
      <c r="C7" s="126"/>
      <c r="D7" s="108">
        <v>737.1711499999999</v>
      </c>
      <c r="E7" s="108">
        <v>1825.1479900000002</v>
      </c>
      <c r="F7" s="108">
        <v>2177.0098399999997</v>
      </c>
      <c r="G7" s="108">
        <v>3133.1164100000001</v>
      </c>
      <c r="H7" s="286">
        <f>SUM(D7:G7)</f>
        <v>7872.4453900000008</v>
      </c>
      <c r="I7" s="108">
        <f>'Revenue Build'!I150</f>
        <v>4253.8066700000008</v>
      </c>
      <c r="J7" s="108">
        <f>'Revenue Build'!J150</f>
        <v>5554.82755</v>
      </c>
      <c r="K7" s="108">
        <f>'Revenue Build'!K150</f>
        <v>6131.9238300000006</v>
      </c>
      <c r="L7" s="108">
        <f>'Revenue Build'!L150</f>
        <v>6459.4120000000003</v>
      </c>
      <c r="M7" s="286">
        <f>SUM(I7:L7)</f>
        <v>22399.97005</v>
      </c>
      <c r="N7" s="108">
        <f>'Revenue Build'!N150</f>
        <v>6631.7050600000002</v>
      </c>
      <c r="O7" s="108">
        <f>'Revenue Build'!O150</f>
        <v>6116</v>
      </c>
      <c r="P7" s="108">
        <f>'Revenue Build'!P150</f>
        <v>5138</v>
      </c>
      <c r="Q7" s="108">
        <f>'Revenue Build'!Q150</f>
        <v>3309</v>
      </c>
      <c r="R7" s="286">
        <f>SUM(N7:Q7)</f>
        <v>21194.70506</v>
      </c>
      <c r="S7" s="108">
        <f>'Revenue Build'!S150</f>
        <v>2421</v>
      </c>
      <c r="T7" s="108">
        <f>'Revenue Build'!T150</f>
        <v>1712</v>
      </c>
      <c r="U7" s="108">
        <f>'Revenue Build'!U150</f>
        <v>1116</v>
      </c>
      <c r="V7" s="108">
        <f>'Revenue Build'!V150</f>
        <v>761</v>
      </c>
      <c r="W7" s="286">
        <f>SUM(S7:V7)</f>
        <v>6010</v>
      </c>
      <c r="X7" s="108">
        <f>'Revenue Build'!X150</f>
        <v>803</v>
      </c>
      <c r="Y7" s="108">
        <f>'Revenue Build'!Y150</f>
        <v>978</v>
      </c>
      <c r="Z7" s="108">
        <f>'Revenue Build'!Z150</f>
        <v>1411</v>
      </c>
      <c r="AA7" s="108">
        <f>'Revenue Build'!AA150</f>
        <v>5401</v>
      </c>
      <c r="AB7" s="286">
        <f>SUM(X7:AA7)</f>
        <v>8593</v>
      </c>
      <c r="AC7" s="108">
        <f>'Revenue Build'!AC150</f>
        <v>15324</v>
      </c>
      <c r="AD7" s="108">
        <f>'Revenue Build'!AD150</f>
        <v>28900</v>
      </c>
      <c r="AE7" s="108">
        <f>'Revenue Build'!AE150</f>
        <v>33100</v>
      </c>
      <c r="AF7" s="108">
        <f>'Revenue Build'!AF150</f>
        <v>36473</v>
      </c>
      <c r="AG7" s="286">
        <f>SUM(AC7:AF7)</f>
        <v>113797</v>
      </c>
      <c r="AH7" s="108">
        <f>'Revenue Build'!AH150</f>
        <v>39843</v>
      </c>
      <c r="AI7" s="108">
        <f>'Revenue Build'!AI150</f>
        <v>43503</v>
      </c>
      <c r="AJ7" s="108">
        <f>'Revenue Build'!AJ150</f>
        <v>41734</v>
      </c>
      <c r="AK7" s="108">
        <f>'Revenue Build'!AK150</f>
        <v>42359</v>
      </c>
      <c r="AL7" s="110">
        <f>SUM(AH7:AK7)</f>
        <v>167439</v>
      </c>
      <c r="AM7" s="108">
        <f>'Revenue Build'!AM150</f>
        <v>43507</v>
      </c>
      <c r="AN7" s="108">
        <v>42938</v>
      </c>
      <c r="AO7" s="108">
        <f>'Revenue Build'!AO150</f>
        <v>37919</v>
      </c>
      <c r="AP7" s="108">
        <f>'Revenue Build'!AP150</f>
        <v>37402</v>
      </c>
      <c r="AQ7" s="110">
        <f>SUM(AM7:AP7)</f>
        <v>161766</v>
      </c>
      <c r="AR7" s="108">
        <f>'Revenue Build'!AR150</f>
        <v>37736</v>
      </c>
      <c r="AS7" s="108">
        <f>'Revenue Build'!AS150</f>
        <v>39543</v>
      </c>
      <c r="AT7" s="108">
        <f>'Revenue Build'!AT150</f>
        <v>33804.176355000011</v>
      </c>
      <c r="AU7" s="108">
        <f>'Revenue Build'!AU150</f>
        <v>31902.472800000003</v>
      </c>
      <c r="AV7" s="110">
        <f>SUM(AR7:AU7)</f>
        <v>142985.64915499999</v>
      </c>
      <c r="AW7" s="108">
        <f>'Revenue Build'!AW150</f>
        <v>32443.4694375</v>
      </c>
      <c r="AX7" s="108">
        <f>'Revenue Build'!AX150</f>
        <v>31564.8444375</v>
      </c>
      <c r="AY7" s="108">
        <f>'Revenue Build'!AY150</f>
        <v>30314.432004266255</v>
      </c>
      <c r="AZ7" s="108">
        <f>'Revenue Build'!AZ150</f>
        <v>32126.365111499999</v>
      </c>
      <c r="BA7" s="110">
        <f>SUM(AW7:AZ7)</f>
        <v>126449.11099076625</v>
      </c>
    </row>
    <row r="8" spans="1:53" s="121" customFormat="1" ht="13.35" customHeight="1" thickBot="1" x14ac:dyDescent="0.25">
      <c r="A8" s="105"/>
      <c r="B8" s="124"/>
      <c r="C8" s="112" t="s">
        <v>29</v>
      </c>
      <c r="D8" s="115"/>
      <c r="E8" s="115"/>
      <c r="F8" s="115"/>
      <c r="G8" s="115"/>
      <c r="H8" s="116"/>
      <c r="I8" s="114">
        <f t="shared" ref="I8:V8" si="5">I7/D7-1</f>
        <v>4.7704464831538802</v>
      </c>
      <c r="J8" s="114">
        <f t="shared" si="5"/>
        <v>2.0434943250820989</v>
      </c>
      <c r="K8" s="114">
        <f t="shared" si="5"/>
        <v>1.8166725374103048</v>
      </c>
      <c r="L8" s="114">
        <f t="shared" si="5"/>
        <v>1.0616571983675511</v>
      </c>
      <c r="M8" s="116">
        <f t="shared" si="5"/>
        <v>1.845363662789409</v>
      </c>
      <c r="N8" s="114">
        <f t="shared" si="5"/>
        <v>0.55900481015513548</v>
      </c>
      <c r="O8" s="115">
        <f t="shared" si="5"/>
        <v>0.10102427932258662</v>
      </c>
      <c r="P8" s="115">
        <f t="shared" si="5"/>
        <v>-0.16209004833642893</v>
      </c>
      <c r="Q8" s="115">
        <f t="shared" si="5"/>
        <v>-0.48772426963940374</v>
      </c>
      <c r="R8" s="116">
        <f t="shared" si="5"/>
        <v>-5.3806544710089943E-2</v>
      </c>
      <c r="S8" s="115">
        <f t="shared" si="5"/>
        <v>-0.63493551385410973</v>
      </c>
      <c r="T8" s="115">
        <f t="shared" si="5"/>
        <v>-0.72007848266841079</v>
      </c>
      <c r="U8" s="115">
        <f t="shared" si="5"/>
        <v>-0.78279486181393532</v>
      </c>
      <c r="V8" s="115">
        <f t="shared" si="5"/>
        <v>-0.77002115442731944</v>
      </c>
      <c r="W8" s="116">
        <f>W7/R7-1</f>
        <v>-0.71643861129530628</v>
      </c>
      <c r="X8" s="115">
        <f t="shared" ref="X8:AA8" si="6">X7/S7-1</f>
        <v>-0.66831887649731514</v>
      </c>
      <c r="Y8" s="114">
        <f t="shared" si="6"/>
        <v>-0.42873831775700932</v>
      </c>
      <c r="Z8" s="114">
        <f t="shared" si="6"/>
        <v>0.26433691756272393</v>
      </c>
      <c r="AA8" s="114">
        <f t="shared" si="6"/>
        <v>6.0972404730617606</v>
      </c>
      <c r="AB8" s="116">
        <f>AB7/W7-1</f>
        <v>0.42978369384359394</v>
      </c>
      <c r="AC8" s="115">
        <f t="shared" ref="AC8" si="7">AC7/X7-1</f>
        <v>18.083437110834371</v>
      </c>
      <c r="AD8" s="115">
        <f>AD7/Y7-1</f>
        <v>28.550102249488752</v>
      </c>
      <c r="AE8" s="115">
        <f>AE7/Z7-1</f>
        <v>22.458540042523033</v>
      </c>
      <c r="AF8" s="115">
        <f>AF7/AA7-1</f>
        <v>5.7530087020922052</v>
      </c>
      <c r="AG8" s="116">
        <f>AG7/AB7-1</f>
        <v>12.24298847899453</v>
      </c>
      <c r="AH8" s="115">
        <f t="shared" ref="AH8" si="8">AH7/AC7-1</f>
        <v>1.6000391542678152</v>
      </c>
      <c r="AI8" s="115">
        <f>AI7/AD7-1</f>
        <v>0.50529411764705889</v>
      </c>
      <c r="AJ8" s="115">
        <f>AJ7/AE7-1</f>
        <v>0.26084592145015106</v>
      </c>
      <c r="AK8" s="115">
        <f>AK7/AF7-1</f>
        <v>0.1613796507005183</v>
      </c>
      <c r="AL8" s="116">
        <f>AL7/AG7-1</f>
        <v>0.47138325263407643</v>
      </c>
      <c r="AM8" s="115">
        <f t="shared" ref="AM8" si="9">AM7/AH7-1</f>
        <v>9.1960946715859748E-2</v>
      </c>
      <c r="AN8" s="115">
        <f>AN7/AI7-1</f>
        <v>-1.2987610049881582E-2</v>
      </c>
      <c r="AO8" s="115">
        <f>AO7/AJ7-1</f>
        <v>-9.1412277759141181E-2</v>
      </c>
      <c r="AP8" s="115">
        <f>AP7/AK7-1</f>
        <v>-0.11702353691069189</v>
      </c>
      <c r="AQ8" s="116">
        <f>AQ7/AL7-1</f>
        <v>-3.3880995467005848E-2</v>
      </c>
      <c r="AR8" s="115">
        <f t="shared" ref="AR8" si="10">AR7/AM7-1</f>
        <v>-0.1326453214425265</v>
      </c>
      <c r="AS8" s="115">
        <f>AS7/AN7-1</f>
        <v>-7.9067492663840833E-2</v>
      </c>
      <c r="AT8" s="115">
        <f>AT7/AO7-1</f>
        <v>-0.10851614349007066</v>
      </c>
      <c r="AU8" s="115">
        <f>AU7/AP7-1</f>
        <v>-0.14703831880648088</v>
      </c>
      <c r="AV8" s="116">
        <f>AV7/AQ7-1</f>
        <v>-0.11609578554826117</v>
      </c>
      <c r="AW8" s="115">
        <f t="shared" ref="AW8" si="11">AW7/AR7-1</f>
        <v>-0.14025149890025446</v>
      </c>
      <c r="AX8" s="115">
        <f>AX7/AS7-1</f>
        <v>-0.20175898547151205</v>
      </c>
      <c r="AY8" s="115">
        <f>AY7/AT7-1</f>
        <v>-0.10323411859190545</v>
      </c>
      <c r="AZ8" s="115">
        <f>AZ7/AU7-1</f>
        <v>7.0180237407801993E-3</v>
      </c>
      <c r="BA8" s="116">
        <f>BA7/AV7-1</f>
        <v>-0.11565173331701095</v>
      </c>
    </row>
    <row r="9" spans="1:53" s="133" customFormat="1" ht="13.5" thickBot="1" x14ac:dyDescent="0.25">
      <c r="A9" s="20"/>
      <c r="B9" s="129" t="s">
        <v>476</v>
      </c>
      <c r="C9" s="130"/>
      <c r="D9" s="131">
        <f t="shared" ref="D9:X9" si="12">D5+D7</f>
        <v>13102.629500000001</v>
      </c>
      <c r="E9" s="131">
        <f t="shared" si="12"/>
        <v>15163.11787</v>
      </c>
      <c r="F9" s="131">
        <f t="shared" si="12"/>
        <v>17097.704650000003</v>
      </c>
      <c r="G9" s="131">
        <f t="shared" si="12"/>
        <v>19500.674009999999</v>
      </c>
      <c r="H9" s="132">
        <f t="shared" si="12"/>
        <v>64864.126030000007</v>
      </c>
      <c r="I9" s="131">
        <f t="shared" si="12"/>
        <v>22424.129579999997</v>
      </c>
      <c r="J9" s="131">
        <f t="shared" si="12"/>
        <v>25998.650150000001</v>
      </c>
      <c r="K9" s="131">
        <f t="shared" si="12"/>
        <v>28243.685389999999</v>
      </c>
      <c r="L9" s="131">
        <f t="shared" si="12"/>
        <v>31684.327560000002</v>
      </c>
      <c r="M9" s="132">
        <f t="shared" si="12"/>
        <v>108350.79268000001</v>
      </c>
      <c r="N9" s="131">
        <f t="shared" si="12"/>
        <v>35179.479620000006</v>
      </c>
      <c r="O9" s="131">
        <f t="shared" si="12"/>
        <v>39080</v>
      </c>
      <c r="P9" s="131">
        <f t="shared" si="12"/>
        <v>41230</v>
      </c>
      <c r="Q9" s="131">
        <f t="shared" si="12"/>
        <v>42110</v>
      </c>
      <c r="R9" s="132">
        <f t="shared" si="12"/>
        <v>157599.47962</v>
      </c>
      <c r="S9" s="131">
        <f t="shared" si="12"/>
        <v>46209</v>
      </c>
      <c r="T9" s="131">
        <f t="shared" si="12"/>
        <v>54045</v>
      </c>
      <c r="U9" s="131">
        <f t="shared" si="12"/>
        <v>59738</v>
      </c>
      <c r="V9" s="131">
        <f t="shared" si="12"/>
        <v>78273</v>
      </c>
      <c r="W9" s="132">
        <f t="shared" si="12"/>
        <v>238265</v>
      </c>
      <c r="X9" s="131">
        <f t="shared" si="12"/>
        <v>118349</v>
      </c>
      <c r="Y9" s="131">
        <v>156478</v>
      </c>
      <c r="Z9" s="131">
        <v>166911</v>
      </c>
      <c r="AA9" s="131">
        <v>200221</v>
      </c>
      <c r="AB9" s="132">
        <f>SUM(X9:AA9)</f>
        <v>641959</v>
      </c>
      <c r="AC9" s="131">
        <f>AC5+AC7</f>
        <v>229924</v>
      </c>
      <c r="AD9" s="131">
        <v>260006</v>
      </c>
      <c r="AE9" s="131">
        <v>272555</v>
      </c>
      <c r="AF9" s="131">
        <v>295983</v>
      </c>
      <c r="AG9" s="132">
        <f>SUM(AC9:AF9)</f>
        <v>1058468</v>
      </c>
      <c r="AH9" s="131">
        <f>AH5+AH7</f>
        <v>304985</v>
      </c>
      <c r="AI9" s="131">
        <f>AI5+AI7</f>
        <v>318495</v>
      </c>
      <c r="AJ9" s="131">
        <f>AJ5+AJ7</f>
        <v>323028</v>
      </c>
      <c r="AK9" s="131">
        <f>AK5+AK7</f>
        <v>343665</v>
      </c>
      <c r="AL9" s="132">
        <f>SUM(AH9:AK9)</f>
        <v>1290173</v>
      </c>
      <c r="AM9" s="131">
        <f>AM5+AM7</f>
        <v>358450</v>
      </c>
      <c r="AN9" s="131">
        <f>AN5+AN7</f>
        <v>362554</v>
      </c>
      <c r="AO9" s="131">
        <f>AO5+AO7</f>
        <v>358206</v>
      </c>
      <c r="AP9" s="131">
        <f>AP5+AP7</f>
        <v>383349</v>
      </c>
      <c r="AQ9" s="132">
        <f>SUM(AM9:AP9)</f>
        <v>1462559</v>
      </c>
      <c r="AR9" s="131">
        <f>AR5+AR7</f>
        <v>395777</v>
      </c>
      <c r="AS9" s="131">
        <f>AS5+AS7</f>
        <v>403572.9365748922</v>
      </c>
      <c r="AT9" s="131">
        <f>AT5+AT7</f>
        <v>397456.75180406024</v>
      </c>
      <c r="AU9" s="131">
        <f>AU5+AU7</f>
        <v>423587.8966741063</v>
      </c>
      <c r="AV9" s="132">
        <f>SUM(AR9:AU9)</f>
        <v>1620394.5850530588</v>
      </c>
      <c r="AW9" s="131">
        <f>AW5+AW7</f>
        <v>437574.30372050981</v>
      </c>
      <c r="AX9" s="131">
        <f>AX5+AX7</f>
        <v>442779.82037194725</v>
      </c>
      <c r="AY9" s="131">
        <f>AY5+AY7</f>
        <v>440482.18019941024</v>
      </c>
      <c r="AZ9" s="131">
        <f>AZ5+AZ7</f>
        <v>474705.0177015498</v>
      </c>
      <c r="BA9" s="132">
        <f>SUM(AW9:AZ9)</f>
        <v>1795541.3219934171</v>
      </c>
    </row>
    <row r="10" spans="1:53" s="125" customFormat="1" ht="13.35" customHeight="1" x14ac:dyDescent="0.2">
      <c r="A10" s="123"/>
      <c r="B10" s="134"/>
      <c r="C10" s="135" t="s">
        <v>29</v>
      </c>
      <c r="D10" s="114"/>
      <c r="E10" s="115"/>
      <c r="F10" s="114"/>
      <c r="G10" s="114"/>
      <c r="H10" s="136"/>
      <c r="I10" s="114">
        <f t="shared" ref="I10:BA10" si="13">I9/D9-1</f>
        <v>0.71142209126801581</v>
      </c>
      <c r="J10" s="114">
        <f t="shared" si="13"/>
        <v>0.71459790610992591</v>
      </c>
      <c r="K10" s="114">
        <f t="shared" si="13"/>
        <v>0.65189924426493073</v>
      </c>
      <c r="L10" s="114">
        <f t="shared" si="13"/>
        <v>0.62478115083366825</v>
      </c>
      <c r="M10" s="136">
        <f t="shared" si="13"/>
        <v>0.67042708060056477</v>
      </c>
      <c r="N10" s="114">
        <f t="shared" si="13"/>
        <v>0.56882252639926145</v>
      </c>
      <c r="O10" s="115">
        <f t="shared" si="13"/>
        <v>0.50315496283563776</v>
      </c>
      <c r="P10" s="114">
        <f t="shared" si="13"/>
        <v>0.45979532878517171</v>
      </c>
      <c r="Q10" s="114">
        <f t="shared" si="13"/>
        <v>0.32904824696869772</v>
      </c>
      <c r="R10" s="136">
        <f t="shared" si="13"/>
        <v>0.45453001055054187</v>
      </c>
      <c r="S10" s="115">
        <f t="shared" si="13"/>
        <v>0.31352141928016364</v>
      </c>
      <c r="T10" s="115">
        <f t="shared" si="13"/>
        <v>0.38293244626407374</v>
      </c>
      <c r="U10" s="115">
        <f t="shared" si="13"/>
        <v>0.44889643463497464</v>
      </c>
      <c r="V10" s="115">
        <f t="shared" si="13"/>
        <v>0.85877463785324148</v>
      </c>
      <c r="W10" s="136">
        <f t="shared" si="13"/>
        <v>0.51183874829091258</v>
      </c>
      <c r="X10" s="115">
        <f t="shared" si="13"/>
        <v>1.5611677378865587</v>
      </c>
      <c r="Y10" s="114">
        <f t="shared" si="13"/>
        <v>1.8953279674345453</v>
      </c>
      <c r="Z10" s="114">
        <f t="shared" si="13"/>
        <v>1.7940506880042855</v>
      </c>
      <c r="AA10" s="114">
        <f t="shared" si="13"/>
        <v>1.5579829570860961</v>
      </c>
      <c r="AB10" s="136">
        <f t="shared" si="13"/>
        <v>1.6943067592806331</v>
      </c>
      <c r="AC10" s="115">
        <f t="shared" si="13"/>
        <v>0.94276250749900714</v>
      </c>
      <c r="AD10" s="114">
        <f t="shared" si="13"/>
        <v>0.66161377318217252</v>
      </c>
      <c r="AE10" s="114">
        <f t="shared" si="13"/>
        <v>0.63293611565445063</v>
      </c>
      <c r="AF10" s="114">
        <f t="shared" si="13"/>
        <v>0.47828149894366723</v>
      </c>
      <c r="AG10" s="136">
        <f t="shared" si="13"/>
        <v>0.64880934763746589</v>
      </c>
      <c r="AH10" s="115">
        <f t="shared" si="13"/>
        <v>0.32646004766792514</v>
      </c>
      <c r="AI10" s="114">
        <f t="shared" si="13"/>
        <v>0.22495250109612863</v>
      </c>
      <c r="AJ10" s="114">
        <f t="shared" si="13"/>
        <v>0.18518464163196424</v>
      </c>
      <c r="AK10" s="114">
        <f t="shared" si="13"/>
        <v>0.16109709003557637</v>
      </c>
      <c r="AL10" s="136">
        <f t="shared" si="13"/>
        <v>0.2189060037714885</v>
      </c>
      <c r="AM10" s="115">
        <f t="shared" si="13"/>
        <v>0.17530370346082602</v>
      </c>
      <c r="AN10" s="114">
        <f t="shared" si="13"/>
        <v>0.13833498171085878</v>
      </c>
      <c r="AO10" s="114">
        <f t="shared" si="13"/>
        <v>0.10890077640328388</v>
      </c>
      <c r="AP10" s="114">
        <f t="shared" si="13"/>
        <v>0.11547291693946149</v>
      </c>
      <c r="AQ10" s="136">
        <f t="shared" si="13"/>
        <v>0.1336146392770583</v>
      </c>
      <c r="AR10" s="115">
        <f t="shared" si="13"/>
        <v>0.10413446784767744</v>
      </c>
      <c r="AS10" s="114">
        <f t="shared" si="13"/>
        <v>0.11313883331832564</v>
      </c>
      <c r="AT10" s="114">
        <f t="shared" si="13"/>
        <v>0.10957591945433709</v>
      </c>
      <c r="AU10" s="114">
        <f t="shared" si="13"/>
        <v>0.10496674485679192</v>
      </c>
      <c r="AV10" s="136">
        <f t="shared" si="13"/>
        <v>0.10791741396624599</v>
      </c>
      <c r="AW10" s="115">
        <f t="shared" si="13"/>
        <v>0.10560821806347964</v>
      </c>
      <c r="AX10" s="114">
        <f t="shared" si="13"/>
        <v>9.714943754604155E-2</v>
      </c>
      <c r="AY10" s="114">
        <f t="shared" si="13"/>
        <v>0.10825184928940601</v>
      </c>
      <c r="AZ10" s="114">
        <f t="shared" si="13"/>
        <v>0.12067653827883373</v>
      </c>
      <c r="BA10" s="136">
        <f t="shared" si="13"/>
        <v>0.10808894238227973</v>
      </c>
    </row>
    <row r="11" spans="1:53" s="125" customFormat="1" ht="13.35" customHeight="1" x14ac:dyDescent="0.2">
      <c r="A11" s="123"/>
      <c r="B11" s="137"/>
      <c r="C11" s="112" t="s">
        <v>76</v>
      </c>
      <c r="D11" s="114"/>
      <c r="E11" s="115">
        <f>E9/D9-1</f>
        <v>0.15725762298323387</v>
      </c>
      <c r="F11" s="114">
        <f>F9/E9-1</f>
        <v>0.12758502549317741</v>
      </c>
      <c r="G11" s="114">
        <f>G9/F9-1</f>
        <v>0.14054338925546905</v>
      </c>
      <c r="H11" s="116"/>
      <c r="I11" s="114">
        <f>I9/G9-1</f>
        <v>0.14991561668590747</v>
      </c>
      <c r="J11" s="114">
        <f>J9/I9-1</f>
        <v>0.15940509785441592</v>
      </c>
      <c r="K11" s="114">
        <f>K9/J9-1</f>
        <v>8.635199239372815E-2</v>
      </c>
      <c r="L11" s="114">
        <f>L9/K9-1</f>
        <v>0.12181987309695086</v>
      </c>
      <c r="M11" s="116"/>
      <c r="N11" s="114">
        <f>N9/L9-1</f>
        <v>0.1103117007416774</v>
      </c>
      <c r="O11" s="115">
        <f>O9/N9-1</f>
        <v>0.11087487427706288</v>
      </c>
      <c r="P11" s="114">
        <f>P9/O9-1</f>
        <v>5.5015353121801391E-2</v>
      </c>
      <c r="Q11" s="114">
        <f>Q9/P9-1</f>
        <v>2.1343681785108037E-2</v>
      </c>
      <c r="R11" s="116"/>
      <c r="S11" s="115">
        <f>S9/Q9-1</f>
        <v>9.7340299216338133E-2</v>
      </c>
      <c r="T11" s="115">
        <f>T9/S9-1</f>
        <v>0.16957735506070248</v>
      </c>
      <c r="U11" s="115">
        <f>U9/T9-1</f>
        <v>0.10533814413914322</v>
      </c>
      <c r="V11" s="115">
        <f>V9/U9-1</f>
        <v>0.31027151896615224</v>
      </c>
      <c r="W11" s="116"/>
      <c r="X11" s="115">
        <f>X9/V9-1</f>
        <v>0.51200286177864651</v>
      </c>
      <c r="Y11" s="114">
        <f>Y9/X9-1</f>
        <v>0.32217424735316724</v>
      </c>
      <c r="Z11" s="114">
        <f>Z9/Y9-1</f>
        <v>6.6673909431357758E-2</v>
      </c>
      <c r="AA11" s="114">
        <f>AA9/Z9-1</f>
        <v>0.19956743414154854</v>
      </c>
      <c r="AB11" s="116"/>
      <c r="AC11" s="115">
        <f>AC9/AA9-1</f>
        <v>0.1483510720653678</v>
      </c>
      <c r="AD11" s="114">
        <f>AD9/AC9-1</f>
        <v>0.13083453662949496</v>
      </c>
      <c r="AE11" s="114">
        <f>AE9/AD9-1</f>
        <v>4.826427082451934E-2</v>
      </c>
      <c r="AF11" s="114">
        <f>AF9/AE9-1</f>
        <v>8.5956962814844662E-2</v>
      </c>
      <c r="AG11" s="116"/>
      <c r="AH11" s="115">
        <f>AH9/AF9-1</f>
        <v>3.0413908906930409E-2</v>
      </c>
      <c r="AI11" s="114">
        <f>AI9/AH9-1</f>
        <v>4.4297260521009241E-2</v>
      </c>
      <c r="AJ11" s="114">
        <f>AJ9/AI9-1</f>
        <v>1.4232562520604786E-2</v>
      </c>
      <c r="AK11" s="114">
        <f>AK9/AJ9-1</f>
        <v>6.3886102752702456E-2</v>
      </c>
      <c r="AL11" s="116"/>
      <c r="AM11" s="115">
        <f>AM9/AK9-1</f>
        <v>4.3021547146203432E-2</v>
      </c>
      <c r="AN11" s="114">
        <f>AN9/AM9-1</f>
        <v>1.1449295578183749E-2</v>
      </c>
      <c r="AO11" s="114">
        <f>AO9/AN9-1</f>
        <v>-1.19926962604191E-2</v>
      </c>
      <c r="AP11" s="114">
        <f>AP9/AO9-1</f>
        <v>7.0191454079496118E-2</v>
      </c>
      <c r="AQ11" s="116"/>
      <c r="AR11" s="115">
        <f>AR9/AP9-1</f>
        <v>3.2419544592525273E-2</v>
      </c>
      <c r="AS11" s="114">
        <f>AS9/AR9-1</f>
        <v>1.9697800970981616E-2</v>
      </c>
      <c r="AT11" s="114">
        <f>AT9/AS9-1</f>
        <v>-1.5155091475508198E-2</v>
      </c>
      <c r="AU11" s="114">
        <f>AU9/AT9-1</f>
        <v>6.5745882417235446E-2</v>
      </c>
      <c r="AV11" s="116"/>
      <c r="AW11" s="115">
        <f>AW9/AU9-1</f>
        <v>3.301890152249598E-2</v>
      </c>
      <c r="AX11" s="114">
        <f>AX9/AW9-1</f>
        <v>1.1896303341345948E-2</v>
      </c>
      <c r="AY11" s="114">
        <f>AY9/AX9-1</f>
        <v>-5.1891257614381514E-3</v>
      </c>
      <c r="AZ11" s="114">
        <f>AZ9/AY9-1</f>
        <v>7.7694034039348825E-2</v>
      </c>
      <c r="BA11" s="116"/>
    </row>
    <row r="12" spans="1:53" s="121" customFormat="1" ht="18" customHeight="1" x14ac:dyDescent="0.2">
      <c r="A12" s="105"/>
      <c r="B12" s="119" t="s">
        <v>418</v>
      </c>
      <c r="C12" s="120"/>
      <c r="D12" s="108"/>
      <c r="E12" s="109"/>
      <c r="F12" s="108"/>
      <c r="G12" s="108"/>
      <c r="H12" s="110"/>
      <c r="I12" s="108"/>
      <c r="J12" s="108"/>
      <c r="K12" s="108"/>
      <c r="L12" s="108"/>
      <c r="M12" s="110"/>
      <c r="N12" s="108"/>
      <c r="O12" s="108"/>
      <c r="P12" s="108"/>
      <c r="Q12" s="108"/>
      <c r="R12" s="110"/>
      <c r="S12" s="109"/>
      <c r="T12" s="109"/>
      <c r="U12" s="109"/>
      <c r="V12" s="109"/>
      <c r="W12" s="110"/>
      <c r="X12" s="108">
        <f>X26</f>
        <v>15600</v>
      </c>
      <c r="Y12" s="108">
        <f>Y26</f>
        <v>21500</v>
      </c>
      <c r="Z12" s="108">
        <f>Z26</f>
        <v>24600</v>
      </c>
      <c r="AA12" s="108">
        <f>AA26</f>
        <v>34400</v>
      </c>
      <c r="AB12" s="286">
        <v>633400</v>
      </c>
      <c r="AC12" s="108">
        <f>AC26</f>
        <v>39000</v>
      </c>
      <c r="AD12" s="108">
        <f>AD26</f>
        <v>44000</v>
      </c>
      <c r="AE12" s="108">
        <f>AE26</f>
        <v>43000</v>
      </c>
      <c r="AF12" s="108">
        <f>AF26</f>
        <v>48700</v>
      </c>
      <c r="AG12" s="110">
        <v>944710</v>
      </c>
      <c r="AH12" s="108">
        <f>AH26</f>
        <v>51800</v>
      </c>
      <c r="AI12" s="108">
        <f>AI26</f>
        <v>53700</v>
      </c>
      <c r="AJ12" s="108">
        <f>AJ26</f>
        <v>53800</v>
      </c>
      <c r="AK12" s="108">
        <f>AK26</f>
        <v>60500</v>
      </c>
      <c r="AL12" s="110">
        <v>1122734</v>
      </c>
      <c r="AM12" s="108">
        <f>AM26</f>
        <v>62100</v>
      </c>
      <c r="AN12" s="108">
        <f>AN26</f>
        <v>64700</v>
      </c>
      <c r="AO12" s="108">
        <f>AO26</f>
        <v>68400</v>
      </c>
      <c r="AP12" s="108">
        <f>AP26</f>
        <v>76800</v>
      </c>
      <c r="AQ12" s="110">
        <v>1300793</v>
      </c>
      <c r="AR12" s="108">
        <f>AR26</f>
        <v>81300</v>
      </c>
      <c r="AS12" s="108">
        <f>AS26</f>
        <v>0</v>
      </c>
      <c r="AT12" s="108">
        <f>AT26</f>
        <v>0</v>
      </c>
      <c r="AU12" s="108">
        <f>AU26</f>
        <v>0</v>
      </c>
      <c r="AV12" s="110">
        <f>SUM(AR12:AU12)</f>
        <v>81300</v>
      </c>
      <c r="AW12" s="108"/>
      <c r="AX12" s="108"/>
      <c r="AY12" s="108"/>
      <c r="AZ12" s="108"/>
      <c r="BA12" s="110">
        <f>SUM(AW12:AZ12)</f>
        <v>0</v>
      </c>
    </row>
    <row r="13" spans="1:53" s="160" customFormat="1" ht="13.35" customHeight="1" x14ac:dyDescent="0.2">
      <c r="A13" s="123"/>
      <c r="B13" s="124"/>
      <c r="C13" s="825" t="s">
        <v>83</v>
      </c>
      <c r="D13" s="115"/>
      <c r="E13" s="115"/>
      <c r="F13" s="115"/>
      <c r="G13" s="115"/>
      <c r="H13" s="116"/>
      <c r="I13" s="156"/>
      <c r="J13" s="156"/>
      <c r="K13" s="156"/>
      <c r="L13" s="156"/>
      <c r="M13" s="116"/>
      <c r="N13" s="156"/>
      <c r="O13" s="157"/>
      <c r="P13" s="157"/>
      <c r="Q13" s="157"/>
      <c r="R13" s="116"/>
      <c r="S13" s="157"/>
      <c r="T13" s="157"/>
      <c r="U13" s="157"/>
      <c r="V13" s="157"/>
      <c r="W13" s="116"/>
      <c r="X13" s="157">
        <f t="shared" ref="X13:AB13" si="14">X12/X9</f>
        <v>0.13181353454613051</v>
      </c>
      <c r="Y13" s="157">
        <f t="shared" si="14"/>
        <v>0.13739950663991105</v>
      </c>
      <c r="Z13" s="157">
        <f t="shared" si="14"/>
        <v>0.14738393515106854</v>
      </c>
      <c r="AA13" s="157">
        <f t="shared" si="14"/>
        <v>0.17181014978448814</v>
      </c>
      <c r="AB13" s="116">
        <f t="shared" si="14"/>
        <v>0.98666737283845229</v>
      </c>
      <c r="AC13" s="157">
        <f>AC12/AC9</f>
        <v>0.16962126615751291</v>
      </c>
      <c r="AD13" s="157">
        <f t="shared" ref="AD13:AR13" si="15">AD12/AD9</f>
        <v>0.16922686399544626</v>
      </c>
      <c r="AE13" s="157">
        <f t="shared" si="15"/>
        <v>0.15776632239364533</v>
      </c>
      <c r="AF13" s="157">
        <f t="shared" si="15"/>
        <v>0.16453647675711106</v>
      </c>
      <c r="AG13" s="116">
        <f t="shared" si="15"/>
        <v>0.89252580144132843</v>
      </c>
      <c r="AH13" s="157">
        <f t="shared" si="15"/>
        <v>0.16984441857796284</v>
      </c>
      <c r="AI13" s="157">
        <f t="shared" si="15"/>
        <v>0.16860547261338482</v>
      </c>
      <c r="AJ13" s="157">
        <f t="shared" si="15"/>
        <v>0.16654902980546579</v>
      </c>
      <c r="AK13" s="157">
        <f t="shared" si="15"/>
        <v>0.17604353076397072</v>
      </c>
      <c r="AL13" s="116">
        <f t="shared" si="15"/>
        <v>0.87021973022222598</v>
      </c>
      <c r="AM13" s="157">
        <f t="shared" si="15"/>
        <v>0.17324591993304506</v>
      </c>
      <c r="AN13" s="157">
        <f t="shared" si="15"/>
        <v>0.17845617480430501</v>
      </c>
      <c r="AO13" s="157">
        <f t="shared" si="15"/>
        <v>0.19095157535049664</v>
      </c>
      <c r="AP13" s="157">
        <f t="shared" si="15"/>
        <v>0.20033963829304369</v>
      </c>
      <c r="AQ13" s="116">
        <f t="shared" si="15"/>
        <v>0.88939523123511599</v>
      </c>
      <c r="AR13" s="157">
        <f t="shared" si="15"/>
        <v>0.2054187080098136</v>
      </c>
      <c r="AS13" s="158">
        <v>0.16400000000000001</v>
      </c>
      <c r="AT13" s="158">
        <v>0.16300000000000001</v>
      </c>
      <c r="AU13" s="158">
        <v>0.16200000000000001</v>
      </c>
      <c r="AV13" s="116" t="e">
        <f>AV12/#REF!</f>
        <v>#REF!</v>
      </c>
      <c r="AW13" s="158">
        <v>0.16500000000000001</v>
      </c>
      <c r="AX13" s="158">
        <v>0.16300000000000001</v>
      </c>
      <c r="AY13" s="158">
        <v>0.16300000000000001</v>
      </c>
      <c r="AZ13" s="158">
        <v>0.16300000000000001</v>
      </c>
      <c r="BA13" s="116" t="e">
        <f>BA12/#REF!</f>
        <v>#REF!</v>
      </c>
    </row>
    <row r="14" spans="1:53" s="121" customFormat="1" x14ac:dyDescent="0.2">
      <c r="A14" s="105"/>
      <c r="B14" s="119" t="s">
        <v>477</v>
      </c>
      <c r="C14" s="126"/>
      <c r="D14" s="108"/>
      <c r="E14" s="108"/>
      <c r="F14" s="108"/>
      <c r="G14" s="108"/>
      <c r="H14" s="286"/>
      <c r="I14" s="108"/>
      <c r="J14" s="108">
        <f>'Revenue Build'!J157</f>
        <v>0</v>
      </c>
      <c r="K14" s="108">
        <f>'Revenue Build'!K157</f>
        <v>0</v>
      </c>
      <c r="L14" s="108">
        <f>'Revenue Build'!L157</f>
        <v>0</v>
      </c>
      <c r="M14" s="286">
        <f>SUM(I14:L14)</f>
        <v>0</v>
      </c>
      <c r="N14" s="108">
        <f>'Revenue Build'!N157</f>
        <v>0</v>
      </c>
      <c r="O14" s="108">
        <f>'Revenue Build'!O157</f>
        <v>0</v>
      </c>
      <c r="P14" s="108">
        <f>'Revenue Build'!P157</f>
        <v>0</v>
      </c>
      <c r="Q14" s="108">
        <f>'Revenue Build'!Q157</f>
        <v>0</v>
      </c>
      <c r="R14" s="286">
        <f>SUM(N14:Q14)</f>
        <v>0</v>
      </c>
      <c r="S14" s="108">
        <f>'Revenue Build'!S157</f>
        <v>0</v>
      </c>
      <c r="T14" s="108">
        <f>'Revenue Build'!T157</f>
        <v>0</v>
      </c>
      <c r="U14" s="108">
        <f>'Revenue Build'!U157</f>
        <v>0</v>
      </c>
      <c r="V14" s="108">
        <f>'Revenue Build'!V157</f>
        <v>0</v>
      </c>
      <c r="W14" s="286">
        <f>SUM(S14:V14)</f>
        <v>0</v>
      </c>
      <c r="X14" s="108">
        <f>X32</f>
        <v>4035</v>
      </c>
      <c r="Y14" s="108">
        <f t="shared" ref="Y14:AA14" si="16">Y32</f>
        <v>5190</v>
      </c>
      <c r="Z14" s="108">
        <f t="shared" si="16"/>
        <v>6085</v>
      </c>
      <c r="AA14" s="108">
        <f t="shared" si="16"/>
        <v>4256</v>
      </c>
      <c r="AB14" s="286">
        <f>SUM(X14:AA14)</f>
        <v>19566</v>
      </c>
      <c r="AC14" s="108">
        <f>AC32</f>
        <v>6583</v>
      </c>
      <c r="AD14" s="108">
        <f t="shared" ref="AD14:AF14" si="17">AD32</f>
        <v>8520</v>
      </c>
      <c r="AE14" s="108">
        <f t="shared" si="17"/>
        <v>8425</v>
      </c>
      <c r="AF14" s="108">
        <f t="shared" si="17"/>
        <v>8696</v>
      </c>
      <c r="AG14" s="286">
        <f>SUM(AC14:AF14)</f>
        <v>32224</v>
      </c>
      <c r="AH14" s="108">
        <f>AH32</f>
        <v>11975</v>
      </c>
      <c r="AI14" s="108">
        <f t="shared" ref="AI14:AK14" si="18">AI32</f>
        <v>14354</v>
      </c>
      <c r="AJ14" s="108">
        <f t="shared" si="18"/>
        <v>15104</v>
      </c>
      <c r="AK14" s="108">
        <f t="shared" si="18"/>
        <v>18672</v>
      </c>
      <c r="AL14" s="110">
        <f>SUM(AH14:AK14)</f>
        <v>60105</v>
      </c>
      <c r="AM14" s="108">
        <f>AM32</f>
        <v>20661</v>
      </c>
      <c r="AN14" s="108">
        <f t="shared" ref="AN14:AP14" si="19">AN32</f>
        <v>21358</v>
      </c>
      <c r="AO14" s="108">
        <f t="shared" si="19"/>
        <v>14945</v>
      </c>
      <c r="AP14" s="108">
        <f t="shared" si="19"/>
        <v>15785</v>
      </c>
      <c r="AQ14" s="110">
        <f>SUM(AM14:AP14)</f>
        <v>72749</v>
      </c>
      <c r="AR14" s="108">
        <f>AR32</f>
        <v>16096</v>
      </c>
      <c r="AS14" s="108">
        <f t="shared" ref="AS14:AU14" si="20">AS32</f>
        <v>0</v>
      </c>
      <c r="AT14" s="108">
        <f t="shared" si="20"/>
        <v>0</v>
      </c>
      <c r="AU14" s="108">
        <f t="shared" si="20"/>
        <v>0</v>
      </c>
      <c r="AV14" s="110">
        <f>SUM(AR14:AU14)</f>
        <v>16096</v>
      </c>
      <c r="AW14" s="108">
        <f>'Revenue Build'!AW157</f>
        <v>0</v>
      </c>
      <c r="AX14" s="108">
        <f>'Revenue Build'!AX157</f>
        <v>0</v>
      </c>
      <c r="AY14" s="108">
        <f>'Revenue Build'!AY157</f>
        <v>0</v>
      </c>
      <c r="AZ14" s="108">
        <f>'Revenue Build'!AZ157</f>
        <v>0</v>
      </c>
      <c r="BA14" s="110">
        <f>SUM(AW14:AZ14)</f>
        <v>0</v>
      </c>
    </row>
    <row r="15" spans="1:53" s="160" customFormat="1" ht="13.35" customHeight="1" thickBot="1" x14ac:dyDescent="0.25">
      <c r="A15" s="123"/>
      <c r="B15" s="124"/>
      <c r="C15" s="825" t="s">
        <v>83</v>
      </c>
      <c r="D15" s="115"/>
      <c r="E15" s="115"/>
      <c r="F15" s="115"/>
      <c r="G15" s="115"/>
      <c r="H15" s="116"/>
      <c r="I15" s="156"/>
      <c r="J15" s="156"/>
      <c r="K15" s="156"/>
      <c r="L15" s="156"/>
      <c r="M15" s="116"/>
      <c r="N15" s="156"/>
      <c r="O15" s="157"/>
      <c r="P15" s="157"/>
      <c r="Q15" s="157"/>
      <c r="R15" s="116"/>
      <c r="S15" s="157"/>
      <c r="T15" s="157"/>
      <c r="U15" s="157"/>
      <c r="V15" s="157"/>
      <c r="W15" s="116"/>
      <c r="X15" s="157">
        <f t="shared" ref="X15:AR15" si="21">X14/X9</f>
        <v>3.4094077685489527E-2</v>
      </c>
      <c r="Y15" s="157">
        <f t="shared" si="21"/>
        <v>3.316760183540178E-2</v>
      </c>
      <c r="Z15" s="157">
        <f t="shared" si="21"/>
        <v>3.6456554690823255E-2</v>
      </c>
      <c r="AA15" s="157">
        <f t="shared" si="21"/>
        <v>2.125651155473202E-2</v>
      </c>
      <c r="AB15" s="116">
        <f t="shared" si="21"/>
        <v>3.0478581965514933E-2</v>
      </c>
      <c r="AC15" s="157">
        <f t="shared" si="21"/>
        <v>2.863119987474122E-2</v>
      </c>
      <c r="AD15" s="157">
        <f t="shared" si="21"/>
        <v>3.2768474573663685E-2</v>
      </c>
      <c r="AE15" s="157">
        <f t="shared" si="21"/>
        <v>3.0911192236429345E-2</v>
      </c>
      <c r="AF15" s="157">
        <f t="shared" si="21"/>
        <v>2.9380065747019256E-2</v>
      </c>
      <c r="AG15" s="116">
        <f t="shared" si="21"/>
        <v>3.0444000196510428E-2</v>
      </c>
      <c r="AH15" s="157">
        <f t="shared" si="21"/>
        <v>3.9264226109480792E-2</v>
      </c>
      <c r="AI15" s="157">
        <f t="shared" si="21"/>
        <v>4.506821143189061E-2</v>
      </c>
      <c r="AJ15" s="157">
        <f t="shared" si="21"/>
        <v>4.6757556620478723E-2</v>
      </c>
      <c r="AK15" s="157">
        <f t="shared" si="21"/>
        <v>5.4331980271485315E-2</v>
      </c>
      <c r="AL15" s="116">
        <f t="shared" si="21"/>
        <v>4.6586775571958179E-2</v>
      </c>
      <c r="AM15" s="157">
        <f t="shared" si="21"/>
        <v>5.7639838192216485E-2</v>
      </c>
      <c r="AN15" s="157">
        <f t="shared" si="21"/>
        <v>5.8909845154101186E-2</v>
      </c>
      <c r="AO15" s="157">
        <f t="shared" si="21"/>
        <v>4.1721802538204275E-2</v>
      </c>
      <c r="AP15" s="157">
        <f t="shared" si="21"/>
        <v>4.1176578000725189E-2</v>
      </c>
      <c r="AQ15" s="116">
        <f t="shared" si="21"/>
        <v>4.9740899341496649E-2</v>
      </c>
      <c r="AR15" s="157">
        <f t="shared" si="21"/>
        <v>4.0669366840417713E-2</v>
      </c>
      <c r="AS15" s="158">
        <v>0.16400000000000001</v>
      </c>
      <c r="AT15" s="158">
        <v>0.16300000000000001</v>
      </c>
      <c r="AU15" s="158">
        <v>0.16200000000000001</v>
      </c>
      <c r="AV15" s="116" t="e">
        <f>AV14/#REF!</f>
        <v>#REF!</v>
      </c>
      <c r="AW15" s="158">
        <v>0.16500000000000001</v>
      </c>
      <c r="AX15" s="158">
        <v>0.16300000000000001</v>
      </c>
      <c r="AY15" s="158">
        <v>0.16300000000000001</v>
      </c>
      <c r="AZ15" s="158">
        <v>0.16300000000000001</v>
      </c>
      <c r="BA15" s="116" t="e">
        <f>BA14/#REF!</f>
        <v>#REF!</v>
      </c>
    </row>
    <row r="16" spans="1:53" s="133" customFormat="1" ht="13.5" thickBot="1" x14ac:dyDescent="0.25">
      <c r="A16" s="20"/>
      <c r="B16" s="129" t="s">
        <v>478</v>
      </c>
      <c r="C16" s="130"/>
      <c r="D16" s="131">
        <f>D9-D12-D14</f>
        <v>13102.629500000001</v>
      </c>
      <c r="E16" s="131">
        <f>E9-E12-E14</f>
        <v>15163.11787</v>
      </c>
      <c r="F16" s="131">
        <f>F9-F12-F14</f>
        <v>17097.704650000003</v>
      </c>
      <c r="G16" s="131">
        <f>G9-G12-G14</f>
        <v>19500.674009999999</v>
      </c>
      <c r="H16" s="132">
        <f>SUM(D16:G16)</f>
        <v>64864.126029999999</v>
      </c>
      <c r="I16" s="131">
        <f>I9-I12-I14</f>
        <v>22424.129579999997</v>
      </c>
      <c r="J16" s="131">
        <f>J9-J12-J14</f>
        <v>25998.650150000001</v>
      </c>
      <c r="K16" s="131">
        <f>K9-K12-K14</f>
        <v>28243.685389999999</v>
      </c>
      <c r="L16" s="131">
        <f>L9-L12-L14</f>
        <v>31684.327560000002</v>
      </c>
      <c r="M16" s="132">
        <f>SUM(I16:L16)</f>
        <v>108350.79268</v>
      </c>
      <c r="N16" s="131">
        <f>N9-N12-N14</f>
        <v>35179.479620000006</v>
      </c>
      <c r="O16" s="131">
        <f>O9-O12-O14</f>
        <v>39080</v>
      </c>
      <c r="P16" s="131">
        <f>P9-P12-P14</f>
        <v>41230</v>
      </c>
      <c r="Q16" s="131">
        <f>Q9-Q12-Q14</f>
        <v>42110</v>
      </c>
      <c r="R16" s="132">
        <f>SUM(N16:Q16)</f>
        <v>157599.47962</v>
      </c>
      <c r="S16" s="131">
        <f>S9-S12-S14</f>
        <v>46209</v>
      </c>
      <c r="T16" s="131">
        <f>T9-T12-T14</f>
        <v>54045</v>
      </c>
      <c r="U16" s="131">
        <f>U9-U12-U14</f>
        <v>59738</v>
      </c>
      <c r="V16" s="131">
        <f>V9-V12-V14</f>
        <v>78273</v>
      </c>
      <c r="W16" s="132">
        <f>SUM(S16:V16)</f>
        <v>238265</v>
      </c>
      <c r="X16" s="131">
        <f>X9-X12-X14</f>
        <v>98714</v>
      </c>
      <c r="Y16" s="131">
        <f>Y9-Y12-Y14</f>
        <v>129788</v>
      </c>
      <c r="Z16" s="131">
        <f>Z9-Z12-Z14</f>
        <v>136226</v>
      </c>
      <c r="AA16" s="131">
        <f>AA9-AA12-AA14</f>
        <v>161565</v>
      </c>
      <c r="AB16" s="132">
        <f>SUM(X16:AA16)</f>
        <v>526293</v>
      </c>
      <c r="AC16" s="131">
        <f>AC9-AC12-AC14</f>
        <v>184341</v>
      </c>
      <c r="AD16" s="131">
        <f>AD9-AD12-AD14</f>
        <v>207486</v>
      </c>
      <c r="AE16" s="131">
        <f>AE9-AE12-AE14</f>
        <v>221130</v>
      </c>
      <c r="AF16" s="131">
        <f>AF9-AF12-AF14</f>
        <v>238587</v>
      </c>
      <c r="AG16" s="132">
        <f>SUM(AC16:AF16)</f>
        <v>851544</v>
      </c>
      <c r="AH16" s="131">
        <f>AH9-AH12-AH14</f>
        <v>241210</v>
      </c>
      <c r="AI16" s="131">
        <f>AI9-AI12-AI14</f>
        <v>250441</v>
      </c>
      <c r="AJ16" s="131">
        <f>AJ9-AJ12-AJ14</f>
        <v>254124</v>
      </c>
      <c r="AK16" s="131">
        <f>AK9-AK12-AK14</f>
        <v>264493</v>
      </c>
      <c r="AL16" s="132">
        <f>SUM(AH16:AK16)</f>
        <v>1010268</v>
      </c>
      <c r="AM16" s="131">
        <f>AM9-AM12-AM14</f>
        <v>275689</v>
      </c>
      <c r="AN16" s="131">
        <f>AN9-AN12-AN14</f>
        <v>276496</v>
      </c>
      <c r="AO16" s="131">
        <f>AO9-AO12-AO14</f>
        <v>274861</v>
      </c>
      <c r="AP16" s="131">
        <f>AP9-AP12-AP14</f>
        <v>290764</v>
      </c>
      <c r="AQ16" s="132">
        <f>SUM(AM16:AP16)</f>
        <v>1117810</v>
      </c>
      <c r="AR16" s="131">
        <f>AR9-AR12-AR14</f>
        <v>298381</v>
      </c>
      <c r="AS16" s="131">
        <f>AS9-AS12-AS14</f>
        <v>403572.9365748922</v>
      </c>
      <c r="AT16" s="131">
        <f>AT9-AT12-AT14</f>
        <v>397456.75180406024</v>
      </c>
      <c r="AU16" s="131">
        <f>AU9-AU12-AU14</f>
        <v>423587.8966741063</v>
      </c>
      <c r="AV16" s="132">
        <f>SUM(AR16:AU16)</f>
        <v>1522998.5850530588</v>
      </c>
      <c r="AW16" s="131">
        <f>AW9-AW12-AW14</f>
        <v>437574.30372050981</v>
      </c>
      <c r="AX16" s="131">
        <f>AX9-AX12-AX14</f>
        <v>442779.82037194725</v>
      </c>
      <c r="AY16" s="131">
        <f>AY9-AY12-AY14</f>
        <v>440482.18019941024</v>
      </c>
      <c r="AZ16" s="131">
        <f>AZ9-AZ12-AZ14</f>
        <v>474705.0177015498</v>
      </c>
      <c r="BA16" s="132">
        <f>SUM(AW16:AZ16)</f>
        <v>1795541.3219934171</v>
      </c>
    </row>
    <row r="17" spans="1:53" s="160" customFormat="1" ht="13.35" customHeight="1" x14ac:dyDescent="0.2">
      <c r="A17" s="123"/>
      <c r="B17" s="124"/>
      <c r="C17" s="825" t="s">
        <v>83</v>
      </c>
      <c r="D17" s="115"/>
      <c r="E17" s="115"/>
      <c r="F17" s="115"/>
      <c r="G17" s="115"/>
      <c r="H17" s="116"/>
      <c r="I17" s="156"/>
      <c r="J17" s="156"/>
      <c r="K17" s="156"/>
      <c r="L17" s="156"/>
      <c r="M17" s="116"/>
      <c r="N17" s="156"/>
      <c r="O17" s="157"/>
      <c r="P17" s="157"/>
      <c r="Q17" s="157"/>
      <c r="R17" s="116"/>
      <c r="S17" s="157"/>
      <c r="T17" s="157"/>
      <c r="U17" s="157"/>
      <c r="V17" s="157"/>
      <c r="W17" s="116"/>
      <c r="X17" s="157">
        <f t="shared" ref="X17:AR17" si="22">X16/X9</f>
        <v>0.83409238776837991</v>
      </c>
      <c r="Y17" s="157">
        <f t="shared" si="22"/>
        <v>0.82943289152468713</v>
      </c>
      <c r="Z17" s="157">
        <f t="shared" si="22"/>
        <v>0.81615951015810817</v>
      </c>
      <c r="AA17" s="157">
        <f t="shared" si="22"/>
        <v>0.80693333866077988</v>
      </c>
      <c r="AB17" s="116">
        <f t="shared" si="22"/>
        <v>0.81982338435943725</v>
      </c>
      <c r="AC17" s="157">
        <f t="shared" si="22"/>
        <v>0.8017475339677459</v>
      </c>
      <c r="AD17" s="157">
        <f t="shared" si="22"/>
        <v>0.79800466143089011</v>
      </c>
      <c r="AE17" s="157">
        <f t="shared" si="22"/>
        <v>0.81132248536992535</v>
      </c>
      <c r="AF17" s="157">
        <f t="shared" si="22"/>
        <v>0.80608345749586974</v>
      </c>
      <c r="AG17" s="116">
        <f t="shared" si="22"/>
        <v>0.80450613528231374</v>
      </c>
      <c r="AH17" s="157">
        <f t="shared" si="22"/>
        <v>0.79089135531255639</v>
      </c>
      <c r="AI17" s="157">
        <f t="shared" si="22"/>
        <v>0.78632631595472458</v>
      </c>
      <c r="AJ17" s="157">
        <f t="shared" si="22"/>
        <v>0.78669341357405553</v>
      </c>
      <c r="AK17" s="157">
        <f t="shared" si="22"/>
        <v>0.76962448896454394</v>
      </c>
      <c r="AL17" s="116">
        <f t="shared" si="22"/>
        <v>0.78304847489445217</v>
      </c>
      <c r="AM17" s="157">
        <f t="shared" si="22"/>
        <v>0.76911424187473842</v>
      </c>
      <c r="AN17" s="157">
        <f t="shared" si="22"/>
        <v>0.76263398004159377</v>
      </c>
      <c r="AO17" s="157">
        <f t="shared" si="22"/>
        <v>0.76732662211129909</v>
      </c>
      <c r="AP17" s="157">
        <f t="shared" si="22"/>
        <v>0.75848378370623115</v>
      </c>
      <c r="AQ17" s="116">
        <f t="shared" si="22"/>
        <v>0.76428369727306722</v>
      </c>
      <c r="AR17" s="157">
        <f t="shared" si="22"/>
        <v>0.75391192514976868</v>
      </c>
      <c r="AS17" s="158">
        <v>0.16400000000000001</v>
      </c>
      <c r="AT17" s="158">
        <v>0.16300000000000001</v>
      </c>
      <c r="AU17" s="158">
        <v>0.16200000000000001</v>
      </c>
      <c r="AV17" s="116" t="e">
        <f>AV16/#REF!</f>
        <v>#REF!</v>
      </c>
      <c r="AW17" s="158">
        <v>0.16500000000000001</v>
      </c>
      <c r="AX17" s="158">
        <v>0.16300000000000001</v>
      </c>
      <c r="AY17" s="158">
        <v>0.16300000000000001</v>
      </c>
      <c r="AZ17" s="158">
        <v>0.16300000000000001</v>
      </c>
      <c r="BA17" s="116" t="e">
        <f>BA16/#REF!</f>
        <v>#REF!</v>
      </c>
    </row>
    <row r="18" spans="1:53" x14ac:dyDescent="0.2">
      <c r="A18" s="28"/>
      <c r="B18" s="138"/>
      <c r="C18" s="126"/>
      <c r="D18" s="139"/>
      <c r="E18" s="140"/>
      <c r="F18" s="139"/>
      <c r="G18" s="139"/>
      <c r="H18" s="141"/>
      <c r="I18" s="139"/>
      <c r="J18" s="139"/>
      <c r="K18" s="139"/>
      <c r="L18" s="139"/>
      <c r="M18" s="141"/>
      <c r="N18" s="139"/>
      <c r="O18" s="140"/>
      <c r="P18" s="139"/>
      <c r="Q18" s="139"/>
      <c r="R18" s="141"/>
      <c r="S18" s="142"/>
      <c r="T18" s="142"/>
      <c r="U18" s="142"/>
      <c r="V18" s="142"/>
      <c r="W18" s="143"/>
      <c r="X18" s="140"/>
      <c r="Y18" s="139"/>
      <c r="Z18" s="139"/>
      <c r="AA18" s="139"/>
      <c r="AB18" s="141"/>
      <c r="AC18" s="140"/>
      <c r="AD18" s="139"/>
      <c r="AE18" s="139"/>
      <c r="AF18" s="139"/>
      <c r="AG18" s="141"/>
      <c r="AH18" s="140"/>
      <c r="AI18" s="140"/>
      <c r="AJ18" s="140"/>
      <c r="AK18" s="139"/>
      <c r="AL18" s="141"/>
      <c r="AM18" s="140"/>
      <c r="AN18" s="140"/>
      <c r="AO18" s="140"/>
      <c r="AP18" s="139"/>
      <c r="AQ18" s="141"/>
      <c r="AR18" s="140"/>
      <c r="AS18" s="140"/>
      <c r="AT18" s="140"/>
      <c r="AV18" s="141"/>
      <c r="AW18" s="140"/>
      <c r="AX18" s="140"/>
      <c r="AY18" s="140"/>
      <c r="BA18" s="141"/>
    </row>
    <row r="19" spans="1:53" ht="13.5" thickBot="1" x14ac:dyDescent="0.25">
      <c r="A19" s="28"/>
      <c r="B19" s="144" t="s">
        <v>78</v>
      </c>
      <c r="C19" s="145"/>
      <c r="D19" s="146">
        <v>3903.0363900000002</v>
      </c>
      <c r="E19" s="142">
        <v>4027.94578</v>
      </c>
      <c r="F19" s="146">
        <v>4565.1249899999993</v>
      </c>
      <c r="G19" s="146">
        <v>4973.47552</v>
      </c>
      <c r="H19" s="143">
        <f>SUM(D19:G19)</f>
        <v>17469.58268</v>
      </c>
      <c r="I19" s="146">
        <v>5577</v>
      </c>
      <c r="J19" s="146">
        <v>6289</v>
      </c>
      <c r="K19" s="146">
        <v>6770.5639899999996</v>
      </c>
      <c r="L19" s="146">
        <v>7560</v>
      </c>
      <c r="M19" s="143">
        <f>SUM(I19:L19)</f>
        <v>26196.563989999999</v>
      </c>
      <c r="N19" s="146">
        <v>8010.416940000001</v>
      </c>
      <c r="O19" s="147">
        <f>9787-211-982</f>
        <v>8594</v>
      </c>
      <c r="P19" s="148">
        <f>10110-422-956</f>
        <v>8732</v>
      </c>
      <c r="Q19" s="148">
        <f>10100-476-608</f>
        <v>9016</v>
      </c>
      <c r="R19" s="143">
        <f>SUM(N19:Q19)</f>
        <v>34352.416940000003</v>
      </c>
      <c r="S19" s="147">
        <f>10605+400</f>
        <v>11005</v>
      </c>
      <c r="T19" s="147">
        <f>12246+400</f>
        <v>12646</v>
      </c>
      <c r="U19" s="147">
        <f>15434-728-119-800</f>
        <v>13787</v>
      </c>
      <c r="V19" s="147">
        <f>20293-967-2653-108-709</f>
        <v>15856</v>
      </c>
      <c r="W19" s="143">
        <f>SUM(S19:V19)</f>
        <v>53294</v>
      </c>
      <c r="X19" s="147">
        <f>29835-1127-8401-163-721</f>
        <v>19423</v>
      </c>
      <c r="Y19" s="148">
        <f>34386-9285-1285-89-763</f>
        <v>22964</v>
      </c>
      <c r="Z19" s="148">
        <f>37342-1401-9285-881</f>
        <v>25775</v>
      </c>
      <c r="AA19" s="148">
        <f>43441-10172-1534</f>
        <v>31735</v>
      </c>
      <c r="AB19" s="143">
        <f>SUM(X19:AA19)</f>
        <v>99897</v>
      </c>
      <c r="AC19" s="147">
        <f>34820-2066</f>
        <v>32754</v>
      </c>
      <c r="AD19" s="147">
        <f>47467-10502-2353</f>
        <v>34612</v>
      </c>
      <c r="AE19" s="148">
        <f>37897-2514</f>
        <v>35383</v>
      </c>
      <c r="AF19" s="148">
        <f>52552-11225-2495</f>
        <v>38832</v>
      </c>
      <c r="AG19" s="143">
        <f>SUM(AC19:AF19)</f>
        <v>141581</v>
      </c>
      <c r="AH19" s="148">
        <f>44904-2628</f>
        <v>42276</v>
      </c>
      <c r="AI19" s="148">
        <f>47239-2446</f>
        <v>44793</v>
      </c>
      <c r="AJ19" s="148">
        <f>43845-2277</f>
        <v>41568</v>
      </c>
      <c r="AK19" s="148">
        <f>53905+11295-11295-2243</f>
        <v>51662</v>
      </c>
      <c r="AL19" s="143">
        <f>SUM(AH19:AK19)</f>
        <v>180299</v>
      </c>
      <c r="AM19" s="148">
        <f>53602+11094-11094-2183</f>
        <v>51419</v>
      </c>
      <c r="AN19" s="148">
        <f>56298+10310-10310-2654</f>
        <v>53644</v>
      </c>
      <c r="AO19" s="148">
        <f>56733-2530</f>
        <v>54203</v>
      </c>
      <c r="AP19" s="148">
        <f>63172-2553</f>
        <v>60619</v>
      </c>
      <c r="AQ19" s="143">
        <f>SUM(AM19:AP19)</f>
        <v>219885</v>
      </c>
      <c r="AR19" s="148">
        <f>66066-2405</f>
        <v>63661</v>
      </c>
      <c r="AS19" s="148">
        <f>AS9*(1-AS21)</f>
        <v>62432.733288135802</v>
      </c>
      <c r="AT19" s="148">
        <f>AT9*(1-AT21)</f>
        <v>63593.080288649653</v>
      </c>
      <c r="AU19" s="148">
        <f>AU9*(1-AU21)</f>
        <v>70739.178744575765</v>
      </c>
      <c r="AV19" s="143">
        <f>SUM(AR19:AU19)</f>
        <v>260425.99232136121</v>
      </c>
      <c r="AW19" s="148">
        <f>AW9*(1-AW21)</f>
        <v>65636.145558076474</v>
      </c>
      <c r="AX19" s="148">
        <f>AX9*(1-AX21)</f>
        <v>66416.973055792099</v>
      </c>
      <c r="AY19" s="148">
        <f>AY9*(1-AY21)</f>
        <v>70477.148831905652</v>
      </c>
      <c r="AZ19" s="148">
        <f>AZ9*(1-AZ21)</f>
        <v>80699.85300926349</v>
      </c>
      <c r="BA19" s="143">
        <f>SUM(AW19:AZ19)</f>
        <v>283230.12045503769</v>
      </c>
    </row>
    <row r="20" spans="1:53" ht="13.5" thickBot="1" x14ac:dyDescent="0.25">
      <c r="A20" s="20"/>
      <c r="B20" s="149" t="s">
        <v>480</v>
      </c>
      <c r="C20" s="150"/>
      <c r="D20" s="151">
        <f t="shared" ref="D20:AI20" si="23">D16-D19</f>
        <v>9199.5931100000016</v>
      </c>
      <c r="E20" s="151">
        <f t="shared" si="23"/>
        <v>11135.17209</v>
      </c>
      <c r="F20" s="151">
        <f t="shared" si="23"/>
        <v>12532.579660000003</v>
      </c>
      <c r="G20" s="151">
        <f t="shared" si="23"/>
        <v>14527.198489999999</v>
      </c>
      <c r="H20" s="152">
        <f t="shared" si="23"/>
        <v>47394.54335</v>
      </c>
      <c r="I20" s="151">
        <f t="shared" si="23"/>
        <v>16847.129579999997</v>
      </c>
      <c r="J20" s="151">
        <f t="shared" si="23"/>
        <v>19709.650150000001</v>
      </c>
      <c r="K20" s="151">
        <f t="shared" si="23"/>
        <v>21473.1214</v>
      </c>
      <c r="L20" s="151">
        <f t="shared" si="23"/>
        <v>24124.327560000002</v>
      </c>
      <c r="M20" s="152">
        <f t="shared" si="23"/>
        <v>82154.228690000004</v>
      </c>
      <c r="N20" s="151">
        <f t="shared" si="23"/>
        <v>27169.062680000003</v>
      </c>
      <c r="O20" s="153">
        <f t="shared" si="23"/>
        <v>30486</v>
      </c>
      <c r="P20" s="151">
        <f t="shared" si="23"/>
        <v>32498</v>
      </c>
      <c r="Q20" s="151">
        <f t="shared" si="23"/>
        <v>33094</v>
      </c>
      <c r="R20" s="152">
        <f t="shared" si="23"/>
        <v>123247.06268</v>
      </c>
      <c r="S20" s="153">
        <f t="shared" si="23"/>
        <v>35204</v>
      </c>
      <c r="T20" s="153">
        <f t="shared" si="23"/>
        <v>41399</v>
      </c>
      <c r="U20" s="153">
        <f t="shared" si="23"/>
        <v>45951</v>
      </c>
      <c r="V20" s="153">
        <f t="shared" si="23"/>
        <v>62417</v>
      </c>
      <c r="W20" s="152">
        <f t="shared" si="23"/>
        <v>184971</v>
      </c>
      <c r="X20" s="153">
        <f t="shared" si="23"/>
        <v>79291</v>
      </c>
      <c r="Y20" s="151">
        <f t="shared" si="23"/>
        <v>106824</v>
      </c>
      <c r="Z20" s="151">
        <f t="shared" si="23"/>
        <v>110451</v>
      </c>
      <c r="AA20" s="151">
        <f t="shared" si="23"/>
        <v>129830</v>
      </c>
      <c r="AB20" s="152">
        <f t="shared" si="23"/>
        <v>426396</v>
      </c>
      <c r="AC20" s="153">
        <f t="shared" si="23"/>
        <v>151587</v>
      </c>
      <c r="AD20" s="153">
        <f t="shared" si="23"/>
        <v>172874</v>
      </c>
      <c r="AE20" s="151">
        <f t="shared" si="23"/>
        <v>185747</v>
      </c>
      <c r="AF20" s="151">
        <f t="shared" si="23"/>
        <v>199755</v>
      </c>
      <c r="AG20" s="152">
        <f t="shared" si="23"/>
        <v>709963</v>
      </c>
      <c r="AH20" s="151">
        <f t="shared" si="23"/>
        <v>198934</v>
      </c>
      <c r="AI20" s="151">
        <f t="shared" si="23"/>
        <v>205648</v>
      </c>
      <c r="AJ20" s="151">
        <f t="shared" ref="AJ20:BA20" si="24">AJ16-AJ19</f>
        <v>212556</v>
      </c>
      <c r="AK20" s="151">
        <f t="shared" si="24"/>
        <v>212831</v>
      </c>
      <c r="AL20" s="152">
        <f t="shared" si="24"/>
        <v>829969</v>
      </c>
      <c r="AM20" s="151">
        <f t="shared" si="24"/>
        <v>224270</v>
      </c>
      <c r="AN20" s="151">
        <f t="shared" si="24"/>
        <v>222852</v>
      </c>
      <c r="AO20" s="151">
        <f t="shared" si="24"/>
        <v>220658</v>
      </c>
      <c r="AP20" s="151">
        <f t="shared" si="24"/>
        <v>230145</v>
      </c>
      <c r="AQ20" s="152">
        <f t="shared" si="24"/>
        <v>897925</v>
      </c>
      <c r="AR20" s="151">
        <f t="shared" si="24"/>
        <v>234720</v>
      </c>
      <c r="AS20" s="151">
        <f t="shared" si="24"/>
        <v>341140.20328675641</v>
      </c>
      <c r="AT20" s="151">
        <f t="shared" si="24"/>
        <v>333863.67151541059</v>
      </c>
      <c r="AU20" s="151">
        <f t="shared" si="24"/>
        <v>352848.71792953054</v>
      </c>
      <c r="AV20" s="152">
        <f t="shared" si="24"/>
        <v>1262572.5927316975</v>
      </c>
      <c r="AW20" s="151">
        <f t="shared" si="24"/>
        <v>371938.1581624333</v>
      </c>
      <c r="AX20" s="151">
        <f t="shared" si="24"/>
        <v>376362.84731615515</v>
      </c>
      <c r="AY20" s="151">
        <f t="shared" si="24"/>
        <v>370005.03136750462</v>
      </c>
      <c r="AZ20" s="151">
        <f t="shared" si="24"/>
        <v>394005.16469228629</v>
      </c>
      <c r="BA20" s="152">
        <f t="shared" si="24"/>
        <v>1512311.2015383793</v>
      </c>
    </row>
    <row r="21" spans="1:53" s="118" customFormat="1" ht="13.35" customHeight="1" x14ac:dyDescent="0.2">
      <c r="A21" s="115"/>
      <c r="B21" s="154"/>
      <c r="C21" s="155" t="s">
        <v>479</v>
      </c>
      <c r="D21" s="114">
        <f t="shared" ref="D21:AR21" si="25">D20/D16</f>
        <v>0.70211808324428326</v>
      </c>
      <c r="E21" s="115">
        <f t="shared" si="25"/>
        <v>0.7343590009301959</v>
      </c>
      <c r="F21" s="114">
        <f t="shared" si="25"/>
        <v>0.73299778634320956</v>
      </c>
      <c r="G21" s="114">
        <f t="shared" si="25"/>
        <v>0.74495878873470789</v>
      </c>
      <c r="H21" s="136">
        <f t="shared" si="25"/>
        <v>0.7306741992959217</v>
      </c>
      <c r="I21" s="114">
        <f t="shared" si="25"/>
        <v>0.75129469440035224</v>
      </c>
      <c r="J21" s="114">
        <f t="shared" si="25"/>
        <v>0.75810282596537037</v>
      </c>
      <c r="K21" s="114">
        <f t="shared" si="25"/>
        <v>0.76028043449325511</v>
      </c>
      <c r="L21" s="114">
        <f t="shared" si="25"/>
        <v>0.76139623018087499</v>
      </c>
      <c r="M21" s="136">
        <f t="shared" si="25"/>
        <v>0.75822452847790278</v>
      </c>
      <c r="N21" s="114">
        <f t="shared" si="25"/>
        <v>0.7722985949045712</v>
      </c>
      <c r="O21" s="115">
        <f t="shared" si="25"/>
        <v>0.78009211873080864</v>
      </c>
      <c r="P21" s="115">
        <f t="shared" si="25"/>
        <v>0.78821246665049716</v>
      </c>
      <c r="Q21" s="156">
        <f t="shared" si="25"/>
        <v>0.785894086915222</v>
      </c>
      <c r="R21" s="136">
        <f t="shared" si="25"/>
        <v>0.78202709156889538</v>
      </c>
      <c r="S21" s="157">
        <f t="shared" si="25"/>
        <v>0.76184293103075162</v>
      </c>
      <c r="T21" s="157">
        <f t="shared" si="25"/>
        <v>0.76600980664261265</v>
      </c>
      <c r="U21" s="157">
        <f t="shared" si="25"/>
        <v>0.76920887877063171</v>
      </c>
      <c r="V21" s="157">
        <f t="shared" si="25"/>
        <v>0.79742695437762701</v>
      </c>
      <c r="W21" s="136">
        <f t="shared" si="25"/>
        <v>0.77632468050280146</v>
      </c>
      <c r="X21" s="157">
        <f t="shared" si="25"/>
        <v>0.80323966205401465</v>
      </c>
      <c r="Y21" s="157">
        <f t="shared" si="25"/>
        <v>0.82306530649983045</v>
      </c>
      <c r="Z21" s="157">
        <f t="shared" si="25"/>
        <v>0.81079235975511288</v>
      </c>
      <c r="AA21" s="157">
        <f t="shared" si="25"/>
        <v>0.80357750750471946</v>
      </c>
      <c r="AB21" s="136">
        <f t="shared" si="25"/>
        <v>0.81018748111793237</v>
      </c>
      <c r="AC21" s="157">
        <f t="shared" si="25"/>
        <v>0.82231842075284389</v>
      </c>
      <c r="AD21" s="157">
        <f t="shared" si="25"/>
        <v>0.83318392566245436</v>
      </c>
      <c r="AE21" s="157">
        <f t="shared" si="25"/>
        <v>0.83999005110116221</v>
      </c>
      <c r="AF21" s="157">
        <f t="shared" si="25"/>
        <v>0.83724176086710511</v>
      </c>
      <c r="AG21" s="136">
        <f t="shared" si="25"/>
        <v>0.83373613107484756</v>
      </c>
      <c r="AH21" s="157">
        <f t="shared" si="25"/>
        <v>0.82473363459226401</v>
      </c>
      <c r="AI21" s="157">
        <f t="shared" si="25"/>
        <v>0.82114350286095328</v>
      </c>
      <c r="AJ21" s="157">
        <f t="shared" si="25"/>
        <v>0.83642631156443314</v>
      </c>
      <c r="AK21" s="157">
        <f t="shared" si="25"/>
        <v>0.80467536002843176</v>
      </c>
      <c r="AL21" s="136">
        <f t="shared" si="25"/>
        <v>0.82153349408275822</v>
      </c>
      <c r="AM21" s="157">
        <f t="shared" si="25"/>
        <v>0.81348911273210034</v>
      </c>
      <c r="AN21" s="157">
        <f t="shared" si="25"/>
        <v>0.80598634338290609</v>
      </c>
      <c r="AO21" s="157">
        <f t="shared" si="25"/>
        <v>0.80279850542637921</v>
      </c>
      <c r="AP21" s="157">
        <f t="shared" si="25"/>
        <v>0.79151820720584387</v>
      </c>
      <c r="AQ21" s="136">
        <f t="shared" si="25"/>
        <v>0.80328946779864197</v>
      </c>
      <c r="AR21" s="157">
        <f t="shared" si="25"/>
        <v>0.78664526226535869</v>
      </c>
      <c r="AS21" s="158">
        <v>0.84530000000000005</v>
      </c>
      <c r="AT21" s="158">
        <v>0.84</v>
      </c>
      <c r="AU21" s="158">
        <v>0.83299999999999996</v>
      </c>
      <c r="AV21" s="136">
        <f>AV20/AV16</f>
        <v>0.82900444236966342</v>
      </c>
      <c r="AW21" s="158">
        <v>0.85</v>
      </c>
      <c r="AX21" s="158">
        <v>0.85</v>
      </c>
      <c r="AY21" s="158">
        <v>0.84</v>
      </c>
      <c r="AZ21" s="158">
        <v>0.83</v>
      </c>
      <c r="BA21" s="136">
        <f>BA20/BA16</f>
        <v>0.84225920228859197</v>
      </c>
    </row>
    <row r="22" spans="1:53" x14ac:dyDescent="0.2">
      <c r="A22" s="28"/>
      <c r="B22" s="138"/>
      <c r="C22" s="126"/>
      <c r="D22" s="139"/>
      <c r="E22" s="140"/>
      <c r="F22" s="139"/>
      <c r="G22" s="139"/>
      <c r="H22" s="141"/>
      <c r="I22" s="139"/>
      <c r="J22" s="139"/>
      <c r="K22" s="139"/>
      <c r="L22" s="139"/>
      <c r="M22" s="141"/>
      <c r="N22" s="139"/>
      <c r="O22" s="140"/>
      <c r="P22" s="139"/>
      <c r="Q22" s="139"/>
      <c r="R22" s="141"/>
      <c r="S22" s="140"/>
      <c r="T22" s="140"/>
      <c r="U22" s="140"/>
      <c r="V22" s="140"/>
      <c r="W22" s="141"/>
      <c r="X22" s="140"/>
      <c r="Y22" s="139"/>
      <c r="Z22" s="139"/>
      <c r="AA22" s="139"/>
      <c r="AB22" s="141"/>
      <c r="AC22" s="140"/>
      <c r="AD22" s="139"/>
      <c r="AE22" s="139"/>
      <c r="AF22" s="139"/>
      <c r="AG22" s="141"/>
      <c r="AH22" s="140"/>
      <c r="AI22" s="140"/>
      <c r="AJ22" s="140"/>
      <c r="AK22" s="139"/>
      <c r="AL22" s="141"/>
      <c r="AM22" s="140"/>
      <c r="AN22" s="140"/>
      <c r="AO22" s="140"/>
      <c r="AP22" s="139"/>
      <c r="AQ22" s="141"/>
      <c r="AR22" s="140"/>
      <c r="AS22" s="140"/>
      <c r="AT22" s="140"/>
      <c r="AV22" s="141"/>
      <c r="AW22" s="140"/>
      <c r="AX22" s="140"/>
      <c r="AY22" s="140"/>
      <c r="BA22" s="141"/>
    </row>
    <row r="23" spans="1:53" x14ac:dyDescent="0.2">
      <c r="A23" s="28"/>
      <c r="B23" s="159" t="s">
        <v>81</v>
      </c>
      <c r="C23" s="126"/>
      <c r="D23" s="146"/>
      <c r="E23" s="142"/>
      <c r="F23" s="146"/>
      <c r="G23" s="146"/>
      <c r="H23" s="143"/>
      <c r="I23" s="146"/>
      <c r="J23" s="146"/>
      <c r="K23" s="146"/>
      <c r="L23" s="146"/>
      <c r="M23" s="143"/>
      <c r="N23" s="146"/>
      <c r="O23" s="142"/>
      <c r="P23" s="146"/>
      <c r="Q23" s="146"/>
      <c r="R23" s="143"/>
      <c r="S23" s="142"/>
      <c r="T23" s="142"/>
      <c r="U23" s="142"/>
      <c r="V23" s="142"/>
      <c r="W23" s="143"/>
      <c r="X23" s="142"/>
      <c r="Y23" s="146"/>
      <c r="Z23" s="146"/>
      <c r="AA23" s="146"/>
      <c r="AB23" s="143"/>
      <c r="AC23" s="142"/>
      <c r="AD23" s="146"/>
      <c r="AE23" s="146"/>
      <c r="AF23" s="146"/>
      <c r="AG23" s="143"/>
      <c r="AH23" s="142"/>
      <c r="AI23" s="142"/>
      <c r="AJ23" s="142"/>
      <c r="AK23" s="146"/>
      <c r="AL23" s="143"/>
      <c r="AM23" s="142"/>
      <c r="AN23" s="142"/>
      <c r="AO23" s="142"/>
      <c r="AP23" s="146"/>
      <c r="AQ23" s="143"/>
      <c r="AR23" s="142"/>
      <c r="AS23" s="142"/>
      <c r="AT23" s="142"/>
      <c r="AV23" s="143"/>
      <c r="AW23" s="142"/>
      <c r="AX23" s="142"/>
      <c r="AY23" s="142"/>
      <c r="BA23" s="143"/>
    </row>
    <row r="24" spans="1:53" x14ac:dyDescent="0.2">
      <c r="A24" s="105"/>
      <c r="B24" s="119"/>
      <c r="C24" s="126" t="s">
        <v>482</v>
      </c>
      <c r="D24" s="108">
        <v>4598.3354500000014</v>
      </c>
      <c r="E24" s="109">
        <v>4806.1978500000014</v>
      </c>
      <c r="F24" s="108">
        <v>5245.8858499999997</v>
      </c>
      <c r="G24" s="108">
        <v>5549.860529999999</v>
      </c>
      <c r="H24" s="110">
        <f>SUM(D24:G24)</f>
        <v>20200.27968</v>
      </c>
      <c r="I24" s="108">
        <v>6159.1792300000006</v>
      </c>
      <c r="J24" s="108">
        <v>6542</v>
      </c>
      <c r="K24" s="108">
        <v>8050</v>
      </c>
      <c r="L24" s="108">
        <v>9102</v>
      </c>
      <c r="M24" s="110">
        <f>SUM(I24:L24)</f>
        <v>29853.179230000002</v>
      </c>
      <c r="N24" s="108">
        <v>10942.97143</v>
      </c>
      <c r="O24" s="109">
        <f>12992-1084+74</f>
        <v>11982</v>
      </c>
      <c r="P24" s="108">
        <f>13969-1466+280</f>
        <v>12783</v>
      </c>
      <c r="Q24" s="108">
        <f>14929-2274+67</f>
        <v>12722</v>
      </c>
      <c r="R24" s="110">
        <f>SUM(N24:Q24)</f>
        <v>48429.971429999998</v>
      </c>
      <c r="S24" s="109">
        <f>15484-700</f>
        <v>14784</v>
      </c>
      <c r="T24" s="109">
        <f>17848-500</f>
        <v>17348</v>
      </c>
      <c r="U24" s="109">
        <v>18031</v>
      </c>
      <c r="V24" s="109">
        <v>22792</v>
      </c>
      <c r="W24" s="110">
        <f>SUM(S24:V24)</f>
        <v>72955</v>
      </c>
      <c r="X24" s="109">
        <f>42472-10560-582-588</f>
        <v>30742</v>
      </c>
      <c r="Y24" s="108">
        <f>51954-14280-659-577</f>
        <v>36438</v>
      </c>
      <c r="Z24" s="108">
        <f>60230-14998-581</f>
        <v>44651</v>
      </c>
      <c r="AA24" s="108">
        <f>66908-16681</f>
        <v>50227</v>
      </c>
      <c r="AB24" s="110">
        <f>SUM(X24:AA24)</f>
        <v>162058</v>
      </c>
      <c r="AC24" s="109">
        <v>53764</v>
      </c>
      <c r="AD24" s="109">
        <f>78910-27310</f>
        <v>51600</v>
      </c>
      <c r="AE24" s="109">
        <f>78761-23274</f>
        <v>55487</v>
      </c>
      <c r="AF24" s="109">
        <f>81841-23935</f>
        <v>57906</v>
      </c>
      <c r="AG24" s="110">
        <f>SUM(AC24:AF24)</f>
        <v>218757</v>
      </c>
      <c r="AH24" s="109">
        <f>89065-27887</f>
        <v>61178</v>
      </c>
      <c r="AI24" s="109">
        <f>86489-26550</f>
        <v>59939</v>
      </c>
      <c r="AJ24" s="108">
        <v>55532</v>
      </c>
      <c r="AK24" s="109">
        <v>54348</v>
      </c>
      <c r="AL24" s="110">
        <f>SUM(AH24:AK24)</f>
        <v>230997</v>
      </c>
      <c r="AM24" s="109">
        <v>54709</v>
      </c>
      <c r="AN24" s="109">
        <f>84784-29774</f>
        <v>55010</v>
      </c>
      <c r="AO24" s="108">
        <v>57987</v>
      </c>
      <c r="AP24" s="109">
        <v>62098</v>
      </c>
      <c r="AQ24" s="110">
        <f>SUM(AM24:AP24)</f>
        <v>229804</v>
      </c>
      <c r="AR24" s="109">
        <v>53860</v>
      </c>
      <c r="AS24" s="108">
        <f>AS9*AS25</f>
        <v>66185.961598282331</v>
      </c>
      <c r="AT24" s="108">
        <f>AT9*AT25</f>
        <v>64785.450544061823</v>
      </c>
      <c r="AU24" s="108">
        <f>AU9*AU25</f>
        <v>68621.239261205221</v>
      </c>
      <c r="AV24" s="110">
        <f>SUM(AR24:AU24)</f>
        <v>253452.65140354939</v>
      </c>
      <c r="AW24" s="108">
        <f>AW9*AW25</f>
        <v>72199.760113884127</v>
      </c>
      <c r="AX24" s="108">
        <f>AX9*AX25</f>
        <v>72173.110720627403</v>
      </c>
      <c r="AY24" s="108">
        <f>AY9*AY25</f>
        <v>71798.595372503871</v>
      </c>
      <c r="AZ24" s="108">
        <f>AZ9*AZ25</f>
        <v>77376.917885352625</v>
      </c>
      <c r="BA24" s="110">
        <f>SUM(AW24:AZ24)</f>
        <v>293548.38409236801</v>
      </c>
    </row>
    <row r="25" spans="1:53" s="160" customFormat="1" ht="13.35" customHeight="1" x14ac:dyDescent="0.2">
      <c r="A25" s="123"/>
      <c r="B25" s="124"/>
      <c r="C25" s="825" t="s">
        <v>479</v>
      </c>
      <c r="D25" s="115">
        <f t="shared" ref="D25:AR25" si="26">D24/D16</f>
        <v>0.35094752927265488</v>
      </c>
      <c r="E25" s="115">
        <f t="shared" si="26"/>
        <v>0.31696633180626993</v>
      </c>
      <c r="F25" s="115">
        <f t="shared" si="26"/>
        <v>0.30681813479565506</v>
      </c>
      <c r="G25" s="115">
        <f t="shared" si="26"/>
        <v>0.28459839527362057</v>
      </c>
      <c r="H25" s="116">
        <f t="shared" si="26"/>
        <v>0.31142452564083362</v>
      </c>
      <c r="I25" s="156">
        <f t="shared" si="26"/>
        <v>0.27466748299088278</v>
      </c>
      <c r="J25" s="156">
        <f t="shared" si="26"/>
        <v>0.25162844848696886</v>
      </c>
      <c r="K25" s="156">
        <f t="shared" si="26"/>
        <v>0.28501946147758023</v>
      </c>
      <c r="L25" s="156">
        <f t="shared" si="26"/>
        <v>0.28727136413937515</v>
      </c>
      <c r="M25" s="116">
        <f t="shared" si="26"/>
        <v>0.27552340404345255</v>
      </c>
      <c r="N25" s="156">
        <f t="shared" si="26"/>
        <v>0.31106120807366272</v>
      </c>
      <c r="O25" s="157">
        <f t="shared" si="26"/>
        <v>0.30660184237461618</v>
      </c>
      <c r="P25" s="157">
        <f t="shared" si="26"/>
        <v>0.31004123211253942</v>
      </c>
      <c r="Q25" s="157">
        <f t="shared" si="26"/>
        <v>0.30211351222987415</v>
      </c>
      <c r="R25" s="116">
        <f t="shared" si="26"/>
        <v>0.30729778770065203</v>
      </c>
      <c r="S25" s="157">
        <f t="shared" si="26"/>
        <v>0.31993767447899762</v>
      </c>
      <c r="T25" s="157">
        <f t="shared" si="26"/>
        <v>0.32099176612082525</v>
      </c>
      <c r="U25" s="157">
        <f t="shared" si="26"/>
        <v>0.30183467809434533</v>
      </c>
      <c r="V25" s="157">
        <f t="shared" si="26"/>
        <v>0.29118597728463197</v>
      </c>
      <c r="W25" s="116">
        <f t="shared" si="26"/>
        <v>0.3061926846158689</v>
      </c>
      <c r="X25" s="157">
        <f t="shared" si="26"/>
        <v>0.3114249245294487</v>
      </c>
      <c r="Y25" s="157">
        <f t="shared" si="26"/>
        <v>0.28075014639257867</v>
      </c>
      <c r="Z25" s="157">
        <f t="shared" si="26"/>
        <v>0.32777149736467343</v>
      </c>
      <c r="AA25" s="157">
        <f t="shared" si="26"/>
        <v>0.31087797480890045</v>
      </c>
      <c r="AB25" s="116">
        <f t="shared" si="26"/>
        <v>0.30792353308898274</v>
      </c>
      <c r="AC25" s="157">
        <f t="shared" si="26"/>
        <v>0.29165513911717955</v>
      </c>
      <c r="AD25" s="157">
        <f t="shared" si="26"/>
        <v>0.24869147797923716</v>
      </c>
      <c r="AE25" s="157">
        <f t="shared" si="26"/>
        <v>0.25092479536923984</v>
      </c>
      <c r="AF25" s="157">
        <f t="shared" si="26"/>
        <v>0.24270391932502608</v>
      </c>
      <c r="AG25" s="116">
        <f t="shared" si="26"/>
        <v>0.25689453510329474</v>
      </c>
      <c r="AH25" s="157">
        <f t="shared" si="26"/>
        <v>0.25362961734588119</v>
      </c>
      <c r="AI25" s="157">
        <f t="shared" si="26"/>
        <v>0.23933381515007526</v>
      </c>
      <c r="AJ25" s="157">
        <f t="shared" si="26"/>
        <v>0.21852324062268813</v>
      </c>
      <c r="AK25" s="157">
        <f t="shared" si="26"/>
        <v>0.20547991818308992</v>
      </c>
      <c r="AL25" s="116">
        <f t="shared" si="26"/>
        <v>0.22864922970934445</v>
      </c>
      <c r="AM25" s="157">
        <f t="shared" si="26"/>
        <v>0.19844462419610504</v>
      </c>
      <c r="AN25" s="157">
        <f t="shared" si="26"/>
        <v>0.19895405358486198</v>
      </c>
      <c r="AO25" s="157">
        <f t="shared" si="26"/>
        <v>0.21096845314540805</v>
      </c>
      <c r="AP25" s="157">
        <f t="shared" si="26"/>
        <v>0.21356839223562751</v>
      </c>
      <c r="AQ25" s="116">
        <f t="shared" si="26"/>
        <v>0.20558413326057201</v>
      </c>
      <c r="AR25" s="157">
        <f t="shared" si="26"/>
        <v>0.18050747199050879</v>
      </c>
      <c r="AS25" s="158">
        <v>0.16400000000000001</v>
      </c>
      <c r="AT25" s="158">
        <v>0.16300000000000001</v>
      </c>
      <c r="AU25" s="158">
        <v>0.16200000000000001</v>
      </c>
      <c r="AV25" s="116">
        <f>AV24/AV16</f>
        <v>0.16641686597149366</v>
      </c>
      <c r="AW25" s="158">
        <v>0.16500000000000001</v>
      </c>
      <c r="AX25" s="158">
        <v>0.16300000000000001</v>
      </c>
      <c r="AY25" s="158">
        <v>0.16300000000000001</v>
      </c>
      <c r="AZ25" s="158">
        <v>0.16300000000000001</v>
      </c>
      <c r="BA25" s="116">
        <f>BA24/BA16</f>
        <v>0.16348740098416081</v>
      </c>
    </row>
    <row r="26" spans="1:53" s="163" customFormat="1" ht="18.75" hidden="1" customHeight="1" outlineLevel="1" x14ac:dyDescent="0.2">
      <c r="A26" s="161"/>
      <c r="B26" s="162"/>
      <c r="C26" s="126" t="s">
        <v>418</v>
      </c>
      <c r="D26" s="146"/>
      <c r="E26" s="142"/>
      <c r="F26" s="146"/>
      <c r="G26" s="146"/>
      <c r="H26" s="110"/>
      <c r="I26" s="146"/>
      <c r="J26" s="146"/>
      <c r="K26" s="146"/>
      <c r="L26" s="146"/>
      <c r="M26" s="110"/>
      <c r="N26" s="146"/>
      <c r="O26" s="142"/>
      <c r="P26" s="146"/>
      <c r="Q26" s="146"/>
      <c r="R26" s="110"/>
      <c r="S26" s="142"/>
      <c r="T26" s="142"/>
      <c r="U26" s="142"/>
      <c r="V26" s="142"/>
      <c r="W26" s="110"/>
      <c r="X26" s="142">
        <f>AC26-23400</f>
        <v>15600</v>
      </c>
      <c r="Y26" s="142">
        <f>AE26-21500</f>
        <v>21500</v>
      </c>
      <c r="Z26" s="142">
        <f>AE26-18400</f>
        <v>24600</v>
      </c>
      <c r="AA26" s="142">
        <f>'Revenue Build'!AA54</f>
        <v>34400</v>
      </c>
      <c r="AB26" s="110">
        <f>AG26-78700</f>
        <v>96000</v>
      </c>
      <c r="AC26" s="142">
        <f>'Revenue Build'!AC54</f>
        <v>39000</v>
      </c>
      <c r="AD26" s="142">
        <f>'Revenue Build'!AD54</f>
        <v>44000</v>
      </c>
      <c r="AE26" s="142">
        <f>'Revenue Build'!AE54</f>
        <v>43000</v>
      </c>
      <c r="AF26" s="142">
        <f>'Revenue Build'!AF54</f>
        <v>48700</v>
      </c>
      <c r="AG26" s="110">
        <f>SUM(AC26:AF26)</f>
        <v>174700</v>
      </c>
      <c r="AH26" s="142">
        <f>'Revenue Build'!AH54</f>
        <v>51800</v>
      </c>
      <c r="AI26" s="142">
        <f>'Revenue Build'!AI54</f>
        <v>53700</v>
      </c>
      <c r="AJ26" s="142">
        <f>'Revenue Build'!AJ54</f>
        <v>53800</v>
      </c>
      <c r="AK26" s="142">
        <f>'Revenue Build'!AK54</f>
        <v>60500</v>
      </c>
      <c r="AL26" s="110">
        <f>SUM(AH26:AK26)</f>
        <v>219800</v>
      </c>
      <c r="AM26" s="142">
        <f>'Revenue Build'!AM54</f>
        <v>62100</v>
      </c>
      <c r="AN26" s="142">
        <f>'Revenue Build'!AN54</f>
        <v>64700</v>
      </c>
      <c r="AO26" s="142">
        <f>'Revenue Build'!AO54</f>
        <v>68400</v>
      </c>
      <c r="AP26" s="142">
        <f>'Revenue Build'!AP54</f>
        <v>76800</v>
      </c>
      <c r="AQ26" s="110">
        <f>SUM(AM26:AP26)</f>
        <v>272000</v>
      </c>
      <c r="AR26" s="142">
        <f>'Revenue Build'!AR54</f>
        <v>81300</v>
      </c>
      <c r="AS26" s="146"/>
      <c r="AT26" s="146"/>
      <c r="AU26" s="146"/>
      <c r="AV26" s="110">
        <f>SUM(AR26:AU26)</f>
        <v>81300</v>
      </c>
      <c r="AW26" s="146"/>
      <c r="AX26" s="146"/>
      <c r="AY26" s="146"/>
      <c r="AZ26" s="146"/>
      <c r="BA26" s="110">
        <f>SUM(AW26:AZ26)</f>
        <v>0</v>
      </c>
    </row>
    <row r="27" spans="1:53" s="160" customFormat="1" ht="13.35" hidden="1" customHeight="1" outlineLevel="1" x14ac:dyDescent="0.2">
      <c r="A27" s="123"/>
      <c r="B27" s="124"/>
      <c r="C27" s="825" t="s">
        <v>83</v>
      </c>
      <c r="D27" s="115"/>
      <c r="E27" s="115"/>
      <c r="F27" s="115"/>
      <c r="G27" s="115"/>
      <c r="H27" s="116"/>
      <c r="I27" s="156"/>
      <c r="J27" s="156"/>
      <c r="K27" s="156"/>
      <c r="L27" s="156"/>
      <c r="M27" s="116"/>
      <c r="N27" s="156"/>
      <c r="O27" s="157"/>
      <c r="P27" s="157"/>
      <c r="Q27" s="157"/>
      <c r="R27" s="116"/>
      <c r="S27" s="157"/>
      <c r="T27" s="157"/>
      <c r="U27" s="157"/>
      <c r="V27" s="157"/>
      <c r="W27" s="116"/>
      <c r="X27" s="157">
        <f t="shared" ref="X27:AR27" si="27">X26/X5</f>
        <v>0.13271400132714001</v>
      </c>
      <c r="Y27" s="157">
        <f t="shared" si="27"/>
        <v>0.13826366559485531</v>
      </c>
      <c r="Z27" s="157">
        <f t="shared" si="27"/>
        <v>0.1486404833836858</v>
      </c>
      <c r="AA27" s="157">
        <f t="shared" si="27"/>
        <v>0.17657324709988709</v>
      </c>
      <c r="AB27" s="116">
        <f t="shared" si="27"/>
        <v>0.15156299336911905</v>
      </c>
      <c r="AC27" s="157">
        <f t="shared" si="27"/>
        <v>0.18173345759552656</v>
      </c>
      <c r="AD27" s="157">
        <f t="shared" si="27"/>
        <v>0.19039376893119861</v>
      </c>
      <c r="AE27" s="157">
        <f t="shared" si="27"/>
        <v>0.1796157059314954</v>
      </c>
      <c r="AF27" s="157">
        <f t="shared" si="27"/>
        <v>0.18766136179723325</v>
      </c>
      <c r="AG27" s="116">
        <f t="shared" si="27"/>
        <v>0.18492447417726074</v>
      </c>
      <c r="AH27" s="157">
        <f t="shared" si="27"/>
        <v>0.19536701088473346</v>
      </c>
      <c r="AI27" s="157">
        <f t="shared" si="27"/>
        <v>0.19527840809914471</v>
      </c>
      <c r="AJ27" s="157">
        <f t="shared" si="27"/>
        <v>0.19125896748597554</v>
      </c>
      <c r="AK27" s="157">
        <f t="shared" si="27"/>
        <v>0.20079254976668237</v>
      </c>
      <c r="AL27" s="116">
        <f t="shared" si="27"/>
        <v>0.19577210630478814</v>
      </c>
      <c r="AM27" s="157">
        <f t="shared" si="27"/>
        <v>0.19717853706861241</v>
      </c>
      <c r="AN27" s="157">
        <f t="shared" si="27"/>
        <v>0.20243041649979976</v>
      </c>
      <c r="AO27" s="157">
        <f t="shared" si="27"/>
        <v>0.21355846475192561</v>
      </c>
      <c r="AP27" s="157">
        <f t="shared" si="27"/>
        <v>0.22199932359581093</v>
      </c>
      <c r="AQ27" s="116">
        <f t="shared" si="27"/>
        <v>0.20910321626884523</v>
      </c>
      <c r="AR27" s="157">
        <f t="shared" si="27"/>
        <v>0.22706896696188425</v>
      </c>
      <c r="AS27" s="158"/>
      <c r="AT27" s="158"/>
      <c r="AU27" s="158"/>
      <c r="AV27" s="116">
        <f>AV26/AV5</f>
        <v>5.502877234905916E-2</v>
      </c>
      <c r="AW27" s="158"/>
      <c r="AX27" s="158"/>
      <c r="AY27" s="158"/>
      <c r="AZ27" s="158"/>
      <c r="BA27" s="188">
        <f>BA26/BA5</f>
        <v>0</v>
      </c>
    </row>
    <row r="28" spans="1:53" s="163" customFormat="1" outlineLevel="1" x14ac:dyDescent="0.2">
      <c r="A28" s="161"/>
      <c r="B28" s="162"/>
      <c r="C28" s="126" t="s">
        <v>481</v>
      </c>
      <c r="D28" s="142">
        <f>D30-D26</f>
        <v>4279.0769900000005</v>
      </c>
      <c r="E28" s="142">
        <f>E30-E26</f>
        <v>4654.7802300000003</v>
      </c>
      <c r="F28" s="142">
        <f>F30-F26</f>
        <v>4808.8669599999994</v>
      </c>
      <c r="G28" s="142">
        <f>G30-G26</f>
        <v>6245.3871999999992</v>
      </c>
      <c r="H28" s="110">
        <f>SUM(D28:G28)</f>
        <v>19988.111380000002</v>
      </c>
      <c r="I28" s="142">
        <f>I30-I26</f>
        <v>5763.5564899999999</v>
      </c>
      <c r="J28" s="142">
        <f>J30-J26</f>
        <v>7226.2048299999997</v>
      </c>
      <c r="K28" s="142">
        <f>K30-K26</f>
        <v>7414</v>
      </c>
      <c r="L28" s="142">
        <f>L30-L26</f>
        <v>10155.766509999999</v>
      </c>
      <c r="M28" s="110">
        <f>SUM(I28:L28)</f>
        <v>30559.527829999999</v>
      </c>
      <c r="N28" s="142">
        <f>N30-N26</f>
        <v>10344.748629999998</v>
      </c>
      <c r="O28" s="142">
        <f>O30-O26</f>
        <v>11679</v>
      </c>
      <c r="P28" s="142">
        <f>P30-P26</f>
        <v>11541</v>
      </c>
      <c r="Q28" s="142">
        <f>Q30-Q26</f>
        <v>11968</v>
      </c>
      <c r="R28" s="110">
        <f>SUM(N28:Q28)</f>
        <v>45532.748630000002</v>
      </c>
      <c r="S28" s="142">
        <f>S30-S26</f>
        <v>10840</v>
      </c>
      <c r="T28" s="142">
        <f>T30-T26</f>
        <v>11592</v>
      </c>
      <c r="U28" s="142">
        <f>U30-U26</f>
        <v>13156</v>
      </c>
      <c r="V28" s="142">
        <f>V30-V26</f>
        <v>22254</v>
      </c>
      <c r="W28" s="110">
        <f>SUM(S28:V28)</f>
        <v>57842</v>
      </c>
      <c r="X28" s="142">
        <f>X30-X26</f>
        <v>29719</v>
      </c>
      <c r="Y28" s="142">
        <f>Y30-Y26</f>
        <v>37070</v>
      </c>
      <c r="Z28" s="142">
        <f>Z30-Z26</f>
        <v>38363</v>
      </c>
      <c r="AA28" s="142">
        <f>AA30-AA26</f>
        <v>44533</v>
      </c>
      <c r="AB28" s="110">
        <f>SUM(X28:AA28)</f>
        <v>149685</v>
      </c>
      <c r="AC28" s="142">
        <f>AC30-AC26</f>
        <v>49441</v>
      </c>
      <c r="AD28" s="142">
        <f>AD30-AD26</f>
        <v>50865</v>
      </c>
      <c r="AE28" s="142">
        <f>AE30-AE26</f>
        <v>53748</v>
      </c>
      <c r="AF28" s="142">
        <f>AF30-AF26</f>
        <v>54697</v>
      </c>
      <c r="AG28" s="110">
        <f>SUM(AC28:AF28)</f>
        <v>208751</v>
      </c>
      <c r="AH28" s="142">
        <f>AH30-AH26</f>
        <v>52516</v>
      </c>
      <c r="AI28" s="142">
        <f>AI30-AI26</f>
        <v>51596</v>
      </c>
      <c r="AJ28" s="142">
        <f>AJ30-AJ26</f>
        <v>52888</v>
      </c>
      <c r="AK28" s="142">
        <f>AK30-AK26</f>
        <v>51667</v>
      </c>
      <c r="AL28" s="110">
        <f>SUM(AH28:AK28)</f>
        <v>208667</v>
      </c>
      <c r="AM28" s="142">
        <f>AM30-AM26</f>
        <v>53328</v>
      </c>
      <c r="AN28" s="142">
        <f>AN30-AN26</f>
        <v>57178</v>
      </c>
      <c r="AO28" s="142">
        <f>AO30-AO26</f>
        <v>58489</v>
      </c>
      <c r="AP28" s="142">
        <f>AP30-AP26</f>
        <v>61916</v>
      </c>
      <c r="AQ28" s="110">
        <f>SUM(AM28:AP28)</f>
        <v>230911</v>
      </c>
      <c r="AR28" s="142">
        <f>AR30-AR26</f>
        <v>58115</v>
      </c>
      <c r="AS28" s="142"/>
      <c r="AT28" s="142"/>
      <c r="AU28" s="142"/>
      <c r="AV28" s="110">
        <f>SUM(AR28:AU28)</f>
        <v>58115</v>
      </c>
      <c r="AW28" s="146"/>
      <c r="AX28" s="146"/>
      <c r="AY28" s="146"/>
      <c r="AZ28" s="146"/>
      <c r="BA28" s="110">
        <f>SUM(AW28:AZ28)</f>
        <v>0</v>
      </c>
    </row>
    <row r="29" spans="1:53" s="824" customFormat="1" ht="13.35" customHeight="1" outlineLevel="1" x14ac:dyDescent="0.2">
      <c r="A29" s="822"/>
      <c r="B29" s="823"/>
      <c r="C29" s="825" t="s">
        <v>479</v>
      </c>
      <c r="D29" s="829">
        <f t="shared" ref="D29:AR29" si="28">D28/D16</f>
        <v>0.32658154533027134</v>
      </c>
      <c r="E29" s="829">
        <f t="shared" si="28"/>
        <v>0.30698041589516445</v>
      </c>
      <c r="F29" s="829">
        <f t="shared" si="28"/>
        <v>0.28125804360528583</v>
      </c>
      <c r="G29" s="829">
        <f t="shared" si="28"/>
        <v>0.32026519682331739</v>
      </c>
      <c r="H29" s="827">
        <f t="shared" si="28"/>
        <v>0.30815356042499353</v>
      </c>
      <c r="I29" s="829">
        <f t="shared" si="28"/>
        <v>0.25702475850569895</v>
      </c>
      <c r="J29" s="829">
        <f t="shared" si="28"/>
        <v>0.2779453851760838</v>
      </c>
      <c r="K29" s="829">
        <f t="shared" si="28"/>
        <v>0.26250115371363725</v>
      </c>
      <c r="L29" s="829">
        <f t="shared" si="28"/>
        <v>0.32052965273661621</v>
      </c>
      <c r="M29" s="827">
        <f t="shared" si="28"/>
        <v>0.28204249432907796</v>
      </c>
      <c r="N29" s="829">
        <f t="shared" si="28"/>
        <v>0.29405632890939271</v>
      </c>
      <c r="O29" s="829">
        <f t="shared" si="28"/>
        <v>0.29884851586489253</v>
      </c>
      <c r="P29" s="829">
        <f t="shared" si="28"/>
        <v>0.27991753577492118</v>
      </c>
      <c r="Q29" s="829">
        <f t="shared" si="28"/>
        <v>0.28420802659700783</v>
      </c>
      <c r="R29" s="827">
        <f t="shared" si="28"/>
        <v>0.2889143335992444</v>
      </c>
      <c r="S29" s="829">
        <f t="shared" si="28"/>
        <v>0.23458633599515247</v>
      </c>
      <c r="T29" s="829">
        <f t="shared" si="28"/>
        <v>0.2144879267277269</v>
      </c>
      <c r="U29" s="829">
        <f t="shared" si="28"/>
        <v>0.22022833037597508</v>
      </c>
      <c r="V29" s="829">
        <f t="shared" si="28"/>
        <v>0.2843125982139435</v>
      </c>
      <c r="W29" s="827">
        <f t="shared" si="28"/>
        <v>0.24276330976014102</v>
      </c>
      <c r="X29" s="829">
        <f t="shared" si="28"/>
        <v>0.30106165285572462</v>
      </c>
      <c r="Y29" s="829">
        <f t="shared" si="28"/>
        <v>0.28561962585138839</v>
      </c>
      <c r="Z29" s="829">
        <f t="shared" si="28"/>
        <v>0.28161290796176941</v>
      </c>
      <c r="AA29" s="829">
        <f t="shared" si="28"/>
        <v>0.27563519326586822</v>
      </c>
      <c r="AB29" s="827">
        <f t="shared" si="28"/>
        <v>0.28441381511819464</v>
      </c>
      <c r="AC29" s="829">
        <f t="shared" si="28"/>
        <v>0.26820403491355693</v>
      </c>
      <c r="AD29" s="829">
        <f t="shared" si="28"/>
        <v>0.24514907029871896</v>
      </c>
      <c r="AE29" s="829">
        <f t="shared" si="28"/>
        <v>0.24306064306064307</v>
      </c>
      <c r="AF29" s="829">
        <f t="shared" si="28"/>
        <v>0.22925389899701157</v>
      </c>
      <c r="AG29" s="827">
        <f t="shared" si="28"/>
        <v>0.24514411469049163</v>
      </c>
      <c r="AH29" s="829">
        <f t="shared" si="28"/>
        <v>0.21771900004145764</v>
      </c>
      <c r="AI29" s="829">
        <f t="shared" si="28"/>
        <v>0.20602057969741377</v>
      </c>
      <c r="AJ29" s="829">
        <f t="shared" si="28"/>
        <v>0.20811887110229652</v>
      </c>
      <c r="AK29" s="829">
        <f t="shared" si="28"/>
        <v>0.19534354406354801</v>
      </c>
      <c r="AL29" s="827">
        <f t="shared" si="28"/>
        <v>0.20654618378489667</v>
      </c>
      <c r="AM29" s="829">
        <f t="shared" si="28"/>
        <v>0.19343535650678845</v>
      </c>
      <c r="AN29" s="829">
        <f t="shared" si="28"/>
        <v>0.20679503500954804</v>
      </c>
      <c r="AO29" s="829">
        <f t="shared" si="28"/>
        <v>0.21279483084177092</v>
      </c>
      <c r="AP29" s="829">
        <f t="shared" si="28"/>
        <v>0.21294245504945591</v>
      </c>
      <c r="AQ29" s="827">
        <f t="shared" si="28"/>
        <v>0.20657446256519443</v>
      </c>
      <c r="AR29" s="829">
        <f t="shared" si="28"/>
        <v>0.19476776336294871</v>
      </c>
      <c r="AS29" s="830"/>
      <c r="AT29" s="830"/>
      <c r="AU29" s="830"/>
      <c r="AV29" s="827">
        <f>AV28/AV16</f>
        <v>3.8158275766208519E-2</v>
      </c>
      <c r="AW29" s="830"/>
      <c r="AX29" s="830"/>
      <c r="AY29" s="830"/>
      <c r="AZ29" s="830"/>
      <c r="BA29" s="827">
        <f>BA28/BA8</f>
        <v>0</v>
      </c>
    </row>
    <row r="30" spans="1:53" hidden="1" x14ac:dyDescent="0.2">
      <c r="A30" s="28"/>
      <c r="B30" s="138"/>
      <c r="C30" s="126" t="s">
        <v>84</v>
      </c>
      <c r="D30" s="146">
        <v>4279.0769900000005</v>
      </c>
      <c r="E30" s="142">
        <v>4654.7802300000003</v>
      </c>
      <c r="F30" s="146">
        <v>4808.8669599999994</v>
      </c>
      <c r="G30" s="146">
        <v>6245.3871999999992</v>
      </c>
      <c r="H30" s="143">
        <f>SUM(D30:G30)</f>
        <v>19988.111380000002</v>
      </c>
      <c r="I30" s="146">
        <v>5763.5564899999999</v>
      </c>
      <c r="J30" s="146">
        <v>7226.2048299999997</v>
      </c>
      <c r="K30" s="146">
        <v>7414</v>
      </c>
      <c r="L30" s="146">
        <v>10155.766509999999</v>
      </c>
      <c r="M30" s="143">
        <f>SUM(I30:L30)</f>
        <v>30559.527829999999</v>
      </c>
      <c r="N30" s="146">
        <v>10344.748629999998</v>
      </c>
      <c r="O30" s="142">
        <f>11491-494+682</f>
        <v>11679</v>
      </c>
      <c r="P30" s="146">
        <f>11802-767+506</f>
        <v>11541</v>
      </c>
      <c r="Q30" s="146">
        <f>11796-1134+1306</f>
        <v>11968</v>
      </c>
      <c r="R30" s="143">
        <f>SUM(N30:Q30)</f>
        <v>45532.748630000002</v>
      </c>
      <c r="S30" s="142">
        <f>11940-1100</f>
        <v>10840</v>
      </c>
      <c r="T30" s="142">
        <f>12592-1000</f>
        <v>11592</v>
      </c>
      <c r="U30" s="142">
        <v>13156</v>
      </c>
      <c r="V30" s="142">
        <v>22254</v>
      </c>
      <c r="W30" s="143">
        <f>SUM(S30:V30)</f>
        <v>57842</v>
      </c>
      <c r="X30" s="142">
        <f>62312-8114-195-8271-413</f>
        <v>45319</v>
      </c>
      <c r="Y30" s="146">
        <f>80817-10483-11039-288-437</f>
        <v>58570</v>
      </c>
      <c r="Z30" s="146">
        <f>92065-18179-10484-439</f>
        <v>62963</v>
      </c>
      <c r="AA30" s="146">
        <f>102484-23551</f>
        <v>78933</v>
      </c>
      <c r="AB30" s="143">
        <f>SUM(X30:AA30)</f>
        <v>245785</v>
      </c>
      <c r="AC30" s="142">
        <v>88441</v>
      </c>
      <c r="AD30" s="142">
        <f>164683-69818</f>
        <v>94865</v>
      </c>
      <c r="AE30" s="142">
        <f>115350-18602</f>
        <v>96748</v>
      </c>
      <c r="AF30" s="142">
        <f>117199-13802</f>
        <v>103397</v>
      </c>
      <c r="AG30" s="143">
        <f>SUM(AC30:AF30)</f>
        <v>383451</v>
      </c>
      <c r="AH30" s="142">
        <f>118398-14082</f>
        <v>104316</v>
      </c>
      <c r="AI30" s="142">
        <f>118305-13009</f>
        <v>105296</v>
      </c>
      <c r="AJ30" s="146">
        <v>106688</v>
      </c>
      <c r="AK30" s="142">
        <v>112167</v>
      </c>
      <c r="AL30" s="143">
        <f>SUM(AH30:AK30)</f>
        <v>428467</v>
      </c>
      <c r="AM30" s="142">
        <v>115428</v>
      </c>
      <c r="AN30" s="142">
        <f>132534-10656</f>
        <v>121878</v>
      </c>
      <c r="AO30" s="146">
        <v>126889</v>
      </c>
      <c r="AP30" s="142">
        <v>138716</v>
      </c>
      <c r="AQ30" s="143">
        <f>SUM(AM30:AP30)</f>
        <v>502911</v>
      </c>
      <c r="AR30" s="142">
        <v>139415</v>
      </c>
      <c r="AS30" s="146">
        <f>AS9*AS31</f>
        <v>137214.79843546337</v>
      </c>
      <c r="AT30" s="146">
        <f>AT9*AT31</f>
        <v>133148.0118543602</v>
      </c>
      <c r="AU30" s="146">
        <f>AU9*AU31</f>
        <v>141478.3574891515</v>
      </c>
      <c r="AV30" s="143">
        <f>SUM(AR30:AU30)</f>
        <v>551256.1677789751</v>
      </c>
      <c r="AW30" s="146">
        <f>AW9*AW31</f>
        <v>157964.32364310403</v>
      </c>
      <c r="AX30" s="146">
        <f>AX9*AX31</f>
        <v>150545.13892646207</v>
      </c>
      <c r="AY30" s="146">
        <f>AY9*AY31</f>
        <v>147561.53036680244</v>
      </c>
      <c r="AZ30" s="146">
        <f>AZ9*AZ31</f>
        <v>159026.18093001918</v>
      </c>
      <c r="BA30" s="143">
        <f>SUM(AW30:AZ30)</f>
        <v>615097.17386638769</v>
      </c>
    </row>
    <row r="31" spans="1:53" s="160" customFormat="1" ht="12.75" hidden="1" customHeight="1" x14ac:dyDescent="0.2">
      <c r="A31" s="123"/>
      <c r="B31" s="124"/>
      <c r="C31" s="825" t="s">
        <v>83</v>
      </c>
      <c r="D31" s="115">
        <f t="shared" ref="D31:AR31" si="29">D30/D9</f>
        <v>0.32658154533027134</v>
      </c>
      <c r="E31" s="115">
        <f t="shared" si="29"/>
        <v>0.30698041589516445</v>
      </c>
      <c r="F31" s="115">
        <f t="shared" si="29"/>
        <v>0.28125804360528583</v>
      </c>
      <c r="G31" s="115">
        <f t="shared" si="29"/>
        <v>0.32026519682331739</v>
      </c>
      <c r="H31" s="116">
        <f t="shared" si="29"/>
        <v>0.30815356042499353</v>
      </c>
      <c r="I31" s="156">
        <f t="shared" si="29"/>
        <v>0.25702475850569895</v>
      </c>
      <c r="J31" s="156">
        <f t="shared" si="29"/>
        <v>0.2779453851760838</v>
      </c>
      <c r="K31" s="156">
        <f t="shared" si="29"/>
        <v>0.26250115371363725</v>
      </c>
      <c r="L31" s="156">
        <f t="shared" si="29"/>
        <v>0.32052965273661621</v>
      </c>
      <c r="M31" s="116">
        <f t="shared" si="29"/>
        <v>0.28204249432907791</v>
      </c>
      <c r="N31" s="156">
        <f t="shared" si="29"/>
        <v>0.29405632890939271</v>
      </c>
      <c r="O31" s="157">
        <f t="shared" si="29"/>
        <v>0.29884851586489253</v>
      </c>
      <c r="P31" s="157">
        <f t="shared" si="29"/>
        <v>0.27991753577492118</v>
      </c>
      <c r="Q31" s="157">
        <f t="shared" si="29"/>
        <v>0.28420802659700783</v>
      </c>
      <c r="R31" s="116">
        <f t="shared" si="29"/>
        <v>0.2889143335992444</v>
      </c>
      <c r="S31" s="157">
        <f t="shared" si="29"/>
        <v>0.23458633599515247</v>
      </c>
      <c r="T31" s="157">
        <f t="shared" si="29"/>
        <v>0.2144879267277269</v>
      </c>
      <c r="U31" s="157">
        <f t="shared" si="29"/>
        <v>0.22022833037597508</v>
      </c>
      <c r="V31" s="157">
        <f t="shared" si="29"/>
        <v>0.2843125982139435</v>
      </c>
      <c r="W31" s="116">
        <f t="shared" si="29"/>
        <v>0.24276330976014102</v>
      </c>
      <c r="X31" s="157">
        <f t="shared" si="29"/>
        <v>0.38292676744205695</v>
      </c>
      <c r="Y31" s="157">
        <f t="shared" si="29"/>
        <v>0.37430181878602742</v>
      </c>
      <c r="Z31" s="157">
        <f t="shared" si="29"/>
        <v>0.37722498816734668</v>
      </c>
      <c r="AA31" s="157">
        <f t="shared" si="29"/>
        <v>0.39422937653892448</v>
      </c>
      <c r="AB31" s="116">
        <f t="shared" si="29"/>
        <v>0.3828671301438254</v>
      </c>
      <c r="AC31" s="157">
        <f t="shared" si="29"/>
        <v>0.3846531897496564</v>
      </c>
      <c r="AD31" s="157">
        <f t="shared" si="29"/>
        <v>0.36485696483927293</v>
      </c>
      <c r="AE31" s="157">
        <f t="shared" si="29"/>
        <v>0.35496688741721855</v>
      </c>
      <c r="AF31" s="157">
        <f t="shared" si="29"/>
        <v>0.34933425230503101</v>
      </c>
      <c r="AG31" s="116">
        <f t="shared" si="29"/>
        <v>0.36226980881802756</v>
      </c>
      <c r="AH31" s="157">
        <f t="shared" si="29"/>
        <v>0.34203649359804583</v>
      </c>
      <c r="AI31" s="157">
        <f t="shared" si="29"/>
        <v>0.33060487605770889</v>
      </c>
      <c r="AJ31" s="157">
        <f t="shared" si="29"/>
        <v>0.33027477494211027</v>
      </c>
      <c r="AK31" s="157">
        <f t="shared" si="29"/>
        <v>0.32638470603640174</v>
      </c>
      <c r="AL31" s="116">
        <f t="shared" si="29"/>
        <v>0.33210042374162224</v>
      </c>
      <c r="AM31" s="157">
        <f t="shared" si="29"/>
        <v>0.32201980750453341</v>
      </c>
      <c r="AN31" s="157">
        <f t="shared" si="29"/>
        <v>0.33616509540647738</v>
      </c>
      <c r="AO31" s="157">
        <f t="shared" si="29"/>
        <v>0.35423471410305801</v>
      </c>
      <c r="AP31" s="157">
        <f t="shared" si="29"/>
        <v>0.36185303731064905</v>
      </c>
      <c r="AQ31" s="116">
        <f t="shared" si="29"/>
        <v>0.34385689739695974</v>
      </c>
      <c r="AR31" s="157">
        <f t="shared" si="29"/>
        <v>0.35225644744388884</v>
      </c>
      <c r="AS31" s="158">
        <v>0.34</v>
      </c>
      <c r="AT31" s="158">
        <v>0.33500000000000002</v>
      </c>
      <c r="AU31" s="158">
        <v>0.33400000000000002</v>
      </c>
      <c r="AV31" s="116">
        <f>AV30/AV9</f>
        <v>0.34019872249876998</v>
      </c>
      <c r="AW31" s="158">
        <v>0.36099999999999999</v>
      </c>
      <c r="AX31" s="158">
        <v>0.34</v>
      </c>
      <c r="AY31" s="158">
        <v>0.33500000000000002</v>
      </c>
      <c r="AZ31" s="158">
        <v>0.33500000000000002</v>
      </c>
      <c r="BA31" s="116">
        <f>BA30/BA9</f>
        <v>0.34256921092938386</v>
      </c>
    </row>
    <row r="32" spans="1:53" s="163" customFormat="1" ht="18.75" hidden="1" customHeight="1" outlineLevel="1" x14ac:dyDescent="0.2">
      <c r="A32" s="161"/>
      <c r="B32" s="162"/>
      <c r="C32" s="126" t="s">
        <v>473</v>
      </c>
      <c r="D32" s="146"/>
      <c r="E32" s="142"/>
      <c r="F32" s="146"/>
      <c r="G32" s="146"/>
      <c r="H32" s="110"/>
      <c r="I32" s="146"/>
      <c r="J32" s="146"/>
      <c r="K32" s="146"/>
      <c r="L32" s="146"/>
      <c r="M32" s="110"/>
      <c r="N32" s="146"/>
      <c r="O32" s="142"/>
      <c r="P32" s="146"/>
      <c r="Q32" s="146"/>
      <c r="R32" s="110"/>
      <c r="S32" s="142"/>
      <c r="T32" s="142"/>
      <c r="U32" s="142"/>
      <c r="V32" s="142"/>
      <c r="W32" s="110"/>
      <c r="X32" s="142">
        <v>4035</v>
      </c>
      <c r="Y32" s="146">
        <v>5190</v>
      </c>
      <c r="Z32" s="146">
        <v>6085</v>
      </c>
      <c r="AA32" s="146">
        <f>19566-SUM(X32:Z32)</f>
        <v>4256</v>
      </c>
      <c r="AB32" s="110">
        <f>SUM(X32:AA32)</f>
        <v>19566</v>
      </c>
      <c r="AC32" s="142">
        <v>6583</v>
      </c>
      <c r="AD32" s="142">
        <v>8520</v>
      </c>
      <c r="AE32" s="142">
        <v>8425</v>
      </c>
      <c r="AF32" s="142">
        <f>32224-SUM(AC32:AE32)</f>
        <v>8696</v>
      </c>
      <c r="AG32" s="110">
        <f>SUM(AC32:AF32)</f>
        <v>32224</v>
      </c>
      <c r="AH32" s="142">
        <v>11975</v>
      </c>
      <c r="AI32" s="142">
        <v>14354</v>
      </c>
      <c r="AJ32" s="146">
        <v>15104</v>
      </c>
      <c r="AK32" s="142">
        <f>60105-SUM(AH32:AJ32)</f>
        <v>18672</v>
      </c>
      <c r="AL32" s="110">
        <f>SUM(AH32:AK32)</f>
        <v>60105</v>
      </c>
      <c r="AM32" s="142">
        <v>20661</v>
      </c>
      <c r="AN32" s="142">
        <v>21358</v>
      </c>
      <c r="AO32" s="146">
        <v>14945</v>
      </c>
      <c r="AP32" s="142">
        <v>15785</v>
      </c>
      <c r="AQ32" s="110">
        <f>SUM(AM32:AP32)</f>
        <v>72749</v>
      </c>
      <c r="AR32" s="142">
        <v>16096</v>
      </c>
      <c r="AS32" s="146"/>
      <c r="AT32" s="146"/>
      <c r="AU32" s="146"/>
      <c r="AV32" s="110">
        <f>SUM(AR32:AU32)</f>
        <v>16096</v>
      </c>
      <c r="AW32" s="146"/>
      <c r="AX32" s="146"/>
      <c r="AY32" s="146"/>
      <c r="AZ32" s="146"/>
      <c r="BA32" s="110">
        <f>SUM(AW32:AZ32)</f>
        <v>0</v>
      </c>
    </row>
    <row r="33" spans="1:53" s="160" customFormat="1" ht="13.35" hidden="1" customHeight="1" outlineLevel="1" x14ac:dyDescent="0.2">
      <c r="A33" s="123"/>
      <c r="B33" s="124"/>
      <c r="C33" s="825" t="s">
        <v>83</v>
      </c>
      <c r="D33" s="115"/>
      <c r="E33" s="115"/>
      <c r="F33" s="115"/>
      <c r="G33" s="115"/>
      <c r="H33" s="116"/>
      <c r="I33" s="156"/>
      <c r="J33" s="156"/>
      <c r="K33" s="156"/>
      <c r="L33" s="156"/>
      <c r="M33" s="116"/>
      <c r="N33" s="156"/>
      <c r="O33" s="157"/>
      <c r="P33" s="157"/>
      <c r="Q33" s="157"/>
      <c r="R33" s="116"/>
      <c r="S33" s="157"/>
      <c r="T33" s="157"/>
      <c r="U33" s="157"/>
      <c r="V33" s="157"/>
      <c r="W33" s="116"/>
      <c r="X33" s="157">
        <f t="shared" ref="X33:AR33" si="30">X32/X9</f>
        <v>3.4094077685489527E-2</v>
      </c>
      <c r="Y33" s="157">
        <f t="shared" si="30"/>
        <v>3.316760183540178E-2</v>
      </c>
      <c r="Z33" s="157">
        <f t="shared" si="30"/>
        <v>3.6456554690823255E-2</v>
      </c>
      <c r="AA33" s="157">
        <f t="shared" si="30"/>
        <v>2.125651155473202E-2</v>
      </c>
      <c r="AB33" s="116">
        <f t="shared" si="30"/>
        <v>3.0478581965514933E-2</v>
      </c>
      <c r="AC33" s="157">
        <f t="shared" si="30"/>
        <v>2.863119987474122E-2</v>
      </c>
      <c r="AD33" s="157">
        <f t="shared" si="30"/>
        <v>3.2768474573663685E-2</v>
      </c>
      <c r="AE33" s="157">
        <f t="shared" si="30"/>
        <v>3.0911192236429345E-2</v>
      </c>
      <c r="AF33" s="157">
        <f t="shared" si="30"/>
        <v>2.9380065747019256E-2</v>
      </c>
      <c r="AG33" s="116">
        <f t="shared" si="30"/>
        <v>3.0444000196510428E-2</v>
      </c>
      <c r="AH33" s="157">
        <f t="shared" si="30"/>
        <v>3.9264226109480792E-2</v>
      </c>
      <c r="AI33" s="157">
        <f t="shared" si="30"/>
        <v>4.506821143189061E-2</v>
      </c>
      <c r="AJ33" s="157">
        <f t="shared" si="30"/>
        <v>4.6757556620478723E-2</v>
      </c>
      <c r="AK33" s="157">
        <f t="shared" si="30"/>
        <v>5.4331980271485315E-2</v>
      </c>
      <c r="AL33" s="116">
        <f t="shared" si="30"/>
        <v>4.6586775571958179E-2</v>
      </c>
      <c r="AM33" s="157">
        <f t="shared" si="30"/>
        <v>5.7639838192216485E-2</v>
      </c>
      <c r="AN33" s="157">
        <f t="shared" si="30"/>
        <v>5.8909845154101186E-2</v>
      </c>
      <c r="AO33" s="157">
        <f t="shared" si="30"/>
        <v>4.1721802538204275E-2</v>
      </c>
      <c r="AP33" s="157">
        <f t="shared" si="30"/>
        <v>4.1176578000725189E-2</v>
      </c>
      <c r="AQ33" s="116">
        <f t="shared" si="30"/>
        <v>4.9740899341496649E-2</v>
      </c>
      <c r="AR33" s="157">
        <f t="shared" si="30"/>
        <v>4.0669366840417713E-2</v>
      </c>
      <c r="AS33" s="158"/>
      <c r="AT33" s="158"/>
      <c r="AU33" s="158"/>
      <c r="AV33" s="116">
        <f>AV32/AV9</f>
        <v>9.9333829849060779E-3</v>
      </c>
      <c r="AW33" s="158"/>
      <c r="AX33" s="158"/>
      <c r="AY33" s="158"/>
      <c r="AZ33" s="158"/>
      <c r="BA33" s="188">
        <f>BA32/BA9</f>
        <v>0</v>
      </c>
    </row>
    <row r="34" spans="1:53" s="163" customFormat="1" outlineLevel="1" x14ac:dyDescent="0.2">
      <c r="A34" s="161"/>
      <c r="B34" s="162"/>
      <c r="C34" s="126" t="s">
        <v>483</v>
      </c>
      <c r="D34" s="142">
        <f>D36-D32</f>
        <v>3199.5839799999999</v>
      </c>
      <c r="E34" s="142">
        <f>E36-E32</f>
        <v>3278.0349700000002</v>
      </c>
      <c r="F34" s="142">
        <f>F36-F32</f>
        <v>4268.4498200000007</v>
      </c>
      <c r="G34" s="142">
        <f>G36-G32</f>
        <v>4436.5702999999994</v>
      </c>
      <c r="H34" s="110">
        <f>SUM(D34:G34)</f>
        <v>15182.639070000001</v>
      </c>
      <c r="I34" s="142">
        <f>I36-I32</f>
        <v>5698.7927500000005</v>
      </c>
      <c r="J34" s="142">
        <f>J36-J32</f>
        <v>6010</v>
      </c>
      <c r="K34" s="142">
        <f>K36-K32</f>
        <v>7117</v>
      </c>
      <c r="L34" s="142">
        <f>L36-L32</f>
        <v>8048</v>
      </c>
      <c r="M34" s="110">
        <f>SUM(I34:L34)</f>
        <v>26873.792750000001</v>
      </c>
      <c r="N34" s="142">
        <f>N36-N32</f>
        <v>9395.2054800000005</v>
      </c>
      <c r="O34" s="142">
        <f>O36-O32</f>
        <v>11335</v>
      </c>
      <c r="P34" s="142">
        <f>P36-P32</f>
        <v>12501</v>
      </c>
      <c r="Q34" s="142">
        <f>Q36-Q32</f>
        <v>11013</v>
      </c>
      <c r="R34" s="110">
        <f>SUM(N34:Q34)</f>
        <v>44244.205480000004</v>
      </c>
      <c r="S34" s="142">
        <f>S36-S32</f>
        <v>11857</v>
      </c>
      <c r="T34" s="142">
        <f>T36-T32</f>
        <v>14017</v>
      </c>
      <c r="U34" s="142">
        <f>U36-U32</f>
        <v>16894</v>
      </c>
      <c r="V34" s="142">
        <f>V36-V32</f>
        <v>23569</v>
      </c>
      <c r="W34" s="110">
        <f>SUM(S34:V34)</f>
        <v>66337</v>
      </c>
      <c r="X34" s="142">
        <f>X36-X32</f>
        <v>28028</v>
      </c>
      <c r="Y34" s="142">
        <f>Y36-Y32</f>
        <v>29934</v>
      </c>
      <c r="Z34" s="142">
        <f>Z36-Z32</f>
        <v>33115</v>
      </c>
      <c r="AA34" s="142">
        <f>AA36-AA32</f>
        <v>38239</v>
      </c>
      <c r="AB34" s="110">
        <f>SUM(X34:AA34)</f>
        <v>129316</v>
      </c>
      <c r="AC34" s="142">
        <f>AC36-AC32</f>
        <v>39237</v>
      </c>
      <c r="AD34" s="142">
        <f>AD36-AD32</f>
        <v>39657</v>
      </c>
      <c r="AE34" s="142">
        <f>AE36-AE32</f>
        <v>41671</v>
      </c>
      <c r="AF34" s="142">
        <f>AF36-AF32</f>
        <v>44804</v>
      </c>
      <c r="AG34" s="110">
        <f>SUM(AC34:AF34)</f>
        <v>165369</v>
      </c>
      <c r="AH34" s="142">
        <f>AH36-AH32</f>
        <v>51867</v>
      </c>
      <c r="AI34" s="142">
        <f>AI36-AI32</f>
        <v>49810</v>
      </c>
      <c r="AJ34" s="142">
        <f>AJ36-AJ32</f>
        <v>45603</v>
      </c>
      <c r="AK34" s="142">
        <f>AK36-AK32</f>
        <v>46845</v>
      </c>
      <c r="AL34" s="110">
        <f>SUM(AH34:AK34)</f>
        <v>194125</v>
      </c>
      <c r="AM34" s="142">
        <f>AM36-AM32</f>
        <v>49145</v>
      </c>
      <c r="AN34" s="142">
        <f>AN36-AN32</f>
        <v>47858</v>
      </c>
      <c r="AO34" s="142">
        <f>AO36-AO32</f>
        <v>50894</v>
      </c>
      <c r="AP34" s="142">
        <f>AP36-AP32</f>
        <v>49779</v>
      </c>
      <c r="AQ34" s="110">
        <f>SUM(AM34:AP34)</f>
        <v>197676</v>
      </c>
      <c r="AR34" s="142">
        <f>AR36-AR32</f>
        <v>54473</v>
      </c>
      <c r="AS34" s="142"/>
      <c r="AT34" s="142"/>
      <c r="AU34" s="142"/>
      <c r="AV34" s="110">
        <f>SUM(AR34:AU34)</f>
        <v>54473</v>
      </c>
      <c r="AW34" s="146"/>
      <c r="AX34" s="146"/>
      <c r="AY34" s="146"/>
      <c r="AZ34" s="146"/>
      <c r="BA34" s="110">
        <f>SUM(AW34:AZ34)</f>
        <v>0</v>
      </c>
    </row>
    <row r="35" spans="1:53" s="824" customFormat="1" ht="13.35" customHeight="1" outlineLevel="1" x14ac:dyDescent="0.2">
      <c r="A35" s="822"/>
      <c r="B35" s="823"/>
      <c r="C35" s="825" t="s">
        <v>479</v>
      </c>
      <c r="D35" s="829">
        <f t="shared" ref="D35:AR35" si="31">D34/D16</f>
        <v>0.24419403601391612</v>
      </c>
      <c r="E35" s="829">
        <f t="shared" si="31"/>
        <v>0.21618475818126712</v>
      </c>
      <c r="F35" s="829">
        <f t="shared" si="31"/>
        <v>0.24965045936736308</v>
      </c>
      <c r="G35" s="829">
        <f t="shared" si="31"/>
        <v>0.227508561895087</v>
      </c>
      <c r="H35" s="827">
        <f t="shared" si="31"/>
        <v>0.23406835178782723</v>
      </c>
      <c r="I35" s="829">
        <f t="shared" si="31"/>
        <v>0.25413663124221036</v>
      </c>
      <c r="J35" s="829">
        <f t="shared" si="31"/>
        <v>0.23116584766228718</v>
      </c>
      <c r="K35" s="829">
        <f t="shared" si="31"/>
        <v>0.25198552886160724</v>
      </c>
      <c r="L35" s="829">
        <f t="shared" si="31"/>
        <v>0.25400570628364</v>
      </c>
      <c r="M35" s="827">
        <f t="shared" si="31"/>
        <v>0.24802580659809531</v>
      </c>
      <c r="N35" s="829">
        <f t="shared" si="31"/>
        <v>0.26706493619248139</v>
      </c>
      <c r="O35" s="829">
        <f t="shared" si="31"/>
        <v>0.29004605936540429</v>
      </c>
      <c r="P35" s="829">
        <f t="shared" si="31"/>
        <v>0.30320155226776618</v>
      </c>
      <c r="Q35" s="829">
        <f t="shared" si="31"/>
        <v>0.26152932795060557</v>
      </c>
      <c r="R35" s="827">
        <f t="shared" si="31"/>
        <v>0.28073827138693952</v>
      </c>
      <c r="S35" s="829">
        <f t="shared" si="31"/>
        <v>0.25659503559912572</v>
      </c>
      <c r="T35" s="829">
        <f t="shared" si="31"/>
        <v>0.25935794245536126</v>
      </c>
      <c r="U35" s="829">
        <f t="shared" si="31"/>
        <v>0.28280156684187618</v>
      </c>
      <c r="V35" s="829">
        <f t="shared" si="31"/>
        <v>0.30111277196478992</v>
      </c>
      <c r="W35" s="827">
        <f t="shared" si="31"/>
        <v>0.27841688875831533</v>
      </c>
      <c r="X35" s="829">
        <f t="shared" si="31"/>
        <v>0.2839313572542902</v>
      </c>
      <c r="Y35" s="829">
        <f t="shared" si="31"/>
        <v>0.23063765525318211</v>
      </c>
      <c r="Z35" s="829">
        <f t="shared" si="31"/>
        <v>0.24308869085196658</v>
      </c>
      <c r="AA35" s="829">
        <f t="shared" si="31"/>
        <v>0.23667873611240059</v>
      </c>
      <c r="AB35" s="827">
        <f t="shared" si="31"/>
        <v>0.24571103928800117</v>
      </c>
      <c r="AC35" s="829">
        <f t="shared" si="31"/>
        <v>0.21285009845883443</v>
      </c>
      <c r="AD35" s="829">
        <f t="shared" si="31"/>
        <v>0.19113096787253117</v>
      </c>
      <c r="AE35" s="829">
        <f t="shared" si="31"/>
        <v>0.18844571066793289</v>
      </c>
      <c r="AF35" s="829">
        <f t="shared" si="31"/>
        <v>0.18778894072183314</v>
      </c>
      <c r="AG35" s="827">
        <f t="shared" si="31"/>
        <v>0.19419900791973169</v>
      </c>
      <c r="AH35" s="829">
        <f t="shared" si="31"/>
        <v>0.21502839849094149</v>
      </c>
      <c r="AI35" s="829">
        <f t="shared" si="31"/>
        <v>0.19888915952260214</v>
      </c>
      <c r="AJ35" s="829">
        <f t="shared" si="31"/>
        <v>0.17945176370590735</v>
      </c>
      <c r="AK35" s="829">
        <f t="shared" si="31"/>
        <v>0.17711243775827715</v>
      </c>
      <c r="AL35" s="827">
        <f t="shared" si="31"/>
        <v>0.19215198343409867</v>
      </c>
      <c r="AM35" s="829">
        <f t="shared" si="31"/>
        <v>0.17826246241235597</v>
      </c>
      <c r="AN35" s="829">
        <f t="shared" si="31"/>
        <v>0.17308749493663561</v>
      </c>
      <c r="AO35" s="829">
        <f t="shared" si="31"/>
        <v>0.18516268222847185</v>
      </c>
      <c r="AP35" s="829">
        <f t="shared" si="31"/>
        <v>0.17120069884855071</v>
      </c>
      <c r="AQ35" s="827">
        <f t="shared" si="31"/>
        <v>0.17684221826607385</v>
      </c>
      <c r="AR35" s="829">
        <f t="shared" si="31"/>
        <v>0.18256189234569226</v>
      </c>
      <c r="AS35" s="830"/>
      <c r="AT35" s="830"/>
      <c r="AU35" s="830"/>
      <c r="AV35" s="827">
        <f>AV34/AV16</f>
        <v>3.5766940648931891E-2</v>
      </c>
      <c r="AW35" s="830"/>
      <c r="AX35" s="830"/>
      <c r="AY35" s="830"/>
      <c r="AZ35" s="830"/>
      <c r="BA35" s="827" t="e">
        <f>BA34/#REF!</f>
        <v>#REF!</v>
      </c>
    </row>
    <row r="36" spans="1:53" s="163" customFormat="1" hidden="1" x14ac:dyDescent="0.2">
      <c r="A36" s="161"/>
      <c r="B36" s="162"/>
      <c r="C36" s="126" t="s">
        <v>438</v>
      </c>
      <c r="D36" s="146">
        <v>3199.5839799999999</v>
      </c>
      <c r="E36" s="142">
        <v>3278.0349700000002</v>
      </c>
      <c r="F36" s="146">
        <v>4268.4498200000007</v>
      </c>
      <c r="G36" s="146">
        <v>4436.5702999999994</v>
      </c>
      <c r="H36" s="110">
        <f>SUM(D36:G36)</f>
        <v>15182.639070000001</v>
      </c>
      <c r="I36" s="146">
        <v>5698.7927500000005</v>
      </c>
      <c r="J36" s="146">
        <v>6010</v>
      </c>
      <c r="K36" s="146">
        <v>7117</v>
      </c>
      <c r="L36" s="146">
        <v>8048</v>
      </c>
      <c r="M36" s="110">
        <f>SUM(I36:L36)</f>
        <v>26873.792750000001</v>
      </c>
      <c r="N36" s="146">
        <v>9395.2054800000005</v>
      </c>
      <c r="O36" s="142">
        <f>12748-1286-127</f>
        <v>11335</v>
      </c>
      <c r="P36" s="146">
        <f>15064-2430-133</f>
        <v>12501</v>
      </c>
      <c r="Q36" s="146">
        <f>15546-3744-789</f>
        <v>11013</v>
      </c>
      <c r="R36" s="110">
        <f>SUM(N36:Q36)</f>
        <v>44244.205480000004</v>
      </c>
      <c r="S36" s="142">
        <v>11857</v>
      </c>
      <c r="T36" s="142">
        <v>14017</v>
      </c>
      <c r="U36" s="142">
        <v>16894</v>
      </c>
      <c r="V36" s="142">
        <v>23569</v>
      </c>
      <c r="W36" s="110">
        <f>SUM(S36:V36)</f>
        <v>66337</v>
      </c>
      <c r="X36" s="142">
        <f>57935-18086-1042-6325-419</f>
        <v>32063</v>
      </c>
      <c r="Y36" s="146">
        <f>65396-23080-2343-432-4417</f>
        <v>35124</v>
      </c>
      <c r="Z36" s="146">
        <f>60457-20565-243-449</f>
        <v>39200</v>
      </c>
      <c r="AA36" s="146">
        <f>58686-16191</f>
        <v>42495</v>
      </c>
      <c r="AB36" s="110">
        <f>SUM(X36:AA36)</f>
        <v>148882</v>
      </c>
      <c r="AC36" s="142">
        <v>45820</v>
      </c>
      <c r="AD36" s="142">
        <f>69381-20989-215</f>
        <v>48177</v>
      </c>
      <c r="AE36" s="142">
        <f>71719-21334-289</f>
        <v>50096</v>
      </c>
      <c r="AF36" s="142">
        <f>73441-18937-1004</f>
        <v>53500</v>
      </c>
      <c r="AG36" s="110">
        <f>SUM(AC36:AF36)</f>
        <v>197593</v>
      </c>
      <c r="AH36" s="142">
        <f>85326-21387-97</f>
        <v>63842</v>
      </c>
      <c r="AI36" s="142">
        <f>85583-20547-872</f>
        <v>64164</v>
      </c>
      <c r="AJ36" s="146">
        <v>60707</v>
      </c>
      <c r="AK36" s="142">
        <f>50732+14785</f>
        <v>65517</v>
      </c>
      <c r="AL36" s="110">
        <f>SUM(AH36:AK36)</f>
        <v>254230</v>
      </c>
      <c r="AM36" s="142">
        <f>49145+20661</f>
        <v>69806</v>
      </c>
      <c r="AN36" s="142">
        <f>71122+21358-23264</f>
        <v>69216</v>
      </c>
      <c r="AO36" s="146">
        <f>50894+14945</f>
        <v>65839</v>
      </c>
      <c r="AP36" s="142">
        <f>49779+15785</f>
        <v>65564</v>
      </c>
      <c r="AQ36" s="110">
        <f>SUM(AM36:AP36)</f>
        <v>270425</v>
      </c>
      <c r="AR36" s="142">
        <f>54473+16096</f>
        <v>70569</v>
      </c>
      <c r="AS36" s="146">
        <f>AS9*AS37</f>
        <v>71835.982710330805</v>
      </c>
      <c r="AT36" s="146">
        <f>AT9*AT37</f>
        <v>71542.215324730845</v>
      </c>
      <c r="AU36" s="146">
        <f>AU9*AU37</f>
        <v>73280.706124620381</v>
      </c>
      <c r="AV36" s="110">
        <f>SUM(AR36:AU36)</f>
        <v>287227.90415968205</v>
      </c>
      <c r="AW36" s="146">
        <f>AW9*AW37</f>
        <v>78763.374669691766</v>
      </c>
      <c r="AX36" s="146">
        <f>AX9*AX37</f>
        <v>78814.808026206607</v>
      </c>
      <c r="AY36" s="146">
        <f>AY9*AY37</f>
        <v>79286.792435893847</v>
      </c>
      <c r="AZ36" s="146">
        <f>AZ9*AZ37</f>
        <v>82123.968062368105</v>
      </c>
      <c r="BA36" s="311">
        <f>SUM(AW36:AZ36)</f>
        <v>318988.94319416035</v>
      </c>
    </row>
    <row r="37" spans="1:53" s="160" customFormat="1" ht="13.35" hidden="1" customHeight="1" x14ac:dyDescent="0.2">
      <c r="A37" s="123"/>
      <c r="B37" s="124"/>
      <c r="C37" s="825" t="s">
        <v>83</v>
      </c>
      <c r="D37" s="115">
        <f t="shared" ref="D37:AR37" si="32">D36/D9</f>
        <v>0.24419403601391612</v>
      </c>
      <c r="E37" s="115">
        <f t="shared" si="32"/>
        <v>0.21618475818126712</v>
      </c>
      <c r="F37" s="115">
        <f t="shared" si="32"/>
        <v>0.24965045936736308</v>
      </c>
      <c r="G37" s="115">
        <f t="shared" si="32"/>
        <v>0.227508561895087</v>
      </c>
      <c r="H37" s="116">
        <f t="shared" si="32"/>
        <v>0.2340683517878272</v>
      </c>
      <c r="I37" s="156">
        <f t="shared" si="32"/>
        <v>0.25413663124221036</v>
      </c>
      <c r="J37" s="156">
        <f t="shared" si="32"/>
        <v>0.23116584766228718</v>
      </c>
      <c r="K37" s="156">
        <f t="shared" si="32"/>
        <v>0.25198552886160724</v>
      </c>
      <c r="L37" s="156">
        <f t="shared" si="32"/>
        <v>0.25400570628364</v>
      </c>
      <c r="M37" s="116">
        <f t="shared" si="32"/>
        <v>0.24802580659809528</v>
      </c>
      <c r="N37" s="156">
        <f t="shared" si="32"/>
        <v>0.26706493619248139</v>
      </c>
      <c r="O37" s="157">
        <f t="shared" si="32"/>
        <v>0.29004605936540429</v>
      </c>
      <c r="P37" s="157">
        <f t="shared" si="32"/>
        <v>0.30320155226776618</v>
      </c>
      <c r="Q37" s="157">
        <f t="shared" si="32"/>
        <v>0.26152932795060557</v>
      </c>
      <c r="R37" s="116">
        <f t="shared" si="32"/>
        <v>0.28073827138693952</v>
      </c>
      <c r="S37" s="157">
        <f t="shared" si="32"/>
        <v>0.25659503559912572</v>
      </c>
      <c r="T37" s="157">
        <f t="shared" si="32"/>
        <v>0.25935794245536126</v>
      </c>
      <c r="U37" s="157">
        <f t="shared" si="32"/>
        <v>0.28280156684187618</v>
      </c>
      <c r="V37" s="157">
        <f t="shared" si="32"/>
        <v>0.30111277196478992</v>
      </c>
      <c r="W37" s="116">
        <f t="shared" si="32"/>
        <v>0.27841688875831533</v>
      </c>
      <c r="X37" s="157">
        <f t="shared" si="32"/>
        <v>0.27091906142003735</v>
      </c>
      <c r="Y37" s="157">
        <f t="shared" si="32"/>
        <v>0.22446605912652257</v>
      </c>
      <c r="Z37" s="157">
        <f t="shared" si="32"/>
        <v>0.23485570154154009</v>
      </c>
      <c r="AA37" s="157">
        <f t="shared" si="32"/>
        <v>0.2122404742759251</v>
      </c>
      <c r="AB37" s="116">
        <f t="shared" si="32"/>
        <v>0.23191823776907872</v>
      </c>
      <c r="AC37" s="157">
        <f t="shared" si="32"/>
        <v>0.19928324141890363</v>
      </c>
      <c r="AD37" s="157">
        <f t="shared" si="32"/>
        <v>0.18529187787974125</v>
      </c>
      <c r="AE37" s="157">
        <f t="shared" si="32"/>
        <v>0.18380143457283851</v>
      </c>
      <c r="AF37" s="157">
        <f t="shared" si="32"/>
        <v>0.18075362436356143</v>
      </c>
      <c r="AG37" s="116">
        <f t="shared" si="32"/>
        <v>0.18667829353367318</v>
      </c>
      <c r="AH37" s="157">
        <f t="shared" si="32"/>
        <v>0.20932832762266998</v>
      </c>
      <c r="AI37" s="157">
        <f t="shared" si="32"/>
        <v>0.20145999152262986</v>
      </c>
      <c r="AJ37" s="157">
        <f t="shared" si="32"/>
        <v>0.18793107718216379</v>
      </c>
      <c r="AK37" s="157">
        <f t="shared" si="32"/>
        <v>0.19064204967046397</v>
      </c>
      <c r="AL37" s="116">
        <f t="shared" si="32"/>
        <v>0.19705109314797317</v>
      </c>
      <c r="AM37" s="157">
        <f t="shared" si="32"/>
        <v>0.19474403682521971</v>
      </c>
      <c r="AN37" s="157">
        <f t="shared" si="32"/>
        <v>0.19091225031305681</v>
      </c>
      <c r="AO37" s="157">
        <f t="shared" si="32"/>
        <v>0.18380205803364544</v>
      </c>
      <c r="AP37" s="157">
        <f t="shared" si="32"/>
        <v>0.17102953183652495</v>
      </c>
      <c r="AQ37" s="116">
        <f t="shared" si="32"/>
        <v>0.18489852375186233</v>
      </c>
      <c r="AR37" s="157">
        <f t="shared" si="32"/>
        <v>0.17830495455774337</v>
      </c>
      <c r="AS37" s="158">
        <v>0.17799999999999999</v>
      </c>
      <c r="AT37" s="158">
        <v>0.18</v>
      </c>
      <c r="AU37" s="158">
        <v>0.17299999999999999</v>
      </c>
      <c r="AV37" s="116">
        <f>AV36/AV9</f>
        <v>0.17725800049515528</v>
      </c>
      <c r="AW37" s="158">
        <v>0.18</v>
      </c>
      <c r="AX37" s="158">
        <v>0.17799999999999999</v>
      </c>
      <c r="AY37" s="158">
        <v>0.18</v>
      </c>
      <c r="AZ37" s="158">
        <v>0.17299999999999999</v>
      </c>
      <c r="BA37" s="188">
        <f>BA36/BA9</f>
        <v>0.17765614151392381</v>
      </c>
    </row>
    <row r="38" spans="1:53" x14ac:dyDescent="0.2">
      <c r="A38" s="28"/>
      <c r="B38" s="138" t="s">
        <v>484</v>
      </c>
      <c r="C38" s="126"/>
      <c r="D38" s="108">
        <f t="shared" ref="D38:AI38" si="33">D24+D28+D34</f>
        <v>12076.996420000001</v>
      </c>
      <c r="E38" s="109">
        <f t="shared" si="33"/>
        <v>12739.013050000001</v>
      </c>
      <c r="F38" s="108">
        <f t="shared" si="33"/>
        <v>14323.20263</v>
      </c>
      <c r="G38" s="108">
        <f t="shared" si="33"/>
        <v>16231.818029999999</v>
      </c>
      <c r="H38" s="110">
        <f t="shared" si="33"/>
        <v>55371.030129999999</v>
      </c>
      <c r="I38" s="108">
        <f t="shared" si="33"/>
        <v>17621.528470000001</v>
      </c>
      <c r="J38" s="108">
        <f t="shared" si="33"/>
        <v>19778.204829999999</v>
      </c>
      <c r="K38" s="108">
        <f t="shared" si="33"/>
        <v>22581</v>
      </c>
      <c r="L38" s="108">
        <f t="shared" si="33"/>
        <v>27305.766510000001</v>
      </c>
      <c r="M38" s="110">
        <f t="shared" si="33"/>
        <v>87286.499810000008</v>
      </c>
      <c r="N38" s="108">
        <f t="shared" si="33"/>
        <v>30682.92554</v>
      </c>
      <c r="O38" s="109">
        <f t="shared" si="33"/>
        <v>34996</v>
      </c>
      <c r="P38" s="108">
        <f t="shared" si="33"/>
        <v>36825</v>
      </c>
      <c r="Q38" s="108">
        <f t="shared" si="33"/>
        <v>35703</v>
      </c>
      <c r="R38" s="110">
        <f t="shared" si="33"/>
        <v>138206.92554</v>
      </c>
      <c r="S38" s="109">
        <f t="shared" si="33"/>
        <v>37481</v>
      </c>
      <c r="T38" s="109">
        <f t="shared" si="33"/>
        <v>42957</v>
      </c>
      <c r="U38" s="109">
        <f t="shared" si="33"/>
        <v>48081</v>
      </c>
      <c r="V38" s="109">
        <f t="shared" si="33"/>
        <v>68615</v>
      </c>
      <c r="W38" s="110">
        <f t="shared" si="33"/>
        <v>197134</v>
      </c>
      <c r="X38" s="109">
        <f t="shared" si="33"/>
        <v>88489</v>
      </c>
      <c r="Y38" s="108">
        <f t="shared" si="33"/>
        <v>103442</v>
      </c>
      <c r="Z38" s="108">
        <f t="shared" si="33"/>
        <v>116129</v>
      </c>
      <c r="AA38" s="108">
        <f t="shared" si="33"/>
        <v>132999</v>
      </c>
      <c r="AB38" s="110">
        <f t="shared" si="33"/>
        <v>441059</v>
      </c>
      <c r="AC38" s="109">
        <f t="shared" si="33"/>
        <v>142442</v>
      </c>
      <c r="AD38" s="109">
        <f t="shared" si="33"/>
        <v>142122</v>
      </c>
      <c r="AE38" s="109">
        <f t="shared" si="33"/>
        <v>150906</v>
      </c>
      <c r="AF38" s="109">
        <f t="shared" si="33"/>
        <v>157407</v>
      </c>
      <c r="AG38" s="110">
        <f t="shared" si="33"/>
        <v>592877</v>
      </c>
      <c r="AH38" s="109">
        <f t="shared" si="33"/>
        <v>165561</v>
      </c>
      <c r="AI38" s="109">
        <f t="shared" si="33"/>
        <v>161345</v>
      </c>
      <c r="AJ38" s="108">
        <f t="shared" ref="AJ38:BA38" si="34">AJ24+AJ28+AJ34</f>
        <v>154023</v>
      </c>
      <c r="AK38" s="109">
        <f t="shared" si="34"/>
        <v>152860</v>
      </c>
      <c r="AL38" s="110">
        <f t="shared" si="34"/>
        <v>633789</v>
      </c>
      <c r="AM38" s="109">
        <f t="shared" si="34"/>
        <v>157182</v>
      </c>
      <c r="AN38" s="109">
        <f t="shared" si="34"/>
        <v>160046</v>
      </c>
      <c r="AO38" s="108">
        <f t="shared" si="34"/>
        <v>167370</v>
      </c>
      <c r="AP38" s="109">
        <f t="shared" si="34"/>
        <v>173793</v>
      </c>
      <c r="AQ38" s="110">
        <f t="shared" si="34"/>
        <v>658391</v>
      </c>
      <c r="AR38" s="109">
        <f t="shared" si="34"/>
        <v>166448</v>
      </c>
      <c r="AS38" s="108">
        <f t="shared" si="34"/>
        <v>66185.961598282331</v>
      </c>
      <c r="AT38" s="108">
        <f t="shared" si="34"/>
        <v>64785.450544061823</v>
      </c>
      <c r="AU38" s="108">
        <f t="shared" si="34"/>
        <v>68621.239261205221</v>
      </c>
      <c r="AV38" s="110">
        <f t="shared" si="34"/>
        <v>366040.65140354936</v>
      </c>
      <c r="AW38" s="108">
        <f t="shared" si="34"/>
        <v>72199.760113884127</v>
      </c>
      <c r="AX38" s="108">
        <f t="shared" si="34"/>
        <v>72173.110720627403</v>
      </c>
      <c r="AY38" s="108">
        <f t="shared" si="34"/>
        <v>71798.595372503871</v>
      </c>
      <c r="AZ38" s="108">
        <f t="shared" si="34"/>
        <v>77376.917885352625</v>
      </c>
      <c r="BA38" s="110">
        <f t="shared" si="34"/>
        <v>293548.38409236801</v>
      </c>
    </row>
    <row r="39" spans="1:53" ht="7.5" customHeight="1" x14ac:dyDescent="0.2">
      <c r="A39" s="28"/>
      <c r="B39" s="138"/>
      <c r="C39" s="126"/>
      <c r="D39" s="139"/>
      <c r="E39" s="140"/>
      <c r="F39" s="139"/>
      <c r="G39" s="139"/>
      <c r="H39" s="141"/>
      <c r="I39" s="139"/>
      <c r="J39" s="139"/>
      <c r="K39" s="139"/>
      <c r="L39" s="139"/>
      <c r="M39" s="141"/>
      <c r="N39" s="139"/>
      <c r="O39" s="140"/>
      <c r="P39" s="139"/>
      <c r="Q39" s="139"/>
      <c r="R39" s="141"/>
      <c r="S39" s="140"/>
      <c r="T39" s="140"/>
      <c r="U39" s="140"/>
      <c r="V39" s="140"/>
      <c r="W39" s="141"/>
      <c r="X39" s="140"/>
      <c r="Y39" s="139"/>
      <c r="Z39" s="139"/>
      <c r="AA39" s="139"/>
      <c r="AB39" s="141"/>
      <c r="AC39" s="140"/>
      <c r="AD39" s="139"/>
      <c r="AE39" s="139"/>
      <c r="AF39" s="139"/>
      <c r="AG39" s="141"/>
      <c r="AH39" s="140"/>
      <c r="AI39" s="140"/>
      <c r="AJ39" s="140"/>
      <c r="AK39" s="139"/>
      <c r="AL39" s="141"/>
      <c r="AM39" s="140"/>
      <c r="AN39" s="140"/>
      <c r="AO39" s="140"/>
      <c r="AP39" s="139"/>
      <c r="AQ39" s="141"/>
      <c r="AR39" s="140"/>
      <c r="AS39" s="140"/>
      <c r="AT39" s="140"/>
      <c r="AV39" s="141"/>
      <c r="AW39" s="140"/>
      <c r="AX39" s="140"/>
      <c r="AY39" s="140"/>
      <c r="BA39" s="141"/>
    </row>
    <row r="40" spans="1:53" s="133" customFormat="1" x14ac:dyDescent="0.2">
      <c r="A40" s="20"/>
      <c r="B40" s="159" t="s">
        <v>87</v>
      </c>
      <c r="C40" s="312"/>
      <c r="D40" s="775">
        <f t="shared" ref="D40:AI40" si="35">D20-D38</f>
        <v>-2877.4033099999997</v>
      </c>
      <c r="E40" s="295">
        <f t="shared" si="35"/>
        <v>-1603.8409600000014</v>
      </c>
      <c r="F40" s="775">
        <f t="shared" si="35"/>
        <v>-1790.6229699999967</v>
      </c>
      <c r="G40" s="775">
        <f t="shared" si="35"/>
        <v>-1704.6195399999997</v>
      </c>
      <c r="H40" s="776">
        <f t="shared" si="35"/>
        <v>-7976.4867799999993</v>
      </c>
      <c r="I40" s="775">
        <f t="shared" si="35"/>
        <v>-774.39889000000403</v>
      </c>
      <c r="J40" s="775">
        <f t="shared" si="35"/>
        <v>-68.554679999997461</v>
      </c>
      <c r="K40" s="775">
        <f t="shared" si="35"/>
        <v>-1107.8786</v>
      </c>
      <c r="L40" s="775">
        <f t="shared" si="35"/>
        <v>-3181.4389499999997</v>
      </c>
      <c r="M40" s="776">
        <f t="shared" si="35"/>
        <v>-5132.2711200000049</v>
      </c>
      <c r="N40" s="775">
        <f t="shared" si="35"/>
        <v>-3513.8628599999975</v>
      </c>
      <c r="O40" s="295">
        <f t="shared" si="35"/>
        <v>-4510</v>
      </c>
      <c r="P40" s="775">
        <f t="shared" si="35"/>
        <v>-4327</v>
      </c>
      <c r="Q40" s="775">
        <f t="shared" si="35"/>
        <v>-2609</v>
      </c>
      <c r="R40" s="776">
        <f t="shared" si="35"/>
        <v>-14959.862859999994</v>
      </c>
      <c r="S40" s="295">
        <f t="shared" si="35"/>
        <v>-2277</v>
      </c>
      <c r="T40" s="295">
        <f t="shared" si="35"/>
        <v>-1558</v>
      </c>
      <c r="U40" s="295">
        <f t="shared" si="35"/>
        <v>-2130</v>
      </c>
      <c r="V40" s="295">
        <f t="shared" si="35"/>
        <v>-6198</v>
      </c>
      <c r="W40" s="776">
        <f t="shared" si="35"/>
        <v>-12163</v>
      </c>
      <c r="X40" s="295">
        <f t="shared" si="35"/>
        <v>-9198</v>
      </c>
      <c r="Y40" s="775">
        <f t="shared" si="35"/>
        <v>3382</v>
      </c>
      <c r="Z40" s="775">
        <f t="shared" si="35"/>
        <v>-5678</v>
      </c>
      <c r="AA40" s="775">
        <f t="shared" si="35"/>
        <v>-3169</v>
      </c>
      <c r="AB40" s="776">
        <f t="shared" si="35"/>
        <v>-14663</v>
      </c>
      <c r="AC40" s="295">
        <f t="shared" si="35"/>
        <v>9145</v>
      </c>
      <c r="AD40" s="775">
        <f t="shared" si="35"/>
        <v>30752</v>
      </c>
      <c r="AE40" s="775">
        <f t="shared" si="35"/>
        <v>34841</v>
      </c>
      <c r="AF40" s="775">
        <f t="shared" si="35"/>
        <v>42348</v>
      </c>
      <c r="AG40" s="776">
        <f t="shared" si="35"/>
        <v>117086</v>
      </c>
      <c r="AH40" s="295">
        <f t="shared" si="35"/>
        <v>33373</v>
      </c>
      <c r="AI40" s="775">
        <f t="shared" si="35"/>
        <v>44303</v>
      </c>
      <c r="AJ40" s="775">
        <f t="shared" ref="AJ40:BA40" si="36">AJ20-AJ38</f>
        <v>58533</v>
      </c>
      <c r="AK40" s="775">
        <f t="shared" si="36"/>
        <v>59971</v>
      </c>
      <c r="AL40" s="776">
        <f t="shared" si="36"/>
        <v>196180</v>
      </c>
      <c r="AM40" s="295">
        <f t="shared" si="36"/>
        <v>67088</v>
      </c>
      <c r="AN40" s="775">
        <f t="shared" si="36"/>
        <v>62806</v>
      </c>
      <c r="AO40" s="775">
        <f t="shared" si="36"/>
        <v>53288</v>
      </c>
      <c r="AP40" s="775">
        <f t="shared" si="36"/>
        <v>56352</v>
      </c>
      <c r="AQ40" s="776">
        <f t="shared" si="36"/>
        <v>239534</v>
      </c>
      <c r="AR40" s="295">
        <f t="shared" si="36"/>
        <v>68272</v>
      </c>
      <c r="AS40" s="775">
        <f t="shared" si="36"/>
        <v>274954.24168847408</v>
      </c>
      <c r="AT40" s="775">
        <f t="shared" si="36"/>
        <v>269078.22097134875</v>
      </c>
      <c r="AU40" s="775">
        <f t="shared" si="36"/>
        <v>284227.47866832535</v>
      </c>
      <c r="AV40" s="776">
        <f t="shared" si="36"/>
        <v>896531.94132814812</v>
      </c>
      <c r="AW40" s="295">
        <f t="shared" si="36"/>
        <v>299738.39804854919</v>
      </c>
      <c r="AX40" s="775">
        <f t="shared" si="36"/>
        <v>304189.73659552773</v>
      </c>
      <c r="AY40" s="775">
        <f t="shared" si="36"/>
        <v>298206.43599500076</v>
      </c>
      <c r="AZ40" s="775">
        <f t="shared" si="36"/>
        <v>316628.24680693366</v>
      </c>
      <c r="BA40" s="776">
        <f t="shared" si="36"/>
        <v>1218762.8174460114</v>
      </c>
    </row>
    <row r="41" spans="1:53" s="160" customFormat="1" ht="13.35" customHeight="1" x14ac:dyDescent="0.2">
      <c r="A41" s="123"/>
      <c r="B41" s="124"/>
      <c r="C41" s="112" t="s">
        <v>479</v>
      </c>
      <c r="D41" s="114">
        <f t="shared" ref="D41:AI41" si="37">D40/D20</f>
        <v>-0.31277506250491105</v>
      </c>
      <c r="E41" s="115">
        <f t="shared" si="37"/>
        <v>-0.14403378295700875</v>
      </c>
      <c r="F41" s="114">
        <f t="shared" si="37"/>
        <v>-0.14287744571176308</v>
      </c>
      <c r="G41" s="114">
        <f t="shared" si="37"/>
        <v>-0.11733986708954232</v>
      </c>
      <c r="H41" s="116">
        <f t="shared" si="37"/>
        <v>-0.16829968633931355</v>
      </c>
      <c r="I41" s="114">
        <f t="shared" si="37"/>
        <v>-4.5966221505135726E-2</v>
      </c>
      <c r="J41" s="114">
        <f t="shared" si="37"/>
        <v>-3.4782291658280629E-3</v>
      </c>
      <c r="K41" s="114">
        <f t="shared" si="37"/>
        <v>-5.1593738020779781E-2</v>
      </c>
      <c r="L41" s="114">
        <f t="shared" si="37"/>
        <v>-0.13187679292147697</v>
      </c>
      <c r="M41" s="116">
        <f t="shared" si="37"/>
        <v>-6.2471174056859188E-2</v>
      </c>
      <c r="N41" s="114">
        <f t="shared" si="37"/>
        <v>-0.12933323837434635</v>
      </c>
      <c r="O41" s="115">
        <f t="shared" si="37"/>
        <v>-0.14793675785606508</v>
      </c>
      <c r="P41" s="114">
        <f t="shared" si="37"/>
        <v>-0.13314665517878024</v>
      </c>
      <c r="Q41" s="114">
        <f t="shared" si="37"/>
        <v>-7.8836042787212179E-2</v>
      </c>
      <c r="R41" s="116">
        <f t="shared" si="37"/>
        <v>-0.12138109042681157</v>
      </c>
      <c r="S41" s="115">
        <f t="shared" si="37"/>
        <v>-6.4680149982956486E-2</v>
      </c>
      <c r="T41" s="115">
        <f t="shared" si="37"/>
        <v>-3.7633759269547574E-2</v>
      </c>
      <c r="U41" s="115">
        <f t="shared" si="37"/>
        <v>-4.63537246197036E-2</v>
      </c>
      <c r="V41" s="115">
        <f t="shared" si="37"/>
        <v>-9.9299870227662332E-2</v>
      </c>
      <c r="W41" s="116">
        <f t="shared" si="37"/>
        <v>-6.5756253683009774E-2</v>
      </c>
      <c r="X41" s="114">
        <f t="shared" si="37"/>
        <v>-0.11600307727232599</v>
      </c>
      <c r="Y41" s="114">
        <f t="shared" si="37"/>
        <v>3.1659552160563167E-2</v>
      </c>
      <c r="Z41" s="114">
        <f t="shared" si="37"/>
        <v>-5.1407411431313436E-2</v>
      </c>
      <c r="AA41" s="114">
        <f t="shared" si="37"/>
        <v>-2.4408842332280675E-2</v>
      </c>
      <c r="AB41" s="116">
        <f t="shared" si="37"/>
        <v>-3.4388221277873152E-2</v>
      </c>
      <c r="AC41" s="115">
        <f t="shared" si="37"/>
        <v>6.0328392276382536E-2</v>
      </c>
      <c r="AD41" s="114">
        <f t="shared" si="37"/>
        <v>0.1778867845945602</v>
      </c>
      <c r="AE41" s="114">
        <f t="shared" si="37"/>
        <v>0.18757234302572853</v>
      </c>
      <c r="AF41" s="114">
        <f t="shared" si="37"/>
        <v>0.21199969963204926</v>
      </c>
      <c r="AG41" s="116">
        <f t="shared" si="37"/>
        <v>0.16491845349687237</v>
      </c>
      <c r="AH41" s="115">
        <f t="shared" si="37"/>
        <v>0.16775915630309549</v>
      </c>
      <c r="AI41" s="114">
        <f t="shared" si="37"/>
        <v>0.21543122228273553</v>
      </c>
      <c r="AJ41" s="114">
        <f t="shared" ref="AJ41:BA41" si="38">AJ40/AJ20</f>
        <v>0.2753768418675549</v>
      </c>
      <c r="AK41" s="114">
        <f t="shared" si="38"/>
        <v>0.28177756059972464</v>
      </c>
      <c r="AL41" s="116">
        <f t="shared" si="38"/>
        <v>0.23637027407047734</v>
      </c>
      <c r="AM41" s="115">
        <f t="shared" si="38"/>
        <v>0.29913943015115707</v>
      </c>
      <c r="AN41" s="114">
        <f t="shared" si="38"/>
        <v>0.28182829860176262</v>
      </c>
      <c r="AO41" s="114">
        <f t="shared" si="38"/>
        <v>0.24149588956665971</v>
      </c>
      <c r="AP41" s="114">
        <f t="shared" si="38"/>
        <v>0.24485433096526102</v>
      </c>
      <c r="AQ41" s="116">
        <f t="shared" si="38"/>
        <v>0.26676392794498427</v>
      </c>
      <c r="AR41" s="115">
        <f t="shared" si="38"/>
        <v>0.29086571233810499</v>
      </c>
      <c r="AS41" s="114">
        <f t="shared" si="38"/>
        <v>0.80598604045900868</v>
      </c>
      <c r="AT41" s="114">
        <f t="shared" si="38"/>
        <v>0.80595238095238086</v>
      </c>
      <c r="AU41" s="114">
        <f t="shared" si="38"/>
        <v>0.80552220888355353</v>
      </c>
      <c r="AV41" s="116">
        <f t="shared" si="38"/>
        <v>0.71008348073548377</v>
      </c>
      <c r="AW41" s="115">
        <f t="shared" si="38"/>
        <v>0.80588235294117649</v>
      </c>
      <c r="AX41" s="114">
        <f t="shared" si="38"/>
        <v>0.80823529411764705</v>
      </c>
      <c r="AY41" s="114">
        <f t="shared" si="38"/>
        <v>0.80595238095238098</v>
      </c>
      <c r="AZ41" s="114">
        <f t="shared" si="38"/>
        <v>0.80361445783132524</v>
      </c>
      <c r="BA41" s="116">
        <f t="shared" si="38"/>
        <v>0.80589419440009469</v>
      </c>
    </row>
    <row r="42" spans="1:53" s="163" customFormat="1" ht="12" thickBot="1" x14ac:dyDescent="0.25">
      <c r="A42" s="161"/>
      <c r="B42" s="832"/>
      <c r="C42" s="833"/>
      <c r="D42" s="834"/>
      <c r="E42" s="835"/>
      <c r="F42" s="836"/>
      <c r="G42" s="835"/>
      <c r="H42" s="837"/>
      <c r="I42" s="834"/>
      <c r="J42" s="836"/>
      <c r="K42" s="836"/>
      <c r="L42" s="835"/>
      <c r="M42" s="837"/>
      <c r="N42" s="834"/>
      <c r="O42" s="835"/>
      <c r="P42" s="836"/>
      <c r="Q42" s="835"/>
      <c r="R42" s="837"/>
      <c r="S42" s="838"/>
      <c r="T42" s="835"/>
      <c r="U42" s="835"/>
      <c r="V42" s="835"/>
      <c r="W42" s="837"/>
      <c r="X42" s="834"/>
      <c r="Y42" s="836"/>
      <c r="Z42" s="836"/>
      <c r="AA42" s="835"/>
      <c r="AB42" s="837"/>
      <c r="AC42" s="838"/>
      <c r="AD42" s="836"/>
      <c r="AE42" s="836"/>
      <c r="AF42" s="835"/>
      <c r="AG42" s="837"/>
      <c r="AH42" s="839"/>
      <c r="AI42" s="839"/>
      <c r="AJ42" s="839"/>
      <c r="AK42" s="835"/>
      <c r="AL42" s="837"/>
      <c r="AM42" s="839"/>
      <c r="AN42" s="839"/>
      <c r="AO42" s="839"/>
      <c r="AP42" s="835"/>
      <c r="AQ42" s="837"/>
      <c r="AR42" s="839"/>
      <c r="AS42" s="839"/>
      <c r="AT42" s="839"/>
      <c r="AU42" s="840"/>
      <c r="AV42" s="837"/>
      <c r="AW42" s="839"/>
      <c r="AX42" s="839"/>
      <c r="AY42" s="839"/>
      <c r="AZ42" s="840"/>
      <c r="BA42" s="837"/>
    </row>
  </sheetData>
  <pageMargins left="0.17" right="0.17" top="0.75" bottom="0.75" header="0.3" footer="0.3"/>
  <pageSetup scale="59"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0FDA-1FB0-49B2-96AD-97DD6FAFDC55}">
  <sheetPr>
    <pageSetUpPr fitToPage="1"/>
  </sheetPr>
  <dimension ref="D7:AH33"/>
  <sheetViews>
    <sheetView showGridLines="0" topLeftCell="A4" workbookViewId="0"/>
  </sheetViews>
  <sheetFormatPr defaultRowHeight="15" outlineLevelCol="1" x14ac:dyDescent="0.25"/>
  <cols>
    <col min="3" max="3" width="8.7109375" customWidth="1"/>
    <col min="4" max="4" width="0.85546875" customWidth="1"/>
    <col min="5" max="5" width="30.42578125" customWidth="1"/>
    <col min="6" max="26" width="0" hidden="1" customWidth="1" outlineLevel="1"/>
    <col min="27" max="27" width="8.7109375" collapsed="1"/>
    <col min="31" max="31" width="0" hidden="1" customWidth="1" outlineLevel="1"/>
    <col min="32" max="32" width="8.7109375" collapsed="1"/>
  </cols>
  <sheetData>
    <row r="7" spans="4:34" ht="15.75" thickBot="1" x14ac:dyDescent="0.3"/>
    <row r="8" spans="4:34" ht="15.75" thickBot="1" x14ac:dyDescent="0.3">
      <c r="D8" s="70"/>
      <c r="E8" s="71"/>
      <c r="F8" s="71"/>
      <c r="G8" s="71" t="s">
        <v>17</v>
      </c>
      <c r="H8" s="71" t="s">
        <v>18</v>
      </c>
      <c r="I8" s="71" t="s">
        <v>19</v>
      </c>
      <c r="J8" s="71" t="s">
        <v>20</v>
      </c>
      <c r="K8" s="72">
        <v>2018</v>
      </c>
      <c r="L8" s="71" t="s">
        <v>21</v>
      </c>
      <c r="M8" s="71" t="s">
        <v>22</v>
      </c>
      <c r="N8" s="71" t="s">
        <v>10</v>
      </c>
      <c r="O8" s="71" t="s">
        <v>11</v>
      </c>
      <c r="P8" s="72">
        <v>2019</v>
      </c>
      <c r="Q8" s="71" t="s">
        <v>12</v>
      </c>
      <c r="R8" s="71" t="s">
        <v>13</v>
      </c>
      <c r="S8" s="71" t="s">
        <v>14</v>
      </c>
      <c r="T8" s="71" t="s">
        <v>15</v>
      </c>
      <c r="U8" s="72">
        <v>2020</v>
      </c>
      <c r="V8" s="71" t="s">
        <v>6</v>
      </c>
      <c r="W8" s="71" t="s">
        <v>7</v>
      </c>
      <c r="X8" s="71" t="s">
        <v>8</v>
      </c>
      <c r="Y8" s="71" t="s">
        <v>0</v>
      </c>
      <c r="Z8" s="72">
        <v>2021</v>
      </c>
      <c r="AA8" s="71" t="s">
        <v>1</v>
      </c>
      <c r="AB8" s="71" t="s">
        <v>2</v>
      </c>
      <c r="AC8" s="71" t="s">
        <v>3</v>
      </c>
      <c r="AD8" s="71" t="s">
        <v>4</v>
      </c>
      <c r="AE8" s="72">
        <v>2022</v>
      </c>
      <c r="AF8" s="71" t="s">
        <v>5</v>
      </c>
      <c r="AG8" s="71" t="s">
        <v>68</v>
      </c>
      <c r="AH8" s="71" t="s">
        <v>274</v>
      </c>
    </row>
    <row r="9" spans="4:34" ht="20.100000000000001" customHeight="1" x14ac:dyDescent="0.25">
      <c r="D9" s="3" t="s">
        <v>69</v>
      </c>
      <c r="E9" s="22"/>
      <c r="F9" s="22"/>
      <c r="G9" s="4">
        <v>3426.8789999999999</v>
      </c>
      <c r="H9" s="4">
        <v>3693.924</v>
      </c>
      <c r="I9" s="4">
        <v>3846.462</v>
      </c>
      <c r="J9" s="4">
        <v>4289.0929999999998</v>
      </c>
      <c r="K9" s="62"/>
      <c r="L9" s="4">
        <v>4491.5110000000004</v>
      </c>
      <c r="M9" s="4">
        <v>4867.1120000000001</v>
      </c>
      <c r="N9" s="4">
        <v>4932.5530000000008</v>
      </c>
      <c r="O9" s="4">
        <v>5570.1219999999994</v>
      </c>
      <c r="P9" s="62"/>
      <c r="Q9" s="4">
        <v>5934.6100000000006</v>
      </c>
      <c r="R9" s="4">
        <v>6200</v>
      </c>
      <c r="S9" s="4">
        <v>6000</v>
      </c>
      <c r="T9" s="4">
        <v>5600</v>
      </c>
      <c r="U9" s="62"/>
      <c r="V9" s="4">
        <v>6500</v>
      </c>
      <c r="W9" s="4">
        <v>7200</v>
      </c>
      <c r="X9" s="4">
        <v>7200</v>
      </c>
      <c r="Y9" s="4">
        <v>8200</v>
      </c>
      <c r="Z9" s="62"/>
      <c r="AA9" s="4">
        <v>8800</v>
      </c>
      <c r="AB9" s="4">
        <v>9800</v>
      </c>
      <c r="AC9" s="4">
        <v>9500</v>
      </c>
      <c r="AD9" s="4">
        <v>10500</v>
      </c>
      <c r="AE9" s="62"/>
      <c r="AF9" s="4">
        <v>10800</v>
      </c>
      <c r="AG9" s="4">
        <v>11000</v>
      </c>
      <c r="AH9" s="4">
        <v>10900</v>
      </c>
    </row>
    <row r="10" spans="4:34" x14ac:dyDescent="0.25">
      <c r="D10" s="22"/>
      <c r="E10" s="2" t="s">
        <v>9</v>
      </c>
      <c r="F10" s="22"/>
      <c r="G10" s="4"/>
      <c r="H10" s="4"/>
      <c r="I10" s="4"/>
      <c r="J10" s="4"/>
      <c r="K10" s="60"/>
      <c r="L10" s="5">
        <v>0.3106710216497286</v>
      </c>
      <c r="M10" s="5">
        <v>0.31759938753477335</v>
      </c>
      <c r="N10" s="5">
        <v>0.2823610372336971</v>
      </c>
      <c r="O10" s="5">
        <v>0.29867130416617216</v>
      </c>
      <c r="P10" s="60"/>
      <c r="Q10" s="5">
        <v>0.32129477140320928</v>
      </c>
      <c r="R10" s="5">
        <v>0.27385603618737342</v>
      </c>
      <c r="S10" s="5">
        <v>0.21640862247197323</v>
      </c>
      <c r="T10" s="5">
        <v>5.3639758698285078E-3</v>
      </c>
      <c r="U10" s="60"/>
      <c r="V10" s="5">
        <v>9.5269950342145471E-2</v>
      </c>
      <c r="W10" s="5">
        <v>0.16129032258064524</v>
      </c>
      <c r="X10" s="5">
        <v>0.19999999999999996</v>
      </c>
      <c r="Y10" s="5">
        <v>0.46428571428571419</v>
      </c>
      <c r="Z10" s="60"/>
      <c r="AA10" s="5">
        <v>0.35384615384615392</v>
      </c>
      <c r="AB10" s="5">
        <v>0.36111111111111116</v>
      </c>
      <c r="AC10" s="5">
        <v>0.31944444444444442</v>
      </c>
      <c r="AD10" s="5">
        <v>0.28048780487804881</v>
      </c>
      <c r="AE10" s="60"/>
      <c r="AF10" s="5">
        <v>0.22727272727272729</v>
      </c>
      <c r="AG10" s="5">
        <v>0.12244897959183665</v>
      </c>
      <c r="AH10" s="5">
        <v>0.14736842105263159</v>
      </c>
    </row>
    <row r="11" spans="4:34" x14ac:dyDescent="0.25">
      <c r="D11" s="41" t="s">
        <v>70</v>
      </c>
      <c r="E11" s="38"/>
      <c r="F11" s="39"/>
      <c r="G11" s="40">
        <v>3053.5072875348096</v>
      </c>
      <c r="H11" s="40">
        <v>3276.7322771123604</v>
      </c>
      <c r="I11" s="40">
        <v>3289.2564647720424</v>
      </c>
      <c r="J11" s="40">
        <v>3350.8249879403411</v>
      </c>
      <c r="K11" s="63"/>
      <c r="L11" s="40">
        <v>3454.0714694898888</v>
      </c>
      <c r="M11" s="40">
        <v>3623.7095016510821</v>
      </c>
      <c r="N11" s="40">
        <v>3634.0207596350201</v>
      </c>
      <c r="O11" s="40">
        <v>3627.5686600760273</v>
      </c>
      <c r="P11" s="63"/>
      <c r="Q11" s="40">
        <v>3704.0344689878521</v>
      </c>
      <c r="R11" s="40">
        <v>4000</v>
      </c>
      <c r="S11" s="40">
        <v>4033.333333333333</v>
      </c>
      <c r="T11" s="40">
        <v>4535.7142857142844</v>
      </c>
      <c r="U11" s="63"/>
      <c r="V11" s="40">
        <v>4430.7692307692314</v>
      </c>
      <c r="W11" s="40">
        <v>4833.333333333333</v>
      </c>
      <c r="X11" s="40">
        <v>4861.1111111111104</v>
      </c>
      <c r="Y11" s="40">
        <v>5085.3658536585363</v>
      </c>
      <c r="Z11" s="63"/>
      <c r="AA11" s="40">
        <v>5329.545454545454</v>
      </c>
      <c r="AB11" s="40">
        <v>5755.1020408163258</v>
      </c>
      <c r="AC11" s="40">
        <v>5800</v>
      </c>
      <c r="AD11" s="40">
        <v>5780.9523809523807</v>
      </c>
      <c r="AE11" s="63"/>
      <c r="AF11" s="40">
        <v>5703.7037037037035</v>
      </c>
      <c r="AG11" s="40">
        <v>5790.909090909091</v>
      </c>
      <c r="AH11" s="40">
        <v>5596.3302752293575</v>
      </c>
    </row>
    <row r="12" spans="4:34" x14ac:dyDescent="0.25">
      <c r="D12" s="2"/>
      <c r="E12" s="2" t="s">
        <v>9</v>
      </c>
      <c r="F12" s="22"/>
      <c r="G12" s="4"/>
      <c r="H12" s="4"/>
      <c r="I12" s="4"/>
      <c r="J12" s="4"/>
      <c r="K12" s="60"/>
      <c r="L12" s="5">
        <v>0.13118166889277894</v>
      </c>
      <c r="M12" s="5">
        <v>0.10589123406947887</v>
      </c>
      <c r="N12" s="5">
        <v>0.10481526708403721</v>
      </c>
      <c r="O12" s="5">
        <v>8.2589712423564388E-2</v>
      </c>
      <c r="P12" s="60"/>
      <c r="Q12" s="5">
        <v>7.2367639669852712E-2</v>
      </c>
      <c r="R12" s="5">
        <v>0.103841242841753</v>
      </c>
      <c r="S12" s="5">
        <v>0.10988175360297547</v>
      </c>
      <c r="T12" s="5">
        <v>0.25034553739341869</v>
      </c>
      <c r="U12" s="60"/>
      <c r="V12" s="5">
        <v>0.19620086364368095</v>
      </c>
      <c r="W12" s="5">
        <v>0.20833333333333326</v>
      </c>
      <c r="X12" s="5">
        <v>0.20523415977961434</v>
      </c>
      <c r="Y12" s="5">
        <v>0.12118302285385085</v>
      </c>
      <c r="Z12" s="60"/>
      <c r="AA12" s="5">
        <v>0.20284880050505016</v>
      </c>
      <c r="AB12" s="5">
        <v>0.19071076706544687</v>
      </c>
      <c r="AC12" s="5">
        <v>0.19314285714285728</v>
      </c>
      <c r="AD12" s="5">
        <v>0.13678200296905341</v>
      </c>
      <c r="AE12" s="60"/>
      <c r="AF12" s="5">
        <v>7.0204532891100069E-2</v>
      </c>
      <c r="AG12" s="5">
        <v>6.2217923920053764E-3</v>
      </c>
      <c r="AH12" s="5">
        <v>-3.5115469788041809E-2</v>
      </c>
    </row>
    <row r="13" spans="4:34" x14ac:dyDescent="0.25">
      <c r="D13" s="3" t="s">
        <v>71</v>
      </c>
      <c r="E13" s="22"/>
      <c r="F13" s="22"/>
      <c r="G13" s="4">
        <v>10464</v>
      </c>
      <c r="H13" s="4">
        <v>12104</v>
      </c>
      <c r="I13" s="4">
        <v>12652</v>
      </c>
      <c r="J13" s="4">
        <v>14372</v>
      </c>
      <c r="K13" s="62"/>
      <c r="L13" s="4">
        <v>15514</v>
      </c>
      <c r="M13" s="4">
        <v>17637</v>
      </c>
      <c r="N13" s="4">
        <v>17925</v>
      </c>
      <c r="O13" s="4">
        <v>20206</v>
      </c>
      <c r="P13" s="62"/>
      <c r="Q13" s="4">
        <v>21982</v>
      </c>
      <c r="R13" s="4">
        <v>24800</v>
      </c>
      <c r="S13" s="4">
        <v>24200</v>
      </c>
      <c r="T13" s="4">
        <v>25399.999999999996</v>
      </c>
      <c r="U13" s="62"/>
      <c r="V13" s="4">
        <v>28800</v>
      </c>
      <c r="W13" s="4">
        <v>34800</v>
      </c>
      <c r="X13" s="4">
        <v>35000</v>
      </c>
      <c r="Y13" s="4">
        <v>41700</v>
      </c>
      <c r="Z13" s="62"/>
      <c r="AA13" s="4">
        <v>46900</v>
      </c>
      <c r="AB13" s="4">
        <v>56400</v>
      </c>
      <c r="AC13" s="4">
        <v>55100</v>
      </c>
      <c r="AD13" s="4">
        <v>60700</v>
      </c>
      <c r="AE13" s="62"/>
      <c r="AF13" s="4">
        <v>61600</v>
      </c>
      <c r="AG13" s="4">
        <v>63700</v>
      </c>
      <c r="AH13" s="4">
        <v>61000</v>
      </c>
    </row>
    <row r="14" spans="4:34" x14ac:dyDescent="0.25">
      <c r="D14" s="22"/>
      <c r="E14" s="2" t="s">
        <v>9</v>
      </c>
      <c r="F14" s="22"/>
      <c r="G14" s="4"/>
      <c r="H14" s="4"/>
      <c r="I14" s="4"/>
      <c r="J14" s="4"/>
      <c r="K14" s="60"/>
      <c r="L14" s="5">
        <v>0.4826070336391437</v>
      </c>
      <c r="M14" s="5">
        <v>0.45712161269001972</v>
      </c>
      <c r="N14" s="5">
        <v>0.41677205184950994</v>
      </c>
      <c r="O14" s="5">
        <v>0.40592819370999167</v>
      </c>
      <c r="P14" s="60"/>
      <c r="Q14" s="5">
        <v>0.41691375531777752</v>
      </c>
      <c r="R14" s="5">
        <v>0.40613483018653973</v>
      </c>
      <c r="S14" s="5">
        <v>0.35006973500697347</v>
      </c>
      <c r="T14" s="5">
        <v>0.25705236068494486</v>
      </c>
      <c r="U14" s="60"/>
      <c r="V14" s="5">
        <v>0.31016286052224551</v>
      </c>
      <c r="W14" s="5">
        <v>0.40322580645161299</v>
      </c>
      <c r="X14" s="5">
        <v>0.44628099173553726</v>
      </c>
      <c r="Y14" s="5">
        <v>0.64173228346456712</v>
      </c>
      <c r="Z14" s="60"/>
      <c r="AA14" s="5">
        <v>0.62847222222222232</v>
      </c>
      <c r="AB14" s="5">
        <v>0.6206896551724137</v>
      </c>
      <c r="AC14" s="5">
        <v>0.57428571428571429</v>
      </c>
      <c r="AD14" s="5">
        <v>0.45563549160671468</v>
      </c>
      <c r="AE14" s="60"/>
      <c r="AF14" s="5">
        <v>0.31343283582089554</v>
      </c>
      <c r="AG14" s="5">
        <v>0.12943262411347511</v>
      </c>
      <c r="AH14" s="5">
        <v>0.10707803992740472</v>
      </c>
    </row>
    <row r="15" spans="4:34" x14ac:dyDescent="0.25">
      <c r="D15" s="3" t="s">
        <v>72</v>
      </c>
      <c r="E15" s="2"/>
      <c r="F15" s="22"/>
      <c r="G15" s="4"/>
      <c r="H15" s="4"/>
      <c r="I15" s="4"/>
      <c r="J15" s="4"/>
      <c r="K15" s="75"/>
      <c r="L15" s="10">
        <v>1.1354753444887478</v>
      </c>
      <c r="M15" s="10">
        <v>1.2409823320276994</v>
      </c>
      <c r="N15" s="10">
        <v>1.35832296176037</v>
      </c>
      <c r="O15" s="10">
        <v>1.5367706488295949</v>
      </c>
      <c r="P15" s="75"/>
      <c r="Q15" s="10">
        <v>1.7692822274757734</v>
      </c>
      <c r="R15" s="10">
        <v>2.1129032258064515</v>
      </c>
      <c r="S15" s="10">
        <v>2.2999999999999998</v>
      </c>
      <c r="T15" s="10">
        <v>2.7142857142857144</v>
      </c>
      <c r="U15" s="75"/>
      <c r="V15" s="10">
        <v>2.953846153846154</v>
      </c>
      <c r="W15" s="10">
        <v>3.5694444444444446</v>
      </c>
      <c r="X15" s="10">
        <v>4.0694444444444446</v>
      </c>
      <c r="Y15" s="10">
        <v>5.6463414634146343</v>
      </c>
      <c r="Z15" s="75"/>
      <c r="AA15" s="10">
        <v>4.9659090909090908</v>
      </c>
      <c r="AB15" s="10">
        <v>5.795918367346939</v>
      </c>
      <c r="AC15" s="10">
        <v>6.2</v>
      </c>
      <c r="AD15" s="10">
        <v>6.5428571428571427</v>
      </c>
      <c r="AE15" s="75"/>
      <c r="AF15" s="10">
        <v>7.0648148148148149</v>
      </c>
      <c r="AG15" s="10">
        <v>7.3090909090909095</v>
      </c>
      <c r="AH15" s="10">
        <v>7.6330275229357802</v>
      </c>
    </row>
    <row r="16" spans="4:34" x14ac:dyDescent="0.25">
      <c r="D16" s="2"/>
      <c r="E16" s="2" t="s">
        <v>9</v>
      </c>
      <c r="F16" s="22"/>
      <c r="G16" s="4"/>
      <c r="H16" s="4"/>
      <c r="I16" s="4"/>
      <c r="J16" s="4"/>
      <c r="K16" s="60"/>
      <c r="L16" s="5"/>
      <c r="M16" s="5"/>
      <c r="N16" s="5"/>
      <c r="O16" s="5"/>
      <c r="P16" s="60"/>
      <c r="Q16" s="5">
        <v>0.55818638957096822</v>
      </c>
      <c r="R16" s="5">
        <v>0.70260540482802814</v>
      </c>
      <c r="S16" s="5">
        <v>0.69326446268656738</v>
      </c>
      <c r="T16" s="5">
        <v>0.7662269359145526</v>
      </c>
      <c r="U16" s="60"/>
      <c r="V16" s="5">
        <v>0.66951665934065963</v>
      </c>
      <c r="W16" s="5">
        <v>0.68935538592027168</v>
      </c>
      <c r="X16" s="5">
        <v>0.76932367149758485</v>
      </c>
      <c r="Y16" s="5">
        <v>1.0802310654685492</v>
      </c>
      <c r="Z16" s="60"/>
      <c r="AA16" s="5">
        <v>0.68116714015151514</v>
      </c>
      <c r="AB16" s="5">
        <v>0.62375923131898681</v>
      </c>
      <c r="AC16" s="5">
        <v>0.52354948805460744</v>
      </c>
      <c r="AD16" s="5">
        <v>0.15877815489046587</v>
      </c>
      <c r="AE16" s="60"/>
      <c r="AF16" s="5">
        <v>0.4226629375370794</v>
      </c>
      <c r="AG16" s="5">
        <v>0.2610755441741357</v>
      </c>
      <c r="AH16" s="5">
        <v>0.23113347144125473</v>
      </c>
    </row>
    <row r="17" spans="4:34" x14ac:dyDescent="0.25">
      <c r="D17" s="349" t="s">
        <v>25</v>
      </c>
      <c r="E17" s="350"/>
      <c r="F17" s="351"/>
      <c r="G17" s="352"/>
      <c r="H17" s="352"/>
      <c r="I17" s="352"/>
      <c r="J17" s="352"/>
      <c r="K17" s="353">
        <v>0</v>
      </c>
      <c r="L17" s="352">
        <v>5100</v>
      </c>
      <c r="M17" s="352">
        <v>6040</v>
      </c>
      <c r="N17" s="352">
        <v>6700</v>
      </c>
      <c r="O17" s="352">
        <v>8560</v>
      </c>
      <c r="P17" s="353">
        <v>26400</v>
      </c>
      <c r="Q17" s="352">
        <v>10500</v>
      </c>
      <c r="R17" s="352">
        <v>13100</v>
      </c>
      <c r="S17" s="352">
        <v>13800</v>
      </c>
      <c r="T17" s="352">
        <v>15200</v>
      </c>
      <c r="U17" s="353">
        <v>52600</v>
      </c>
      <c r="V17" s="352">
        <v>19200</v>
      </c>
      <c r="W17" s="352">
        <v>25700</v>
      </c>
      <c r="X17" s="352">
        <v>29300</v>
      </c>
      <c r="Y17" s="352">
        <v>46300</v>
      </c>
      <c r="Z17" s="353">
        <v>120500</v>
      </c>
      <c r="AA17" s="352">
        <v>43700</v>
      </c>
      <c r="AB17" s="352">
        <v>56800</v>
      </c>
      <c r="AC17" s="352">
        <v>58900</v>
      </c>
      <c r="AD17" s="352">
        <v>68700</v>
      </c>
      <c r="AE17" s="353">
        <v>228100</v>
      </c>
      <c r="AF17" s="352">
        <v>76300</v>
      </c>
      <c r="AG17" s="352">
        <v>80400</v>
      </c>
      <c r="AH17" s="352">
        <v>83200</v>
      </c>
    </row>
    <row r="18" spans="4:34" x14ac:dyDescent="0.25">
      <c r="D18" s="22"/>
      <c r="E18" s="2" t="s">
        <v>9</v>
      </c>
      <c r="F18" s="22"/>
      <c r="G18" s="4"/>
      <c r="H18" s="4"/>
      <c r="I18" s="4"/>
      <c r="J18" s="4"/>
      <c r="K18" s="60"/>
      <c r="L18" s="5"/>
      <c r="M18" s="5"/>
      <c r="N18" s="5"/>
      <c r="O18" s="5"/>
      <c r="P18" s="60"/>
      <c r="Q18" s="5">
        <v>1.0588235294117645</v>
      </c>
      <c r="R18" s="5">
        <v>1.1688741721854305</v>
      </c>
      <c r="S18" s="5">
        <v>1.0597014925373136</v>
      </c>
      <c r="T18" s="5">
        <v>0.77570093457943923</v>
      </c>
      <c r="U18" s="60">
        <v>0.99242424242424243</v>
      </c>
      <c r="V18" s="5">
        <v>0.82857142857142851</v>
      </c>
      <c r="W18" s="5">
        <v>0.96183206106870234</v>
      </c>
      <c r="X18" s="5">
        <v>1.1231884057971016</v>
      </c>
      <c r="Y18" s="5">
        <v>2.0460526315789473</v>
      </c>
      <c r="Z18" s="60">
        <v>1.290874524714829</v>
      </c>
      <c r="AA18" s="5">
        <v>1.2760416666666665</v>
      </c>
      <c r="AB18" s="5">
        <v>1.2101167315175099</v>
      </c>
      <c r="AC18" s="5">
        <v>1.0102389078498293</v>
      </c>
      <c r="AD18" s="5">
        <v>0.48380129589632825</v>
      </c>
      <c r="AE18" s="60">
        <v>0.89294605809128624</v>
      </c>
      <c r="AF18" s="5">
        <v>0.74599542334096114</v>
      </c>
      <c r="AG18" s="5">
        <v>0.41549295774647876</v>
      </c>
      <c r="AH18" s="5">
        <v>0.41256366723259763</v>
      </c>
    </row>
    <row r="19" spans="4:34" ht="20.100000000000001" customHeight="1" x14ac:dyDescent="0.25">
      <c r="D19" s="3" t="s">
        <v>38</v>
      </c>
      <c r="E19" s="22"/>
      <c r="F19" s="22"/>
      <c r="G19" s="4"/>
      <c r="H19" s="4"/>
      <c r="I19" s="4"/>
      <c r="J19" s="4"/>
      <c r="K19" s="62"/>
      <c r="L19" s="4"/>
      <c r="M19" s="4"/>
      <c r="N19" s="4"/>
      <c r="O19" s="4"/>
      <c r="P19" s="62"/>
      <c r="Q19" s="4"/>
      <c r="R19" s="4"/>
      <c r="S19" s="4"/>
      <c r="T19" s="4"/>
      <c r="U19" s="62"/>
      <c r="V19" s="4"/>
      <c r="W19" s="4"/>
      <c r="X19" s="4"/>
      <c r="Y19" s="4"/>
      <c r="Z19" s="62"/>
      <c r="AA19" s="4">
        <v>4600</v>
      </c>
      <c r="AB19" s="4">
        <v>5300</v>
      </c>
      <c r="AC19" s="4">
        <v>5900</v>
      </c>
      <c r="AD19" s="4">
        <v>7300</v>
      </c>
      <c r="AE19" s="62"/>
      <c r="AF19" s="4">
        <v>8500</v>
      </c>
      <c r="AG19" s="4">
        <v>9400</v>
      </c>
      <c r="AH19" s="4">
        <v>10200</v>
      </c>
    </row>
    <row r="20" spans="4:34" x14ac:dyDescent="0.25">
      <c r="D20" s="22"/>
      <c r="E20" s="2" t="s">
        <v>9</v>
      </c>
      <c r="F20" s="22"/>
      <c r="G20" s="4"/>
      <c r="H20" s="4"/>
      <c r="I20" s="4"/>
      <c r="J20" s="4"/>
      <c r="K20" s="62"/>
      <c r="L20" s="4"/>
      <c r="M20" s="4"/>
      <c r="N20" s="4"/>
      <c r="O20" s="4"/>
      <c r="P20" s="62"/>
      <c r="Q20" s="4"/>
      <c r="R20" s="4"/>
      <c r="S20" s="4"/>
      <c r="T20" s="4"/>
      <c r="U20" s="62"/>
      <c r="V20" s="4"/>
      <c r="W20" s="4"/>
      <c r="X20" s="4"/>
      <c r="Y20" s="4"/>
      <c r="Z20" s="62"/>
      <c r="AA20" s="4"/>
      <c r="AB20" s="4"/>
      <c r="AC20" s="4"/>
      <c r="AD20" s="4"/>
      <c r="AE20" s="62"/>
      <c r="AF20" s="5">
        <v>0.84782608695652173</v>
      </c>
      <c r="AG20" s="5">
        <v>0.77358490566037741</v>
      </c>
      <c r="AH20" s="5">
        <v>0.72881355932203395</v>
      </c>
    </row>
    <row r="21" spans="4:34" x14ac:dyDescent="0.25">
      <c r="D21" s="41" t="s">
        <v>39</v>
      </c>
      <c r="E21" s="38"/>
      <c r="F21" s="39"/>
      <c r="G21" s="40"/>
      <c r="H21" s="40"/>
      <c r="I21" s="40"/>
      <c r="J21" s="40"/>
      <c r="K21" s="63"/>
      <c r="L21" s="40"/>
      <c r="M21" s="40"/>
      <c r="N21" s="40"/>
      <c r="O21" s="40"/>
      <c r="P21" s="63"/>
      <c r="Q21" s="40"/>
      <c r="R21" s="40"/>
      <c r="S21" s="40"/>
      <c r="T21" s="40"/>
      <c r="U21" s="63"/>
      <c r="V21" s="40"/>
      <c r="W21" s="40"/>
      <c r="X21" s="40"/>
      <c r="Y21" s="40"/>
      <c r="Z21" s="63"/>
      <c r="AA21" s="40">
        <v>324.46463335496429</v>
      </c>
      <c r="AB21" s="40">
        <v>358.49056603773585</v>
      </c>
      <c r="AC21" s="40">
        <v>355.93220338983053</v>
      </c>
      <c r="AD21" s="40">
        <v>369.86301369863014</v>
      </c>
      <c r="AE21" s="63"/>
      <c r="AF21" s="40">
        <v>352.94117647058823</v>
      </c>
      <c r="AG21" s="40">
        <v>351.06382978723406</v>
      </c>
      <c r="AH21" s="40">
        <v>333.33333333333331</v>
      </c>
    </row>
    <row r="22" spans="4:34" x14ac:dyDescent="0.25">
      <c r="D22" s="2"/>
      <c r="E22" s="2" t="s">
        <v>9</v>
      </c>
      <c r="F22" s="22"/>
      <c r="G22" s="4"/>
      <c r="H22" s="4"/>
      <c r="I22" s="4"/>
      <c r="J22" s="4"/>
      <c r="K22" s="62"/>
      <c r="L22" s="4"/>
      <c r="M22" s="4"/>
      <c r="N22" s="4"/>
      <c r="O22" s="4"/>
      <c r="P22" s="62"/>
      <c r="Q22" s="4"/>
      <c r="R22" s="4"/>
      <c r="S22" s="4"/>
      <c r="T22" s="4"/>
      <c r="U22" s="62"/>
      <c r="V22" s="4"/>
      <c r="W22" s="4"/>
      <c r="X22" s="4"/>
      <c r="Y22" s="4"/>
      <c r="Z22" s="62"/>
      <c r="AA22" s="4"/>
      <c r="AB22" s="4"/>
      <c r="AC22" s="4"/>
      <c r="AD22" s="4"/>
      <c r="AE22" s="62"/>
      <c r="AF22" s="5">
        <v>8.7764705882352967E-2</v>
      </c>
      <c r="AG22" s="5">
        <v>-2.0716685330347095E-2</v>
      </c>
      <c r="AH22" s="5">
        <v>-6.34920634920636E-2</v>
      </c>
    </row>
    <row r="23" spans="4:34" x14ac:dyDescent="0.25">
      <c r="D23" s="3" t="s">
        <v>23</v>
      </c>
      <c r="E23" s="22"/>
      <c r="F23" s="22"/>
      <c r="G23" s="4"/>
      <c r="H23" s="4"/>
      <c r="I23" s="4"/>
      <c r="J23" s="4"/>
      <c r="K23" s="62"/>
      <c r="L23" s="4"/>
      <c r="M23" s="4"/>
      <c r="N23" s="4"/>
      <c r="O23" s="4"/>
      <c r="P23" s="62"/>
      <c r="Q23" s="4"/>
      <c r="R23" s="4"/>
      <c r="S23" s="4"/>
      <c r="T23" s="4"/>
      <c r="U23" s="62"/>
      <c r="V23" s="4"/>
      <c r="W23" s="4"/>
      <c r="X23" s="4"/>
      <c r="Y23" s="4"/>
      <c r="Z23" s="62"/>
      <c r="AA23" s="4">
        <v>1492.5373134328358</v>
      </c>
      <c r="AB23" s="4">
        <v>1900</v>
      </c>
      <c r="AC23" s="4">
        <v>2100</v>
      </c>
      <c r="AD23" s="4">
        <v>2700</v>
      </c>
      <c r="AE23" s="62"/>
      <c r="AF23" s="4">
        <v>3000</v>
      </c>
      <c r="AG23" s="4">
        <v>3300</v>
      </c>
      <c r="AH23" s="4">
        <v>3400</v>
      </c>
    </row>
    <row r="24" spans="4:34" x14ac:dyDescent="0.25">
      <c r="D24" s="22"/>
      <c r="E24" s="2" t="s">
        <v>9</v>
      </c>
      <c r="F24" s="22"/>
      <c r="G24" s="4"/>
      <c r="H24" s="4"/>
      <c r="I24" s="4"/>
      <c r="J24" s="4"/>
      <c r="K24" s="62"/>
      <c r="L24" s="4"/>
      <c r="M24" s="4"/>
      <c r="N24" s="4"/>
      <c r="O24" s="4"/>
      <c r="P24" s="62"/>
      <c r="Q24" s="4"/>
      <c r="R24" s="4"/>
      <c r="S24" s="4"/>
      <c r="T24" s="4"/>
      <c r="U24" s="62"/>
      <c r="V24" s="4"/>
      <c r="W24" s="4"/>
      <c r="X24" s="4"/>
      <c r="Y24" s="4"/>
      <c r="Z24" s="62"/>
      <c r="AA24" s="4"/>
      <c r="AB24" s="4"/>
      <c r="AC24" s="4"/>
      <c r="AD24" s="4"/>
      <c r="AE24" s="62"/>
      <c r="AF24" s="5">
        <v>1.0099999999999998</v>
      </c>
      <c r="AG24" s="5">
        <v>0.73684210526315796</v>
      </c>
      <c r="AH24" s="5">
        <v>0.61904761904761907</v>
      </c>
    </row>
    <row r="25" spans="4:34" x14ac:dyDescent="0.25">
      <c r="D25" s="3" t="s">
        <v>26</v>
      </c>
      <c r="E25" s="2"/>
      <c r="F25" s="22"/>
      <c r="G25" s="4"/>
      <c r="H25" s="4"/>
      <c r="I25" s="4"/>
      <c r="J25" s="4"/>
      <c r="K25" s="75"/>
      <c r="L25" s="4"/>
      <c r="M25" s="4"/>
      <c r="N25" s="4"/>
      <c r="O25" s="4"/>
      <c r="P25" s="75"/>
      <c r="Q25" s="4"/>
      <c r="R25" s="4"/>
      <c r="S25" s="4"/>
      <c r="T25" s="4"/>
      <c r="U25" s="75"/>
      <c r="V25" s="4"/>
      <c r="W25" s="4"/>
      <c r="X25" s="4"/>
      <c r="Y25" s="4"/>
      <c r="Z25" s="75"/>
      <c r="AA25" s="10">
        <v>7.9565217391304346</v>
      </c>
      <c r="AB25" s="10">
        <v>9.3396226415094343</v>
      </c>
      <c r="AC25" s="10">
        <v>9.0847457627118651</v>
      </c>
      <c r="AD25" s="10">
        <v>9.712328767123287</v>
      </c>
      <c r="AE25" s="75"/>
      <c r="AF25" s="10">
        <v>9.1764705882352935</v>
      </c>
      <c r="AG25" s="10">
        <v>9.212765957446809</v>
      </c>
      <c r="AH25" s="10">
        <v>8.6862745098039209</v>
      </c>
    </row>
    <row r="26" spans="4:34" x14ac:dyDescent="0.25">
      <c r="D26" s="2"/>
      <c r="E26" s="2" t="s">
        <v>9</v>
      </c>
      <c r="F26" s="22"/>
      <c r="G26" s="4"/>
      <c r="H26" s="4"/>
      <c r="I26" s="4"/>
      <c r="J26" s="4"/>
      <c r="K26" s="62"/>
      <c r="L26" s="4"/>
      <c r="M26" s="4"/>
      <c r="N26" s="4"/>
      <c r="O26" s="4"/>
      <c r="P26" s="62"/>
      <c r="Q26" s="4"/>
      <c r="R26" s="4"/>
      <c r="S26" s="4"/>
      <c r="T26" s="4"/>
      <c r="U26" s="62"/>
      <c r="V26" s="4"/>
      <c r="W26" s="4"/>
      <c r="X26" s="4"/>
      <c r="Y26" s="4"/>
      <c r="Z26" s="62"/>
      <c r="AA26" s="4"/>
      <c r="AB26" s="4"/>
      <c r="AC26" s="4"/>
      <c r="AD26" s="4"/>
      <c r="AE26" s="62"/>
      <c r="AF26" s="5">
        <v>0.15332690453230469</v>
      </c>
      <c r="AG26" s="5">
        <v>-1.3582634859230613E-2</v>
      </c>
      <c r="AH26" s="5">
        <v>-4.3861574480538623E-2</v>
      </c>
    </row>
    <row r="27" spans="4:34" x14ac:dyDescent="0.25">
      <c r="D27" s="349" t="s">
        <v>27</v>
      </c>
      <c r="E27" s="350"/>
      <c r="F27" s="351"/>
      <c r="G27" s="352"/>
      <c r="H27" s="352"/>
      <c r="I27" s="352"/>
      <c r="J27" s="352"/>
      <c r="K27" s="353">
        <v>0</v>
      </c>
      <c r="L27" s="352"/>
      <c r="M27" s="352"/>
      <c r="N27" s="352"/>
      <c r="O27" s="352"/>
      <c r="P27" s="353">
        <v>0</v>
      </c>
      <c r="Q27" s="352"/>
      <c r="R27" s="352"/>
      <c r="S27" s="352"/>
      <c r="T27" s="352"/>
      <c r="U27" s="353">
        <v>0</v>
      </c>
      <c r="V27" s="352"/>
      <c r="W27" s="352"/>
      <c r="X27" s="352"/>
      <c r="Y27" s="352"/>
      <c r="Z27" s="353">
        <v>0</v>
      </c>
      <c r="AA27" s="352">
        <v>36600</v>
      </c>
      <c r="AB27" s="352">
        <v>48700</v>
      </c>
      <c r="AC27" s="352">
        <v>53600</v>
      </c>
      <c r="AD27" s="352">
        <v>69500</v>
      </c>
      <c r="AE27" s="353">
        <v>208400</v>
      </c>
      <c r="AF27" s="352">
        <v>78000</v>
      </c>
      <c r="AG27" s="352">
        <v>86600</v>
      </c>
      <c r="AH27" s="352">
        <v>88600</v>
      </c>
    </row>
    <row r="28" spans="4:34" x14ac:dyDescent="0.25">
      <c r="D28" s="22"/>
      <c r="E28" s="2" t="s">
        <v>9</v>
      </c>
      <c r="F28" s="22"/>
      <c r="G28" s="4"/>
      <c r="H28" s="4"/>
      <c r="I28" s="4"/>
      <c r="J28" s="4"/>
      <c r="K28" s="60"/>
      <c r="L28" s="4"/>
      <c r="M28" s="4"/>
      <c r="N28" s="4"/>
      <c r="O28" s="4"/>
      <c r="P28" s="60"/>
      <c r="Q28" s="4"/>
      <c r="R28" s="4"/>
      <c r="S28" s="4"/>
      <c r="T28" s="4"/>
      <c r="U28" s="60"/>
      <c r="V28" s="4"/>
      <c r="W28" s="4"/>
      <c r="X28" s="4"/>
      <c r="Y28" s="4"/>
      <c r="Z28" s="60"/>
      <c r="AA28" s="4"/>
      <c r="AB28" s="4"/>
      <c r="AC28" s="4"/>
      <c r="AD28" s="4"/>
      <c r="AE28" s="60"/>
      <c r="AF28" s="5">
        <v>1.1311475409836067</v>
      </c>
      <c r="AG28" s="5">
        <v>0.77823408624229984</v>
      </c>
      <c r="AH28" s="5">
        <v>0.65298507462686572</v>
      </c>
    </row>
    <row r="29" spans="4:34" ht="20.100000000000001" customHeight="1" x14ac:dyDescent="0.25">
      <c r="D29" s="3" t="s">
        <v>67</v>
      </c>
      <c r="E29" s="2"/>
      <c r="F29" s="22"/>
      <c r="G29" s="22"/>
      <c r="H29" s="22"/>
      <c r="I29" s="22"/>
      <c r="J29" s="22"/>
      <c r="K29" s="77">
        <v>0</v>
      </c>
      <c r="L29" s="111"/>
      <c r="M29" s="111"/>
      <c r="N29" s="111"/>
      <c r="O29" s="111"/>
      <c r="P29" s="77">
        <v>0</v>
      </c>
      <c r="Q29" s="111"/>
      <c r="R29" s="111"/>
      <c r="S29" s="111"/>
      <c r="T29" s="111"/>
      <c r="U29" s="77">
        <v>0</v>
      </c>
      <c r="V29" s="111"/>
      <c r="W29" s="111"/>
      <c r="X29" s="111"/>
      <c r="Y29" s="111"/>
      <c r="Z29" s="77">
        <v>0</v>
      </c>
      <c r="AA29" s="4">
        <v>300</v>
      </c>
      <c r="AB29" s="4">
        <v>800</v>
      </c>
      <c r="AC29" s="4">
        <v>800</v>
      </c>
      <c r="AD29" s="4">
        <v>1400</v>
      </c>
      <c r="AE29" s="77">
        <v>3300</v>
      </c>
      <c r="AF29" s="4">
        <v>2200</v>
      </c>
      <c r="AG29" s="92">
        <v>2600</v>
      </c>
      <c r="AH29" s="92">
        <v>1000</v>
      </c>
    </row>
    <row r="30" spans="4:34" x14ac:dyDescent="0.25">
      <c r="D30" s="22"/>
      <c r="E30" s="2" t="s">
        <v>9</v>
      </c>
      <c r="F30" s="22"/>
      <c r="G30" s="23"/>
      <c r="H30" s="23"/>
      <c r="I30" s="23"/>
      <c r="J30" s="23"/>
      <c r="K30" s="60"/>
      <c r="L30" s="19"/>
      <c r="M30" s="19"/>
      <c r="N30" s="19"/>
      <c r="O30" s="19"/>
      <c r="P30" s="60"/>
      <c r="Q30" s="19"/>
      <c r="R30" s="19"/>
      <c r="S30" s="19"/>
      <c r="T30" s="19"/>
      <c r="U30" s="60"/>
      <c r="V30" s="19"/>
      <c r="W30" s="19"/>
      <c r="X30" s="19"/>
      <c r="Y30" s="19"/>
      <c r="Z30" s="60"/>
      <c r="AA30" s="19"/>
      <c r="AB30" s="19"/>
      <c r="AC30" s="5"/>
      <c r="AD30" s="5"/>
      <c r="AE30" s="60"/>
      <c r="AF30" s="5">
        <v>6.333333333333333</v>
      </c>
      <c r="AG30" s="5">
        <v>2.25</v>
      </c>
      <c r="AH30" s="5">
        <v>0.25</v>
      </c>
    </row>
    <row r="31" spans="4:34" ht="6" customHeight="1" x14ac:dyDescent="0.25">
      <c r="D31" s="28"/>
      <c r="E31" s="29"/>
      <c r="F31" s="22"/>
      <c r="G31" s="23"/>
      <c r="H31" s="23"/>
      <c r="I31" s="23"/>
      <c r="J31" s="23"/>
      <c r="K31" s="59"/>
      <c r="L31" s="19"/>
      <c r="M31" s="19"/>
      <c r="N31" s="19"/>
      <c r="O31" s="19"/>
      <c r="P31" s="59"/>
      <c r="Q31" s="19"/>
      <c r="R31" s="19"/>
      <c r="S31" s="19"/>
      <c r="T31" s="19"/>
      <c r="U31" s="59"/>
      <c r="V31" s="19"/>
      <c r="W31" s="19"/>
      <c r="X31" s="19"/>
      <c r="Y31" s="19"/>
      <c r="Z31" s="59"/>
      <c r="AA31" s="19"/>
      <c r="AB31" s="19"/>
      <c r="AC31" s="19"/>
      <c r="AD31" s="19"/>
      <c r="AE31" s="59"/>
      <c r="AF31" s="19"/>
      <c r="AG31" s="30"/>
      <c r="AH31" s="30"/>
    </row>
    <row r="32" spans="4:34" x14ac:dyDescent="0.25">
      <c r="D32" s="348" t="s">
        <v>33</v>
      </c>
      <c r="E32" s="87"/>
      <c r="F32" s="85"/>
      <c r="G32" s="12"/>
      <c r="H32" s="12"/>
      <c r="I32" s="12"/>
      <c r="J32" s="12"/>
      <c r="K32" s="86">
        <v>15000</v>
      </c>
      <c r="L32" s="12">
        <v>5100</v>
      </c>
      <c r="M32" s="12">
        <v>6040</v>
      </c>
      <c r="N32" s="12">
        <v>6700</v>
      </c>
      <c r="O32" s="12">
        <v>8560</v>
      </c>
      <c r="P32" s="86">
        <v>26400</v>
      </c>
      <c r="Q32" s="12">
        <v>10500</v>
      </c>
      <c r="R32" s="12">
        <v>13100</v>
      </c>
      <c r="S32" s="12">
        <v>13800</v>
      </c>
      <c r="T32" s="12">
        <v>15200</v>
      </c>
      <c r="U32" s="86">
        <v>52600</v>
      </c>
      <c r="V32" s="12">
        <v>19200</v>
      </c>
      <c r="W32" s="12">
        <v>25700</v>
      </c>
      <c r="X32" s="12">
        <v>29300</v>
      </c>
      <c r="Y32" s="12">
        <v>46300</v>
      </c>
      <c r="Z32" s="86">
        <v>120500</v>
      </c>
      <c r="AA32" s="12">
        <v>80600</v>
      </c>
      <c r="AB32" s="12">
        <v>106400</v>
      </c>
      <c r="AC32" s="12">
        <v>113400</v>
      </c>
      <c r="AD32" s="12">
        <v>139600</v>
      </c>
      <c r="AE32" s="86">
        <v>440000</v>
      </c>
      <c r="AF32" s="12">
        <v>156500</v>
      </c>
      <c r="AG32" s="12">
        <v>169600</v>
      </c>
      <c r="AH32" s="12">
        <v>172800</v>
      </c>
    </row>
    <row r="33" spans="4:34" x14ac:dyDescent="0.25">
      <c r="D33" s="22"/>
      <c r="E33" s="2" t="s">
        <v>9</v>
      </c>
      <c r="F33" s="22"/>
      <c r="G33" s="4"/>
      <c r="H33" s="4"/>
      <c r="I33" s="4"/>
      <c r="J33" s="4"/>
      <c r="K33" s="60"/>
      <c r="L33" s="4"/>
      <c r="M33" s="4"/>
      <c r="N33" s="4"/>
      <c r="O33" s="4"/>
      <c r="P33" s="60">
        <v>0.76</v>
      </c>
      <c r="Q33" s="5">
        <v>1.0588235294117645</v>
      </c>
      <c r="R33" s="5">
        <v>1.1688741721854305</v>
      </c>
      <c r="S33" s="5">
        <v>1.0597014925373136</v>
      </c>
      <c r="T33" s="5">
        <v>0.77570093457943923</v>
      </c>
      <c r="U33" s="60">
        <v>0.99242424242424243</v>
      </c>
      <c r="V33" s="5">
        <v>0.82857142857142851</v>
      </c>
      <c r="W33" s="5">
        <v>0.96183206106870234</v>
      </c>
      <c r="X33" s="5">
        <v>1.1231884057971016</v>
      </c>
      <c r="Y33" s="5">
        <v>2.0460526315789473</v>
      </c>
      <c r="Z33" s="60">
        <v>1.290874524714829</v>
      </c>
      <c r="AA33" s="5">
        <v>3.197916666666667</v>
      </c>
      <c r="AB33" s="5">
        <v>3.1400778210116735</v>
      </c>
      <c r="AC33" s="5">
        <v>2.8703071672354947</v>
      </c>
      <c r="AD33" s="5">
        <v>2.0151187904967602</v>
      </c>
      <c r="AE33" s="60">
        <v>2.6514522821576763</v>
      </c>
      <c r="AF33" s="5">
        <v>0.94168734491315131</v>
      </c>
      <c r="AG33" s="5">
        <v>0.59398496240601495</v>
      </c>
      <c r="AH33" s="5">
        <v>0.52380952380952372</v>
      </c>
    </row>
  </sheetData>
  <pageMargins left="0.7" right="0.7" top="0.75" bottom="0.75" header="0.3" footer="0.3"/>
  <pageSetup scale="7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C142-8398-4D9C-8488-515DF0843D6C}">
  <dimension ref="B3:C10"/>
  <sheetViews>
    <sheetView workbookViewId="0">
      <selection activeCell="D11" sqref="D11"/>
    </sheetView>
  </sheetViews>
  <sheetFormatPr defaultRowHeight="15" x14ac:dyDescent="0.25"/>
  <cols>
    <col min="2" max="2" width="13.42578125" customWidth="1"/>
  </cols>
  <sheetData>
    <row r="3" spans="2:3" x14ac:dyDescent="0.25">
      <c r="B3" t="s">
        <v>452</v>
      </c>
      <c r="C3">
        <v>75</v>
      </c>
    </row>
    <row r="4" spans="2:3" x14ac:dyDescent="0.25">
      <c r="B4" t="s">
        <v>453</v>
      </c>
      <c r="C4">
        <f>IS!AR85</f>
        <v>115487</v>
      </c>
    </row>
    <row r="5" spans="2:3" x14ac:dyDescent="0.25">
      <c r="B5" t="s">
        <v>454</v>
      </c>
      <c r="C5">
        <f>C3*C4</f>
        <v>8661525</v>
      </c>
    </row>
    <row r="6" spans="2:3" x14ac:dyDescent="0.25">
      <c r="B6" t="s">
        <v>455</v>
      </c>
      <c r="C6">
        <f>BS!AR6+BS!AR7-BS!AR30-BS!AR36-BS!AR35-BS!AR28</f>
        <v>449197</v>
      </c>
    </row>
    <row r="7" spans="2:3" x14ac:dyDescent="0.25">
      <c r="B7" t="s">
        <v>456</v>
      </c>
      <c r="C7">
        <f>C5-C6</f>
        <v>8212328</v>
      </c>
    </row>
    <row r="9" spans="2:3" x14ac:dyDescent="0.25">
      <c r="B9" t="s">
        <v>457</v>
      </c>
      <c r="C9">
        <f>IS!AV17</f>
        <v>1643118.6846418357</v>
      </c>
    </row>
    <row r="10" spans="2:3" x14ac:dyDescent="0.25">
      <c r="B10" t="s">
        <v>458</v>
      </c>
      <c r="C10">
        <f>C7/C9</f>
        <v>4.9980126674721062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684768121"><![CDATA[{"BILL-US^FF_SALES(ANN_R,0)":641.959,"BILL-US^FE_ESTIMATE(SALES,MEAN,ANN_ROLL,+1,NOW,,,'')":1000.32794,"BILL-US^FE_ESTIMATE(SALES,MEAN,QTR_ROLL,+1,NOW,,,'')":243.96075,"BILL-US^FE_ESTIMATE(SALES,MEAN,QTR_ROLL,2022/2F,NOW,,,'')":156.5,"BILL-US^FE_ESTIMATE(SALES,MEAN,QTR_ROLL,2024/4F,NOW,,,'')":339.35516,"BILL-US^FE_ESTIMATE(PRODLINE_SALES_1,MEAN,QTR_ROLL,2023/4F,NOW,,,'')":70.10817,"BILL-US^FE_ESTIMATE(PRODLINE_SALES_1,MEAN,QTR_ROLL,2023/3F,NOW,,,'')":66.46088,"BILL-US^FE_ESTIMATE(PRODLINE_SALES_4,MEDIAN,QTR_ROLL,2024/4F,NOW,,,'')":29.35,"BILL-US^FE_ESTIMATE(PRODLINE_SALES_4,MEDIAN,QTR_ROLL,2024/3F,NOW,,,'')":28.9,"BILL-US^FE_ESTIMATE(PRODLINE_SALES_4,MEDIAN,QTR_ROLL,2024/1F,NOW,,,'')":29.45,"BILL-US^FE_ESTIMATE(SALES_P,MEAN,QTR_ROLL,2023/2F,NOW,,,'')":null,"BILL-US^FE_ESTIMATE(SALES_C,MEAN,QTR_ROLL,2023/2F,NOW,,,'')":null,"BILL-US^FE_ESTIMATE(PRODLINE_SALES_3,MEAN,QTR_ROLL,2024/4F,NOW,,,'')":308.8644,"BILL-US^FE_ESTIMATE(SALES_PRODLINE_3,MEAN,QTR_ROLL,2023/3F,NOW,,,'')":"#NUM","BILL-US^FE_ESTIMATE(SALES_PRODLINE_3,MEAN,QTR_ROLL,2023/2F,NOW,,,'')":"#NUM","BILL-US^FE_ESTIMATE(PRODLINE_SALES_3,MEAN,QTR_ROLL,2024/3F,NOW,,,'')":281.4784,"BILL-US^FE_ESTIMATE(PRODLINE_SALES_3,MEAN,QTR_ROLL,2024/1F,NOW,,,'')":251.735,"BILL-US^FE_ESTIMATE(PRODLINE_SALES_3,MEAN,QTR_ROLL,2023/4F,NOW,,,'')":244.5267,"BILL-US^FE_ESTIMATE(PRODLINE_SALES_3,MEAN,QTR_ROLL,2023/3F,NOW,,,'')":222.4404,"BILL-US^FE_ESTIMATE(PRODLINE_SALES_3,MEAN,QTR_ROLL,2023/2F,NOW,,,'')":216.3358,"BILL-US^FE_ESTIMATE(PRODLINE_SALES_1,MEAN,QTR_ROLL,2024/4F,NOW,,,'')":85.12075,"BILL-US^FE_ESTIMATE(PRODLINE_SALES_1,MEAN,QTR_ROLL,2024/3F,NOW,,,'')":80.7045,"BILL-US^FE_ESTIMATE(PRODLINE_SALES_1,MEAN,QTR_ROLL,2024/1F,NOW,,,'')":71.887,"BILL-US^FE_ESTIMATE(SALES,MEAN,QTR_ROLL,2023/3F,NOW,,,'')":247.91658,"BILL-US^FE_ESTIMATE(SALES,MEAN,QTR_ROLL,2023/2F,NOW,,,'')":260.006,"BILL-US^FE_ESTIMATE(PRODLINE_SALES_1,MEAN,QTR_ROLL,2023/2F,NOW,,,'')":63.1846,"BILL-US^FE_ESTIMATE(PRODLINE_SALES_2,MEAN,QTR_ROLL,2024/4F,NOW,,,'')":248.601,"BILL-US^FE_ESTIMATE(PRODLINE_SALES_2,MEAN,QTR_ROLL,2024/3F,NOW,,,'')":219.792,"BILL-US^FE_ESTIMATE(PRODLINE_SALES_2,MEAN,QTR_ROLL,2024/1F,NOW,,,'')":195.553,"BILL-US^FE_ESTIMATE(PRODLINE_SALES_2,MEAN,QTR_ROLL,2023/4F,NOW,,,'')":155.03633,"BILL-US^FE_ESTIMATE(PRODLINE_SALES_2,MEAN,QTR_ROLL,2023/3F,NOW,,,'')":145.0,"BILL-US^FE_ESTIMATE(PRODLINE_SALES_2,MEAN,QTR_ROLL,2023/2F,NOW,,,'')":162.53275,"BILL-US^FE_ESTIMATE(SALES_C,MEDIAN,QTR_ROLL,2023/2F,NOW,,,'')":null,"BILL-US^FE_ESTIMATE(PRODLINE_SALES_2,MEDIAN,QTR_ROLL,2024/4F,NOW,,,'')":248.601,"BILL-US^FE_ESTIMATE(SALES,MEDIAN,QTR_ROLL,2024/4F,NOW,,,'')":357.90198,"BILL-US^FE_ESTIMATE(PRODLINE_SALES_2,MEDIAN,QTR_ROLL,2024/3F,NOW,,,'')":219.792,"BILL-US^FE_ESTIMATE(PRODLINE_SALES_2,MEDIAN,QTR_ROLL,2024/1F,NOW,,,'')":195.553,"BILL-US^FE_ESTIMATE(PRODLINE_SALES_2,MEDIAN,QTR_ROLL,2023/4F,NOW,,,'')":177.454,"BILL-US^FE_ESTIMATE(PRODLINE_SALES_2,MEDIAN,QTR_ROLL,2023/3F,NOW,,,'')":165.3165,"BILL-US^FE_ESTIMATE(PRODLINE_SALES_2,MEDIAN,QTR_ROLL,2023/2F,NOW,,,'')":163.1155,"BILL-US^FE_ESTIMATE(PRODLINE_SALES_2,MEDIAN,QTR_ROLL,2024/2F,NOW,,,'')":212.619,"BILL-US^FE_ESTIMATE(PRODLINE_SALES_3,MEDIAN,QTR_ROLL,2024/2F,NOW,,,'')":282.4595,"BILL-US^FE_ESTIMATE(PRODLINE_SALES_3,MEDIAN,QTR_ROLL,2024/1F,NOW,,,'')":261.1215,"BILL-US^FE_ESTIMATE(PRODLINE_SALES_3,MEDIAN,QTR_ROLL,2023/4F,NOW,,,'')":238.0075,"BILL-US^FE_ESTIMATE(PRODLINE_SALES_3,MEDIAN,QTR_ROLL,2023/3F,NOW,,,'')":219.2915,"BILL-US^FE_ESTIMATE(SALES,MEAN,QTR_ROLL,2024/1F,NOW,,,'')":291.88538,"BILL-US^FE_ESTIMATE(SALES,MEAN,QTR_ROLL,2023/4F,NOW,,,'')":268.2991,"BILL-US^FE_ESTIMATE(PRODLINE_SALES_3,MEDIAN,QTR_ROLL,2023/2F,NOW,,,'')":225.35,"BILL-US^FE_ESTIMATE(SALES,MEDIAN,QTR_ROLL,2024/3F,NOW,,,'')":325.922,"BILL-US^FE_ESTIMATE(SALES,MEDIAN,QTR_ROLL,2024/2F,NOW,,,'')":314.45,"BILL-US^FE_ESTIMATE(SALES,MEDIAN,QTR_ROLL,2024/1F,NOW,,,'')":295.516,"BILL-US^FE_ESTIMATE(SALES,MEDIAN,QTR_ROLL,2023/4F,NOW,,,'')":278.344,"BILL-US^FE_ESTIMATE(SALES,MEDIAN,QTR_ROLL,2023/3F,NOW,,,'')":251.4505,"BILL-US^FE_ESTIMATE(SALES,MEDIAN,QTR_ROLL,2023/2F,NOW,,,'')":243.76093,"BILL-US^FE_ESTIMATE(PRODLINE_SALES_1,MEAN,QTR_ROLL,2024/2F,NOW,,,'')":73.433,"BILL-US^FE_ESTIMATE(PRODLINE_SALES_4,MEDIAN,QTR_ROLL,2023/4F,NOW,,,'')":28.876,"BILL-US^FE_ESTIMATE(PRODLINE_SALES_4,MEDIAN,QTR_ROLL,2023/3F,NOW,,,'')":27.0455,"BILL-US^FE_ESTIMATE(PRODLINE_SALES_3,MEDIAN,QTR_ROLL,2024/4F,NOW,,,'')":307.0875,"BILL-US^FE_ESTIMATE(PRODLINE_SALES_3,MEDIAN,QTR_ROLL,2024/3F,NOW,,,'')":285.3445,"BILL-US^FE_ESTIMATE(SALES,MEAN,QTR_ROLL,2024/3F,NOW,,,'')":314.69113,"BILL-US^FE_ESTIMATE(SALES,MEAN,QTR_ROLL,2024/2F,NOW,,,'')":314.32797,"BILL-US^FE_ESTIMATE(PRODLINE_SALES_4,MEDIAN,QTR_ROLL,2023/2F,NOW,,,'')":18.0,"BILL-US^FE_ESTIMATE(PRODLINE_SALES_4,MEDIAN,QTR_ROLL,2024/2F,NOW,,,'')":30.05}]]></FdsFormulaCache>
</file>

<file path=customXml/itemProps1.xml><?xml version="1.0" encoding="utf-8"?>
<ds:datastoreItem xmlns:ds="http://schemas.openxmlformats.org/officeDocument/2006/customXml" ds:itemID="{8611FDE8-DEB5-4346-8AFE-337C3FEC42B3}">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Comparison</vt:lpstr>
      <vt:lpstr>Guide</vt:lpstr>
      <vt:lpstr>IS</vt:lpstr>
      <vt:lpstr>BS</vt:lpstr>
      <vt:lpstr>CF</vt:lpstr>
      <vt:lpstr>Revenue Build</vt:lpstr>
      <vt:lpstr>Metrics</vt:lpstr>
      <vt:lpstr>BM Upload</vt:lpstr>
      <vt:lpstr>Graph</vt:lpstr>
      <vt:lpstr>FI Metrics</vt:lpstr>
      <vt:lpstr>Old Rev Build</vt:lpstr>
      <vt:lpstr>Old IS</vt:lpstr>
      <vt:lpstr>Contribution Margin</vt:lpstr>
      <vt:lpstr>Sheet4</vt:lpstr>
      <vt:lpstr>Valuation</vt:lpstr>
    </vt:vector>
  </TitlesOfParts>
  <Company>Needham and Company,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Rackers, Michael</dc:creator>
  <cp:lastModifiedBy>Yuuji Anderson</cp:lastModifiedBy>
  <cp:lastPrinted>2026-02-06T01:28:04Z</cp:lastPrinted>
  <dcterms:created xsi:type="dcterms:W3CDTF">2022-11-21T17:39:38Z</dcterms:created>
  <dcterms:modified xsi:type="dcterms:W3CDTF">2026-03-10T17:48:40Z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46bacc31-a192-4c89-9b5f-1d6ab726b8d4</vt:lpwstr>
  </property>
</Properties>
</file>