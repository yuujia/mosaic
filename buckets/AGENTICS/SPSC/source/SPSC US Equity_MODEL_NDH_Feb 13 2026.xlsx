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yuuji\Dropbox\Kaissa Consumer\Mosaic\buckets\AGENTICS\SPSC\source\"/>
    </mc:Choice>
  </mc:AlternateContent>
  <xr:revisionPtr revIDLastSave="0" documentId="8_{FF73C53F-3DE6-4A55-A1B5-65CDE7660834}" xr6:coauthVersionLast="47" xr6:coauthVersionMax="47" xr10:uidLastSave="{00000000-0000-0000-0000-000000000000}"/>
  <bookViews>
    <workbookView xWindow="21600" yWindow="-16200" windowWidth="19410" windowHeight="15585" tabRatio="770" firstSheet="1" activeTab="6" xr2:uid="{00000000-000D-0000-FFFF-FFFF00000000}"/>
  </bookViews>
  <sheets>
    <sheet name="__FDSCACHE__" sheetId="18" state="veryHidden" r:id="rId1"/>
    <sheet name="Comparison" sheetId="6" r:id="rId2"/>
    <sheet name="Guidance" sheetId="21" r:id="rId3"/>
    <sheet name="IS" sheetId="1" r:id="rId4"/>
    <sheet name="BS" sheetId="2" r:id="rId5"/>
    <sheet name="CF" sheetId="3" r:id="rId6"/>
    <sheet name="Metrics" sheetId="4" r:id="rId7"/>
    <sheet name="Org customer adds" sheetId="22" r:id="rId8"/>
    <sheet name="Sheet4" sheetId="25" r:id="rId9"/>
    <sheet name="Investor Day" sheetId="24" r:id="rId10"/>
    <sheet name="Chart" sheetId="19" r:id="rId11"/>
    <sheet name="Estimates" sheetId="5" r:id="rId12"/>
    <sheet name="BM Upload" sheetId="15" r:id="rId13"/>
    <sheet name="V" sheetId="17" r:id="rId14"/>
    <sheet name="Sheet2" sheetId="20" r:id="rId15"/>
    <sheet name="Sheet1" sheetId="16" r:id="rId16"/>
    <sheet name="Charts" sheetId="13" r:id="rId17"/>
    <sheet name="Sheet3" sheetId="23"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____wrn2" localSheetId="7" hidden="1">{#N/A,#N/A,FALSE,"ASSUMPTIONS";#N/A,#N/A,FALSE,"Valuation Summary";"page1",#N/A,FALSE,"PRESENTATION";"page2",#N/A,FALSE,"PRESENTATION";#N/A,#N/A,FALSE,"ORIGINAL_ROLLBACK"}</definedName>
    <definedName name="_____wrn2" hidden="1">{#N/A,#N/A,FALSE,"ASSUMPTIONS";#N/A,#N/A,FALSE,"Valuation Summary";"page1",#N/A,FALSE,"PRESENTATION";"page2",#N/A,FALSE,"PRESENTATION";#N/A,#N/A,FALSE,"ORIGINAL_ROLLBACK"}</definedName>
    <definedName name="_____wrn3" localSheetId="7"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wr3" localSheetId="7" hidden="1">{#N/A,#N/A,FALSE,"ASSUMPTIONS";#N/A,#N/A,FALSE,"Valuation Summary";"page1",#N/A,FALSE,"PRESENTATION";"page2",#N/A,FALSE,"PRESENTATION";#N/A,#N/A,FALSE,"ORIGINAL_ROLLBACK"}</definedName>
    <definedName name="____wr3" hidden="1">{#N/A,#N/A,FALSE,"ASSUMPTIONS";#N/A,#N/A,FALSE,"Valuation Summary";"page1",#N/A,FALSE,"PRESENTATION";"page2",#N/A,FALSE,"PRESENTATION";#N/A,#N/A,FALSE,"ORIGINAL_ROLLBACK"}</definedName>
    <definedName name="____wrn2" localSheetId="7"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localSheetId="7"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wrn2" localSheetId="7" hidden="1">{#N/A,#N/A,FALSE,"ASSUMPTIONS";#N/A,#N/A,FALSE,"Valuation Summary";"page1",#N/A,FALSE,"PRESENTATION";"page2",#N/A,FALSE,"PRESENTATION";#N/A,#N/A,FALSE,"ORIGINAL_ROLLBACK"}</definedName>
    <definedName name="___wrn2" hidden="1">{#N/A,#N/A,FALSE,"ASSUMPTIONS";#N/A,#N/A,FALSE,"Valuation Summary";"page1",#N/A,FALSE,"PRESENTATION";"page2",#N/A,FALSE,"PRESENTATION";#N/A,#N/A,FALSE,"ORIGINAL_ROLLBACK"}</definedName>
    <definedName name="___wrn3" localSheetId="7"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123Graph_A" hidden="1">#REF!</definedName>
    <definedName name="__123Graph_B" hidden="1">'[1]TECH AID'!#REF!</definedName>
    <definedName name="__123Graph_C" hidden="1">'[2]Fleet Debits'!#REF!</definedName>
    <definedName name="__123Graph_D" hidden="1">'[2]Fleet Debits'!#REF!</definedName>
    <definedName name="__123Graph_E" hidden="1">'[2]Fleet Debits'!#REF!</definedName>
    <definedName name="__123Graph_F" hidden="1">#REF!</definedName>
    <definedName name="__123Graph_X" hidden="1">#REF!</definedName>
    <definedName name="__FDS_HYPERLINK_TOGGLE_STATE__" hidden="1">"ON"</definedName>
    <definedName name="__FDS_UNIQUE_RANGE_ID_GENERATOR_COUNTER" hidden="1">1</definedName>
    <definedName name="__FDS_USED_FOR_REUSING_RANGE_IDS_RECYCLE" localSheetId="7" hidden="1">{152,168,338,189,173,195,158,390,7,11,232,378,159,175,261,183,177,129,8,155,265,394,57}</definedName>
    <definedName name="__FDS_USED_FOR_REUSING_RANGE_IDS_RECYCLE" hidden="1">{152,168,338,189,173,195,158,390,7,11,232,378,159,175,261,183,177,129,8,155,265,394,57}</definedName>
    <definedName name="__IntlFixup" hidden="1">TRUE</definedName>
    <definedName name="__IntlFixupTable" hidden="1">#REF!</definedName>
    <definedName name="__n324" hidden="1">"c39"</definedName>
    <definedName name="__new1" hidden="1">"c32"</definedName>
    <definedName name="__new2" hidden="1">"c8"</definedName>
    <definedName name="__new3" hidden="1">"c7"</definedName>
    <definedName name="__new5" hidden="1">"c1471"</definedName>
    <definedName name="__wrn2" localSheetId="7" hidden="1">{#N/A,#N/A,FALSE,"ASSUMPTIONS";#N/A,#N/A,FALSE,"Valuation Summary";"page1",#N/A,FALSE,"PRESENTATION";"page2",#N/A,FALSE,"PRESENTATION";#N/A,#N/A,FALSE,"ORIGINAL_ROLLBACK"}</definedName>
    <definedName name="__wrn2" hidden="1">{#N/A,#N/A,FALSE,"ASSUMPTIONS";#N/A,#N/A,FALSE,"Valuation Summary";"page1",#N/A,FALSE,"PRESENTATION";"page2",#N/A,FALSE,"PRESENTATION";#N/A,#N/A,FALSE,"ORIGINAL_ROLLBACK"}</definedName>
    <definedName name="__wrn3" localSheetId="7"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1__123Graph_A1991_BARGRAPH" hidden="1">#REF!</definedName>
    <definedName name="_1__123Graph_ACHART_10" hidden="1">'[3]Variance Sum '!#REF!</definedName>
    <definedName name="_1__123Graph_ACHART_3" hidden="1">#REF!</definedName>
    <definedName name="_1__123Graph_ACONTRACT_BY_B_U" hidden="1">#REF!</definedName>
    <definedName name="_10__123Graph_ACHART_2" hidden="1">'[3]Variance Sum '!#REF!</definedName>
    <definedName name="_10__123Graph_ACHART_9" hidden="1">'[3]Variance Sum '!#REF!</definedName>
    <definedName name="_10__123Graph_BCONTRACT_BY_B_U" hidden="1">#REF!</definedName>
    <definedName name="_10__123Graph_BSENS_COMPARISON" hidden="1">#REF!</definedName>
    <definedName name="_10__123Graph_BSUPPLIES_BY_B_U" hidden="1">#REF!</definedName>
    <definedName name="_109__123Graph_ACHART_8" hidden="1">'[3]Variance Sum '!#REF!</definedName>
    <definedName name="_11__123Graph_BChart_1A" hidden="1">'[4]19'!#REF!</definedName>
    <definedName name="_11__123Graph_BQRE_S_BY_CO." hidden="1">#REF!</definedName>
    <definedName name="_11__123Graph_BSUPPLIES_BY_B_U" hidden="1">#REF!</definedName>
    <definedName name="_11__123Graph_BTAX_CREDIT" hidden="1">#REF!</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123Graph_ACHART_10" hidden="1">'[3]Variance Sum '!#REF!</definedName>
    <definedName name="_12__123Graph_BSENS_COMPARISON" hidden="1">#REF!</definedName>
    <definedName name="_12__123Graph_BTAX_CREDIT" hidden="1">#REF!</definedName>
    <definedName name="_12__123Graph_BWAGES_BY_B_U" hidden="1">#REF!</definedName>
    <definedName name="_12__123Graph_CChart_1A" hidden="1">'[4]19'!#REF!</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__123Graph_ACHART_9" hidden="1">'[3]Variance Sum '!#REF!</definedName>
    <definedName name="_13__123Graph_ACHART_3" hidden="1">'[3]Variance Sum '!#REF!</definedName>
    <definedName name="_13__123Graph_BSUPPLIES_BY_B_U" hidden="1">#REF!</definedName>
    <definedName name="_13__123Graph_BWAGES_BY_B_U" hidden="1">#REF!</definedName>
    <definedName name="_13__123Graph_CCONTRACT_BY_B_U" hidden="1">#REF!</definedName>
    <definedName name="_13__123Graph_LBL_ACHART_10" hidden="1">'[3]Variance Sum '!#REF!</definedName>
    <definedName name="_134__123Graph_BChart_1A" hidden="1">'[4]19'!#REF!</definedName>
    <definedName name="_14__123Graph_BTAX_CREDIT" hidden="1">#REF!</definedName>
    <definedName name="_14__123Graph_CCONTRACT_BY_B_U" hidden="1">#REF!</definedName>
    <definedName name="_14__123Graph_CQRE_S_BY_CO." hidden="1">#REF!</definedName>
    <definedName name="_14__123Graph_XCHART_10" hidden="1">'[3]Variance Sum '!#REF!</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7__123Graph_CChart_1A" hidden="1">'[4]19'!#REF!</definedName>
    <definedName name="_15__123Graph_BWAGES_BY_B_U" hidden="1">#REF!</definedName>
    <definedName name="_15__123Graph_CQRE_S_BY_CO." hidden="1">#REF!</definedName>
    <definedName name="_15__123Graph_CSENS_COMPARISON" hidden="1">#REF!</definedName>
    <definedName name="_15__123Graph_XChart_1A" hidden="1">'[4]19'!#REF!</definedName>
    <definedName name="_159__123Graph_LBL_ACHART_10" hidden="1">'[3]Variance Sum '!#REF!</definedName>
    <definedName name="_16__123Graph_ACHART_4" hidden="1">'[3]Variance Sum '!#REF!</definedName>
    <definedName name="_16__123Graph_CCONTRACT_BY_B_U" hidden="1">#REF!</definedName>
    <definedName name="_16__123Graph_CSENS_COMPARISON" hidden="1">#REF!</definedName>
    <definedName name="_16__123Graph_CSUPPLIES_BY_B_U" hidden="1">#REF!</definedName>
    <definedName name="_16__123Graph_XCHART_2" hidden="1">'[3]Variance Sum '!#REF!</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123Graph_CQRE_S_BY_CO." hidden="1">#REF!</definedName>
    <definedName name="_17__123Graph_CSUPPLIES_BY_B_U" hidden="1">#REF!</definedName>
    <definedName name="_17__123Graph_CWAGES_BY_B_U" hidden="1">#REF!</definedName>
    <definedName name="_17__123Graph_XCHART_3" hidden="1">'[3]Variance Sum '!#REF!</definedName>
    <definedName name="_171__123Graph_XCHART_10" hidden="1">'[3]Variance Sum '!#REF!</definedName>
    <definedName name="_18__123Graph_CSENS_COMPARISON" hidden="1">#REF!</definedName>
    <definedName name="_18__123Graph_CWAGES_BY_B_U" hidden="1">#REF!</definedName>
    <definedName name="_18__123Graph_DCONTRACT_BY_B_U" hidden="1">#REF!</definedName>
    <definedName name="_18__123Graph_XCHART_4" hidden="1">'[3]Variance Sum '!#REF!</definedName>
    <definedName name="_184__123Graph_XChart_1A" hidden="1">'[4]19'!#REF!</definedName>
    <definedName name="_19__123Graph_ACHART_5" hidden="1">'[3]Variance Sum '!#REF!</definedName>
    <definedName name="_19__123Graph_CSUPPLIES_BY_B_U" hidden="1">#REF!</definedName>
    <definedName name="_19__123Graph_DCONTRACT_BY_B_U" hidden="1">#REF!</definedName>
    <definedName name="_19__123Graph_DQRE_S_BY_CO." hidden="1">#REF!</definedName>
    <definedName name="_19__123Graph_XCHART_5" hidden="1">'[3]Variance Sum '!#REF!</definedName>
    <definedName name="_196__123Graph_XCHART_2" hidden="1">'[3]Variance Sum '!#REF!</definedName>
    <definedName name="_2__123Graph_A1992_BARGRAPH" hidden="1">#REF!</definedName>
    <definedName name="_2__123Graph_AChart_1A" hidden="1">'[4]19'!#REF!</definedName>
    <definedName name="_2__123Graph_ACHART_3" hidden="1">#REF!</definedName>
    <definedName name="_2__123Graph_ACONTRACT_BY_B_U" hidden="1">#REF!</definedName>
    <definedName name="_2__123Graph_AQRE_S_BY_CO." hidden="1">#REF!</definedName>
    <definedName name="_2__123Graph_BCHART_3" hidden="1">#REF!</definedName>
    <definedName name="_20__123Graph_CWAGES_BY_B_U" hidden="1">#REF!</definedName>
    <definedName name="_20__123Graph_DQRE_S_BY_CO." hidden="1">#REF!</definedName>
    <definedName name="_20__123Graph_DSUPPLIES_BY_B_U" hidden="1">#REF!</definedName>
    <definedName name="_20__123Graph_XCHART_6" hidden="1">'[3]Variance Sum '!#REF!</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8__123Graph_XCHART_3" hidden="1">'[3]Variance Sum '!#REF!</definedName>
    <definedName name="_21__123Graph_DCONTRACT_BY_B_U" hidden="1">#REF!</definedName>
    <definedName name="_21__123Graph_DSUPPLIES_BY_B_U" hidden="1">#REF!</definedName>
    <definedName name="_21__123Graph_DWAGES_BY_B_U" hidden="1">#REF!</definedName>
    <definedName name="_21__123Graph_XCHART_7" hidden="1">'[3]Variance Sum '!#REF!</definedName>
    <definedName name="_22__123Graph_ACHART_6" hidden="1">'[3]Variance Sum '!#REF!</definedName>
    <definedName name="_22__123Graph_DQRE_S_BY_CO." hidden="1">#REF!</definedName>
    <definedName name="_22__123Graph_DWAGES_BY_B_U" hidden="1">#REF!</definedName>
    <definedName name="_22__123Graph_ECONTRACT_BY_B_U" hidden="1">#REF!</definedName>
    <definedName name="_22__123Graph_XCHART_8" hidden="1">'[3]Variance Sum '!#REF!</definedName>
    <definedName name="_220__123Graph_XCHART_4" hidden="1">'[3]Variance Sum '!#REF!</definedName>
    <definedName name="_23__123Graph_DSUPPLIES_BY_B_U" hidden="1">#REF!</definedName>
    <definedName name="_23__123Graph_ECONTRACT_BY_B_U" hidden="1">#REF!</definedName>
    <definedName name="_23__123Graph_EQRE_S_BY_CO." hidden="1">#REF!</definedName>
    <definedName name="_23__123Graph_XCHART_9" hidden="1">'[3]Variance Sum '!#REF!</definedName>
    <definedName name="_232__123Graph_XCHART_5" hidden="1">'[3]Variance Sum '!#REF!</definedName>
    <definedName name="_234_x" hidden="1">'[5]OPERATING EXPS.'!#REF!</definedName>
    <definedName name="_24__123Graph_DWAGES_BY_B_U" hidden="1">#REF!</definedName>
    <definedName name="_24__123Graph_EQRE_S_BY_CO." hidden="1">#REF!</definedName>
    <definedName name="_24__123Graph_ESUPPLIES_BY_B_U" hidden="1">#REF!</definedName>
    <definedName name="_244__123Graph_XCHART_6" hidden="1">'[3]Variance Sum '!#REF!</definedName>
    <definedName name="_25__123Graph_AChart_1A" hidden="1">'[4]19'!#REF!</definedName>
    <definedName name="_25__123Graph_ACHART_7" hidden="1">'[3]Variance Sum '!#REF!</definedName>
    <definedName name="_25__123Graph_ECONTRACT_BY_B_U" hidden="1">#REF!</definedName>
    <definedName name="_25__123Graph_ESUPPLIES_BY_B_U" hidden="1">#REF!</definedName>
    <definedName name="_25__123Graph_EWAGES_BY_B_U" hidden="1">#REF!</definedName>
    <definedName name="_256__123Graph_XCHART_7" hidden="1">'[3]Variance Sum '!#REF!</definedName>
    <definedName name="_26__123Graph_EQRE_S_BY_CO." hidden="1">#REF!</definedName>
    <definedName name="_26__123Graph_EWAGES_BY_B_U" hidden="1">#REF!</definedName>
    <definedName name="_26__123Graph_FCONTRACT_BY_B_U" hidden="1">#REF!</definedName>
    <definedName name="_268__123Graph_XCHART_8" hidden="1">'[3]Variance Sum '!#REF!</definedName>
    <definedName name="_27__123Graph_ESUPPLIES_BY_B_U" hidden="1">#REF!</definedName>
    <definedName name="_27__123Graph_FCONTRACT_BY_B_U" hidden="1">#REF!</definedName>
    <definedName name="_27__123Graph_FQRE_S_BY_CO." hidden="1">#REF!</definedName>
    <definedName name="_28__123Graph_ACHART_8" hidden="1">'[3]Variance Sum '!#REF!</definedName>
    <definedName name="_28__123Graph_EWAGES_BY_B_U" hidden="1">#REF!</definedName>
    <definedName name="_28__123Graph_FQRE_S_BY_CO." hidden="1">#REF!</definedName>
    <definedName name="_28__123Graph_FSUPPLIES_BY_B_U" hidden="1">#REF!</definedName>
    <definedName name="_280__123Graph_XCHART_9" hidden="1">'[3]Variance Sum '!#REF!</definedName>
    <definedName name="_29__123Graph_FCONTRACT_BY_B_U" hidden="1">#REF!</definedName>
    <definedName name="_29__123Graph_FSUPPLIES_BY_B_U" hidden="1">#REF!</definedName>
    <definedName name="_29__123Graph_FWAGES_BY_B_U" hidden="1">#REF!</definedName>
    <definedName name="_3__123Graph_ACHART_10" hidden="1">'[3]Variance Sum '!#REF!</definedName>
    <definedName name="_3__123Graph_ACHART_2" hidden="1">'[3]Variance Sum '!#REF!</definedName>
    <definedName name="_3__123Graph_ACONTRACT_BY_B_U" hidden="1">#REF!</definedName>
    <definedName name="_3__123Graph_AJULY_SALES_PIE" hidden="1">#REF!</definedName>
    <definedName name="_3__123Graph_AQRE_S_BY_CO." hidden="1">#REF!</definedName>
    <definedName name="_3__123Graph_ASENS_COMPARISON" hidden="1">#REF!</definedName>
    <definedName name="_30__123Graph_FQRE_S_BY_CO." hidden="1">#REF!</definedName>
    <definedName name="_30__123Graph_FWAGES_BY_B_U" hidden="1">#REF!</definedName>
    <definedName name="_30__123Graph_XCONTRACT_BY_B_U" hidden="1">#REF!</definedName>
    <definedName name="_31__123Graph_ACHART_9" hidden="1">'[3]Variance Sum '!#REF!</definedName>
    <definedName name="_31__123Graph_FSUPPLIES_BY_B_U" hidden="1">#REF!</definedName>
    <definedName name="_31__123Graph_XCONTRACT_BY_B_U" hidden="1">#REF!</definedName>
    <definedName name="_31__123Graph_XQRE_S_BY_CO." hidden="1">#REF!</definedName>
    <definedName name="_32__123Graph_FWAGES_BY_B_U" hidden="1">#REF!</definedName>
    <definedName name="_32__123Graph_XQRE_S_BY_CO." hidden="1">#REF!</definedName>
    <definedName name="_32__123Graph_XQRE_S_BY_TYPE" hidden="1">#REF!</definedName>
    <definedName name="_33__123Graph_XCONTRACT_BY_B_U" hidden="1">#REF!</definedName>
    <definedName name="_33__123Graph_XQRE_S_BY_TYPE" hidden="1">#REF!</definedName>
    <definedName name="_33__123Graph_XSUPPLIES_BY_B_U" hidden="1">#REF!</definedName>
    <definedName name="_34__123Graph_XQRE_S_BY_CO." hidden="1">#REF!</definedName>
    <definedName name="_34__123Graph_XSUPPLIES_BY_B_U" hidden="1">#REF!</definedName>
    <definedName name="_34__123Graph_XTAX_CREDIT" hidden="1">#REF!</definedName>
    <definedName name="_35__123Graph_BChart_1A" hidden="1">'[4]19'!#REF!</definedName>
    <definedName name="_35__123Graph_XQRE_S_BY_TYPE" hidden="1">#REF!</definedName>
    <definedName name="_35__123Graph_XTAX_CREDIT" hidden="1">#REF!</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XSUPPLIES_BY_B_U" hidden="1">#REF!</definedName>
    <definedName name="_37__123Graph_ACHART_2" hidden="1">'[3]Variance Sum '!#REF!</definedName>
    <definedName name="_37__123Graph_XTAX_CREDIT" hidden="1">#REF!</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9__123Graph_CChart_1A" hidden="1">'[4]19'!#REF!</definedName>
    <definedName name="_4__123Graph_ACHART_3" hidden="1">'[3]Variance Sum '!#REF!</definedName>
    <definedName name="_4__123Graph_AQRE_S_BY_CO." hidden="1">#REF!</definedName>
    <definedName name="_4__123Graph_ASALES_TODATE_PI" hidden="1">#REF!</definedName>
    <definedName name="_4__123Graph_ASENS_COMPARISON" hidden="1">#REF!</definedName>
    <definedName name="_4__123Graph_ASUPPLIES_BY_B_U" hidden="1">#REF!</definedName>
    <definedName name="_42__123Graph_LBL_ACHART_10" hidden="1">'[3]Variance Sum '!#REF!</definedName>
    <definedName name="_45__123Graph_XCHART_10" hidden="1">'[3]Variance Sum '!#REF!</definedName>
    <definedName name="_49__123Graph_ACHART_3" hidden="1">'[3]Variance Sum '!#REF!</definedName>
    <definedName name="_49__123Graph_XChart_1A" hidden="1">'[4]19'!#REF!</definedName>
    <definedName name="_5__123Graph_ACHART_4" hidden="1">'[3]Variance Sum '!#REF!</definedName>
    <definedName name="_5__123Graph_ASENS_COMPARISON" hidden="1">#REF!</definedName>
    <definedName name="_5__123Graph_ASUPPLIES_BY_B_U" hidden="1">#REF!</definedName>
    <definedName name="_5__123Graph_ATAX_CREDIT" hidden="1">#REF!</definedName>
    <definedName name="_5__123Graph_X1991_BARGRAPH" hidden="1">#REF!</definedName>
    <definedName name="_52__123Graph_XCHART_2" hidden="1">'[3]Variance Sum '!#REF!</definedName>
    <definedName name="_55__123Graph_XCHART_3" hidden="1">'[3]Variance Sum '!#REF!</definedName>
    <definedName name="_58__123Graph_XCHART_4" hidden="1">'[3]Variance Sum '!#REF!</definedName>
    <definedName name="_583IQ___SET_WRITEDOWN_INS" hidden="1">"c59"</definedName>
    <definedName name="_6__123Graph_ACHART_5" hidden="1">'[3]Variance Sum '!#REF!</definedName>
    <definedName name="_6__123Graph_ASUPPLIES_BY_B_U" hidden="1">#REF!</definedName>
    <definedName name="_6__123Graph_ATAX_CREDIT" hidden="1">#REF!</definedName>
    <definedName name="_6__123Graph_AWAGES_BY_B_U" hidden="1">#REF!</definedName>
    <definedName name="_6__123Graph_X1992_BARGRAPH" hidden="1">#REF!</definedName>
    <definedName name="_61__123Graph_ACHART_4" hidden="1">'[3]Variance Sum '!#REF!</definedName>
    <definedName name="_61__123Graph_XCHART_5" hidden="1">'[3]Variance Sum '!#REF!</definedName>
    <definedName name="_64__123Graph_XCHART_6" hidden="1">'[3]Variance Sum '!#REF!</definedName>
    <definedName name="_67__123Graph_XCHART_7" hidden="1">'[3]Variance Sum '!#REF!</definedName>
    <definedName name="_68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7__123Graph_AChart_1A" hidden="1">'[4]19'!#REF!</definedName>
    <definedName name="_7__123Graph_ACHART_6" hidden="1">'[3]Variance Sum '!#REF!</definedName>
    <definedName name="_7__123Graph_ATAX_CREDIT" hidden="1">#REF!</definedName>
    <definedName name="_7__123Graph_AWAGES_BY_B_U" hidden="1">#REF!</definedName>
    <definedName name="_7__123Graph_BCONTRACT_BY_B_U" hidden="1">#REF!</definedName>
    <definedName name="_7__123Graph_XJULY_SALES_PIE" hidden="1">#REF!</definedName>
    <definedName name="_70__123Graph_XCHART_8" hidden="1">'[3]Variance Sum '!#REF!</definedName>
    <definedName name="_73__123Graph_ACHART_5" hidden="1">'[3]Variance Sum '!#REF!</definedName>
    <definedName name="_73__123Graph_XCHART_9" hidden="1">'[3]Variance Sum '!#REF!</definedName>
    <definedName name="_8__123Graph_ACHART_7" hidden="1">'[3]Variance Sum '!#REF!</definedName>
    <definedName name="_8__123Graph_AWAGES_BY_B_U" hidden="1">#REF!</definedName>
    <definedName name="_8__123Graph_BCONTRACT_BY_B_U" hidden="1">#REF!</definedName>
    <definedName name="_8__123Graph_BQRE_S_BY_CO." hidden="1">#REF!</definedName>
    <definedName name="_8__123Graph_XSALES_TODATE_PI" hidden="1">#REF!</definedName>
    <definedName name="_85__123Graph_ACHART_6" hidden="1">'[3]Variance Sum '!#REF!</definedName>
    <definedName name="_9__123Graph_ACHART_8" hidden="1">'[3]Variance Sum '!#REF!</definedName>
    <definedName name="_9__123Graph_BCHART_3" hidden="1">#REF!</definedName>
    <definedName name="_9__123Graph_BQRE_S_BY_CO." hidden="1">#REF!</definedName>
    <definedName name="_9__123Graph_BSENS_COMPARISON" hidden="1">#REF!</definedName>
    <definedName name="_97__123Graph_ACHART_7" hidden="1">'[3]Variance Sum '!#REF!</definedName>
    <definedName name="_bdm.A41748D8CDC148869DAC28F2A19A85E3.edm" localSheetId="2" hidden="1">#REF!</definedName>
    <definedName name="_bdm.A41748D8CDC148869DAC28F2A19A85E3.edm" localSheetId="13" hidden="1">#REF!</definedName>
    <definedName name="_bdm.A41748D8CDC148869DAC28F2A19A85E3.edm" hidden="1">#REF!</definedName>
    <definedName name="_BQ4.1" hidden="1">'[6]query results'!$A$1:$G$1628</definedName>
    <definedName name="_BQ4.2" hidden="1">'[6]query results'!$A$1629:$G$3355</definedName>
    <definedName name="_BQ4.3" hidden="1">'[6]query results'!$A$3356:$G$5080</definedName>
    <definedName name="_BQ4.4" hidden="1">'[6]query results'!$A$5081:$G$6824</definedName>
    <definedName name="_BQ4.5" hidden="1">'[6]query results'!$A$6825:$G$8581</definedName>
    <definedName name="_BQ4.6" hidden="1">'[6]query results'!$A$8582:$G$10421</definedName>
    <definedName name="_BQ4.7" hidden="1">'[6]query results'!$A$10422:$G$12272</definedName>
    <definedName name="_Fill" hidden="1">[7]지급어음!#REF!</definedName>
    <definedName name="_FILL1" hidden="1">#REF!</definedName>
    <definedName name="_hod2" localSheetId="7"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ibo2" localSheetId="7"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Key_ys13" hidden="1">#N/A</definedName>
    <definedName name="_Key1" hidden="1">'[8]DeltaCom wan orders'!$A$6</definedName>
    <definedName name="_Key2" hidden="1">'[8]DeltaCom wan orders'!$A$6</definedName>
    <definedName name="_Keyys2" hidden="1">#N/A</definedName>
    <definedName name="_n324" hidden="1">"c39"</definedName>
    <definedName name="_new1" hidden="1">"c32"</definedName>
    <definedName name="_new2" hidden="1">"c8"</definedName>
    <definedName name="_new3" hidden="1">"c7"</definedName>
    <definedName name="_new5" hidden="1">"c1471"</definedName>
    <definedName name="_ok2" localSheetId="7" hidden="1">{#N/A,#N/A,FALSE,"Cover";#N/A,#N/A,FALSE,"LUMI";#N/A,#N/A,FALSE,"COMD";#N/A,#N/A,FALSE,"Valuation";#N/A,#N/A,FALSE,"Assumptions";#N/A,#N/A,FALSE,"Pooling";#N/A,#N/A,FALSE,"BalanceSheet"}</definedName>
    <definedName name="_ok2" hidden="1">{#N/A,#N/A,FALSE,"Cover";#N/A,#N/A,FALSE,"LUMI";#N/A,#N/A,FALSE,"COMD";#N/A,#N/A,FALSE,"Valuation";#N/A,#N/A,FALSE,"Assumptions";#N/A,#N/A,FALSE,"Pooling";#N/A,#N/A,FALSE,"BalanceSheet"}</definedName>
    <definedName name="_Order1" hidden="1">255</definedName>
    <definedName name="_Order2" hidden="1">0</definedName>
    <definedName name="_P00comps1" hidden="1">'[9]EU Comps'!$DK$326:$FO$489</definedName>
    <definedName name="_P00comps2" hidden="1">'[9]EU Comps'!$FQ$326:$HL$489</definedName>
    <definedName name="_Regression_X" hidden="1">#REF!</definedName>
    <definedName name="_rod1" localSheetId="7"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Sort" hidden="1">'[8]DeltaCom wan orders'!$A$6:$G$21</definedName>
    <definedName name="_Sort1" hidden="1">'[8]DeltaCom wan orders'!$A$6:$G$21</definedName>
    <definedName name="_SSS1"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UUID_0" hidden="1">589638</definedName>
    <definedName name="_UUID_1" hidden="1">262297</definedName>
    <definedName name="_UUID_2" hidden="1">875385</definedName>
    <definedName name="_wrn2" localSheetId="7" hidden="1">{#N/A,#N/A,FALSE,"ASSUMPTIONS";#N/A,#N/A,FALSE,"Valuation Summary";"page1",#N/A,FALSE,"PRESENTATION";"page2",#N/A,FALSE,"PRESENTATION";#N/A,#N/A,FALSE,"ORIGINAL_ROLLBACK"}</definedName>
    <definedName name="_wrn2" hidden="1">{#N/A,#N/A,FALSE,"ASSUMPTIONS";#N/A,#N/A,FALSE,"Valuation Summary";"page1",#N/A,FALSE,"PRESENTATION";"page2",#N/A,FALSE,"PRESENTATION";#N/A,#N/A,FALSE,"ORIGINAL_ROLLBACK"}</definedName>
    <definedName name="_wrn3" localSheetId="7"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Zcomps1" localSheetId="7" hidden="1">{0,0,0,0,1,-4105,42.5196850393701,42.5196850393701,42.5196850393701,42.5196850393701,2,TRUE,TRUE,FALSE,FALSE,FALSE,#N/A,1,85,1,1,"","","","&amp;""Kennerly,Roman Bold""&amp;14L&amp;12EHMAN &amp;14 B&amp;12ROTHERS","","",FALSE}</definedName>
    <definedName name="_Zcomps1" hidden="1">{0,0,0,0,1,-4105,42.5196850393701,42.5196850393701,42.5196850393701,42.5196850393701,2,TRUE,TRUE,FALSE,FALSE,FALSE,#N/A,1,85,1,1,"","","","&amp;""Kennerly,Roman Bold""&amp;14L&amp;12EHMAN &amp;14 B&amp;12ROTHERS","","",FALSE}</definedName>
    <definedName name="_Zcomps2" localSheetId="7"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aaa" localSheetId="7" hidden="1">{#N/A,#N/A,FALSE,"Projections";#N/A,#N/A,FALSE,"Multiples Valuation";#N/A,#N/A,FALSE,"LBO";#N/A,#N/A,FALSE,"Multiples_Sensitivity";#N/A,#N/A,FALSE,"Summary"}</definedName>
    <definedName name="aaa" hidden="1">{#N/A,#N/A,FALSE,"Projections";#N/A,#N/A,FALSE,"Multiples Valuation";#N/A,#N/A,FALSE,"LBO";#N/A,#N/A,FALSE,"Multiples_Sensitivity";#N/A,#N/A,FALSE,"Summary"}</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7"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de" localSheetId="7" hidden="1">{#N/A,#N/A,FALSE,"Performance Flash Report"}</definedName>
    <definedName name="abcde" hidden="1">{#N/A,#N/A,FALSE,"Performance Flash Report"}</definedName>
    <definedName name="abcdefg" localSheetId="7" hidden="1">{#N/A,#N/A,FALSE,"Performance Flash Report"}</definedName>
    <definedName name="abcdefg" hidden="1">{#N/A,#N/A,FALSE,"Performance Flash Report"}</definedName>
    <definedName name="AccessOpt" hidden="1">"Yes"</definedName>
    <definedName name="ACwvu.incearn." hidden="1">[10]EndNotes!#REF!</definedName>
    <definedName name="adg" localSheetId="7" hidden="1">{"'Sheet1'!$A$1:$O$40"}</definedName>
    <definedName name="adg" hidden="1">{"'Sheet1'!$A$1:$O$40"}</definedName>
    <definedName name="adgare" hidden="1">'[3]Variance Sum '!#REF!</definedName>
    <definedName name="adhgsfghjfgj" hidden="1">'[4]19'!#REF!</definedName>
    <definedName name="adsf" localSheetId="7"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dsf"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ae" localSheetId="7" hidden="1">{#N/A,#N/A,FALSE,"Performance Flash Report"}</definedName>
    <definedName name="ae" hidden="1">{#N/A,#N/A,FALSE,"Performance Flash Report"}</definedName>
    <definedName name="afasdfasdf" hidden="1">'[3]Variance Sum '!#REF!</definedName>
    <definedName name="afdafds" localSheetId="7" hidden="1">{#N/A,#N/A,FALSE,"Performance Flash Report"}</definedName>
    <definedName name="afdafds" hidden="1">{#N/A,#N/A,FALSE,"Performance Flash Report"}</definedName>
    <definedName name="Alex" localSheetId="7" hidden="1">{#N/A,#N/A,FALSE,"Performance Flash Report"}</definedName>
    <definedName name="Alex" hidden="1">{#N/A,#N/A,FALSE,"Performance Flash Report"}</definedName>
    <definedName name="amy" localSheetId="7" hidden="1">{#N/A,#N/A,FALSE,"AD_Purchase";#N/A,#N/A,FALSE,"Credit";#N/A,#N/A,FALSE,"PF Acquisition";#N/A,#N/A,FALSE,"PF Offering"}</definedName>
    <definedName name="amy" hidden="1">{#N/A,#N/A,FALSE,"AD_Purchase";#N/A,#N/A,FALSE,"Credit";#N/A,#N/A,FALSE,"PF Acquisition";#N/A,#N/A,FALSE,"PF Offering"}</definedName>
    <definedName name="amy.mistake" localSheetId="7" hidden="1">{#N/A,#N/A,FALSE,"AD_Purchase";#N/A,#N/A,FALSE,"Credit";#N/A,#N/A,FALSE,"PF Acquisition";#N/A,#N/A,FALSE,"PF Offering"}</definedName>
    <definedName name="amy.mistake" hidden="1">{#N/A,#N/A,FALSE,"AD_Purchase";#N/A,#N/A,FALSE,"Credit";#N/A,#N/A,FALSE,"PF Acquisition";#N/A,#N/A,FALSE,"PF Offering"}</definedName>
    <definedName name="ando" localSheetId="7" hidden="1">{"'下期集計（10.27迄・速報値）'!$Q$16"}</definedName>
    <definedName name="ando" hidden="1">{"'下期集計（10.27迄・速報値）'!$Q$16"}</definedName>
    <definedName name="anotherrange" localSheetId="7" hidden="1">{#N/A,#N/A,FALSE,"Performance Flash Report"}</definedName>
    <definedName name="anotherrange" hidden="1">{#N/A,#N/A,FALSE,"Performance Flash Report"}</definedName>
    <definedName name="anscount" hidden="1">1</definedName>
    <definedName name="as" hidden="1">"c2127"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localSheetId="12" hidden="1">"c1630"</definedName>
    <definedName name="asd" localSheetId="2" hidden="1">"c1630"</definedName>
    <definedName name="asd" localSheetId="13" hidden="1">"c1630"</definedName>
    <definedName name="asd" hidden="1">"c100"</definedName>
    <definedName name="asdas" localSheetId="7" hidden="1">{#N/A,#N/A,FALSE,"Performance Flash Report"}</definedName>
    <definedName name="asdas" hidden="1">{#N/A,#N/A,FALSE,"Performance Flash Report"}</definedName>
    <definedName name="asdas1" localSheetId="7" hidden="1">{#N/A,#N/A,FALSE,"Performance Flash Report"}</definedName>
    <definedName name="asdas1" hidden="1">{#N/A,#N/A,FALSE,"Performance Flash Report"}</definedName>
    <definedName name="asdfsa" localSheetId="7" hidden="1">{#N/A,#N/A,FALSE,"Performance Flash Report"}</definedName>
    <definedName name="asdfsa" hidden="1">{#N/A,#N/A,FALSE,"Performance Flash Report"}</definedName>
    <definedName name="asdfsd" localSheetId="7" hidden="1">{"'Planning Data'!$A$2:$X$120"}</definedName>
    <definedName name="asdfsd" hidden="1">{"'Planning Data'!$A$2:$X$120"}</definedName>
    <definedName name="ayesha" localSheetId="7" hidden="1">{"p1TOC",#N/A,FALSE,"DCF_Summary";"p23summary",#N/A,FALSE,"DCF_Summary";"p4contact",#N/A,FALSE,"Contact Lake";"p5kumtor",#N/A,FALSE,"Kumtor";#N/A,#N/A,FALSE,"CCAU_NAV";"p8compdata",#N/A,FALSE,"Gold_Comps";#N/A,#N/A,FALSE,"Comp_Valuation"}</definedName>
    <definedName name="ayesha" hidden="1">{"p1TOC",#N/A,FALSE,"DCF_Summary";"p23summary",#N/A,FALSE,"DCF_Summary";"p4contact",#N/A,FALSE,"Contact Lake";"p5kumtor",#N/A,FALSE,"Kumtor";#N/A,#N/A,FALSE,"CCAU_NAV";"p8compdata",#N/A,FALSE,"Gold_Comps";#N/A,#N/A,FALSE,"Comp_Valuation"}</definedName>
    <definedName name="Bear" localSheetId="7"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2" localSheetId="7"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G_Del" hidden="1">15</definedName>
    <definedName name="BG_Ins" hidden="1">4</definedName>
    <definedName name="BG_Mod" hidden="1">6</definedName>
    <definedName name="bla" localSheetId="7" hidden="1">{"PA1",#N/A,FALSE,"BORDMW";"pa2",#N/A,FALSE,"BORDMW";"PA3",#N/A,FALSE,"BORDMW";"PA4",#N/A,FALSE,"BORDMW"}</definedName>
    <definedName name="bla" hidden="1">{"PA1",#N/A,FALSE,"BORDMW";"pa2",#N/A,FALSE,"BORDMW";"PA3",#N/A,FALSE,"BORDMW";"PA4",#N/A,FALSE,"BORDMW"}</definedName>
    <definedName name="blah2" localSheetId="7" hidden="1">{#N/A,#N/A,FALSE,"Performance Flash Report"}</definedName>
    <definedName name="blah2" hidden="1">{#N/A,#N/A,FALSE,"Performance Flash Report"}</definedName>
    <definedName name="blah3" localSheetId="7" hidden="1">{#N/A,#N/A,FALSE,"Performance Flash Report"}</definedName>
    <definedName name="blah3" hidden="1">{#N/A,#N/A,FALSE,"Performance Flash Report"}</definedName>
    <definedName name="blah4" localSheetId="7" hidden="1">{#N/A,#N/A,FALSE,"Performance Flash Report"}</definedName>
    <definedName name="blah4" hidden="1">{#N/A,#N/A,FALSE,"Performance Flash Report"}</definedName>
    <definedName name="blank" localSheetId="12">#REF!</definedName>
    <definedName name="blank" localSheetId="2">#REF!</definedName>
    <definedName name="blank" localSheetId="13">#REF!</definedName>
    <definedName name="blank">#REF!</definedName>
    <definedName name="BLPH1" hidden="1">'[12]commercial construction'!$A$3</definedName>
    <definedName name="BLPH10" hidden="1">'[12]crack spreads'!$E$4</definedName>
    <definedName name="BLPH18" hidden="1">#REF!</definedName>
    <definedName name="BLPH19" hidden="1">#REF!</definedName>
    <definedName name="BLPH2" hidden="1">'[12]new orders'!$D$7</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3" hidden="1">'[12]new orders'!$G$7</definedName>
    <definedName name="BLPH31" hidden="1">[13]Data!#REF!</definedName>
    <definedName name="BLPH32" hidden="1">[13]Data!#REF!</definedName>
    <definedName name="BLPH33" hidden="1">[13]Data!#REF!</definedName>
    <definedName name="BLPH34" hidden="1">[13]Data!#REF!</definedName>
    <definedName name="BLPH35" hidden="1">[13]Data!#REF!</definedName>
    <definedName name="BLPH4" hidden="1">'[12]crack spreads'!$A$3</definedName>
    <definedName name="BLPH5" hidden="1">'[12]crack spreads'!$A$3</definedName>
    <definedName name="BLPH6" hidden="1">'[12]crack spreads'!$A$3</definedName>
    <definedName name="BLPH7" hidden="1">'[12]crack spreads'!$A$3</definedName>
    <definedName name="BLPH8" hidden="1">'[12]IFO Manufacturing Business Clim'!$E$6</definedName>
    <definedName name="BLPH9" hidden="1">'[12]commercial construction'!$D$33</definedName>
    <definedName name="Bridge" localSheetId="7" hidden="1">{"'Highlights'!$A$1:$M$123"}</definedName>
    <definedName name="Bridge" hidden="1">{"'Highlights'!$A$1:$M$123"}</definedName>
    <definedName name="bvwrg"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Cabinet" localSheetId="7" hidden="1">{"'Sheet1'!$A$1:$D$69"}</definedName>
    <definedName name="Cabinet" hidden="1">{"'Sheet1'!$A$1:$D$69"}</definedName>
    <definedName name="cance" localSheetId="7" hidden="1">{#N/A,#N/A,TRUE,"PAGE 2";#N/A,#N/A,TRUE,"PAGE 3";#N/A,#N/A,TRUE,"PAGE4"}</definedName>
    <definedName name="cance" hidden="1">{#N/A,#N/A,TRUE,"PAGE 2";#N/A,#N/A,TRUE,"PAGE 3";#N/A,#N/A,TRUE,"PAGE4"}</definedName>
    <definedName name="cawc"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_sChart1D5372A5_opts" hidden="1">"1, 5, 1, False, 2, False, False, , 0, False, False, 1, 1"</definedName>
    <definedName name="cb_sChartE2218BA_opts" hidden="1">"1, 4, 1, False, 2, False, False, , 0, False, True, 1, 1"</definedName>
    <definedName name="cb_sChartE221ADA_opts" hidden="1">"1, 5, 1, False, 2, False, False, , 0, False, False, 1, 1"</definedName>
    <definedName name="CBWorkbookPriority" hidden="1">-1935235038</definedName>
    <definedName name="chiho" localSheetId="7" hidden="1">{"'下期集計（10.27迄・速報値）'!$Q$16"}</definedName>
    <definedName name="chiho" hidden="1">{"'下期集計（10.27迄・速報値）'!$Q$16"}</definedName>
    <definedName name="chris" localSheetId="7" hidden="1">{#N/A,#N/A,FALSE,"Performance Flash Report"}</definedName>
    <definedName name="chris" hidden="1">{#N/A,#N/A,FALSE,"Performance Flash Report"}</definedName>
    <definedName name="CIQWBGuid" hidden="1">"7b18bcf8-263b-4061-9e8a-67f30914c2d7"</definedName>
    <definedName name="CL" hidden="1">1</definedName>
    <definedName name="CLsysID" hidden="1">"BWP"</definedName>
    <definedName name="cm" localSheetId="7" hidden="1">{#N/A,#N/A,FALSE,"Aging Summary";#N/A,#N/A,FALSE,"Ratio Analysis";#N/A,#N/A,FALSE,"Test 120 Day Accts";#N/A,#N/A,FALSE,"Tickmarks"}</definedName>
    <definedName name="cm" hidden="1">{#N/A,#N/A,FALSE,"Aging Summary";#N/A,#N/A,FALSE,"Ratio Analysis";#N/A,#N/A,FALSE,"Test 120 Day Accts";#N/A,#N/A,FALSE,"Tickmarks"}</definedName>
    <definedName name="comeonnow" localSheetId="7" hidden="1">{#N/A,#N/A,FALSE,"Performance Flash Report"}</definedName>
    <definedName name="comeonnow" hidden="1">{#N/A,#N/A,FALSE,"Performance Flash Report"}</definedName>
    <definedName name="Consulotin" localSheetId="7" hidden="1">{#N/A,#N/A,FALSE,"BU INCOME STATEMENT ";#N/A,#N/A,FALSE,"EXPENSE SUMMARY ";#N/A,#N/A,FALSE,"DEPT1";#N/A,#N/A,FALSE,"DEPT1 (2)"}</definedName>
    <definedName name="Consulotin" hidden="1">{#N/A,#N/A,FALSE,"BU INCOME STATEMENT ";#N/A,#N/A,FALSE,"EXPENSE SUMMARY ";#N/A,#N/A,FALSE,"DEPT1";#N/A,#N/A,FALSE,"DEPT1 (2)"}</definedName>
    <definedName name="copy" localSheetId="7" hidden="1">{#N/A,#N/A,FALSE,"Projections";#N/A,#N/A,FALSE,"Multiples Valuation";#N/A,#N/A,FALSE,"LBO";#N/A,#N/A,FALSE,"Multiples_Sensitivity";#N/A,#N/A,FALSE,"Summary"}</definedName>
    <definedName name="copy" hidden="1">{#N/A,#N/A,FALSE,"Projections";#N/A,#N/A,FALSE,"Multiples Valuation";#N/A,#N/A,FALSE,"LBO";#N/A,#N/A,FALSE,"Multiples_Sensitivity";#N/A,#N/A,FALSE,"Summary"}</definedName>
    <definedName name="Covenants" localSheetId="7"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urrent_Q" localSheetId="12">#REF!</definedName>
    <definedName name="Current_Q" localSheetId="2">#REF!</definedName>
    <definedName name="Current_Q" localSheetId="13">#REF!</definedName>
    <definedName name="Current_Q">#REF!</definedName>
    <definedName name="cxaa" localSheetId="7"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D" localSheetId="7" hidden="1">{"'Sheet1'!$A$1:$L$21"}</definedName>
    <definedName name="D" hidden="1">{"'Sheet1'!$A$1:$L$21"}</definedName>
    <definedName name="da" localSheetId="7" hidden="1">{#N/A,#N/A,FALSE,"Aging Summary";#N/A,#N/A,FALSE,"Ratio Analysis";#N/A,#N/A,FALSE,"Test 120 Day Accts";#N/A,#N/A,FALSE,"Tickmarks"}</definedName>
    <definedName name="da" hidden="1">{#N/A,#N/A,FALSE,"Aging Summary";#N/A,#N/A,FALSE,"Ratio Analysis";#N/A,#N/A,FALSE,"Test 120 Day Accts";#N/A,#N/A,FALSE,"Tickmarks"}</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[14]MGreenberg!#REF!</definedName>
    <definedName name="DATA_11" hidden="1">[14]MGreenberg!#REF!</definedName>
    <definedName name="dd" localSheetId="7" hidden="1">{#N/A,#N/A,FALSE,"Performance Flash Report"}</definedName>
    <definedName name="dd" hidden="1">{#N/A,#N/A,FALSE,"Performance Flash Report"}</definedName>
    <definedName name="ddbmdb" localSheetId="7" hidden="1">{#N/A,#N/A,FALSE,"Aging Summary";#N/A,#N/A,FALSE,"Ratio Analysis";#N/A,#N/A,FALSE,"Test 120 Day Accts";#N/A,#N/A,FALSE,"Tickmarks"}</definedName>
    <definedName name="ddbmdb" hidden="1">{#N/A,#N/A,FALSE,"Aging Summary";#N/A,#N/A,FALSE,"Ratio Analysis";#N/A,#N/A,FALSE,"Test 120 Day Accts";#N/A,#N/A,FALSE,"Tickmarks"}</definedName>
    <definedName name="ddd" localSheetId="7" hidden="1">{#N/A,#N/A,FALSE,"Performance Flash Report"}</definedName>
    <definedName name="ddd" hidden="1">{#N/A,#N/A,FALSE,"Performance Flash Report"}</definedName>
    <definedName name="dddd" localSheetId="7" hidden="1">{#N/A,#N/A,FALSE,"AD_Purchase";#N/A,#N/A,FALSE,"Credit";#N/A,#N/A,FALSE,"PF Acquisition";#N/A,#N/A,FALSE,"PF Offering"}</definedName>
    <definedName name="dddd" hidden="1">{#N/A,#N/A,FALSE,"AD_Purchase";#N/A,#N/A,FALSE,"Credit";#N/A,#N/A,FALSE,"PF Acquisition";#N/A,#N/A,FALSE,"PF Offering"}</definedName>
    <definedName name="ddddddddd"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E" localSheetId="7" hidden="1">{#N/A,#N/A,FALSE,"Cover";#N/A,#N/A,FALSE,"LUMI";#N/A,#N/A,FALSE,"COMD";#N/A,#N/A,FALSE,"Valuation";#N/A,#N/A,FALSE,"Assumptions";#N/A,#N/A,FALSE,"Pooling";#N/A,#N/A,FALSE,"BalanceSheet"}</definedName>
    <definedName name="DE" hidden="1">{#N/A,#N/A,FALSE,"Cover";#N/A,#N/A,FALSE,"LUMI";#N/A,#N/A,FALSE,"COMD";#N/A,#N/A,FALSE,"Valuation";#N/A,#N/A,FALSE,"Assumptions";#N/A,#N/A,FALSE,"Pooling";#N/A,#N/A,FALSE,"BalanceSheet"}</definedName>
    <definedName name="DEM" hidden="1">1.95583</definedName>
    <definedName name="df" localSheetId="7" hidden="1">{#N/A,#N/A,FALSE,"Aging Summary";#N/A,#N/A,FALSE,"Ratio Analysis";#N/A,#N/A,FALSE,"Test 120 Day Accts";#N/A,#N/A,FALSE,"Tickmarks"}</definedName>
    <definedName name="df" hidden="1">{#N/A,#N/A,FALSE,"Aging Summary";#N/A,#N/A,FALSE,"Ratio Analysis";#N/A,#N/A,FALSE,"Test 120 Day Accts";#N/A,#N/A,FALSE,"Tickmarks"}</definedName>
    <definedName name="dfg" localSheetId="7" hidden="1">{#N/A,#N/A,FALSE,"HuscoCombined-Summ";#N/A,#N/A,FALSE,"HuscoCombined-Income";#N/A,#N/A,FALSE,"HuscoCombined-Offering";#N/A,#N/A,FALSE,"Husco-Income";#N/A,#N/A,FALSE,"TargetEngineer";#N/A,#N/A,FALSE,"TargetAcqCalc";#N/A,#N/A,FALSE,"Husco-Acq"}</definedName>
    <definedName name="dfg" hidden="1">{#N/A,#N/A,FALSE,"HuscoCombined-Summ";#N/A,#N/A,FALSE,"HuscoCombined-Income";#N/A,#N/A,FALSE,"HuscoCombined-Offering";#N/A,#N/A,FALSE,"Husco-Income";#N/A,#N/A,FALSE,"TargetEngineer";#N/A,#N/A,FALSE,"TargetAcqCalc";#N/A,#N/A,FALSE,"Husco-Acq"}</definedName>
    <definedName name="dfgdfg"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localSheetId="7"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s" hidden="1">38922.8233796296</definedName>
    <definedName name="dfhdfjdf" hidden="1">'[3]Variance Sum '!#REF!</definedName>
    <definedName name="dgfjdgjd" hidden="1">'[3]Variance Sum '!#REF!</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o_Cabinet" localSheetId="7" hidden="1">{"'Sheet1'!$A$1:$D$69"}</definedName>
    <definedName name="dso_Cabinet" hidden="1">{"'Sheet1'!$A$1:$D$69"}</definedName>
    <definedName name="DSO_HTML_Control" localSheetId="7" hidden="1">{"'Sheet1'!$A$1:$D$69"}</definedName>
    <definedName name="DSO_HTML_Control" hidden="1">{"'Sheet1'!$A$1:$D$69"}</definedName>
    <definedName name="DVSVSDVsdvsD" localSheetId="7" hidden="1">{"'Planning Data'!$A$2:$X$120"}</definedName>
    <definedName name="DVSVSDVsdvsD" hidden="1">{"'Planning Data'!$A$2:$X$120"}</definedName>
    <definedName name="dwcwc" localSheetId="7"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ee" localSheetId="7" hidden="1">{#N/A,#N/A,FALSE,"Tabelle1"}</definedName>
    <definedName name="ee" hidden="1">{#N/A,#N/A,FALSE,"Tabelle1"}</definedName>
    <definedName name="efbar" localSheetId="7" hidden="1">{#N/A,#N/A,FALSE,"Performance Flash Report"}</definedName>
    <definedName name="efbar" hidden="1">{#N/A,#N/A,FALSE,"Performance Flash Report"}</definedName>
    <definedName name="efQFQA" hidden="1">[15]DS_Industry_Specif!#REF!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r" hidden="1">[15]DS_Industry_Specif!#REF!</definedName>
    <definedName name="ere" localSheetId="7" hidden="1">{#N/A,#N/A,FALSE,"Tabelle1"}</definedName>
    <definedName name="ere" hidden="1">{#N/A,#N/A,FALSE,"Tabelle1"}</definedName>
    <definedName name="etc" hidden="1">#REF!</definedName>
    <definedName name="EUR" hidden="1">1</definedName>
    <definedName name="ev.Calculation" hidden="1">-4135</definedName>
    <definedName name="ev.Initialized" hidden="1">FALSE</definedName>
    <definedName name="EV__CVPARAMS__" hidden="1">"Trend!$B$17:$C$38;"</definedName>
    <definedName name="EV__DECIMALSYMBOL__" hidden="1">"."</definedName>
    <definedName name="EV__LOCKEDCVW__CASHFLOW" hidden="1">"A_TOTCFA,AC_CASHAC,ACTUAL,LC,E_QSG,2007.Q2,PERIODIC,"</definedName>
    <definedName name="EV__LOCKEDCVW__CONSO" hidden="1">"A_None_NETINC,B_ALL,ACTUAL,C_ALL,USD,TotConso,E_QSG,G_ALL,2007.Q3,PERIODIC,"</definedName>
    <definedName name="EV__LOCKEDCVW__CORPOPS" hidden="1">"A_None_NETINC,B_ALL,BUDGET,C_ALL,USD,TotConso,E_100,G_ALL,2007.Q3,PERIODIC,"</definedName>
    <definedName name="EV__LOCKEDCVW__FINANCE" hidden="1">"Miles,Plan,TotalAdj,TOT_DEPT,TOT_COMPANY,TOT_LOB,2008.total,PERIODIC,"</definedName>
    <definedName name="EV__LOCKEDCVW__FPR" hidden="1">"A_STAT_INVENT,B_ALL,FORECAST,C_ALL,LC,Input,D_ALL,E_503,P_ALL,S_ALL,2006.Q4,PERIODIC,"</definedName>
    <definedName name="EV__LOCKEDCVW__INTERCOMATCHING" hidden="1">"ICAssets,Actual,Input,E_All,I_All,2004.TOTAL,USD,PERIODIC,"</definedName>
    <definedName name="EV__LOCKEDCVW__PAYROLL" hidden="1">"11250,Actual,TotalAdj,TOT_DEPT,ALLEMPL,TOT_COMPANY_PF,Tot_Job,TOT_LOB,ALLPAYGROUPS,2008.Total,ALLDATACONT,PERIODIC,"</definedName>
    <definedName name="EV__LOCKEDCVW__RATE" hidden="1">"ACTUAL,USD,Avg,Default,2004.TOTAL,PERIODIC,"</definedName>
    <definedName name="EV__LOCKEDCVW__RATE_INTERCO" hidden="1">"Actual,Avg,Default,2004.TOTAL,USD,PERIODIC,"</definedName>
    <definedName name="EV__LOCKEDCVW__REVENUE" hidden="1">"CustomerData,Actual,1001018,Revenue,10,TOT_LOB,2009.SEP,PERIODIC,"</definedName>
    <definedName name="EV__LOCKEDCVW__SAFETY" hidden="1">"PrevDOTRatio_PLAN,Plan,Input,LINEHAUL,TOT_COMPANY,REGULAR,2009.TOTAL,PERIODIC,"</definedName>
    <definedName name="EV__LOCKSTATUS__" hidden="1">4</definedName>
    <definedName name="EV__WSINFO__" hidden="1">"silver"</definedName>
    <definedName name="export" localSheetId="12">#REF!</definedName>
    <definedName name="export" localSheetId="2">#REF!</definedName>
    <definedName name="export" localSheetId="13">#REF!</definedName>
    <definedName name="export">#REF!</definedName>
    <definedName name="f" localSheetId="7" hidden="1">{#N/A,#N/A,FALSE,"ACTIVO - hoja 1";#N/A,#N/A,FALSE,"ACTIVO - hoja 2";#N/A,#N/A,FALSE,"PASIVO - hoja 1";#N/A,#N/A,FALSE,"PASIVO - hoja 2";#N/A,#N/A,FALSE,"GASTOS - hoja 1 ";#N/A,#N/A,FALSE,"GASTOS - hoja 2";#N/A,#N/A,FALSE,"INGRESOS - hoja 1 ";#N/A,#N/A,FALSE,"INGRESOS - hoja 2"}</definedName>
    <definedName name="f" hidden="1">{#N/A,#N/A,FALSE,"ACTIVO - hoja 1";#N/A,#N/A,FALSE,"ACTIVO - hoja 2";#N/A,#N/A,FALSE,"PASIVO - hoja 1";#N/A,#N/A,FALSE,"PASIVO - hoja 2";#N/A,#N/A,FALSE,"GASTOS - hoja 1 ";#N/A,#N/A,FALSE,"GASTOS - hoja 2";#N/A,#N/A,FALSE,"INGRESOS - hoja 1 ";#N/A,#N/A,FALSE,"INGRESOS - hoja 2"}</definedName>
    <definedName name="fddfghdjd" hidden="1">'[3]Variance Sum '!#REF!</definedName>
    <definedName name="fdg" localSheetId="7" hidden="1">{"Assumptions",#N/A,TRUE,"Assumptions";"Income",#N/A,TRUE,"Income";"Balance",#N/A,TRUE,"Balance"}</definedName>
    <definedName name="fdg" hidden="1">{"Assumptions",#N/A,TRUE,"Assumptions";"Income",#N/A,TRUE,"Income";"Balance",#N/A,TRUE,"Balance"}</definedName>
    <definedName name="fds" hidden="1">"c275"</definedName>
    <definedName name="fdsa" hidden="1">"c301"</definedName>
    <definedName name="fg" localSheetId="7" hidden="1">{#N/A,#N/A,FALSE,"Pooling";#N/A,#N/A,FALSE,"income";#N/A,#N/A,FALSE,"valuation"}</definedName>
    <definedName name="fg" hidden="1">{#N/A,#N/A,FALSE,"Pooling";#N/A,#N/A,FALSE,"income";#N/A,#N/A,FALSE,"valuation"}</definedName>
    <definedName name="fgh" hidden="1">"c118"</definedName>
    <definedName name="fghjdfj" hidden="1">'[3]Variance Sum '!#REF!</definedName>
    <definedName name="fghkfghkf" hidden="1">'[4]19'!#REF!</definedName>
    <definedName name="fghkfghkghj" hidden="1">'[3]Variance Sum '!#REF!</definedName>
    <definedName name="fghkjfghkfghkf" hidden="1">'[3]Variance Sum '!#REF!</definedName>
    <definedName name="fhsdfghsfdg" hidden="1">'[4]19'!#REF!</definedName>
    <definedName name="Formatted" localSheetId="7" hidden="1">{"'Sheet1'!$A$1:$F$101"}</definedName>
    <definedName name="Formatted" hidden="1">{"'Sheet1'!$A$1:$F$101"}</definedName>
    <definedName name="fsfdgsfdhj" hidden="1">'[3]Variance Sum '!#REF!</definedName>
    <definedName name="fuyituy" hidden="1">'[3]Variance Sum '!#REF!</definedName>
    <definedName name="FY_92" localSheetId="12">#REF!</definedName>
    <definedName name="FY_92" localSheetId="2">#REF!</definedName>
    <definedName name="FY_92" localSheetId="13">#REF!</definedName>
    <definedName name="FY_92">#REF!</definedName>
    <definedName name="FY_93" localSheetId="12">#REF!</definedName>
    <definedName name="FY_93" localSheetId="13">#REF!</definedName>
    <definedName name="FY_93">#REF!</definedName>
    <definedName name="FY_94" localSheetId="12">#REF!</definedName>
    <definedName name="FY_94" localSheetId="13">#REF!</definedName>
    <definedName name="FY_94">#REF!</definedName>
    <definedName name="ｇ" localSheetId="7" hidden="1">{"'下期集計（10.27迄・速報値）'!$Q$16"}</definedName>
    <definedName name="ｇ" hidden="1">{"'下期集計（10.27迄・速報値）'!$Q$16"}</definedName>
    <definedName name="gd" localSheetId="7" hidden="1">{"'下期集計（10.27迄・速報値）'!$Q$16"}</definedName>
    <definedName name="gd" hidden="1">{"'下期集計（10.27迄・速報値）'!$Q$16"}</definedName>
    <definedName name="gda" localSheetId="7" hidden="1">{"'下期集計（10.27迄・速報値）'!$Q$16"}</definedName>
    <definedName name="gda" hidden="1">{"'下期集計（10.27迄・速報値）'!$Q$16"}</definedName>
    <definedName name="gdfs" localSheetId="7"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sa" localSheetId="7" hidden="1">{"'下期集計（10.27迄・速報値）'!$Q$16"}</definedName>
    <definedName name="gdsa" hidden="1">{"'下期集計（10.27迄・速報値）'!$Q$16"}</definedName>
    <definedName name="gf" hidden="1">"c247"</definedName>
    <definedName name="gfdfsa" hidden="1">"c261"</definedName>
    <definedName name="GlideChartMarker" hidden="1">"Chart!A1"</definedName>
    <definedName name="GlideDataMarker" hidden="1">"Data!A1"</definedName>
    <definedName name="GlideHiddenMarker" hidden="1">"Costcurvedata!A1"</definedName>
    <definedName name="GlideMaxCharts" hidden="1">7</definedName>
    <definedName name="gljghjlghj" hidden="1">'[3]Variance Sum '!#REF!</definedName>
    <definedName name="ｈ" localSheetId="7" hidden="1">{"'下期集計（10.27迄・速報値）'!$Q$16"}</definedName>
    <definedName name="ｈ" hidden="1">{"'下期集計（10.27迄・速報値）'!$Q$16"}</definedName>
    <definedName name="Ｈ16・１" localSheetId="7" hidden="1">{"'コメント'!$A$1:$C$37"}</definedName>
    <definedName name="Ｈ16・１" hidden="1">{"'コメント'!$A$1:$C$37"}</definedName>
    <definedName name="H16･1速報" localSheetId="7" hidden="1">{"'コメント'!$A$1:$C$37"}</definedName>
    <definedName name="H16･1速報" hidden="1">{"'コメント'!$A$1:$C$37"}</definedName>
    <definedName name="Headcount" hidden="1">[7]지급어음!#REF!</definedName>
    <definedName name="hello" localSheetId="7" hidden="1">{"QTR1",#N/A,FALSE,"96OUT";"QTR2",#N/A,FALSE,"96OUT";"QTR3",#N/A,FALSE,"96OUT";"QTR4",#N/A,FALSE,"96OUT";"YEAR",#N/A,FALSE,"96OUT"}</definedName>
    <definedName name="hello" hidden="1">{"QTR1",#N/A,FALSE,"96OUT";"QTR2",#N/A,FALSE,"96OUT";"QTR3",#N/A,FALSE,"96OUT";"QTR4",#N/A,FALSE,"96OUT";"YEAR",#N/A,FALSE,"96OUT"}</definedName>
    <definedName name="hellop" localSheetId="7" hidden="1">{#N/A,#N/A,TRUE,"PAGE 2";#N/A,#N/A,TRUE,"PAGE 3";#N/A,#N/A,TRUE,"PAGE4"}</definedName>
    <definedName name="hellop" hidden="1">{#N/A,#N/A,TRUE,"PAGE 2";#N/A,#N/A,TRUE,"PAGE 3";#N/A,#N/A,TRUE,"PAGE4"}</definedName>
    <definedName name="help" localSheetId="7" hidden="1">{#N/A,#N/A,FALSE,"Summary";#N/A,#N/A,FALSE,"proj1";#N/A,#N/A,FALSE,"proj2";#N/A,#N/A,FALSE,"DCF"}</definedName>
    <definedName name="help" hidden="1">{#N/A,#N/A,FALSE,"Summary";#N/A,#N/A,FALSE,"proj1";#N/A,#N/A,FALSE,"proj2";#N/A,#N/A,FALSE,"DCF"}</definedName>
    <definedName name="hjlhjklhjkl" hidden="1">'[3]Variance Sum '!#REF!</definedName>
    <definedName name="hjyny" localSheetId="7" hidden="1">{#N/A,#N/A,FALSE,"TSUM";#N/A,#N/A,FALSE,"shares";#N/A,#N/A,FALSE,"earnout";#N/A,#N/A,FALSE,"Heaty";#N/A,#N/A,FALSE,"self-tend";#N/A,#N/A,FALSE,"self-sum"}</definedName>
    <definedName name="hjyny" hidden="1">{#N/A,#N/A,FALSE,"TSUM";#N/A,#N/A,FALSE,"shares";#N/A,#N/A,FALSE,"earnout";#N/A,#N/A,FALSE,"Heaty";#N/A,#N/A,FALSE,"self-tend";#N/A,#N/A,FALSE,"self-sum"}</definedName>
    <definedName name="hkklghjlg" hidden="1">'[3]Variance Sum '!#REF!</definedName>
    <definedName name="hn.ExtDb" hidden="1">FALSE</definedName>
    <definedName name="hn.ModelType" hidden="1">"DEAL"</definedName>
    <definedName name="hn.ModelVersion" hidden="1">1</definedName>
    <definedName name="hn.NoUpload" hidden="1">0</definedName>
    <definedName name="hod" localSheetId="7"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7" hidden="1">{#N/A,#N/A,FALSE,"AD_Purchase";#N/A,#N/A,FALSE,"Credit";#N/A,#N/A,FALSE,"PF Acquisition";#N/A,#N/A,FALSE,"PF Offering"}</definedName>
    <definedName name="houy" hidden="1">{#N/A,#N/A,FALSE,"AD_Purchase";#N/A,#N/A,FALSE,"Credit";#N/A,#N/A,FALSE,"PF Acquisition";#N/A,#N/A,FALSE,"PF Offering"}</definedName>
    <definedName name="houy2" localSheetId="7" hidden="1">{#N/A,#N/A,FALSE,"AD_Purchase";#N/A,#N/A,FALSE,"Credit";#N/A,#N/A,FALSE,"PF Acquisition";#N/A,#N/A,FALSE,"PF Offering"}</definedName>
    <definedName name="houy2" hidden="1">{#N/A,#N/A,FALSE,"AD_Purchase";#N/A,#N/A,FALSE,"Credit";#N/A,#N/A,FALSE,"PF Acquisition";#N/A,#N/A,FALSE,"PF Offering"}</definedName>
    <definedName name="HTM_Control" localSheetId="7" hidden="1">{"'下期集計（10.27迄・速報値）'!$Q$16"}</definedName>
    <definedName name="HTM_Control" hidden="1">{"'下期集計（10.27迄・速報値）'!$Q$16"}</definedName>
    <definedName name="ＨＴＭＬ" localSheetId="7" hidden="1">{"'コメント'!$A$1:$C$37"}</definedName>
    <definedName name="ＨＴＭＬ" hidden="1">{"'コメント'!$A$1:$C$37"}</definedName>
    <definedName name="HTML_CodePage" hidden="1">1252</definedName>
    <definedName name="HTML_Control" localSheetId="7" hidden="1">{"'Planning Data'!$A$2:$X$120"}</definedName>
    <definedName name="HTML_Control" hidden="1">{"'Planning Data'!$A$2:$X$120"}</definedName>
    <definedName name="HTML_Control_BS" localSheetId="7" hidden="1">{"'Sheet1'!$A$1:$L$21"}</definedName>
    <definedName name="HTML_Control_BS" hidden="1">{"'Sheet1'!$A$1:$L$21"}</definedName>
    <definedName name="html_control2" localSheetId="7" hidden="1">{"'Planning Data'!$A$2:$X$120"}</definedName>
    <definedName name="html_control2" hidden="1">{"'Planning Data'!$A$2:$X$120"}</definedName>
    <definedName name="HTML_Description" hidden="1">"Week Ending 8/26/99"</definedName>
    <definedName name="HTML_Email" hidden="1">"net-planning@mindspring.com"</definedName>
    <definedName name="HTML_Header" hidden="1">"MindSpring Planning Data Report"</definedName>
    <definedName name="HTML_LastUpdate" hidden="1">"08/27/1999"</definedName>
    <definedName name="HTML_LineAfter" hidden="1">FALSE</definedName>
    <definedName name="HTML_LineBefore" hidden="1">TRUE</definedName>
    <definedName name="HTML_Name" hidden="1">"jason cohn"</definedName>
    <definedName name="HTML_OBDlg2" hidden="1">TRUE</definedName>
    <definedName name="HTML_OBDlg4" hidden="1">TRUE</definedName>
    <definedName name="HTML_OS" hidden="1">0</definedName>
    <definedName name="HTML_PathFile" hidden="1">"C:\html\august2799.htm"</definedName>
    <definedName name="HTML_PathFileMac" hidden="1">"Macintosh HD:HomePageStuff:pc:datasets:implprem.html"</definedName>
    <definedName name="HTML_Title" hidden="1">"MindSpring Planning Data Report"</definedName>
    <definedName name="I" hidden="1">#REF!</definedName>
    <definedName name="iffy"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i" localSheetId="7" hidden="1">{"'Sheet1'!$A$1:$H$36"}</definedName>
    <definedName name="ii" hidden="1">{"'Sheet1'!$A$1:$H$36"}</definedName>
    <definedName name="ijn" localSheetId="7" hidden="1">{#N/A,#N/A,FALSE,"AD_Purchase";#N/A,#N/A,FALSE,"Credit";#N/A,#N/A,FALSE,"PF Acquisition";#N/A,#N/A,FALSE,"PF Offering"}</definedName>
    <definedName name="ijn" hidden="1">{#N/A,#N/A,FALSE,"AD_Purchase";#N/A,#N/A,FALSE,"Credit";#N/A,#N/A,FALSE,"PF Acquisition";#N/A,#N/A,FALSE,"PF Offering"}</definedName>
    <definedName name="Imagyn" localSheetId="7"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nflList" hidden="1">"10000000000000000000000000000000000000000000000000000000000000000000000000000000000000000000000000000000000000000000000000000000000000000000000000000000000000000000000000000000000000000000000000000000"</definedName>
    <definedName name="IntroPrintArea" hidden="1">#REF!</definedName>
    <definedName name="IQ_" hidden="1">"c59"</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LC_TYPE_BS" hidden="1">"c3086"</definedName>
    <definedName name="IQ_CALC_TYPE_CF" hidden="1">"c3085"</definedName>
    <definedName name="IQ_CALC_TYPE_IS" hidden="1">"c3084"</definedName>
    <definedName name="IQ_CALL_FEATURE" hidden="1">"c2197"</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localSheetId="12" hidden="1">"c116"</definedName>
    <definedName name="IQ_CASH_ACQUIRE_CF" localSheetId="2" hidden="1">"c116"</definedName>
    <definedName name="IQ_CASH_ACQUIRE_CF" localSheetId="13" hidden="1">"c116"</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HIGH_EST" hidden="1">"c1669"</definedName>
    <definedName name="IQ_CFPS_HIGH_EST_REUT" hidden="1">"c3846"</definedName>
    <definedName name="IQ_CFPS_LOW_EST" hidden="1">"c1670"</definedName>
    <definedName name="IQ_CFPS_LOW_EST_REUT" hidden="1">"c3847"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_REUT" hidden="1">"c5501"</definedName>
    <definedName name="IQ_DPS_EST_REUT" hidden="1">"c3851"</definedName>
    <definedName name="IQ_DPS_HIGH_EST" hidden="1">"c1676"</definedName>
    <definedName name="IQ_DPS_HIGH_EST_REUT" hidden="1">"c3853"</definedName>
    <definedName name="IQ_DPS_LOW_EST" hidden="1">"c1677"</definedName>
    <definedName name="IQ_DPS_LOW_EST_REUT" hidden="1">"c3854"</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 hidden="1">"c1683"</definedName>
    <definedName name="IQ_EBIT_HIGH_EST_REUT" hidden="1">"c5335"</definedName>
    <definedName name="IQ_EBIT_INT" hidden="1">"c360"</definedName>
    <definedName name="IQ_EBIT_LOW_EST" hidden="1">"c1684"</definedName>
    <definedName name="IQ_EBIT_LOW_EST_REUT" hidden="1">"c5336"</definedName>
    <definedName name="IQ_EBIT_MARGIN" hidden="1">"c359"</definedName>
    <definedName name="IQ_EBIT_MEDIAN_EST" hidden="1">"c1682"</definedName>
    <definedName name="IQ_EBIT_MEDIAN_EST_REUT" hidden="1">"c5334"</definedName>
    <definedName name="IQ_EBIT_NET_INT" hidden="1">"c360"</definedName>
    <definedName name="IQ_EBIT_NUM_EST" hidden="1">"c1685"</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ET_INT" hidden="1">"c373"</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 hidden="1">"c2223"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 hidden="1">"c1673"</definedName>
    <definedName name="IQ_EST_ACT_CFPS_REUT" hidden="1">"c3850"</definedName>
    <definedName name="IQ_EST_ACT_DPS" hidden="1">"c1680"</definedName>
    <definedName name="IQ_EST_ACT_DPS_REUT" hidden="1">"c3857"</definedName>
    <definedName name="IQ_EST_ACT_EBIT" hidden="1">"c1687"</definedName>
    <definedName name="IQ_EST_ACT_EBIT_REUT" hidden="1">"c5339"</definedName>
    <definedName name="IQ_EST_ACT_EBITDA" hidden="1">"c1664"</definedName>
    <definedName name="IQ_EST_ACT_EBITDA_REUT" hidden="1">"c3836"</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 hidden="1">"c1666"</definedName>
    <definedName name="IQ_EST_ACT_FFO_REUT" hidden="1">"c3843"</definedName>
    <definedName name="IQ_EST_ACT_NAV" hidden="1">"c1757"</definedName>
    <definedName name="IQ_EST_ACT_NAV_SHARE_REUT" hidden="1">"c5616"</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GW_THOM" hidden="1">"c5139"</definedName>
    <definedName name="IQ_EST_ACT_NI_REPORTED" hidden="1">"c1736"</definedName>
    <definedName name="IQ_EST_ACT_NI_REPORTED_REUT" hidden="1">"c5388"</definedName>
    <definedName name="IQ_EST_ACT_NI_REUT" hidden="1">"c5374"</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TURN_ASSETS_REUT" hidden="1">"c3996"</definedName>
    <definedName name="IQ_EST_ACT_RETURN_EQUITY_REUT" hidden="1">"c3989"</definedName>
    <definedName name="IQ_EST_ACT_REV" hidden="1">"c2113"</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URPRISE_PERCENT" hidden="1">"c1870"</definedName>
    <definedName name="IQ_EST_FFO_SURPRISE_PERCENT_REUT" hidden="1">"c3891"</definedName>
    <definedName name="IQ_EST_FOOTNOTE_REUT" hidden="1">"c5478"</definedName>
    <definedName name="IQ_EST_NAV_DIFF" hidden="1">"c1895"</definedName>
    <definedName name="IQ_EST_NAV_SURPRISE_PERCENT" hidden="1">"c1896"</definedName>
    <definedName name="IQ_EST_NI_DIFF" hidden="1">"c1885"</definedName>
    <definedName name="IQ_EST_NI_DIFF_REUT" hidden="1">"c5423"</definedName>
    <definedName name="IQ_EST_NI_GW_DIFF" hidden="1">"c1887"</definedName>
    <definedName name="IQ_EST_NI_GW_DIFF_REUT" hidden="1">"c5425"</definedName>
    <definedName name="IQ_EST_NI_GW_DIFF_THOM" hidden="1">"c5200"</definedName>
    <definedName name="IQ_EST_NI_GW_SURPRISE_PERCENT" hidden="1">"c1888"</definedName>
    <definedName name="IQ_EST_NI_GW_SURPRISE_PERCENT_REUT" hidden="1">"c5426"</definedName>
    <definedName name="IQ_EST_NI_GW_SURPRISE_PERCENT_THOM" hidden="1">"c5201"</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UT_ACT_CAPEX" hidden="1">"c3975"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TRN_PENSION_FOREIGN" hidden="1">"c408"</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TDDEV_EST" hidden="1">"c422"</definedName>
    <definedName name="IQ_FFO_STDDEV_EST_REUT" hidden="1">"c3842"</definedName>
    <definedName name="IQ_FH" hidden="1">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ISTING_CURRENCY" hidden="1">"c2127"</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40073.4698842593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W_EST" hidden="1">"c1723"</definedName>
    <definedName name="IQ_NI_GW_EST_REUT" hidden="1">"c5375"</definedName>
    <definedName name="IQ_NI_GW_EST_THOM" hidden="1">"c5133"</definedName>
    <definedName name="IQ_NI_GW_HIGH_EST" hidden="1">"c1725"</definedName>
    <definedName name="IQ_NI_GW_HIGH_EST_REUT" hidden="1">"c5377"</definedName>
    <definedName name="IQ_NI_GW_HIGH_EST_THOM" hidden="1">"c5135"</definedName>
    <definedName name="IQ_NI_GW_LOW_EST" hidden="1">"c1726"</definedName>
    <definedName name="IQ_NI_GW_LOW_EST_REUT" hidden="1">"c5378"</definedName>
    <definedName name="IQ_NI_GW_LOW_EST_THOM" hidden="1">"c5136"</definedName>
    <definedName name="IQ_NI_GW_MEDIAN_EST" hidden="1">"c1724"</definedName>
    <definedName name="IQ_NI_GW_MEDIAN_EST_REUT" hidden="1">"c5376"</definedName>
    <definedName name="IQ_NI_GW_MEDIAN_EST_THOM" hidden="1">"c5134"</definedName>
    <definedName name="IQ_NI_GW_NUM_EST" hidden="1">"c1727"</definedName>
    <definedName name="IQ_NI_GW_NUM_EST_REUT" hidden="1">"c5379"</definedName>
    <definedName name="IQ_NI_GW_NUM_EST_THOM" hidden="1">"c5137"</definedName>
    <definedName name="IQ_NI_GW_STDDEV_EST" hidden="1">"c1728"</definedName>
    <definedName name="IQ_NI_GW_STDDEV_EST_REUT" hidden="1">"c5380"</definedName>
    <definedName name="IQ_NI_GW_STDDEV_EST_THOM" hidden="1">"c5138"</definedName>
    <definedName name="IQ_NI_HIGH_EST" hidden="1">"c1718"</definedName>
    <definedName name="IQ_NI_HIGH_EST_REUT" hidden="1">"c5370"</definedName>
    <definedName name="IQ_NI_LOW_EST" hidden="1">"c1719"</definedName>
    <definedName name="IQ_NI_LOW_EST_REUT" hidden="1">"c5371"</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R" hidden="1">"c5566"</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localSheetId="12" hidden="1">"c1023"</definedName>
    <definedName name="IQ_OUTSTANDING_FILING_DATE" localSheetId="2" hidden="1">"c1023"</definedName>
    <definedName name="IQ_OUTSTANDING_FILING_DATE" localSheetId="13" hidden="1">"c1023"</definedName>
    <definedName name="IQ_OUTSTANDING_FILING_DATE" hidden="1">"c2127"</definedName>
    <definedName name="IQ_OUTSTANDING_FILING_DATE_TOTAL" hidden="1">"c2107"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FLOAT" hidden="1">"c227"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localSheetId="12" hidden="1">39286.2329861111</definedName>
    <definedName name="IQ_REVISION_DATE_" localSheetId="2" hidden="1">39286.2329861111</definedName>
    <definedName name="IQ_REVISION_DATE_" localSheetId="13" hidden="1">39286.2329861111</definedName>
    <definedName name="IQ_REVISION_DATE_" hidden="1">38995.2790740741</definedName>
    <definedName name="IQ_REVISION_DATE__1" hidden="1">39111.4358564815</definedName>
    <definedName name="IQ_REVOLVING_SECURED_1_–4_NON_ACCRUAL_FFIEC" hidden="1">"c15565"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ISSUE_LC_ACTION" hidden="1">"c2644"</definedName>
    <definedName name="IQ_SP_ISSUE_LC_DATE" hidden="1">"c2643"</definedName>
    <definedName name="IQ_SP_ISSUE_LC_LT" hidden="1">"c2645"</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AL" hidden="1">"c1308"</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8" hidden="1">"$A$9:$A$260"</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9" hidden="1">"$B$40:$B$61"</definedName>
    <definedName name="IQRB5" hidden="1">"$B$6:$B$585"</definedName>
    <definedName name="IQRB6" hidden="1">"$B$7"</definedName>
    <definedName name="IQRB8" hidden="1">"$B$9:$B$260"</definedName>
    <definedName name="IQRC15" hidden="1">"$C$16:$C$20"</definedName>
    <definedName name="IQRC24" hidden="1">"$C$25:$C$29"</definedName>
    <definedName name="IQRC8" hidden="1">"$C$9:$C$260"</definedName>
    <definedName name="IQRD15" hidden="1">"$D$16:$D$17"</definedName>
    <definedName name="IQRD39" hidden="1">"$D$40:$D$61"</definedName>
    <definedName name="IQRD6" hidden="1">"$D$7"</definedName>
    <definedName name="IQRF39" hidden="1">"$F$40:$F$61"</definedName>
    <definedName name="IQRH59" hidden="1">"$H$60"</definedName>
    <definedName name="IQRH6" hidden="1">"$H$7:$H$112"</definedName>
    <definedName name="IQRI2" hidden="1">"$I$3:$I$66"</definedName>
    <definedName name="IQRI39" hidden="1">"$I$40:$I$61"</definedName>
    <definedName name="IQRI6" hidden="1">"$I$7:$I$112"</definedName>
    <definedName name="IQRJ3" hidden="1">"$J$4:$J$67"</definedName>
    <definedName name="IQRJ59" hidden="1">"$J$60"</definedName>
    <definedName name="IQRJ6" hidden="1">"$J$7:$J$112"</definedName>
    <definedName name="IQRL16" hidden="1">"$L$17:$L$21"</definedName>
    <definedName name="IQRL39" hidden="1">"$L$40:$L$61"</definedName>
    <definedName name="IQRL59" hidden="1">"$L$60"</definedName>
    <definedName name="IQRM15" hidden="1">"$M$16"</definedName>
    <definedName name="IQRM16" hidden="1">"$N$16"</definedName>
    <definedName name="IQRM17" hidden="1">"$M$18:$M$22"</definedName>
    <definedName name="IQRM39" hidden="1">"$M$40:$M$61"</definedName>
    <definedName name="IQRO39" hidden="1">"$O$40:$O$61"</definedName>
    <definedName name="IQRP39" hidden="1">"$P$40:$P$61"</definedName>
    <definedName name="IQRS6" hidden="1">"$S$7:$S$259"</definedName>
    <definedName name="IQRU11" hidden="1">"$U$12:$U$264"</definedName>
    <definedName name="IQRV11" hidden="1">"$V$12:$V$264"</definedName>
    <definedName name="iQShowHideColumns" hidden="1">"iQShowAll"</definedName>
    <definedName name="IsColHidden" hidden="1">FALSE</definedName>
    <definedName name="IsLTMColHidden" hidden="1">FALSE</definedName>
    <definedName name="IT수정" localSheetId="7" hidden="1">{"'Sheet1'!$A$1:$H$36"}</definedName>
    <definedName name="IT수정" hidden="1">{"'Sheet1'!$A$1:$H$36"}</definedName>
    <definedName name="jdgfghdf" hidden="1">'[3]Variance Sum '!#REF!</definedName>
    <definedName name="je" localSheetId="7" hidden="1">{"'Sheet1'!$A$1:$L$21"}</definedName>
    <definedName name="je" hidden="1">{"'Sheet1'!$A$1:$L$21"}</definedName>
    <definedName name="ji" localSheetId="7" hidden="1">{"'Highlights'!$A$1:$M$123"}</definedName>
    <definedName name="ji" hidden="1">{"'Highlights'!$A$1:$M$123"}</definedName>
    <definedName name="jim" localSheetId="7" hidden="1">{"'Directory'!$A$72:$E$91"}</definedName>
    <definedName name="jim" hidden="1">{"'Directory'!$A$72:$E$91"}</definedName>
    <definedName name="jimm" localSheetId="7" hidden="1">{"'Directory'!$A$72:$E$91"}</definedName>
    <definedName name="jimm" hidden="1">{"'Directory'!$A$72:$E$91"}</definedName>
    <definedName name="jip" localSheetId="7" hidden="1">{"'Highlights'!$A$1:$M$123"}</definedName>
    <definedName name="jip" hidden="1">{"'Highlights'!$A$1:$M$123"}</definedName>
    <definedName name="jsdfgf" hidden="1">'[3]Variance Sum '!#REF!</definedName>
    <definedName name="JU" localSheetId="7" hidden="1">{#N/A,#N/A,FALSE,"ASSUMPTIONS";#N/A,#N/A,FALSE,"Valuation Summary";"page1",#N/A,FALSE,"PRESENTATION";"page2",#N/A,FALSE,"PRESENTATION";#N/A,#N/A,FALSE,"ORIGINAL_ROLLBACK"}</definedName>
    <definedName name="JU" hidden="1">{#N/A,#N/A,FALSE,"ASSUMPTIONS";#N/A,#N/A,FALSE,"Valuation Summary";"page1",#N/A,FALSE,"PRESENTATION";"page2",#N/A,FALSE,"PRESENTATION";#N/A,#N/A,FALSE,"ORIGINAL_ROLLBACK"}</definedName>
    <definedName name="kkk" localSheetId="7" hidden="1">{"'下期集計（10.27迄・速報値）'!$Q$16"}</definedName>
    <definedName name="kkk" hidden="1">{"'下期集計（10.27迄・速報値）'!$Q$16"}</definedName>
    <definedName name="klghjlhj" hidden="1">'[4]19'!#REF!</definedName>
    <definedName name="kyd.CounterLimitCell.01." hidden="1">"x"</definedName>
    <definedName name="kyd.Dim.01." hidden="1">"toad:Company"</definedName>
    <definedName name="kyd.ElementType.01." hidden="1">3</definedName>
    <definedName name="kyd.ItemType.01." hidden="1">2</definedName>
    <definedName name="kyd.NumLevels.01." hidden="1">999</definedName>
    <definedName name="kyd.ParentName.01." hidden="1">""</definedName>
    <definedName name="kyd.PrintParent.01." hidden="1">TRUE</definedName>
    <definedName name="kyd.SelectString.01." hidden="1">"*"</definedName>
    <definedName name="l" localSheetId="7" hidden="1">{"'Sheet1'!$A$1:$L$21"}</definedName>
    <definedName name="l" hidden="1">{"'Sheet1'!$A$1:$L$21"}</definedName>
    <definedName name="lbo" localSheetId="7"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dsjglsgls" localSheetId="7" hidden="1">{#N/A,#N/A,FALSE,"Performance Flash Report"}</definedName>
    <definedName name="ldsjglsgls" hidden="1">{#N/A,#N/A,FALSE,"Performance Flash Report"}</definedName>
    <definedName name="Legal" localSheetId="7" hidden="1">{#N/A,#N/A,FALSE,"Aging Summary";#N/A,#N/A,FALSE,"Ratio Analysis";#N/A,#N/A,FALSE,"Test 120 Day Accts";#N/A,#N/A,FALSE,"Tickmarks"}</definedName>
    <definedName name="Legal" hidden="1">{#N/A,#N/A,FALSE,"Aging Summary";#N/A,#N/A,FALSE,"Ratio Analysis";#N/A,#N/A,FALSE,"Test 120 Day Accts";#N/A,#N/A,FALSE,"Tickmarks"}</definedName>
    <definedName name="lk" hidden="1">"c147"</definedName>
    <definedName name="ll" localSheetId="7" hidden="1">{#N/A,#N/A,FALSE,"Performance Flash Report"}</definedName>
    <definedName name="ll" hidden="1">{#N/A,#N/A,FALSE,"Performance Flash Report"}</definedName>
    <definedName name="lll" localSheetId="7" hidden="1">{#N/A,#N/A,FALSE,"Performance Flash Report"}</definedName>
    <definedName name="lll" hidden="1">{#N/A,#N/A,FALSE,"Performance Flash Report"}</definedName>
    <definedName name="m" localSheetId="7" hidden="1">{0,0,0,0,1,-4105,42.5196850393701,42.5196850393701,42.5196850393701,42.5196850393701,2,TRUE,TRUE,FALSE,FALSE,FALSE,#N/A,1,85,1,1,"","","","&amp;""Kennerly,Roman Bold""&amp;14L&amp;12EHMAN &amp;14 B&amp;12ROTHERS","","",FALSE}</definedName>
    <definedName name="m" hidden="1">{0,0,0,0,1,-4105,42.5196850393701,42.5196850393701,42.5196850393701,42.5196850393701,2,TRUE,TRUE,FALSE,FALSE,FALSE,#N/A,1,85,1,1,"","","","&amp;""Kennerly,Roman Bold""&amp;14L&amp;12EHMAN &amp;14 B&amp;12ROTHERS","","",FALSE}</definedName>
    <definedName name="Med_prod" localSheetId="7" hidden="1">{#N/A,#N/A,FALSE,"Prem_Sum";#N/A,#N/A,FALSE,"Prem"}</definedName>
    <definedName name="Med_prod" hidden="1">{#N/A,#N/A,FALSE,"Prem_Sum";#N/A,#N/A,FALSE,"Prem"}</definedName>
    <definedName name="Med_prod.xls" localSheetId="7" hidden="1">{#N/A,#N/A,FALSE,"FACTSHEETS";#N/A,#N/A,FALSE,"pump";#N/A,#N/A,FALSE,"filter"}</definedName>
    <definedName name="Med_prod.xls" hidden="1">{#N/A,#N/A,FALSE,"FACTSHEETS";#N/A,#N/A,FALSE,"pump";#N/A,#N/A,FALSE,"filter"}</definedName>
    <definedName name="Med_products" localSheetId="7" hidden="1">{#N/A,#N/A,FALSE,"FACTSHEETS";#N/A,#N/A,FALSE,"pump";#N/A,#N/A,FALSE,"filter"}</definedName>
    <definedName name="Med_products" hidden="1">{#N/A,#N/A,FALSE,"FACTSHEETS";#N/A,#N/A,FALSE,"pump";#N/A,#N/A,FALSE,"filter"}</definedName>
    <definedName name="MEWarning" hidden="1">0</definedName>
    <definedName name="MKK" localSheetId="7" hidden="1">{"'下期集計（10.27迄・速報値）'!$Q$16"}</definedName>
    <definedName name="MKK" hidden="1">{"'下期集計（10.27迄・速報値）'!$Q$16"}</definedName>
    <definedName name="mn" hidden="1">"c315"</definedName>
    <definedName name="model" localSheetId="7" hidden="1">{#N/A,#N/A,FALSE,"Rev Grwth";#N/A,#N/A,FALSE,"Op Inc Grwth";#N/A,#N/A,FALSE,"Net Grwth";#N/A,#N/A,FALSE,"EPS Growth"}</definedName>
    <definedName name="model" hidden="1">{#N/A,#N/A,FALSE,"Rev Grwth";#N/A,#N/A,FALSE,"Op Inc Grwth";#N/A,#N/A,FALSE,"Net Grwth";#N/A,#N/A,FALSE,"EPS Growth"}</definedName>
    <definedName name="Mt.Todd" localSheetId="7" hidden="1">{"p1TOC",#N/A,FALSE,"DCF_Summary";"p23summary",#N/A,FALSE,"DCF_Summary";"p4contact",#N/A,FALSE,"Contact Lake";"p5kumtor",#N/A,FALSE,"Kumtor";#N/A,#N/A,FALSE,"CCAU_NAV";"p8compdata",#N/A,FALSE,"Gold_Comps";#N/A,#N/A,FALSE,"Comp_Valuation"}</definedName>
    <definedName name="Mt.Todd" hidden="1">{"p1TOC",#N/A,FALSE,"DCF_Summary";"p23summary",#N/A,FALSE,"DCF_Summary";"p4contact",#N/A,FALSE,"Contact Lake";"p5kumtor",#N/A,FALSE,"Kumtor";#N/A,#N/A,FALSE,"CCAU_NAV";"p8compdata",#N/A,FALSE,"Gold_Comps";#N/A,#N/A,FALSE,"Comp_Valuation"}</definedName>
    <definedName name="Mults02" localSheetId="7"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n" localSheetId="7" hidden="1">{"'下期集計（10.27迄・速報値）'!$Q$16"}</definedName>
    <definedName name="n" hidden="1">{"'下期集計（10.27迄・速報値）'!$Q$16"}</definedName>
    <definedName name="N_A" localSheetId="12">#REF!</definedName>
    <definedName name="N_A" localSheetId="2">#REF!</definedName>
    <definedName name="N_A" localSheetId="13">#REF!</definedName>
    <definedName name="N_A">#REF!</definedName>
    <definedName name="N_M" localSheetId="12">#REF!</definedName>
    <definedName name="N_M">#REF!</definedName>
    <definedName name="nert" hidden="1">"c88"</definedName>
    <definedName name="new" hidden="1">"c413"</definedName>
    <definedName name="newbel" localSheetId="7" hidden="1">{"'Directory'!$A$72:$E$91"}</definedName>
    <definedName name="newbel" hidden="1">{"'Directory'!$A$72:$E$91"}</definedName>
    <definedName name="newbls" localSheetId="7" hidden="1">{"'Directory'!$A$72:$E$91"}</definedName>
    <definedName name="newbls" hidden="1">{"'Directory'!$A$72:$E$91"}</definedName>
    <definedName name="NewMarketMedium" hidden="1">#REF!</definedName>
    <definedName name="newname" localSheetId="7" hidden="1">{#N/A,#N/A,FALSE,"Performance Flash Report"}</definedName>
    <definedName name="newname" hidden="1">{#N/A,#N/A,FALSE,"Performance Flash Report"}</definedName>
    <definedName name="newt" localSheetId="7" hidden="1">{"'Directory'!$A$72:$E$91"}</definedName>
    <definedName name="newt" hidden="1">{"'Directory'!$A$72:$E$91"}</definedName>
    <definedName name="newwcom" localSheetId="7" hidden="1">{"'Directory'!$A$72:$E$91"}</definedName>
    <definedName name="newwcom" hidden="1">{"'Directory'!$A$72:$E$91"}</definedName>
    <definedName name="Next_Actual_Period_Range">'[16]Income Statement'!$D$3:$BE$6</definedName>
    <definedName name="Nil" localSheetId="7" hidden="1">{#N/A,#N/A,FALSE,"Aging Summary";#N/A,#N/A,FALSE,"Ratio Analysis";#N/A,#N/A,FALSE,"Test 120 Day Accts";#N/A,#N/A,FALSE,"Tickmarks"}</definedName>
    <definedName name="Nil" hidden="1">{#N/A,#N/A,FALSE,"Aging Summary";#N/A,#N/A,FALSE,"Ratio Analysis";#N/A,#N/A,FALSE,"Test 120 Day Accts";#N/A,#N/A,FALSE,"Tickmarks"}</definedName>
    <definedName name="NM_T" localSheetId="12">#REF!</definedName>
    <definedName name="NM_T" localSheetId="2">#REF!</definedName>
    <definedName name="NM_T" localSheetId="13">#REF!</definedName>
    <definedName name="NM_T">#REF!</definedName>
    <definedName name="nnnnnnn" localSheetId="7" hidden="1">{#N/A,#N/A,TRUE,"TS";#N/A,#N/A,TRUE,"Combo";#N/A,#N/A,TRUE,"FAIR";#N/A,#N/A,TRUE,"RBC";#N/A,#N/A,TRUE,"xxxx"}</definedName>
    <definedName name="nnnnnnn" hidden="1">{#N/A,#N/A,TRUE,"TS";#N/A,#N/A,TRUE,"Combo";#N/A,#N/A,TRUE,"FAIR";#N/A,#N/A,TRUE,"RBC";#N/A,#N/A,TRUE,"xxxx"}</definedName>
    <definedName name="no" hidden="1">38995.2790740741</definedName>
    <definedName name="nofnono2" localSheetId="7" hidden="1">{#N/A,#N/A,FALSE,"Aging Summary";#N/A,#N/A,FALSE,"Ratio Analysis";#N/A,#N/A,FALSE,"Test 120 Day Accts";#N/A,#N/A,FALSE,"Tickmarks"}</definedName>
    <definedName name="nofnono2" hidden="1">{#N/A,#N/A,FALSE,"Aging Summary";#N/A,#N/A,FALSE,"Ratio Analysis";#N/A,#N/A,FALSE,"Test 120 Day Accts";#N/A,#N/A,FALSE,"Tickmarks"}</definedName>
    <definedName name="none" localSheetId="7" hidden="1">{"QTR2",#N/A,FALSE,"OTK6_27";#N/A,#N/A,FALSE,"Q2 Detail";"SIXMTH",#N/A,FALSE,"OTK6_27";"qtr3",#N/A,FALSE,"OTK6_27";#N/A,#N/A,FALSE,"Q3 Detail";"NINEMTH",#N/A,FALSE,"OTK6_27";"qtr4",#N/A,FALSE,"OTK6_27";#N/A,#N/A,FALSE,"Q4 Detail";"YEAR",#N/A,FALSE,"OTK6_27"}</definedName>
    <definedName name="none" hidden="1">{"QTR2",#N/A,FALSE,"OTK6_27";#N/A,#N/A,FALSE,"Q2 Detail";"SIXMTH",#N/A,FALSE,"OTK6_27";"qtr3",#N/A,FALSE,"OTK6_27";#N/A,#N/A,FALSE,"Q3 Detail";"NINEMTH",#N/A,FALSE,"OTK6_27";"qtr4",#N/A,FALSE,"OTK6_27";#N/A,#N/A,FALSE,"Q4 Detail";"YEAR",#N/A,FALSE,"OTK6_27"}</definedName>
    <definedName name="none2" localSheetId="7" hidden="1">{"QTR1",#N/A,FALSE,"Q1 Detail";"QTR2",#N/A,FALSE,"Q2 Detail";"QTR3",#N/A,FALSE,"Q3 Detail";"QTR4",#N/A,FALSE,"Q4 Detail"}</definedName>
    <definedName name="none2" hidden="1">{"QTR1",#N/A,FALSE,"Q1 Detail";"QTR2",#N/A,FALSE,"Q2 Detail";"QTR3",#N/A,FALSE,"Q3 Detail";"QTR4",#N/A,FALSE,"Q4 Detail"}</definedName>
    <definedName name="none3" localSheetId="7" hidden="1">{"QTR1",#N/A,FALSE,"96OUT";"QTR2",#N/A,FALSE,"96OUT";"QTR3",#N/A,FALSE,"96OUT";"QTR4",#N/A,FALSE,"96OUT";"YEAR",#N/A,FALSE,"96OUT"}</definedName>
    <definedName name="none3" hidden="1">{"QTR1",#N/A,FALSE,"96OUT";"QTR2",#N/A,FALSE,"96OUT";"QTR3",#N/A,FALSE,"96OUT";"QTR4",#N/A,FALSE,"96OUT";"YEAR",#N/A,FALSE,"96OUT"}</definedName>
    <definedName name="none4" localSheetId="7" hidden="1">{#N/A,#N/A,TRUE,"PAGE 2";#N/A,#N/A,TRUE,"PAGE 3";#N/A,#N/A,TRUE,"PAGE4"}</definedName>
    <definedName name="none4" hidden="1">{#N/A,#N/A,TRUE,"PAGE 2";#N/A,#N/A,TRUE,"PAGE 3";#N/A,#N/A,TRUE,"PAGE4"}</definedName>
    <definedName name="none5" localSheetId="7" hidden="1">{"QTR2",#N/A,FALSE,"OTK6_27";#N/A,#N/A,FALSE,"Q2 Detail";"SIXMTH",#N/A,FALSE,"OTK6_27";"qtr3",#N/A,FALSE,"OTK6_27";#N/A,#N/A,FALSE,"Q3 Detail";"NINEMTH",#N/A,FALSE,"OTK6_27";"qtr4",#N/A,FALSE,"OTK6_27";#N/A,#N/A,FALSE,"Q4 Detail";"YEAR",#N/A,FALSE,"OTK6_27"}</definedName>
    <definedName name="none5" hidden="1">{"QTR2",#N/A,FALSE,"OTK6_27";#N/A,#N/A,FALSE,"Q2 Detail";"SIXMTH",#N/A,FALSE,"OTK6_27";"qtr3",#N/A,FALSE,"OTK6_27";#N/A,#N/A,FALSE,"Q3 Detail";"NINEMTH",#N/A,FALSE,"OTK6_27";"qtr4",#N/A,FALSE,"OTK6_27";#N/A,#N/A,FALSE,"Q4 Detail";"YEAR",#N/A,FALSE,"OTK6_27"}</definedName>
    <definedName name="none6" localSheetId="7" hidden="1">{"OUTLK3YROCC",#N/A,FALSE,"3YR_OCC"}</definedName>
    <definedName name="none6" hidden="1">{"OUTLK3YROCC",#N/A,FALSE,"3YR_OCC"}</definedName>
    <definedName name="none7" localSheetId="7" hidden="1">{"QTR2",#N/A,FALSE,"OTK6_27";#N/A,#N/A,FALSE,"Q2 Detail";"SIXMTH",#N/A,FALSE,"OTK6_27";"qtr3",#N/A,FALSE,"OTK6_27";#N/A,#N/A,FALSE,"Q3 Detail";"NINEMTH",#N/A,FALSE,"OTK6_27";"qtr4",#N/A,FALSE,"OTK6_27";#N/A,#N/A,FALSE,"Q4 Detail";"YEAR",#N/A,FALSE,"OTK6_27"}</definedName>
    <definedName name="none7" hidden="1">{"QTR2",#N/A,FALSE,"OTK6_27";#N/A,#N/A,FALSE,"Q2 Detail";"SIXMTH",#N/A,FALSE,"OTK6_27";"qtr3",#N/A,FALSE,"OTK6_27";#N/A,#N/A,FALSE,"Q3 Detail";"NINEMTH",#N/A,FALSE,"OTK6_27";"qtr4",#N/A,FALSE,"OTK6_27";#N/A,#N/A,FALSE,"Q4 Detail";"YEAR",#N/A,FALSE,"OTK6_27"}</definedName>
    <definedName name="nwer" hidden="1">"c65"</definedName>
    <definedName name="ogl" localSheetId="7" hidden="1">'[11]IS Detail-budget run1_ Updated'!#REF!,'[11]IS Detail-budget run1_ Updated'!#REF!,'[11]IS Detail-budget run1_ Updated'!$E$1:$G$65536,'[11]IS Detail-budget run1_ Updated'!#REF!,'[11]IS Detail-budget run1_ Updated'!#REF!</definedName>
    <definedName name="ogl" hidden="1">'[11]IS Detail-budget run1_ Updated'!#REF!,'[11]IS Detail-budget run1_ Updated'!#REF!,'[11]IS Detail-budget run1_ Updated'!$E$1:$G$65536,'[11]IS Detail-budget run1_ Updated'!#REF!,'[11]IS Detail-budget run1_ Updated'!#REF!</definedName>
    <definedName name="oiu" hidden="1">"c313"</definedName>
    <definedName name="OK" localSheetId="7" hidden="1">{#N/A,#N/A,FALSE,"Cover";#N/A,#N/A,FALSE,"LUMI";#N/A,#N/A,FALSE,"COMD";#N/A,#N/A,FALSE,"Valuation";#N/A,#N/A,FALSE,"Assumptions";#N/A,#N/A,FALSE,"Pooling";#N/A,#N/A,FALSE,"BalanceSheet"}</definedName>
    <definedName name="OK" hidden="1">{#N/A,#N/A,FALSE,"Cover";#N/A,#N/A,FALSE,"LUMI";#N/A,#N/A,FALSE,"COMD";#N/A,#N/A,FALSE,"Valuation";#N/A,#N/A,FALSE,"Assumptions";#N/A,#N/A,FALSE,"Pooling";#N/A,#N/A,FALSE,"BalanceSheet"}</definedName>
    <definedName name="Original" localSheetId="7" hidden="1">{#N/A,#N/A,FALSE,"Performance Flash Report"}</definedName>
    <definedName name="Original" hidden="1">{#N/A,#N/A,FALSE,"Performance Flash Report"}</definedName>
    <definedName name="p.kh" localSheetId="7" hidden="1">{#N/A,#N/A,FALSE,"Heat";#N/A,#N/A,FALSE,"DCF";#N/A,#N/A,FALSE,"LBO";#N/A,#N/A,FALSE,"A";#N/A,#N/A,FALSE,"C";#N/A,#N/A,FALSE,"impd";#N/A,#N/A,FALSE,"Accr-Dilu"}</definedName>
    <definedName name="p.kh" hidden="1">{#N/A,#N/A,FALSE,"Heat";#N/A,#N/A,FALSE,"DCF";#N/A,#N/A,FALSE,"LBO";#N/A,#N/A,FALSE,"A";#N/A,#N/A,FALSE,"C";#N/A,#N/A,FALSE,"impd";#N/A,#N/A,FALSE,"Accr-Dilu"}</definedName>
    <definedName name="PC_msg" hidden="1">"Yes"</definedName>
    <definedName name="placeholder" localSheetId="7" hidden="1">{#N/A,#N/A,FALSE,"Performance Flash Report"}</definedName>
    <definedName name="placeholder" hidden="1">{#N/A,#N/A,FALSE,"Performance Flash Report"}</definedName>
    <definedName name="plan" localSheetId="7" hidden="1">{#N/A,#N/A,FALSE,"BalSheet 0899";#N/A,#N/A,FALSE,"ytdpl899";#N/A,#N/A,FALSE,"Aug PL";#N/A,#N/A,FALSE,"Minority Int";#N/A,#N/A,FALSE,"Equity Roll Forward";#N/A,#N/A,FALSE,"Book Equity Test"}</definedName>
    <definedName name="plan" hidden="1">{#N/A,#N/A,FALSE,"BalSheet 0899";#N/A,#N/A,FALSE,"ytdpl899";#N/A,#N/A,FALSE,"Aug PL";#N/A,#N/A,FALSE,"Minority Int";#N/A,#N/A,FALSE,"Equity Roll Forward";#N/A,#N/A,FALSE,"Book Equity Test"}</definedName>
    <definedName name="planning" localSheetId="7"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oi" localSheetId="7"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o" hidden="1">"c182"</definedName>
    <definedName name="poir" hidden="1">"c322"</definedName>
    <definedName name="PopCache_GL_INTERFACE_REFERENCE7" hidden="1">[17]PopCache!$A$1:$A$2</definedName>
    <definedName name="PremiumPaidSUmmary" localSheetId="7"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_xlnm.Print_Area" localSheetId="2">Guidance!$C$4:$J$8</definedName>
    <definedName name="_xlnm.Print_Area" localSheetId="3">IS!$B$3:$CW$79</definedName>
    <definedName name="Prior_Q" localSheetId="12">#REF!</definedName>
    <definedName name="Prior_Q" localSheetId="2">#REF!</definedName>
    <definedName name="Prior_Q" localSheetId="13">#REF!</definedName>
    <definedName name="Prior_Q">#REF!</definedName>
    <definedName name="pt" localSheetId="7" hidden="1">{#N/A,#N/A,FALSE,"Aging Summary";#N/A,#N/A,FALSE,"Ratio Analysis";#N/A,#N/A,FALSE,"Test 120 Day Accts";#N/A,#N/A,FALSE,"Tickmarks"}</definedName>
    <definedName name="pt" hidden="1">{#N/A,#N/A,FALSE,"Aging Summary";#N/A,#N/A,FALSE,"Ratio Analysis";#N/A,#N/A,FALSE,"Test 120 Day Accts";#N/A,#N/A,FALSE,"Tickmarks"}</definedName>
    <definedName name="q" hidden="1">#REF!</definedName>
    <definedName name="Q1fill" hidden="1">#REF!</definedName>
    <definedName name="q4NIvsplan" localSheetId="7"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es" localSheetId="7" hidden="1">{"p1TOC",#N/A,FALSE,"DCF_Summary";"p23summary",#N/A,FALSE,"DCF_Summary";"p4contact",#N/A,FALSE,"Contact Lake";"p5kumtor",#N/A,FALSE,"Kumtor";#N/A,#N/A,FALSE,"CCAU_NAV";"p8compdata",#N/A,FALSE,"Gold_Comps";#N/A,#N/A,FALSE,"Comp_Valuation"}</definedName>
    <definedName name="qes" hidden="1">{"p1TOC",#N/A,FALSE,"DCF_Summary";"p23summary",#N/A,FALSE,"DCF_Summary";"p4contact",#N/A,FALSE,"Contact Lake";"p5kumtor",#N/A,FALSE,"Kumtor";#N/A,#N/A,FALSE,"CCAU_NAV";"p8compdata",#N/A,FALSE,"Gold_Comps";#N/A,#N/A,FALSE,"Comp_Valuation"}</definedName>
    <definedName name="qw" hidden="1">"c115"</definedName>
    <definedName name="qwe" localSheetId="7" hidden="1">{#N/A,#N/A,FALSE,"Projections";#N/A,#N/A,FALSE,"Multiples Valuation";#N/A,#N/A,FALSE,"LBO";#N/A,#N/A,FALSE,"Multiples_Sensitivity";#N/A,#N/A,FALSE,"Summary"}</definedName>
    <definedName name="qwe" hidden="1">{#N/A,#N/A,FALSE,"Projections";#N/A,#N/A,FALSE,"Multiples Valuation";#N/A,#N/A,FALSE,"LBO";#N/A,#N/A,FALSE,"Multiples_Sensitivity";#N/A,#N/A,FALSE,"Summary"}</definedName>
    <definedName name="ＲＡＲＯＡ" localSheetId="7" hidden="1">{"'下期集計（10.27迄・速報値）'!$Q$16"}</definedName>
    <definedName name="ＲＡＲＯＡ" hidden="1">{"'下期集計（10.27迄・速報値）'!$Q$16"}</definedName>
    <definedName name="re" hidden="1">"c226"</definedName>
    <definedName name="redo" localSheetId="7" hidden="1">{#N/A,#N/A,FALSE,"ACQ_GRAPHS";#N/A,#N/A,FALSE,"T_1 GRAPHS";#N/A,#N/A,FALSE,"T_2 GRAPHS";#N/A,#N/A,FALSE,"COMB_GRAPHS"}</definedName>
    <definedName name="redo" hidden="1">{#N/A,#N/A,FALSE,"ACQ_GRAPHS";#N/A,#N/A,FALSE,"T_1 GRAPHS";#N/A,#N/A,FALSE,"T_2 GRAPHS";#N/A,#N/A,FALSE,"COMB_GRAPHS"}</definedName>
    <definedName name="rental" localSheetId="7" hidden="1">{#N/A,#N/A,FALSE,"Aging Summary";#N/A,#N/A,FALSE,"Ratio Analysis";#N/A,#N/A,FALSE,"Test 120 Day Accts";#N/A,#N/A,FALSE,"Tickmarks"}</definedName>
    <definedName name="rental" hidden="1">{#N/A,#N/A,FALSE,"Aging Summary";#N/A,#N/A,FALSE,"Ratio Analysis";#N/A,#N/A,FALSE,"Test 120 Day Accts";#N/A,#N/A,FALSE,"Tickmarks"}</definedName>
    <definedName name="Repair" localSheetId="7" hidden="1">{#N/A,#N/A,FALSE,"Aging Summary";#N/A,#N/A,FALSE,"Ratio Analysis";#N/A,#N/A,FALSE,"Test 120 Day Accts";#N/A,#N/A,FALSE,"Tickmarks"}</definedName>
    <definedName name="Repair" hidden="1">{#N/A,#N/A,FALSE,"Aging Summary";#N/A,#N/A,FALSE,"Ratio Analysis";#N/A,#N/A,FALSE,"Test 120 Day Accts";#N/A,#N/A,FALSE,"Tickmarks"}</definedName>
    <definedName name="reqw" hidden="1">"c274"</definedName>
    <definedName name="Restr" localSheetId="7" hidden="1">{"QTR2",#N/A,FALSE,"OTK6_27";#N/A,#N/A,FALSE,"Q2 Detail";"SIXMTH",#N/A,FALSE,"OTK6_27";"qtr3",#N/A,FALSE,"OTK6_27";#N/A,#N/A,FALSE,"Q3 Detail";"NINEMTH",#N/A,FALSE,"OTK6_27";"qtr4",#N/A,FALSE,"OTK6_27";#N/A,#N/A,FALSE,"Q4 Detail";"YEAR",#N/A,FALSE,"OTK6_27"}</definedName>
    <definedName name="Restr" hidden="1">{"QTR2",#N/A,FALSE,"OTK6_27";#N/A,#N/A,FALSE,"Q2 Detail";"SIXMTH",#N/A,FALSE,"OTK6_27";"qtr3",#N/A,FALSE,"OTK6_27";#N/A,#N/A,FALSE,"Q3 Detail";"NINEMTH",#N/A,FALSE,"OTK6_27";"qtr4",#N/A,FALSE,"OTK6_27";#N/A,#N/A,FALSE,"Q4 Detail";"YEAR",#N/A,FALSE,"OTK6_27"}</definedName>
    <definedName name="Revsdgfojksdlknsdf" localSheetId="7" hidden="1">{#N/A,#N/A,FALSE,"DEPTTEMPL";#N/A,#N/A,FALSE,"CATTEMPL";#N/A,#N/A,FALSE,"TEM PAYROLL";#N/A,#N/A,FALSE,"TEM T&amp;E";#N/A,#N/A,FALSE,"TEM EQUIP &amp; SOFT"}</definedName>
    <definedName name="Revsdgfojksdlknsdf" hidden="1">{#N/A,#N/A,FALSE,"DEPTTEMPL";#N/A,#N/A,FALSE,"CATTEMPL";#N/A,#N/A,FALSE,"TEM PAYROLL";#N/A,#N/A,FALSE,"TEM T&amp;E";#N/A,#N/A,FALSE,"TEM EQUIP &amp; SOFT"}</definedName>
    <definedName name="rfvbgft" localSheetId="7" hidden="1">{#N/A,#N/A,FALSE,"Performance Flash Report"}</definedName>
    <definedName name="rfvbgft" hidden="1">{#N/A,#N/A,FALSE,"Performance Flash Report"}</definedName>
    <definedName name="rtsslk" localSheetId="7" hidden="1">{"'Planning Data'!$A$2:$X$120"}</definedName>
    <definedName name="rtsslk" hidden="1">{"'Planning Data'!$A$2:$X$120"}</definedName>
    <definedName name="rty" hidden="1">"c118"</definedName>
    <definedName name="Rwvu.Analysis." hidden="1">'[18]detail9''96_oh'!$C$1:$D$65536,'[18]detail9''96_oh'!$H$1:$H$65536,'[18]detail9''96_oh'!#REF!,'[18]detail9''96_oh'!$M$1:$M$65536,'[18]detail9''96_oh'!$P$1:$P$65536,'[18]detail9''96_oh'!$R$1:$R$65536</definedName>
    <definedName name="Rwvu.incearn." hidden="1">[10]EndNotes!$E$1:$E$65536,[10]EndNotes!#REF!,[10]EndNotes!$K$1:$K$65536,[10]EndNotes!$N$1:$N$65536,[10]EndNotes!$Q$1:$Q$65536</definedName>
    <definedName name="Rwvu.Report1." hidden="1">'[18]detail9''96_oh'!$I$1:$J$65536,'[18]detail9''96_oh'!$M$1:$M$65536</definedName>
    <definedName name="Rwvu.Standard._.Report." hidden="1">'[18]detail9''96_oh'!$C$1:$D$65536,'[18]detail9''96_oh'!$J$1:$J$65536,'[18]detail9''96_oh'!$M$1:$M$65536</definedName>
    <definedName name="sadf" localSheetId="7" hidden="1">{#N/A,#N/A,FALSE,"Performance Flash Report"}</definedName>
    <definedName name="sadf" hidden="1">{#N/A,#N/A,FALSE,"Performance Flash Report"}</definedName>
    <definedName name="saf" localSheetId="7" hidden="1">{#N/A,#N/A,FALSE,"Projections";#N/A,#N/A,FALSE,"Contribution_Stock";#N/A,#N/A,FALSE,"PF_Combo_Stock";#N/A,#N/A,FALSE,"Projections";#N/A,#N/A,FALSE,"Contribution_Cash";#N/A,#N/A,FALSE,"PF_Combo_Cash";#N/A,#N/A,FALSE,"IPO_Cash"}</definedName>
    <definedName name="saf" hidden="1">{#N/A,#N/A,FALSE,"Projections";#N/A,#N/A,FALSE,"Contribution_Stock";#N/A,#N/A,FALSE,"PF_Combo_Stock";#N/A,#N/A,FALSE,"Projections";#N/A,#N/A,FALSE,"Contribution_Cash";#N/A,#N/A,FALSE,"PF_Combo_Cash";#N/A,#N/A,FALSE,"IPO_Cash"}</definedName>
    <definedName name="Same_Q_Last_Yr" localSheetId="12">#REF!</definedName>
    <definedName name="Same_Q_Last_Yr" localSheetId="2">#REF!</definedName>
    <definedName name="Same_Q_Last_Yr" localSheetId="13">#REF!</definedName>
    <definedName name="Same_Q_Last_Yr">#REF!</definedName>
    <definedName name="SAPBEXdnldView" hidden="1">"D2W4R5MBP08ARFN2PBOGUS7HV"</definedName>
    <definedName name="SAPBEXhrIndnt" hidden="1">3</definedName>
    <definedName name="SAPBEXrevision" hidden="1">6</definedName>
    <definedName name="SAPBEXsysID" hidden="1">"BWP"</definedName>
    <definedName name="SAPBEXwbID" hidden="1">"3UAI9K8201YSYNE5YDZKPVIDU"</definedName>
    <definedName name="SAPsysID" hidden="1">"708C5W7SBKP804JT78WJ0JNKI"</definedName>
    <definedName name="SAPwbID" hidden="1">"ARS"</definedName>
    <definedName name="sasasdas" localSheetId="7" hidden="1">{#N/A,#N/A,FALSE,"Performance Flash Report"}</definedName>
    <definedName name="sasasdas" hidden="1">{#N/A,#N/A,FALSE,"Performance Flash Report"}</definedName>
    <definedName name="sd" localSheetId="7" hidden="1">{#N/A,#N/A,FALSE,"IPO";#N/A,#N/A,FALSE,"DCF";#N/A,#N/A,FALSE,"LBO";#N/A,#N/A,FALSE,"MULT_VAL";#N/A,#N/A,FALSE,"Status Quo";#N/A,#N/A,FALSE,"Recap"}</definedName>
    <definedName name="sd" hidden="1">{#N/A,#N/A,FALSE,"IPO";#N/A,#N/A,FALSE,"DCF";#N/A,#N/A,FALSE,"LBO";#N/A,#N/A,FALSE,"MULT_VAL";#N/A,#N/A,FALSE,"Status Quo";#N/A,#N/A,FALSE,"Recap"}</definedName>
    <definedName name="sdf" localSheetId="7" hidden="1">{#N/A,#N/A,FALSE,"Adj Proj";#N/A,#N/A,FALSE,"Sheet1";#N/A,#N/A,FALSE,"LBO";#N/A,#N/A,FALSE,"LBOMER";#N/A,#N/A,FALSE,"WACC";#N/A,#N/A,FALSE,"DCF";#N/A,#N/A,FALSE,"DCFMER";#N/A,#N/A,FALSE,"Pooling";#N/A,#N/A,FALSE,"income";#N/A,#N/A,FALSE,"Offer"}</definedName>
    <definedName name="sdf" hidden="1">{#N/A,#N/A,FALSE,"Adj Proj";#N/A,#N/A,FALSE,"Sheet1";#N/A,#N/A,FALSE,"LBO";#N/A,#N/A,FALSE,"LBOMER";#N/A,#N/A,FALSE,"WACC";#N/A,#N/A,FALSE,"DCF";#N/A,#N/A,FALSE,"DCFMER";#N/A,#N/A,FALSE,"Pooling";#N/A,#N/A,FALSE,"income";#N/A,#N/A,FALSE,"Offer"}</definedName>
    <definedName name="sdfasd" localSheetId="7" hidden="1">{#N/A,#N/A,TRUE,"BS_Report";#N/A,#N/A,TRUE,"PL_Report"}</definedName>
    <definedName name="sdfasd" hidden="1">{#N/A,#N/A,TRUE,"BS_Report";#N/A,#N/A,TRUE,"PL_Report"}</definedName>
    <definedName name="sdfhdfj" hidden="1">'[3]Variance Sum '!#REF!</definedName>
    <definedName name="sds" localSheetId="7" hidden="1">{#N/A,#N/A,FALSE,"Performance Flash Report"}</definedName>
    <definedName name="sds" hidden="1">{#N/A,#N/A,FALSE,"Performance Flash Report"}</definedName>
    <definedName name="sdvsdvsDVVd" localSheetId="7" hidden="1">{"'Planning Data'!$A$2:$X$120"}</definedName>
    <definedName name="sdvsdvsDVVd" hidden="1">{"'Planning Data'!$A$2:$X$120"}</definedName>
    <definedName name="secondaries" localSheetId="7"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f" localSheetId="7" hidden="1">{#N/A,#N/A,FALSE,"Performance Flash Report"}</definedName>
    <definedName name="sf" hidden="1">{#N/A,#N/A,FALSE,"Performance Flash Report"}</definedName>
    <definedName name="sfdjdfhjd" hidden="1">'[3]Variance Sum '!#REF!</definedName>
    <definedName name="sfgasd" localSheetId="7"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gsG" localSheetId="7" hidden="1">{#N/A,#N/A,FALSE,"Performance Flash Report"}</definedName>
    <definedName name="sgsG" hidden="1">{#N/A,#N/A,FALSE,"Performance Flash Report"}</definedName>
    <definedName name="sGSGkj" localSheetId="7" hidden="1">{"'Planning Data'!$A$2:$X$120"}</definedName>
    <definedName name="sGSGkj" hidden="1">{"'Planning Data'!$A$2:$X$120"}</definedName>
    <definedName name="Sheet2" localSheetId="7" hidden="1">{#N/A,#N/A,FALSE,"Adj Proj";#N/A,#N/A,FALSE,"Sheet1";#N/A,#N/A,FALSE,"LBO";#N/A,#N/A,FALSE,"LBOMER";#N/A,#N/A,FALSE,"WACC";#N/A,#N/A,FALSE,"DCF";#N/A,#N/A,FALSE,"DCFMER";#N/A,#N/A,FALSE,"Pooling";#N/A,#N/A,FALSE,"income";#N/A,#N/A,FALSE,"Offer"}</definedName>
    <definedName name="Sheet2" hidden="1">{#N/A,#N/A,FALSE,"Adj Proj";#N/A,#N/A,FALSE,"Sheet1";#N/A,#N/A,FALSE,"LBO";#N/A,#N/A,FALSE,"LBOMER";#N/A,#N/A,FALSE,"WACC";#N/A,#N/A,FALSE,"DCF";#N/A,#N/A,FALSE,"DCFMER";#N/A,#N/A,FALSE,"Pooling";#N/A,#N/A,FALSE,"income";#N/A,#N/A,FALSE,"Offer"}</definedName>
    <definedName name="Sheet3" localSheetId="7"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4" localSheetId="7"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localSheetId="7"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MPS" localSheetId="7" hidden="1">{#N/A,#N/A,FALSE,"AD_Purchase";#N/A,#N/A,FALSE,"Credit";#N/A,#N/A,FALSE,"PF Acquisition";#N/A,#N/A,FALSE,"PF Offering"}</definedName>
    <definedName name="SMPS" hidden="1">{#N/A,#N/A,FALSE,"AD_Purchase";#N/A,#N/A,FALSE,"Credit";#N/A,#N/A,FALSE,"PF Acquisition";#N/A,#N/A,FALSE,"PF Offering"}</definedName>
    <definedName name="solver_adj" hidden="1">#REF!</definedName>
    <definedName name="solver_cvg" hidden="1">0.0001</definedName>
    <definedName name="solver_drv" hidden="1">1</definedName>
    <definedName name="solver_est" hidden="1">1</definedName>
    <definedName name="solver_itr" hidden="1">100</definedName>
    <definedName name="solver_neg" hidden="1">1</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200</definedName>
    <definedName name="solver_tol" hidden="1">0.05</definedName>
    <definedName name="source" localSheetId="12">#REF!</definedName>
    <definedName name="source" localSheetId="2">#REF!</definedName>
    <definedName name="source" localSheetId="13">#REF!</definedName>
    <definedName name="source">#REF!</definedName>
    <definedName name="SPR01A_18">#REF!</definedName>
    <definedName name="SPR01C_18">#REF!</definedName>
    <definedName name="ss" localSheetId="7" hidden="1">{#N/A,#N/A,FALSE,"Performance Flash Report"}</definedName>
    <definedName name="ss" hidden="1">{#N/A,#N/A,FALSE,"Performance Flash Report"}</definedName>
    <definedName name="ssasa" localSheetId="7" hidden="1">{#N/A,#N/A,FALSE,"Performance Flash Report"}</definedName>
    <definedName name="ssasa" hidden="1">{#N/A,#N/A,FALSE,"Performance Flash Report"}</definedName>
    <definedName name="sssss" localSheetId="7" hidden="1">{#N/A,#N/A,FALSE,"Performance Flash Report"}</definedName>
    <definedName name="sssss" hidden="1">{#N/A,#N/A,FALSE,"Performance Flash Report"}</definedName>
    <definedName name="summ" localSheetId="7" hidden="1">{"'DataPrep 4.0'!$A$1:$AG$75","'DataPrep 4.0'!$AH$13"}</definedName>
    <definedName name="summ" hidden="1">{"'DataPrep 4.0'!$A$1:$AG$75","'DataPrep 4.0'!$AH$13"}</definedName>
    <definedName name="Summary2" localSheetId="7" hidden="1">{#N/A,#N/A,FALSE,"FACTSHEETS";#N/A,#N/A,FALSE,"pump";#N/A,#N/A,FALSE,"filter"}</definedName>
    <definedName name="Summary2" hidden="1">{#N/A,#N/A,FALSE,"FACTSHEETS";#N/A,#N/A,FALSE,"pump";#N/A,#N/A,FALSE,"filter"}</definedName>
    <definedName name="SuperUser" hidden="1">FALSE</definedName>
    <definedName name="Swvu.incearn." hidden="1">[10]EndNotes!#REF!</definedName>
    <definedName name="t" hidden="1">#REF!</definedName>
    <definedName name="test2" localSheetId="7" hidden="1">{#N/A,#N/A,FALSE,"Performance Flash Report"}</definedName>
    <definedName name="test2" hidden="1">{#N/A,#N/A,FALSE,"Performance Flash Report"}</definedName>
    <definedName name="test3" localSheetId="7" hidden="1">{#N/A,#N/A,FALSE,"Performance Flash Report"}</definedName>
    <definedName name="test3" hidden="1">{#N/A,#N/A,FALSE,"Performance Flash Report"}</definedName>
    <definedName name="test4" localSheetId="7" hidden="1">{#N/A,#N/A,FALSE,"Performance Flash Report"}</definedName>
    <definedName name="test4" hidden="1">{#N/A,#N/A,FALSE,"Performance Flash Report"}</definedName>
    <definedName name="test5" localSheetId="7" hidden="1">{#N/A,#N/A,FALSE,"Performance Flash Report"}</definedName>
    <definedName name="test5" hidden="1">{#N/A,#N/A,FALSE,"Performance Flash Report"}</definedName>
    <definedName name="ThresholdDiscount" hidden="1">14%</definedName>
    <definedName name="Tiger" localSheetId="7" hidden="1">{#N/A,#N/A,FALSE,"TS";#N/A,#N/A,FALSE,"Combo";#N/A,#N/A,FALSE,"FAIR";#N/A,#N/A,FALSE,"RBC";#N/A,#N/A,FALSE,"xxxx";#N/A,#N/A,FALSE,"A_D";#N/A,#N/A,FALSE,"WACC";#N/A,#N/A,FALSE,"DCF";#N/A,#N/A,FALSE,"LBO";#N/A,#N/A,FALSE,"AcqMults";#N/A,#N/A,FALSE,"CompMults"}</definedName>
    <definedName name="Tiger" hidden="1">{#N/A,#N/A,FALSE,"TS";#N/A,#N/A,FALSE,"Combo";#N/A,#N/A,FALSE,"FAIR";#N/A,#N/A,FALSE,"RBC";#N/A,#N/A,FALSE,"xxxx";#N/A,#N/A,FALSE,"A_D";#N/A,#N/A,FALSE,"WACC";#N/A,#N/A,FALSE,"DCF";#N/A,#N/A,FALSE,"LBO";#N/A,#N/A,FALSE,"AcqMults";#N/A,#N/A,FALSE,"CompMults"}</definedName>
    <definedName name="TP_Footer_User" hidden="1">"Erica Bodi"</definedName>
    <definedName name="TP_Footer_Version" hidden="1">"v4.00"</definedName>
    <definedName name="TransferPerCent" hidden="1">70%</definedName>
    <definedName name="treeList" hidden="1">"11111100000000000000000000000000000000000000000000000000000000000000000000000000000000000000000000000000000000000000000000000000000000000000000000000000000000000000000000000000000000000000000000000000"</definedName>
    <definedName name="tyu" hidden="1">"c124"</definedName>
    <definedName name="UEASDAS" localSheetId="7" hidden="1">{#N/A,#N/A,FALSE,"Performance Flash Report"}</definedName>
    <definedName name="UEASDAS" hidden="1">{#N/A,#N/A,FALSE,"Performance Flash Report"}</definedName>
    <definedName name="UEBLAH2" localSheetId="7" hidden="1">{#N/A,#N/A,FALSE,"Performance Flash Report"}</definedName>
    <definedName name="UEBLAH2" hidden="1">{#N/A,#N/A,FALSE,"Performance Flash Report"}</definedName>
    <definedName name="UEEfbar" localSheetId="7" hidden="1">{#N/A,#N/A,FALSE,"Performance Flash Report"}</definedName>
    <definedName name="UEEfbar" hidden="1">{#N/A,#N/A,FALSE,"Performance Flash Report"}</definedName>
    <definedName name="UEPlaceholder" localSheetId="7" hidden="1">{#N/A,#N/A,FALSE,"Performance Flash Report"}</definedName>
    <definedName name="UEPlaceholder" hidden="1">{#N/A,#N/A,FALSE,"Performance Flash Report"}</definedName>
    <definedName name="UEtest2" localSheetId="7" hidden="1">{#N/A,#N/A,FALSE,"Performance Flash Report"}</definedName>
    <definedName name="UEtest2" hidden="1">{#N/A,#N/A,FALSE,"Performance Flash Report"}</definedName>
    <definedName name="UETest3" localSheetId="7" hidden="1">{#N/A,#N/A,FALSE,"Performance Flash Report"}</definedName>
    <definedName name="UETest3" hidden="1">{#N/A,#N/A,FALSE,"Performance Flash Report"}</definedName>
    <definedName name="UEwef" localSheetId="7" hidden="1">{#N/A,#N/A,FALSE,"Performance Flash Report"}</definedName>
    <definedName name="UEwef" hidden="1">{#N/A,#N/A,FALSE,"Performance Flash Report"}</definedName>
    <definedName name="UEwrncs" localSheetId="7" hidden="1">{#N/A,#N/A,FALSE,"Performance Flash Report"}</definedName>
    <definedName name="UEwrncs" hidden="1">{#N/A,#N/A,FALSE,"Performance Flash Report"}</definedName>
    <definedName name="uigl" hidden="1">[15]DS_Industry_Specif!#REF!</definedName>
    <definedName name="uiknu" localSheetId="7"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ky" hidden="1">[15]DS_Industry_Specif!#REF!</definedName>
    <definedName name="UPDATESUMMARY" localSheetId="7" hidden="1">{#N/A,#N/A,FALSE,"FACTSHEETS";#N/A,#N/A,FALSE,"pump";#N/A,#N/A,FALSE,"filter"}</definedName>
    <definedName name="UPDATESUMMARY" hidden="1">{#N/A,#N/A,FALSE,"FACTSHEETS";#N/A,#N/A,FALSE,"pump";#N/A,#N/A,FALSE,"filter"}</definedName>
    <definedName name="Varanalysis2001" localSheetId="7"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bvn" hidden="1">"c116"</definedName>
    <definedName name="ve" localSheetId="7" hidden="1">{"'Sheet1'!$A$1:$D$69"}</definedName>
    <definedName name="ve" hidden="1">{"'Sheet1'!$A$1:$D$69"}</definedName>
    <definedName name="vwew32" localSheetId="7" hidden="1">{"Assumptions",#N/A,TRUE,"Assumptions";"Income",#N/A,TRUE,"Income";"Balance",#N/A,TRUE,"Balance"}</definedName>
    <definedName name="vwew32" hidden="1">{"Assumptions",#N/A,TRUE,"Assumptions";"Income",#N/A,TRUE,"Income";"Balance",#N/A,TRUE,"Balance"}</definedName>
    <definedName name="vzssw" localSheetId="7" hidden="1">{#N/A,#N/A,FALSE,"Projections";#N/A,#N/A,FALSE,"Acq Mult";#N/A,#N/A,FALSE,"TWER Mult";#N/A,#N/A,FALSE,"DCF EBITDA";#N/A,#N/A,FALSE,"DCF EBIT";#N/A,#N/A,FALSE,"Debt Accr";#N/A,#N/A,FALSE,"Stock Accr";#N/A,#N/A,FALSE,"Debt Stock Accr";#N/A,#N/A,FALSE,"Accr Dil Sensi"}</definedName>
    <definedName name="vzssw" hidden="1">{#N/A,#N/A,FALSE,"Projections";#N/A,#N/A,FALSE,"Acq Mult";#N/A,#N/A,FALSE,"TWER Mult";#N/A,#N/A,FALSE,"DCF EBITDA";#N/A,#N/A,FALSE,"DCF EBIT";#N/A,#N/A,FALSE,"Debt Accr";#N/A,#N/A,FALSE,"Stock Accr";#N/A,#N/A,FALSE,"Debt Stock Accr";#N/A,#N/A,FALSE,"Accr Dil Sensi"}</definedName>
    <definedName name="w" localSheetId="7" hidden="1">{#N/A,#N/A,FALSE,"Projections";#N/A,#N/A,FALSE,"Multiples Valuation";#N/A,#N/A,FALSE,"LBO";#N/A,#N/A,FALSE,"Multiples_Sensitivity";#N/A,#N/A,FALSE,"Summary"}</definedName>
    <definedName name="w" hidden="1">{#N/A,#N/A,FALSE,"Projections";#N/A,#N/A,FALSE,"Multiples Valuation";#N/A,#N/A,FALSE,"LBO";#N/A,#N/A,FALSE,"Multiples_Sensitivity";#N/A,#N/A,FALSE,"Summary"}</definedName>
    <definedName name="wef" localSheetId="7" hidden="1">{#N/A,#N/A,FALSE,"Performance Flash Report"}</definedName>
    <definedName name="wef" hidden="1">{#N/A,#N/A,FALSE,"Performance Flash Report"}</definedName>
    <definedName name="werrr" localSheetId="7" hidden="1">{#N/A,#N/A,FALSE,"Adj Proj";#N/A,#N/A,FALSE,"Sheet1";#N/A,#N/A,FALSE,"LBO";#N/A,#N/A,FALSE,"LBOMER";#N/A,#N/A,FALSE,"WACC";#N/A,#N/A,FALSE,"DCF";#N/A,#N/A,FALSE,"DCFMER";#N/A,#N/A,FALSE,"Pooling";#N/A,#N/A,FALSE,"income";#N/A,#N/A,FALSE,"Offer"}</definedName>
    <definedName name="werrr" hidden="1">{#N/A,#N/A,FALSE,"Adj Proj";#N/A,#N/A,FALSE,"Sheet1";#N/A,#N/A,FALSE,"LBO";#N/A,#N/A,FALSE,"LBOMER";#N/A,#N/A,FALSE,"WACC";#N/A,#N/A,FALSE,"DCF";#N/A,#N/A,FALSE,"DCFMER";#N/A,#N/A,FALSE,"Pooling";#N/A,#N/A,FALSE,"income";#N/A,#N/A,FALSE,"Offer"}</definedName>
    <definedName name="Westburne" localSheetId="7"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hat"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isthis" localSheetId="7"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7"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7"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illiam"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IZARD_3YRATCF" localSheetId="12">#REF!</definedName>
    <definedName name="WIZARD_3YRATCF" localSheetId="2">#REF!</definedName>
    <definedName name="WIZARD_3YRATCF" localSheetId="13">#REF!</definedName>
    <definedName name="WIZARD_3YRATCF">#REF!</definedName>
    <definedName name="WIZARD_3YREBITDA" localSheetId="12">#REF!</definedName>
    <definedName name="WIZARD_3YREBITDA" localSheetId="13">#REF!</definedName>
    <definedName name="WIZARD_3YREBITDA">#REF!</definedName>
    <definedName name="WIZARD_3YRSECGROWTH" localSheetId="12">#REF!</definedName>
    <definedName name="WIZARD_3YRSECGROWTH" localSheetId="13">#REF!</definedName>
    <definedName name="WIZARD_3YRSECGROWTH">#REF!</definedName>
    <definedName name="WIZARD_AVGTRADINGVOLUME">#REF!</definedName>
    <definedName name="WIZARD_BKVALSHR">#REF!</definedName>
    <definedName name="WIZARD_BURNRATE">#REF!</definedName>
    <definedName name="WIZARD_CASH">#REF!</definedName>
    <definedName name="WIZARD_DIVYIELD">#REF!</definedName>
    <definedName name="WIZARD_EARNINGS">#REF!</definedName>
    <definedName name="WIZARD_EBITDABYSHROO">#REF!</definedName>
    <definedName name="WIZARD_EVBYEBITDAOO">#REF!</definedName>
    <definedName name="WIZARD_EVINVCAP">#REF!</definedName>
    <definedName name="WIZARD_LTDEBT">#REF!</definedName>
    <definedName name="WIZARD_MARKETCAP">#REF!</definedName>
    <definedName name="WIZARD_NETDEBTCAP">#REF!</definedName>
    <definedName name="WIZARD_OPERMARGIN">#REF!</definedName>
    <definedName name="WIZARD_PRICEESTNAV">#REF!</definedName>
    <definedName name="WIZARD_REVENUES">#REF!</definedName>
    <definedName name="WIZARD_ROAA">#REF!</definedName>
    <definedName name="WIZARD_ROAE">#REF!</definedName>
    <definedName name="WIZARD_ROE">#REF!</definedName>
    <definedName name="WIZARD_ROIC">#REF!</definedName>
    <definedName name="WIZARD_SHARESOUT">#REF!</definedName>
    <definedName name="WIZARD_STATIONREV">#REF!</definedName>
    <definedName name="WIZARD_TICKER">#REF!</definedName>
    <definedName name="WIZARD_TOTDEBTCAP">#REF!</definedName>
    <definedName name="WIZARD_Y1CAPREVR" localSheetId="12">[19]AMAT_FC!#REF!</definedName>
    <definedName name="WIZARD_Y1CAPREVR" localSheetId="2">[19]AMAT_FC!#REF!</definedName>
    <definedName name="WIZARD_Y1CAPREVR" localSheetId="13">[19]AMAT_FC!#REF!</definedName>
    <definedName name="WIZARD_Y1CAPREVR">[19]AMAT_FC!#REF!</definedName>
    <definedName name="WIZARD_Y1CAPREVS2" localSheetId="12">#REF!</definedName>
    <definedName name="WIZARD_Y1CAPREVS2" localSheetId="2">#REF!</definedName>
    <definedName name="WIZARD_Y1CAPREVS2" localSheetId="13">#REF!</definedName>
    <definedName name="WIZARD_Y1CAPREVS2">#REF!</definedName>
    <definedName name="WIZARD_Y1CASHCYEPSS1" localSheetId="12">#REF!</definedName>
    <definedName name="WIZARD_Y1CASHCYEPSS1" localSheetId="13">#REF!</definedName>
    <definedName name="WIZARD_Y1CASHCYEPSS1">#REF!</definedName>
    <definedName name="WIZARD_Y1CASHCYPES1" localSheetId="12">#REF!</definedName>
    <definedName name="WIZARD_Y1CASHCYPES1" localSheetId="13">#REF!</definedName>
    <definedName name="WIZARD_Y1CASHCYPES1">#REF!</definedName>
    <definedName name="WIZARD_Y1CYE" localSheetId="12">[19]AMAT_FC!#REF!</definedName>
    <definedName name="WIZARD_Y1CYE" localSheetId="2">[19]AMAT_FC!#REF!</definedName>
    <definedName name="WIZARD_Y1CYE" localSheetId="13">[19]AMAT_FC!#REF!</definedName>
    <definedName name="WIZARD_Y1CYE">[19]AMAT_FC!#REF!</definedName>
    <definedName name="WIZARD_Y1CYPEE" localSheetId="12">[19]AMAT_FC!#REF!</definedName>
    <definedName name="WIZARD_Y1CYPEE" localSheetId="2">[19]AMAT_FC!#REF!</definedName>
    <definedName name="WIZARD_Y1CYPEE" localSheetId="13">[19]AMAT_FC!#REF!</definedName>
    <definedName name="WIZARD_Y1CYPEE">[19]AMAT_FC!#REF!</definedName>
    <definedName name="WIZARD_Y1CYPES1" localSheetId="12">#REF!</definedName>
    <definedName name="WIZARD_Y1CYPES1" localSheetId="2">#REF!</definedName>
    <definedName name="WIZARD_Y1CYPES1" localSheetId="13">#REF!</definedName>
    <definedName name="WIZARD_Y1CYPES1">#REF!</definedName>
    <definedName name="WIZARD_Y1CYREVS2" localSheetId="12">#REF!</definedName>
    <definedName name="WIZARD_Y1CYREVS2" localSheetId="13">#REF!</definedName>
    <definedName name="WIZARD_Y1CYREVS2">#REF!</definedName>
    <definedName name="WIZARD_Y1CYS1" localSheetId="12">#REF!</definedName>
    <definedName name="WIZARD_Y1CYS1" localSheetId="13">#REF!</definedName>
    <definedName name="WIZARD_Y1CYS1">#REF!</definedName>
    <definedName name="WIZARD_Y1E" localSheetId="12">[19]AMAT_FC!#REF!</definedName>
    <definedName name="WIZARD_Y1E" localSheetId="2">[19]AMAT_FC!#REF!</definedName>
    <definedName name="WIZARD_Y1E" localSheetId="13">[19]AMAT_FC!#REF!</definedName>
    <definedName name="WIZARD_Y1E">[19]AMAT_FC!#REF!</definedName>
    <definedName name="WIZARD_Y1EBITDAYRS2" localSheetId="12">#REF!</definedName>
    <definedName name="WIZARD_Y1EBITDAYRS2" localSheetId="2">#REF!</definedName>
    <definedName name="WIZARD_Y1EBITDAYRS2" localSheetId="13">#REF!</definedName>
    <definedName name="WIZARD_Y1EBITDAYRS2">#REF!</definedName>
    <definedName name="WIZARD_Y1EMVBYREV" localSheetId="12">#REF!</definedName>
    <definedName name="WIZARD_Y1EMVBYREV" localSheetId="13">#REF!</definedName>
    <definedName name="WIZARD_Y1EMVBYREV">#REF!</definedName>
    <definedName name="WIZARD_Y1EVEBITDAS2" localSheetId="12">#REF!</definedName>
    <definedName name="WIZARD_Y1EVEBITDAS2" localSheetId="13">#REF!</definedName>
    <definedName name="WIZARD_Y1EVEBITDAS2">#REF!</definedName>
    <definedName name="WIZARD_Y1PEE" localSheetId="12">[19]AMAT_FC!#REF!</definedName>
    <definedName name="WIZARD_Y1PEE" localSheetId="2">[19]AMAT_FC!#REF!</definedName>
    <definedName name="WIZARD_Y1PEE" localSheetId="13">[19]AMAT_FC!#REF!</definedName>
    <definedName name="WIZARD_Y1PEE">[19]AMAT_FC!#REF!</definedName>
    <definedName name="WIZARD_Y1PES1" localSheetId="12">#REF!</definedName>
    <definedName name="WIZARD_Y1PES1" localSheetId="2">#REF!</definedName>
    <definedName name="WIZARD_Y1PES1" localSheetId="13">#REF!</definedName>
    <definedName name="WIZARD_Y1PES1">#REF!</definedName>
    <definedName name="WIZARD_Y1Q1E" localSheetId="12">[19]AMAT_FC!#REF!</definedName>
    <definedName name="WIZARD_Y1Q1E" localSheetId="2">[19]AMAT_FC!#REF!</definedName>
    <definedName name="WIZARD_Y1Q1E" localSheetId="13">[19]AMAT_FC!#REF!</definedName>
    <definedName name="WIZARD_Y1Q1E">[19]AMAT_FC!#REF!</definedName>
    <definedName name="WIZARD_Y1Q1R" localSheetId="12">[19]AMAT_FC!#REF!</definedName>
    <definedName name="WIZARD_Y1Q1R" localSheetId="2">[19]AMAT_FC!#REF!</definedName>
    <definedName name="WIZARD_Y1Q1R" localSheetId="13">[19]AMAT_FC!#REF!</definedName>
    <definedName name="WIZARD_Y1Q1R">[19]AMAT_FC!#REF!</definedName>
    <definedName name="WIZARD_Y1Q1S1" localSheetId="12">#REF!</definedName>
    <definedName name="WIZARD_Y1Q1S1" localSheetId="2">#REF!</definedName>
    <definedName name="WIZARD_Y1Q1S1" localSheetId="13">#REF!</definedName>
    <definedName name="WIZARD_Y1Q1S1">#REF!</definedName>
    <definedName name="WIZARD_Y1Q1S2" localSheetId="12">#REF!</definedName>
    <definedName name="WIZARD_Y1Q1S2" localSheetId="13">#REF!</definedName>
    <definedName name="WIZARD_Y1Q1S2">#REF!</definedName>
    <definedName name="WIZARD_Y1Q2E" localSheetId="12">[19]AMAT_FC!#REF!</definedName>
    <definedName name="WIZARD_Y1Q2E" localSheetId="2">[19]AMAT_FC!#REF!</definedName>
    <definedName name="WIZARD_Y1Q2E" localSheetId="13">[19]AMAT_FC!#REF!</definedName>
    <definedName name="WIZARD_Y1Q2E">[19]AMAT_FC!#REF!</definedName>
    <definedName name="WIZARD_Y1Q2R" localSheetId="12">[19]AMAT_FC!#REF!</definedName>
    <definedName name="WIZARD_Y1Q2R" localSheetId="2">[19]AMAT_FC!#REF!</definedName>
    <definedName name="WIZARD_Y1Q2R" localSheetId="13">[19]AMAT_FC!#REF!</definedName>
    <definedName name="WIZARD_Y1Q2R">[19]AMAT_FC!#REF!</definedName>
    <definedName name="WIZARD_Y1Q2S1" localSheetId="12">#REF!</definedName>
    <definedName name="WIZARD_Y1Q2S1" localSheetId="2">#REF!</definedName>
    <definedName name="WIZARD_Y1Q2S1" localSheetId="13">#REF!</definedName>
    <definedName name="WIZARD_Y1Q2S1">#REF!</definedName>
    <definedName name="WIZARD_Y1Q2S2" localSheetId="12">#REF!</definedName>
    <definedName name="WIZARD_Y1Q2S2" localSheetId="13">#REF!</definedName>
    <definedName name="WIZARD_Y1Q2S2">#REF!</definedName>
    <definedName name="WIZARD_Y1Q3E" localSheetId="12">[19]AMAT_FC!#REF!</definedName>
    <definedName name="WIZARD_Y1Q3E" localSheetId="2">[19]AMAT_FC!#REF!</definedName>
    <definedName name="WIZARD_Y1Q3E" localSheetId="13">[19]AMAT_FC!#REF!</definedName>
    <definedName name="WIZARD_Y1Q3E">[19]AMAT_FC!#REF!</definedName>
    <definedName name="WIZARD_Y1Q3R" localSheetId="12">[19]AMAT_FC!#REF!</definedName>
    <definedName name="WIZARD_Y1Q3R" localSheetId="2">[19]AMAT_FC!#REF!</definedName>
    <definedName name="WIZARD_Y1Q3R" localSheetId="13">[19]AMAT_FC!#REF!</definedName>
    <definedName name="WIZARD_Y1Q3R">[19]AMAT_FC!#REF!</definedName>
    <definedName name="WIZARD_Y1Q3S1" localSheetId="12">#REF!</definedName>
    <definedName name="WIZARD_Y1Q3S1" localSheetId="2">#REF!</definedName>
    <definedName name="WIZARD_Y1Q3S1" localSheetId="13">#REF!</definedName>
    <definedName name="WIZARD_Y1Q3S1">#REF!</definedName>
    <definedName name="WIZARD_Y1Q3S2" localSheetId="12">#REF!</definedName>
    <definedName name="WIZARD_Y1Q3S2" localSheetId="13">#REF!</definedName>
    <definedName name="WIZARD_Y1Q3S2">#REF!</definedName>
    <definedName name="WIZARD_Y1Q4E" localSheetId="12">[19]AMAT_FC!#REF!</definedName>
    <definedName name="WIZARD_Y1Q4E" localSheetId="2">[19]AMAT_FC!#REF!</definedName>
    <definedName name="WIZARD_Y1Q4E" localSheetId="13">[19]AMAT_FC!#REF!</definedName>
    <definedName name="WIZARD_Y1Q4E">[19]AMAT_FC!#REF!</definedName>
    <definedName name="WIZARD_Y1Q4R" localSheetId="12">[19]AMAT_FC!#REF!</definedName>
    <definedName name="WIZARD_Y1Q4R" localSheetId="2">[19]AMAT_FC!#REF!</definedName>
    <definedName name="WIZARD_Y1Q4R" localSheetId="13">[19]AMAT_FC!#REF!</definedName>
    <definedName name="WIZARD_Y1Q4R">[19]AMAT_FC!#REF!</definedName>
    <definedName name="WIZARD_Y1Q4S1" localSheetId="12">#REF!</definedName>
    <definedName name="WIZARD_Y1Q4S1" localSheetId="2">#REF!</definedName>
    <definedName name="WIZARD_Y1Q4S1" localSheetId="13">#REF!</definedName>
    <definedName name="WIZARD_Y1Q4S1">#REF!</definedName>
    <definedName name="WIZARD_Y1Q4S2" localSheetId="12">#REF!</definedName>
    <definedName name="WIZARD_Y1Q4S2" localSheetId="13">#REF!</definedName>
    <definedName name="WIZARD_Y1Q4S2">#REF!</definedName>
    <definedName name="WIZARD_Y1R" localSheetId="12">[19]AMAT_FC!#REF!</definedName>
    <definedName name="WIZARD_Y1R" localSheetId="2">[19]AMAT_FC!#REF!</definedName>
    <definedName name="WIZARD_Y1R" localSheetId="13">[19]AMAT_FC!#REF!</definedName>
    <definedName name="WIZARD_Y1R">[19]AMAT_FC!#REF!</definedName>
    <definedName name="WIZARD_Y1S1" localSheetId="12">#REF!</definedName>
    <definedName name="WIZARD_Y1S1" localSheetId="2">#REF!</definedName>
    <definedName name="WIZARD_Y1S1" localSheetId="13">#REF!</definedName>
    <definedName name="WIZARD_Y1S1">#REF!</definedName>
    <definedName name="WIZARD_Y1S2" localSheetId="12">#REF!</definedName>
    <definedName name="WIZARD_Y1S2" localSheetId="13">#REF!</definedName>
    <definedName name="WIZARD_Y1S2">#REF!</definedName>
    <definedName name="WIZARD_Y1YEARE" localSheetId="12">[19]AMAT_FC!#REF!</definedName>
    <definedName name="WIZARD_Y1YEARE" localSheetId="2">[19]AMAT_FC!#REF!</definedName>
    <definedName name="WIZARD_Y1YEARE" localSheetId="13">[19]AMAT_FC!#REF!</definedName>
    <definedName name="WIZARD_Y1YEARE">[19]AMAT_FC!#REF!</definedName>
    <definedName name="WIZARD_Y1YEARR" localSheetId="12">[19]AMAT_FC!#REF!</definedName>
    <definedName name="WIZARD_Y1YEARR" localSheetId="2">[19]AMAT_FC!#REF!</definedName>
    <definedName name="WIZARD_Y1YEARR" localSheetId="13">[19]AMAT_FC!#REF!</definedName>
    <definedName name="WIZARD_Y1YEARR">[19]AMAT_FC!#REF!</definedName>
    <definedName name="WIZARD_Y1YEARS1" localSheetId="12">#REF!</definedName>
    <definedName name="WIZARD_Y1YEARS1" localSheetId="2">#REF!</definedName>
    <definedName name="WIZARD_Y1YEARS1" localSheetId="13">#REF!</definedName>
    <definedName name="WIZARD_Y1YEARS1">#REF!</definedName>
    <definedName name="WIZARD_Y1YEARS2" localSheetId="12">#REF!</definedName>
    <definedName name="WIZARD_Y1YEARS2" localSheetId="13">#REF!</definedName>
    <definedName name="WIZARD_Y1YEARS2">#REF!</definedName>
    <definedName name="WIZARD_Y2EMVBYREV" localSheetId="12">#REF!</definedName>
    <definedName name="WIZARD_Y2EMVBYREV" localSheetId="13">#REF!</definedName>
    <definedName name="WIZARD_Y2EMVBYREV">#REF!</definedName>
    <definedName name="WIZARD_Y2PES1">#REF!</definedName>
    <definedName name="WIZARD_Y2Q1S1">#REF!</definedName>
    <definedName name="WIZARD_Y2Q1S2">#REF!</definedName>
    <definedName name="WIZARD_Y2Q2S1">#REF!</definedName>
    <definedName name="WIZARD_Y2Q2S2">#REF!</definedName>
    <definedName name="WIZARD_Y2Q3S1">#REF!</definedName>
    <definedName name="WIZARD_Y2Q3S2">#REF!</definedName>
    <definedName name="WIZARD_Y2Q4S1">#REF!</definedName>
    <definedName name="WIZARD_Y2Q4S2">#REF!</definedName>
    <definedName name="WIZARD_Y2S1">#REF!</definedName>
    <definedName name="WIZARD_Y2S2">#REF!</definedName>
    <definedName name="WIZARD_Y2YEARS2">#REF!</definedName>
    <definedName name="WIZARD_Y3EMVBYREV">#REF!</definedName>
    <definedName name="WIZARD_Y3PES1">#REF!</definedName>
    <definedName name="WIZARD_Y3Q1E">[20]NVLS_FC!$G$11</definedName>
    <definedName name="WIZARD_Y3Q1S1" localSheetId="12">#REF!</definedName>
    <definedName name="WIZARD_Y3Q1S1" localSheetId="2">#REF!</definedName>
    <definedName name="WIZARD_Y3Q1S1" localSheetId="13">#REF!</definedName>
    <definedName name="WIZARD_Y3Q1S1">#REF!</definedName>
    <definedName name="WIZARD_Y3Q1S2" localSheetId="12">#REF!</definedName>
    <definedName name="WIZARD_Y3Q1S2" localSheetId="13">#REF!</definedName>
    <definedName name="WIZARD_Y3Q1S2">#REF!</definedName>
    <definedName name="WIZARD_Y3Q2S1" localSheetId="12">#REF!</definedName>
    <definedName name="WIZARD_Y3Q2S1" localSheetId="13">#REF!</definedName>
    <definedName name="WIZARD_Y3Q2S1">#REF!</definedName>
    <definedName name="WIZARD_Y3Q2S2">#REF!</definedName>
    <definedName name="WIZARD_Y3Q3S1">#REF!</definedName>
    <definedName name="WIZARD_Y3Q3S2">#REF!</definedName>
    <definedName name="WIZARD_Y3Q4S1">#REF!</definedName>
    <definedName name="WIZARD_Y3Q4S2">#REF!</definedName>
    <definedName name="WIZARD_Y3S1">#REF!</definedName>
    <definedName name="WIZARD_Y3S2">#REF!</definedName>
    <definedName name="WIZARD_Y3YEARE">[20]NVLS_FC!$G$15</definedName>
    <definedName name="WIZARD_Y3YEARS2" localSheetId="12">#REF!</definedName>
    <definedName name="WIZARD_Y3YEARS2" localSheetId="2">#REF!</definedName>
    <definedName name="WIZARD_Y3YEARS2" localSheetId="13">#REF!</definedName>
    <definedName name="WIZARD_Y3YEARS2">#REF!</definedName>
    <definedName name="WIZARD_YEARSOFCASH" localSheetId="12">#REF!</definedName>
    <definedName name="WIZARD_YEARSOFCASH" localSheetId="13">#REF!</definedName>
    <definedName name="WIZARD_YEARSOFCASH">#REF!</definedName>
    <definedName name="wqwt" localSheetId="7" hidden="1">{#N/A,#N/A,FALSE,"Projections";#N/A,#N/A,FALSE,"Contribution_Stock";#N/A,#N/A,FALSE,"PF_Combo_Stock";#N/A,#N/A,FALSE,"Projections";#N/A,#N/A,FALSE,"Contribution_Cash";#N/A,#N/A,FALSE,"PF_Combo_Cash";#N/A,#N/A,FALSE,"IPO_Cash"}</definedName>
    <definedName name="wqwt" hidden="1">{#N/A,#N/A,FALSE,"Projections";#N/A,#N/A,FALSE,"Contribution_Stock";#N/A,#N/A,FALSE,"PF_Combo_Stock";#N/A,#N/A,FALSE,"Projections";#N/A,#N/A,FALSE,"Contribution_Cash";#N/A,#N/A,FALSE,"PF_Combo_Cash";#N/A,#N/A,FALSE,"IPO_Cash"}</definedName>
    <definedName name="wrn.2NDQTRRPT." localSheetId="7" hidden="1">{"QTR2",#N/A,FALSE,"OTK6_27";#N/A,#N/A,FALSE,"Q2 Detail";"SIXMTH",#N/A,FALSE,"OTK6_27";"qtr3",#N/A,FALSE,"OTK6_27";#N/A,#N/A,FALSE,"Q3 Detail";"NINEMTH",#N/A,FALSE,"OTK6_27";"qtr4",#N/A,FALSE,"OTK6_27";#N/A,#N/A,FALSE,"Q4 Detail";"YEAR",#N/A,FALSE,"OTK6_27"}</definedName>
    <definedName name="wrn.2NDQTRRPT." hidden="1">{"QTR2",#N/A,FALSE,"OTK6_27";#N/A,#N/A,FALSE,"Q2 Detail";"SIXMTH",#N/A,FALSE,"OTK6_27";"qtr3",#N/A,FALSE,"OTK6_27";#N/A,#N/A,FALSE,"Q3 Detail";"NINEMTH",#N/A,FALSE,"OTK6_27";"qtr4",#N/A,FALSE,"OTK6_27";#N/A,#N/A,FALSE,"Q4 Detail";"YEAR",#N/A,FALSE,"OTK6_27"}</definedName>
    <definedName name="wrn.A._.Summary._.View." localSheetId="7" hidden="1">{#N/A,#N/A,FALSE,"BU INCOME STATEMENT ";#N/A,#N/A,FALSE,"EXPENSE SUMMARY ";#N/A,#N/A,FALSE,"DEPT1";#N/A,#N/A,FALSE,"DEPT1 (2)"}</definedName>
    <definedName name="wrn.A._.Summary._.View." hidden="1">{#N/A,#N/A,FALSE,"BU INCOME STATEMENT ";#N/A,#N/A,FALSE,"EXPENSE SUMMARY ";#N/A,#N/A,FALSE,"DEPT1";#N/A,#N/A,FALSE,"DEPT1 (2)"}</definedName>
    <definedName name="wrn.A_VALUATION." localSheetId="7"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7" hidden="1">{#N/A,#N/A,FALSE,"Debt Accr";#N/A,#N/A,FALSE,"Stock Accr";#N/A,#N/A,FALSE,"Debt Stock Accr"}</definedName>
    <definedName name="wrn.Accr_Dil." hidden="1">{#N/A,#N/A,FALSE,"Debt Accr";#N/A,#N/A,FALSE,"Stock Accr";#N/A,#N/A,FALSE,"Debt Stock Accr"}</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7"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 hidden="1">{#N/A,#N/A,FALSE,"Summary Combined Budget";#N/A,#N/A,FALSE,"Combined Budget";#N/A,#N/A,FALSE,"GTHV Cons";#N/A,#N/A,FALSE,"GTHV Cons Stan";#N/A,#N/A,FALSE,"GT Home Video";#N/A,#N/A,FALSE,"GT CorpSvc";#N/A,#N/A,FALSE,"GT Int'l";#N/A,#N/A,FALSE,"GT Mnf";#N/A,#N/A,FALSE,"GT DC";#N/A,#N/A,FALSE,"GT Publishing";#N/A,#N/A,FALSE,"GT M&amp;L";#N/A,#N/A,FALSE,"SimmGT";#N/A,#N/A,FALSE,"REPS"}</definedName>
    <definedName name="wrn.all._.gulp._.sheets." localSheetId="7"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Pages."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localSheetId="7"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Models." localSheetId="7"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2" localSheetId="7"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Sheets." localSheetId="7"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4" localSheetId="7"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7"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7"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7"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7" hidden="1">{#N/A,#N/A,FALSE,"AD_Purchase";#N/A,#N/A,FALSE,"Credit";#N/A,#N/A,FALSE,"PF Acquisition";#N/A,#N/A,FALSE,"PF Offering"}</definedName>
    <definedName name="wrn.AllModels." hidden="1">{#N/A,#N/A,FALSE,"AD_Purchase";#N/A,#N/A,FALSE,"Credit";#N/A,#N/A,FALSE,"PF Acquisition";#N/A,#N/A,FALSE,"PF Offering"}</definedName>
    <definedName name="wrn.ALLQTRS." localSheetId="7" hidden="1">{"QTR1",#N/A,FALSE,"Q1 Detail";"QTR2",#N/A,FALSE,"Q2 Detail";"QTR3",#N/A,FALSE,"Q3 Detail";"QTR4",#N/A,FALSE,"Q4 Detail"}</definedName>
    <definedName name="wrn.ALLQTRS." hidden="1">{"QTR1",#N/A,FALSE,"Q1 Detail";"QTR2",#N/A,FALSE,"Q2 Detail";"QTR3",#N/A,FALSE,"Q3 Detail";"QTR4",#N/A,FALSE,"Q4 Detail"}</definedName>
    <definedName name="wrn.ALLRPTS." localSheetId="7" hidden="1">{"QTR1",#N/A,FALSE,"96OUT";"QTR2",#N/A,FALSE,"96OUT";"QTR3",#N/A,FALSE,"96OUT";"QTR4",#N/A,FALSE,"96OUT";"YEAR",#N/A,FALSE,"96OUT"}</definedName>
    <definedName name="wrn.ALLRPTS." hidden="1">{"QTR1",#N/A,FALSE,"96OUT";"QTR2",#N/A,FALSE,"96OUT";"QTR3",#N/A,FALSE,"96OUT";"QTR4",#N/A,FALSE,"96OUT";"YEAR",#N/A,FALSE,"96OUT"}</definedName>
    <definedName name="wrn.Analytic." localSheetId="7"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Backup." localSheetId="7" hidden="1">{#N/A,#N/A,FALSE,"Balance";#N/A,#N/A,FALSE,"TDFX";#N/A,#N/A,FALSE,"TDDDF";#N/A,#N/A,FALSE,"ADI";#N/A,#N/A,FALSE,"CUBE";#N/A,#N/A,FALSE,"DIMD";#N/A,#N/A,FALSE,"ZRAN";#N/A,#N/A,FALSE,"GNMC"}</definedName>
    <definedName name="wrn.Backup." hidden="1">{#N/A,#N/A,FALSE,"Balance";#N/A,#N/A,FALSE,"TDFX";#N/A,#N/A,FALSE,"TDDDF";#N/A,#N/A,FALSE,"ADI";#N/A,#N/A,FALSE,"CUBE";#N/A,#N/A,FALSE,"DIMD";#N/A,#N/A,FALSE,"ZRAN";#N/A,#N/A,FALSE,"GNMC"}</definedName>
    <definedName name="wrn.balance._.sheet." localSheetId="7" hidden="1">{"bs",#N/A,FALSE,"SCF"}</definedName>
    <definedName name="wrn.balance._.sheet." hidden="1">{"bs",#N/A,FALSE,"SCF"}</definedName>
    <definedName name="wrn.Basic." localSheetId="7"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s." localSheetId="7" hidden="1">{#N/A,#N/A,FALSE,"TSUM";#N/A,#N/A,FALSE,"shares";#N/A,#N/A,FALSE,"earnout";#N/A,#N/A,FALSE,"Heaty";#N/A,#N/A,FALSE,"self-tend";#N/A,#N/A,FALSE,"self-sum"}</definedName>
    <definedName name="wrn.basics." hidden="1">{#N/A,#N/A,FALSE,"TSUM";#N/A,#N/A,FALSE,"shares";#N/A,#N/A,FALSE,"earnout";#N/A,#N/A,FALSE,"Heaty";#N/A,#N/A,FALSE,"self-tend";#N/A,#N/A,FALSE,"self-sum"}</definedName>
    <definedName name="wrn.Bericht." localSheetId="7" hidden="1">{#N/A,#N/A,FALSE,"Tabelle1"}</definedName>
    <definedName name="wrn.Bericht." hidden="1">{#N/A,#N/A,FALSE,"Tabelle1"}</definedName>
    <definedName name="wrn.Budget._.Sheets." localSheetId="7" hidden="1">{#N/A,#N/A,FALSE,"DEPTTEMPL";#N/A,#N/A,FALSE,"CATTEMPL";#N/A,#N/A,FALSE,"TEM PAYROLL";#N/A,#N/A,FALSE,"TEM T&amp;E";#N/A,#N/A,FALSE,"TEM EQUIP &amp; SOFT"}</definedName>
    <definedName name="wrn.Budget._.Sheets." hidden="1">{#N/A,#N/A,FALSE,"DEPTTEMPL";#N/A,#N/A,FALSE,"CATTEMPL";#N/A,#N/A,FALSE,"TEM PAYROLL";#N/A,#N/A,FALSE,"TEM T&amp;E";#N/A,#N/A,FALSE,"TEM EQUIP &amp; SOFT"}</definedName>
    <definedName name="wrn.bullshit1." localSheetId="7" hidden="1">{#N/A,#N/A,FALSE,"Sheet1";#N/A,#N/A,FALSE,"Summary";#N/A,#N/A,FALSE,"proj1";#N/A,#N/A,FALSE,"proj2"}</definedName>
    <definedName name="wrn.bullshit1." hidden="1">{#N/A,#N/A,FALSE,"Sheet1";#N/A,#N/A,FALSE,"Summary";#N/A,#N/A,FALSE,"proj1";#N/A,#N/A,FALSE,"proj2"}</definedName>
    <definedName name="wrn.Categories._.only." localSheetId="7" hidden="1">{#N/A,#N/A,FALSE,"DEPT1-PAYROLL"}</definedName>
    <definedName name="wrn.Categories._.only." hidden="1">{#N/A,#N/A,FALSE,"DEPT1-PAYROLL"}</definedName>
    <definedName name="wrn.COMBINED." localSheetId="7"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_.and._.Prices." localSheetId="7" hidden="1">{#N/A,#N/A,FALSE,"comp";#N/A,#N/A,FALSE,"Alpha";#N/A,#N/A,FALSE,"Hi";#N/A,#N/A,FALSE,"Lo";#N/A,#N/A,FALSE,"Mkt. Cap";#N/A,#N/A,FALSE,"Categ."}</definedName>
    <definedName name="wrn.Comp._.and._.Prices." hidden="1">{#N/A,#N/A,FALSE,"comp";#N/A,#N/A,FALSE,"Alpha";#N/A,#N/A,FALSE,"Hi";#N/A,#N/A,FALSE,"Lo";#N/A,#N/A,FALSE,"Mkt. Cap";#N/A,#N/A,FALSE,"Categ."}</definedName>
    <definedName name="wrn.Compensation." localSheetId="7" hidden="1">{"Comp sum",#N/A,FALSE,"Compensation";"Comp by emp",#N/A,FALSE,"Compensation";"Salary summary",#N/A,FALSE,"Compensation";"Payroll taxes",#N/A,FALSE,"Compensation";"HC by Month",#N/A,FALSE,"Compensation";"Misc",#N/A,FALSE,"Compensation"}</definedName>
    <definedName name="wrn.Compensation." hidden="1">{"Comp sum",#N/A,FALSE,"Compensation";"Comp by emp",#N/A,FALSE,"Compensation";"Salary summary",#N/A,FALSE,"Compensation";"Payroll taxes",#N/A,FALSE,"Compensation";"HC by Month",#N/A,FALSE,"Compensation";"Misc",#N/A,FALSE,"Compensation"}</definedName>
    <definedName name="wrn.Complete._.Budget." localSheetId="7"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nsol._.FS." localSheetId="7"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CS._.Flash._.Test." localSheetId="7" hidden="1">{#N/A,#N/A,FALSE,"Performance Flash Report"}</definedName>
    <definedName name="wrn.CS._.Flash._.Test." hidden="1">{#N/A,#N/A,FALSE,"Performance Flash Report"}</definedName>
    <definedName name="wrn.dept._.1." localSheetId="7" hidden="1">{#N/A,#N/A,FALSE,"EXPENSE SUMMARY ";#N/A,#N/A,FALSE,"DEPT1";#N/A,#N/A,FALSE,"DEPT1-PAYROLL"}</definedName>
    <definedName name="wrn.dept._.1." hidden="1">{#N/A,#N/A,FALSE,"EXPENSE SUMMARY ";#N/A,#N/A,FALSE,"DEPT1";#N/A,#N/A,FALSE,"DEPT1-PAYROLL"}</definedName>
    <definedName name="wrn.dept._.2." localSheetId="7" hidden="1">{#N/A,#N/A,FALSE,"EXPENSE SUMMARY ";#N/A,#N/A,FALSE,"DEPT1 (2)"}</definedName>
    <definedName name="wrn.dept._.2." hidden="1">{#N/A,#N/A,FALSE,"EXPENSE SUMMARY ";#N/A,#N/A,FALSE,"DEPT1 (2)"}</definedName>
    <definedName name="wrn.dir." localSheetId="7"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STADOS._.FINANCIEROS." localSheetId="7" hidden="1">{#N/A,#N/A,FALSE,"ACTIVO - hoja 1";#N/A,#N/A,FALSE,"ACTIVO - hoja 2";#N/A,#N/A,FALSE,"PASIVO - hoja 1";#N/A,#N/A,FALSE,"PASIVO - hoja 2";#N/A,#N/A,FALSE,"GASTOS - hoja 1 ";#N/A,#N/A,FALSE,"GASTOS - hoja 2";#N/A,#N/A,FALSE,"INGRESOS - hoja 1 ";#N/A,#N/A,FALSE,"INGRESOS - hoja 2"}</definedName>
    <definedName name="wrn.ESTADOS._.FINANCIEROS." hidden="1">{#N/A,#N/A,FALSE,"ACTIVO - hoja 1";#N/A,#N/A,FALSE,"ACTIVO - hoja 2";#N/A,#N/A,FALSE,"PASIVO - hoja 1";#N/A,#N/A,FALSE,"PASIVO - hoja 2";#N/A,#N/A,FALSE,"GASTOS - hoja 1 ";#N/A,#N/A,FALSE,"GASTOS - hoja 2";#N/A,#N/A,FALSE,"INGRESOS - hoja 1 ";#N/A,#N/A,FALSE,"INGRESOS - hoja 2"}</definedName>
    <definedName name="wrn.Fa.._.Englert." localSheetId="7" hidden="1">{#N/A,#N/A,TRUE,"Plan GuV Übersicht";#N/A,#N/A,TRUE,"Investionsgüterliste ";#N/A,#N/A,TRUE,"FUL";#N/A,#N/A,TRUE,"AFA"}</definedName>
    <definedName name="wrn.Fa.._.Englert." hidden="1">{#N/A,#N/A,TRUE,"Plan GuV Übersicht";#N/A,#N/A,TRUE,"Investionsgüterliste ";#N/A,#N/A,TRUE,"FUL";#N/A,#N/A,TRUE,"AFA"}</definedName>
    <definedName name="wrn.Filter." localSheetId="7"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7" hidden="1">{#N/A,#N/A,FALSE,"Total Sum";#N/A,#N/A,FALSE,"NA Summary";#N/A,#N/A,FALSE,"Junior Summary";#N/A,#N/A,FALSE,"FMC -NA Summary";#N/A,#N/A,FALSE,"Pacif Summary";#N/A,#N/A,FALSE,"NAV";#N/A,#N/A,FALSE,"Asset Summary";#N/A,#N/A,FALSE,"Bulawan";#N/A,#N/A,FALSE,"Sibutad";#N/A,#N/A,FALSE,"Prodn &amp; Reserves"}</definedName>
    <definedName name="wrn.Final." hidden="1">{#N/A,#N/A,FALSE,"Total Sum";#N/A,#N/A,FALSE,"NA Summary";#N/A,#N/A,FALSE,"Junior Summary";#N/A,#N/A,FALSE,"FMC -NA Summary";#N/A,#N/A,FALSE,"Pacif Summary";#N/A,#N/A,FALSE,"NAV";#N/A,#N/A,FALSE,"Asset Summary";#N/A,#N/A,FALSE,"Bulawan";#N/A,#N/A,FALSE,"Sibutad";#N/A,#N/A,FALSE,"Prodn &amp; Reserves"}</definedName>
    <definedName name="wrn.financials." localSheetId="7" hidden="1">{#N/A,#N/A,TRUE,"PL_Report";#N/A,#N/A,TRUE,"ftf by cust";#N/A,#N/A,TRUE,"vita by ship";#N/A,#N/A,TRUE,"FTF Sum";#N/A,#N/A,TRUE,"VITA SUMM"}</definedName>
    <definedName name="wrn.financials." hidden="1">{#N/A,#N/A,TRUE,"PL_Report";#N/A,#N/A,TRUE,"ftf by cust";#N/A,#N/A,TRUE,"vita by ship";#N/A,#N/A,TRUE,"FTF Sum";#N/A,#N/A,TRUE,"VITA SUMM"}</definedName>
    <definedName name="wrn.first2." localSheetId="7" hidden="1">{#N/A,#N/A,FALSE,"sum-don";#N/A,#N/A,FALSE,"inc-don"}</definedName>
    <definedName name="wrn.first2." hidden="1">{#N/A,#N/A,FALSE,"sum-don";#N/A,#N/A,FALSE,"inc-don"}</definedName>
    <definedName name="wrn.first3." localSheetId="7" hidden="1">{#N/A,#N/A,FALSE,"Summary";#N/A,#N/A,FALSE,"proj1";#N/A,#N/A,FALSE,"proj2"}</definedName>
    <definedName name="wrn.first3." hidden="1">{#N/A,#N/A,FALSE,"Summary";#N/A,#N/A,FALSE,"proj1";#N/A,#N/A,FALSE,"proj2"}</definedName>
    <definedName name="wrn.first4." localSheetId="7" hidden="1">{#N/A,#N/A,FALSE,"Summary";#N/A,#N/A,FALSE,"proj1";#N/A,#N/A,FALSE,"proj2";#N/A,#N/A,FALSE,"DCF"}</definedName>
    <definedName name="wrn.first4." hidden="1">{#N/A,#N/A,FALSE,"Summary";#N/A,#N/A,FALSE,"proj1";#N/A,#N/A,FALSE,"proj2";#N/A,#N/A,FALSE,"DCF"}</definedName>
    <definedName name="wrn.first5000." localSheetId="7" hidden="1">{#N/A,#N/A,FALSE,"sum-don";#N/A,#N/A,FALSE,"inc-don"}</definedName>
    <definedName name="wrn.first5000." hidden="1">{#N/A,#N/A,FALSE,"sum-don";#N/A,#N/A,FALSE,"inc-don"}</definedName>
    <definedName name="wrn.Five._.Year._.Model." localSheetId="7"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UR._.CASES." localSheetId="7"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LL._.REPORT." localSheetId="7" hidden="1">{"p1TOC",#N/A,FALSE,"DCF_Summary";"p23summary",#N/A,FALSE,"DCF_Summary";"p4contact",#N/A,FALSE,"Contact Lake";"p5kumtor",#N/A,FALSE,"Kumtor";#N/A,#N/A,FALSE,"CCAU_NAV";"p8compdata",#N/A,FALSE,"Gold_Comps";#N/A,#N/A,FALSE,"Comp_Valuation"}</definedName>
    <definedName name="wrn.FULL._.REPORT." hidden="1">{"p1TOC",#N/A,FALSE,"DCF_Summary";"p23summary",#N/A,FALSE,"DCF_Summary";"p4contact",#N/A,FALSE,"Contact Lake";"p5kumtor",#N/A,FALSE,"Kumtor";#N/A,#N/A,FALSE,"CCAU_NAV";"p8compdata",#N/A,FALSE,"Gold_Comps";#N/A,#N/A,FALSE,"Comp_Valuation"}</definedName>
    <definedName name="wrn.FY97SBP." localSheetId="7" hidden="1">{#N/A,#N/A,FALSE,"FY97";#N/A,#N/A,FALSE,"FY98";#N/A,#N/A,FALSE,"FY99";#N/A,#N/A,FALSE,"FY00";#N/A,#N/A,FALSE,"FY01"}</definedName>
    <definedName name="wrn.FY97SBP." hidden="1">{#N/A,#N/A,FALSE,"FY97";#N/A,#N/A,FALSE,"FY98";#N/A,#N/A,FALSE,"FY99";#N/A,#N/A,FALSE,"FY00";#N/A,#N/A,FALSE,"FY01"}</definedName>
    <definedName name="wrn.GRAPHS." localSheetId="7" hidden="1">{#N/A,#N/A,FALSE,"ACQ_GRAPHS";#N/A,#N/A,FALSE,"T_1 GRAPHS";#N/A,#N/A,FALSE,"T_2 GRAPHS";#N/A,#N/A,FALSE,"COMB_GRAPHS"}</definedName>
    <definedName name="wrn.GRAPHS." hidden="1">{#N/A,#N/A,FALSE,"ACQ_GRAPHS";#N/A,#N/A,FALSE,"T_1 GRAPHS";#N/A,#N/A,FALSE,"T_2 GRAPHS";#N/A,#N/A,FALSE,"COMB_GRAPHS"}</definedName>
    <definedName name="wrn.Group." localSheetId="7" hidden="1">{#N/A,#N/A,FALSE,"Summary";#N/A,#N/A,FALSE,"Projections";#N/A,#N/A,FALSE,"Debt Schedule";#N/A,#N/A,FALSE,"Mayline Sales Group";#N/A,#N/A,FALSE,"Sales Groups";#N/A,#N/A,FALSE,"Operating Expenses";#N/A,#N/A,FALSE,"Depreciation";#N/A,#N/A,FALSE,"Balance Sheet";#N/A,#N/A,FALSE,"Working Capital";#N/A,#N/A,FALSE,"Addbacks"}</definedName>
    <definedName name="wrn.Group." hidden="1">{#N/A,#N/A,FALSE,"Summary";#N/A,#N/A,FALSE,"Projections";#N/A,#N/A,FALSE,"Debt Schedule";#N/A,#N/A,FALSE,"Mayline Sales Group";#N/A,#N/A,FALSE,"Sales Groups";#N/A,#N/A,FALSE,"Operating Expenses";#N/A,#N/A,FALSE,"Depreciation";#N/A,#N/A,FALSE,"Balance Sheet";#N/A,#N/A,FALSE,"Working Capital";#N/A,#N/A,FALSE,"Addbacks"}</definedName>
    <definedName name="wrn.Growth." localSheetId="7" hidden="1">{#N/A,#N/A,FALSE,"Rev Grwth";#N/A,#N/A,FALSE,"Op Inc Grwth";#N/A,#N/A,FALSE,"Net Grwth";#N/A,#N/A,FALSE,"EPS Growth"}</definedName>
    <definedName name="wrn.Growth." hidden="1">{#N/A,#N/A,FALSE,"Rev Grwth";#N/A,#N/A,FALSE,"Op Inc Grwth";#N/A,#N/A,FALSE,"Net Grwth";#N/A,#N/A,FALSE,"EPS Growth"}</definedName>
    <definedName name="wrn.GTDirect." localSheetId="7" hidden="1">{"june",#N/A,FALSE,"GT Direct"}</definedName>
    <definedName name="wrn.GTDirect." hidden="1">{"june",#N/A,FALSE,"GT Direct"}</definedName>
    <definedName name="wrn.GTHV._.Cons." localSheetId="7" hidden="1">{#N/A,#N/A,TRUE,"GTHV Cons";#N/A,#N/A,TRUE,"GTHV Cons Stan";#N/A,#N/A,TRUE,"GT Home Video";#N/A,#N/A,TRUE,"GT CorpSvc";#N/A,#N/A,TRUE,"GT Int'l";#N/A,#N/A,TRUE,"GT Mnf";#N/A,#N/A,TRUE,"GT DC"}</definedName>
    <definedName name="wrn.GTHV._.Cons." hidden="1">{#N/A,#N/A,TRUE,"GTHV Cons";#N/A,#N/A,TRUE,"GTHV Cons Stan";#N/A,#N/A,TRUE,"GT Home Video";#N/A,#N/A,TRUE,"GT CorpSvc";#N/A,#N/A,TRUE,"GT Int'l";#N/A,#N/A,TRUE,"GT Mnf";#N/A,#N/A,TRUE,"GT DC"}</definedName>
    <definedName name="wrn.HEAT." localSheetId="7" hidden="1">{#N/A,#N/A,FALSE,"Heat";#N/A,#N/A,FALSE,"DCF";#N/A,#N/A,FALSE,"LBO";#N/A,#N/A,FALSE,"A";#N/A,#N/A,FALSE,"C";#N/A,#N/A,FALSE,"impd";#N/A,#N/A,FALSE,"Accr-Dilu"}</definedName>
    <definedName name="wrn.HEAT." hidden="1">{#N/A,#N/A,FALSE,"Heat";#N/A,#N/A,FALSE,"DCF";#N/A,#N/A,FALSE,"LBO";#N/A,#N/A,FALSE,"A";#N/A,#N/A,FALSE,"C";#N/A,#N/A,FALSE,"impd";#N/A,#N/A,FALSE,"Accr-Dilu"}</definedName>
    <definedName name="wrn.Hydraulic." localSheetId="7"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7"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BB._.Sanierungsfond." localSheetId="7" hidden="1">{#N/A,#N/A,TRUE,"Plan GuV monatlich 1998-1999";#N/A,#N/A,TRUE,"Absatzplanung";#N/A,#N/A,TRUE,"Planung des Aufwands";#N/A,#N/A,TRUE,"Finanzplan";#N/A,#N/A,TRUE,"Planung Investitionen und Afa";#N/A,#N/A,TRUE,"Zins- und Tilgung"}</definedName>
    <definedName name="wrn.IBB._.Sanierungsfond." hidden="1">{#N/A,#N/A,TRUE,"Plan GuV monatlich 1998-1999";#N/A,#N/A,TRUE,"Absatzplanung";#N/A,#N/A,TRUE,"Planung des Aufwands";#N/A,#N/A,TRUE,"Finanzplan";#N/A,#N/A,TRUE,"Planung Investitionen und Afa";#N/A,#N/A,TRUE,"Zins- und Tilgung"}</definedName>
    <definedName name="wrn.info." localSheetId="7"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ntlandtot" localSheetId="7" hidden="1">{"tot",#N/A,FALSE,"Int'l Cons";"tot",#N/A,FALSE,"UK";"tot",#N/A,FALSE,"GER";"tot",#N/A,FALSE,"AUS";"tot",#N/A,FALSE,"SA";"tot",#N/A,FALSE,"FR";"tot",#N/A,FALSE,"RofW"}</definedName>
    <definedName name="wrn.intlandtot" hidden="1">{"tot",#N/A,FALSE,"Int'l Cons";"tot",#N/A,FALSE,"UK";"tot",#N/A,FALSE,"GER";"tot",#N/A,FALSE,"AUS";"tot",#N/A,FALSE,"SA";"tot",#N/A,FALSE,"FR";"tot",#N/A,FALSE,"RofW"}</definedName>
    <definedName name="wrn.IPO." localSheetId="7"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Analysis." localSheetId="7"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value." localSheetId="7" hidden="1">{#N/A,#N/A,FALSE,"puboff";#N/A,#N/A,FALSE,"valuation";#N/A,#N/A,FALSE,"finanalsis";#N/A,#N/A,FALSE,"split";#N/A,#N/A,FALSE,"ownership"}</definedName>
    <definedName name="wrn.ipovalue." hidden="1">{#N/A,#N/A,FALSE,"puboff";#N/A,#N/A,FALSE,"valuation";#N/A,#N/A,FALSE,"finanalsis";#N/A,#N/A,FALSE,"split";#N/A,#N/A,FALSE,"ownership"}</definedName>
    <definedName name="wrn.ISCG._.model." localSheetId="7"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ust._.Sorts." localSheetId="7" hidden="1">{#N/A,#N/A,FALSE,"Hi";#N/A,#N/A,FALSE,"Lo";#N/A,#N/A,FALSE,"Mkt. Cap";#N/A,#N/A,FALSE,"Alpha"}</definedName>
    <definedName name="wrn.Just._.Sorts." hidden="1">{#N/A,#N/A,FALSE,"Hi";#N/A,#N/A,FALSE,"Lo";#N/A,#N/A,FALSE,"Mkt. Cap";#N/A,#N/A,FALSE,"Alpha"}</definedName>
    <definedName name="wrn.k" localSheetId="7" hidden="1">{#N/A,#N/A,FALSE,"AD_Purchase";#N/A,#N/A,FALSE,"Credit";#N/A,#N/A,FALSE,"PF Acquisition";#N/A,#N/A,FALSE,"PF Offering"}</definedName>
    <definedName name="wrn.k" hidden="1">{#N/A,#N/A,FALSE,"AD_Purchase";#N/A,#N/A,FALSE,"Credit";#N/A,#N/A,FALSE,"PF Acquisition";#N/A,#N/A,FALSE,"PF Offering"}</definedName>
    <definedName name="wrn.Maine." localSheetId="7" hidden="1">{"Assumptions",#N/A,TRUE,"Assumptions";"Income",#N/A,TRUE,"Income";"Balance",#N/A,TRUE,"Balance"}</definedName>
    <definedName name="wrn.Maine." hidden="1">{"Assumptions",#N/A,TRUE,"Assumptions";"Income",#N/A,TRUE,"Income";"Balance",#N/A,TRUE,"Balance"}</definedName>
    <definedName name="wrn.Maine2." localSheetId="7"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gins." localSheetId="7" hidden="1">{#N/A,#N/A,FALSE,"Margins - GrossR&amp;D";#N/A,#N/A,FALSE,"Margins - sg&amp;a";#N/A,#N/A,FALSE,"Margins - Oper-net"}</definedName>
    <definedName name="wrn.Margins." hidden="1">{#N/A,#N/A,FALSE,"Margins - GrossR&amp;D";#N/A,#N/A,FALSE,"Margins - sg&amp;a";#N/A,#N/A,FALSE,"Margins - Oper-net"}</definedName>
    <definedName name="wrn.merge." localSheetId="7" hidden="1">{#N/A,#N/A,FALSE,"IPO";#N/A,#N/A,FALSE,"DCF";#N/A,#N/A,FALSE,"LBO";#N/A,#N/A,FALSE,"MULT_VAL";#N/A,#N/A,FALSE,"Status Quo";#N/A,#N/A,FALSE,"Recap"}</definedName>
    <definedName name="wrn.merge." hidden="1">{#N/A,#N/A,FALSE,"IPO";#N/A,#N/A,FALSE,"DCF";#N/A,#N/A,FALSE,"LBO";#N/A,#N/A,FALSE,"MULT_VAL";#N/A,#N/A,FALSE,"Status Quo";#N/A,#N/A,FALSE,"Recap"}</definedName>
    <definedName name="wrn.merge.1" localSheetId="7" hidden="1">{#N/A,#N/A,FALSE,"IPO";#N/A,#N/A,FALSE,"DCF";#N/A,#N/A,FALSE,"LBO";#N/A,#N/A,FALSE,"MULT_VAL";#N/A,#N/A,FALSE,"Status Quo";#N/A,#N/A,FALSE,"Recap"}</definedName>
    <definedName name="wrn.merge.1" hidden="1">{#N/A,#N/A,FALSE,"IPO";#N/A,#N/A,FALSE,"DCF";#N/A,#N/A,FALSE,"LBO";#N/A,#N/A,FALSE,"MULT_VAL";#N/A,#N/A,FALSE,"Status Quo";#N/A,#N/A,FALSE,"Recap"}</definedName>
    <definedName name="wrn.Model." localSheetId="7" hidden="1">{#N/A,#N/A,FALSE,"Cover";#N/A,#N/A,FALSE,"LUMI";#N/A,#N/A,FALSE,"COMD";#N/A,#N/A,FALSE,"Valuation";#N/A,#N/A,FALSE,"Assumptions";#N/A,#N/A,FALSE,"Pooling";#N/A,#N/A,FALSE,"BalanceSheet"}</definedName>
    <definedName name="wrn.Model." hidden="1">{#N/A,#N/A,FALSE,"Cover";#N/A,#N/A,FALSE,"LUMI";#N/A,#N/A,FALSE,"COMD";#N/A,#N/A,FALSE,"Valuation";#N/A,#N/A,FALSE,"Assumptions";#N/A,#N/A,FALSE,"Pooling";#N/A,#N/A,FALSE,"BalanceSheet"}</definedName>
    <definedName name="wrn.models" localSheetId="7"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newest." localSheetId="7" hidden="1">{#N/A,#N/A,TRUE,"TS";#N/A,#N/A,TRUE,"Combo";#N/A,#N/A,TRUE,"FAIR";#N/A,#N/A,TRUE,"RBC";#N/A,#N/A,TRUE,"xxxx"}</definedName>
    <definedName name="wrn.newest." hidden="1">{#N/A,#N/A,TRUE,"TS";#N/A,#N/A,TRUE,"Combo";#N/A,#N/A,TRUE,"FAIR";#N/A,#N/A,TRUE,"RBC";#N/A,#N/A,TRUE,"xxxx"}</definedName>
    <definedName name="wrn.NOVPRES." localSheetId="7" hidden="1">{#N/A,#N/A,TRUE,"PAGE 2";#N/A,#N/A,TRUE,"PAGE 3";#N/A,#N/A,TRUE,"PAGE4"}</definedName>
    <definedName name="wrn.NOVPRES." hidden="1">{#N/A,#N/A,TRUE,"PAGE 2";#N/A,#N/A,TRUE,"PAGE 3";#N/A,#N/A,TRUE,"PAGE4"}</definedName>
    <definedName name="wrn.OUTLOOKFULLYEAR." localSheetId="7" hidden="1">{"QTR2",#N/A,FALSE,"OTK6_27";#N/A,#N/A,FALSE,"Q2 Detail";"SIXMTH",#N/A,FALSE,"OTK6_27";"qtr3",#N/A,FALSE,"OTK6_27";#N/A,#N/A,FALSE,"Q3 Detail";"NINEMTH",#N/A,FALSE,"OTK6_27";"qtr4",#N/A,FALSE,"OTK6_27";#N/A,#N/A,FALSE,"Q4 Detail";"YEAR",#N/A,FALSE,"OTK6_27"}</definedName>
    <definedName name="wrn.OUTLOOKFULLYEAR." hidden="1">{"QTR2",#N/A,FALSE,"OTK6_27";#N/A,#N/A,FALSE,"Q2 Detail";"SIXMTH",#N/A,FALSE,"OTK6_27";"qtr3",#N/A,FALSE,"OTK6_27";#N/A,#N/A,FALSE,"Q3 Detail";"NINEMTH",#N/A,FALSE,"OTK6_27";"qtr4",#N/A,FALSE,"OTK6_27";#N/A,#N/A,FALSE,"Q4 Detail";"YEAR",#N/A,FALSE,"OTK6_27"}</definedName>
    <definedName name="wrn.OUTPUT." localSheetId="7" hidden="1">{"DCF","UPSIDE CASE",FALSE,"Sheet1";"DCF","BASE CASE",FALSE,"Sheet1";"DCF","DOWNSIDE CASE",FALSE,"Sheet1"}</definedName>
    <definedName name="wrn.OUTPUT." hidden="1">{"DCF","UPSIDE CASE",FALSE,"Sheet1";"DCF","BASE CASE",FALSE,"Sheet1";"DCF","DOWNSIDE CASE",FALSE,"Sheet1"}</definedName>
    <definedName name="wrn.packer._.1." localSheetId="7"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gasus." localSheetId="7"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lacer._.NAV." localSheetId="7"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RES_OUT." localSheetId="7" hidden="1">{"page1",#N/A,FALSE,"PRESENTATION";"page2",#N/A,FALSE,"PRESENTATION";#N/A,#N/A,FALSE,"Valuation Summary"}</definedName>
    <definedName name="wrn.PRES_OUT." hidden="1">{"page1",#N/A,FALSE,"PRESENTATION";"page2",#N/A,FALSE,"PRESENTATION";#N/A,#N/A,FALSE,"Valuation Summary"}</definedName>
    <definedName name="wrn.PRES_OUT2" localSheetId="7" hidden="1">{"page1",#N/A,FALSE,"PRESENTATION";"page2",#N/A,FALSE,"PRESENTATION";#N/A,#N/A,FALSE,"Valuation Summary"}</definedName>
    <definedName name="wrn.PRES_OUT2" hidden="1">{"page1",#N/A,FALSE,"PRESENTATION";"page2",#N/A,FALSE,"PRESENTATION";#N/A,#N/A,FALSE,"Valuation Summary"}</definedName>
    <definedName name="wrn.Pres_OUT3" localSheetId="7" hidden="1">{"page1",#N/A,FALSE,"PRESENTATION";"page2",#N/A,FALSE,"PRESENTATION";#N/A,#N/A,FALSE,"Valuation Summary"}</definedName>
    <definedName name="wrn.Pres_OUT3" hidden="1">{"page1",#N/A,FALSE,"PRESENTATION";"page2",#N/A,FALSE,"PRESENTATION";#N/A,#N/A,FALSE,"Valuation Summary"}</definedName>
    <definedName name="wrn.PRES_OUT4" localSheetId="7" hidden="1">{"page1",#N/A,FALSE,"PRESENTATION";"page2",#N/A,FALSE,"PRESENTATION";#N/A,#N/A,FALSE,"Valuation Summary"}</definedName>
    <definedName name="wrn.PRES_OUT4" hidden="1">{"page1",#N/A,FALSE,"PRESENTATION";"page2",#N/A,FALSE,"PRESENTATION";#N/A,#N/A,FALSE,"Valuation Summary"}</definedName>
    <definedName name="wrn.PRES_OUT5" localSheetId="7" hidden="1">{"page1",#N/A,FALSE,"PRESENTATION";"page2",#N/A,FALSE,"PRESENTATION";#N/A,#N/A,FALSE,"Valuation Summary"}</definedName>
    <definedName name="wrn.PRES_OUT5" hidden="1">{"page1",#N/A,FALSE,"PRESENTATION";"page2",#N/A,FALSE,"PRESENTATION";#N/A,#N/A,FALSE,"Valuation Summary"}</definedName>
    <definedName name="wrn.PRES_OUT6" localSheetId="7" hidden="1">{"page1",#N/A,FALSE,"PRESENTATION";"page2",#N/A,FALSE,"PRESENTATION";#N/A,#N/A,FALSE,"Valuation Summary"}</definedName>
    <definedName name="wrn.PRES_OUT6" hidden="1">{"page1",#N/A,FALSE,"PRESENTATION";"page2",#N/A,FALSE,"PRESENTATION";#N/A,#N/A,FALSE,"Valuation Summary"}</definedName>
    <definedName name="wrn.PRES_OUT8" localSheetId="7" hidden="1">{"page1",#N/A,FALSE,"PRESENTATION";"page2",#N/A,FALSE,"PRESENTATION";#N/A,#N/A,FALSE,"Valuation Summary"}</definedName>
    <definedName name="wrn.PRES_OUT8" hidden="1">{"page1",#N/A,FALSE,"PRESENTATION";"page2",#N/A,FALSE,"PRESENTATION";#N/A,#N/A,FALSE,"Valuation Summary"}</definedName>
    <definedName name="wrn.Print." localSheetId="7" hidden="1">{"vi1",#N/A,FALSE,"Financial Statements";"vi2",#N/A,FALSE,"Financial Statements";#N/A,#N/A,FALSE,"DCF"}</definedName>
    <definedName name="wrn.Print." hidden="1">{"vi1",#N/A,FALSE,"Financial Statements";"vi2",#N/A,FALSE,"Financial Statements";#N/A,#N/A,FALSE,"DCF"}</definedName>
    <definedName name="wrn.PRINT2." localSheetId="7"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3." localSheetId="7" hidden="1">{"PAGE1",#N/A,FALSE,"ADJMODL";"PAGE2",#N/A,FALSE,"ADJMODL";"PAGE3",#N/A,FALSE,"ADJMODL";"PAGE4",#N/A,FALSE,"ADJMODL";"PAGE5",#N/A,FALSE,"ADJMODL";"PAGE6",#N/A,FALSE,"ADJMODL";"PAGE7",#N/A,FALSE,"ADJMODL";"PAGE8",#N/A,FALSE,"ADJMODL"}</definedName>
    <definedName name="wrn.print3." hidden="1">{"PAGE1",#N/A,FALSE,"ADJMODL";"PAGE2",#N/A,FALSE,"ADJMODL";"PAGE3",#N/A,FALSE,"ADJMODL";"PAGE4",#N/A,FALSE,"ADJMODL";"PAGE5",#N/A,FALSE,"ADJMODL";"PAGE6",#N/A,FALSE,"ADJMODL";"PAGE7",#N/A,FALSE,"ADJMODL";"PAGE8",#N/A,FALSE,"ADJMODL"}</definedName>
    <definedName name="wrn.PrintAll." localSheetId="7" hidden="1">{"PA1",#N/A,FALSE,"BORDMW";"pa2",#N/A,FALSE,"BORDMW";"PA3",#N/A,FALSE,"BORDMW";"PA4",#N/A,FALSE,"BORDMW"}</definedName>
    <definedName name="wrn.PrintAll." hidden="1">{"PA1",#N/A,FALSE,"BORDMW";"pa2",#N/A,FALSE,"BORDMW";"PA3",#N/A,FALSE,"BORDMW";"PA4",#N/A,FALSE,"BORDMW"}</definedName>
    <definedName name="wrn.Pump." localSheetId="7"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Red._.Book." localSheetId="7" hidden="1">{#N/A,#N/A,FALSE,"P&amp;LQGRP";#N/A,#N/A,FALSE,"BSQGRP";#N/A,#N/A,FALSE,"P&amp;LFYGP"}</definedName>
    <definedName name="wrn.Red._.Book." hidden="1">{#N/A,#N/A,FALSE,"P&amp;LQGRP";#N/A,#N/A,FALSE,"BSQGRP";#N/A,#N/A,FALSE,"P&amp;LFYGP"}</definedName>
    <definedName name="wrn.RELEVANTSHEETS." localSheetId="7" hidden="1">{#N/A,#N/A,FALSE,"AD_Purch";#N/A,#N/A,FALSE,"Projections";#N/A,#N/A,FALSE,"DCF";#N/A,#N/A,FALSE,"Mkt Val"}</definedName>
    <definedName name="wrn.RELEVANTSHEETS." hidden="1">{#N/A,#N/A,FALSE,"AD_Purch";#N/A,#N/A,FALSE,"Projections";#N/A,#N/A,FALSE,"DCF";#N/A,#N/A,FALSE,"Mkt Val"}</definedName>
    <definedName name="wrn.report." localSheetId="7"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SalesBudgets." localSheetId="7" hidden="1">{#N/A,#N/A,FALSE,"Summary";#N/A,#N/A,FALSE,"Infomercial";#N/A,#N/A,FALSE,"QVC";#N/A,#N/A,FALSE,"Avon";#N/A,#N/A,FALSE,"Fingerhut";#N/A,#N/A,FALSE,"FTF Retail";#N/A,#N/A,FALSE,"Vita - Intit Order";#N/A,#N/A,FALSE,"Vita - 2 Shots";#N/A,#N/A,FALSE,"QVC Vita";#N/A,#N/A,FALSE,"QVC Sales";#N/A,#N/A,FALSE,"DAM"}</definedName>
    <definedName name="wrn.SalesBudgets." hidden="1">{#N/A,#N/A,FALSE,"Summary";#N/A,#N/A,FALSE,"Infomercial";#N/A,#N/A,FALSE,"QVC";#N/A,#N/A,FALSE,"Avon";#N/A,#N/A,FALSE,"Fingerhut";#N/A,#N/A,FALSE,"FTF Retail";#N/A,#N/A,FALSE,"Vita - Intit Order";#N/A,#N/A,FALSE,"Vita - 2 Shots";#N/A,#N/A,FALSE,"QVC Vita";#N/A,#N/A,FALSE,"QVC Sales";#N/A,#N/A,FALSE,"DAM"}</definedName>
    <definedName name="wrn.Set." localSheetId="7" hidden="1">{#N/A,#N/A,FALSE,"High";#N/A,#N/A,FALSE,"Low";#N/A,#N/A,FALSE,"MarketCap";#N/A,#N/A,FALSE,"Alpha"}</definedName>
    <definedName name="wrn.Set." hidden="1">{#N/A,#N/A,FALSE,"High";#N/A,#N/A,FALSE,"Low";#N/A,#N/A,FALSE,"MarketCap";#N/A,#N/A,FALSE,"Alpha"}</definedName>
    <definedName name="wrn.Spec." localSheetId="7" hidden="1">{#N/A,#N/A,FALSE,"Sheet1"}</definedName>
    <definedName name="wrn.Spec." hidden="1">{#N/A,#N/A,FALSE,"Sheet1"}</definedName>
    <definedName name="wrn.Structure." localSheetId="7" hidden="1">{#N/A,#N/A,FALSE,"Structure";#N/A,#N/A,FALSE,"Proj-Cal";#N/A,#N/A,FALSE,"Market"}</definedName>
    <definedName name="wrn.Structure." hidden="1">{#N/A,#N/A,FALSE,"Structure";#N/A,#N/A,FALSE,"Proj-Cal";#N/A,#N/A,FALSE,"Market"}</definedName>
    <definedName name="wrn.summaryANDbackup." localSheetId="7" hidden="1">{#N/A,#N/A,FALSE,"Prem_Sum";#N/A,#N/A,FALSE,"Prem"}</definedName>
    <definedName name="wrn.summaryANDbackup." hidden="1">{#N/A,#N/A,FALSE,"Prem_Sum";#N/A,#N/A,FALSE,"Prem"}</definedName>
    <definedName name="wrn.Szenario." localSheetId="7" hidden="1">{#N/A,#N/A,FALSE,"Deckblatt";#N/A,#N/A,FALSE,"Graphik";#N/A,#N/A,FALSE,"Bilanz"}</definedName>
    <definedName name="wrn.Szenario." hidden="1">{#N/A,#N/A,FALSE,"Deckblatt";#N/A,#N/A,FALSE,"Graphik";#N/A,#N/A,FALSE,"Bilanz"}</definedName>
    <definedName name="wrn.tel2." localSheetId="7"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7"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7" hidden="1">{"OUTLK3YROCC",#N/A,FALSE,"3YR_OCC"}</definedName>
    <definedName name="wrn.TEST." hidden="1">{"OUTLK3YROCC",#N/A,FALSE,"3YR_OCC"}</definedName>
    <definedName name="wrn.TOOL." localSheetId="7"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7"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7" hidden="1">{#N/A,#N/A,TRUE,"TransPrcd 1";#N/A,#N/A,TRUE,"TransPrcd 2";#N/A,#N/A,TRUE,"TransPrcd 3"}</definedName>
    <definedName name="wrn.TransPrcd_123." hidden="1">{#N/A,#N/A,TRUE,"TransPrcd 1";#N/A,#N/A,TRUE,"TransPrcd 2";#N/A,#N/A,TRUE,"TransPrcd 3"}</definedName>
    <definedName name="wrn.VALUATION." localSheetId="7"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orlage." localSheetId="7" hidden="1">{#N/A,#N/A,FALSE,"Personaleinsatzkosten";#N/A,#N/A,FALSE,"Finanzierungsplan";#N/A,#N/A,FALSE,"Kostenplan Anlage 2";#N/A,#N/A,FALSE,"Absatzplanung";#N/A,#N/A,FALSE,"Anforderungen";#N/A,#N/A,FALSE,"Konzepte";#N/A,#N/A,FALSE,"Konstruktion&amp;Entwicklung";#N/A,#N/A,FALSE,"Fertigung&amp;Erprobung"}</definedName>
    <definedName name="wrn.Vorlage." hidden="1">{#N/A,#N/A,FALSE,"Personaleinsatzkosten";#N/A,#N/A,FALSE,"Finanzierungsplan";#N/A,#N/A,FALSE,"Kostenplan Anlage 2";#N/A,#N/A,FALSE,"Absatzplanung";#N/A,#N/A,FALSE,"Anforderungen";#N/A,#N/A,FALSE,"Konzepte";#N/A,#N/A,FALSE,"Konstruktion&amp;Entwicklung";#N/A,#N/A,FALSE,"Fertigung&amp;Erprobung"}</definedName>
    <definedName name="wrn.WATERTOWN._.BUDGET." localSheetId="7"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estern._.Metal." localSheetId="7"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icor." localSheetId="7" hidden="1">{#N/A,#N/A,FALSE,"FACTSHEETS";#N/A,#N/A,FALSE,"pump";#N/A,#N/A,FALSE,"filter"}</definedName>
    <definedName name="wrn.wicor." hidden="1">{#N/A,#N/A,FALSE,"FACTSHEETS";#N/A,#N/A,FALSE,"pump";#N/A,#N/A,FALSE,"filter"}</definedName>
    <definedName name="wrn2.All." localSheetId="7"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x" localSheetId="7" hidden="1">{#N/A,#N/A,FALSE,"FY97";#N/A,#N/A,FALSE,"FY98";#N/A,#N/A,FALSE,"FY99";#N/A,#N/A,FALSE,"FY00";#N/A,#N/A,FALSE,"FY01"}</definedName>
    <definedName name="x" hidden="1">{#N/A,#N/A,FALSE,"FY97";#N/A,#N/A,FALSE,"FY98";#N/A,#N/A,FALSE,"FY99";#N/A,#N/A,FALSE,"FY00";#N/A,#N/A,FALSE,"FY01"}</definedName>
    <definedName name="xcv" hidden="1">"c161"</definedName>
    <definedName name="xcxzc" localSheetId="7" hidden="1">{#N/A,#N/A,FALSE,"AD_Purchase";#N/A,#N/A,FALSE,"Credit";#N/A,#N/A,FALSE,"PF Acquisition";#N/A,#N/A,FALSE,"PF Offering"}</definedName>
    <definedName name="xcxzc" hidden="1">{#N/A,#N/A,FALSE,"AD_Purchase";#N/A,#N/A,FALSE,"Credit";#N/A,#N/A,FALSE,"PF Acquisition";#N/A,#N/A,FALSE,"PF Offering"}</definedName>
    <definedName name="XREF_COLUMN_1" hidden="1">#REF!</definedName>
    <definedName name="XREF_COLUMN_2" hidden="1">'[21]Intl def'!#REF!</definedName>
    <definedName name="XREF_COLUMN_3" hidden="1">'[21]Intl def'!#REF!</definedName>
    <definedName name="XREF_COLUMN_4" hidden="1">#REF!</definedName>
    <definedName name="XREF_COLUMN_8" hidden="1">#REF!</definedName>
    <definedName name="XREF_COLUMN_9" hidden="1">#REF!</definedName>
    <definedName name="XRefActiveRow" hidden="1">#REF!</definedName>
    <definedName name="XRefCopy1" hidden="1">#REF!</definedName>
    <definedName name="XRefCopy10Row" hidden="1">#REF!</definedName>
    <definedName name="XRefCopy11Row" hidden="1">#REF!</definedName>
    <definedName name="XRefCopy1Row" hidden="1">#REF!</definedName>
    <definedName name="XRefCopy2" hidden="1">#REF!</definedName>
    <definedName name="XRefCopy2Row" hidden="1">#REF!</definedName>
    <definedName name="XRefCopy3" hidden="1">'[22]Exp-vested over periods'!#REF!</definedName>
    <definedName name="XRefCopy3Row" hidden="1">#REF!</definedName>
    <definedName name="XRefCopy4Row" hidden="1">#REF!</definedName>
    <definedName name="XRefCopy5Row" hidden="1">#REF!</definedName>
    <definedName name="XRefCopy6Row" hidden="1">#REF!</definedName>
    <definedName name="XRefCopy8Row" hidden="1">#REF!</definedName>
    <definedName name="XRefCopy9Row" hidden="1">#REF!</definedName>
    <definedName name="XRefPaste1" hidden="1">#REF!</definedName>
    <definedName name="XRefPaste10" hidden="1">[23]Warrants!#REF!</definedName>
    <definedName name="XRefPaste10Row" hidden="1">#REF!</definedName>
    <definedName name="XRefPaste11" hidden="1">[23]Warrants!#REF!</definedName>
    <definedName name="XRefPaste11Row" hidden="1">#REF!</definedName>
    <definedName name="XRefPaste12" hidden="1">[23]Warrants!#REF!</definedName>
    <definedName name="XRefPaste12Row" hidden="1">#REF!</definedName>
    <definedName name="XRefPaste13Row" hidden="1">#REF!</definedName>
    <definedName name="XRefPaste14Row" hidden="1">#REF!</definedName>
    <definedName name="XRefPaste15Row" hidden="1">#REF!</definedName>
    <definedName name="XRefPaste16Row" hidden="1">#REF!</definedName>
    <definedName name="XRefPaste17Row" hidden="1">#REF!</definedName>
    <definedName name="XRefPaste18Row" hidden="1">#REF!</definedName>
    <definedName name="XRefPaste1Row" hidden="1">#REF!</definedName>
    <definedName name="XRefPaste2" hidden="1">'[22]Exp-vested over periods'!#REF!</definedName>
    <definedName name="XRefPaste2Row" hidden="1">#REF!</definedName>
    <definedName name="XRefPaste3Row" hidden="1">#REF!</definedName>
    <definedName name="XRefPaste4Row" hidden="1">#REF!</definedName>
    <definedName name="XRefPaste5Row" hidden="1">#REF!</definedName>
    <definedName name="XRefPaste6" hidden="1">[23]Warrants!#REF!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XXX" localSheetId="7" hidden="1">{"QTR2",#N/A,FALSE,"OTK6_27";#N/A,#N/A,FALSE,"Q2 Detail";"SIXMTH",#N/A,FALSE,"OTK6_27";"qtr3",#N/A,FALSE,"OTK6_27";#N/A,#N/A,FALSE,"Q3 Detail";"NINEMTH",#N/A,FALSE,"OTK6_27";"qtr4",#N/A,FALSE,"OTK6_27";#N/A,#N/A,FALSE,"Q4 Detail";"YEAR",#N/A,FALSE,"OTK6_27"}</definedName>
    <definedName name="XXXX" hidden="1">{"QTR2",#N/A,FALSE,"OTK6_27";#N/A,#N/A,FALSE,"Q2 Detail";"SIXMTH",#N/A,FALSE,"OTK6_27";"qtr3",#N/A,FALSE,"OTK6_27";#N/A,#N/A,FALSE,"Q3 Detail";"NINEMTH",#N/A,FALSE,"OTK6_27";"qtr4",#N/A,FALSE,"OTK6_27";#N/A,#N/A,FALSE,"Q4 Detail";"YEAR",#N/A,FALSE,"OTK6_27"}</definedName>
    <definedName name="xzxzx" localSheetId="7" hidden="1">{#N/A,#N/A,FALSE,"Performance Flash Report"}</definedName>
    <definedName name="xzxzx" hidden="1">{#N/A,#N/A,FALSE,"Performance Flash Report"}</definedName>
    <definedName name="xzzx" localSheetId="7" hidden="1">{#N/A,#N/A,FALSE,"Performance Flash Report"}</definedName>
    <definedName name="xzzx" hidden="1">{#N/A,#N/A,FALSE,"Performance Flash Report"}</definedName>
    <definedName name="xzzzdvdvd" localSheetId="7" hidden="1">{#N/A,#N/A,FALSE,"Performance Flash Report"}</definedName>
    <definedName name="xzzzdvdvd" hidden="1">{#N/A,#N/A,FALSE,"Performance Flash Report"}</definedName>
    <definedName name="yery" hidden="1">'[3]Variance Sum '!#REF!</definedName>
    <definedName name="yhn" localSheetId="7" hidden="1">{#N/A,#N/A,FALSE,"TS";#N/A,#N/A,FALSE,"Combo";#N/A,#N/A,FALSE,"FAIR";#N/A,#N/A,FALSE,"RBC";#N/A,#N/A,FALSE,"xxxx";#N/A,#N/A,FALSE,"A_D";#N/A,#N/A,FALSE,"WACC";#N/A,#N/A,FALSE,"DCF";#N/A,#N/A,FALSE,"LBO";#N/A,#N/A,FALSE,"AcqMults";#N/A,#N/A,FALSE,"CompMults"}</definedName>
    <definedName name="yhn" hidden="1">{#N/A,#N/A,FALSE,"TS";#N/A,#N/A,FALSE,"Combo";#N/A,#N/A,FALSE,"FAIR";#N/A,#N/A,FALSE,"RBC";#N/A,#N/A,FALSE,"xxxx";#N/A,#N/A,FALSE,"A_D";#N/A,#N/A,FALSE,"WACC";#N/A,#N/A,FALSE,"DCF";#N/A,#N/A,FALSE,"LBO";#N/A,#N/A,FALSE,"AcqMults";#N/A,#N/A,FALSE,"CompMults"}</definedName>
    <definedName name="yu" localSheetId="7" hidden="1">{#N/A,#N/A,FALSE,"Projections";#N/A,#N/A,FALSE,"AccrDil";#N/A,#N/A,FALSE,"PurchPriMult";#N/A,#N/A,FALSE,"Mults7_13";#N/A,#N/A,FALSE,"Mkt Mults";#N/A,#N/A,FALSE,"Acq Mults";#N/A,#N/A,FALSE,"StockPrices";#N/A,#N/A,FALSE,"Prem Paid";#N/A,#N/A,FALSE,"DCF";#N/A,#N/A,FALSE,"AUTO";#N/A,#N/A,FALSE,"Relative Trading";#N/A,#N/A,FALSE,"Mkt Val";#N/A,#N/A,FALSE,"Acq Val"}</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ｚ" localSheetId="7" hidden="1">{"'下期集計（10.27迄・速報値）'!$Q$16"}</definedName>
    <definedName name="ｚ" hidden="1">{"'下期集計（10.27迄・速報値）'!$Q$16"}</definedName>
    <definedName name="Z_00AC0B71_AA97_11D0_B456_0000F62B346E_.wvu.Cols" hidden="1">[10]EndNotes!$E$1:$E$65536,[10]EndNotes!#REF!,[10]EndNotes!$K$1:$K$65536,[10]EndNotes!$N$1:$N$65536,[10]EndNotes!$Q$1:$Q$65536</definedName>
    <definedName name="Z_03612579_9F94_11D0_B44C_0000F62B346E_.wvu.Cols" hidden="1">[10]EndNotes!$E$1:$E$65536,[10]EndNotes!#REF!,[10]EndNotes!$K$1:$K$65536,[10]EndNotes!$N$1:$N$65536,[10]EndNotes!$Q$1:$Q$65536</definedName>
    <definedName name="Z_0D98A7A4_2260_11D4_AA58_0000F6853C78_.wvu.PrintArea" hidden="1">#REF!</definedName>
    <definedName name="Z_0D98A7A4_2260_11D4_AA58_0000F6853C78_.wvu.PrintTitles" hidden="1">#REF!</definedName>
    <definedName name="Z_128D8F34_9864_4F93_98E2_12587B58B6EC_.wvu.Cols" hidden="1">'[11]IS Detail-budget run1_ Updated'!#REF!,'[11]IS Detail-budget run1_ Updated'!#REF!,'[11]IS Detail-budget run1_ Updated'!$E$1:$G$65536,'[11]IS Detail-budget run1_ Updated'!#REF!,'[11]IS Detail-budget run1_ Updated'!#REF!</definedName>
    <definedName name="Z_128D8F34_9864_4F93_98E2_12587B58B6EC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47939A2C_A55D_46B4_84FB_3CD5372CD5C0_.wvu.Cols" hidden="1">'[11]IS Detail-budget run1_ Updated'!#REF!,'[11]IS Detail-budget run1_ Updated'!$E$1:$N$65536,'[11]IS Detail-budget run1_ Updated'!#REF!</definedName>
    <definedName name="Z_47939A2C_A55D_46B4_84FB_3CD5372CD5C0_.wvu.Rows" hidden="1">'[11]IS Detail-budget run1_ Updated'!$A$33:$IV$43,'[11]IS Detail-budget run1_ Updated'!$A$47:$IV$49,'[11]IS Detail-budget run1_ Updated'!$A$51:$IV$53,'[11]IS Detail-budget run1_ Updated'!$A$55:$IV$57,'[11]IS Detail-budget run1_ Updated'!$A$59:$IV$61,'[11]IS Detail-budget run1_ Updated'!$A$63:$IV$65,'[11]IS Detail-budget run1_ Updated'!$A$67:$IV$69,'[11]IS Detail-budget run1_ Updated'!$A$71:$IV$73,'[11]IS Detail-budget run1_ Updated'!$A$75:$IV$78,'[11]IS Detail-budget run1_ Updated'!$A$82:$IV$86,'[11]IS Detail-budget run1_ Updated'!$A$90:$IV$94,'[11]IS Detail-budget run1_ Updated'!$A$101:$IV$105,'[11]IS Detail-budget run1_ Updated'!$A$120:$IV$120,'[11]IS Detail-budget run1_ Updated'!$A$158:$IV$168,'[11]IS Detail-budget run1_ Updated'!$A$176:$IV$176,'[11]IS Detail-budget run1_ Updated'!#REF!,'[11]IS Detail-budget run1_ Updated'!#REF!,'[11]IS Detail-budget run1_ Updated'!$A$208:$IV$211,'[11]IS Detail-budget run1_ Updated'!#REF!,'[11]IS Detail-budget run1_ Updated'!#REF!,'[11]IS Detail-budget run1_ Updated'!#REF!,'[11]IS Detail-budget run1_ Updated'!#REF!,'[11]IS Detail-budget run1_ Updated'!#REF!,'[11]IS Detail-budget run1_ Updated'!#REF!,'[11]IS Detail-budget run1_ Updated'!$A$215:$IV$215</definedName>
    <definedName name="Z_75267AA9_531D_11D4_AA58_0000F6785B90_.wvu.PrintArea" hidden="1">#REF!</definedName>
    <definedName name="Z_87C0A393_8FDF_11D0_B43D_0000F62B346E_.wvu.Cols" hidden="1">[10]EndNotes!$E$1:$E$65536,[10]EndNotes!#REF!,[10]EndNotes!$K$1:$K$65536,[10]EndNotes!$N$1:$N$65536,[10]EndNotes!$Q$1:$Q$65536</definedName>
    <definedName name="Z_919A0F12_8EB4_11D0_B43A_0000F62B346E_.wvu.Cols" hidden="1">[10]EndNotes!$E$1:$E$65536,[10]EndNotes!#REF!,[10]EndNotes!$K$1:$K$65536,[10]EndNotes!$N$1:$N$65536,[10]EndNotes!$Q$1:$Q$65536</definedName>
    <definedName name="Z_9B47E6EA_A5DE_11D0_B453_0000F62B346E_.wvu.Cols" hidden="1">[10]EndNotes!$E$1:$E$65536,[10]EndNotes!#REF!,[10]EndNotes!$K$1:$K$65536,[10]EndNotes!$N$1:$N$65536,[10]EndNotes!$Q$1:$Q$65536</definedName>
    <definedName name="Z_AB4E8A99_200A_11D4_AA58_0000F685A907_.wvu.Cols" hidden="1">#REF!</definedName>
    <definedName name="Z_AB4E8A99_200A_11D4_AA58_0000F685A907_.wvu.PrintArea" hidden="1">#REF!</definedName>
    <definedName name="Z_BE5CA973_A6A8_11D0_B454_0000F62B346E_.wvu.Cols" hidden="1">[10]EndNotes!$E$1:$E$65536,[10]EndNotes!#REF!,[10]EndNotes!$K$1:$K$65536,[10]EndNotes!$N$1:$N$65536,[10]EndNotes!$Q$1:$Q$65536</definedName>
    <definedName name="Z_BE5CA977_A6A8_11D0_B454_0000F62B346E_.wvu.Cols" hidden="1">[10]EndNotes!$E$1:$E$65536,[10]EndNotes!#REF!,[10]EndNotes!$K$1:$K$65536,[10]EndNotes!$N$1:$N$65536,[10]EndNotes!$Q$1:$Q$65536</definedName>
    <definedName name="Z_CD3E4CF3_A54F_11D0_B452_0000F62B346E_.wvu.Cols" hidden="1">[10]EndNotes!$E$1:$E$65536,[10]EndNotes!#REF!,[10]EndNotes!$K$1:$K$65536,[10]EndNotes!$N$1:$N$65536,[10]EndNotes!$Q$1:$Q$65536</definedName>
    <definedName name="zcvqa" localSheetId="7" hidden="1">{#N/A,#N/A,FALSE,"AD_Purchase";#N/A,#N/A,FALSE,"Credit";#N/A,#N/A,FALSE,"PF Acquisition";#N/A,#N/A,FALSE,"PF Offering"}</definedName>
    <definedName name="zcvqa" hidden="1">{#N/A,#N/A,FALSE,"AD_Purchase";#N/A,#N/A,FALSE,"Credit";#N/A,#N/A,FALSE,"PF Acquisition";#N/A,#N/A,FALSE,"PF Offering"}</definedName>
    <definedName name="zcvzaa" localSheetId="7" hidden="1">{#N/A,#N/A,FALSE,"Debt Accr";#N/A,#N/A,FALSE,"Stock Accr";#N/A,#N/A,FALSE,"Debt Stock Accr"}</definedName>
    <definedName name="zcvzaa" hidden="1">{#N/A,#N/A,FALSE,"Debt Accr";#N/A,#N/A,FALSE,"Stock Accr";#N/A,#N/A,FALSE,"Debt Stock Accr"}</definedName>
    <definedName name="zcxzxva" localSheetId="7" hidden="1">{#N/A,#N/A,FALSE,"HuscoCombined-Summ";#N/A,#N/A,FALSE,"HuscoCombined-Income";#N/A,#N/A,FALSE,"HuscoCombined-Offering";#N/A,#N/A,FALSE,"Husco-Income";#N/A,#N/A,FALSE,"TargetEngineer";#N/A,#N/A,FALSE,"TargetAcqCalc";#N/A,#N/A,FALSE,"Husco-Acq"}</definedName>
    <definedName name="zcxzxva" hidden="1">{#N/A,#N/A,FALSE,"HuscoCombined-Summ";#N/A,#N/A,FALSE,"HuscoCombined-Income";#N/A,#N/A,FALSE,"HuscoCombined-Offering";#N/A,#N/A,FALSE,"Husco-Income";#N/A,#N/A,FALSE,"TargetEngineer";#N/A,#N/A,FALSE,"TargetAcqCalc";#N/A,#N/A,FALSE,"Husco-Acq"}</definedName>
    <definedName name="zdcgsdfgsdf" hidden="1">'[3]Variance Sum '!#REF!</definedName>
    <definedName name="Zortnew" localSheetId="7" hidden="1">{"p1TOC",#N/A,FALSE,"DCF_Summary";"p23summary",#N/A,FALSE,"DCF_Summary";"p4contact",#N/A,FALSE,"Contact Lake";"p5kumtor",#N/A,FALSE,"Kumtor";#N/A,#N/A,FALSE,"CCAU_NAV";"p8compdata",#N/A,FALSE,"Gold_Comps";#N/A,#N/A,FALSE,"Comp_Valuation"}</definedName>
    <definedName name="Zortnew" hidden="1">{"p1TOC",#N/A,FALSE,"DCF_Summary";"p23summary",#N/A,FALSE,"DCF_Summary";"p4contact",#N/A,FALSE,"Contact Lake";"p5kumtor",#N/A,FALSE,"Kumtor";#N/A,#N/A,FALSE,"CCAU_NAV";"p8compdata",#N/A,FALSE,"Gold_Comps";#N/A,#N/A,FALSE,"Comp_Valuation"}</definedName>
    <definedName name="zscz" localSheetId="7" hidden="1">{#N/A,#N/A,FALSE,"Pooling";#N/A,#N/A,FALSE,"income";#N/A,#N/A,FALSE,"valuation"}</definedName>
    <definedName name="zscz" hidden="1">{#N/A,#N/A,FALSE,"Pooling";#N/A,#N/A,FALSE,"income";#N/A,#N/A,FALSE,"valuation"}</definedName>
    <definedName name="zx" localSheetId="7" hidden="1">{#N/A,#N/A,FALSE,"AD_Purchase";#N/A,#N/A,FALSE,"Credit";#N/A,#N/A,FALSE,"PF Acquisition";#N/A,#N/A,FALSE,"PF Offering"}</definedName>
    <definedName name="zx" hidden="1">{#N/A,#N/A,FALSE,"AD_Purchase";#N/A,#N/A,FALSE,"Credit";#N/A,#N/A,FALSE,"PF Acquisition";#N/A,#N/A,FALSE,"PF Offering"}</definedName>
    <definedName name="zxcc" localSheetId="7" hidden="1">{#N/A,#N/A,FALSE,"Projections";#N/A,#N/A,FALSE,"Contribution_Stock";#N/A,#N/A,FALSE,"PF_Combo_Stock";#N/A,#N/A,FALSE,"Projections";#N/A,#N/A,FALSE,"Contribution_Cash";#N/A,#N/A,FALSE,"PF_Combo_Cash";#N/A,#N/A,FALSE,"IPO_Cash"}</definedName>
    <definedName name="zxcc" hidden="1">{#N/A,#N/A,FALSE,"Projections";#N/A,#N/A,FALSE,"Contribution_Stock";#N/A,#N/A,FALSE,"PF_Combo_Stock";#N/A,#N/A,FALSE,"Projections";#N/A,#N/A,FALSE,"Contribution_Cash";#N/A,#N/A,FALSE,"PF_Combo_Cash";#N/A,#N/A,FALSE,"IPO_Cash"}</definedName>
    <definedName name="ぁ" localSheetId="7" hidden="1">{"'下期集計（10.27迄・速報値）'!$Q$16"}</definedName>
    <definedName name="ぁ" hidden="1">{"'下期集計（10.27迄・速報値）'!$Q$16"}</definedName>
    <definedName name="あ" localSheetId="7" hidden="1">{"'下期集計（10.27迄・速報値）'!$Q$16"}</definedName>
    <definedName name="あ" hidden="1">{"'下期集計（10.27迄・速報値）'!$Q$16"}</definedName>
    <definedName name="あああ" localSheetId="7" hidden="1">{"'下期集計（10.27迄・速報値）'!$Q$16"}</definedName>
    <definedName name="あああ" hidden="1">{"'下期集計（10.27迄・速報値）'!$Q$16"}</definedName>
    <definedName name="なんで" localSheetId="7" hidden="1">{"'下期集計（10.27迄・速報値）'!$Q$16"}</definedName>
    <definedName name="なんで" hidden="1">{"'下期集計（10.27迄・速報値）'!$Q$16"}</definedName>
    <definedName name="なんなの" localSheetId="7" hidden="1">{"'下期集計（10.27迄・速報値）'!$Q$16"}</definedName>
    <definedName name="なんなの" hidden="1">{"'下期集計（10.27迄・速報値）'!$Q$16"}</definedName>
    <definedName name="경영" localSheetId="7" hidden="1">{"'Sheet1'!$A$1:$H$36"}</definedName>
    <definedName name="경영" hidden="1">{"'Sheet1'!$A$1:$H$36"}</definedName>
    <definedName name="급여1" hidden="1">#REF!</definedName>
    <definedName name="ㅁㅁ" hidden="1">[24]FAB별!#REF!</definedName>
    <definedName name="수정4월25일" localSheetId="7" hidden="1">{"'Sheet1'!$A$1:$H$36"}</definedName>
    <definedName name="수정4월25일" hidden="1">{"'Sheet1'!$A$1:$H$36"}</definedName>
    <definedName name="이" hidden="1">#REF!</definedName>
    <definedName name="전산장비" localSheetId="7" hidden="1">{"'Sheet1'!$A$1:$H$36"}</definedName>
    <definedName name="전산장비" hidden="1">{"'Sheet1'!$A$1:$H$36"}</definedName>
    <definedName name="청" hidden="1">#REF!</definedName>
    <definedName name="표지2" hidden="1">0</definedName>
    <definedName name="年間収支買掛" localSheetId="7" hidden="1">{"'下期集計（10.27迄・速報値）'!$Q$16"}</definedName>
    <definedName name="年間収支買掛" hidden="1">{"'下期集計（10.27迄・速報値）'!$Q$16"}</definedName>
    <definedName name="年間資金収支あ" localSheetId="7" hidden="1">{"'下期集計（10.27迄・速報値）'!$Q$16"}</definedName>
    <definedName name="年間資金収支あ" hidden="1">{"'下期集計（10.27迄・速報値）'!$Q$16"}</definedName>
    <definedName name="日繰06" localSheetId="7" hidden="1">{"'下期集計（10.27迄・速報値）'!$Q$16"}</definedName>
    <definedName name="日繰06" hidden="1">{"'下期集計（10.27迄・速報値）'!$Q$16"}</definedName>
    <definedName name="要処理資産②" localSheetId="7" hidden="1">{"'下期集計（10.27迄・速報値）'!$Q$16"}</definedName>
    <definedName name="要処理資産②" hidden="1">{"'下期集計（10.27迄・速報値）'!$Q$16"}</definedName>
    <definedName name="資金" localSheetId="7" hidden="1">{"'下期集計（10.27迄・速報値）'!$Q$16"}</definedName>
    <definedName name="資金" hidden="1">{"'下期集計（10.27迄・速報値）'!$Q$16"}</definedName>
    <definedName name="金利体系" localSheetId="7" hidden="1">{"'下期集計（10.27迄・速報値）'!$Q$16"}</definedName>
    <definedName name="金利体系" hidden="1">{"'下期集計（10.27迄・速報値）'!$Q$16"}</definedName>
    <definedName name="関連" localSheetId="7" hidden="1">{"'下期集計（10.27迄・速報値）'!$Q$16"}</definedName>
    <definedName name="関連" hidden="1">{"'下期集計（10.27迄・速報値）'!$Q$16"}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7" l="1"/>
  <c r="CU45" i="1"/>
  <c r="CV45" i="1" s="1"/>
  <c r="CS73" i="1"/>
  <c r="CQ10" i="1"/>
  <c r="CR73" i="1"/>
  <c r="CQ21" i="4"/>
  <c r="CQ31" i="4"/>
  <c r="D13" i="15"/>
  <c r="D10" i="15"/>
  <c r="CR26" i="4" l="1"/>
  <c r="CM26" i="4"/>
  <c r="CQ56" i="1"/>
  <c r="CQ27" i="1"/>
  <c r="CQ28" i="1" s="1"/>
  <c r="CQ29" i="1"/>
  <c r="CQ25" i="1"/>
  <c r="CQ26" i="1" s="1"/>
  <c r="CQ20" i="1"/>
  <c r="CQ21" i="1" s="1"/>
  <c r="CQ50" i="1"/>
  <c r="E5" i="21"/>
  <c r="CQ17" i="2"/>
  <c r="CQ54" i="4"/>
  <c r="CQ27" i="4"/>
  <c r="CQ26" i="4"/>
  <c r="CQ13" i="4"/>
  <c r="CQ12" i="4"/>
  <c r="CQ11" i="4"/>
  <c r="CR10" i="4"/>
  <c r="CQ7" i="4"/>
  <c r="CQ6" i="4"/>
  <c r="CQ5" i="4"/>
  <c r="CR4" i="4"/>
  <c r="CR3" i="4"/>
  <c r="CR22" i="4" s="1"/>
  <c r="CQ3" i="4"/>
  <c r="CQ22" i="4" s="1"/>
  <c r="CW8" i="3"/>
  <c r="CQ57" i="3"/>
  <c r="CQ55" i="3"/>
  <c r="CQ54" i="3"/>
  <c r="CQ53" i="3"/>
  <c r="CQ52" i="3"/>
  <c r="CQ51" i="3"/>
  <c r="CQ50" i="3"/>
  <c r="CQ48" i="3"/>
  <c r="CQ47" i="3"/>
  <c r="CQ46" i="3"/>
  <c r="CQ45" i="3"/>
  <c r="CR58" i="3"/>
  <c r="CQ43" i="3"/>
  <c r="CR37" i="3"/>
  <c r="CQ36" i="3"/>
  <c r="CQ35" i="3"/>
  <c r="CR29" i="3"/>
  <c r="CQ24" i="3"/>
  <c r="CQ22" i="3"/>
  <c r="CQ16" i="3"/>
  <c r="CQ15" i="3"/>
  <c r="CQ13" i="3"/>
  <c r="CQ12" i="3"/>
  <c r="CQ8" i="3"/>
  <c r="CR4" i="3"/>
  <c r="CQ4" i="3"/>
  <c r="CQ65" i="2"/>
  <c r="CQ63" i="2"/>
  <c r="CQ62" i="2"/>
  <c r="CQ61" i="2"/>
  <c r="CQ60" i="2"/>
  <c r="CQ59" i="2"/>
  <c r="CQ57" i="2"/>
  <c r="CQ56" i="2"/>
  <c r="CQ55" i="2"/>
  <c r="CQ53" i="2"/>
  <c r="CQ52" i="2"/>
  <c r="CQ48" i="2"/>
  <c r="CQ46" i="2"/>
  <c r="CQ31" i="2"/>
  <c r="CQ40" i="2" s="1"/>
  <c r="CQ11" i="2"/>
  <c r="CQ4" i="2"/>
  <c r="CP75" i="1"/>
  <c r="CQ40" i="1"/>
  <c r="CQ38" i="1"/>
  <c r="CQ6" i="1"/>
  <c r="CQ5" i="1"/>
  <c r="CQ13" i="1"/>
  <c r="CQ16" i="1"/>
  <c r="CQ46" i="1" l="1"/>
  <c r="CR39" i="3"/>
  <c r="CQ18" i="2"/>
  <c r="CQ42" i="2" s="1"/>
  <c r="CQ44" i="2" s="1"/>
  <c r="CQ33" i="4"/>
  <c r="CR33" i="4"/>
  <c r="CR62" i="3"/>
  <c r="CQ31" i="1"/>
  <c r="CQ33" i="1" s="1"/>
  <c r="CQ22" i="1"/>
  <c r="CQ30" i="1"/>
  <c r="CO2" i="4"/>
  <c r="CQ42" i="1" l="1"/>
  <c r="CQ34" i="1"/>
  <c r="CQ55" i="1"/>
  <c r="BN12" i="22"/>
  <c r="BN13" i="22"/>
  <c r="D37" i="6"/>
  <c r="D33" i="6"/>
  <c r="D25" i="6"/>
  <c r="D6" i="6"/>
  <c r="D5" i="6"/>
  <c r="G37" i="6"/>
  <c r="G33" i="6"/>
  <c r="G6" i="6"/>
  <c r="G5" i="6"/>
  <c r="K5" i="6"/>
  <c r="CQ58" i="1" l="1"/>
  <c r="CQ57" i="1"/>
  <c r="CQ43" i="1"/>
  <c r="CQ61" i="1"/>
  <c r="D17" i="15"/>
  <c r="E17" i="15"/>
  <c r="F17" i="15"/>
  <c r="G17" i="15"/>
  <c r="H17" i="15"/>
  <c r="I17" i="15"/>
  <c r="J17" i="15"/>
  <c r="K17" i="15"/>
  <c r="L17" i="15"/>
  <c r="M17" i="15"/>
  <c r="N17" i="15"/>
  <c r="O17" i="15"/>
  <c r="P17" i="15"/>
  <c r="Q17" i="15"/>
  <c r="R17" i="15"/>
  <c r="S17" i="15"/>
  <c r="T17" i="15"/>
  <c r="U17" i="15"/>
  <c r="V17" i="15"/>
  <c r="W17" i="15"/>
  <c r="X17" i="15"/>
  <c r="Y17" i="15"/>
  <c r="Z17" i="15"/>
  <c r="AA17" i="15"/>
  <c r="AB17" i="15"/>
  <c r="CQ64" i="1" l="1"/>
  <c r="CQ63" i="1"/>
  <c r="CQ67" i="1"/>
  <c r="CQ59" i="1"/>
  <c r="H7" i="25"/>
  <c r="F9" i="25"/>
  <c r="G9" i="25"/>
  <c r="H9" i="25" s="1"/>
  <c r="H10" i="25" s="1"/>
  <c r="CQ65" i="1" l="1"/>
  <c r="CQ69" i="1"/>
  <c r="H8" i="25"/>
  <c r="K8" i="25" s="1"/>
  <c r="CP21" i="4" l="1"/>
  <c r="CS16" i="1"/>
  <c r="CP16" i="1"/>
  <c r="K37" i="6"/>
  <c r="BI4" i="4"/>
  <c r="BI10" i="4"/>
  <c r="CN15" i="4"/>
  <c r="CO15" i="4"/>
  <c r="CP15" i="4"/>
  <c r="CQ15" i="4" s="1"/>
  <c r="AU9" i="4"/>
  <c r="BG14" i="4"/>
  <c r="CP13" i="4"/>
  <c r="CO13" i="4"/>
  <c r="CN13" i="4"/>
  <c r="CL13" i="4"/>
  <c r="CQ14" i="4" s="1"/>
  <c r="CK13" i="4"/>
  <c r="CJ13" i="4"/>
  <c r="CI13" i="4"/>
  <c r="CG13" i="4"/>
  <c r="CF13" i="4"/>
  <c r="CE13" i="4"/>
  <c r="CD13" i="4"/>
  <c r="CB13" i="4"/>
  <c r="CA13" i="4"/>
  <c r="BZ13" i="4"/>
  <c r="BY13" i="4"/>
  <c r="BW13" i="4"/>
  <c r="BW14" i="4" s="1"/>
  <c r="BV13" i="4"/>
  <c r="BU13" i="4"/>
  <c r="BT13" i="4"/>
  <c r="BR13" i="4"/>
  <c r="BR14" i="4" s="1"/>
  <c r="BQ13" i="4"/>
  <c r="BP13" i="4"/>
  <c r="BO13" i="4"/>
  <c r="BM13" i="4"/>
  <c r="BM14" i="4" s="1"/>
  <c r="BL13" i="4"/>
  <c r="BK13" i="4"/>
  <c r="BJ13" i="4"/>
  <c r="BH13" i="4"/>
  <c r="BG13" i="4"/>
  <c r="BF13" i="4"/>
  <c r="BE13" i="4"/>
  <c r="BC13" i="4"/>
  <c r="BB13" i="4"/>
  <c r="BA13" i="4"/>
  <c r="AZ13" i="4"/>
  <c r="AX13" i="4"/>
  <c r="BC14" i="4" s="1"/>
  <c r="AW13" i="4"/>
  <c r="AV13" i="4"/>
  <c r="AU13" i="4"/>
  <c r="AS13" i="4"/>
  <c r="AR13" i="4"/>
  <c r="AQ13" i="4"/>
  <c r="AP13" i="4"/>
  <c r="AN13" i="4"/>
  <c r="AM13" i="4"/>
  <c r="AL13" i="4"/>
  <c r="AK13" i="4"/>
  <c r="AI13" i="4"/>
  <c r="AN14" i="4" s="1"/>
  <c r="AH13" i="4"/>
  <c r="AG13" i="4"/>
  <c r="AF13" i="4"/>
  <c r="AD13" i="4"/>
  <c r="AC13" i="4"/>
  <c r="AB13" i="4"/>
  <c r="AA13" i="4"/>
  <c r="Y13" i="4"/>
  <c r="X13" i="4"/>
  <c r="W13" i="4"/>
  <c r="V13" i="4"/>
  <c r="T13" i="4"/>
  <c r="S13" i="4"/>
  <c r="R13" i="4"/>
  <c r="Q13" i="4"/>
  <c r="O13" i="4"/>
  <c r="N13" i="4"/>
  <c r="L13" i="4"/>
  <c r="CP12" i="4"/>
  <c r="CO12" i="4"/>
  <c r="CN12" i="4"/>
  <c r="CL12" i="4"/>
  <c r="CK12" i="4"/>
  <c r="CJ12" i="4"/>
  <c r="CI12" i="4"/>
  <c r="CG12" i="4"/>
  <c r="CF12" i="4"/>
  <c r="CE12" i="4"/>
  <c r="CD12" i="4"/>
  <c r="CB12" i="4"/>
  <c r="CA12" i="4"/>
  <c r="BZ12" i="4"/>
  <c r="BY12" i="4"/>
  <c r="BW12" i="4"/>
  <c r="BV12" i="4"/>
  <c r="BU12" i="4"/>
  <c r="BT12" i="4"/>
  <c r="BR12" i="4"/>
  <c r="BQ12" i="4"/>
  <c r="BP12" i="4"/>
  <c r="BO12" i="4"/>
  <c r="BM12" i="4"/>
  <c r="BL12" i="4"/>
  <c r="BK12" i="4"/>
  <c r="BJ12" i="4"/>
  <c r="BE12" i="4"/>
  <c r="BF14" i="4" s="1"/>
  <c r="BC12" i="4"/>
  <c r="BB12" i="4"/>
  <c r="BA12" i="4"/>
  <c r="AZ12" i="4"/>
  <c r="AX12" i="4"/>
  <c r="AW12" i="4"/>
  <c r="AV12" i="4"/>
  <c r="AU12" i="4"/>
  <c r="AS12" i="4"/>
  <c r="AR12" i="4"/>
  <c r="AQ12" i="4"/>
  <c r="AP12" i="4"/>
  <c r="AN12" i="4"/>
  <c r="AM12" i="4"/>
  <c r="AL12" i="4"/>
  <c r="AK12" i="4"/>
  <c r="AI12" i="4"/>
  <c r="AH12" i="4"/>
  <c r="AG12" i="4"/>
  <c r="AF12" i="4"/>
  <c r="AD12" i="4"/>
  <c r="AC12" i="4"/>
  <c r="AB12" i="4"/>
  <c r="AA12" i="4"/>
  <c r="Y12" i="4"/>
  <c r="X12" i="4"/>
  <c r="W12" i="4"/>
  <c r="V12" i="4"/>
  <c r="T12" i="4"/>
  <c r="S12" i="4"/>
  <c r="R12" i="4"/>
  <c r="Q12" i="4"/>
  <c r="P12" i="4"/>
  <c r="O12" i="4"/>
  <c r="L12" i="4"/>
  <c r="J12" i="4"/>
  <c r="I12" i="4"/>
  <c r="H12" i="4"/>
  <c r="G12" i="4"/>
  <c r="CP11" i="4"/>
  <c r="CO11" i="4"/>
  <c r="CN11" i="4"/>
  <c r="CL11" i="4"/>
  <c r="CK11" i="4"/>
  <c r="CJ11" i="4"/>
  <c r="CI11" i="4"/>
  <c r="CG11" i="4"/>
  <c r="CF11" i="4"/>
  <c r="CE11" i="4"/>
  <c r="CD11" i="4"/>
  <c r="CB11" i="4"/>
  <c r="CA11" i="4"/>
  <c r="BZ11" i="4"/>
  <c r="BY11" i="4"/>
  <c r="BW11" i="4"/>
  <c r="BV11" i="4"/>
  <c r="BU11" i="4"/>
  <c r="BT11" i="4"/>
  <c r="BR11" i="4"/>
  <c r="BQ11" i="4"/>
  <c r="BP11" i="4"/>
  <c r="BO11" i="4"/>
  <c r="BM11" i="4"/>
  <c r="BL11" i="4"/>
  <c r="BK11" i="4"/>
  <c r="BJ11" i="4"/>
  <c r="BH11" i="4"/>
  <c r="BG11" i="4"/>
  <c r="BF11" i="4"/>
  <c r="BE11" i="4"/>
  <c r="BC11" i="4"/>
  <c r="BB11" i="4"/>
  <c r="BA11" i="4"/>
  <c r="AZ11" i="4"/>
  <c r="AX11" i="4"/>
  <c r="AW11" i="4"/>
  <c r="AV11" i="4"/>
  <c r="AU11" i="4"/>
  <c r="AS11" i="4"/>
  <c r="AR11" i="4"/>
  <c r="AQ11" i="4"/>
  <c r="AP11" i="4"/>
  <c r="AN11" i="4"/>
  <c r="AM11" i="4"/>
  <c r="AL11" i="4"/>
  <c r="AK11" i="4"/>
  <c r="AI11" i="4"/>
  <c r="AH11" i="4"/>
  <c r="AG11" i="4"/>
  <c r="AF11" i="4"/>
  <c r="AD11" i="4"/>
  <c r="AC11" i="4"/>
  <c r="AB11" i="4"/>
  <c r="AA11" i="4"/>
  <c r="Y11" i="4"/>
  <c r="X11" i="4"/>
  <c r="W11" i="4"/>
  <c r="V11" i="4"/>
  <c r="T11" i="4"/>
  <c r="S11" i="4"/>
  <c r="Q11" i="4"/>
  <c r="P11" i="4"/>
  <c r="O11" i="4"/>
  <c r="N11" i="4"/>
  <c r="L11" i="4"/>
  <c r="CM10" i="4"/>
  <c r="CR11" i="4" s="1"/>
  <c r="CH10" i="4"/>
  <c r="CC10" i="4"/>
  <c r="BX10" i="4"/>
  <c r="BS10" i="4"/>
  <c r="BN10" i="4"/>
  <c r="M10" i="4"/>
  <c r="M13" i="4" s="1"/>
  <c r="CP56" i="1"/>
  <c r="G29" i="6" s="1"/>
  <c r="CP25" i="1"/>
  <c r="G12" i="6" s="1"/>
  <c r="CP26" i="1"/>
  <c r="CP29" i="1"/>
  <c r="CP27" i="1"/>
  <c r="CP20" i="1"/>
  <c r="G7" i="6" s="1"/>
  <c r="CP10" i="1"/>
  <c r="CP18" i="1" s="1"/>
  <c r="CO18" i="4" l="1"/>
  <c r="BS13" i="4"/>
  <c r="CR15" i="4"/>
  <c r="CQ17" i="4"/>
  <c r="CQ18" i="4"/>
  <c r="AH14" i="4"/>
  <c r="AW14" i="4"/>
  <c r="CA14" i="4"/>
  <c r="CP14" i="4"/>
  <c r="CR13" i="4"/>
  <c r="CR14" i="4" s="1"/>
  <c r="BI13" i="4"/>
  <c r="BS11" i="4"/>
  <c r="AA14" i="4"/>
  <c r="AP14" i="4"/>
  <c r="BE14" i="4"/>
  <c r="CH11" i="4"/>
  <c r="CP28" i="1"/>
  <c r="G13" i="6"/>
  <c r="CP30" i="1"/>
  <c r="G14" i="6"/>
  <c r="AX14" i="4"/>
  <c r="CC13" i="4"/>
  <c r="AD14" i="4"/>
  <c r="AF14" i="4"/>
  <c r="AU14" i="4"/>
  <c r="BJ14" i="4"/>
  <c r="AG14" i="4"/>
  <c r="AV14" i="4"/>
  <c r="BK14" i="4"/>
  <c r="CE14" i="4"/>
  <c r="AM14" i="4"/>
  <c r="BB14" i="4"/>
  <c r="AB14" i="4"/>
  <c r="AQ14" i="4"/>
  <c r="CP14" i="1"/>
  <c r="CN18" i="4"/>
  <c r="CO17" i="4"/>
  <c r="CP17" i="4"/>
  <c r="CP18" i="4"/>
  <c r="BL14" i="4"/>
  <c r="BN11" i="4"/>
  <c r="BX11" i="4"/>
  <c r="CC11" i="4"/>
  <c r="CM11" i="4"/>
  <c r="CH13" i="4"/>
  <c r="M11" i="4"/>
  <c r="CG14" i="4"/>
  <c r="BY14" i="4"/>
  <c r="CI14" i="4"/>
  <c r="BZ14" i="4"/>
  <c r="CJ14" i="4"/>
  <c r="CK14" i="4"/>
  <c r="CL14" i="4"/>
  <c r="BX13" i="4"/>
  <c r="BX14" i="4" s="1"/>
  <c r="R11" i="4"/>
  <c r="CD14" i="4"/>
  <c r="BN13" i="4"/>
  <c r="CF14" i="4"/>
  <c r="AC14" i="4"/>
  <c r="BU14" i="4"/>
  <c r="AI14" i="4"/>
  <c r="N12" i="4"/>
  <c r="AZ14" i="4"/>
  <c r="BO14" i="4"/>
  <c r="BA14" i="4"/>
  <c r="CB14" i="4"/>
  <c r="BQ14" i="4"/>
  <c r="CM13" i="4"/>
  <c r="BT14" i="4"/>
  <c r="AR14" i="4"/>
  <c r="AS14" i="4"/>
  <c r="BV14" i="4"/>
  <c r="M12" i="4"/>
  <c r="AK14" i="4"/>
  <c r="AL14" i="4"/>
  <c r="BP14" i="4"/>
  <c r="CO14" i="4"/>
  <c r="CP46" i="1"/>
  <c r="CP60" i="3"/>
  <c r="CQ60" i="3" s="1"/>
  <c r="CP56" i="3"/>
  <c r="CQ56" i="3" s="1"/>
  <c r="CP49" i="3"/>
  <c r="CQ49" i="3" s="1"/>
  <c r="CP44" i="3"/>
  <c r="CQ44" i="3" s="1"/>
  <c r="CP34" i="3"/>
  <c r="CQ34" i="3" s="1"/>
  <c r="CP33" i="3"/>
  <c r="CQ33" i="3" s="1"/>
  <c r="CP7" i="3"/>
  <c r="CQ7" i="3" s="1"/>
  <c r="CP27" i="3"/>
  <c r="CQ27" i="3" s="1"/>
  <c r="CP23" i="3"/>
  <c r="CQ23" i="3" s="1"/>
  <c r="CP28" i="3"/>
  <c r="CQ28" i="3" s="1"/>
  <c r="CP25" i="3"/>
  <c r="CQ25" i="3" s="1"/>
  <c r="CP21" i="3"/>
  <c r="CQ21" i="3" s="1"/>
  <c r="CP19" i="3"/>
  <c r="CQ19" i="3" s="1"/>
  <c r="CP20" i="3"/>
  <c r="CQ20" i="3" s="1"/>
  <c r="CP18" i="3"/>
  <c r="CQ18" i="3" s="1"/>
  <c r="CP17" i="3"/>
  <c r="CQ17" i="3" s="1"/>
  <c r="CP14" i="3"/>
  <c r="CQ14" i="3" s="1"/>
  <c r="CP11" i="3"/>
  <c r="CQ11" i="3" s="1"/>
  <c r="CP10" i="3"/>
  <c r="CQ10" i="3" s="1"/>
  <c r="CP9" i="3"/>
  <c r="CP17" i="2"/>
  <c r="CQ37" i="3" l="1"/>
  <c r="CQ58" i="3"/>
  <c r="CP68" i="3"/>
  <c r="CQ9" i="3"/>
  <c r="CH14" i="4"/>
  <c r="CM14" i="4"/>
  <c r="BN14" i="4"/>
  <c r="CC14" i="4"/>
  <c r="BS14" i="4"/>
  <c r="AG17" i="3"/>
  <c r="AE17" i="3"/>
  <c r="Z17" i="3"/>
  <c r="R17" i="3"/>
  <c r="L17" i="3"/>
  <c r="CL19" i="3"/>
  <c r="CG19" i="3"/>
  <c r="CH19" i="3" s="1"/>
  <c r="CA19" i="3"/>
  <c r="CC19" i="3" s="1"/>
  <c r="BW19" i="3"/>
  <c r="BX19" i="3" s="1"/>
  <c r="BO19" i="3"/>
  <c r="BK19" i="3"/>
  <c r="BL19" i="3" s="1"/>
  <c r="BM19" i="3" s="1"/>
  <c r="BF17" i="3"/>
  <c r="BG17" i="3" s="1"/>
  <c r="BH17" i="3" s="1"/>
  <c r="BF19" i="3"/>
  <c r="BG19" i="3" s="1"/>
  <c r="BH19" i="3" s="1"/>
  <c r="BA17" i="3"/>
  <c r="BB17" i="3" s="1"/>
  <c r="BC17" i="3" s="1"/>
  <c r="BD17" i="3" s="1"/>
  <c r="AZ19" i="3"/>
  <c r="BA19" i="3" s="1"/>
  <c r="CQ68" i="3" l="1"/>
  <c r="CQ52" i="1"/>
  <c r="CQ53" i="1" s="1"/>
  <c r="BI17" i="3"/>
  <c r="S17" i="3"/>
  <c r="T17" i="3" s="1"/>
  <c r="AH17" i="3"/>
  <c r="AI17" i="3" s="1"/>
  <c r="BP19" i="3"/>
  <c r="BQ19" i="3" s="1"/>
  <c r="BR19" i="3" s="1"/>
  <c r="G7" i="21"/>
  <c r="G5" i="21"/>
  <c r="AJ17" i="3" l="1"/>
  <c r="BS19" i="3"/>
  <c r="J23" i="24"/>
  <c r="K23" i="24" s="1"/>
  <c r="J22" i="24"/>
  <c r="K22" i="24" s="1"/>
  <c r="J21" i="24"/>
  <c r="K21" i="24" s="1"/>
  <c r="J6" i="24"/>
  <c r="K6" i="24"/>
  <c r="K7" i="24" s="1"/>
  <c r="J8" i="24"/>
  <c r="J14" i="24"/>
  <c r="J11" i="24"/>
  <c r="L15" i="24"/>
  <c r="K14" i="24"/>
  <c r="K11" i="24"/>
  <c r="K8" i="24"/>
  <c r="L12" i="24"/>
  <c r="L6" i="24" l="1"/>
  <c r="L13" i="24"/>
  <c r="L9" i="24" l="1"/>
  <c r="L16" i="24"/>
  <c r="L11" i="24"/>
  <c r="L14" i="24" l="1"/>
  <c r="CO21" i="4"/>
  <c r="CO56" i="1"/>
  <c r="CO20" i="1"/>
  <c r="CO29" i="1"/>
  <c r="CO27" i="1"/>
  <c r="CO25" i="1"/>
  <c r="CO36" i="1"/>
  <c r="CO40" i="1" s="1"/>
  <c r="CO17" i="2"/>
  <c r="CO68" i="3"/>
  <c r="CO58" i="3"/>
  <c r="CO37" i="3"/>
  <c r="CO4" i="3"/>
  <c r="CO65" i="2"/>
  <c r="CO63" i="2"/>
  <c r="CO62" i="2"/>
  <c r="CO61" i="2"/>
  <c r="CO60" i="2"/>
  <c r="CO59" i="2"/>
  <c r="CO57" i="2"/>
  <c r="CO56" i="2"/>
  <c r="CO55" i="2"/>
  <c r="CO53" i="2"/>
  <c r="CO52" i="2"/>
  <c r="CO48" i="2"/>
  <c r="CO46" i="2"/>
  <c r="CO31" i="2"/>
  <c r="CO40" i="2" s="1"/>
  <c r="CO11" i="2"/>
  <c r="CO4" i="2"/>
  <c r="CO50" i="1"/>
  <c r="CO46" i="1"/>
  <c r="CO38" i="1"/>
  <c r="CO6" i="1"/>
  <c r="CO5" i="1"/>
  <c r="CO13" i="1"/>
  <c r="CO10" i="1"/>
  <c r="CO14" i="1" s="1"/>
  <c r="CO30" i="1" l="1"/>
  <c r="CO21" i="1"/>
  <c r="CO22" i="1" s="1"/>
  <c r="CO31" i="1"/>
  <c r="CO26" i="1"/>
  <c r="CO18" i="2"/>
  <c r="CO42" i="2" s="1"/>
  <c r="CO44" i="2" s="1"/>
  <c r="CO28" i="1"/>
  <c r="CO18" i="1"/>
  <c r="CO19" i="1" s="1"/>
  <c r="CO33" i="1" l="1"/>
  <c r="CO42" i="1" s="1"/>
  <c r="CO34" i="1"/>
  <c r="CO7" i="1"/>
  <c r="CO8" i="1" s="1"/>
  <c r="BS25" i="4"/>
  <c r="BX25" i="4"/>
  <c r="CC25" i="4"/>
  <c r="CM44" i="4"/>
  <c r="CO55" i="1" l="1"/>
  <c r="CO58" i="1" s="1"/>
  <c r="CO61" i="1"/>
  <c r="CO43" i="1"/>
  <c r="CW49" i="1"/>
  <c r="CW48" i="1"/>
  <c r="CW46" i="1"/>
  <c r="CW45" i="1"/>
  <c r="CV47" i="1"/>
  <c r="CU47" i="1"/>
  <c r="CT47" i="1"/>
  <c r="CS47" i="1"/>
  <c r="CO57" i="1" l="1"/>
  <c r="CW47" i="1"/>
  <c r="CO64" i="1"/>
  <c r="CO6" i="3" s="1"/>
  <c r="CO63" i="1"/>
  <c r="CO59" i="1"/>
  <c r="CO67" i="1"/>
  <c r="CN5" i="1"/>
  <c r="CR49" i="1"/>
  <c r="CR48" i="1"/>
  <c r="CR45" i="1"/>
  <c r="BI49" i="1"/>
  <c r="BI48" i="1"/>
  <c r="BI47" i="1"/>
  <c r="BI45" i="1"/>
  <c r="BN49" i="1"/>
  <c r="BN48" i="1"/>
  <c r="BN47" i="1"/>
  <c r="BN45" i="1"/>
  <c r="BS49" i="1"/>
  <c r="BS48" i="1"/>
  <c r="BS47" i="1"/>
  <c r="BS45" i="1"/>
  <c r="BX49" i="1"/>
  <c r="BX48" i="1"/>
  <c r="BX47" i="1"/>
  <c r="BX45" i="1"/>
  <c r="CC49" i="1"/>
  <c r="CC48" i="1"/>
  <c r="CC47" i="1"/>
  <c r="CC45" i="1"/>
  <c r="CH49" i="1"/>
  <c r="CH48" i="1"/>
  <c r="CH47" i="1"/>
  <c r="CH45" i="1"/>
  <c r="CM45" i="1"/>
  <c r="CM48" i="1"/>
  <c r="CM49" i="1"/>
  <c r="CM47" i="1"/>
  <c r="K25" i="6"/>
  <c r="CP47" i="1"/>
  <c r="G25" i="6" s="1"/>
  <c r="CW16" i="1"/>
  <c r="CO29" i="3" l="1"/>
  <c r="CO30" i="3" s="1"/>
  <c r="CP6" i="3"/>
  <c r="CQ6" i="3" s="1"/>
  <c r="CO65" i="1"/>
  <c r="CO69" i="1"/>
  <c r="CO52" i="1"/>
  <c r="CO53" i="1" s="1"/>
  <c r="CN56" i="1"/>
  <c r="CN29" i="1"/>
  <c r="CN27" i="1"/>
  <c r="CN25" i="1"/>
  <c r="CN20" i="1"/>
  <c r="G8" i="6" s="1"/>
  <c r="CN75" i="1"/>
  <c r="CN65" i="2"/>
  <c r="CN63" i="2"/>
  <c r="CN62" i="2"/>
  <c r="CN61" i="2"/>
  <c r="CN60" i="2"/>
  <c r="CN59" i="2"/>
  <c r="CN57" i="2"/>
  <c r="CN56" i="2"/>
  <c r="CN55" i="2"/>
  <c r="CN17" i="2"/>
  <c r="CO62" i="3" l="1"/>
  <c r="CO39" i="3"/>
  <c r="CO40" i="3" s="1"/>
  <c r="CN28" i="1"/>
  <c r="CN26" i="1"/>
  <c r="G15" i="6"/>
  <c r="G17" i="6" s="1"/>
  <c r="CN30" i="1"/>
  <c r="G9" i="6"/>
  <c r="CW60" i="3"/>
  <c r="CV58" i="3"/>
  <c r="CU58" i="3"/>
  <c r="CT58" i="3"/>
  <c r="CS58" i="3"/>
  <c r="CW56" i="3"/>
  <c r="CW54" i="3"/>
  <c r="CW53" i="3"/>
  <c r="CW52" i="3"/>
  <c r="CW51" i="3"/>
  <c r="CW50" i="3"/>
  <c r="CW49" i="3"/>
  <c r="CW48" i="3"/>
  <c r="CW47" i="3"/>
  <c r="CW46" i="3"/>
  <c r="CW45" i="3"/>
  <c r="CW44" i="3"/>
  <c r="CW43" i="3"/>
  <c r="CV37" i="3"/>
  <c r="CU37" i="3"/>
  <c r="CT37" i="3"/>
  <c r="CS37" i="3"/>
  <c r="CW36" i="3"/>
  <c r="CW35" i="3"/>
  <c r="CW34" i="3"/>
  <c r="CW33" i="3"/>
  <c r="CW27" i="3"/>
  <c r="CV26" i="3"/>
  <c r="CU26" i="3"/>
  <c r="CT26" i="3"/>
  <c r="CW24" i="3"/>
  <c r="CW22" i="3"/>
  <c r="CW17" i="3"/>
  <c r="CW16" i="3"/>
  <c r="CW15" i="3"/>
  <c r="CV14" i="3"/>
  <c r="CU14" i="3"/>
  <c r="CT14" i="3"/>
  <c r="CS14" i="3"/>
  <c r="CW13" i="3"/>
  <c r="CW12" i="3"/>
  <c r="CW11" i="3"/>
  <c r="CV10" i="3"/>
  <c r="CU10" i="3"/>
  <c r="CT10" i="3"/>
  <c r="CS10" i="3"/>
  <c r="CW7" i="3"/>
  <c r="CW4" i="3"/>
  <c r="CV4" i="3"/>
  <c r="CU4" i="3"/>
  <c r="CT4" i="3"/>
  <c r="CS4" i="3"/>
  <c r="CW43" i="2"/>
  <c r="CW41" i="2"/>
  <c r="CW39" i="2"/>
  <c r="CW37" i="2"/>
  <c r="CW36" i="2"/>
  <c r="CW35" i="2"/>
  <c r="CU32" i="2"/>
  <c r="CV32" i="2" s="1"/>
  <c r="CW32" i="2" s="1"/>
  <c r="CW30" i="2"/>
  <c r="CW27" i="2"/>
  <c r="CW23" i="2"/>
  <c r="CW22" i="2"/>
  <c r="CW21" i="2"/>
  <c r="CW4" i="2"/>
  <c r="CV4" i="2"/>
  <c r="CU4" i="2"/>
  <c r="CT4" i="2"/>
  <c r="CS4" i="2"/>
  <c r="G18" i="6" l="1"/>
  <c r="CW37" i="3"/>
  <c r="CW10" i="3"/>
  <c r="CW58" i="3"/>
  <c r="CW14" i="3"/>
  <c r="BG14" i="1"/>
  <c r="BF14" i="1"/>
  <c r="BE14" i="1"/>
  <c r="CM4" i="4"/>
  <c r="CR5" i="4" s="1"/>
  <c r="CH4" i="4"/>
  <c r="CC4" i="4"/>
  <c r="BN4" i="4"/>
  <c r="BS4" i="4"/>
  <c r="BX4" i="4"/>
  <c r="F3" i="4"/>
  <c r="G3" i="4"/>
  <c r="H3" i="4"/>
  <c r="I3" i="4"/>
  <c r="J3" i="4"/>
  <c r="K3" i="4"/>
  <c r="L3" i="4"/>
  <c r="M3" i="4"/>
  <c r="N3" i="4"/>
  <c r="O3" i="4"/>
  <c r="P3" i="4"/>
  <c r="Q3" i="4"/>
  <c r="R3" i="4"/>
  <c r="S3" i="4"/>
  <c r="T3" i="4"/>
  <c r="U3" i="4"/>
  <c r="V3" i="4"/>
  <c r="W3" i="4"/>
  <c r="X3" i="4"/>
  <c r="Y3" i="4"/>
  <c r="Z3" i="4"/>
  <c r="AA3" i="4"/>
  <c r="AB3" i="4"/>
  <c r="AC3" i="4"/>
  <c r="AD3" i="4"/>
  <c r="AE3" i="4"/>
  <c r="AF3" i="4"/>
  <c r="AG3" i="4"/>
  <c r="AH3" i="4"/>
  <c r="AI3" i="4"/>
  <c r="AJ3" i="4"/>
  <c r="AK3" i="4"/>
  <c r="AL3" i="4"/>
  <c r="AM3" i="4"/>
  <c r="AN3" i="4"/>
  <c r="AO3" i="4"/>
  <c r="AP3" i="4"/>
  <c r="AQ3" i="4"/>
  <c r="AR3" i="4"/>
  <c r="AS3" i="4"/>
  <c r="AT3" i="4"/>
  <c r="AU3" i="4"/>
  <c r="AV3" i="4"/>
  <c r="AW3" i="4"/>
  <c r="AX3" i="4"/>
  <c r="AY3" i="4"/>
  <c r="AZ3" i="4"/>
  <c r="BA3" i="4"/>
  <c r="BB3" i="4"/>
  <c r="BC3" i="4"/>
  <c r="BD3" i="4"/>
  <c r="BE3" i="4"/>
  <c r="BF3" i="4"/>
  <c r="BG3" i="4"/>
  <c r="BH3" i="4"/>
  <c r="BI3" i="4"/>
  <c r="BJ3" i="4"/>
  <c r="BK3" i="4"/>
  <c r="BL3" i="4"/>
  <c r="BM3" i="4"/>
  <c r="BN3" i="4"/>
  <c r="BO3" i="4"/>
  <c r="BP3" i="4"/>
  <c r="BQ3" i="4"/>
  <c r="BR3" i="4"/>
  <c r="BS3" i="4"/>
  <c r="BT3" i="4"/>
  <c r="BU3" i="4"/>
  <c r="BV3" i="4"/>
  <c r="BW3" i="4"/>
  <c r="BX3" i="4"/>
  <c r="BY3" i="4"/>
  <c r="BZ3" i="4"/>
  <c r="CA3" i="4"/>
  <c r="CB3" i="4"/>
  <c r="CC3" i="4"/>
  <c r="CD3" i="4"/>
  <c r="CE3" i="4"/>
  <c r="CF3" i="4"/>
  <c r="CG3" i="4"/>
  <c r="CH3" i="4"/>
  <c r="CI3" i="4"/>
  <c r="CJ3" i="4"/>
  <c r="CK3" i="4"/>
  <c r="CL3" i="4"/>
  <c r="CM3" i="4"/>
  <c r="CN3" i="4"/>
  <c r="CN33" i="4" s="1"/>
  <c r="CI60" i="4" s="1"/>
  <c r="CO3" i="4"/>
  <c r="CO33" i="4" s="1"/>
  <c r="CJ60" i="4" s="1"/>
  <c r="CP3" i="4"/>
  <c r="CP22" i="4" s="1"/>
  <c r="D4" i="2"/>
  <c r="E4" i="2"/>
  <c r="F4" i="2"/>
  <c r="G4" i="2"/>
  <c r="H4" i="2"/>
  <c r="I4" i="2"/>
  <c r="J4" i="2"/>
  <c r="K4" i="2"/>
  <c r="L4" i="2"/>
  <c r="M4" i="2"/>
  <c r="N4" i="2"/>
  <c r="O4" i="2"/>
  <c r="P4" i="2"/>
  <c r="Q4" i="2"/>
  <c r="R4" i="2"/>
  <c r="S4" i="2"/>
  <c r="T4" i="2"/>
  <c r="U4" i="2"/>
  <c r="V4" i="2"/>
  <c r="W4" i="2"/>
  <c r="X4" i="2"/>
  <c r="Y4" i="2"/>
  <c r="Z4" i="2"/>
  <c r="AA4" i="2"/>
  <c r="AB4" i="2"/>
  <c r="AC4" i="2"/>
  <c r="AD4" i="2"/>
  <c r="AE4" i="2"/>
  <c r="AF4" i="2"/>
  <c r="AG4" i="2"/>
  <c r="AH4" i="2"/>
  <c r="AI4" i="2"/>
  <c r="AJ4" i="2"/>
  <c r="AK4" i="2"/>
  <c r="AL4" i="2"/>
  <c r="AM4" i="2"/>
  <c r="AN4" i="2"/>
  <c r="AO4" i="2"/>
  <c r="AP4" i="2"/>
  <c r="AQ4" i="2"/>
  <c r="AR4" i="2"/>
  <c r="AS4" i="2"/>
  <c r="AT4" i="2"/>
  <c r="AU4" i="2"/>
  <c r="AV4" i="2"/>
  <c r="AW4" i="2"/>
  <c r="AX4" i="2"/>
  <c r="AY4" i="2"/>
  <c r="AZ4" i="2"/>
  <c r="BA4" i="2"/>
  <c r="BB4" i="2"/>
  <c r="BC4" i="2"/>
  <c r="BD4" i="2"/>
  <c r="BE4" i="2"/>
  <c r="BF4" i="2"/>
  <c r="BG4" i="2"/>
  <c r="BH4" i="2"/>
  <c r="BI4" i="2"/>
  <c r="BJ4" i="2"/>
  <c r="BK4" i="2"/>
  <c r="BL4" i="2"/>
  <c r="BM4" i="2"/>
  <c r="BN4" i="2"/>
  <c r="BO4" i="2"/>
  <c r="BP4" i="2"/>
  <c r="BQ4" i="2"/>
  <c r="BR4" i="2"/>
  <c r="BS4" i="2"/>
  <c r="BT4" i="2"/>
  <c r="BU4" i="2"/>
  <c r="BV4" i="2"/>
  <c r="BW4" i="2"/>
  <c r="BX4" i="2"/>
  <c r="BY4" i="2"/>
  <c r="BZ4" i="2"/>
  <c r="CA4" i="2"/>
  <c r="CB4" i="2"/>
  <c r="CC4" i="2"/>
  <c r="D4"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AK4" i="3"/>
  <c r="AL4" i="3"/>
  <c r="AM4" i="3"/>
  <c r="AN4" i="3"/>
  <c r="AO4" i="3"/>
  <c r="AP4" i="3"/>
  <c r="AQ4" i="3"/>
  <c r="AR4" i="3"/>
  <c r="AS4" i="3"/>
  <c r="AT4" i="3"/>
  <c r="AU4" i="3"/>
  <c r="AV4" i="3"/>
  <c r="AW4" i="3"/>
  <c r="AX4" i="3"/>
  <c r="AY4" i="3"/>
  <c r="AZ4" i="3"/>
  <c r="BA4" i="3"/>
  <c r="BB4" i="3"/>
  <c r="BC4" i="3"/>
  <c r="BD4" i="3"/>
  <c r="BE4" i="3"/>
  <c r="BF4" i="3"/>
  <c r="BG4" i="3"/>
  <c r="BH4" i="3"/>
  <c r="BI4" i="3"/>
  <c r="BJ4" i="3"/>
  <c r="BK4" i="3"/>
  <c r="BL4" i="3"/>
  <c r="BM4" i="3"/>
  <c r="BN4" i="3"/>
  <c r="BO4" i="3"/>
  <c r="BP4" i="3"/>
  <c r="BQ4" i="3"/>
  <c r="BR4" i="3"/>
  <c r="BS4" i="3"/>
  <c r="BT4" i="3"/>
  <c r="BU4" i="3"/>
  <c r="BV4" i="3"/>
  <c r="BW4" i="3"/>
  <c r="BX4" i="3"/>
  <c r="BY4" i="3"/>
  <c r="BZ4" i="3"/>
  <c r="CA4" i="3"/>
  <c r="CB4" i="3"/>
  <c r="CC4" i="3"/>
  <c r="CN16" i="1"/>
  <c r="CN14" i="1" s="1"/>
  <c r="CN15" i="1" s="1"/>
  <c r="CN40" i="1"/>
  <c r="CN46" i="1"/>
  <c r="CR46" i="1" s="1"/>
  <c r="CN50" i="1"/>
  <c r="CV50" i="1"/>
  <c r="CU50" i="1"/>
  <c r="CT50" i="1"/>
  <c r="CS50" i="1"/>
  <c r="CV40" i="1"/>
  <c r="CU40" i="1"/>
  <c r="CT40" i="1"/>
  <c r="CS40" i="1"/>
  <c r="CW39" i="1"/>
  <c r="CW37" i="1"/>
  <c r="CW36" i="1"/>
  <c r="CW18" i="1"/>
  <c r="I4" i="21"/>
  <c r="H4" i="21"/>
  <c r="CP53" i="4"/>
  <c r="CO53" i="4"/>
  <c r="CP52" i="4"/>
  <c r="CO52" i="4"/>
  <c r="CN52" i="4"/>
  <c r="CP46" i="4"/>
  <c r="CP31" i="4" s="1"/>
  <c r="CO46" i="4"/>
  <c r="CO31" i="4" s="1"/>
  <c r="CN46" i="4"/>
  <c r="CN31" i="4" s="1"/>
  <c r="CP45" i="4"/>
  <c r="CO45" i="4"/>
  <c r="CP44" i="4"/>
  <c r="CK64" i="4" s="1"/>
  <c r="CO44" i="4"/>
  <c r="CJ64" i="4" s="1"/>
  <c r="CN44" i="4"/>
  <c r="CI64" i="4" s="1"/>
  <c r="CP41" i="4"/>
  <c r="CO41" i="4"/>
  <c r="CP40" i="4"/>
  <c r="CK62" i="4" s="1"/>
  <c r="CO40" i="4"/>
  <c r="CJ62" i="4" s="1"/>
  <c r="CN40" i="4"/>
  <c r="CI62" i="4" s="1"/>
  <c r="CP37" i="4"/>
  <c r="CO37" i="4"/>
  <c r="CP36" i="4"/>
  <c r="CK61" i="4" s="1"/>
  <c r="CO36" i="4"/>
  <c r="CJ61" i="4" s="1"/>
  <c r="CN36" i="4"/>
  <c r="CI61" i="4" s="1"/>
  <c r="CP27" i="4"/>
  <c r="CO27" i="4"/>
  <c r="CN27" i="4"/>
  <c r="CP26" i="4"/>
  <c r="BM13" i="22" s="1"/>
  <c r="CO26" i="4"/>
  <c r="BL13" i="22" s="1"/>
  <c r="CN26" i="4"/>
  <c r="BK13" i="22" s="1"/>
  <c r="CP7" i="4"/>
  <c r="BM12" i="22" s="1"/>
  <c r="CO7" i="4"/>
  <c r="BL12" i="22" s="1"/>
  <c r="CN7" i="4"/>
  <c r="CP6" i="4"/>
  <c r="CO6" i="4"/>
  <c r="CN6" i="4"/>
  <c r="CP5" i="4"/>
  <c r="CO5" i="4"/>
  <c r="CN5" i="4"/>
  <c r="CN9" i="4" l="1"/>
  <c r="BK12" i="22" s="1"/>
  <c r="CR7" i="4"/>
  <c r="BN5" i="4"/>
  <c r="CN7" i="1"/>
  <c r="CN8" i="1" s="1"/>
  <c r="CW50" i="1"/>
  <c r="CP33" i="4"/>
  <c r="CK60" i="4" s="1"/>
  <c r="CH5" i="4"/>
  <c r="CO35" i="4"/>
  <c r="CN35" i="4"/>
  <c r="CC5" i="4"/>
  <c r="CM5" i="4"/>
  <c r="CW40" i="1"/>
  <c r="BX5" i="4"/>
  <c r="CN22" i="4"/>
  <c r="BS5" i="4"/>
  <c r="CO22" i="4"/>
  <c r="CP35" i="4"/>
  <c r="CN39" i="4"/>
  <c r="CP39" i="4"/>
  <c r="CO43" i="4"/>
  <c r="CO49" i="4"/>
  <c r="CP43" i="4"/>
  <c r="CP49" i="4"/>
  <c r="CO39" i="4"/>
  <c r="CN43" i="4"/>
  <c r="CL50" i="4"/>
  <c r="CN53" i="4" s="1"/>
  <c r="CL42" i="4"/>
  <c r="CL38" i="4"/>
  <c r="CM34" i="4"/>
  <c r="CN45" i="4" l="1"/>
  <c r="CL45" i="4"/>
  <c r="CN41" i="4"/>
  <c r="CM36" i="4"/>
  <c r="CN38" i="1"/>
  <c r="CN19" i="1"/>
  <c r="CN13" i="1"/>
  <c r="CN54" i="4"/>
  <c r="CN6" i="1"/>
  <c r="CL34" i="4"/>
  <c r="C25" i="24" s="1"/>
  <c r="C27" i="24" s="1"/>
  <c r="C28" i="24" s="1"/>
  <c r="AN38" i="1"/>
  <c r="AM38" i="1"/>
  <c r="AL38" i="1"/>
  <c r="AK38" i="1"/>
  <c r="AI38" i="1"/>
  <c r="AH38" i="1"/>
  <c r="AG38" i="1"/>
  <c r="AF38" i="1"/>
  <c r="AD38" i="1"/>
  <c r="AC38" i="1"/>
  <c r="AB38" i="1"/>
  <c r="AA38" i="1"/>
  <c r="Y38" i="1"/>
  <c r="X38" i="1"/>
  <c r="W38" i="1"/>
  <c r="V38" i="1"/>
  <c r="T38" i="1"/>
  <c r="S38" i="1"/>
  <c r="R38" i="1"/>
  <c r="Q38" i="1"/>
  <c r="O38" i="1"/>
  <c r="N38" i="1"/>
  <c r="M38" i="1"/>
  <c r="L38" i="1"/>
  <c r="J38" i="1"/>
  <c r="I38" i="1"/>
  <c r="H38" i="1"/>
  <c r="G38" i="1"/>
  <c r="F38" i="1"/>
  <c r="E38" i="1"/>
  <c r="D38" i="1"/>
  <c r="AY52" i="1"/>
  <c r="F46" i="1"/>
  <c r="AE52" i="1"/>
  <c r="S13" i="3"/>
  <c r="AW50" i="1"/>
  <c r="AV50" i="1"/>
  <c r="AU46" i="1"/>
  <c r="BR39" i="1"/>
  <c r="BQ39" i="1"/>
  <c r="BP39" i="1"/>
  <c r="BO39" i="1"/>
  <c r="BQ50" i="1"/>
  <c r="BO50" i="1"/>
  <c r="BR50" i="1"/>
  <c r="BR46" i="1"/>
  <c r="BQ46" i="1"/>
  <c r="BM50" i="1"/>
  <c r="AV46" i="1"/>
  <c r="AW46" i="1"/>
  <c r="BM46" i="1"/>
  <c r="CL50" i="1"/>
  <c r="D26" i="6" s="1"/>
  <c r="CL46" i="1"/>
  <c r="CN37" i="4" l="1"/>
  <c r="CN31" i="1"/>
  <c r="CN21" i="1"/>
  <c r="CN22" i="1" s="1"/>
  <c r="CN51" i="4"/>
  <c r="CN47" i="4"/>
  <c r="CN58" i="4"/>
  <c r="AP46" i="1"/>
  <c r="AP50" i="1"/>
  <c r="F50" i="1"/>
  <c r="K26" i="6"/>
  <c r="CK46" i="1"/>
  <c r="AU50" i="1"/>
  <c r="BP50" i="1"/>
  <c r="BS50" i="1" s="1"/>
  <c r="CK50" i="1"/>
  <c r="D67" i="19"/>
  <c r="E67" i="19" s="1"/>
  <c r="CN33" i="1" l="1"/>
  <c r="CN34" i="1" s="1"/>
  <c r="F67" i="19"/>
  <c r="CL54" i="4"/>
  <c r="CL17" i="2"/>
  <c r="CN56" i="4" l="1"/>
  <c r="CQ55" i="4"/>
  <c r="CT73" i="1"/>
  <c r="CU73" i="1" s="1"/>
  <c r="CV73" i="1" s="1"/>
  <c r="CW73" i="1" s="1"/>
  <c r="CN55" i="1"/>
  <c r="CN42" i="1"/>
  <c r="CN61" i="1" s="1"/>
  <c r="CN63" i="1" s="1"/>
  <c r="G67" i="19"/>
  <c r="CM44" i="3"/>
  <c r="CL56" i="1"/>
  <c r="D29" i="6" s="1"/>
  <c r="CL29" i="1"/>
  <c r="D14" i="6" s="1"/>
  <c r="CL27" i="1"/>
  <c r="D13" i="6" s="1"/>
  <c r="CL25" i="1"/>
  <c r="D12" i="6" s="1"/>
  <c r="CL20" i="1"/>
  <c r="D7" i="6" s="1"/>
  <c r="CL27" i="4"/>
  <c r="CL26" i="4"/>
  <c r="CL7" i="4"/>
  <c r="CQ8" i="4" s="1"/>
  <c r="CL45" i="3"/>
  <c r="CL46" i="3"/>
  <c r="CL47" i="3"/>
  <c r="CL48" i="3"/>
  <c r="CL50" i="3"/>
  <c r="CL51" i="3"/>
  <c r="CL52" i="3"/>
  <c r="CL53" i="3"/>
  <c r="CL54" i="3"/>
  <c r="CL55" i="3"/>
  <c r="CL57" i="3"/>
  <c r="CL43" i="3"/>
  <c r="CL36" i="3"/>
  <c r="CL35" i="3"/>
  <c r="CL34" i="3"/>
  <c r="CL33" i="3"/>
  <c r="CL7" i="3"/>
  <c r="CL8" i="3"/>
  <c r="CL9" i="3"/>
  <c r="CL68" i="3" s="1"/>
  <c r="CL10" i="3"/>
  <c r="CL11" i="3"/>
  <c r="CL12" i="3"/>
  <c r="CL13" i="3"/>
  <c r="CL14" i="3"/>
  <c r="CL15" i="3"/>
  <c r="CL16" i="3"/>
  <c r="CL17" i="3"/>
  <c r="CL18" i="3"/>
  <c r="CL20" i="3"/>
  <c r="CL21" i="3"/>
  <c r="CL22" i="3"/>
  <c r="CL23" i="3"/>
  <c r="CL24" i="3"/>
  <c r="CL25" i="3"/>
  <c r="CL27" i="3"/>
  <c r="CL28" i="3"/>
  <c r="CL4" i="3"/>
  <c r="CL65" i="2"/>
  <c r="CL63" i="2"/>
  <c r="CL62" i="2"/>
  <c r="CL61" i="2"/>
  <c r="CL60" i="2"/>
  <c r="CL59" i="2"/>
  <c r="CL57" i="2"/>
  <c r="CL56" i="2"/>
  <c r="CL55" i="2"/>
  <c r="CL53" i="2"/>
  <c r="CL52" i="2"/>
  <c r="CL48" i="2"/>
  <c r="CQ50" i="2" s="1"/>
  <c r="CL46" i="2"/>
  <c r="CL31" i="2"/>
  <c r="CL40" i="2" s="1"/>
  <c r="CL11" i="2"/>
  <c r="CL18" i="2" s="1"/>
  <c r="CL4" i="2"/>
  <c r="CL40" i="1"/>
  <c r="D20" i="6" s="1"/>
  <c r="CL38" i="1"/>
  <c r="CL6" i="1"/>
  <c r="CL5" i="1"/>
  <c r="CL16" i="1"/>
  <c r="CL13" i="1"/>
  <c r="CN57" i="1" l="1"/>
  <c r="CN43" i="1"/>
  <c r="CL21" i="1"/>
  <c r="CL22" i="1" s="1"/>
  <c r="CL28" i="1"/>
  <c r="CN58" i="1"/>
  <c r="CN67" i="1" s="1"/>
  <c r="H67" i="19"/>
  <c r="CL42" i="2"/>
  <c r="CL44" i="2" s="1"/>
  <c r="CL31" i="1"/>
  <c r="CL26" i="1"/>
  <c r="CL37" i="3"/>
  <c r="CL30" i="1"/>
  <c r="CL33" i="1" l="1"/>
  <c r="CL42" i="1" s="1"/>
  <c r="CN59" i="1"/>
  <c r="CN64" i="1"/>
  <c r="CN65" i="1" s="1"/>
  <c r="I67" i="19"/>
  <c r="O7" i="16"/>
  <c r="P7" i="16"/>
  <c r="Q7" i="16"/>
  <c r="R5" i="16"/>
  <c r="R6" i="16"/>
  <c r="R4" i="16"/>
  <c r="CL55" i="1" l="1"/>
  <c r="D28" i="6" s="1"/>
  <c r="CL34" i="1"/>
  <c r="CN69" i="1"/>
  <c r="CL61" i="1"/>
  <c r="J67" i="19"/>
  <c r="CL43" i="1"/>
  <c r="R7" i="16"/>
  <c r="CL58" i="1" l="1"/>
  <c r="CL67" i="1" s="1"/>
  <c r="CQ68" i="1" s="1"/>
  <c r="CL57" i="1"/>
  <c r="K67" i="19"/>
  <c r="CL64" i="1"/>
  <c r="CL52" i="1" s="1"/>
  <c r="CL63" i="1"/>
  <c r="CL59" i="1" l="1"/>
  <c r="L67" i="19"/>
  <c r="CL65" i="1"/>
  <c r="CL53" i="1"/>
  <c r="CL69" i="1"/>
  <c r="CQ70" i="1" s="1"/>
  <c r="CI14" i="1"/>
  <c r="CI15" i="1" s="1"/>
  <c r="BZ14" i="1"/>
  <c r="BY14" i="1"/>
  <c r="CK36" i="4"/>
  <c r="CG61" i="4" s="1"/>
  <c r="CK37" i="4"/>
  <c r="CK40" i="4"/>
  <c r="CG62" i="4" s="1"/>
  <c r="CK41" i="4"/>
  <c r="CK44" i="4"/>
  <c r="CG64" i="4" s="1"/>
  <c r="CK45" i="4"/>
  <c r="CK46" i="4"/>
  <c r="CK52" i="4"/>
  <c r="CK53" i="4"/>
  <c r="CK54" i="4"/>
  <c r="CK27" i="4"/>
  <c r="CK26" i="4"/>
  <c r="BI13" i="22" s="1"/>
  <c r="CK17" i="2"/>
  <c r="CK26" i="3"/>
  <c r="CK56" i="1"/>
  <c r="CK29" i="1"/>
  <c r="CK27" i="1"/>
  <c r="CK25" i="1"/>
  <c r="CK20" i="1"/>
  <c r="BJ13" i="22"/>
  <c r="CJ56" i="3"/>
  <c r="CJ49" i="3"/>
  <c r="CK49" i="3" s="1"/>
  <c r="CJ44" i="3"/>
  <c r="CK43" i="4" l="1"/>
  <c r="CP48" i="4"/>
  <c r="CK63" i="4" s="1"/>
  <c r="M67" i="19"/>
  <c r="CK51" i="4"/>
  <c r="CL56" i="4"/>
  <c r="CL49" i="3"/>
  <c r="CK56" i="3"/>
  <c r="CL56" i="3" s="1"/>
  <c r="CK44" i="3"/>
  <c r="CL44" i="3" s="1"/>
  <c r="CK58" i="4"/>
  <c r="CK47" i="4"/>
  <c r="CK39" i="4"/>
  <c r="CK35" i="4"/>
  <c r="CG60" i="3"/>
  <c r="CJ60" i="3"/>
  <c r="CK68" i="3"/>
  <c r="CK37" i="3"/>
  <c r="CK4" i="3"/>
  <c r="CK65" i="2"/>
  <c r="CK63" i="2"/>
  <c r="CK62" i="2"/>
  <c r="CK61" i="2"/>
  <c r="CK60" i="2"/>
  <c r="CK59" i="2"/>
  <c r="CK57" i="2"/>
  <c r="CK56" i="2"/>
  <c r="CK55" i="2"/>
  <c r="CK53" i="2"/>
  <c r="CK52" i="2"/>
  <c r="CK48" i="2"/>
  <c r="CL49" i="2" s="1"/>
  <c r="CK32" i="2"/>
  <c r="CK31" i="2"/>
  <c r="CK11" i="2"/>
  <c r="CK18" i="2" s="1"/>
  <c r="CK46" i="2"/>
  <c r="CK4" i="2"/>
  <c r="CK40" i="1"/>
  <c r="CK38" i="1"/>
  <c r="CK31" i="1"/>
  <c r="CK30" i="1"/>
  <c r="CK28" i="1"/>
  <c r="CK26" i="1"/>
  <c r="CK21" i="1"/>
  <c r="CK6" i="1"/>
  <c r="CK5" i="1"/>
  <c r="CK16" i="1"/>
  <c r="CK13" i="1"/>
  <c r="N67" i="19" l="1"/>
  <c r="CK40" i="2"/>
  <c r="CK42" i="2" s="1"/>
  <c r="CK44" i="2" s="1"/>
  <c r="CL58" i="3"/>
  <c r="CK58" i="3"/>
  <c r="CK60" i="3"/>
  <c r="CL60" i="3" s="1"/>
  <c r="CK33" i="1"/>
  <c r="CK55" i="1" s="1"/>
  <c r="CK22" i="1"/>
  <c r="CD22" i="4"/>
  <c r="CE22" i="4"/>
  <c r="CF22" i="4"/>
  <c r="CG22" i="4"/>
  <c r="CH22" i="4"/>
  <c r="CI22" i="4"/>
  <c r="CJ22" i="4"/>
  <c r="CL22" i="4"/>
  <c r="CM22" i="4"/>
  <c r="CK22" i="4"/>
  <c r="CM4" i="3"/>
  <c r="CN4" i="3"/>
  <c r="CP4" i="3"/>
  <c r="CD4" i="3"/>
  <c r="CE4" i="3"/>
  <c r="CF4" i="3"/>
  <c r="CG4" i="3"/>
  <c r="CH4" i="3"/>
  <c r="CI4" i="3"/>
  <c r="CJ4" i="3"/>
  <c r="CM4" i="2"/>
  <c r="CN4" i="2"/>
  <c r="CP4" i="2"/>
  <c r="CR4" i="2"/>
  <c r="CD4" i="2"/>
  <c r="CE4" i="2"/>
  <c r="CF4" i="2"/>
  <c r="CG4" i="2"/>
  <c r="CH4" i="2"/>
  <c r="CI4" i="2"/>
  <c r="CJ4" i="2"/>
  <c r="O67" i="19" l="1"/>
  <c r="CK42" i="1"/>
  <c r="CK61" i="1" s="1"/>
  <c r="CK34" i="1"/>
  <c r="CJ27" i="4"/>
  <c r="CI27" i="4"/>
  <c r="CG27" i="4"/>
  <c r="CF27" i="4"/>
  <c r="CE27" i="4"/>
  <c r="CD27" i="4"/>
  <c r="CB27" i="4"/>
  <c r="CA27" i="4"/>
  <c r="BZ27" i="4"/>
  <c r="BY27" i="4"/>
  <c r="BW27" i="4"/>
  <c r="BV27" i="4"/>
  <c r="BU27" i="4"/>
  <c r="BT27" i="4"/>
  <c r="BR27" i="4"/>
  <c r="BQ27" i="4"/>
  <c r="BP27" i="4"/>
  <c r="BO27" i="4"/>
  <c r="BM27" i="4"/>
  <c r="BL27" i="4"/>
  <c r="BK27" i="4"/>
  <c r="BJ27" i="4"/>
  <c r="BH27" i="4"/>
  <c r="BG27" i="4"/>
  <c r="BF27" i="4"/>
  <c r="BE27" i="4"/>
  <c r="BE45" i="4"/>
  <c r="BD33" i="4"/>
  <c r="BC33" i="4"/>
  <c r="BB33" i="4"/>
  <c r="BA33" i="4"/>
  <c r="AZ33" i="4"/>
  <c r="BH54" i="4"/>
  <c r="BG54" i="4"/>
  <c r="BG51" i="4" s="1"/>
  <c r="BF54" i="4"/>
  <c r="BF51" i="4" s="1"/>
  <c r="BE54" i="4"/>
  <c r="BE51" i="4" s="1"/>
  <c r="BG53" i="4"/>
  <c r="BF53" i="4"/>
  <c r="BE53" i="4"/>
  <c r="BI52" i="4"/>
  <c r="BG52" i="4"/>
  <c r="BF52" i="4"/>
  <c r="BE52" i="4"/>
  <c r="BH50" i="4"/>
  <c r="BJ53" i="4" s="1"/>
  <c r="BI46" i="4"/>
  <c r="BG46" i="4"/>
  <c r="BG58" i="4" s="1"/>
  <c r="BF46" i="4"/>
  <c r="BF35" i="4" s="1"/>
  <c r="BE46" i="4"/>
  <c r="BG45" i="4"/>
  <c r="BF45" i="4"/>
  <c r="BI44" i="4"/>
  <c r="BG44" i="4"/>
  <c r="BF44" i="4"/>
  <c r="BE44" i="4"/>
  <c r="BH42" i="4"/>
  <c r="BG41" i="4"/>
  <c r="BF41" i="4"/>
  <c r="BH38" i="4"/>
  <c r="BJ41" i="4" s="1"/>
  <c r="BG37" i="4"/>
  <c r="BF37" i="4"/>
  <c r="BH34" i="4"/>
  <c r="BI33" i="4"/>
  <c r="BH33" i="4"/>
  <c r="BG33" i="4"/>
  <c r="BF33" i="4"/>
  <c r="BE33" i="4"/>
  <c r="BM54" i="4"/>
  <c r="BL54" i="4"/>
  <c r="BK54" i="4"/>
  <c r="BK51" i="4" s="1"/>
  <c r="BJ54" i="4"/>
  <c r="BJ51" i="4" s="1"/>
  <c r="BR54" i="4"/>
  <c r="BP54" i="4"/>
  <c r="BO54" i="4"/>
  <c r="BO51" i="4" s="1"/>
  <c r="BW54" i="4"/>
  <c r="BV54" i="4"/>
  <c r="BU54" i="4"/>
  <c r="BU51" i="4" s="1"/>
  <c r="BT54" i="4"/>
  <c r="BL53" i="4"/>
  <c r="BK53" i="4"/>
  <c r="BN52" i="4"/>
  <c r="BL52" i="4"/>
  <c r="BK52" i="4"/>
  <c r="BJ52" i="4"/>
  <c r="BM50" i="4"/>
  <c r="BO53" i="4" s="1"/>
  <c r="BN46" i="4"/>
  <c r="BL46" i="4"/>
  <c r="BK46" i="4"/>
  <c r="BJ46" i="4"/>
  <c r="BL45" i="4"/>
  <c r="BK45" i="4"/>
  <c r="BN44" i="4"/>
  <c r="BN64" i="4" s="1"/>
  <c r="BL44" i="4"/>
  <c r="BL64" i="4" s="1"/>
  <c r="BK44" i="4"/>
  <c r="BK64" i="4" s="1"/>
  <c r="BJ44" i="4"/>
  <c r="BJ64" i="4" s="1"/>
  <c r="BM42" i="4"/>
  <c r="BO45" i="4" s="1"/>
  <c r="BL41" i="4"/>
  <c r="BK41" i="4"/>
  <c r="BN40" i="4"/>
  <c r="BN62" i="4" s="1"/>
  <c r="BL40" i="4"/>
  <c r="BL62" i="4" s="1"/>
  <c r="BK40" i="4"/>
  <c r="BK62" i="4" s="1"/>
  <c r="BJ40" i="4"/>
  <c r="BJ62" i="4" s="1"/>
  <c r="BM38" i="4"/>
  <c r="BL37" i="4"/>
  <c r="BK37" i="4"/>
  <c r="BN36" i="4"/>
  <c r="BN61" i="4" s="1"/>
  <c r="BL36" i="4"/>
  <c r="BL61" i="4" s="1"/>
  <c r="BK36" i="4"/>
  <c r="BK61" i="4" s="1"/>
  <c r="BJ36" i="4"/>
  <c r="BJ61" i="4" s="1"/>
  <c r="BM34" i="4"/>
  <c r="BO37" i="4" s="1"/>
  <c r="BN33" i="4"/>
  <c r="BN60" i="4" s="1"/>
  <c r="BM33" i="4"/>
  <c r="BM60" i="4" s="1"/>
  <c r="BL33" i="4"/>
  <c r="BL60" i="4" s="1"/>
  <c r="BK33" i="4"/>
  <c r="BK60" i="4" s="1"/>
  <c r="BJ33" i="4"/>
  <c r="BJ60" i="4" s="1"/>
  <c r="BQ53" i="4"/>
  <c r="BP53" i="4"/>
  <c r="BS52" i="4"/>
  <c r="BQ52" i="4"/>
  <c r="BP52" i="4"/>
  <c r="BO52" i="4"/>
  <c r="BR50" i="4"/>
  <c r="BS46" i="4"/>
  <c r="BQ46" i="4"/>
  <c r="BP46" i="4"/>
  <c r="BO46" i="4"/>
  <c r="BQ45" i="4"/>
  <c r="BP45" i="4"/>
  <c r="BS44" i="4"/>
  <c r="BQ44" i="4"/>
  <c r="BQ64" i="4" s="1"/>
  <c r="BP44" i="4"/>
  <c r="BP64" i="4" s="1"/>
  <c r="BO44" i="4"/>
  <c r="BO64" i="4" s="1"/>
  <c r="BR42" i="4"/>
  <c r="BR45" i="4" s="1"/>
  <c r="BQ41" i="4"/>
  <c r="BP41" i="4"/>
  <c r="BS40" i="4"/>
  <c r="BQ40" i="4"/>
  <c r="BQ62" i="4" s="1"/>
  <c r="BP40" i="4"/>
  <c r="BP62" i="4" s="1"/>
  <c r="BO40" i="4"/>
  <c r="BO62" i="4" s="1"/>
  <c r="BR38" i="4"/>
  <c r="BQ37" i="4"/>
  <c r="BP37" i="4"/>
  <c r="BS36" i="4"/>
  <c r="BQ36" i="4"/>
  <c r="BQ61" i="4" s="1"/>
  <c r="BP36" i="4"/>
  <c r="BP61" i="4" s="1"/>
  <c r="BO36" i="4"/>
  <c r="BO61" i="4" s="1"/>
  <c r="BR34" i="4"/>
  <c r="BT37" i="4" s="1"/>
  <c r="BS33" i="4"/>
  <c r="BR33" i="4"/>
  <c r="BR60" i="4" s="1"/>
  <c r="BQ33" i="4"/>
  <c r="BQ60" i="4" s="1"/>
  <c r="BP33" i="4"/>
  <c r="BP60" i="4" s="1"/>
  <c r="BO33" i="4"/>
  <c r="BO60" i="4" s="1"/>
  <c r="BX46" i="4"/>
  <c r="BX52" i="4"/>
  <c r="BW50" i="4"/>
  <c r="BY53" i="4" s="1"/>
  <c r="BX44" i="4"/>
  <c r="BW42" i="4"/>
  <c r="BW45" i="4" s="1"/>
  <c r="BX40" i="4"/>
  <c r="BW38" i="4"/>
  <c r="BW41" i="4" s="1"/>
  <c r="BX36" i="4"/>
  <c r="BW34" i="4"/>
  <c r="CB54" i="4"/>
  <c r="CC52" i="4"/>
  <c r="CB50" i="4"/>
  <c r="CD53" i="4" s="1"/>
  <c r="CC46" i="4"/>
  <c r="CC44" i="4"/>
  <c r="CB42" i="4"/>
  <c r="CB45" i="4" s="1"/>
  <c r="CC40" i="4"/>
  <c r="CB38" i="4"/>
  <c r="CB41" i="4" s="1"/>
  <c r="CC36" i="4"/>
  <c r="CB34" i="4"/>
  <c r="CD37" i="4" s="1"/>
  <c r="CC33" i="4"/>
  <c r="CB33" i="4"/>
  <c r="BZ60" i="4" s="1"/>
  <c r="CG50" i="4"/>
  <c r="CG53" i="4" s="1"/>
  <c r="CG42" i="4"/>
  <c r="CG38" i="4"/>
  <c r="CG34" i="4"/>
  <c r="CL36" i="4" s="1"/>
  <c r="CH61" i="4" s="1"/>
  <c r="CH46" i="4"/>
  <c r="CA54" i="4"/>
  <c r="BZ54" i="4"/>
  <c r="BY54" i="4"/>
  <c r="CG54" i="4"/>
  <c r="CL55" i="4" s="1"/>
  <c r="CF54" i="4"/>
  <c r="CK55" i="4" s="1"/>
  <c r="CE54" i="4"/>
  <c r="CD54" i="4"/>
  <c r="BV53" i="4"/>
  <c r="BU53" i="4"/>
  <c r="BV52" i="4"/>
  <c r="BU52" i="4"/>
  <c r="BT52" i="4"/>
  <c r="BV46" i="4"/>
  <c r="BU46" i="4"/>
  <c r="BU35" i="4" s="1"/>
  <c r="BT46" i="4"/>
  <c r="BV45" i="4"/>
  <c r="BU45" i="4"/>
  <c r="BV44" i="4"/>
  <c r="BU64" i="4" s="1"/>
  <c r="BU44" i="4"/>
  <c r="BT64" i="4" s="1"/>
  <c r="BT44" i="4"/>
  <c r="BS64" i="4" s="1"/>
  <c r="BV41" i="4"/>
  <c r="BU41" i="4"/>
  <c r="BV40" i="4"/>
  <c r="BU62" i="4" s="1"/>
  <c r="BU40" i="4"/>
  <c r="BT62" i="4" s="1"/>
  <c r="BT40" i="4"/>
  <c r="BS62" i="4" s="1"/>
  <c r="BV37" i="4"/>
  <c r="BU37" i="4"/>
  <c r="BV36" i="4"/>
  <c r="BU61" i="4" s="1"/>
  <c r="BU36" i="4"/>
  <c r="BT61" i="4" s="1"/>
  <c r="BT36" i="4"/>
  <c r="BS61" i="4" s="1"/>
  <c r="BX33" i="4"/>
  <c r="BW33" i="4"/>
  <c r="BV60" i="4" s="1"/>
  <c r="BV33" i="4"/>
  <c r="BU60" i="4" s="1"/>
  <c r="BU33" i="4"/>
  <c r="BT60" i="4" s="1"/>
  <c r="BT33" i="4"/>
  <c r="BS60" i="4" s="1"/>
  <c r="F33" i="4"/>
  <c r="G33" i="4"/>
  <c r="H33" i="4"/>
  <c r="I33" i="4"/>
  <c r="J33" i="4"/>
  <c r="K33" i="4"/>
  <c r="L33" i="4"/>
  <c r="M33" i="4"/>
  <c r="N33" i="4"/>
  <c r="O33" i="4"/>
  <c r="P33" i="4"/>
  <c r="Q33" i="4"/>
  <c r="R33" i="4"/>
  <c r="S33" i="4"/>
  <c r="T33" i="4"/>
  <c r="U33" i="4"/>
  <c r="V33" i="4"/>
  <c r="W33" i="4"/>
  <c r="X33" i="4"/>
  <c r="Y33" i="4"/>
  <c r="Z33" i="4"/>
  <c r="AA33" i="4"/>
  <c r="AB33" i="4"/>
  <c r="AC33" i="4"/>
  <c r="AD33" i="4"/>
  <c r="AE33" i="4"/>
  <c r="AF33" i="4"/>
  <c r="AG33" i="4"/>
  <c r="AH33" i="4"/>
  <c r="AI33" i="4"/>
  <c r="AJ33" i="4"/>
  <c r="AK33" i="4"/>
  <c r="AL33" i="4"/>
  <c r="AM33" i="4"/>
  <c r="AN33" i="4"/>
  <c r="AO33" i="4"/>
  <c r="AP33" i="4"/>
  <c r="AQ33" i="4"/>
  <c r="AR33" i="4"/>
  <c r="AS33" i="4"/>
  <c r="AT33" i="4"/>
  <c r="AU33" i="4"/>
  <c r="AV33" i="4"/>
  <c r="AW33" i="4"/>
  <c r="AX33" i="4"/>
  <c r="AY33" i="4"/>
  <c r="BY33" i="4"/>
  <c r="BW60" i="4" s="1"/>
  <c r="BZ33" i="4"/>
  <c r="BX60" i="4" s="1"/>
  <c r="CA33" i="4"/>
  <c r="BY60" i="4" s="1"/>
  <c r="CD33" i="4"/>
  <c r="CA60" i="4" s="1"/>
  <c r="CE33" i="4"/>
  <c r="CB60" i="4" s="1"/>
  <c r="CF33" i="4"/>
  <c r="CC60" i="4" s="1"/>
  <c r="CG33" i="4"/>
  <c r="CD60" i="4" s="1"/>
  <c r="CH33" i="4"/>
  <c r="CI33" i="4"/>
  <c r="CE60" i="4" s="1"/>
  <c r="CJ33" i="4"/>
  <c r="CF60" i="4" s="1"/>
  <c r="CK33" i="4"/>
  <c r="CG60" i="4" s="1"/>
  <c r="CL33" i="4"/>
  <c r="CH60" i="4" s="1"/>
  <c r="CM33" i="4"/>
  <c r="CA53" i="4"/>
  <c r="BZ53" i="4"/>
  <c r="CA52" i="4"/>
  <c r="BZ52" i="4"/>
  <c r="BY52" i="4"/>
  <c r="CA46" i="4"/>
  <c r="CA35" i="4" s="1"/>
  <c r="BZ46" i="4"/>
  <c r="BY46" i="4"/>
  <c r="CA45" i="4"/>
  <c r="BZ45" i="4"/>
  <c r="CA44" i="4"/>
  <c r="BY64" i="4" s="1"/>
  <c r="BZ44" i="4"/>
  <c r="BX64" i="4" s="1"/>
  <c r="BY44" i="4"/>
  <c r="BW64" i="4" s="1"/>
  <c r="CA41" i="4"/>
  <c r="BZ41" i="4"/>
  <c r="CA40" i="4"/>
  <c r="BY62" i="4" s="1"/>
  <c r="BZ40" i="4"/>
  <c r="BX62" i="4" s="1"/>
  <c r="BY40" i="4"/>
  <c r="BW62" i="4" s="1"/>
  <c r="CA37" i="4"/>
  <c r="BZ37" i="4"/>
  <c r="CA36" i="4"/>
  <c r="BY61" i="4" s="1"/>
  <c r="BZ36" i="4"/>
  <c r="BX61" i="4" s="1"/>
  <c r="BY36" i="4"/>
  <c r="BW61" i="4" s="1"/>
  <c r="CI54" i="4"/>
  <c r="CN55" i="4" s="1"/>
  <c r="CJ54" i="4"/>
  <c r="CK56" i="4" s="1"/>
  <c r="CF53" i="4"/>
  <c r="CE53" i="4"/>
  <c r="CF52" i="4"/>
  <c r="CE52" i="4"/>
  <c r="CD52" i="4"/>
  <c r="CF46" i="4"/>
  <c r="CK48" i="4" s="1"/>
  <c r="CG63" i="4" s="1"/>
  <c r="CE46" i="4"/>
  <c r="CE43" i="4" s="1"/>
  <c r="CD46" i="4"/>
  <c r="CF45" i="4"/>
  <c r="CE45" i="4"/>
  <c r="CF44" i="4"/>
  <c r="CC64" i="4" s="1"/>
  <c r="CE44" i="4"/>
  <c r="CB64" i="4" s="1"/>
  <c r="CD44" i="4"/>
  <c r="CA64" i="4" s="1"/>
  <c r="CF41" i="4"/>
  <c r="CE41" i="4"/>
  <c r="CF40" i="4"/>
  <c r="CC62" i="4" s="1"/>
  <c r="CE40" i="4"/>
  <c r="CB62" i="4" s="1"/>
  <c r="CD40" i="4"/>
  <c r="CA62" i="4" s="1"/>
  <c r="CF37" i="4"/>
  <c r="CE37" i="4"/>
  <c r="CF36" i="4"/>
  <c r="CC61" i="4" s="1"/>
  <c r="CE36" i="4"/>
  <c r="CB61" i="4" s="1"/>
  <c r="CD36" i="4"/>
  <c r="CA61" i="4" s="1"/>
  <c r="CI46" i="4"/>
  <c r="CN48" i="4" s="1"/>
  <c r="CI63" i="4" s="1"/>
  <c r="CI52" i="4"/>
  <c r="CI44" i="4"/>
  <c r="CE64" i="4" s="1"/>
  <c r="CI40" i="4"/>
  <c r="CE62" i="4" s="1"/>
  <c r="CI36" i="4"/>
  <c r="CE61" i="4" s="1"/>
  <c r="CJ53" i="4"/>
  <c r="CJ52" i="4"/>
  <c r="CJ45" i="4"/>
  <c r="CJ44" i="4"/>
  <c r="CF64" i="4" s="1"/>
  <c r="CJ41" i="4"/>
  <c r="CJ40" i="4"/>
  <c r="CF62" i="4" s="1"/>
  <c r="CJ37" i="4"/>
  <c r="CJ36" i="4"/>
  <c r="CF61" i="4" s="1"/>
  <c r="CJ46" i="4"/>
  <c r="CO48" i="4" s="1"/>
  <c r="CJ63" i="4" s="1"/>
  <c r="F22" i="4"/>
  <c r="G22" i="4"/>
  <c r="H22" i="4"/>
  <c r="I22" i="4"/>
  <c r="J22" i="4"/>
  <c r="K22" i="4"/>
  <c r="L22" i="4"/>
  <c r="M22" i="4"/>
  <c r="N22" i="4"/>
  <c r="O22" i="4"/>
  <c r="P22" i="4"/>
  <c r="Q22" i="4"/>
  <c r="CG45" i="4" l="1"/>
  <c r="CL44" i="4"/>
  <c r="CH64" i="4" s="1"/>
  <c r="P67" i="19"/>
  <c r="CI37" i="4"/>
  <c r="CI41" i="4"/>
  <c r="CJ39" i="4"/>
  <c r="CK49" i="4"/>
  <c r="CK43" i="1"/>
  <c r="BU56" i="4"/>
  <c r="BP58" i="4"/>
  <c r="BO58" i="4"/>
  <c r="CB56" i="4"/>
  <c r="CA56" i="4"/>
  <c r="BE58" i="4"/>
  <c r="BM56" i="4"/>
  <c r="CI53" i="4"/>
  <c r="CJ58" i="4"/>
  <c r="BY45" i="4"/>
  <c r="CD58" i="4"/>
  <c r="CG37" i="4"/>
  <c r="BM55" i="4"/>
  <c r="BV49" i="4"/>
  <c r="BU47" i="4"/>
  <c r="BL55" i="4"/>
  <c r="BN48" i="4"/>
  <c r="BN63" i="4" s="1"/>
  <c r="BK55" i="4"/>
  <c r="CA49" i="4"/>
  <c r="BU58" i="4"/>
  <c r="BW56" i="4"/>
  <c r="BU39" i="4"/>
  <c r="BP56" i="4"/>
  <c r="BJ56" i="4"/>
  <c r="CI58" i="4"/>
  <c r="BV56" i="4"/>
  <c r="BP55" i="4"/>
  <c r="BK56" i="4"/>
  <c r="BP51" i="4"/>
  <c r="BE37" i="4"/>
  <c r="BR51" i="4"/>
  <c r="CG44" i="4"/>
  <c r="CD64" i="4" s="1"/>
  <c r="BK58" i="4"/>
  <c r="BF58" i="4"/>
  <c r="BR55" i="4"/>
  <c r="BH56" i="4"/>
  <c r="BO55" i="4"/>
  <c r="BO56" i="4"/>
  <c r="CF58" i="4"/>
  <c r="BF56" i="4"/>
  <c r="BT58" i="4"/>
  <c r="BG56" i="4"/>
  <c r="BW55" i="4"/>
  <c r="BH51" i="4"/>
  <c r="BZ56" i="4"/>
  <c r="BY56" i="4"/>
  <c r="BT55" i="4"/>
  <c r="BL58" i="4"/>
  <c r="BJ55" i="4"/>
  <c r="BM40" i="4"/>
  <c r="BM62" i="4" s="1"/>
  <c r="BM36" i="4"/>
  <c r="BM61" i="4" s="1"/>
  <c r="BM37" i="4"/>
  <c r="BH52" i="4"/>
  <c r="BG47" i="4"/>
  <c r="BG43" i="4"/>
  <c r="BG39" i="4"/>
  <c r="BG35" i="4"/>
  <c r="BL39" i="4"/>
  <c r="BO41" i="4"/>
  <c r="BL35" i="4"/>
  <c r="BL47" i="4"/>
  <c r="BL43" i="4"/>
  <c r="BL48" i="4"/>
  <c r="BL63" i="4" s="1"/>
  <c r="BH46" i="4"/>
  <c r="BH58" i="4" s="1"/>
  <c r="BF43" i="4"/>
  <c r="BF47" i="4"/>
  <c r="BG49" i="4"/>
  <c r="BF39" i="4"/>
  <c r="BK49" i="4"/>
  <c r="BK47" i="4"/>
  <c r="BL49" i="4"/>
  <c r="BK39" i="4"/>
  <c r="BK35" i="4"/>
  <c r="BM44" i="4"/>
  <c r="BM64" i="4" s="1"/>
  <c r="BH44" i="4"/>
  <c r="BE39" i="4"/>
  <c r="BE35" i="4"/>
  <c r="BE47" i="4"/>
  <c r="BF49" i="4"/>
  <c r="BE43" i="4"/>
  <c r="BM52" i="4"/>
  <c r="BJ47" i="4"/>
  <c r="BM46" i="4"/>
  <c r="BM58" i="4" s="1"/>
  <c r="BJ39" i="4"/>
  <c r="BJ35" i="4"/>
  <c r="BR40" i="4"/>
  <c r="BR62" i="4" s="1"/>
  <c r="BE41" i="4"/>
  <c r="BH37" i="4"/>
  <c r="BI35" i="4"/>
  <c r="BJ37" i="4"/>
  <c r="BH45" i="4"/>
  <c r="BH41" i="4"/>
  <c r="BJ45" i="4"/>
  <c r="BH53" i="4"/>
  <c r="BI39" i="4"/>
  <c r="BI43" i="4"/>
  <c r="BW46" i="4"/>
  <c r="BW49" i="4" s="1"/>
  <c r="BT45" i="4"/>
  <c r="BQ39" i="4"/>
  <c r="BQ35" i="4"/>
  <c r="BV39" i="4"/>
  <c r="CB44" i="4"/>
  <c r="BZ64" i="4" s="1"/>
  <c r="BY41" i="4"/>
  <c r="BV58" i="4"/>
  <c r="BV35" i="4"/>
  <c r="BV47" i="4"/>
  <c r="BV43" i="4"/>
  <c r="BV48" i="4"/>
  <c r="BU63" i="4" s="1"/>
  <c r="BR44" i="4"/>
  <c r="BR64" i="4" s="1"/>
  <c r="BP43" i="4"/>
  <c r="BP48" i="4"/>
  <c r="BP63" i="4" s="1"/>
  <c r="BP39" i="4"/>
  <c r="BQ49" i="4"/>
  <c r="BP35" i="4"/>
  <c r="BP47" i="4"/>
  <c r="BY37" i="4"/>
  <c r="BU49" i="4"/>
  <c r="BU55" i="4"/>
  <c r="BT56" i="4"/>
  <c r="BT51" i="4"/>
  <c r="BR52" i="4"/>
  <c r="BR46" i="4"/>
  <c r="BR39" i="4" s="1"/>
  <c r="BP49" i="4"/>
  <c r="BO39" i="4"/>
  <c r="BO43" i="4"/>
  <c r="BO35" i="4"/>
  <c r="BO47" i="4"/>
  <c r="BN35" i="4"/>
  <c r="BM41" i="4"/>
  <c r="BJ43" i="4"/>
  <c r="BJ48" i="4"/>
  <c r="BJ63" i="4" s="1"/>
  <c r="BL51" i="4"/>
  <c r="BL56" i="4"/>
  <c r="BM53" i="4"/>
  <c r="BS48" i="4"/>
  <c r="BN39" i="4"/>
  <c r="BK43" i="4"/>
  <c r="BM45" i="4"/>
  <c r="BK48" i="4"/>
  <c r="BK63" i="4" s="1"/>
  <c r="BM51" i="4"/>
  <c r="BN43" i="4"/>
  <c r="BJ58" i="4"/>
  <c r="BO48" i="4"/>
  <c r="BO63" i="4" s="1"/>
  <c r="BT35" i="4"/>
  <c r="BT47" i="4"/>
  <c r="BT39" i="4"/>
  <c r="BY48" i="4"/>
  <c r="BW63" i="4" s="1"/>
  <c r="BW37" i="4"/>
  <c r="BR37" i="4"/>
  <c r="BS35" i="4"/>
  <c r="BT41" i="4"/>
  <c r="BT53" i="4"/>
  <c r="BR36" i="4"/>
  <c r="BR61" i="4" s="1"/>
  <c r="BQ43" i="4"/>
  <c r="BQ48" i="4"/>
  <c r="BQ63" i="4" s="1"/>
  <c r="BW36" i="4"/>
  <c r="BV61" i="4" s="1"/>
  <c r="BW44" i="4"/>
  <c r="BV64" i="4" s="1"/>
  <c r="BS39" i="4"/>
  <c r="BR41" i="4"/>
  <c r="BR53" i="4"/>
  <c r="BX48" i="4"/>
  <c r="BS43" i="4"/>
  <c r="BW52" i="4"/>
  <c r="BW51" i="4"/>
  <c r="BW53" i="4"/>
  <c r="BW40" i="4"/>
  <c r="BV62" i="4" s="1"/>
  <c r="BX35" i="4"/>
  <c r="BX39" i="4"/>
  <c r="BX43" i="4"/>
  <c r="CB53" i="4"/>
  <c r="CG52" i="4"/>
  <c r="CB51" i="4"/>
  <c r="CB52" i="4"/>
  <c r="CD45" i="4"/>
  <c r="CG40" i="4"/>
  <c r="CD62" i="4" s="1"/>
  <c r="CC35" i="4"/>
  <c r="CB46" i="4"/>
  <c r="CB58" i="4" s="1"/>
  <c r="CB36" i="4"/>
  <c r="BZ61" i="4" s="1"/>
  <c r="CB37" i="4"/>
  <c r="CC43" i="4"/>
  <c r="CC39" i="4"/>
  <c r="CD41" i="4"/>
  <c r="CB40" i="4"/>
  <c r="BZ62" i="4" s="1"/>
  <c r="CB55" i="4"/>
  <c r="CC48" i="4"/>
  <c r="CG36" i="4"/>
  <c r="CD61" i="4" s="1"/>
  <c r="CI45" i="4"/>
  <c r="CG41" i="4"/>
  <c r="CG46" i="4"/>
  <c r="CG35" i="4" s="1"/>
  <c r="CH40" i="4"/>
  <c r="CA43" i="4"/>
  <c r="CA39" i="4"/>
  <c r="CA48" i="4"/>
  <c r="BY63" i="4" s="1"/>
  <c r="CA47" i="4"/>
  <c r="CF43" i="4"/>
  <c r="CF39" i="4"/>
  <c r="BZ35" i="4"/>
  <c r="BZ39" i="4"/>
  <c r="BZ49" i="4"/>
  <c r="CE58" i="4"/>
  <c r="CE39" i="4"/>
  <c r="BY58" i="4"/>
  <c r="BZ58" i="4"/>
  <c r="BY51" i="4"/>
  <c r="CA58" i="4"/>
  <c r="BZ51" i="4"/>
  <c r="BY55" i="4"/>
  <c r="CA51" i="4"/>
  <c r="BZ55" i="4"/>
  <c r="BY47" i="4"/>
  <c r="CA55" i="4"/>
  <c r="BZ47" i="4"/>
  <c r="BY35" i="4"/>
  <c r="BY39" i="4"/>
  <c r="BY43" i="4"/>
  <c r="BT43" i="4"/>
  <c r="BT48" i="4"/>
  <c r="BS63" i="4" s="1"/>
  <c r="BV51" i="4"/>
  <c r="BU43" i="4"/>
  <c r="BU48" i="4"/>
  <c r="BT63" i="4" s="1"/>
  <c r="CH44" i="4"/>
  <c r="BZ43" i="4"/>
  <c r="BZ48" i="4"/>
  <c r="BX63" i="4" s="1"/>
  <c r="CH52" i="4"/>
  <c r="CJ35" i="4"/>
  <c r="CJ43" i="4"/>
  <c r="CG56" i="4"/>
  <c r="CF56" i="4"/>
  <c r="CE47" i="4"/>
  <c r="CF47" i="4"/>
  <c r="CE48" i="4"/>
  <c r="CB63" i="4" s="1"/>
  <c r="CH36" i="4"/>
  <c r="CF48" i="4"/>
  <c r="CC63" i="4" s="1"/>
  <c r="CD56" i="4"/>
  <c r="CD51" i="4"/>
  <c r="CD55" i="4"/>
  <c r="CE56" i="4"/>
  <c r="CD35" i="4"/>
  <c r="CE49" i="4"/>
  <c r="CE55" i="4"/>
  <c r="CE35" i="4"/>
  <c r="CD47" i="4"/>
  <c r="CF49" i="4"/>
  <c r="CF55" i="4"/>
  <c r="CJ48" i="4"/>
  <c r="CF63" i="4" s="1"/>
  <c r="CF35" i="4"/>
  <c r="CD39" i="4"/>
  <c r="CE51" i="4"/>
  <c r="CD43" i="4"/>
  <c r="CD48" i="4"/>
  <c r="CA63" i="4" s="1"/>
  <c r="CF51" i="4"/>
  <c r="Q67" i="19" l="1"/>
  <c r="BW43" i="4"/>
  <c r="CI49" i="4"/>
  <c r="CG39" i="4"/>
  <c r="CG49" i="4"/>
  <c r="BY49" i="4"/>
  <c r="BR58" i="4"/>
  <c r="BH43" i="4"/>
  <c r="BH47" i="4"/>
  <c r="BH35" i="4"/>
  <c r="BJ49" i="4"/>
  <c r="BH39" i="4"/>
  <c r="BH49" i="4"/>
  <c r="BM48" i="4"/>
  <c r="BM63" i="4" s="1"/>
  <c r="BM43" i="4"/>
  <c r="BM39" i="4"/>
  <c r="BO49" i="4"/>
  <c r="BM35" i="4"/>
  <c r="BM47" i="4"/>
  <c r="BM49" i="4"/>
  <c r="BW58" i="4"/>
  <c r="BW39" i="4"/>
  <c r="BW35" i="4"/>
  <c r="BW47" i="4"/>
  <c r="BR35" i="4"/>
  <c r="BT49" i="4"/>
  <c r="BW48" i="4"/>
  <c r="BV63" i="4" s="1"/>
  <c r="BR43" i="4"/>
  <c r="BR47" i="4"/>
  <c r="BR48" i="4"/>
  <c r="BR63" i="4" s="1"/>
  <c r="BR49" i="4"/>
  <c r="CB47" i="4"/>
  <c r="CB35" i="4"/>
  <c r="CD49" i="4"/>
  <c r="CG48" i="4"/>
  <c r="CD63" i="4" s="1"/>
  <c r="CB48" i="4"/>
  <c r="BZ63" i="4" s="1"/>
  <c r="CB39" i="4"/>
  <c r="CB43" i="4"/>
  <c r="CB49" i="4"/>
  <c r="CG58" i="4"/>
  <c r="CG47" i="4"/>
  <c r="CG43" i="4"/>
  <c r="CJ51" i="4"/>
  <c r="CJ55" i="4"/>
  <c r="CJ47" i="4"/>
  <c r="CI56" i="4"/>
  <c r="CG55" i="4"/>
  <c r="CG51" i="4"/>
  <c r="CH35" i="4"/>
  <c r="CH39" i="4"/>
  <c r="CH48" i="4"/>
  <c r="CH43" i="4"/>
  <c r="R67" i="19" l="1"/>
  <c r="CJ16" i="1"/>
  <c r="CJ17" i="2" l="1"/>
  <c r="CJ56" i="1" l="1"/>
  <c r="CJ20" i="1"/>
  <c r="D8" i="6" s="1"/>
  <c r="CJ29" i="1"/>
  <c r="CJ27" i="1"/>
  <c r="CJ25" i="1"/>
  <c r="D15" i="6" l="1"/>
  <c r="D17" i="6" s="1"/>
  <c r="D9" i="6"/>
  <c r="CJ40" i="1"/>
  <c r="CJ31" i="1"/>
  <c r="CJ68" i="3"/>
  <c r="CJ53" i="2"/>
  <c r="CJ52" i="2"/>
  <c r="CA11" i="1"/>
  <c r="BZ11" i="1"/>
  <c r="BY11" i="1"/>
  <c r="CD11" i="1"/>
  <c r="CE11" i="1"/>
  <c r="CF11" i="1"/>
  <c r="CB10" i="1"/>
  <c r="CG10" i="1"/>
  <c r="CL10" i="1" s="1"/>
  <c r="CI11" i="1"/>
  <c r="CI25" i="1"/>
  <c r="D18" i="6" l="1"/>
  <c r="D22" i="6"/>
  <c r="CB11" i="1"/>
  <c r="E21" i="15"/>
  <c r="F21" i="15"/>
  <c r="G21" i="15"/>
  <c r="I21" i="15"/>
  <c r="J21" i="15"/>
  <c r="K21" i="15"/>
  <c r="L21" i="15"/>
  <c r="N21" i="15"/>
  <c r="D21" i="15"/>
  <c r="D32" i="6" l="1"/>
  <c r="D34" i="6" s="1"/>
  <c r="D36" i="6" s="1"/>
  <c r="D23" i="6"/>
  <c r="CJ50" i="1"/>
  <c r="CJ46" i="1"/>
  <c r="CI50" i="1"/>
  <c r="CI46" i="1"/>
  <c r="CL46" i="4"/>
  <c r="CI56" i="1"/>
  <c r="CI29" i="1"/>
  <c r="CI27" i="1"/>
  <c r="CI26" i="1"/>
  <c r="CI20" i="1"/>
  <c r="CI75" i="1"/>
  <c r="CI65" i="2"/>
  <c r="CI63" i="2"/>
  <c r="CI62" i="2"/>
  <c r="CI61" i="2"/>
  <c r="CI60" i="2"/>
  <c r="CI59" i="2"/>
  <c r="CI57" i="2"/>
  <c r="CI56" i="2"/>
  <c r="CI55" i="2"/>
  <c r="CI52" i="2"/>
  <c r="CI48" i="2"/>
  <c r="CG65" i="2"/>
  <c r="CG63" i="2"/>
  <c r="CG62" i="2"/>
  <c r="CG61" i="2"/>
  <c r="CG60" i="2"/>
  <c r="CG59" i="2"/>
  <c r="CG57" i="2"/>
  <c r="CG56" i="2"/>
  <c r="CG55" i="2"/>
  <c r="CG53" i="2"/>
  <c r="CG52" i="2"/>
  <c r="CG48" i="2"/>
  <c r="CL50" i="2" s="1"/>
  <c r="CI17" i="2"/>
  <c r="CI7" i="4"/>
  <c r="CN49" i="4" l="1"/>
  <c r="CL43" i="4"/>
  <c r="CM50" i="1"/>
  <c r="CM46" i="1"/>
  <c r="CL35" i="4"/>
  <c r="CL49" i="4"/>
  <c r="CL48" i="4"/>
  <c r="CH63" i="4" s="1"/>
  <c r="CL47" i="4"/>
  <c r="CI49" i="2"/>
  <c r="CI28" i="1"/>
  <c r="CI30" i="1"/>
  <c r="CJ26" i="4"/>
  <c r="CI26" i="4"/>
  <c r="CK7" i="4"/>
  <c r="CK9" i="4" s="1"/>
  <c r="CJ7" i="4"/>
  <c r="CO8" i="4" s="1"/>
  <c r="CL5" i="4"/>
  <c r="CK5" i="4"/>
  <c r="CJ5" i="4"/>
  <c r="BL4" i="23" s="1"/>
  <c r="CI5" i="4"/>
  <c r="BK4" i="23" s="1"/>
  <c r="CL6" i="4"/>
  <c r="CK6" i="4"/>
  <c r="CJ6" i="4"/>
  <c r="CI6" i="4"/>
  <c r="CP58" i="3"/>
  <c r="CN58" i="3"/>
  <c r="CP37" i="3"/>
  <c r="CN37" i="3"/>
  <c r="CP26" i="3"/>
  <c r="CR43" i="2"/>
  <c r="CR41" i="2"/>
  <c r="CR39" i="2"/>
  <c r="CR37" i="2"/>
  <c r="CR36" i="2"/>
  <c r="CR35" i="2"/>
  <c r="CP32" i="2"/>
  <c r="CR32" i="2" s="1"/>
  <c r="CR30" i="2"/>
  <c r="CR27" i="2"/>
  <c r="CS26" i="3" s="1"/>
  <c r="CW26" i="3" s="1"/>
  <c r="CR23" i="2"/>
  <c r="CR22" i="2"/>
  <c r="CR21" i="2"/>
  <c r="K20" i="6"/>
  <c r="CP40" i="1"/>
  <c r="G20" i="6" s="1"/>
  <c r="G22" i="6" s="1"/>
  <c r="CR39" i="1"/>
  <c r="CR37" i="1"/>
  <c r="CR36" i="1"/>
  <c r="CR16" i="1"/>
  <c r="G32" i="6" l="1"/>
  <c r="G34" i="6" s="1"/>
  <c r="G36" i="6" s="1"/>
  <c r="G23" i="6"/>
  <c r="CP8" i="4"/>
  <c r="CM7" i="4"/>
  <c r="CR8" i="4" s="1"/>
  <c r="BI12" i="22"/>
  <c r="BH13" i="22"/>
  <c r="BL5" i="23"/>
  <c r="BG13" i="22"/>
  <c r="BK5" i="23"/>
  <c r="CR40" i="1"/>
  <c r="CG56" i="1"/>
  <c r="CG29" i="1"/>
  <c r="CG27" i="1"/>
  <c r="CG25" i="1"/>
  <c r="CG20" i="1"/>
  <c r="CJ58" i="3"/>
  <c r="CI58" i="3"/>
  <c r="CH57" i="3"/>
  <c r="CG56" i="3"/>
  <c r="CG49" i="3"/>
  <c r="CG35" i="3"/>
  <c r="CG36" i="3"/>
  <c r="CG33" i="3"/>
  <c r="CG7" i="3"/>
  <c r="CG27" i="3"/>
  <c r="CG28" i="3"/>
  <c r="CG25" i="3"/>
  <c r="CG21" i="3"/>
  <c r="CG20" i="3"/>
  <c r="CG18" i="3"/>
  <c r="CG17" i="3"/>
  <c r="CG11" i="3"/>
  <c r="CG10" i="3"/>
  <c r="CG9" i="3"/>
  <c r="CG68" i="3" s="1"/>
  <c r="CG17" i="2"/>
  <c r="CG75" i="1"/>
  <c r="CP50" i="1" l="1"/>
  <c r="G26" i="6" s="1"/>
  <c r="CG26" i="1"/>
  <c r="CG28" i="1"/>
  <c r="CG30" i="1"/>
  <c r="CG58" i="3"/>
  <c r="CF75" i="1"/>
  <c r="CF68" i="3" l="1"/>
  <c r="CF65" i="2"/>
  <c r="CF63" i="2"/>
  <c r="CF62" i="2"/>
  <c r="CF61" i="2"/>
  <c r="CF60" i="2"/>
  <c r="CF59" i="2"/>
  <c r="CF57" i="2"/>
  <c r="CF56" i="2"/>
  <c r="CF17" i="2"/>
  <c r="CF8" i="2"/>
  <c r="CF55" i="2" s="1"/>
  <c r="CF56" i="1"/>
  <c r="CF20" i="1"/>
  <c r="CF29" i="1"/>
  <c r="CF27" i="1"/>
  <c r="CF25" i="1"/>
  <c r="CF50" i="1" l="1"/>
  <c r="CF46" i="1"/>
  <c r="CG46" i="1"/>
  <c r="CG50" i="1"/>
  <c r="CF28" i="1"/>
  <c r="CF30" i="1"/>
  <c r="CF26" i="1"/>
  <c r="CH17" i="3"/>
  <c r="CH27" i="3"/>
  <c r="CE75" i="1"/>
  <c r="CE68" i="3"/>
  <c r="CE63" i="2"/>
  <c r="CE62" i="2"/>
  <c r="CE61" i="2"/>
  <c r="CE60" i="2"/>
  <c r="CE59" i="2"/>
  <c r="CE57" i="2"/>
  <c r="CE56" i="2"/>
  <c r="CE17" i="2"/>
  <c r="CE8" i="2"/>
  <c r="CE55" i="2" s="1"/>
  <c r="CE56" i="1"/>
  <c r="CE29" i="1"/>
  <c r="CE27" i="1"/>
  <c r="CE25" i="1"/>
  <c r="CE20" i="1"/>
  <c r="CE50" i="1" l="1"/>
  <c r="CE46" i="1"/>
  <c r="CE21" i="1"/>
  <c r="CE22" i="1" s="1"/>
  <c r="CE28" i="1"/>
  <c r="CE31" i="1"/>
  <c r="CE26" i="1"/>
  <c r="CE30" i="1"/>
  <c r="CD75" i="1" l="1"/>
  <c r="CG16" i="1"/>
  <c r="CG14" i="1" s="1"/>
  <c r="CG15" i="1" s="1"/>
  <c r="CE73" i="1" l="1"/>
  <c r="BU26" i="4"/>
  <c r="AZ5" i="23" s="1"/>
  <c r="G9" i="19"/>
  <c r="K9" i="19"/>
  <c r="K12" i="19"/>
  <c r="K8" i="19"/>
  <c r="K6" i="19"/>
  <c r="K4" i="19"/>
  <c r="K10" i="19" l="1"/>
  <c r="CH73" i="1"/>
  <c r="CD63" i="2"/>
  <c r="CD62" i="2"/>
  <c r="CD61" i="2"/>
  <c r="CD60" i="2"/>
  <c r="CD59" i="2"/>
  <c r="CD57" i="2"/>
  <c r="CD56" i="2"/>
  <c r="CD17" i="2"/>
  <c r="CD8" i="2"/>
  <c r="CD55" i="2" s="1"/>
  <c r="CD29" i="1"/>
  <c r="CD56" i="1"/>
  <c r="CD38" i="1"/>
  <c r="CD27" i="1"/>
  <c r="CD25" i="1"/>
  <c r="CD20" i="1"/>
  <c r="CG26" i="4"/>
  <c r="CF26" i="4"/>
  <c r="CE26" i="4"/>
  <c r="BH5" i="23" s="1"/>
  <c r="CD26" i="4"/>
  <c r="BG5" i="23" s="1"/>
  <c r="CB38" i="1"/>
  <c r="CA38" i="1"/>
  <c r="BZ38" i="1"/>
  <c r="BY38" i="1"/>
  <c r="BW38" i="1"/>
  <c r="BV38" i="1"/>
  <c r="BU38" i="1"/>
  <c r="BT38" i="1"/>
  <c r="BR38" i="1"/>
  <c r="BP38" i="1"/>
  <c r="BO38" i="1"/>
  <c r="BM38" i="1"/>
  <c r="BL38" i="1"/>
  <c r="BK38" i="1"/>
  <c r="BJ38" i="1"/>
  <c r="BH38" i="1"/>
  <c r="BG38" i="1"/>
  <c r="BF38" i="1"/>
  <c r="BE38" i="1"/>
  <c r="BC38" i="1"/>
  <c r="BB38" i="1"/>
  <c r="BA38" i="1"/>
  <c r="AZ38" i="1"/>
  <c r="AX38" i="1"/>
  <c r="AW38" i="1"/>
  <c r="AV38" i="1"/>
  <c r="AU38" i="1"/>
  <c r="AS38" i="1"/>
  <c r="AR38" i="1"/>
  <c r="AQ38" i="1"/>
  <c r="AP38" i="1"/>
  <c r="CD46" i="1" l="1"/>
  <c r="CH46" i="1" s="1"/>
  <c r="CD50" i="1"/>
  <c r="CH50" i="1" s="1"/>
  <c r="BE13" i="22"/>
  <c r="BI5" i="23"/>
  <c r="BF13" i="22"/>
  <c r="BJ5" i="23"/>
  <c r="CD21" i="1"/>
  <c r="CD22" i="1" s="1"/>
  <c r="CD26" i="1"/>
  <c r="CD28" i="1"/>
  <c r="E8" i="21"/>
  <c r="CD31" i="1"/>
  <c r="CD30" i="1"/>
  <c r="T8" i="22"/>
  <c r="S8" i="22"/>
  <c r="R8" i="22"/>
  <c r="Q8" i="22"/>
  <c r="P8" i="22"/>
  <c r="O8" i="22"/>
  <c r="N8" i="22"/>
  <c r="M8" i="22"/>
  <c r="L8" i="22"/>
  <c r="K8" i="22"/>
  <c r="J8" i="22"/>
  <c r="I8" i="22"/>
  <c r="H8" i="22"/>
  <c r="G8" i="22"/>
  <c r="F8" i="22"/>
  <c r="E8" i="22"/>
  <c r="D8" i="22"/>
  <c r="C8" i="22"/>
  <c r="CJ37" i="3" l="1"/>
  <c r="CI37" i="3"/>
  <c r="CM43" i="2"/>
  <c r="CM41" i="2"/>
  <c r="CM39" i="2"/>
  <c r="CM37" i="2"/>
  <c r="CM36" i="2"/>
  <c r="CM35" i="2"/>
  <c r="CM32" i="2"/>
  <c r="CM30" i="2"/>
  <c r="CM27" i="2"/>
  <c r="CN26" i="3" s="1"/>
  <c r="CQ26" i="3" s="1"/>
  <c r="CQ29" i="3" s="1"/>
  <c r="CM23" i="2"/>
  <c r="CM22" i="2"/>
  <c r="CM21" i="2"/>
  <c r="CG7" i="4"/>
  <c r="CL8" i="4" s="1"/>
  <c r="CF7" i="4"/>
  <c r="CK8" i="4" s="1"/>
  <c r="CE7" i="4"/>
  <c r="CJ8" i="4" s="1"/>
  <c r="CD7" i="4"/>
  <c r="CG5" i="4"/>
  <c r="BJ4" i="23" s="1"/>
  <c r="CF5" i="4"/>
  <c r="BI4" i="23" s="1"/>
  <c r="CE5" i="4"/>
  <c r="BH4" i="23" s="1"/>
  <c r="CD5" i="4"/>
  <c r="BG4" i="23" s="1"/>
  <c r="CG6" i="4"/>
  <c r="CF6" i="4"/>
  <c r="CE6" i="4"/>
  <c r="CD6" i="4"/>
  <c r="CM39" i="1"/>
  <c r="CM36" i="1"/>
  <c r="CM16" i="1"/>
  <c r="CQ39" i="3" l="1"/>
  <c r="CQ40" i="3" s="1"/>
  <c r="CQ30" i="3"/>
  <c r="CQ62" i="3"/>
  <c r="CI8" i="4"/>
  <c r="CH7" i="4"/>
  <c r="CM58" i="3"/>
  <c r="CM37" i="3"/>
  <c r="T5" i="20"/>
  <c r="M5" i="20"/>
  <c r="N5" i="20"/>
  <c r="O5" i="20"/>
  <c r="P5" i="20"/>
  <c r="Q5" i="20"/>
  <c r="R5" i="20"/>
  <c r="S5" i="20"/>
  <c r="L5" i="20"/>
  <c r="K5" i="20"/>
  <c r="J5" i="20"/>
  <c r="I5" i="20"/>
  <c r="H5" i="20"/>
  <c r="G5" i="20"/>
  <c r="F5" i="20"/>
  <c r="E5" i="20"/>
  <c r="D5" i="20"/>
  <c r="C5" i="20"/>
  <c r="CM8" i="4" l="1"/>
  <c r="CB75" i="1"/>
  <c r="CB68" i="3" l="1"/>
  <c r="CB37" i="3"/>
  <c r="CB7" i="4"/>
  <c r="CB9" i="4" s="1"/>
  <c r="CB5" i="4"/>
  <c r="BF4" i="23" s="1"/>
  <c r="CB6" i="4"/>
  <c r="CB63" i="2"/>
  <c r="CB62" i="2"/>
  <c r="CB61" i="2"/>
  <c r="CB60" i="2"/>
  <c r="CB59" i="2"/>
  <c r="CB57" i="2"/>
  <c r="CB56" i="2"/>
  <c r="CB17" i="2"/>
  <c r="CB8" i="2"/>
  <c r="CB55" i="2" s="1"/>
  <c r="CB56" i="1"/>
  <c r="CB29" i="1"/>
  <c r="CB27" i="1"/>
  <c r="CB25" i="1"/>
  <c r="CB20" i="1"/>
  <c r="BY13" i="1"/>
  <c r="CB50" i="1" l="1"/>
  <c r="CB46" i="1"/>
  <c r="CB26" i="1"/>
  <c r="CB28" i="1"/>
  <c r="CG8" i="4"/>
  <c r="CB31" i="1"/>
  <c r="CB30" i="1"/>
  <c r="BM10" i="1" l="1"/>
  <c r="BL10" i="1"/>
  <c r="BK10" i="1"/>
  <c r="BJ10" i="1"/>
  <c r="BJ14" i="1" s="1"/>
  <c r="BJ15" i="1" s="1"/>
  <c r="BO10" i="1"/>
  <c r="BP10" i="1"/>
  <c r="BK18" i="1" l="1"/>
  <c r="BK14" i="1"/>
  <c r="BK15" i="1" s="1"/>
  <c r="BL18" i="1"/>
  <c r="BL14" i="1"/>
  <c r="BL15" i="1" s="1"/>
  <c r="BP18" i="1"/>
  <c r="BP14" i="1"/>
  <c r="BP15" i="1" s="1"/>
  <c r="BO18" i="1"/>
  <c r="BO14" i="1"/>
  <c r="BO15" i="1" s="1"/>
  <c r="BM18" i="1"/>
  <c r="BM14" i="1"/>
  <c r="BZ50" i="1"/>
  <c r="BZ46" i="1"/>
  <c r="CA50" i="1"/>
  <c r="CA46" i="1"/>
  <c r="BV50" i="1"/>
  <c r="BV46" i="1"/>
  <c r="I12" i="19"/>
  <c r="I9" i="19"/>
  <c r="E9" i="19"/>
  <c r="I8" i="19"/>
  <c r="I6" i="19"/>
  <c r="I4" i="19"/>
  <c r="CA75" i="1"/>
  <c r="CA60" i="3"/>
  <c r="CA56" i="3"/>
  <c r="CA49" i="3"/>
  <c r="CA44" i="3"/>
  <c r="BZ68" i="3"/>
  <c r="CA36" i="3"/>
  <c r="CA35" i="3"/>
  <c r="CA33" i="3"/>
  <c r="CA28" i="3"/>
  <c r="CA27" i="3"/>
  <c r="CC27" i="3" s="1"/>
  <c r="CA25" i="3"/>
  <c r="CA23" i="3"/>
  <c r="CA21" i="3"/>
  <c r="CA20" i="3"/>
  <c r="CA18" i="3"/>
  <c r="CA17" i="3"/>
  <c r="CC17" i="3" s="1"/>
  <c r="CA14" i="3"/>
  <c r="CA11" i="3"/>
  <c r="CA10" i="3"/>
  <c r="CA9" i="3"/>
  <c r="CA68" i="3" s="1"/>
  <c r="CA7" i="3"/>
  <c r="CA63" i="2"/>
  <c r="CA62" i="2"/>
  <c r="CA61" i="2"/>
  <c r="CA60" i="2"/>
  <c r="CA59" i="2"/>
  <c r="CA57" i="2"/>
  <c r="CA56" i="2"/>
  <c r="CA55" i="2"/>
  <c r="CA17" i="2"/>
  <c r="CA27" i="1"/>
  <c r="CA29" i="1"/>
  <c r="CA25" i="1"/>
  <c r="CA20" i="1"/>
  <c r="CA56" i="1"/>
  <c r="C24" i="19"/>
  <c r="AN20" i="19"/>
  <c r="AM20" i="19"/>
  <c r="AL20" i="19"/>
  <c r="AK20" i="19"/>
  <c r="AJ20" i="19"/>
  <c r="AI20" i="19"/>
  <c r="AH20" i="19"/>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AN17" i="19"/>
  <c r="AM17" i="19"/>
  <c r="AL17" i="19"/>
  <c r="AK17" i="19"/>
  <c r="AJ17" i="19"/>
  <c r="AI17" i="19"/>
  <c r="AH17" i="19"/>
  <c r="AG17" i="19"/>
  <c r="AF17" i="19"/>
  <c r="AE17" i="19"/>
  <c r="AD17" i="19"/>
  <c r="AC17" i="19"/>
  <c r="AB17" i="19"/>
  <c r="AA17" i="19"/>
  <c r="Z17" i="19"/>
  <c r="Y17" i="19"/>
  <c r="X17" i="19"/>
  <c r="W17" i="19"/>
  <c r="V17" i="19"/>
  <c r="U17" i="19"/>
  <c r="T17" i="19"/>
  <c r="S17" i="19"/>
  <c r="R17" i="19"/>
  <c r="Q17" i="19"/>
  <c r="P17" i="19"/>
  <c r="O17" i="19"/>
  <c r="N17" i="19"/>
  <c r="M17" i="19"/>
  <c r="L17" i="19"/>
  <c r="K17" i="19"/>
  <c r="J17" i="19"/>
  <c r="I17" i="19"/>
  <c r="H17" i="19"/>
  <c r="G17" i="19"/>
  <c r="F17" i="19"/>
  <c r="E17" i="19"/>
  <c r="AM7" i="4"/>
  <c r="F18" i="19" s="1"/>
  <c r="F24" i="19" s="1"/>
  <c r="D17" i="19"/>
  <c r="BZ52" i="2"/>
  <c r="BZ63" i="2"/>
  <c r="BY63" i="2"/>
  <c r="BZ62" i="2"/>
  <c r="BY62" i="2"/>
  <c r="BZ61" i="2"/>
  <c r="BY61" i="2"/>
  <c r="BZ60" i="2"/>
  <c r="BY60" i="2"/>
  <c r="BZ59" i="2"/>
  <c r="BY59" i="2"/>
  <c r="BZ57" i="2"/>
  <c r="BY57" i="2"/>
  <c r="BZ56" i="2"/>
  <c r="BY56" i="2"/>
  <c r="BY55" i="2"/>
  <c r="BZ53" i="2"/>
  <c r="BY53" i="2"/>
  <c r="BY52" i="2"/>
  <c r="CA52" i="2"/>
  <c r="CA53" i="2"/>
  <c r="BW63" i="2"/>
  <c r="BV63" i="2"/>
  <c r="BU63" i="2"/>
  <c r="BT63" i="2"/>
  <c r="BW62" i="2"/>
  <c r="BV62" i="2"/>
  <c r="BU62" i="2"/>
  <c r="BT62" i="2"/>
  <c r="BW61" i="2"/>
  <c r="BV61" i="2"/>
  <c r="BU61" i="2"/>
  <c r="BT61" i="2"/>
  <c r="BW60" i="2"/>
  <c r="BV60" i="2"/>
  <c r="BU60" i="2"/>
  <c r="BT60" i="2"/>
  <c r="BW59" i="2"/>
  <c r="BV59" i="2"/>
  <c r="BU59" i="2"/>
  <c r="BT59" i="2"/>
  <c r="BW57" i="2"/>
  <c r="BV57" i="2"/>
  <c r="BU57" i="2"/>
  <c r="BT57" i="2"/>
  <c r="BW56" i="2"/>
  <c r="BV56" i="2"/>
  <c r="BU56" i="2"/>
  <c r="BT56" i="2"/>
  <c r="BW55" i="2"/>
  <c r="BV55" i="2"/>
  <c r="BU55" i="2"/>
  <c r="BT55" i="2"/>
  <c r="BW53" i="2"/>
  <c r="BV53" i="2"/>
  <c r="BU53" i="2"/>
  <c r="BT53" i="2"/>
  <c r="BW52" i="2"/>
  <c r="BU52" i="2"/>
  <c r="BT52" i="2"/>
  <c r="BU46" i="1" l="1"/>
  <c r="BU50" i="1"/>
  <c r="BW50" i="1"/>
  <c r="BW46" i="1"/>
  <c r="CA26" i="1"/>
  <c r="CA30" i="1"/>
  <c r="CA28" i="1"/>
  <c r="I10" i="19"/>
  <c r="CA31" i="1"/>
  <c r="CF16" i="1" l="1"/>
  <c r="CF14" i="1" s="1"/>
  <c r="CF15" i="1" s="1"/>
  <c r="CE16" i="1"/>
  <c r="CE14" i="1" s="1"/>
  <c r="CE15" i="1" s="1"/>
  <c r="CD16" i="1"/>
  <c r="CD14" i="1" s="1"/>
  <c r="CD15" i="1" s="1"/>
  <c r="CB16" i="1"/>
  <c r="CB14" i="1" s="1"/>
  <c r="I20" i="16"/>
  <c r="H20" i="16"/>
  <c r="G20" i="16"/>
  <c r="F20" i="16"/>
  <c r="I24" i="16"/>
  <c r="H24" i="16"/>
  <c r="G24" i="16"/>
  <c r="F24" i="16"/>
  <c r="E24" i="16"/>
  <c r="E20" i="16"/>
  <c r="J24" i="16" l="1"/>
  <c r="BZ75" i="1"/>
  <c r="BZ18" i="1" l="1"/>
  <c r="BZ7" i="4"/>
  <c r="CE8" i="4" s="1"/>
  <c r="BZ29" i="1"/>
  <c r="BZ20" i="1"/>
  <c r="BZ25" i="1"/>
  <c r="BZ27" i="1"/>
  <c r="BZ56" i="1"/>
  <c r="BZ17" i="2"/>
  <c r="BZ8" i="2"/>
  <c r="BZ55" i="2" s="1"/>
  <c r="BZ26" i="1" l="1"/>
  <c r="BZ28" i="1"/>
  <c r="AK18" i="19"/>
  <c r="AK24" i="19" s="1"/>
  <c r="BZ31" i="1"/>
  <c r="BZ30" i="1"/>
  <c r="AE27" i="17" l="1"/>
  <c r="C12" i="17"/>
  <c r="C30" i="17" l="1"/>
  <c r="O12" i="17"/>
  <c r="T12" i="17" s="1"/>
  <c r="Y12" i="17" s="1"/>
  <c r="AD12" i="17" s="1"/>
  <c r="J34" i="17"/>
  <c r="O34" i="17"/>
  <c r="T34" i="17"/>
  <c r="C14" i="17"/>
  <c r="AE20" i="17" s="1"/>
  <c r="J22" i="17"/>
  <c r="O22" i="17"/>
  <c r="T22" i="17"/>
  <c r="Y22" i="17"/>
  <c r="J23" i="17"/>
  <c r="O23" i="17"/>
  <c r="Y23" i="17"/>
  <c r="J24" i="17"/>
  <c r="O24" i="17"/>
  <c r="T24" i="17"/>
  <c r="AE24" i="17"/>
  <c r="J25" i="17"/>
  <c r="O25" i="17"/>
  <c r="AE25" i="17"/>
  <c r="AE28" i="17"/>
  <c r="AE29" i="17"/>
  <c r="J30" i="17"/>
  <c r="O30" i="17"/>
  <c r="T30" i="17"/>
  <c r="Y30" i="17"/>
  <c r="AE22" i="17" l="1"/>
  <c r="C31" i="17"/>
  <c r="J35" i="17" s="1"/>
  <c r="Y31" i="17"/>
  <c r="Y20" i="17" s="1"/>
  <c r="T31" i="17"/>
  <c r="T25" i="17" s="1"/>
  <c r="J31" i="17"/>
  <c r="J20" i="17" s="1"/>
  <c r="Y34" i="17"/>
  <c r="O31" i="17"/>
  <c r="O20" i="17" s="1"/>
  <c r="Y24" i="17"/>
  <c r="AE23" i="17"/>
  <c r="Y25" i="17"/>
  <c r="J21" i="17" l="1"/>
  <c r="T35" i="17"/>
  <c r="Y35" i="17"/>
  <c r="O35" i="17"/>
  <c r="T23" i="17"/>
  <c r="Y21" i="17"/>
  <c r="T20" i="17"/>
  <c r="T21" i="17"/>
  <c r="O21" i="17"/>
  <c r="E6" i="16" l="1"/>
  <c r="E7" i="16" s="1"/>
  <c r="E10" i="16" s="1"/>
  <c r="CA16" i="1" l="1"/>
  <c r="CA14" i="1" s="1"/>
  <c r="CD58" i="3" l="1"/>
  <c r="CD37" i="3"/>
  <c r="CH60" i="3"/>
  <c r="CF58" i="3"/>
  <c r="CE58" i="3"/>
  <c r="CH56" i="3"/>
  <c r="CH54" i="3"/>
  <c r="CH53" i="3"/>
  <c r="CH52" i="3"/>
  <c r="CH51" i="3"/>
  <c r="CH50" i="3"/>
  <c r="CH49" i="3"/>
  <c r="CH48" i="3"/>
  <c r="CH47" i="3"/>
  <c r="CH46" i="3"/>
  <c r="CH45" i="3"/>
  <c r="CH44" i="3"/>
  <c r="CH43" i="3"/>
  <c r="CG37" i="3"/>
  <c r="CF37" i="3"/>
  <c r="CE37" i="3"/>
  <c r="CH36" i="3"/>
  <c r="CH35" i="3"/>
  <c r="CH34" i="3"/>
  <c r="CH33" i="3"/>
  <c r="CG26" i="3"/>
  <c r="CF26" i="3"/>
  <c r="CE26" i="3"/>
  <c r="CH24" i="3"/>
  <c r="CH22" i="3"/>
  <c r="CH16" i="3"/>
  <c r="CH15" i="3"/>
  <c r="CH13" i="3"/>
  <c r="CH12" i="3"/>
  <c r="CH11" i="3"/>
  <c r="CH7" i="3"/>
  <c r="CH43" i="2"/>
  <c r="CH41" i="2"/>
  <c r="CH39" i="2"/>
  <c r="CH37" i="2"/>
  <c r="CH36" i="2"/>
  <c r="CH35" i="2"/>
  <c r="CF32" i="2"/>
  <c r="CG32" i="2" s="1"/>
  <c r="CH32" i="2" s="1"/>
  <c r="CH30" i="2"/>
  <c r="CH27" i="2"/>
  <c r="CI26" i="3" s="1"/>
  <c r="CL26" i="3" s="1"/>
  <c r="CH23" i="2"/>
  <c r="CH22" i="2"/>
  <c r="CH21" i="2"/>
  <c r="CH39" i="1"/>
  <c r="CH36" i="1"/>
  <c r="CH16" i="1"/>
  <c r="CH58" i="3" l="1"/>
  <c r="CH10" i="3"/>
  <c r="CH37" i="3"/>
  <c r="BY77" i="1"/>
  <c r="BY79" i="1" s="1"/>
  <c r="BY75" i="1"/>
  <c r="BY78" i="1" l="1"/>
  <c r="BT26" i="4" l="1"/>
  <c r="BW14" i="3"/>
  <c r="BY6" i="1"/>
  <c r="BY25" i="1"/>
  <c r="BY56" i="1"/>
  <c r="BY29" i="1"/>
  <c r="BY27" i="1"/>
  <c r="BY20" i="1"/>
  <c r="BY7" i="4"/>
  <c r="BT7" i="4"/>
  <c r="BY17" i="2"/>
  <c r="CB26" i="4"/>
  <c r="CC26" i="4" s="1"/>
  <c r="AN23" i="19" s="1"/>
  <c r="CA26" i="4"/>
  <c r="BZ26" i="4"/>
  <c r="BY26" i="4"/>
  <c r="AF18" i="19" l="1"/>
  <c r="AF24" i="19" s="1"/>
  <c r="AJ23" i="19"/>
  <c r="BC5" i="23"/>
  <c r="AF23" i="19"/>
  <c r="AY5" i="23"/>
  <c r="AK23" i="19"/>
  <c r="BD5" i="23"/>
  <c r="AL23" i="19"/>
  <c r="BE5" i="23"/>
  <c r="AM23" i="19"/>
  <c r="BF5" i="23"/>
  <c r="BY30" i="1"/>
  <c r="BY26" i="1"/>
  <c r="BY28" i="1"/>
  <c r="AJ18" i="19"/>
  <c r="AJ24" i="19" s="1"/>
  <c r="CD8" i="4"/>
  <c r="BV27" i="1"/>
  <c r="BU29" i="1"/>
  <c r="BY50" i="1" l="1"/>
  <c r="CC50" i="1" s="1"/>
  <c r="BY46" i="1"/>
  <c r="CC46" i="1" s="1"/>
  <c r="BV68" i="3"/>
  <c r="BU68" i="3"/>
  <c r="BW56" i="1"/>
  <c r="BW29" i="1"/>
  <c r="BW27" i="1"/>
  <c r="BW28" i="1" s="1"/>
  <c r="BW25" i="1"/>
  <c r="BW26" i="1" s="1"/>
  <c r="BW20" i="1"/>
  <c r="BW75" i="1"/>
  <c r="BW60" i="3"/>
  <c r="BW44" i="3"/>
  <c r="BW56" i="3"/>
  <c r="BW55" i="3"/>
  <c r="BX55" i="3" s="1"/>
  <c r="BW49" i="3"/>
  <c r="BW36" i="3"/>
  <c r="BW35" i="3"/>
  <c r="BW33" i="3"/>
  <c r="BX22" i="3"/>
  <c r="BW27" i="3"/>
  <c r="BX27" i="3" s="1"/>
  <c r="BW28" i="3"/>
  <c r="BW25" i="3"/>
  <c r="BW21" i="3"/>
  <c r="BW20" i="3"/>
  <c r="BW18" i="3"/>
  <c r="BW17" i="3"/>
  <c r="BX17" i="3" s="1"/>
  <c r="BW11" i="3"/>
  <c r="BW9" i="3"/>
  <c r="BW68" i="3" s="1"/>
  <c r="BW7" i="3"/>
  <c r="BW17" i="2"/>
  <c r="BT46" i="1" l="1"/>
  <c r="BX46" i="1" s="1"/>
  <c r="BT50" i="1"/>
  <c r="BX50" i="1" s="1"/>
  <c r="BW30" i="1"/>
  <c r="BW16" i="1" l="1"/>
  <c r="AJ5" i="13" l="1"/>
  <c r="AJ2" i="13"/>
  <c r="BV75" i="1"/>
  <c r="BV77" i="1"/>
  <c r="BV78" i="1" s="1"/>
  <c r="BV7" i="4"/>
  <c r="AH18" i="19" s="1"/>
  <c r="AH24" i="19" s="1"/>
  <c r="BV56" i="1"/>
  <c r="BV29" i="1"/>
  <c r="BV30" i="1" s="1"/>
  <c r="BV28" i="1"/>
  <c r="BV25" i="1"/>
  <c r="BV20" i="1"/>
  <c r="BV21" i="1" s="1"/>
  <c r="BV17" i="2"/>
  <c r="AJ4" i="13" l="1"/>
  <c r="BV26" i="1"/>
  <c r="BH7" i="4" l="1"/>
  <c r="W18" i="19" s="1"/>
  <c r="W24" i="19" s="1"/>
  <c r="BU5" i="4"/>
  <c r="AZ4" i="23" s="1"/>
  <c r="AI2" i="13"/>
  <c r="AH5" i="13"/>
  <c r="AH4" i="13"/>
  <c r="AH2" i="13"/>
  <c r="AK5" i="13"/>
  <c r="AI5" i="13"/>
  <c r="AK2" i="13"/>
  <c r="BU77" i="1" l="1"/>
  <c r="BU78" i="1" s="1"/>
  <c r="BU75" i="1"/>
  <c r="BU56" i="1"/>
  <c r="BU17" i="2"/>
  <c r="BU62" i="1"/>
  <c r="BT56" i="1"/>
  <c r="BU30" i="1"/>
  <c r="BU27" i="1"/>
  <c r="BU28" i="1" s="1"/>
  <c r="BU25" i="1"/>
  <c r="BU20" i="1"/>
  <c r="BU21" i="1" s="1"/>
  <c r="BU22" i="1" s="1"/>
  <c r="AM18" i="19"/>
  <c r="AM24" i="19" s="1"/>
  <c r="CA7" i="4"/>
  <c r="CA9" i="4" s="1"/>
  <c r="CA5" i="4"/>
  <c r="BE4" i="23" s="1"/>
  <c r="BZ5" i="4"/>
  <c r="BD4" i="23" s="1"/>
  <c r="BY5" i="4"/>
  <c r="BC4" i="23" s="1"/>
  <c r="CA6" i="4"/>
  <c r="BZ6" i="4"/>
  <c r="BY6" i="4"/>
  <c r="BT10" i="1"/>
  <c r="CC60" i="3"/>
  <c r="CB58" i="3"/>
  <c r="CA58" i="3"/>
  <c r="BZ58" i="3"/>
  <c r="BY58" i="3"/>
  <c r="CC56" i="3"/>
  <c r="CC54" i="3"/>
  <c r="CC53" i="3"/>
  <c r="CC52" i="3"/>
  <c r="CC51" i="3"/>
  <c r="CC50" i="3"/>
  <c r="CC49" i="3"/>
  <c r="CC48" i="3"/>
  <c r="CC47" i="3"/>
  <c r="CC46" i="3"/>
  <c r="CC45" i="3"/>
  <c r="CC44" i="3"/>
  <c r="CC43" i="3"/>
  <c r="CA37" i="3"/>
  <c r="BZ37" i="3"/>
  <c r="BY37" i="3"/>
  <c r="CC36" i="3"/>
  <c r="CC35" i="3"/>
  <c r="CC34" i="3"/>
  <c r="CC33" i="3"/>
  <c r="CB26" i="3"/>
  <c r="CA26" i="3"/>
  <c r="BZ26" i="3"/>
  <c r="CC24" i="3"/>
  <c r="CC22" i="3"/>
  <c r="CC16" i="3"/>
  <c r="CC15" i="3"/>
  <c r="CC13" i="3"/>
  <c r="CC12" i="3"/>
  <c r="CC11" i="3"/>
  <c r="CC7" i="3"/>
  <c r="BY48" i="2"/>
  <c r="CC43" i="2"/>
  <c r="CC41" i="2"/>
  <c r="CC39" i="2"/>
  <c r="CC38" i="2"/>
  <c r="CH38" i="2" s="1"/>
  <c r="CM38" i="2" s="1"/>
  <c r="CR38" i="2" s="1"/>
  <c r="CS38" i="2" s="1"/>
  <c r="CT38" i="2" s="1"/>
  <c r="CU38" i="2" s="1"/>
  <c r="CV38" i="2" s="1"/>
  <c r="CW38" i="2" s="1"/>
  <c r="CC37" i="2"/>
  <c r="CC36" i="2"/>
  <c r="CC35" i="2"/>
  <c r="CC34" i="2"/>
  <c r="CH34" i="2" s="1"/>
  <c r="CM34" i="2" s="1"/>
  <c r="CR34" i="2" s="1"/>
  <c r="CS34" i="2" s="1"/>
  <c r="CT34" i="2" s="1"/>
  <c r="CU34" i="2" s="1"/>
  <c r="CV34" i="2" s="1"/>
  <c r="CW34" i="2" s="1"/>
  <c r="CA32" i="2"/>
  <c r="CB32" i="2" s="1"/>
  <c r="CC32" i="2" s="1"/>
  <c r="BY31" i="2"/>
  <c r="BY40" i="2" s="1"/>
  <c r="CC30" i="2"/>
  <c r="CC27" i="2"/>
  <c r="CD26" i="3" s="1"/>
  <c r="CH26" i="3" s="1"/>
  <c r="CC23" i="2"/>
  <c r="CC22" i="2"/>
  <c r="CC21" i="2"/>
  <c r="CC17" i="2"/>
  <c r="CH17" i="2" s="1"/>
  <c r="CM17" i="2" s="1"/>
  <c r="CR17" i="2" s="1"/>
  <c r="CS17" i="2" s="1"/>
  <c r="CT17" i="2" s="1"/>
  <c r="CU17" i="2" s="1"/>
  <c r="CV17" i="2" s="1"/>
  <c r="CW17" i="2" s="1"/>
  <c r="BZ16" i="2"/>
  <c r="CC15" i="2"/>
  <c r="CH15" i="2" s="1"/>
  <c r="CM15" i="2" s="1"/>
  <c r="CR15" i="2" s="1"/>
  <c r="CS15" i="2" s="1"/>
  <c r="CT15" i="2" s="1"/>
  <c r="CU15" i="2" s="1"/>
  <c r="CV15" i="2" s="1"/>
  <c r="CW15" i="2" s="1"/>
  <c r="CC14" i="2"/>
  <c r="CH14" i="2" s="1"/>
  <c r="CM14" i="2" s="1"/>
  <c r="CR14" i="2" s="1"/>
  <c r="CS14" i="2" s="1"/>
  <c r="CT14" i="2" s="1"/>
  <c r="CU14" i="2" s="1"/>
  <c r="CV14" i="2" s="1"/>
  <c r="CW14" i="2" s="1"/>
  <c r="CC13" i="2"/>
  <c r="CH13" i="2" s="1"/>
  <c r="CM13" i="2" s="1"/>
  <c r="CR13" i="2" s="1"/>
  <c r="CS13" i="2" s="1"/>
  <c r="CT13" i="2" s="1"/>
  <c r="CU13" i="2" s="1"/>
  <c r="CV13" i="2" s="1"/>
  <c r="CW13" i="2" s="1"/>
  <c r="BY11" i="2"/>
  <c r="BY18" i="2" s="1"/>
  <c r="CC7" i="2"/>
  <c r="CH7" i="2" s="1"/>
  <c r="CM7" i="2" s="1"/>
  <c r="CN7" i="2" s="1"/>
  <c r="BT20" i="1"/>
  <c r="BT21" i="1" s="1"/>
  <c r="BT13" i="1"/>
  <c r="BR10" i="1"/>
  <c r="BR14" i="1" s="1"/>
  <c r="BR15" i="1" s="1"/>
  <c r="CC73" i="1"/>
  <c r="CB40" i="1"/>
  <c r="CA40" i="1"/>
  <c r="BZ40" i="1"/>
  <c r="BY40" i="1"/>
  <c r="CC39" i="1"/>
  <c r="CC37" i="1"/>
  <c r="CC36" i="1"/>
  <c r="CC16" i="1"/>
  <c r="CP7" i="2" l="1"/>
  <c r="CF8" i="4"/>
  <c r="CC7" i="4"/>
  <c r="BT14" i="1"/>
  <c r="BT15" i="1" s="1"/>
  <c r="BY15" i="1"/>
  <c r="AL18" i="19"/>
  <c r="AL24" i="19" s="1"/>
  <c r="AL25" i="19" s="1"/>
  <c r="CA16" i="2"/>
  <c r="BZ77" i="1"/>
  <c r="BU26" i="1"/>
  <c r="BT18" i="1"/>
  <c r="BT19" i="1" s="1"/>
  <c r="BR18" i="1"/>
  <c r="BR19" i="1" s="1"/>
  <c r="BX4" i="1"/>
  <c r="BY42" i="2"/>
  <c r="BY44" i="2" s="1"/>
  <c r="CC58" i="3"/>
  <c r="CC37" i="3"/>
  <c r="BU79" i="1"/>
  <c r="CC40" i="1"/>
  <c r="CC14" i="3"/>
  <c r="CC10" i="3"/>
  <c r="CC29" i="2"/>
  <c r="CH29" i="2" s="1"/>
  <c r="CM29" i="2" s="1"/>
  <c r="CR29" i="2" s="1"/>
  <c r="CS29" i="2" s="1"/>
  <c r="CR7" i="2" l="1"/>
  <c r="CS7" i="2" s="1"/>
  <c r="CT7" i="2" s="1"/>
  <c r="CU7" i="2" s="1"/>
  <c r="CV7" i="2" s="1"/>
  <c r="CW7" i="2" s="1"/>
  <c r="CP77" i="1"/>
  <c r="CT29" i="2"/>
  <c r="CU29" i="2" s="1"/>
  <c r="CV29" i="2" s="1"/>
  <c r="CW29" i="2" s="1"/>
  <c r="CH8" i="4"/>
  <c r="AN18" i="19"/>
  <c r="BX54" i="4"/>
  <c r="BX47" i="4" s="1"/>
  <c r="D61" i="19"/>
  <c r="BZ78" i="1"/>
  <c r="BZ79" i="1"/>
  <c r="CB16" i="2"/>
  <c r="CA77" i="1"/>
  <c r="CC33" i="2"/>
  <c r="CB52" i="2"/>
  <c r="CB53" i="2"/>
  <c r="BT77" i="1"/>
  <c r="BT79" i="1" s="1"/>
  <c r="BT75" i="1"/>
  <c r="BW26" i="4"/>
  <c r="BX26" i="4" s="1"/>
  <c r="BV26" i="4"/>
  <c r="BA5" i="23" s="1"/>
  <c r="AG23" i="19"/>
  <c r="BW7" i="4"/>
  <c r="BW9" i="4" s="1"/>
  <c r="AK4" i="13"/>
  <c r="BU7" i="4"/>
  <c r="BW5" i="4"/>
  <c r="BB4" i="23" s="1"/>
  <c r="BV5" i="4"/>
  <c r="BA4" i="23" s="1"/>
  <c r="BT5" i="4"/>
  <c r="AY4" i="23" s="1"/>
  <c r="BW6" i="4"/>
  <c r="BV6" i="4"/>
  <c r="BU6" i="4"/>
  <c r="BT6" i="4"/>
  <c r="BT22" i="1"/>
  <c r="BT29" i="1"/>
  <c r="BT30" i="1" s="1"/>
  <c r="BT27" i="1"/>
  <c r="BT28" i="1" s="1"/>
  <c r="BT25" i="1"/>
  <c r="BT26" i="1" s="1"/>
  <c r="BT17" i="2"/>
  <c r="CP79" i="1" l="1"/>
  <c r="CP78" i="1"/>
  <c r="BX7" i="4"/>
  <c r="CC8" i="4" s="1"/>
  <c r="BX58" i="4"/>
  <c r="BX51" i="4"/>
  <c r="AI23" i="19"/>
  <c r="BB5" i="23"/>
  <c r="CM73" i="1"/>
  <c r="AH23" i="19"/>
  <c r="AJ3" i="13"/>
  <c r="CA79" i="1"/>
  <c r="CA78" i="1"/>
  <c r="CC16" i="2"/>
  <c r="CD16" i="2" s="1"/>
  <c r="CB77" i="1"/>
  <c r="AG18" i="19"/>
  <c r="AG24" i="19" s="1"/>
  <c r="AI4" i="13"/>
  <c r="BW97" i="1"/>
  <c r="CD53" i="2"/>
  <c r="CB8" i="4"/>
  <c r="AI18" i="19"/>
  <c r="AI24" i="19" s="1"/>
  <c r="CD52" i="2"/>
  <c r="CE52" i="2"/>
  <c r="CE53" i="2"/>
  <c r="BY18" i="1"/>
  <c r="BY7" i="1" s="1"/>
  <c r="BY8" i="1" s="1"/>
  <c r="BZ8" i="4"/>
  <c r="CA8" i="4"/>
  <c r="BY8" i="4"/>
  <c r="BY5" i="1"/>
  <c r="BC3" i="23" s="1"/>
  <c r="BY46" i="2"/>
  <c r="BY65" i="2"/>
  <c r="BT78" i="1"/>
  <c r="BW8" i="4"/>
  <c r="BW40" i="1"/>
  <c r="BV40" i="1"/>
  <c r="BU40" i="1"/>
  <c r="BT40" i="1"/>
  <c r="BX39" i="1"/>
  <c r="BR40" i="1"/>
  <c r="BR29" i="1"/>
  <c r="BR30" i="1" s="1"/>
  <c r="BR56" i="1"/>
  <c r="BR27" i="1"/>
  <c r="BR28" i="1" s="1"/>
  <c r="BR25" i="1"/>
  <c r="BR20" i="1"/>
  <c r="BR8" i="3"/>
  <c r="BR77" i="1"/>
  <c r="BR75" i="1"/>
  <c r="BR56" i="2"/>
  <c r="BR57" i="2"/>
  <c r="BR59" i="2"/>
  <c r="BR60" i="2"/>
  <c r="BR61" i="2"/>
  <c r="BR62" i="2"/>
  <c r="BR63" i="2"/>
  <c r="BR65" i="2"/>
  <c r="BP55" i="2"/>
  <c r="BP56" i="2"/>
  <c r="BP59" i="2"/>
  <c r="BP60" i="2"/>
  <c r="BP61" i="2"/>
  <c r="BP62" i="2"/>
  <c r="BP63" i="2"/>
  <c r="BP65" i="2"/>
  <c r="BR17" i="2"/>
  <c r="BR8" i="2"/>
  <c r="BR55" i="2" s="1"/>
  <c r="CE16" i="2" l="1"/>
  <c r="CD77" i="1"/>
  <c r="CB78" i="1"/>
  <c r="CB79" i="1"/>
  <c r="BR26" i="1"/>
  <c r="BV97" i="1"/>
  <c r="BY19" i="1"/>
  <c r="CF52" i="2"/>
  <c r="CF53" i="2"/>
  <c r="BY12" i="1"/>
  <c r="BY21" i="1"/>
  <c r="BY22" i="1" s="1"/>
  <c r="CC12" i="2"/>
  <c r="CD68" i="3" s="1"/>
  <c r="BR78" i="1"/>
  <c r="CF16" i="2" l="1"/>
  <c r="CE77" i="1"/>
  <c r="CD78" i="1"/>
  <c r="CD79" i="1"/>
  <c r="CH33" i="2"/>
  <c r="CI53" i="2" s="1"/>
  <c r="CG16" i="2" l="1"/>
  <c r="CF77" i="1"/>
  <c r="CE78" i="1"/>
  <c r="CE79" i="1"/>
  <c r="CD13" i="1"/>
  <c r="CD48" i="2"/>
  <c r="CI50" i="2" s="1"/>
  <c r="CD65" i="2"/>
  <c r="CD5" i="1"/>
  <c r="BG3" i="23" s="1"/>
  <c r="CD18" i="1"/>
  <c r="CD46" i="2"/>
  <c r="BQ77" i="1"/>
  <c r="BQ78" i="1" s="1"/>
  <c r="BP46" i="1"/>
  <c r="BQ56" i="1"/>
  <c r="BQ29" i="1"/>
  <c r="BQ27" i="1"/>
  <c r="BQ25" i="1"/>
  <c r="BQ20" i="1"/>
  <c r="CH16" i="2" l="1"/>
  <c r="CG77" i="1"/>
  <c r="CD7" i="1"/>
  <c r="CD8" i="1" s="1"/>
  <c r="CD19" i="1"/>
  <c r="CF78" i="1"/>
  <c r="CF79" i="1"/>
  <c r="CD12" i="1"/>
  <c r="CD40" i="1"/>
  <c r="CD14" i="3"/>
  <c r="CG14" i="3" s="1"/>
  <c r="BU97" i="1"/>
  <c r="CD33" i="1"/>
  <c r="CD55" i="1" s="1"/>
  <c r="CD31" i="2"/>
  <c r="CD40" i="2" s="1"/>
  <c r="CD50" i="2"/>
  <c r="BQ38" i="2"/>
  <c r="BQ34" i="2"/>
  <c r="BQ33" i="2"/>
  <c r="BQ29" i="2"/>
  <c r="BQ28" i="2"/>
  <c r="BQ26" i="2"/>
  <c r="BQ25" i="2"/>
  <c r="BQ24" i="2"/>
  <c r="BQ17" i="2"/>
  <c r="BQ10" i="2"/>
  <c r="BQ4" i="1"/>
  <c r="BO46" i="1" l="1"/>
  <c r="BS46" i="1" s="1"/>
  <c r="CD57" i="1"/>
  <c r="BQ38" i="1"/>
  <c r="BQ54" i="4"/>
  <c r="CM16" i="2"/>
  <c r="CI77" i="1"/>
  <c r="BQ57" i="2"/>
  <c r="CG79" i="1"/>
  <c r="CG78" i="1"/>
  <c r="BQ59" i="2"/>
  <c r="BQ61" i="2"/>
  <c r="BQ60" i="2"/>
  <c r="BQ62" i="2"/>
  <c r="BQ10" i="1"/>
  <c r="BQ55" i="2"/>
  <c r="BQ56" i="2"/>
  <c r="BQ63" i="2"/>
  <c r="BQ26" i="1"/>
  <c r="BV52" i="2"/>
  <c r="BQ65" i="2"/>
  <c r="CD34" i="1"/>
  <c r="I31" i="15" s="1"/>
  <c r="CD42" i="1"/>
  <c r="CH9" i="3"/>
  <c r="BQ30" i="1"/>
  <c r="BQ75" i="1"/>
  <c r="BQ28" i="1"/>
  <c r="BP40" i="1"/>
  <c r="BQ40" i="1"/>
  <c r="BP29" i="1"/>
  <c r="BP30" i="1" s="1"/>
  <c r="BP27" i="1"/>
  <c r="BP28" i="1" s="1"/>
  <c r="BP25" i="1"/>
  <c r="BP20" i="1"/>
  <c r="BP60" i="3"/>
  <c r="BQ60" i="3" s="1"/>
  <c r="BR60" i="3" s="1"/>
  <c r="BP55" i="3"/>
  <c r="BP56" i="3"/>
  <c r="BQ56" i="3" s="1"/>
  <c r="BR56" i="3" s="1"/>
  <c r="BP49" i="3"/>
  <c r="BQ49" i="3" s="1"/>
  <c r="BR49" i="3" s="1"/>
  <c r="BP44" i="3"/>
  <c r="BQ44" i="3" s="1"/>
  <c r="BP35" i="3"/>
  <c r="BQ35" i="3" s="1"/>
  <c r="BR35" i="3" s="1"/>
  <c r="BP36" i="3"/>
  <c r="BQ36" i="3" s="1"/>
  <c r="BR36" i="3" s="1"/>
  <c r="BP33" i="3"/>
  <c r="BQ33" i="3" s="1"/>
  <c r="BR33" i="3" s="1"/>
  <c r="BP27" i="3"/>
  <c r="BP23" i="3"/>
  <c r="BQ23" i="3" s="1"/>
  <c r="BR23" i="3" s="1"/>
  <c r="BP28" i="3"/>
  <c r="BQ28" i="3" s="1"/>
  <c r="BR28" i="3" s="1"/>
  <c r="BP25" i="3"/>
  <c r="BQ25" i="3" s="1"/>
  <c r="BR25" i="3" s="1"/>
  <c r="BP21" i="3"/>
  <c r="BQ21" i="3" s="1"/>
  <c r="BR21" i="3" s="1"/>
  <c r="BP20" i="3"/>
  <c r="BQ20" i="3" s="1"/>
  <c r="BR20" i="3" s="1"/>
  <c r="BP18" i="3"/>
  <c r="BQ18" i="3" s="1"/>
  <c r="BR18" i="3" s="1"/>
  <c r="BP17" i="3"/>
  <c r="BP14" i="3"/>
  <c r="BQ14" i="3" s="1"/>
  <c r="BR14" i="3" s="1"/>
  <c r="BP11" i="3"/>
  <c r="BQ11" i="3" s="1"/>
  <c r="BR11" i="3" s="1"/>
  <c r="BP10" i="3"/>
  <c r="BQ10" i="3" s="1"/>
  <c r="BR10" i="3" s="1"/>
  <c r="BP9" i="3"/>
  <c r="BP8" i="3"/>
  <c r="BP7" i="3"/>
  <c r="BQ7" i="3" s="1"/>
  <c r="BR7" i="3" s="1"/>
  <c r="BP17" i="2"/>
  <c r="BP10" i="2"/>
  <c r="BP57" i="2" s="1"/>
  <c r="BP77" i="1"/>
  <c r="BP79" i="1" s="1"/>
  <c r="BP75" i="1"/>
  <c r="BP62" i="1"/>
  <c r="BP56" i="1" s="1"/>
  <c r="BO26" i="4"/>
  <c r="AU5" i="23" s="1"/>
  <c r="CR16" i="2" l="1"/>
  <c r="CS16" i="2" s="1"/>
  <c r="CT16" i="2" s="1"/>
  <c r="CU16" i="2" s="1"/>
  <c r="CV16" i="2" s="1"/>
  <c r="CW16" i="2" s="1"/>
  <c r="CN77" i="1"/>
  <c r="BQ18" i="1"/>
  <c r="BQ14" i="1"/>
  <c r="BQ15" i="1" s="1"/>
  <c r="CD61" i="1"/>
  <c r="CD64" i="1" s="1"/>
  <c r="CD52" i="1" s="1"/>
  <c r="BQ56" i="4"/>
  <c r="BQ58" i="4"/>
  <c r="BR56" i="4"/>
  <c r="BV55" i="4"/>
  <c r="BQ55" i="4"/>
  <c r="BQ51" i="4"/>
  <c r="BQ47" i="4"/>
  <c r="CI79" i="1"/>
  <c r="CI78" i="1"/>
  <c r="CM33" i="2"/>
  <c r="CD58" i="1"/>
  <c r="BS39" i="1"/>
  <c r="AB23" i="19"/>
  <c r="AD10" i="13"/>
  <c r="BP26" i="1"/>
  <c r="BT97" i="1"/>
  <c r="CH12" i="2"/>
  <c r="CI68" i="3" s="1"/>
  <c r="CD43" i="1"/>
  <c r="BQ55" i="3"/>
  <c r="BS55" i="3" s="1"/>
  <c r="BQ8" i="3"/>
  <c r="BS8" i="3" s="1"/>
  <c r="BQ9" i="3"/>
  <c r="BQ17" i="3"/>
  <c r="BR17" i="3" s="1"/>
  <c r="BQ27" i="3"/>
  <c r="BR27" i="3" s="1"/>
  <c r="BS27" i="3" s="1"/>
  <c r="BP78" i="1"/>
  <c r="CN79" i="1" l="1"/>
  <c r="CN78" i="1"/>
  <c r="CD63" i="1"/>
  <c r="CI38" i="1"/>
  <c r="CN53" i="2"/>
  <c r="CN52" i="2"/>
  <c r="CD6" i="3"/>
  <c r="CI5" i="1"/>
  <c r="BK3" i="23" s="1"/>
  <c r="CD59" i="1"/>
  <c r="CD67" i="1"/>
  <c r="I23" i="15" s="1"/>
  <c r="CD65" i="1"/>
  <c r="CD69" i="1"/>
  <c r="BS17" i="3"/>
  <c r="BQ68" i="3"/>
  <c r="BR9" i="3"/>
  <c r="BR68" i="3" s="1"/>
  <c r="BO63" i="2"/>
  <c r="BO62" i="2"/>
  <c r="BO61" i="2"/>
  <c r="BO60" i="2"/>
  <c r="BO59" i="2"/>
  <c r="BO56" i="2"/>
  <c r="BO55" i="2"/>
  <c r="BT10" i="3"/>
  <c r="BX60" i="3"/>
  <c r="BW58" i="3"/>
  <c r="BV58" i="3"/>
  <c r="BU58" i="3"/>
  <c r="BT58" i="3"/>
  <c r="BX56" i="3"/>
  <c r="BX54" i="3"/>
  <c r="BX53" i="3"/>
  <c r="BX52" i="3"/>
  <c r="BX51" i="3"/>
  <c r="BX50" i="3"/>
  <c r="BX49" i="3"/>
  <c r="BX48" i="3"/>
  <c r="BX47" i="3"/>
  <c r="BX46" i="3"/>
  <c r="BX45" i="3"/>
  <c r="BX44" i="3"/>
  <c r="BX43" i="3"/>
  <c r="BW37" i="3"/>
  <c r="BV37" i="3"/>
  <c r="BU37" i="3"/>
  <c r="BT37" i="3"/>
  <c r="BX36" i="3"/>
  <c r="BX35" i="3"/>
  <c r="BX34" i="3"/>
  <c r="BX33" i="3"/>
  <c r="BW26" i="3"/>
  <c r="BV26" i="3"/>
  <c r="BV29" i="3" s="1"/>
  <c r="BU26" i="3"/>
  <c r="BX24" i="3"/>
  <c r="BX16" i="3"/>
  <c r="BX15" i="3"/>
  <c r="BX13" i="3"/>
  <c r="BX12" i="3"/>
  <c r="BX11" i="3"/>
  <c r="BU10" i="3"/>
  <c r="BX7" i="3"/>
  <c r="BX43" i="2"/>
  <c r="BX41" i="2"/>
  <c r="BX39" i="2"/>
  <c r="BX38" i="2"/>
  <c r="BX37" i="2"/>
  <c r="BX36" i="2"/>
  <c r="BX35" i="2"/>
  <c r="BV32" i="2"/>
  <c r="BX30" i="2"/>
  <c r="BX27" i="2"/>
  <c r="BY26" i="3" s="1"/>
  <c r="CC26" i="3" s="1"/>
  <c r="BX23" i="2"/>
  <c r="BX22" i="2"/>
  <c r="BX21" i="2"/>
  <c r="BX103" i="1"/>
  <c r="BW103" i="1"/>
  <c r="BV103" i="1"/>
  <c r="BU103" i="1"/>
  <c r="BT103" i="1"/>
  <c r="BT88" i="1"/>
  <c r="BX37" i="1"/>
  <c r="BX38" i="1" s="1"/>
  <c r="BX36" i="1"/>
  <c r="BX16" i="1"/>
  <c r="BT7" i="1"/>
  <c r="BT12" i="1"/>
  <c r="CI18" i="1" l="1"/>
  <c r="CD53" i="1"/>
  <c r="CI31" i="1"/>
  <c r="CI46" i="2"/>
  <c r="CI12" i="1"/>
  <c r="CI21" i="1"/>
  <c r="CI22" i="1" s="1"/>
  <c r="CI40" i="1"/>
  <c r="CI31" i="2"/>
  <c r="CI40" i="2" s="1"/>
  <c r="BW32" i="2"/>
  <c r="BX32" i="2" s="1"/>
  <c r="BV79" i="1"/>
  <c r="BW10" i="3"/>
  <c r="BX10" i="3" s="1"/>
  <c r="BX40" i="1"/>
  <c r="BX14" i="3"/>
  <c r="BT46" i="2"/>
  <c r="BX58" i="3"/>
  <c r="BX37" i="3"/>
  <c r="BT104" i="1"/>
  <c r="BT5" i="1"/>
  <c r="AY3" i="23" s="1"/>
  <c r="BT8" i="1"/>
  <c r="BO75" i="1"/>
  <c r="BO29" i="1"/>
  <c r="BO56" i="1"/>
  <c r="BO27" i="1"/>
  <c r="BO25" i="1"/>
  <c r="BO20" i="1"/>
  <c r="BS34" i="2"/>
  <c r="BX34" i="2" s="1"/>
  <c r="BN13" i="2"/>
  <c r="BN29" i="2"/>
  <c r="BN34" i="2"/>
  <c r="BS29" i="2"/>
  <c r="BX29" i="2" s="1"/>
  <c r="BS13" i="2"/>
  <c r="BX13" i="2" s="1"/>
  <c r="S21" i="15" l="1"/>
  <c r="CI7" i="1"/>
  <c r="CI8" i="1" s="1"/>
  <c r="CI19" i="1"/>
  <c r="CP52" i="2"/>
  <c r="CP53" i="2"/>
  <c r="CI33" i="1"/>
  <c r="BX73" i="1"/>
  <c r="BT31" i="1"/>
  <c r="BT31" i="2"/>
  <c r="BO6" i="3"/>
  <c r="BO17" i="2"/>
  <c r="BO12" i="2"/>
  <c r="BP68" i="3" s="1"/>
  <c r="BO10" i="2"/>
  <c r="BO57" i="2" s="1"/>
  <c r="BO26" i="1"/>
  <c r="BO28" i="1"/>
  <c r="BO30" i="1"/>
  <c r="CI42" i="1" l="1"/>
  <c r="CI61" i="1" s="1"/>
  <c r="CI55" i="1"/>
  <c r="CR33" i="2"/>
  <c r="CS33" i="2" s="1"/>
  <c r="CI34" i="1"/>
  <c r="N31" i="15" s="1"/>
  <c r="CM12" i="2"/>
  <c r="CN68" i="3" s="1"/>
  <c r="BP6" i="3"/>
  <c r="BO29" i="3"/>
  <c r="BT33" i="1"/>
  <c r="BT55" i="1" s="1"/>
  <c r="CI43" i="1" l="1"/>
  <c r="CS52" i="2"/>
  <c r="CS53" i="2"/>
  <c r="CT33" i="2"/>
  <c r="CI63" i="1"/>
  <c r="CN48" i="2"/>
  <c r="CO49" i="2" s="1"/>
  <c r="CN31" i="2"/>
  <c r="CN40" i="2" s="1"/>
  <c r="CN46" i="2"/>
  <c r="BT42" i="1"/>
  <c r="BT61" i="1" s="1"/>
  <c r="BQ6" i="3"/>
  <c r="BQ29" i="3" s="1"/>
  <c r="BP29" i="3"/>
  <c r="BT34" i="1"/>
  <c r="F31" i="5"/>
  <c r="F32" i="5"/>
  <c r="F30" i="5"/>
  <c r="AF5" i="13"/>
  <c r="AG5" i="13"/>
  <c r="AE5" i="13"/>
  <c r="AD5" i="13"/>
  <c r="AF2" i="13"/>
  <c r="AG2" i="13"/>
  <c r="AE2" i="13"/>
  <c r="AI3" i="13" s="1"/>
  <c r="AD2" i="13"/>
  <c r="AH3" i="13" s="1"/>
  <c r="BR26" i="4"/>
  <c r="BS26" i="4" s="1"/>
  <c r="BQ26" i="4"/>
  <c r="BP26" i="4"/>
  <c r="AV5" i="23" s="1"/>
  <c r="BR7" i="4"/>
  <c r="BR9" i="4" s="1"/>
  <c r="BQ7" i="4"/>
  <c r="BP7" i="4"/>
  <c r="BO7" i="4"/>
  <c r="BR5" i="4"/>
  <c r="AX4" i="23" s="1"/>
  <c r="BQ5" i="4"/>
  <c r="AW4" i="23" s="1"/>
  <c r="BP5" i="4"/>
  <c r="AV4" i="23" s="1"/>
  <c r="BO5" i="4"/>
  <c r="AU4" i="23" s="1"/>
  <c r="BR6" i="4"/>
  <c r="BQ6" i="4"/>
  <c r="BP6" i="4"/>
  <c r="BO6" i="4"/>
  <c r="BM5" i="4"/>
  <c r="AT4" i="23" s="1"/>
  <c r="BM6" i="4"/>
  <c r="CT52" i="2" l="1"/>
  <c r="CU33" i="2"/>
  <c r="CT53" i="2"/>
  <c r="CN52" i="1"/>
  <c r="BS7" i="4"/>
  <c r="BT57" i="1"/>
  <c r="BT63" i="1"/>
  <c r="AE23" i="19"/>
  <c r="AX5" i="23"/>
  <c r="AD23" i="19"/>
  <c r="AW5" i="23"/>
  <c r="CI58" i="1"/>
  <c r="CI67" i="1" s="1"/>
  <c r="CN68" i="1" s="1"/>
  <c r="S31" i="15"/>
  <c r="CN50" i="2"/>
  <c r="CI64" i="1"/>
  <c r="CI52" i="1" s="1"/>
  <c r="BT58" i="1"/>
  <c r="BT67" i="1" s="1"/>
  <c r="BT43" i="1"/>
  <c r="BT64" i="1"/>
  <c r="BT52" i="1" s="1"/>
  <c r="BT8" i="4"/>
  <c r="AB18" i="19"/>
  <c r="AB24" i="19" s="1"/>
  <c r="AE18" i="19"/>
  <c r="AE24" i="19" s="1"/>
  <c r="BR8" i="4"/>
  <c r="AC23" i="19"/>
  <c r="AE10" i="13"/>
  <c r="BU8" i="4"/>
  <c r="AC18" i="19"/>
  <c r="AC24" i="19" s="1"/>
  <c r="BV8" i="4"/>
  <c r="AD18" i="19"/>
  <c r="AD24" i="19" s="1"/>
  <c r="AF4" i="13"/>
  <c r="AG4" i="13"/>
  <c r="AD4" i="13"/>
  <c r="AE4" i="13"/>
  <c r="CU52" i="2" l="1"/>
  <c r="CV33" i="2"/>
  <c r="CU53" i="2"/>
  <c r="BX8" i="4"/>
  <c r="CN53" i="1"/>
  <c r="CI59" i="1"/>
  <c r="CI68" i="1"/>
  <c r="N23" i="15"/>
  <c r="CI69" i="1"/>
  <c r="CI65" i="1"/>
  <c r="BT59" i="1"/>
  <c r="BT65" i="1"/>
  <c r="BT6" i="3"/>
  <c r="BT69" i="1"/>
  <c r="AC5" i="13"/>
  <c r="AC2" i="13"/>
  <c r="AG3" i="13" s="1"/>
  <c r="BM26" i="4"/>
  <c r="AT5" i="23" s="1"/>
  <c r="BM7" i="4"/>
  <c r="BN39" i="1"/>
  <c r="CV52" i="2" l="1"/>
  <c r="CW33" i="2"/>
  <c r="CV53" i="2"/>
  <c r="CI70" i="1"/>
  <c r="CN70" i="1"/>
  <c r="CI53" i="1"/>
  <c r="CR12" i="2"/>
  <c r="CS9" i="3" s="1"/>
  <c r="CS69" i="3" s="1"/>
  <c r="AC4" i="13"/>
  <c r="AA18" i="19"/>
  <c r="AA24" i="19" s="1"/>
  <c r="AA23" i="19"/>
  <c r="AC10" i="13"/>
  <c r="BM8" i="4"/>
  <c r="BM75" i="1"/>
  <c r="BK55" i="2"/>
  <c r="BL55" i="2"/>
  <c r="BM55" i="2"/>
  <c r="BK56" i="2"/>
  <c r="BL56" i="2"/>
  <c r="BM56" i="2"/>
  <c r="BK57" i="2"/>
  <c r="BL57" i="2"/>
  <c r="BM57" i="2"/>
  <c r="BK59" i="2"/>
  <c r="BL59" i="2"/>
  <c r="BM59" i="2"/>
  <c r="BK60" i="2"/>
  <c r="BL60" i="2"/>
  <c r="BM60" i="2"/>
  <c r="BK61" i="2"/>
  <c r="BL61" i="2"/>
  <c r="BM61" i="2"/>
  <c r="BK62" i="2"/>
  <c r="BL62" i="2"/>
  <c r="BM62" i="2"/>
  <c r="BK63" i="2"/>
  <c r="BL63" i="2"/>
  <c r="BM63" i="2"/>
  <c r="BM17" i="2"/>
  <c r="BM40" i="1"/>
  <c r="BM56" i="1"/>
  <c r="BM29" i="1"/>
  <c r="BM27" i="1"/>
  <c r="BM25" i="1"/>
  <c r="BM20" i="1"/>
  <c r="BM21" i="1" s="1"/>
  <c r="CS12" i="2" l="1"/>
  <c r="S23" i="15"/>
  <c r="BM30" i="1"/>
  <c r="BM28" i="1"/>
  <c r="BM26" i="1"/>
  <c r="CT9" i="3" l="1"/>
  <c r="AN104" i="1"/>
  <c r="AM104" i="1"/>
  <c r="AL104" i="1"/>
  <c r="AK104" i="1"/>
  <c r="AO103" i="1"/>
  <c r="AN103" i="1"/>
  <c r="AM103" i="1"/>
  <c r="AL103" i="1"/>
  <c r="AK103" i="1"/>
  <c r="AS104" i="1"/>
  <c r="AR104" i="1"/>
  <c r="AQ104" i="1"/>
  <c r="AP104" i="1"/>
  <c r="AT103" i="1"/>
  <c r="AS103" i="1"/>
  <c r="AR103" i="1"/>
  <c r="AQ103" i="1"/>
  <c r="AP103" i="1"/>
  <c r="CT12" i="2" l="1"/>
  <c r="CU9" i="3" s="1"/>
  <c r="CT69" i="3"/>
  <c r="BI10" i="1"/>
  <c r="BH10" i="1" s="1"/>
  <c r="Q10" i="1"/>
  <c r="L10" i="1"/>
  <c r="M10" i="1"/>
  <c r="R10" i="1"/>
  <c r="N10" i="1"/>
  <c r="S10" i="1"/>
  <c r="V10" i="1"/>
  <c r="AA10" i="1"/>
  <c r="W10" i="1"/>
  <c r="AB10" i="1"/>
  <c r="X10" i="1"/>
  <c r="AC10" i="1"/>
  <c r="AF10" i="1"/>
  <c r="AK10" i="1"/>
  <c r="AG10" i="1"/>
  <c r="AL10" i="1"/>
  <c r="AH10" i="1"/>
  <c r="AM10" i="1"/>
  <c r="AU10" i="1"/>
  <c r="AV10" i="1"/>
  <c r="AW10" i="1"/>
  <c r="AZ10" i="1"/>
  <c r="BA10" i="1"/>
  <c r="BB10" i="1"/>
  <c r="BG18" i="1"/>
  <c r="BG11" i="1"/>
  <c r="CU12" i="2" l="1"/>
  <c r="CV9" i="3" s="1"/>
  <c r="CU69" i="3"/>
  <c r="BA14" i="1"/>
  <c r="BA15" i="1" s="1"/>
  <c r="BF15" i="1"/>
  <c r="AZ18" i="1"/>
  <c r="AZ14" i="1"/>
  <c r="AZ15" i="1" s="1"/>
  <c r="BE15" i="1"/>
  <c r="BB14" i="1"/>
  <c r="BB15" i="1" s="1"/>
  <c r="BG15" i="1"/>
  <c r="BH14" i="1"/>
  <c r="BM15" i="1"/>
  <c r="AX10" i="1"/>
  <c r="AX11" i="1" s="1"/>
  <c r="BC10" i="1"/>
  <c r="CW9" i="3" l="1"/>
  <c r="CV69" i="3"/>
  <c r="CV70" i="3" s="1"/>
  <c r="CV12" i="2"/>
  <c r="CW12" i="2" s="1"/>
  <c r="BH15" i="1"/>
  <c r="BC11" i="1"/>
  <c r="BC14" i="1"/>
  <c r="BC15" i="1" s="1"/>
  <c r="BL34" i="3"/>
  <c r="BL6" i="4"/>
  <c r="BL5" i="4"/>
  <c r="AS4" i="23" s="1"/>
  <c r="BL7" i="4"/>
  <c r="BL26" i="4"/>
  <c r="AS5" i="23" s="1"/>
  <c r="BL17" i="2"/>
  <c r="BL13" i="2"/>
  <c r="BL75" i="1"/>
  <c r="BL56" i="1"/>
  <c r="BL29" i="1"/>
  <c r="BL30" i="1" s="1"/>
  <c r="BL27" i="1"/>
  <c r="BL28" i="1" s="1"/>
  <c r="BL25" i="1"/>
  <c r="BL26" i="1" s="1"/>
  <c r="BL20" i="1"/>
  <c r="BL36" i="1"/>
  <c r="BL40" i="1" s="1"/>
  <c r="Z23" i="19" l="1"/>
  <c r="AB10" i="13"/>
  <c r="BQ8" i="4"/>
  <c r="Z18" i="19"/>
  <c r="Z24" i="19" s="1"/>
  <c r="AW29" i="4"/>
  <c r="BK26" i="4"/>
  <c r="AR5" i="23" s="1"/>
  <c r="AB4" i="13"/>
  <c r="AB2" i="13"/>
  <c r="AF3" i="13" s="1"/>
  <c r="AB5" i="13"/>
  <c r="AA5" i="13"/>
  <c r="Z5" i="13"/>
  <c r="Y5" i="13"/>
  <c r="Y23" i="19" l="1"/>
  <c r="AA10" i="13"/>
  <c r="AA2" i="13"/>
  <c r="BK6" i="4"/>
  <c r="BK5" i="4"/>
  <c r="AR4" i="23" s="1"/>
  <c r="BJ5" i="4"/>
  <c r="AQ4" i="23" s="1"/>
  <c r="BK7" i="4"/>
  <c r="BJ7" i="4"/>
  <c r="BN7" i="4" l="1"/>
  <c r="BS8" i="4" s="1"/>
  <c r="BP8" i="4"/>
  <c r="Y18" i="19"/>
  <c r="Y24" i="19" s="1"/>
  <c r="BO8" i="4"/>
  <c r="X18" i="19"/>
  <c r="X24" i="19" s="1"/>
  <c r="AA4" i="13"/>
  <c r="BK60" i="3" l="1"/>
  <c r="BL60" i="3" s="1"/>
  <c r="BK56" i="3"/>
  <c r="BL56" i="3" s="1"/>
  <c r="BK49" i="3"/>
  <c r="BL49" i="3" s="1"/>
  <c r="BK44" i="3"/>
  <c r="BL44" i="3" s="1"/>
  <c r="BK35" i="3"/>
  <c r="BL35" i="3" s="1"/>
  <c r="BK36" i="3"/>
  <c r="BL36" i="3" s="1"/>
  <c r="BK33" i="3"/>
  <c r="BL33" i="3" s="1"/>
  <c r="BK8" i="3"/>
  <c r="BK12" i="3"/>
  <c r="BL12" i="3" s="1"/>
  <c r="BK25" i="3"/>
  <c r="BL25" i="3" s="1"/>
  <c r="BK28" i="3"/>
  <c r="BL28" i="3" s="1"/>
  <c r="BK27" i="3"/>
  <c r="BK23" i="3"/>
  <c r="BL23" i="3" s="1"/>
  <c r="BK21" i="3"/>
  <c r="BL21" i="3" s="1"/>
  <c r="BK20" i="3"/>
  <c r="BL20" i="3" s="1"/>
  <c r="BK18" i="3"/>
  <c r="BL18" i="3" s="1"/>
  <c r="BK17" i="3"/>
  <c r="BK14" i="3"/>
  <c r="BL14" i="3" s="1"/>
  <c r="BK11" i="3"/>
  <c r="BL11" i="3" s="1"/>
  <c r="BK9" i="3"/>
  <c r="BK68" i="3" s="1"/>
  <c r="BK7" i="3"/>
  <c r="BL7" i="3" s="1"/>
  <c r="BK17" i="2"/>
  <c r="BK75" i="1"/>
  <c r="BJ75" i="1"/>
  <c r="BK77" i="1"/>
  <c r="BK79" i="1" s="1"/>
  <c r="BL8" i="3" l="1"/>
  <c r="BN8" i="3" s="1"/>
  <c r="BL17" i="3"/>
  <c r="BN17" i="3" s="1"/>
  <c r="BL27" i="3"/>
  <c r="BN27" i="3" s="1"/>
  <c r="BL9" i="3"/>
  <c r="BK78" i="1"/>
  <c r="BK29" i="1"/>
  <c r="BK30" i="1" s="1"/>
  <c r="BK20" i="1"/>
  <c r="BK21" i="1" s="1"/>
  <c r="BK25" i="1"/>
  <c r="BK26" i="1" s="1"/>
  <c r="BK56" i="1"/>
  <c r="BK40" i="1"/>
  <c r="BJ40" i="1"/>
  <c r="BK27" i="1"/>
  <c r="BK28" i="1" s="1"/>
  <c r="BJ25" i="1"/>
  <c r="BL68" i="3" l="1"/>
  <c r="BM9" i="3"/>
  <c r="BM68" i="3" s="1"/>
  <c r="BE7" i="4"/>
  <c r="T18" i="19" l="1"/>
  <c r="T24" i="19" s="1"/>
  <c r="Z4" i="13"/>
  <c r="Z2" i="13"/>
  <c r="BJ26" i="4" l="1"/>
  <c r="AQ5" i="23" s="1"/>
  <c r="BJ8" i="4"/>
  <c r="BJ6" i="4"/>
  <c r="BJ63" i="2"/>
  <c r="BJ62" i="2"/>
  <c r="BJ61" i="2"/>
  <c r="BJ60" i="2"/>
  <c r="BJ59" i="2"/>
  <c r="BJ57" i="2"/>
  <c r="BJ56" i="2"/>
  <c r="BJ55" i="2"/>
  <c r="BJ26" i="1"/>
  <c r="BJ29" i="1"/>
  <c r="BJ56" i="1"/>
  <c r="BJ27" i="1"/>
  <c r="BJ28" i="1" s="1"/>
  <c r="BJ20" i="1"/>
  <c r="BJ17" i="2"/>
  <c r="BJ31" i="1" l="1"/>
  <c r="X23" i="19"/>
  <c r="Z10" i="13"/>
  <c r="BJ30" i="1"/>
  <c r="BS43" i="2" l="1"/>
  <c r="BS41" i="2"/>
  <c r="BS39" i="2"/>
  <c r="BS38" i="2"/>
  <c r="BS37" i="2"/>
  <c r="BS36" i="2"/>
  <c r="BS35" i="2"/>
  <c r="BQ32" i="2"/>
  <c r="BS30" i="2"/>
  <c r="BS23" i="2"/>
  <c r="BS22" i="2"/>
  <c r="BS21" i="2"/>
  <c r="BS60" i="3"/>
  <c r="BR58" i="3"/>
  <c r="BQ58" i="3"/>
  <c r="BP58" i="3"/>
  <c r="BO58" i="3"/>
  <c r="BS56" i="3"/>
  <c r="BS54" i="3"/>
  <c r="BS53" i="3"/>
  <c r="BS52" i="3"/>
  <c r="BS51" i="3"/>
  <c r="BS50" i="3"/>
  <c r="BS49" i="3"/>
  <c r="BS48" i="3"/>
  <c r="BS47" i="3"/>
  <c r="BS46" i="3"/>
  <c r="BS45" i="3"/>
  <c r="BS44" i="3"/>
  <c r="BS43" i="3"/>
  <c r="BR37" i="3"/>
  <c r="BQ37" i="3"/>
  <c r="BP37" i="3"/>
  <c r="BO37" i="3"/>
  <c r="BS36" i="3"/>
  <c r="BS35" i="3"/>
  <c r="BS34" i="3"/>
  <c r="BS33" i="3"/>
  <c r="BS24" i="3"/>
  <c r="BS22" i="3"/>
  <c r="BS16" i="3"/>
  <c r="BS15" i="3"/>
  <c r="BS13" i="3"/>
  <c r="BS12" i="3"/>
  <c r="BS11" i="3"/>
  <c r="BS7" i="3"/>
  <c r="BS103" i="1"/>
  <c r="BR103" i="1"/>
  <c r="BQ103" i="1"/>
  <c r="BP103" i="1"/>
  <c r="BO103" i="1"/>
  <c r="BO40" i="1"/>
  <c r="BS37" i="1"/>
  <c r="BS36" i="1"/>
  <c r="BS18" i="1"/>
  <c r="BS16" i="1"/>
  <c r="BS40" i="1" l="1"/>
  <c r="BR32" i="2"/>
  <c r="BQ79" i="1"/>
  <c r="BS58" i="3"/>
  <c r="BS37" i="3"/>
  <c r="BS14" i="3"/>
  <c r="BS10" i="3"/>
  <c r="BS32" i="2" l="1"/>
  <c r="BR79" i="1"/>
  <c r="Y2" i="13"/>
  <c r="BH5" i="4" l="1"/>
  <c r="AP4" i="23" s="1"/>
  <c r="BH55" i="2"/>
  <c r="BH56" i="2"/>
  <c r="BH57" i="2"/>
  <c r="BH59" i="2"/>
  <c r="BH60" i="2"/>
  <c r="BH61" i="2"/>
  <c r="BH62" i="2"/>
  <c r="BH63" i="2"/>
  <c r="BH65" i="2"/>
  <c r="BH77" i="1"/>
  <c r="BH78" i="1" l="1"/>
  <c r="BH26" i="4" l="1"/>
  <c r="AP5" i="23" s="1"/>
  <c r="BH56" i="1"/>
  <c r="BI39" i="1"/>
  <c r="BH29" i="1"/>
  <c r="BH30" i="1" s="1"/>
  <c r="BH27" i="1"/>
  <c r="BH28" i="1" s="1"/>
  <c r="BH25" i="1"/>
  <c r="BH26" i="1" s="1"/>
  <c r="BH20" i="1"/>
  <c r="BH56" i="3"/>
  <c r="BH34" i="3"/>
  <c r="BH39" i="2"/>
  <c r="BH17" i="2"/>
  <c r="Y3" i="13" l="1"/>
  <c r="W23" i="19"/>
  <c r="AV104" i="1"/>
  <c r="AW104" i="1"/>
  <c r="AX104" i="1"/>
  <c r="AZ104" i="1"/>
  <c r="BA104" i="1"/>
  <c r="BB104" i="1"/>
  <c r="BC104" i="1"/>
  <c r="BE104" i="1"/>
  <c r="BF104" i="1"/>
  <c r="BG104" i="1"/>
  <c r="BH104" i="1"/>
  <c r="AU104" i="1"/>
  <c r="AV103" i="1"/>
  <c r="AW103" i="1"/>
  <c r="AX103" i="1"/>
  <c r="AY103" i="1"/>
  <c r="AZ103" i="1"/>
  <c r="BA103" i="1"/>
  <c r="BB103" i="1"/>
  <c r="BC103" i="1"/>
  <c r="BD103" i="1"/>
  <c r="BE103" i="1"/>
  <c r="BF103" i="1"/>
  <c r="BG103" i="1"/>
  <c r="BH103" i="1"/>
  <c r="BI103" i="1"/>
  <c r="BJ103" i="1"/>
  <c r="BK103" i="1"/>
  <c r="BL103" i="1"/>
  <c r="BM103" i="1"/>
  <c r="BN103" i="1"/>
  <c r="AU103" i="1"/>
  <c r="BG55" i="2" l="1"/>
  <c r="BG56" i="2"/>
  <c r="BG57" i="2"/>
  <c r="BG59" i="2"/>
  <c r="BG60" i="2"/>
  <c r="BG61" i="2"/>
  <c r="BG62" i="2"/>
  <c r="BG63" i="2"/>
  <c r="BG65" i="2"/>
  <c r="X2" i="13" l="1"/>
  <c r="X5" i="13"/>
  <c r="BG26" i="4"/>
  <c r="AO5" i="23" s="1"/>
  <c r="BG8" i="4"/>
  <c r="BG7" i="4"/>
  <c r="BG5" i="4"/>
  <c r="AO4" i="23" s="1"/>
  <c r="X3" i="13" l="1"/>
  <c r="V23" i="19"/>
  <c r="BL8" i="4"/>
  <c r="V18" i="19"/>
  <c r="V24" i="19" s="1"/>
  <c r="X4" i="13"/>
  <c r="BG77" i="1" l="1"/>
  <c r="BG17" i="2"/>
  <c r="BG56" i="1"/>
  <c r="BG20" i="1"/>
  <c r="BG25" i="1"/>
  <c r="BG26" i="1" s="1"/>
  <c r="BG27" i="1"/>
  <c r="BG28" i="1" s="1"/>
  <c r="BG29" i="1"/>
  <c r="BG30" i="1" s="1"/>
  <c r="BF56" i="1"/>
  <c r="H37" i="6"/>
  <c r="BG46" i="1" l="1"/>
  <c r="BG50" i="1"/>
  <c r="BG78" i="1"/>
  <c r="BF65" i="2"/>
  <c r="BF63" i="2"/>
  <c r="BF62" i="2"/>
  <c r="BF61" i="2"/>
  <c r="BF60" i="2"/>
  <c r="BF59" i="2"/>
  <c r="BF57" i="2"/>
  <c r="BF56" i="2"/>
  <c r="BF55" i="2"/>
  <c r="W5" i="13" l="1"/>
  <c r="W2" i="13"/>
  <c r="BF26" i="4" l="1"/>
  <c r="AN5" i="23" s="1"/>
  <c r="BF5" i="4"/>
  <c r="AN4" i="23" s="1"/>
  <c r="BF7" i="4"/>
  <c r="BF77" i="1"/>
  <c r="BF79" i="1" s="1"/>
  <c r="BF75" i="1"/>
  <c r="BF29" i="1"/>
  <c r="BF30" i="1" s="1"/>
  <c r="BF27" i="1"/>
  <c r="BF28" i="1" s="1"/>
  <c r="BF25" i="1"/>
  <c r="BF26" i="1" s="1"/>
  <c r="BF20" i="1"/>
  <c r="BF60" i="3"/>
  <c r="BH60" i="3" s="1"/>
  <c r="BF49" i="3"/>
  <c r="BH49" i="3" s="1"/>
  <c r="BF44" i="3"/>
  <c r="BH44" i="3" s="1"/>
  <c r="BF35" i="3"/>
  <c r="BH35" i="3" s="1"/>
  <c r="BF36" i="3"/>
  <c r="BH36" i="3" s="1"/>
  <c r="BF33" i="3"/>
  <c r="BH33" i="3" s="1"/>
  <c r="BF26" i="3"/>
  <c r="BF20" i="3"/>
  <c r="BF23" i="3"/>
  <c r="BF28" i="3"/>
  <c r="BF25" i="3"/>
  <c r="BF21" i="3"/>
  <c r="BF18" i="3"/>
  <c r="BF14" i="3"/>
  <c r="BF11" i="3"/>
  <c r="BF9" i="3"/>
  <c r="BG9" i="3" s="1"/>
  <c r="BG68" i="3" s="1"/>
  <c r="BF7" i="3"/>
  <c r="BF17" i="2"/>
  <c r="U18" i="19" l="1"/>
  <c r="U24" i="19" s="1"/>
  <c r="BI7" i="4"/>
  <c r="BN8" i="4" s="1"/>
  <c r="BG18" i="3"/>
  <c r="BH18" i="3" s="1"/>
  <c r="BG11" i="3"/>
  <c r="BH11" i="3" s="1"/>
  <c r="BG14" i="3"/>
  <c r="BH14" i="3" s="1"/>
  <c r="BG21" i="3"/>
  <c r="BH21" i="3" s="1"/>
  <c r="BG25" i="3"/>
  <c r="BH25" i="3" s="1"/>
  <c r="BG28" i="3"/>
  <c r="BH28" i="3" s="1"/>
  <c r="BG23" i="3"/>
  <c r="BH23" i="3" s="1"/>
  <c r="BG20" i="3"/>
  <c r="BH20" i="3" s="1"/>
  <c r="BG26" i="3"/>
  <c r="BH26" i="3" s="1"/>
  <c r="BG7" i="3"/>
  <c r="BH7" i="3" s="1"/>
  <c r="W3" i="13"/>
  <c r="U23" i="19"/>
  <c r="BH9" i="3"/>
  <c r="BH68" i="3" s="1"/>
  <c r="BF68" i="3"/>
  <c r="BK8" i="4"/>
  <c r="W4" i="13"/>
  <c r="BF78" i="1"/>
  <c r="BN44" i="3"/>
  <c r="BN45" i="3"/>
  <c r="BN46" i="3"/>
  <c r="BN47" i="3"/>
  <c r="BN48" i="3"/>
  <c r="BN49" i="3"/>
  <c r="BN50" i="3"/>
  <c r="BN51" i="3"/>
  <c r="BI44" i="3"/>
  <c r="BI45" i="3"/>
  <c r="BI46" i="3"/>
  <c r="BI47" i="3"/>
  <c r="BI48" i="3"/>
  <c r="BI49" i="3"/>
  <c r="BI50" i="3"/>
  <c r="BI51" i="3"/>
  <c r="BE55" i="2"/>
  <c r="BE56" i="2"/>
  <c r="BE57" i="2"/>
  <c r="BE59" i="2"/>
  <c r="BE60" i="2"/>
  <c r="BE61" i="2"/>
  <c r="BE62" i="2"/>
  <c r="BE63" i="2"/>
  <c r="BE17" i="2"/>
  <c r="BE56" i="1"/>
  <c r="BE29" i="1"/>
  <c r="BE27" i="1"/>
  <c r="BE25" i="1"/>
  <c r="BE20" i="1"/>
  <c r="BC63" i="2" l="1"/>
  <c r="BB63" i="2"/>
  <c r="BA63" i="2"/>
  <c r="AZ63" i="2"/>
  <c r="AX63" i="2"/>
  <c r="AW63" i="2"/>
  <c r="AV63" i="2"/>
  <c r="AU63" i="2"/>
  <c r="AQ63" i="2"/>
  <c r="AR63" i="2"/>
  <c r="AS63" i="2"/>
  <c r="AP63" i="2"/>
  <c r="V5" i="13"/>
  <c r="V2" i="13"/>
  <c r="BE78" i="4"/>
  <c r="BE77" i="4"/>
  <c r="BE76" i="4"/>
  <c r="BE26" i="4"/>
  <c r="AM5" i="23" s="1"/>
  <c r="BE5" i="4"/>
  <c r="AM4" i="23" s="1"/>
  <c r="BE6" i="4"/>
  <c r="BF8" i="4" s="1"/>
  <c r="BE30" i="1"/>
  <c r="BE28" i="1"/>
  <c r="BE26" i="1"/>
  <c r="V3" i="13" l="1"/>
  <c r="T23" i="19"/>
  <c r="V4" i="13"/>
  <c r="BN60" i="3"/>
  <c r="BM58" i="3"/>
  <c r="BL58" i="3"/>
  <c r="BK58" i="3"/>
  <c r="BJ58" i="3"/>
  <c r="BN56" i="3"/>
  <c r="BN54" i="3"/>
  <c r="BN53" i="3"/>
  <c r="BN52" i="3"/>
  <c r="BN43" i="3"/>
  <c r="BM37" i="3"/>
  <c r="BL37" i="3"/>
  <c r="BK37" i="3"/>
  <c r="BJ37" i="3"/>
  <c r="BN36" i="3"/>
  <c r="BN35" i="3"/>
  <c r="BN34" i="3"/>
  <c r="BN33" i="3"/>
  <c r="BN24" i="3"/>
  <c r="BN22" i="3"/>
  <c r="BN16" i="3"/>
  <c r="BN15" i="3"/>
  <c r="BN13" i="3"/>
  <c r="BN12" i="3"/>
  <c r="BN11" i="3"/>
  <c r="BN7" i="3"/>
  <c r="BN43" i="2"/>
  <c r="BN41" i="2"/>
  <c r="BN39" i="2"/>
  <c r="BN38" i="2"/>
  <c r="BN37" i="2"/>
  <c r="BN36" i="2"/>
  <c r="BN35" i="2"/>
  <c r="BL32" i="2"/>
  <c r="BM32" i="2" s="1"/>
  <c r="BN32" i="2" s="1"/>
  <c r="BN30" i="2"/>
  <c r="BN23" i="2"/>
  <c r="BN22" i="2"/>
  <c r="BN21" i="2"/>
  <c r="BN37" i="3" l="1"/>
  <c r="BN58" i="3"/>
  <c r="BN14" i="3"/>
  <c r="BN37" i="1"/>
  <c r="BN16" i="1"/>
  <c r="BJ46" i="1" l="1"/>
  <c r="BJ50" i="1"/>
  <c r="BK50" i="1"/>
  <c r="BK46" i="1"/>
  <c r="BL50" i="1"/>
  <c r="BL46" i="1"/>
  <c r="BD45" i="3"/>
  <c r="BC44" i="3"/>
  <c r="BD44" i="3" s="1"/>
  <c r="BC55" i="2"/>
  <c r="BC56" i="2"/>
  <c r="BC57" i="2"/>
  <c r="BC59" i="2"/>
  <c r="BC60" i="2"/>
  <c r="BC61" i="2"/>
  <c r="BC62" i="2"/>
  <c r="BC17" i="2"/>
  <c r="BD75" i="4"/>
  <c r="BC78" i="4"/>
  <c r="BC76" i="4"/>
  <c r="BC77" i="4"/>
  <c r="BC56" i="1"/>
  <c r="BC6" i="4"/>
  <c r="BC5" i="4"/>
  <c r="AL4" i="23" s="1"/>
  <c r="BC7" i="4"/>
  <c r="S18" i="19" s="1"/>
  <c r="S24" i="19" s="1"/>
  <c r="BC27" i="4"/>
  <c r="BC26" i="4"/>
  <c r="BC29" i="1"/>
  <c r="BC27" i="1"/>
  <c r="BC25" i="1"/>
  <c r="BC20" i="1"/>
  <c r="BN46" i="1" l="1"/>
  <c r="BN50" i="1"/>
  <c r="S23" i="19"/>
  <c r="AL5" i="23"/>
  <c r="BJ10" i="3"/>
  <c r="U2" i="13"/>
  <c r="U5" i="13"/>
  <c r="U4" i="13"/>
  <c r="U3" i="13"/>
  <c r="BK10" i="3" l="1"/>
  <c r="BL10" i="3" s="1"/>
  <c r="BC30" i="1"/>
  <c r="BC28" i="1"/>
  <c r="BC26" i="1"/>
  <c r="T2" i="13" l="1"/>
  <c r="T5" i="13"/>
  <c r="BB78" i="4"/>
  <c r="BB76" i="4"/>
  <c r="BB77" i="4"/>
  <c r="BB27" i="4"/>
  <c r="BB26" i="4"/>
  <c r="AK5" i="23" s="1"/>
  <c r="BB7" i="4"/>
  <c r="R18" i="19" s="1"/>
  <c r="R24" i="19" s="1"/>
  <c r="BB5" i="4"/>
  <c r="AK4" i="23" s="1"/>
  <c r="BB6" i="4"/>
  <c r="BB29" i="1"/>
  <c r="BB27" i="1"/>
  <c r="BB25" i="1"/>
  <c r="BB20" i="1"/>
  <c r="BB55" i="2"/>
  <c r="BB56" i="2"/>
  <c r="BB57" i="2"/>
  <c r="BB59" i="2"/>
  <c r="BB60" i="2"/>
  <c r="BB61" i="2"/>
  <c r="BB62" i="2"/>
  <c r="BB17" i="2"/>
  <c r="BB56" i="1"/>
  <c r="T3" i="13" l="1"/>
  <c r="R23" i="19"/>
  <c r="BN10" i="3"/>
  <c r="BN36" i="1"/>
  <c r="BN40" i="1" s="1"/>
  <c r="T4" i="13"/>
  <c r="BB30" i="1"/>
  <c r="BB28" i="1"/>
  <c r="BB26" i="1"/>
  <c r="BA5" i="4" l="1"/>
  <c r="AJ4" i="23" s="1"/>
  <c r="BB19" i="3" l="1"/>
  <c r="BC19" i="3" s="1"/>
  <c r="BA26" i="3"/>
  <c r="BB26" i="3" s="1"/>
  <c r="BC26" i="3" s="1"/>
  <c r="BA23" i="3"/>
  <c r="BB23" i="3" s="1"/>
  <c r="BC23" i="3" s="1"/>
  <c r="BA28" i="3"/>
  <c r="BB28" i="3" s="1"/>
  <c r="BC28" i="3" s="1"/>
  <c r="BA25" i="3"/>
  <c r="BB25" i="3" s="1"/>
  <c r="BC25" i="3" s="1"/>
  <c r="BA21" i="3"/>
  <c r="BB21" i="3" s="1"/>
  <c r="BC21" i="3" s="1"/>
  <c r="BA20" i="3"/>
  <c r="BB20" i="3" s="1"/>
  <c r="BC20" i="3" s="1"/>
  <c r="BA18" i="3"/>
  <c r="BB18" i="3" s="1"/>
  <c r="BC18" i="3" s="1"/>
  <c r="BA60" i="3"/>
  <c r="BB60" i="3" s="1"/>
  <c r="BC60" i="3" s="1"/>
  <c r="BA56" i="3"/>
  <c r="BB56" i="3" s="1"/>
  <c r="BC56" i="3" s="1"/>
  <c r="BA49" i="3"/>
  <c r="BB49" i="3" s="1"/>
  <c r="BC49" i="3" s="1"/>
  <c r="BA34" i="3"/>
  <c r="BB34" i="3" s="1"/>
  <c r="BC34" i="3" s="1"/>
  <c r="BA35" i="3"/>
  <c r="BB35" i="3" s="1"/>
  <c r="BC35" i="3" s="1"/>
  <c r="BA36" i="3"/>
  <c r="BB36" i="3" s="1"/>
  <c r="BC36" i="3" s="1"/>
  <c r="BA33" i="3"/>
  <c r="BB33" i="3" s="1"/>
  <c r="BC33" i="3" s="1"/>
  <c r="BA78" i="4"/>
  <c r="BA77" i="4"/>
  <c r="BA76" i="4"/>
  <c r="BA14" i="3"/>
  <c r="BB14" i="3" s="1"/>
  <c r="BC14" i="3" s="1"/>
  <c r="BA11" i="3"/>
  <c r="BB11" i="3" s="1"/>
  <c r="BC11" i="3" s="1"/>
  <c r="BA10" i="3"/>
  <c r="BB10" i="3" s="1"/>
  <c r="BC10" i="3" s="1"/>
  <c r="BA9" i="3"/>
  <c r="BA7" i="3"/>
  <c r="BB7" i="3" s="1"/>
  <c r="BC7" i="3" s="1"/>
  <c r="BA27" i="4"/>
  <c r="BA26" i="4"/>
  <c r="AJ5" i="23" s="1"/>
  <c r="BA7" i="4"/>
  <c r="BA6" i="4"/>
  <c r="BA56" i="1"/>
  <c r="BA29" i="1"/>
  <c r="BA27" i="1"/>
  <c r="BA25" i="1"/>
  <c r="BA20" i="1"/>
  <c r="BA55" i="2"/>
  <c r="BA56" i="2"/>
  <c r="BA57" i="2"/>
  <c r="BA59" i="2"/>
  <c r="BA60" i="2"/>
  <c r="BA61" i="2"/>
  <c r="BA62" i="2"/>
  <c r="BA17" i="2"/>
  <c r="S5" i="13"/>
  <c r="S2" i="13"/>
  <c r="BB50" i="1" l="1"/>
  <c r="BB46" i="1"/>
  <c r="BC50" i="1"/>
  <c r="BC46" i="1"/>
  <c r="BA46" i="1"/>
  <c r="BA50" i="1"/>
  <c r="S4" i="13"/>
  <c r="Q18" i="19"/>
  <c r="Q24" i="19" s="1"/>
  <c r="S3" i="13"/>
  <c r="Q23" i="19"/>
  <c r="BA68" i="3"/>
  <c r="BB9" i="3"/>
  <c r="BA30" i="1"/>
  <c r="BA28" i="1"/>
  <c r="BA26" i="1"/>
  <c r="BC9" i="3" l="1"/>
  <c r="BC68" i="3" s="1"/>
  <c r="BB68" i="3"/>
  <c r="AV88" i="1"/>
  <c r="BA18" i="1"/>
  <c r="AW88" i="1"/>
  <c r="BA21" i="1"/>
  <c r="BA22" i="1" s="1"/>
  <c r="BA31" i="1"/>
  <c r="AZ56" i="1"/>
  <c r="BD73" i="1"/>
  <c r="R2" i="13"/>
  <c r="R5" i="13"/>
  <c r="Q5" i="13"/>
  <c r="Q2" i="13"/>
  <c r="AZ55" i="2"/>
  <c r="AZ56" i="2"/>
  <c r="AZ57" i="2"/>
  <c r="AZ59" i="2"/>
  <c r="AZ60" i="2"/>
  <c r="AZ61" i="2"/>
  <c r="AZ62" i="2"/>
  <c r="AZ78" i="4"/>
  <c r="AZ77" i="4"/>
  <c r="AZ76" i="4"/>
  <c r="AZ26" i="4"/>
  <c r="AI5" i="23" s="1"/>
  <c r="AZ27" i="4"/>
  <c r="AZ7" i="4"/>
  <c r="P18" i="19" s="1"/>
  <c r="P24" i="19" s="1"/>
  <c r="AZ5" i="4"/>
  <c r="AI4" i="23" s="1"/>
  <c r="AZ6" i="4"/>
  <c r="AZ20" i="1"/>
  <c r="AZ21" i="1" s="1"/>
  <c r="AZ29" i="1"/>
  <c r="AZ30" i="1" s="1"/>
  <c r="AZ27" i="1"/>
  <c r="AZ25" i="1"/>
  <c r="AZ17" i="2"/>
  <c r="BI60" i="3"/>
  <c r="BH58" i="3"/>
  <c r="BG58" i="3"/>
  <c r="BF58" i="3"/>
  <c r="BE58" i="3"/>
  <c r="BI56" i="3"/>
  <c r="BI54" i="3"/>
  <c r="BI53" i="3"/>
  <c r="BI52" i="3"/>
  <c r="BI43" i="3"/>
  <c r="BH37" i="3"/>
  <c r="BG37" i="3"/>
  <c r="BF37" i="3"/>
  <c r="BE37" i="3"/>
  <c r="BI36" i="3"/>
  <c r="BI35" i="3"/>
  <c r="BI34" i="3"/>
  <c r="BI33" i="3"/>
  <c r="BI24" i="3"/>
  <c r="BI22" i="3"/>
  <c r="BI16" i="3"/>
  <c r="BI15" i="3"/>
  <c r="BI13" i="3"/>
  <c r="BI12" i="3"/>
  <c r="BI11" i="3"/>
  <c r="BF10" i="3"/>
  <c r="BG10" i="3" s="1"/>
  <c r="BI7" i="3"/>
  <c r="AX55" i="2"/>
  <c r="AX56" i="2"/>
  <c r="AX57" i="2"/>
  <c r="AX59" i="2"/>
  <c r="AX60" i="2"/>
  <c r="AX61" i="2"/>
  <c r="AX62" i="2"/>
  <c r="BI43" i="2"/>
  <c r="BI41" i="2"/>
  <c r="BI39" i="2"/>
  <c r="BI38" i="2"/>
  <c r="BI37" i="2"/>
  <c r="BI36" i="2"/>
  <c r="BI35" i="2"/>
  <c r="BG32" i="2"/>
  <c r="BI30" i="2"/>
  <c r="BI23" i="2"/>
  <c r="BI22" i="2"/>
  <c r="BI21" i="2"/>
  <c r="BH40" i="1"/>
  <c r="BG40" i="1"/>
  <c r="BF40" i="1"/>
  <c r="BE40" i="1"/>
  <c r="BI37" i="1"/>
  <c r="BI36" i="1"/>
  <c r="BI16" i="1"/>
  <c r="AX77" i="4"/>
  <c r="AX76" i="4"/>
  <c r="AX29" i="1"/>
  <c r="AX30" i="1" s="1"/>
  <c r="AX27" i="1"/>
  <c r="AX28" i="1" s="1"/>
  <c r="AX25" i="1"/>
  <c r="AX26" i="1" s="1"/>
  <c r="AX20" i="1"/>
  <c r="AX21" i="1" s="1"/>
  <c r="AX22" i="1" s="1"/>
  <c r="AX56" i="3"/>
  <c r="AX17" i="2"/>
  <c r="AY17" i="2" s="1"/>
  <c r="AV77" i="1"/>
  <c r="AV79" i="1" s="1"/>
  <c r="AW77" i="1"/>
  <c r="AW78" i="1" s="1"/>
  <c r="AX77" i="1"/>
  <c r="AU77" i="1"/>
  <c r="AU79" i="1" s="1"/>
  <c r="AX75" i="1"/>
  <c r="AY39" i="1"/>
  <c r="AX40" i="1"/>
  <c r="AP79" i="1"/>
  <c r="AQ79" i="1"/>
  <c r="AK79" i="1"/>
  <c r="W16" i="15"/>
  <c r="V16" i="15"/>
  <c r="U16" i="15"/>
  <c r="T16" i="15"/>
  <c r="S16" i="15"/>
  <c r="R16" i="15"/>
  <c r="Q16" i="15"/>
  <c r="P16" i="15"/>
  <c r="O16" i="15"/>
  <c r="N16" i="15"/>
  <c r="M16" i="15"/>
  <c r="L16" i="15"/>
  <c r="K16" i="15"/>
  <c r="J16" i="15"/>
  <c r="I16" i="15"/>
  <c r="H16" i="15"/>
  <c r="G16" i="15"/>
  <c r="F16" i="15"/>
  <c r="E16" i="15"/>
  <c r="D16" i="15"/>
  <c r="P2" i="13"/>
  <c r="P5" i="13"/>
  <c r="AW56" i="3"/>
  <c r="AW78" i="4"/>
  <c r="AW76" i="4"/>
  <c r="AW77" i="4"/>
  <c r="AW7" i="4"/>
  <c r="AW40" i="1"/>
  <c r="AW29" i="1"/>
  <c r="AW30" i="1" s="1"/>
  <c r="AW27" i="1"/>
  <c r="AW28" i="1" s="1"/>
  <c r="AW25" i="1"/>
  <c r="AW20" i="1"/>
  <c r="AW21" i="1" s="1"/>
  <c r="AW22" i="1" s="1"/>
  <c r="AW55" i="2"/>
  <c r="AW56" i="2"/>
  <c r="AW57" i="2"/>
  <c r="AW59" i="2"/>
  <c r="AW60" i="2"/>
  <c r="AW61" i="2"/>
  <c r="AW62" i="2"/>
  <c r="AW17" i="2"/>
  <c r="N4" i="13"/>
  <c r="AV29" i="4"/>
  <c r="AV60" i="3"/>
  <c r="AW60" i="3" s="1"/>
  <c r="AX60" i="3" s="1"/>
  <c r="AV52" i="3"/>
  <c r="AV49" i="3"/>
  <c r="AW49" i="3" s="1"/>
  <c r="AV34" i="3"/>
  <c r="AV35" i="3"/>
  <c r="AW35" i="3" s="1"/>
  <c r="AX35" i="3" s="1"/>
  <c r="AV36" i="3"/>
  <c r="AV33" i="3"/>
  <c r="AW33" i="3" s="1"/>
  <c r="AV19" i="3"/>
  <c r="AW19" i="3" s="1"/>
  <c r="AX19" i="3" s="1"/>
  <c r="AV21" i="3"/>
  <c r="AW21" i="3" s="1"/>
  <c r="AX21" i="3" s="1"/>
  <c r="AV25" i="3"/>
  <c r="AW25" i="3" s="1"/>
  <c r="AX25" i="3" s="1"/>
  <c r="AV23" i="3"/>
  <c r="AW23" i="3" s="1"/>
  <c r="AX23" i="3" s="1"/>
  <c r="AV28" i="3"/>
  <c r="AW28" i="3" s="1"/>
  <c r="AX28" i="3" s="1"/>
  <c r="AV26" i="3"/>
  <c r="AW26" i="3" s="1"/>
  <c r="AX26" i="3" s="1"/>
  <c r="AV20" i="3"/>
  <c r="AW20" i="3" s="1"/>
  <c r="AX20" i="3" s="1"/>
  <c r="AV18" i="3"/>
  <c r="AW18" i="3" s="1"/>
  <c r="AX18" i="3" s="1"/>
  <c r="AV14" i="3"/>
  <c r="AW14" i="3" s="1"/>
  <c r="AX14" i="3" s="1"/>
  <c r="AV12" i="3"/>
  <c r="AW12" i="3" s="1"/>
  <c r="AY12" i="3" s="1"/>
  <c r="AV11" i="3"/>
  <c r="AV10" i="3"/>
  <c r="AW10" i="3" s="1"/>
  <c r="AX10" i="3" s="1"/>
  <c r="AV9" i="3"/>
  <c r="AW9" i="3" s="1"/>
  <c r="AV7" i="3"/>
  <c r="AW7" i="3" s="1"/>
  <c r="AX7" i="3" s="1"/>
  <c r="AV55" i="2"/>
  <c r="AV56" i="2"/>
  <c r="AV57" i="2"/>
  <c r="AV59" i="2"/>
  <c r="AV60" i="2"/>
  <c r="AV61" i="2"/>
  <c r="AV62" i="2"/>
  <c r="AV17" i="2"/>
  <c r="AV77" i="4"/>
  <c r="AV76" i="4"/>
  <c r="AU25" i="1"/>
  <c r="AV25" i="1"/>
  <c r="AV40" i="1"/>
  <c r="AV29" i="1"/>
  <c r="AV30" i="1" s="1"/>
  <c r="AV27" i="1"/>
  <c r="AV28" i="1" s="1"/>
  <c r="AV20" i="1"/>
  <c r="AV21" i="1" s="1"/>
  <c r="AV22" i="1" s="1"/>
  <c r="O2" i="13"/>
  <c r="O5" i="13"/>
  <c r="N2" i="13"/>
  <c r="AV78" i="4"/>
  <c r="AU77" i="4"/>
  <c r="AU29" i="4"/>
  <c r="AU83" i="4" s="1"/>
  <c r="BD7" i="3"/>
  <c r="BD11" i="3"/>
  <c r="BD12" i="3"/>
  <c r="BD13" i="3"/>
  <c r="AY13" i="3"/>
  <c r="BD34" i="3"/>
  <c r="BD35" i="3"/>
  <c r="BD36" i="3"/>
  <c r="BD17" i="2"/>
  <c r="BI17" i="2" s="1"/>
  <c r="BN17" i="2" s="1"/>
  <c r="BS17" i="2" s="1"/>
  <c r="BX17" i="2" s="1"/>
  <c r="BA58" i="3"/>
  <c r="BB58" i="3"/>
  <c r="BC58" i="3"/>
  <c r="AZ58" i="3"/>
  <c r="AU58" i="3"/>
  <c r="AY51" i="3"/>
  <c r="AY53" i="3"/>
  <c r="AY54" i="3"/>
  <c r="BD46" i="3"/>
  <c r="BD47" i="3"/>
  <c r="BD48" i="3"/>
  <c r="BD49" i="3"/>
  <c r="BD50" i="3"/>
  <c r="BD51" i="3"/>
  <c r="BD52" i="3"/>
  <c r="BD53" i="3"/>
  <c r="BD54" i="3"/>
  <c r="BD56" i="3"/>
  <c r="BD60" i="3"/>
  <c r="BD43" i="3"/>
  <c r="BC37" i="3"/>
  <c r="BB37" i="3"/>
  <c r="BA37" i="3"/>
  <c r="AZ37" i="3"/>
  <c r="BD33" i="3"/>
  <c r="BD26" i="3"/>
  <c r="BD24" i="3"/>
  <c r="BD22" i="3"/>
  <c r="BD16" i="3"/>
  <c r="BD15" i="3"/>
  <c r="BD43" i="2"/>
  <c r="BD41" i="2"/>
  <c r="BD39" i="2"/>
  <c r="BD38" i="2"/>
  <c r="BD37" i="2"/>
  <c r="BD36" i="2"/>
  <c r="BD35" i="2"/>
  <c r="BB32" i="2"/>
  <c r="BC32" i="2" s="1"/>
  <c r="BD32" i="2" s="1"/>
  <c r="BD30" i="2"/>
  <c r="BD27" i="2"/>
  <c r="BD23" i="2"/>
  <c r="BD22" i="2"/>
  <c r="BD21" i="2"/>
  <c r="BC40" i="1"/>
  <c r="BB40" i="1"/>
  <c r="BA40" i="1"/>
  <c r="AZ40" i="1"/>
  <c r="BD37" i="1"/>
  <c r="BD36" i="1"/>
  <c r="AH29" i="4"/>
  <c r="AV7" i="4"/>
  <c r="AU7" i="4"/>
  <c r="L18" i="19" s="1"/>
  <c r="L24" i="19" s="1"/>
  <c r="AU75" i="1"/>
  <c r="N5" i="13"/>
  <c r="AU76" i="4"/>
  <c r="AU78" i="4"/>
  <c r="AU20" i="1"/>
  <c r="AU21" i="1" s="1"/>
  <c r="AU22" i="1" s="1"/>
  <c r="AU40" i="1"/>
  <c r="AU29" i="1"/>
  <c r="AU30" i="1" s="1"/>
  <c r="AU27" i="1"/>
  <c r="AU28" i="1" s="1"/>
  <c r="AU55" i="2"/>
  <c r="AU56" i="2"/>
  <c r="AU57" i="2"/>
  <c r="AU59" i="2"/>
  <c r="AU60" i="2"/>
  <c r="AU61" i="2"/>
  <c r="AU62" i="2"/>
  <c r="AS55" i="2"/>
  <c r="AS56" i="2"/>
  <c r="AS57" i="2"/>
  <c r="AS59" i="2"/>
  <c r="AS60" i="2"/>
  <c r="AS61" i="2"/>
  <c r="AS62" i="2"/>
  <c r="AU17" i="2"/>
  <c r="AE78" i="4"/>
  <c r="AE76" i="4"/>
  <c r="AQ78" i="4"/>
  <c r="AR78" i="4"/>
  <c r="AS78" i="4"/>
  <c r="AQ77" i="4"/>
  <c r="AR77" i="4"/>
  <c r="AS77" i="4"/>
  <c r="AL78" i="4"/>
  <c r="AM78" i="4"/>
  <c r="AN78" i="4"/>
  <c r="AL77" i="4"/>
  <c r="AM77" i="4"/>
  <c r="AN77" i="4"/>
  <c r="AQ10" i="1"/>
  <c r="AV14" i="1" s="1"/>
  <c r="AR10" i="1"/>
  <c r="AP10" i="1"/>
  <c r="AU14" i="1" s="1"/>
  <c r="AU18" i="1"/>
  <c r="AU19" i="1" s="1"/>
  <c r="B2" i="13"/>
  <c r="C2" i="13"/>
  <c r="D2" i="13"/>
  <c r="E2" i="13"/>
  <c r="F2" i="13"/>
  <c r="G2" i="13"/>
  <c r="H2" i="13"/>
  <c r="I2" i="13"/>
  <c r="J2" i="13"/>
  <c r="K2" i="13"/>
  <c r="L2" i="13"/>
  <c r="M2" i="13"/>
  <c r="B5" i="13"/>
  <c r="C5" i="13"/>
  <c r="D5" i="13"/>
  <c r="E5" i="13"/>
  <c r="F5" i="13"/>
  <c r="G5" i="13"/>
  <c r="H5" i="13"/>
  <c r="I5" i="13"/>
  <c r="J5" i="13"/>
  <c r="K5" i="13"/>
  <c r="L5" i="13"/>
  <c r="M5" i="13"/>
  <c r="M4" i="4"/>
  <c r="M6" i="4" s="1"/>
  <c r="G6" i="4"/>
  <c r="H6" i="4"/>
  <c r="I6" i="4"/>
  <c r="J6" i="4"/>
  <c r="L6" i="4"/>
  <c r="O6" i="4"/>
  <c r="P6" i="4"/>
  <c r="Q6" i="4"/>
  <c r="R6" i="4"/>
  <c r="S6" i="4"/>
  <c r="T6" i="4"/>
  <c r="V6" i="4"/>
  <c r="W6" i="4"/>
  <c r="X6" i="4"/>
  <c r="Y6" i="4"/>
  <c r="AA6" i="4"/>
  <c r="AB6" i="4"/>
  <c r="AC6" i="4"/>
  <c r="AD6" i="4"/>
  <c r="AF6" i="4"/>
  <c r="AG6" i="4"/>
  <c r="AH6" i="4"/>
  <c r="AI6" i="4"/>
  <c r="AK6" i="4"/>
  <c r="AL6" i="4"/>
  <c r="AM6" i="4"/>
  <c r="AN6" i="4"/>
  <c r="AP6" i="4"/>
  <c r="AQ6" i="4"/>
  <c r="AR6" i="4"/>
  <c r="AS6" i="4"/>
  <c r="AU6" i="4"/>
  <c r="AV6" i="4"/>
  <c r="AW6" i="4"/>
  <c r="AX6" i="4"/>
  <c r="L5" i="4"/>
  <c r="C4" i="23" s="1"/>
  <c r="N5" i="4"/>
  <c r="E4" i="23" s="1"/>
  <c r="O5" i="4"/>
  <c r="F4" i="23" s="1"/>
  <c r="P5" i="4"/>
  <c r="Q5" i="4"/>
  <c r="G4" i="23" s="1"/>
  <c r="S5" i="4"/>
  <c r="I4" i="23" s="1"/>
  <c r="T5" i="4"/>
  <c r="J4" i="23" s="1"/>
  <c r="V5" i="4"/>
  <c r="K4" i="23" s="1"/>
  <c r="W5" i="4"/>
  <c r="L4" i="23" s="1"/>
  <c r="X5" i="4"/>
  <c r="M4" i="23" s="1"/>
  <c r="Y5" i="4"/>
  <c r="N4" i="23" s="1"/>
  <c r="AA5" i="4"/>
  <c r="O4" i="23" s="1"/>
  <c r="AB5" i="4"/>
  <c r="P4" i="23" s="1"/>
  <c r="AC5" i="4"/>
  <c r="Q4" i="23" s="1"/>
  <c r="AD5" i="4"/>
  <c r="R4" i="23" s="1"/>
  <c r="AF5" i="4"/>
  <c r="S4" i="23" s="1"/>
  <c r="AG5" i="4"/>
  <c r="T4" i="23" s="1"/>
  <c r="AH5" i="4"/>
  <c r="U4" i="23" s="1"/>
  <c r="AI5" i="4"/>
  <c r="V4" i="23" s="1"/>
  <c r="AK5" i="4"/>
  <c r="W4" i="23" s="1"/>
  <c r="AL5" i="4"/>
  <c r="X4" i="23" s="1"/>
  <c r="AM5" i="4"/>
  <c r="Y4" i="23" s="1"/>
  <c r="AN5" i="4"/>
  <c r="Z4" i="23" s="1"/>
  <c r="AP5" i="4"/>
  <c r="AA4" i="23" s="1"/>
  <c r="AQ5" i="4"/>
  <c r="AB4" i="23" s="1"/>
  <c r="AR5" i="4"/>
  <c r="AC4" i="23" s="1"/>
  <c r="AS5" i="4"/>
  <c r="AD4" i="23" s="1"/>
  <c r="AU5" i="4"/>
  <c r="AE4" i="23" s="1"/>
  <c r="AV5" i="4"/>
  <c r="AF4" i="23" s="1"/>
  <c r="AW5" i="4"/>
  <c r="AG4" i="23" s="1"/>
  <c r="AX5" i="4"/>
  <c r="AH4" i="23" s="1"/>
  <c r="L7" i="4"/>
  <c r="O7" i="4"/>
  <c r="Q7" i="4"/>
  <c r="R7" i="4"/>
  <c r="S7" i="4"/>
  <c r="T7" i="4"/>
  <c r="V7" i="4"/>
  <c r="W7" i="4"/>
  <c r="X7" i="4"/>
  <c r="Y7" i="4"/>
  <c r="AA7" i="4"/>
  <c r="AB7" i="4"/>
  <c r="AC7" i="4"/>
  <c r="AD7" i="4"/>
  <c r="AF7" i="4"/>
  <c r="AG7" i="4"/>
  <c r="C4" i="13" s="1"/>
  <c r="AH7" i="4"/>
  <c r="D4" i="13" s="1"/>
  <c r="AI7" i="4"/>
  <c r="E4" i="13" s="1"/>
  <c r="AK7" i="4"/>
  <c r="D18" i="19" s="1"/>
  <c r="D24" i="19" s="1"/>
  <c r="AL7" i="4"/>
  <c r="AN7" i="4"/>
  <c r="G18" i="19" s="1"/>
  <c r="G24" i="19" s="1"/>
  <c r="AP7" i="4"/>
  <c r="AQ7" i="4"/>
  <c r="AR7" i="4"/>
  <c r="J18" i="19" s="1"/>
  <c r="J24" i="19" s="1"/>
  <c r="AS7" i="4"/>
  <c r="AX7" i="4"/>
  <c r="O18" i="19" s="1"/>
  <c r="O24" i="19" s="1"/>
  <c r="F24" i="4"/>
  <c r="Q24" i="4"/>
  <c r="R24" i="4"/>
  <c r="W29" i="4"/>
  <c r="W86" i="4" s="1"/>
  <c r="AC29" i="4"/>
  <c r="AC86" i="4" s="1"/>
  <c r="AM29" i="4"/>
  <c r="AR29" i="4"/>
  <c r="L27" i="4"/>
  <c r="M27" i="4"/>
  <c r="N27" i="4"/>
  <c r="O27" i="4"/>
  <c r="Q27" i="4"/>
  <c r="R27" i="4"/>
  <c r="S27" i="4"/>
  <c r="T27" i="4"/>
  <c r="V27" i="4"/>
  <c r="W27" i="4"/>
  <c r="X27" i="4"/>
  <c r="Y27" i="4"/>
  <c r="AA27" i="4"/>
  <c r="AB27" i="4"/>
  <c r="AC27" i="4"/>
  <c r="AD27" i="4"/>
  <c r="AF27" i="4"/>
  <c r="AG27" i="4"/>
  <c r="AH27" i="4"/>
  <c r="AI27" i="4"/>
  <c r="AK27" i="4"/>
  <c r="AL27" i="4"/>
  <c r="AM27" i="4"/>
  <c r="AN27" i="4"/>
  <c r="AP27" i="4"/>
  <c r="AQ27" i="4"/>
  <c r="AR27" i="4"/>
  <c r="AS27" i="4"/>
  <c r="AU27" i="4"/>
  <c r="AV27" i="4"/>
  <c r="AW27" i="4"/>
  <c r="AX27" i="4"/>
  <c r="L26" i="4"/>
  <c r="C5" i="23" s="1"/>
  <c r="M26" i="4"/>
  <c r="D5" i="23" s="1"/>
  <c r="N26" i="4"/>
  <c r="E5" i="23" s="1"/>
  <c r="O26" i="4"/>
  <c r="F5" i="23" s="1"/>
  <c r="Q26" i="4"/>
  <c r="G5" i="23" s="1"/>
  <c r="R26" i="4"/>
  <c r="H5" i="23" s="1"/>
  <c r="S26" i="4"/>
  <c r="I5" i="23" s="1"/>
  <c r="T26" i="4"/>
  <c r="J5" i="23" s="1"/>
  <c r="V26" i="4"/>
  <c r="K5" i="23" s="1"/>
  <c r="W26" i="4"/>
  <c r="L5" i="23" s="1"/>
  <c r="X26" i="4"/>
  <c r="M5" i="23" s="1"/>
  <c r="Y26" i="4"/>
  <c r="N5" i="23" s="1"/>
  <c r="AA26" i="4"/>
  <c r="O5" i="23" s="1"/>
  <c r="AB26" i="4"/>
  <c r="P5" i="23" s="1"/>
  <c r="AC26" i="4"/>
  <c r="Q5" i="23" s="1"/>
  <c r="AD26" i="4"/>
  <c r="R5" i="23" s="1"/>
  <c r="AF26" i="4"/>
  <c r="AG26" i="4"/>
  <c r="AH26" i="4"/>
  <c r="AI26" i="4"/>
  <c r="AK26" i="4"/>
  <c r="AL26" i="4"/>
  <c r="AM26" i="4"/>
  <c r="AN26" i="4"/>
  <c r="AP26" i="4"/>
  <c r="AQ26" i="4"/>
  <c r="AR26" i="4"/>
  <c r="AS26" i="4"/>
  <c r="AU26" i="4"/>
  <c r="AV26" i="4"/>
  <c r="AW26" i="4"/>
  <c r="AX26" i="4"/>
  <c r="AJ75" i="4"/>
  <c r="AJ76" i="4" s="1"/>
  <c r="AO75" i="4"/>
  <c r="AP77" i="4" s="1"/>
  <c r="AT75" i="4"/>
  <c r="AN76" i="4"/>
  <c r="AP76" i="4"/>
  <c r="AQ76" i="4"/>
  <c r="AR76" i="4"/>
  <c r="AS76" i="4"/>
  <c r="Q83" i="4"/>
  <c r="Q84" i="4" s="1"/>
  <c r="R83" i="4"/>
  <c r="S83" i="4"/>
  <c r="T83" i="4"/>
  <c r="V83" i="4"/>
  <c r="W83" i="4"/>
  <c r="X83" i="4"/>
  <c r="Y83" i="4"/>
  <c r="AA83" i="4"/>
  <c r="AB83" i="4"/>
  <c r="AD83" i="4"/>
  <c r="AF83" i="4"/>
  <c r="AG83" i="4"/>
  <c r="AH83" i="4"/>
  <c r="AI83" i="4"/>
  <c r="AK83" i="4"/>
  <c r="AL83" i="4"/>
  <c r="AM83" i="4"/>
  <c r="AN83" i="4"/>
  <c r="AP83" i="4"/>
  <c r="AQ83" i="4"/>
  <c r="AR83" i="4"/>
  <c r="AS83" i="4"/>
  <c r="AV83" i="4"/>
  <c r="AW83" i="4"/>
  <c r="AX83" i="4"/>
  <c r="Z7" i="3"/>
  <c r="AC7" i="3"/>
  <c r="AD7" i="3" s="1"/>
  <c r="AE7" i="3" s="1"/>
  <c r="AG7" i="3"/>
  <c r="AH7" i="3" s="1"/>
  <c r="AI7" i="3" s="1"/>
  <c r="AL7" i="3"/>
  <c r="AM7" i="3" s="1"/>
  <c r="AO7" i="3" s="1"/>
  <c r="AQ7" i="3"/>
  <c r="AR7" i="3" s="1"/>
  <c r="AS7" i="3" s="1"/>
  <c r="U9" i="3"/>
  <c r="W9" i="3"/>
  <c r="Y9" i="3" s="1"/>
  <c r="Y68" i="3" s="1"/>
  <c r="AC9" i="3"/>
  <c r="AD9" i="3" s="1"/>
  <c r="AD68" i="3" s="1"/>
  <c r="AG9" i="3"/>
  <c r="AG68" i="3" s="1"/>
  <c r="AL9" i="3"/>
  <c r="AM9" i="3" s="1"/>
  <c r="AM68" i="3" s="1"/>
  <c r="AQ9" i="3"/>
  <c r="AR9" i="3" s="1"/>
  <c r="Y10" i="3"/>
  <c r="Z10" i="3" s="1"/>
  <c r="AA10" i="3"/>
  <c r="AC10" i="3"/>
  <c r="AD10" i="3"/>
  <c r="AG10" i="3"/>
  <c r="AH10" i="3"/>
  <c r="AI10" i="3"/>
  <c r="AL10" i="3"/>
  <c r="AM10" i="3" s="1"/>
  <c r="AQ10" i="3"/>
  <c r="AR10" i="3"/>
  <c r="R11" i="3"/>
  <c r="S11" i="3" s="1"/>
  <c r="W11" i="3"/>
  <c r="Y11" i="3" s="1"/>
  <c r="AC11" i="3"/>
  <c r="AD11" i="3" s="1"/>
  <c r="AG11" i="3"/>
  <c r="AL11" i="3"/>
  <c r="AM11" i="3" s="1"/>
  <c r="AQ11" i="3"/>
  <c r="AR11" i="3" s="1"/>
  <c r="AS11" i="3" s="1"/>
  <c r="AT11" i="3" s="1"/>
  <c r="U13" i="3"/>
  <c r="Z13" i="3"/>
  <c r="AE13" i="3"/>
  <c r="AJ13" i="3"/>
  <c r="AO13" i="3"/>
  <c r="AT13" i="3"/>
  <c r="R14" i="3"/>
  <c r="V14" i="3"/>
  <c r="W14" i="3"/>
  <c r="X14" i="3"/>
  <c r="Y14" i="3"/>
  <c r="AA14" i="3"/>
  <c r="AB14" i="3"/>
  <c r="AG14" i="3"/>
  <c r="AH14" i="3" s="1"/>
  <c r="AL14" i="3"/>
  <c r="AM14" i="3" s="1"/>
  <c r="AP14" i="3"/>
  <c r="AQ14" i="3" s="1"/>
  <c r="S15" i="3"/>
  <c r="T15" i="3" s="1"/>
  <c r="Z15" i="3"/>
  <c r="AE15" i="3"/>
  <c r="AJ15" i="3"/>
  <c r="AO15" i="3"/>
  <c r="AT15" i="3"/>
  <c r="AY15" i="3"/>
  <c r="T16" i="3"/>
  <c r="Z16" i="3"/>
  <c r="AE16" i="3"/>
  <c r="AJ16" i="3"/>
  <c r="AO16" i="3"/>
  <c r="AT16" i="3"/>
  <c r="AY16" i="3"/>
  <c r="R18" i="3"/>
  <c r="S18" i="3" s="1"/>
  <c r="W18" i="3"/>
  <c r="Y18" i="3" s="1"/>
  <c r="Z18" i="3" s="1"/>
  <c r="AB18" i="3"/>
  <c r="AG18" i="3"/>
  <c r="AH18" i="3" s="1"/>
  <c r="AI18" i="3" s="1"/>
  <c r="AL18" i="3"/>
  <c r="AM18" i="3" s="1"/>
  <c r="AQ18" i="3"/>
  <c r="R19" i="3"/>
  <c r="S19" i="3" s="1"/>
  <c r="W19" i="3"/>
  <c r="Y19" i="3" s="1"/>
  <c r="Z19" i="3" s="1"/>
  <c r="AC19" i="3"/>
  <c r="AD19" i="3" s="1"/>
  <c r="AE19" i="3" s="1"/>
  <c r="AG19" i="3"/>
  <c r="AH19" i="3" s="1"/>
  <c r="AI19" i="3" s="1"/>
  <c r="AL19" i="3"/>
  <c r="AM19" i="3" s="1"/>
  <c r="AQ19" i="3"/>
  <c r="R20" i="3"/>
  <c r="W20" i="3"/>
  <c r="Y20" i="3" s="1"/>
  <c r="AC20" i="3"/>
  <c r="AD20" i="3" s="1"/>
  <c r="AG20" i="3"/>
  <c r="AI20" i="3" s="1"/>
  <c r="AL20" i="3"/>
  <c r="AM20" i="3" s="1"/>
  <c r="AQ20" i="3"/>
  <c r="AR20" i="3" s="1"/>
  <c r="AS20" i="3" s="1"/>
  <c r="R21" i="3"/>
  <c r="S21" i="3" s="1"/>
  <c r="W21" i="3"/>
  <c r="AB21" i="3"/>
  <c r="AC21" i="3" s="1"/>
  <c r="AG21" i="3"/>
  <c r="AH21" i="3" s="1"/>
  <c r="AL21" i="3"/>
  <c r="AM21" i="3" s="1"/>
  <c r="AO21" i="3" s="1"/>
  <c r="AQ21" i="3"/>
  <c r="AR21" i="3" s="1"/>
  <c r="AS21" i="3" s="1"/>
  <c r="AT21" i="3" s="1"/>
  <c r="T22" i="3"/>
  <c r="Z22" i="3"/>
  <c r="AE22" i="3"/>
  <c r="AJ22" i="3"/>
  <c r="AO22" i="3"/>
  <c r="AT22" i="3"/>
  <c r="AY22" i="3"/>
  <c r="R23" i="3"/>
  <c r="W23" i="3"/>
  <c r="X23" i="3"/>
  <c r="AB23" i="3"/>
  <c r="AC23" i="3" s="1"/>
  <c r="AD23" i="3" s="1"/>
  <c r="AF23" i="3"/>
  <c r="AG23" i="3" s="1"/>
  <c r="AH23" i="3" s="1"/>
  <c r="AK23" i="3"/>
  <c r="AL23" i="3" s="1"/>
  <c r="AM23" i="3" s="1"/>
  <c r="AO23" i="3" s="1"/>
  <c r="AQ23" i="3"/>
  <c r="AR23" i="3" s="1"/>
  <c r="AS23" i="3" s="1"/>
  <c r="T24" i="3"/>
  <c r="Z24" i="3"/>
  <c r="AE24" i="3"/>
  <c r="AJ24" i="3"/>
  <c r="AO24" i="3"/>
  <c r="AT24" i="3"/>
  <c r="AY24" i="3"/>
  <c r="R25" i="3"/>
  <c r="S25" i="3" s="1"/>
  <c r="T25" i="3" s="1"/>
  <c r="W25" i="3"/>
  <c r="X25" i="3"/>
  <c r="AA25" i="3"/>
  <c r="AB25" i="3"/>
  <c r="AF25" i="3"/>
  <c r="AG25" i="3" s="1"/>
  <c r="AH25" i="3" s="1"/>
  <c r="AI25" i="3" s="1"/>
  <c r="AL25" i="3"/>
  <c r="AM25" i="3" s="1"/>
  <c r="AQ25" i="3"/>
  <c r="AR25" i="3" s="1"/>
  <c r="AS25" i="3" s="1"/>
  <c r="T26" i="3"/>
  <c r="Z26" i="3"/>
  <c r="AE26" i="3"/>
  <c r="AI26" i="3"/>
  <c r="AJ26" i="3" s="1"/>
  <c r="AL26" i="3"/>
  <c r="AM26" i="3" s="1"/>
  <c r="AQ26" i="3"/>
  <c r="R28" i="3"/>
  <c r="S28" i="3" s="1"/>
  <c r="W28" i="3"/>
  <c r="Y28" i="3" s="1"/>
  <c r="AC28" i="3"/>
  <c r="AD28" i="3" s="1"/>
  <c r="AG28" i="3"/>
  <c r="AH28" i="3" s="1"/>
  <c r="AI28" i="3" s="1"/>
  <c r="AL28" i="3"/>
  <c r="AQ28" i="3"/>
  <c r="AR28" i="3" s="1"/>
  <c r="AS28" i="3" s="1"/>
  <c r="AT28" i="3" s="1"/>
  <c r="F29" i="3"/>
  <c r="G29" i="3"/>
  <c r="G39" i="3" s="1"/>
  <c r="H29" i="3"/>
  <c r="H39" i="3" s="1"/>
  <c r="I29" i="3"/>
  <c r="J29" i="3"/>
  <c r="K29" i="3"/>
  <c r="K39" i="3" s="1"/>
  <c r="M29" i="3"/>
  <c r="M39" i="3" s="1"/>
  <c r="N29" i="3"/>
  <c r="N30" i="3" s="1"/>
  <c r="O29" i="3"/>
  <c r="O30" i="3" s="1"/>
  <c r="P29" i="3"/>
  <c r="P39" i="3" s="1"/>
  <c r="R33" i="3"/>
  <c r="R37" i="3" s="1"/>
  <c r="W33" i="3"/>
  <c r="AC33" i="3"/>
  <c r="AD33" i="3" s="1"/>
  <c r="AD37" i="3" s="1"/>
  <c r="AG33" i="3"/>
  <c r="AL33" i="3"/>
  <c r="AL37" i="3" s="1"/>
  <c r="AQ33" i="3"/>
  <c r="AR33" i="3" s="1"/>
  <c r="AS33" i="3" s="1"/>
  <c r="Y34" i="3"/>
  <c r="Z34" i="3" s="1"/>
  <c r="AE34" i="3"/>
  <c r="AO34" i="3"/>
  <c r="U35" i="3"/>
  <c r="Z35" i="3"/>
  <c r="AE35" i="3"/>
  <c r="AJ35" i="3"/>
  <c r="AO35" i="3"/>
  <c r="AT35" i="3"/>
  <c r="U36" i="3"/>
  <c r="Z36" i="3"/>
  <c r="AE36" i="3"/>
  <c r="AJ36" i="3"/>
  <c r="AO36" i="3"/>
  <c r="AR36" i="3"/>
  <c r="AS36" i="3" s="1"/>
  <c r="F37" i="3"/>
  <c r="G37" i="3"/>
  <c r="H37" i="3"/>
  <c r="I37" i="3"/>
  <c r="J37" i="3"/>
  <c r="K37" i="3"/>
  <c r="L37" i="3"/>
  <c r="M37" i="3"/>
  <c r="N37" i="3"/>
  <c r="O37" i="3"/>
  <c r="P37" i="3"/>
  <c r="Q37" i="3"/>
  <c r="V37" i="3"/>
  <c r="X37" i="3"/>
  <c r="AA37" i="3"/>
  <c r="AB37" i="3"/>
  <c r="AF37" i="3"/>
  <c r="AK37" i="3"/>
  <c r="AN37" i="3"/>
  <c r="AP37" i="3"/>
  <c r="AU37" i="3"/>
  <c r="S43" i="3"/>
  <c r="Z43" i="3"/>
  <c r="AE43" i="3"/>
  <c r="AJ43" i="3"/>
  <c r="AO43" i="3"/>
  <c r="AT43" i="3"/>
  <c r="AY43" i="3"/>
  <c r="R45" i="3"/>
  <c r="Z45" i="3"/>
  <c r="AE45" i="3"/>
  <c r="AJ45" i="3"/>
  <c r="AO45" i="3"/>
  <c r="AT45" i="3"/>
  <c r="AY45" i="3"/>
  <c r="T46" i="3"/>
  <c r="Z46" i="3"/>
  <c r="AE46" i="3"/>
  <c r="AJ46" i="3"/>
  <c r="AO46" i="3"/>
  <c r="AT46" i="3"/>
  <c r="AY46" i="3"/>
  <c r="R47" i="3"/>
  <c r="Z47" i="3"/>
  <c r="AD47" i="3"/>
  <c r="AE47" i="3" s="1"/>
  <c r="AJ47" i="3"/>
  <c r="AO47" i="3"/>
  <c r="AT47" i="3"/>
  <c r="AY47" i="3"/>
  <c r="T48" i="3"/>
  <c r="Z48" i="3"/>
  <c r="AE48" i="3"/>
  <c r="AJ48" i="3"/>
  <c r="AO48" i="3"/>
  <c r="AT48" i="3"/>
  <c r="AY48" i="3"/>
  <c r="T49" i="3"/>
  <c r="W49" i="3"/>
  <c r="AC49" i="3"/>
  <c r="AD49" i="3" s="1"/>
  <c r="AE49" i="3" s="1"/>
  <c r="AG49" i="3"/>
  <c r="AK49" i="3"/>
  <c r="AQ49" i="3"/>
  <c r="R50" i="3"/>
  <c r="S50" i="3" s="1"/>
  <c r="T50" i="3" s="1"/>
  <c r="Y50" i="3"/>
  <c r="Z50" i="3" s="1"/>
  <c r="AC50" i="3"/>
  <c r="AE50" i="3" s="1"/>
  <c r="AJ50" i="3"/>
  <c r="AO50" i="3"/>
  <c r="AT50" i="3"/>
  <c r="AY50" i="3"/>
  <c r="T51" i="3"/>
  <c r="AE51" i="3"/>
  <c r="AJ51" i="3"/>
  <c r="AO51" i="3"/>
  <c r="AT51" i="3"/>
  <c r="AO52" i="3"/>
  <c r="AQ52" i="3"/>
  <c r="T53" i="3"/>
  <c r="Z53" i="3"/>
  <c r="AE53" i="3"/>
  <c r="AJ53" i="3"/>
  <c r="AO53" i="3"/>
  <c r="AT53" i="3"/>
  <c r="T54" i="3"/>
  <c r="Z54" i="3"/>
  <c r="AD54" i="3"/>
  <c r="AE54" i="3" s="1"/>
  <c r="AI54" i="3"/>
  <c r="AJ54" i="3" s="1"/>
  <c r="AM54" i="3"/>
  <c r="AO54" i="3" s="1"/>
  <c r="AT54" i="3"/>
  <c r="AS56" i="3"/>
  <c r="AT56" i="3" s="1"/>
  <c r="F58" i="3"/>
  <c r="G58" i="3"/>
  <c r="H58" i="3"/>
  <c r="I58" i="3"/>
  <c r="J58" i="3"/>
  <c r="K58" i="3"/>
  <c r="L58" i="3"/>
  <c r="M58" i="3"/>
  <c r="N58" i="3"/>
  <c r="O58" i="3"/>
  <c r="P58" i="3"/>
  <c r="Q58" i="3"/>
  <c r="U58" i="3"/>
  <c r="V58" i="3"/>
  <c r="X58" i="3"/>
  <c r="AA58" i="3"/>
  <c r="AB58" i="3"/>
  <c r="AF58" i="3"/>
  <c r="AN58" i="3"/>
  <c r="AP58" i="3"/>
  <c r="AO60" i="3"/>
  <c r="AQ60" i="3"/>
  <c r="R68" i="3"/>
  <c r="S68" i="3"/>
  <c r="T68" i="3"/>
  <c r="V68" i="3"/>
  <c r="X68" i="3"/>
  <c r="AA68" i="3"/>
  <c r="AB68" i="3"/>
  <c r="AF68" i="3"/>
  <c r="AK68" i="3"/>
  <c r="AN68" i="3"/>
  <c r="AP68" i="3"/>
  <c r="AE6" i="2"/>
  <c r="AJ6" i="2"/>
  <c r="AO6" i="2"/>
  <c r="AR6" i="2"/>
  <c r="AR77" i="1" s="1"/>
  <c r="AR78" i="1" s="1"/>
  <c r="AS6" i="2"/>
  <c r="AT7" i="2"/>
  <c r="AY7" i="2"/>
  <c r="BD7" i="2"/>
  <c r="BI7" i="2" s="1"/>
  <c r="BN7" i="2" s="1"/>
  <c r="BS7" i="2" s="1"/>
  <c r="BX7" i="2" s="1"/>
  <c r="AE8" i="2"/>
  <c r="AJ8" i="2"/>
  <c r="AO8" i="2"/>
  <c r="AT8" i="2"/>
  <c r="AE9" i="2"/>
  <c r="AJ9" i="2"/>
  <c r="AO9" i="2"/>
  <c r="AT9" i="2"/>
  <c r="Y10" i="2"/>
  <c r="Y11" i="2" s="1"/>
  <c r="AA10" i="2"/>
  <c r="AB10" i="2"/>
  <c r="AC10" i="2"/>
  <c r="AC11" i="2" s="1"/>
  <c r="AD10" i="2"/>
  <c r="AE10" i="2" s="1"/>
  <c r="AF10" i="2"/>
  <c r="AG10" i="2"/>
  <c r="AG11" i="2" s="1"/>
  <c r="AH10" i="2"/>
  <c r="AH57" i="2" s="1"/>
  <c r="AI10" i="2"/>
  <c r="AK10" i="2"/>
  <c r="AL10" i="2"/>
  <c r="AL57" i="2" s="1"/>
  <c r="AM10" i="2"/>
  <c r="AN10" i="2"/>
  <c r="AO10" i="2" s="1"/>
  <c r="AP10" i="2"/>
  <c r="AP11" i="2" s="1"/>
  <c r="AQ10" i="2"/>
  <c r="AR10" i="2"/>
  <c r="AR57" i="2" s="1"/>
  <c r="AT10" i="2"/>
  <c r="J11" i="2"/>
  <c r="L11" i="2"/>
  <c r="L18" i="2" s="1"/>
  <c r="M11" i="2"/>
  <c r="M18" i="2" s="1"/>
  <c r="N11" i="2"/>
  <c r="N18" i="2" s="1"/>
  <c r="O11" i="2"/>
  <c r="Q11" i="2"/>
  <c r="R11" i="2"/>
  <c r="S11" i="2"/>
  <c r="T11" i="2"/>
  <c r="W11" i="2"/>
  <c r="X11" i="2"/>
  <c r="L68" i="3"/>
  <c r="Q68" i="3"/>
  <c r="AE12" i="2"/>
  <c r="AJ12" i="2"/>
  <c r="AO12" i="2"/>
  <c r="AT12" i="2"/>
  <c r="AU68" i="3" s="1"/>
  <c r="R14" i="2"/>
  <c r="X14" i="2"/>
  <c r="AE14" i="2"/>
  <c r="AJ14" i="2"/>
  <c r="AL14" i="2"/>
  <c r="AO14" i="2"/>
  <c r="AT14" i="2"/>
  <c r="AY14" i="2"/>
  <c r="BD14" i="2"/>
  <c r="BI14" i="2" s="1"/>
  <c r="R15" i="2"/>
  <c r="T15" i="2"/>
  <c r="AA15" i="2"/>
  <c r="AE15" i="2"/>
  <c r="AJ15" i="2"/>
  <c r="AL15" i="2"/>
  <c r="AO15" i="2"/>
  <c r="AT15" i="2"/>
  <c r="AY15" i="2"/>
  <c r="BD15" i="2"/>
  <c r="BI15" i="2" s="1"/>
  <c r="BN15" i="2" s="1"/>
  <c r="BS15" i="2" s="1"/>
  <c r="BX15" i="2" s="1"/>
  <c r="AT16" i="2"/>
  <c r="AY16" i="2"/>
  <c r="BD16" i="2"/>
  <c r="BI16" i="2" s="1"/>
  <c r="BJ16" i="2" s="1"/>
  <c r="Q17" i="2"/>
  <c r="R17" i="2"/>
  <c r="S17" i="2"/>
  <c r="T17" i="2"/>
  <c r="V17" i="2"/>
  <c r="W17" i="2"/>
  <c r="X17" i="2"/>
  <c r="Y17" i="2"/>
  <c r="AA17" i="2"/>
  <c r="AB17" i="2"/>
  <c r="AC17" i="2"/>
  <c r="AD17" i="2"/>
  <c r="AE17" i="2" s="1"/>
  <c r="AF17" i="2"/>
  <c r="AG17" i="2"/>
  <c r="AH17" i="2"/>
  <c r="AI17" i="2"/>
  <c r="AJ17" i="2" s="1"/>
  <c r="AK17" i="2"/>
  <c r="AL17" i="2"/>
  <c r="AM17" i="2"/>
  <c r="AN17" i="2"/>
  <c r="AO17" i="2" s="1"/>
  <c r="AP17" i="2"/>
  <c r="AQ17" i="2"/>
  <c r="AR17" i="2"/>
  <c r="AS17" i="2"/>
  <c r="AT17" i="2" s="1"/>
  <c r="AE19" i="2"/>
  <c r="AE20" i="2"/>
  <c r="AE21" i="2"/>
  <c r="AO21" i="2"/>
  <c r="AT21" i="2"/>
  <c r="AY21" i="2"/>
  <c r="AE22" i="2"/>
  <c r="AO22" i="2"/>
  <c r="AT22" i="2"/>
  <c r="AY22" i="2"/>
  <c r="AE23" i="2"/>
  <c r="AJ23" i="2"/>
  <c r="AO23" i="2"/>
  <c r="AT23" i="2"/>
  <c r="AY23" i="2"/>
  <c r="AE24" i="2"/>
  <c r="AJ24" i="2"/>
  <c r="AO24" i="2"/>
  <c r="AT24" i="2"/>
  <c r="AE25" i="2"/>
  <c r="AJ25" i="2"/>
  <c r="AO25" i="2"/>
  <c r="AT25" i="2"/>
  <c r="AE26" i="2"/>
  <c r="AJ26" i="2"/>
  <c r="AO26" i="2"/>
  <c r="AT26" i="2"/>
  <c r="AE27" i="2"/>
  <c r="AJ27" i="2"/>
  <c r="AO27" i="2"/>
  <c r="AT27" i="2"/>
  <c r="AY27" i="2"/>
  <c r="AE28" i="2"/>
  <c r="AJ28" i="2"/>
  <c r="AO28" i="2"/>
  <c r="AT28" i="2"/>
  <c r="AE30" i="2"/>
  <c r="AJ30" i="2"/>
  <c r="AO30" i="2"/>
  <c r="AT30" i="2"/>
  <c r="AY30" i="2"/>
  <c r="J31" i="2"/>
  <c r="J40" i="2" s="1"/>
  <c r="O31" i="2"/>
  <c r="O40" i="2" s="1"/>
  <c r="Q31" i="2"/>
  <c r="Q40" i="2" s="1"/>
  <c r="R31" i="2"/>
  <c r="R40" i="2" s="1"/>
  <c r="R44" i="2" s="1"/>
  <c r="S31" i="2"/>
  <c r="S40" i="2" s="1"/>
  <c r="T31" i="2"/>
  <c r="T40" i="2" s="1"/>
  <c r="V31" i="2"/>
  <c r="V40" i="2" s="1"/>
  <c r="V44" i="2" s="1"/>
  <c r="W31" i="2"/>
  <c r="W40" i="2" s="1"/>
  <c r="X31" i="2"/>
  <c r="Y31" i="2"/>
  <c r="AA31" i="2"/>
  <c r="AA40" i="2" s="1"/>
  <c r="AB31" i="2"/>
  <c r="AB40" i="2" s="1"/>
  <c r="AC31" i="2"/>
  <c r="AD31" i="2"/>
  <c r="AE31" i="2" s="1"/>
  <c r="AF31" i="2"/>
  <c r="AF40" i="2" s="1"/>
  <c r="AG31" i="2"/>
  <c r="AG40" i="2" s="1"/>
  <c r="AH31" i="2"/>
  <c r="AI31" i="2"/>
  <c r="AK31" i="2"/>
  <c r="AK40" i="2" s="1"/>
  <c r="AL31" i="2"/>
  <c r="AL40" i="2" s="1"/>
  <c r="AM31" i="2"/>
  <c r="AN31" i="2"/>
  <c r="AO31" i="2" s="1"/>
  <c r="AP31" i="2"/>
  <c r="AP40" i="2" s="1"/>
  <c r="AQ31" i="2"/>
  <c r="AQ40" i="2" s="1"/>
  <c r="AR31" i="2"/>
  <c r="AR40" i="2" s="1"/>
  <c r="AS31" i="2"/>
  <c r="X32" i="2"/>
  <c r="AC32" i="2"/>
  <c r="AD32" i="2" s="1"/>
  <c r="AE32" i="2" s="1"/>
  <c r="AH32" i="2"/>
  <c r="AI32" i="2" s="1"/>
  <c r="AJ32" i="2" s="1"/>
  <c r="AM32" i="2"/>
  <c r="AT32" i="2"/>
  <c r="AW32" i="2"/>
  <c r="AX32" i="2" s="1"/>
  <c r="AY32" i="2" s="1"/>
  <c r="AE33" i="2"/>
  <c r="AJ33" i="2"/>
  <c r="AO33" i="2"/>
  <c r="AT33" i="2"/>
  <c r="AE35" i="2"/>
  <c r="AJ35" i="2"/>
  <c r="AO35" i="2"/>
  <c r="AT35" i="2"/>
  <c r="AY35" i="2"/>
  <c r="AE36" i="2"/>
  <c r="AJ36" i="2"/>
  <c r="AO36" i="2"/>
  <c r="AT36" i="2"/>
  <c r="AY36" i="2"/>
  <c r="AE37" i="2"/>
  <c r="AJ37" i="2"/>
  <c r="AO37" i="2"/>
  <c r="AT37" i="2"/>
  <c r="AY37" i="2"/>
  <c r="AE38" i="2"/>
  <c r="AJ38" i="2"/>
  <c r="AO38" i="2"/>
  <c r="AT38" i="2"/>
  <c r="AY38" i="2"/>
  <c r="AE39" i="2"/>
  <c r="AJ39" i="2"/>
  <c r="AO39" i="2"/>
  <c r="AT39" i="2"/>
  <c r="AY39" i="2"/>
  <c r="AE41" i="2"/>
  <c r="AJ41" i="2"/>
  <c r="AO41" i="2"/>
  <c r="AT41" i="2"/>
  <c r="AY41" i="2"/>
  <c r="J42" i="2"/>
  <c r="O42" i="2"/>
  <c r="Q42" i="2"/>
  <c r="AE43" i="2"/>
  <c r="AJ43" i="2"/>
  <c r="AO43" i="2"/>
  <c r="AT43" i="2"/>
  <c r="AY43" i="2"/>
  <c r="J46" i="2"/>
  <c r="O46" i="2"/>
  <c r="Q46" i="2"/>
  <c r="R46" i="2"/>
  <c r="S46" i="2"/>
  <c r="T46" i="2"/>
  <c r="V46" i="2"/>
  <c r="W46" i="2"/>
  <c r="X46" i="2"/>
  <c r="Y46" i="2"/>
  <c r="AA46" i="2"/>
  <c r="AB46" i="2"/>
  <c r="AC46" i="2"/>
  <c r="AD46" i="2"/>
  <c r="AF46" i="2"/>
  <c r="AG46" i="2"/>
  <c r="AH46" i="2"/>
  <c r="AI46" i="2"/>
  <c r="AK46" i="2"/>
  <c r="AL46" i="2"/>
  <c r="AM46" i="2"/>
  <c r="AN46" i="2"/>
  <c r="AP46" i="2"/>
  <c r="AQ46" i="2"/>
  <c r="AR46" i="2"/>
  <c r="AS46" i="2"/>
  <c r="O48" i="2"/>
  <c r="Q48" i="2"/>
  <c r="R48" i="2"/>
  <c r="S48" i="2"/>
  <c r="T48" i="2"/>
  <c r="V48" i="2"/>
  <c r="W48" i="2"/>
  <c r="X48" i="2"/>
  <c r="Y48" i="2"/>
  <c r="AA48" i="2"/>
  <c r="AB48" i="2"/>
  <c r="AC48" i="2"/>
  <c r="AD48" i="2"/>
  <c r="AF48" i="2"/>
  <c r="AG48" i="2"/>
  <c r="AH48" i="2"/>
  <c r="AI48" i="2"/>
  <c r="AK48" i="2"/>
  <c r="AL48" i="2"/>
  <c r="AM48" i="2"/>
  <c r="AN48" i="2"/>
  <c r="AP48" i="2"/>
  <c r="AQ48" i="2"/>
  <c r="AR48" i="2"/>
  <c r="AS48" i="2"/>
  <c r="V52" i="2"/>
  <c r="W52" i="2"/>
  <c r="X52" i="2"/>
  <c r="Y52" i="2"/>
  <c r="AA52" i="2"/>
  <c r="AB52" i="2"/>
  <c r="AC52" i="2"/>
  <c r="AD52" i="2"/>
  <c r="AF52" i="2"/>
  <c r="AG52" i="2"/>
  <c r="AH52" i="2"/>
  <c r="AI52" i="2"/>
  <c r="AK52" i="2"/>
  <c r="AL52" i="2"/>
  <c r="AM52" i="2"/>
  <c r="AN52" i="2"/>
  <c r="AP52" i="2"/>
  <c r="AQ52" i="2"/>
  <c r="AR52" i="2"/>
  <c r="AS52" i="2"/>
  <c r="AU52" i="2"/>
  <c r="V53" i="2"/>
  <c r="W53" i="2"/>
  <c r="X53" i="2"/>
  <c r="Y53" i="2"/>
  <c r="AA53" i="2"/>
  <c r="AB53" i="2"/>
  <c r="AC53" i="2"/>
  <c r="AD53" i="2"/>
  <c r="AF53" i="2"/>
  <c r="AG53" i="2"/>
  <c r="AH53" i="2"/>
  <c r="AI53" i="2"/>
  <c r="AK53" i="2"/>
  <c r="AL53" i="2"/>
  <c r="AM53" i="2"/>
  <c r="AN53" i="2"/>
  <c r="AP53" i="2"/>
  <c r="AQ53" i="2"/>
  <c r="AR53" i="2"/>
  <c r="AS53" i="2"/>
  <c r="AU53" i="2"/>
  <c r="J55" i="2"/>
  <c r="O55" i="2"/>
  <c r="Q55" i="2"/>
  <c r="R55" i="2"/>
  <c r="S55" i="2"/>
  <c r="T55" i="2"/>
  <c r="V55" i="2"/>
  <c r="W55" i="2"/>
  <c r="X55" i="2"/>
  <c r="Y55" i="2"/>
  <c r="AA55" i="2"/>
  <c r="AB55" i="2"/>
  <c r="AC55" i="2"/>
  <c r="AD55" i="2"/>
  <c r="AF55" i="2"/>
  <c r="AG55" i="2"/>
  <c r="AH55" i="2"/>
  <c r="AI55" i="2"/>
  <c r="AK55" i="2"/>
  <c r="AL55" i="2"/>
  <c r="AM55" i="2"/>
  <c r="AN55" i="2"/>
  <c r="AP55" i="2"/>
  <c r="AQ55" i="2"/>
  <c r="AR55" i="2"/>
  <c r="J56" i="2"/>
  <c r="O56" i="2"/>
  <c r="Q56" i="2"/>
  <c r="R56" i="2"/>
  <c r="S56" i="2"/>
  <c r="T56" i="2"/>
  <c r="V56" i="2"/>
  <c r="W56" i="2"/>
  <c r="X56" i="2"/>
  <c r="Y56" i="2"/>
  <c r="AA56" i="2"/>
  <c r="AB56" i="2"/>
  <c r="AC56" i="2"/>
  <c r="AD56" i="2"/>
  <c r="AF56" i="2"/>
  <c r="AG56" i="2"/>
  <c r="AH56" i="2"/>
  <c r="AI56" i="2"/>
  <c r="AK56" i="2"/>
  <c r="AL56" i="2"/>
  <c r="AM56" i="2"/>
  <c r="AN56" i="2"/>
  <c r="AP56" i="2"/>
  <c r="AQ56" i="2"/>
  <c r="AR56" i="2"/>
  <c r="J57" i="2"/>
  <c r="O57" i="2"/>
  <c r="Q57" i="2"/>
  <c r="R57" i="2"/>
  <c r="S57" i="2"/>
  <c r="T57" i="2"/>
  <c r="V57" i="2"/>
  <c r="W57" i="2"/>
  <c r="X57" i="2"/>
  <c r="J59" i="2"/>
  <c r="O59" i="2"/>
  <c r="Q59" i="2"/>
  <c r="R59" i="2"/>
  <c r="S59" i="2"/>
  <c r="T59" i="2"/>
  <c r="V59" i="2"/>
  <c r="W59" i="2"/>
  <c r="X59" i="2"/>
  <c r="Y59" i="2"/>
  <c r="AA59" i="2"/>
  <c r="AB59" i="2"/>
  <c r="AC59" i="2"/>
  <c r="AD59" i="2"/>
  <c r="AF59" i="2"/>
  <c r="AG59" i="2"/>
  <c r="AH59" i="2"/>
  <c r="AI59" i="2"/>
  <c r="AK59" i="2"/>
  <c r="AL59" i="2"/>
  <c r="AM59" i="2"/>
  <c r="AN59" i="2"/>
  <c r="AP59" i="2"/>
  <c r="AQ59" i="2"/>
  <c r="AR59" i="2"/>
  <c r="J60" i="2"/>
  <c r="O60" i="2"/>
  <c r="Q60" i="2"/>
  <c r="R60" i="2"/>
  <c r="S60" i="2"/>
  <c r="T60" i="2"/>
  <c r="V60" i="2"/>
  <c r="W60" i="2"/>
  <c r="X60" i="2"/>
  <c r="Y60" i="2"/>
  <c r="AA60" i="2"/>
  <c r="AB60" i="2"/>
  <c r="AC60" i="2"/>
  <c r="AD60" i="2"/>
  <c r="AF60" i="2"/>
  <c r="AG60" i="2"/>
  <c r="AH60" i="2"/>
  <c r="AI60" i="2"/>
  <c r="AK60" i="2"/>
  <c r="AL60" i="2"/>
  <c r="AM60" i="2"/>
  <c r="AN60" i="2"/>
  <c r="AP60" i="2"/>
  <c r="AQ60" i="2"/>
  <c r="AR60" i="2"/>
  <c r="J61" i="2"/>
  <c r="O61" i="2"/>
  <c r="Q61" i="2"/>
  <c r="R61" i="2"/>
  <c r="S61" i="2"/>
  <c r="T61" i="2"/>
  <c r="V61" i="2"/>
  <c r="W61" i="2"/>
  <c r="X61" i="2"/>
  <c r="Y61" i="2"/>
  <c r="AA61" i="2"/>
  <c r="AB61" i="2"/>
  <c r="AC61" i="2"/>
  <c r="AD61" i="2"/>
  <c r="AF61" i="2"/>
  <c r="AG61" i="2"/>
  <c r="AH61" i="2"/>
  <c r="AI61" i="2"/>
  <c r="AK61" i="2"/>
  <c r="AL61" i="2"/>
  <c r="AM61" i="2"/>
  <c r="AN61" i="2"/>
  <c r="AP61" i="2"/>
  <c r="AQ61" i="2"/>
  <c r="AR61" i="2"/>
  <c r="J62" i="2"/>
  <c r="O62" i="2"/>
  <c r="Q62" i="2"/>
  <c r="R62" i="2"/>
  <c r="S62" i="2"/>
  <c r="T62" i="2"/>
  <c r="V62" i="2"/>
  <c r="W62" i="2"/>
  <c r="X62" i="2"/>
  <c r="Y62" i="2"/>
  <c r="AA62" i="2"/>
  <c r="AB62" i="2"/>
  <c r="AC62" i="2"/>
  <c r="AD62" i="2"/>
  <c r="AF62" i="2"/>
  <c r="AG62" i="2"/>
  <c r="AH62" i="2"/>
  <c r="AI62" i="2"/>
  <c r="AK62" i="2"/>
  <c r="AL62" i="2"/>
  <c r="AM62" i="2"/>
  <c r="AN62" i="2"/>
  <c r="AP62" i="2"/>
  <c r="AQ62" i="2"/>
  <c r="AR62" i="2"/>
  <c r="J65" i="2"/>
  <c r="O65" i="2"/>
  <c r="Q65" i="2"/>
  <c r="R65" i="2"/>
  <c r="S65" i="2"/>
  <c r="T65" i="2"/>
  <c r="V65" i="2"/>
  <c r="W65" i="2"/>
  <c r="X65" i="2"/>
  <c r="Y65" i="2"/>
  <c r="AA65" i="2"/>
  <c r="AB65" i="2"/>
  <c r="AC65" i="2"/>
  <c r="AD65" i="2"/>
  <c r="AF65" i="2"/>
  <c r="AG65" i="2"/>
  <c r="AH65" i="2"/>
  <c r="AI65" i="2"/>
  <c r="AK65" i="2"/>
  <c r="AL65" i="2"/>
  <c r="AM65" i="2"/>
  <c r="AN65" i="2"/>
  <c r="AP65" i="2"/>
  <c r="AQ65" i="2"/>
  <c r="AR65" i="2"/>
  <c r="AS65" i="2"/>
  <c r="K4" i="1"/>
  <c r="K10" i="1" s="1"/>
  <c r="K89" i="1" s="1"/>
  <c r="K92" i="1" s="1"/>
  <c r="P4" i="1"/>
  <c r="U4" i="1"/>
  <c r="U10" i="1" s="1"/>
  <c r="T10" i="1" s="1"/>
  <c r="Z4" i="1"/>
  <c r="Z10" i="1" s="1"/>
  <c r="Y10" i="1" s="1"/>
  <c r="Y11" i="1" s="1"/>
  <c r="AE4" i="1"/>
  <c r="AE10" i="1" s="1"/>
  <c r="AD10" i="1" s="1"/>
  <c r="AD11" i="1" s="1"/>
  <c r="AJ4" i="1"/>
  <c r="AJ10" i="1" s="1"/>
  <c r="AI10" i="1" s="1"/>
  <c r="AI11" i="1" s="1"/>
  <c r="AO4" i="1"/>
  <c r="AT4" i="1"/>
  <c r="V7" i="1"/>
  <c r="W7" i="1"/>
  <c r="W8" i="1" s="1"/>
  <c r="X7" i="1"/>
  <c r="X8" i="1" s="1"/>
  <c r="Y7" i="1"/>
  <c r="Y8" i="1" s="1"/>
  <c r="AA7" i="1"/>
  <c r="AA8" i="1" s="1"/>
  <c r="AB7" i="1"/>
  <c r="AB8" i="1" s="1"/>
  <c r="AC7" i="1"/>
  <c r="AD7" i="1"/>
  <c r="AD8" i="1" s="1"/>
  <c r="AF7" i="1"/>
  <c r="AG7" i="1"/>
  <c r="AG8" i="1" s="1"/>
  <c r="AH7" i="1"/>
  <c r="AH8" i="1" s="1"/>
  <c r="AI7" i="1"/>
  <c r="AI8" i="1" s="1"/>
  <c r="AL7" i="1"/>
  <c r="AL8" i="1" s="1"/>
  <c r="AM7" i="1"/>
  <c r="AM8" i="1" s="1"/>
  <c r="AN7" i="1"/>
  <c r="AN8" i="1" s="1"/>
  <c r="AP7" i="1"/>
  <c r="AQ7" i="1"/>
  <c r="AQ8" i="1" s="1"/>
  <c r="AQ17" i="1" s="1"/>
  <c r="AR7" i="1"/>
  <c r="AR8" i="1" s="1"/>
  <c r="AR17" i="1" s="1"/>
  <c r="AS7" i="1"/>
  <c r="AS8" i="1" s="1"/>
  <c r="Z9" i="1"/>
  <c r="AE9" i="1"/>
  <c r="AJ9" i="1"/>
  <c r="AT9" i="1"/>
  <c r="L12" i="1"/>
  <c r="M12" i="1"/>
  <c r="N88" i="1"/>
  <c r="Q18" i="1"/>
  <c r="W14" i="1"/>
  <c r="AA14" i="1"/>
  <c r="W88" i="1"/>
  <c r="X18" i="1"/>
  <c r="AG14" i="1"/>
  <c r="AH14" i="1"/>
  <c r="AF88" i="1"/>
  <c r="AG88" i="1"/>
  <c r="L13" i="1"/>
  <c r="M13" i="1"/>
  <c r="N13" i="1"/>
  <c r="O13" i="1"/>
  <c r="Q13" i="1"/>
  <c r="R13" i="1"/>
  <c r="S13" i="1"/>
  <c r="T13" i="1"/>
  <c r="V13" i="1"/>
  <c r="W13" i="1"/>
  <c r="X13" i="1"/>
  <c r="Y13" i="1"/>
  <c r="AA13" i="1"/>
  <c r="AB13" i="1"/>
  <c r="AC13" i="1"/>
  <c r="AD13" i="1"/>
  <c r="E5" i="1"/>
  <c r="C6" i="20" s="1"/>
  <c r="C8" i="20" s="1"/>
  <c r="F5" i="1"/>
  <c r="D6" i="20" s="1"/>
  <c r="D8" i="20" s="1"/>
  <c r="L5" i="1"/>
  <c r="C3" i="23" s="1"/>
  <c r="M5" i="1"/>
  <c r="D3" i="23" s="1"/>
  <c r="N5" i="1"/>
  <c r="E3" i="23" s="1"/>
  <c r="O5" i="1"/>
  <c r="F3" i="23" s="1"/>
  <c r="Q5" i="1"/>
  <c r="G3" i="23" s="1"/>
  <c r="R5" i="1"/>
  <c r="H3" i="23" s="1"/>
  <c r="S5" i="1"/>
  <c r="I3" i="23" s="1"/>
  <c r="T5" i="1"/>
  <c r="J3" i="23" s="1"/>
  <c r="V5" i="1"/>
  <c r="K3" i="23" s="1"/>
  <c r="W5" i="1"/>
  <c r="L3" i="23" s="1"/>
  <c r="X5" i="1"/>
  <c r="M3" i="23" s="1"/>
  <c r="Y5" i="1"/>
  <c r="N3" i="23" s="1"/>
  <c r="AA5" i="1"/>
  <c r="O3" i="23" s="1"/>
  <c r="AB5" i="1"/>
  <c r="P3" i="23" s="1"/>
  <c r="AC5" i="1"/>
  <c r="Q3" i="23" s="1"/>
  <c r="AD5" i="1"/>
  <c r="R3" i="23" s="1"/>
  <c r="AF5" i="1"/>
  <c r="S3" i="23" s="1"/>
  <c r="AG5" i="1"/>
  <c r="T3" i="23" s="1"/>
  <c r="AH5" i="1"/>
  <c r="U3" i="23" s="1"/>
  <c r="AI5" i="1"/>
  <c r="V3" i="23" s="1"/>
  <c r="AK5" i="1"/>
  <c r="W3" i="23" s="1"/>
  <c r="AL5" i="1"/>
  <c r="X3" i="23" s="1"/>
  <c r="AM5" i="1"/>
  <c r="Y3" i="23" s="1"/>
  <c r="AN5" i="1"/>
  <c r="Z3" i="23" s="1"/>
  <c r="AP5" i="1"/>
  <c r="AA3" i="23" s="1"/>
  <c r="AQ5" i="1"/>
  <c r="AB3" i="23" s="1"/>
  <c r="AR5" i="1"/>
  <c r="AC3" i="23" s="1"/>
  <c r="AS5" i="1"/>
  <c r="AD3" i="23" s="1"/>
  <c r="H6" i="1"/>
  <c r="I6" i="1"/>
  <c r="J6" i="1"/>
  <c r="L6" i="1"/>
  <c r="M6" i="1"/>
  <c r="N6" i="1"/>
  <c r="O6" i="1"/>
  <c r="Q6" i="1"/>
  <c r="R6" i="1"/>
  <c r="S6" i="1"/>
  <c r="T6" i="1"/>
  <c r="V6" i="1"/>
  <c r="W6" i="1"/>
  <c r="X6" i="1"/>
  <c r="Y6" i="1"/>
  <c r="AA6" i="1"/>
  <c r="AB6" i="1"/>
  <c r="AC6" i="1"/>
  <c r="AD6" i="1"/>
  <c r="AF6" i="1"/>
  <c r="AG6" i="1"/>
  <c r="AH6" i="1"/>
  <c r="AI6" i="1"/>
  <c r="AK6" i="1"/>
  <c r="AL6" i="1"/>
  <c r="AM6" i="1"/>
  <c r="AN6" i="1"/>
  <c r="AP6" i="1"/>
  <c r="AQ6" i="1"/>
  <c r="AR6" i="1"/>
  <c r="AS6" i="1"/>
  <c r="F20" i="1"/>
  <c r="F21" i="1" s="1"/>
  <c r="F22" i="1" s="1"/>
  <c r="G20" i="1"/>
  <c r="G21" i="1" s="1"/>
  <c r="G22" i="1" s="1"/>
  <c r="H20" i="1"/>
  <c r="H21" i="1" s="1"/>
  <c r="H22" i="1" s="1"/>
  <c r="I20" i="1"/>
  <c r="I21" i="1" s="1"/>
  <c r="I22" i="1" s="1"/>
  <c r="J20" i="1"/>
  <c r="J21" i="1" s="1"/>
  <c r="J22" i="1" s="1"/>
  <c r="L20" i="1"/>
  <c r="L21" i="1" s="1"/>
  <c r="L22" i="1" s="1"/>
  <c r="M20" i="1"/>
  <c r="M21" i="1" s="1"/>
  <c r="M22" i="1" s="1"/>
  <c r="N20" i="1"/>
  <c r="N21" i="1" s="1"/>
  <c r="N22" i="1" s="1"/>
  <c r="O20" i="1"/>
  <c r="O21" i="1" s="1"/>
  <c r="O22" i="1" s="1"/>
  <c r="Q20" i="1"/>
  <c r="Q21" i="1" s="1"/>
  <c r="Q22" i="1" s="1"/>
  <c r="R20" i="1"/>
  <c r="R21" i="1" s="1"/>
  <c r="R22" i="1" s="1"/>
  <c r="S20" i="1"/>
  <c r="S21" i="1" s="1"/>
  <c r="S22" i="1" s="1"/>
  <c r="T20" i="1"/>
  <c r="T21" i="1" s="1"/>
  <c r="V20" i="1"/>
  <c r="V21" i="1" s="1"/>
  <c r="V22" i="1" s="1"/>
  <c r="W20" i="1"/>
  <c r="W21" i="1" s="1"/>
  <c r="W22" i="1" s="1"/>
  <c r="X20" i="1"/>
  <c r="X21" i="1" s="1"/>
  <c r="X22" i="1" s="1"/>
  <c r="Y20" i="1"/>
  <c r="Y21" i="1" s="1"/>
  <c r="Y22" i="1" s="1"/>
  <c r="AA20" i="1"/>
  <c r="AA21" i="1" s="1"/>
  <c r="AA22" i="1" s="1"/>
  <c r="AB20" i="1"/>
  <c r="AB21" i="1" s="1"/>
  <c r="AB22" i="1" s="1"/>
  <c r="AC20" i="1"/>
  <c r="AC21" i="1" s="1"/>
  <c r="AC22" i="1" s="1"/>
  <c r="AD20" i="1"/>
  <c r="AD21" i="1" s="1"/>
  <c r="AD22" i="1" s="1"/>
  <c r="AF20" i="1"/>
  <c r="AF21" i="1" s="1"/>
  <c r="AF22" i="1" s="1"/>
  <c r="AG20" i="1"/>
  <c r="AG21" i="1" s="1"/>
  <c r="AG22" i="1" s="1"/>
  <c r="AH20" i="1"/>
  <c r="AH21" i="1" s="1"/>
  <c r="AH22" i="1" s="1"/>
  <c r="AI20" i="1"/>
  <c r="AI21" i="1" s="1"/>
  <c r="AK20" i="1"/>
  <c r="AK21" i="1" s="1"/>
  <c r="AK22" i="1" s="1"/>
  <c r="AL20" i="1"/>
  <c r="AL21" i="1" s="1"/>
  <c r="AM20" i="1"/>
  <c r="AM21" i="1" s="1"/>
  <c r="AM22" i="1" s="1"/>
  <c r="AN20" i="1"/>
  <c r="AN21" i="1" s="1"/>
  <c r="AN22" i="1" s="1"/>
  <c r="AP20" i="1"/>
  <c r="AP21" i="1" s="1"/>
  <c r="AP22" i="1" s="1"/>
  <c r="AQ20" i="1"/>
  <c r="AQ21" i="1" s="1"/>
  <c r="AR20" i="1"/>
  <c r="AR21" i="1" s="1"/>
  <c r="AS20" i="1"/>
  <c r="AS21" i="1" s="1"/>
  <c r="AS22" i="1" s="1"/>
  <c r="D21" i="1"/>
  <c r="E21" i="1"/>
  <c r="F25" i="1"/>
  <c r="F26" i="1" s="1"/>
  <c r="G25" i="1"/>
  <c r="G26" i="1" s="1"/>
  <c r="H25" i="1"/>
  <c r="H26" i="1" s="1"/>
  <c r="I25" i="1"/>
  <c r="I26" i="1" s="1"/>
  <c r="J25" i="1"/>
  <c r="J26" i="1" s="1"/>
  <c r="L25" i="1"/>
  <c r="M25" i="1"/>
  <c r="M26" i="1" s="1"/>
  <c r="N25" i="1"/>
  <c r="N26" i="1" s="1"/>
  <c r="O25" i="1"/>
  <c r="Q25" i="1"/>
  <c r="Q26" i="1" s="1"/>
  <c r="R25" i="1"/>
  <c r="S25" i="1"/>
  <c r="S26" i="1" s="1"/>
  <c r="T25" i="1"/>
  <c r="T26" i="1" s="1"/>
  <c r="V25" i="1"/>
  <c r="V26" i="1" s="1"/>
  <c r="W25" i="1"/>
  <c r="W26" i="1" s="1"/>
  <c r="X25" i="1"/>
  <c r="X26" i="1" s="1"/>
  <c r="Y25" i="1"/>
  <c r="Y26" i="1" s="1"/>
  <c r="AA25" i="1"/>
  <c r="AA26" i="1" s="1"/>
  <c r="AB25" i="1"/>
  <c r="AB26" i="1" s="1"/>
  <c r="AC25" i="1"/>
  <c r="AC26" i="1" s="1"/>
  <c r="AD25" i="1"/>
  <c r="AD26" i="1" s="1"/>
  <c r="AF25" i="1"/>
  <c r="AF26" i="1" s="1"/>
  <c r="AG25" i="1"/>
  <c r="AH25" i="1"/>
  <c r="AH26" i="1" s="1"/>
  <c r="AI25" i="1"/>
  <c r="AI26" i="1" s="1"/>
  <c r="AK25" i="1"/>
  <c r="AK26" i="1" s="1"/>
  <c r="AL25" i="1"/>
  <c r="AM25" i="1"/>
  <c r="AM26" i="1" s="1"/>
  <c r="AN25" i="1"/>
  <c r="AN26" i="1" s="1"/>
  <c r="AP25" i="1"/>
  <c r="AQ25" i="1"/>
  <c r="AR25" i="1"/>
  <c r="AS25" i="1"/>
  <c r="D26" i="1"/>
  <c r="E26" i="1"/>
  <c r="F27" i="1"/>
  <c r="F28" i="1" s="1"/>
  <c r="G27" i="1"/>
  <c r="G28" i="1" s="1"/>
  <c r="H27" i="1"/>
  <c r="H28" i="1" s="1"/>
  <c r="I27" i="1"/>
  <c r="I28" i="1" s="1"/>
  <c r="J27" i="1"/>
  <c r="J28" i="1" s="1"/>
  <c r="L27" i="1"/>
  <c r="L28" i="1" s="1"/>
  <c r="M27" i="1"/>
  <c r="N27" i="1"/>
  <c r="O27" i="1"/>
  <c r="O28" i="1" s="1"/>
  <c r="Q27" i="1"/>
  <c r="Q28" i="1" s="1"/>
  <c r="R27" i="1"/>
  <c r="R28" i="1" s="1"/>
  <c r="S27" i="1"/>
  <c r="S28" i="1" s="1"/>
  <c r="T27" i="1"/>
  <c r="V27" i="1"/>
  <c r="V28" i="1" s="1"/>
  <c r="W27" i="1"/>
  <c r="W28" i="1" s="1"/>
  <c r="X27" i="1"/>
  <c r="X28" i="1" s="1"/>
  <c r="Y27" i="1"/>
  <c r="Y28" i="1" s="1"/>
  <c r="AA27" i="1"/>
  <c r="AA28" i="1" s="1"/>
  <c r="AB27" i="1"/>
  <c r="AB28" i="1" s="1"/>
  <c r="AC27" i="1"/>
  <c r="AC28" i="1" s="1"/>
  <c r="AD27" i="1"/>
  <c r="AD28" i="1" s="1"/>
  <c r="AF27" i="1"/>
  <c r="AG27" i="1"/>
  <c r="AG28" i="1" s="1"/>
  <c r="AH27" i="1"/>
  <c r="AH28" i="1" s="1"/>
  <c r="AI27" i="1"/>
  <c r="AI28" i="1" s="1"/>
  <c r="AK27" i="1"/>
  <c r="AK28" i="1" s="1"/>
  <c r="AL27" i="1"/>
  <c r="AL28" i="1" s="1"/>
  <c r="AM27" i="1"/>
  <c r="AM28" i="1" s="1"/>
  <c r="AN27" i="1"/>
  <c r="AN28" i="1" s="1"/>
  <c r="AP27" i="1"/>
  <c r="AP28" i="1" s="1"/>
  <c r="AQ27" i="1"/>
  <c r="AQ28" i="1" s="1"/>
  <c r="AR27" i="1"/>
  <c r="AR28" i="1" s="1"/>
  <c r="AS27" i="1"/>
  <c r="D28" i="1"/>
  <c r="E28" i="1"/>
  <c r="F29" i="1"/>
  <c r="F30" i="1" s="1"/>
  <c r="G29" i="1"/>
  <c r="G30" i="1" s="1"/>
  <c r="H29" i="1"/>
  <c r="H30" i="1" s="1"/>
  <c r="I29" i="1"/>
  <c r="I30" i="1" s="1"/>
  <c r="J29" i="1"/>
  <c r="L29" i="1"/>
  <c r="L30" i="1" s="1"/>
  <c r="M29" i="1"/>
  <c r="M30" i="1" s="1"/>
  <c r="N29" i="1"/>
  <c r="N30" i="1" s="1"/>
  <c r="O29" i="1"/>
  <c r="O30" i="1" s="1"/>
  <c r="Q29" i="1"/>
  <c r="Q30" i="1" s="1"/>
  <c r="R29" i="1"/>
  <c r="S29" i="1"/>
  <c r="S30" i="1" s="1"/>
  <c r="T29" i="1"/>
  <c r="T30" i="1" s="1"/>
  <c r="V29" i="1"/>
  <c r="V30" i="1" s="1"/>
  <c r="W29" i="1"/>
  <c r="W30" i="1" s="1"/>
  <c r="X29" i="1"/>
  <c r="Y29" i="1"/>
  <c r="Y30" i="1" s="1"/>
  <c r="AA29" i="1"/>
  <c r="AA30" i="1" s="1"/>
  <c r="AB29" i="1"/>
  <c r="AB30" i="1" s="1"/>
  <c r="AC29" i="1"/>
  <c r="AC30" i="1" s="1"/>
  <c r="AD29" i="1"/>
  <c r="AD30" i="1" s="1"/>
  <c r="AF29" i="1"/>
  <c r="AF30" i="1" s="1"/>
  <c r="AG29" i="1"/>
  <c r="AG30" i="1" s="1"/>
  <c r="AH29" i="1"/>
  <c r="AH30" i="1" s="1"/>
  <c r="AI29" i="1"/>
  <c r="AI30" i="1" s="1"/>
  <c r="AK29" i="1"/>
  <c r="AL29" i="1"/>
  <c r="AL30" i="1" s="1"/>
  <c r="AM29" i="1"/>
  <c r="AM30" i="1" s="1"/>
  <c r="AN29" i="1"/>
  <c r="AN30" i="1" s="1"/>
  <c r="AP29" i="1"/>
  <c r="AP30" i="1" s="1"/>
  <c r="AQ29" i="1"/>
  <c r="AQ30" i="1" s="1"/>
  <c r="AR29" i="1"/>
  <c r="AR30" i="1" s="1"/>
  <c r="AS29" i="1"/>
  <c r="AS30" i="1" s="1"/>
  <c r="D30" i="1"/>
  <c r="E30" i="1"/>
  <c r="D31" i="1"/>
  <c r="E31" i="1"/>
  <c r="Z36" i="1"/>
  <c r="AE36" i="1"/>
  <c r="AJ36" i="1"/>
  <c r="AO36" i="1"/>
  <c r="AT36" i="1"/>
  <c r="AY36" i="1"/>
  <c r="K37" i="1"/>
  <c r="P37" i="1"/>
  <c r="U37" i="1"/>
  <c r="Z37" i="1"/>
  <c r="AE37" i="1"/>
  <c r="AJ37" i="1"/>
  <c r="AO37" i="1"/>
  <c r="AT37" i="1"/>
  <c r="AY37" i="1"/>
  <c r="F40" i="1"/>
  <c r="G40" i="1"/>
  <c r="H40" i="1"/>
  <c r="I40" i="1"/>
  <c r="J40" i="1"/>
  <c r="L40" i="1"/>
  <c r="M40" i="1"/>
  <c r="N40" i="1"/>
  <c r="O40" i="1"/>
  <c r="Q40" i="1"/>
  <c r="R40" i="1"/>
  <c r="S40" i="1"/>
  <c r="T40" i="1"/>
  <c r="V40" i="1"/>
  <c r="W40" i="1"/>
  <c r="X40" i="1"/>
  <c r="Y40" i="1"/>
  <c r="AA40" i="1"/>
  <c r="AB40" i="1"/>
  <c r="AC40" i="1"/>
  <c r="AD40" i="1"/>
  <c r="AF40" i="1"/>
  <c r="AG40" i="1"/>
  <c r="AH40" i="1"/>
  <c r="AI40" i="1"/>
  <c r="AK40" i="1"/>
  <c r="AL40" i="1"/>
  <c r="AM40" i="1"/>
  <c r="AN40" i="1"/>
  <c r="AP40" i="1"/>
  <c r="AQ40" i="1"/>
  <c r="AR40" i="1"/>
  <c r="AS40" i="1"/>
  <c r="K56" i="1"/>
  <c r="K62" i="1" s="1"/>
  <c r="P56" i="1"/>
  <c r="P62" i="1" s="1"/>
  <c r="U56" i="1"/>
  <c r="U62" i="1" s="1"/>
  <c r="Y56" i="1"/>
  <c r="Z56" i="1" s="1"/>
  <c r="Z62" i="1" s="1"/>
  <c r="AB56" i="1"/>
  <c r="AC56" i="1"/>
  <c r="AD56" i="1"/>
  <c r="AF56" i="1"/>
  <c r="AH56" i="1"/>
  <c r="AI56" i="1"/>
  <c r="AK56" i="1"/>
  <c r="AL56" i="1"/>
  <c r="AM56" i="1"/>
  <c r="AN56" i="1"/>
  <c r="AP56" i="1"/>
  <c r="AQ56" i="1"/>
  <c r="AR56" i="1"/>
  <c r="E62" i="1"/>
  <c r="F62" i="1"/>
  <c r="G62" i="1"/>
  <c r="H62" i="1"/>
  <c r="I62" i="1"/>
  <c r="J62" i="1"/>
  <c r="L62" i="1"/>
  <c r="M62" i="1"/>
  <c r="N62" i="1"/>
  <c r="O62" i="1"/>
  <c r="Q62" i="1"/>
  <c r="R62" i="1"/>
  <c r="T62" i="1"/>
  <c r="V62" i="1"/>
  <c r="W62" i="1"/>
  <c r="X62" i="1"/>
  <c r="U72" i="1"/>
  <c r="U73" i="1"/>
  <c r="Z73" i="1"/>
  <c r="AE73" i="1"/>
  <c r="AJ73" i="1"/>
  <c r="AO73" i="1"/>
  <c r="AT73" i="1"/>
  <c r="F75" i="1"/>
  <c r="G75" i="1"/>
  <c r="H75" i="1"/>
  <c r="I75" i="1"/>
  <c r="J75" i="1"/>
  <c r="K75" i="1"/>
  <c r="L75" i="1"/>
  <c r="M75" i="1"/>
  <c r="N75" i="1"/>
  <c r="O75" i="1"/>
  <c r="P75" i="1"/>
  <c r="Q75" i="1"/>
  <c r="R75" i="1"/>
  <c r="S75" i="1"/>
  <c r="T75" i="1"/>
  <c r="V75" i="1"/>
  <c r="W75" i="1"/>
  <c r="X75" i="1"/>
  <c r="Y75" i="1"/>
  <c r="AA75" i="1"/>
  <c r="AB75" i="1"/>
  <c r="AC75" i="1"/>
  <c r="AD75" i="1"/>
  <c r="AF75" i="1"/>
  <c r="AG75" i="1"/>
  <c r="AH75" i="1"/>
  <c r="AI75" i="1"/>
  <c r="AK75" i="1"/>
  <c r="AL75" i="1"/>
  <c r="AM75" i="1"/>
  <c r="AN75" i="1"/>
  <c r="AP75" i="1"/>
  <c r="AQ75" i="1"/>
  <c r="AR75" i="1"/>
  <c r="AS75" i="1"/>
  <c r="F77" i="1"/>
  <c r="F78" i="1" s="1"/>
  <c r="G77" i="1"/>
  <c r="G78" i="1" s="1"/>
  <c r="H77" i="1"/>
  <c r="H78" i="1" s="1"/>
  <c r="I77" i="1"/>
  <c r="I78" i="1" s="1"/>
  <c r="J77" i="1"/>
  <c r="J78" i="1" s="1"/>
  <c r="K77" i="1"/>
  <c r="K78" i="1" s="1"/>
  <c r="O77" i="1"/>
  <c r="P77" i="1"/>
  <c r="P78" i="1" s="1"/>
  <c r="Q77" i="1"/>
  <c r="Q78" i="1" s="1"/>
  <c r="R77" i="1"/>
  <c r="R78" i="1" s="1"/>
  <c r="S77" i="1"/>
  <c r="S78" i="1" s="1"/>
  <c r="T77" i="1"/>
  <c r="T78" i="1" s="1"/>
  <c r="W77" i="1"/>
  <c r="W78" i="1" s="1"/>
  <c r="X77" i="1"/>
  <c r="X78" i="1" s="1"/>
  <c r="Y77" i="1"/>
  <c r="Y78" i="1" s="1"/>
  <c r="AA77" i="1"/>
  <c r="AA78" i="1" s="1"/>
  <c r="AB77" i="1"/>
  <c r="AB78" i="1" s="1"/>
  <c r="AC77" i="1"/>
  <c r="AC78" i="1" s="1"/>
  <c r="AD77" i="1"/>
  <c r="AD78" i="1" s="1"/>
  <c r="AF77" i="1"/>
  <c r="AF78" i="1" s="1"/>
  <c r="AG77" i="1"/>
  <c r="AG78" i="1" s="1"/>
  <c r="AH77" i="1"/>
  <c r="AH78" i="1" s="1"/>
  <c r="AI77" i="1"/>
  <c r="AI78" i="1" s="1"/>
  <c r="AK77" i="1"/>
  <c r="AK78" i="1" s="1"/>
  <c r="AM77" i="1"/>
  <c r="AM78" i="1" s="1"/>
  <c r="AN77" i="1"/>
  <c r="AN78" i="1" s="1"/>
  <c r="AP77" i="1"/>
  <c r="AP78" i="1" s="1"/>
  <c r="AQ77" i="1"/>
  <c r="AQ78" i="1" s="1"/>
  <c r="E5" i="6"/>
  <c r="H5" i="6"/>
  <c r="AU13" i="1"/>
  <c r="AU5" i="1"/>
  <c r="AE3" i="23" s="1"/>
  <c r="AU6" i="1"/>
  <c r="AU65" i="2"/>
  <c r="AU31" i="2"/>
  <c r="AU40" i="2" s="1"/>
  <c r="AU46" i="2"/>
  <c r="AO9" i="1"/>
  <c r="AK7" i="1"/>
  <c r="AK8" i="1" s="1"/>
  <c r="AP14" i="1"/>
  <c r="AY33" i="2"/>
  <c r="AW52" i="2"/>
  <c r="AW53" i="2"/>
  <c r="AV53" i="2"/>
  <c r="AV52" i="2"/>
  <c r="AU48" i="2"/>
  <c r="AX52" i="2"/>
  <c r="AU11" i="2"/>
  <c r="BD16" i="1"/>
  <c r="AV13" i="1"/>
  <c r="AV65" i="2"/>
  <c r="AV6" i="1"/>
  <c r="AV48" i="2"/>
  <c r="AV5" i="1"/>
  <c r="AF3" i="23" s="1"/>
  <c r="AV46" i="2"/>
  <c r="AY12" i="2"/>
  <c r="AZ68" i="3" s="1"/>
  <c r="AV31" i="2"/>
  <c r="AV40" i="2" s="1"/>
  <c r="AV75" i="1"/>
  <c r="AV11" i="2"/>
  <c r="AY73" i="1"/>
  <c r="AZ52" i="2"/>
  <c r="AZ53" i="2"/>
  <c r="AX53" i="2"/>
  <c r="AW46" i="2"/>
  <c r="AW6" i="1"/>
  <c r="AW5" i="1"/>
  <c r="AG3" i="23" s="1"/>
  <c r="AW75" i="1"/>
  <c r="D19" i="5"/>
  <c r="AW65" i="2"/>
  <c r="AW13" i="1"/>
  <c r="BA53" i="2"/>
  <c r="BA52" i="2"/>
  <c r="AW48" i="2"/>
  <c r="AW31" i="2"/>
  <c r="AW11" i="2"/>
  <c r="AY8" i="2"/>
  <c r="AX13" i="1"/>
  <c r="AX5" i="1"/>
  <c r="AH3" i="23" s="1"/>
  <c r="AY25" i="2"/>
  <c r="AX6" i="1"/>
  <c r="AY4" i="1"/>
  <c r="AX65" i="2"/>
  <c r="AX46" i="2"/>
  <c r="AY10" i="2"/>
  <c r="AX48" i="2"/>
  <c r="AY28" i="2"/>
  <c r="AY24" i="2"/>
  <c r="AX31" i="2"/>
  <c r="AY26" i="2"/>
  <c r="AY9" i="2"/>
  <c r="AY56" i="1"/>
  <c r="AY62" i="1" s="1"/>
  <c r="AX11" i="2"/>
  <c r="AY11" i="2" s="1"/>
  <c r="AY6" i="2"/>
  <c r="AZ5" i="1"/>
  <c r="AI3" i="23" s="1"/>
  <c r="AZ13" i="1"/>
  <c r="AZ6" i="1"/>
  <c r="AZ75" i="1"/>
  <c r="AZ65" i="2"/>
  <c r="AZ31" i="2"/>
  <c r="AZ40" i="2" s="1"/>
  <c r="AZ46" i="2"/>
  <c r="AZ48" i="2"/>
  <c r="BA75" i="1"/>
  <c r="BA65" i="2"/>
  <c r="BA5" i="1"/>
  <c r="AJ3" i="23" s="1"/>
  <c r="BA6" i="1"/>
  <c r="BA13" i="1"/>
  <c r="BA31" i="2"/>
  <c r="BA40" i="2" s="1"/>
  <c r="BA46" i="2"/>
  <c r="AZ77" i="1"/>
  <c r="AZ79" i="1" s="1"/>
  <c r="AZ11" i="2"/>
  <c r="P24" i="15" l="1"/>
  <c r="P32" i="15"/>
  <c r="P22" i="15"/>
  <c r="D22" i="15"/>
  <c r="D32" i="15"/>
  <c r="D24" i="15"/>
  <c r="U24" i="15"/>
  <c r="U22" i="15"/>
  <c r="U32" i="15"/>
  <c r="F24" i="15"/>
  <c r="F32" i="15"/>
  <c r="F22" i="15"/>
  <c r="H22" i="15"/>
  <c r="H24" i="15"/>
  <c r="H32" i="15"/>
  <c r="I32" i="15"/>
  <c r="I22" i="15"/>
  <c r="I24" i="15"/>
  <c r="G24" i="15"/>
  <c r="G32" i="15"/>
  <c r="G22" i="15"/>
  <c r="J24" i="15"/>
  <c r="J22" i="15"/>
  <c r="J32" i="15"/>
  <c r="K22" i="15"/>
  <c r="K24" i="15"/>
  <c r="K32" i="15"/>
  <c r="Q32" i="15"/>
  <c r="Q22" i="15"/>
  <c r="Q24" i="15"/>
  <c r="T32" i="15"/>
  <c r="T22" i="15"/>
  <c r="T24" i="15"/>
  <c r="L24" i="15"/>
  <c r="L32" i="15"/>
  <c r="L22" i="15"/>
  <c r="R22" i="15"/>
  <c r="R32" i="15"/>
  <c r="R24" i="15"/>
  <c r="S32" i="15"/>
  <c r="S24" i="15"/>
  <c r="S22" i="15"/>
  <c r="V32" i="15"/>
  <c r="V24" i="15"/>
  <c r="V22" i="15"/>
  <c r="W24" i="15"/>
  <c r="W32" i="15"/>
  <c r="W22" i="15"/>
  <c r="M22" i="15"/>
  <c r="M24" i="15"/>
  <c r="M32" i="15"/>
  <c r="N32" i="15"/>
  <c r="N24" i="15"/>
  <c r="N22" i="15"/>
  <c r="E24" i="15"/>
  <c r="E22" i="15"/>
  <c r="E32" i="15"/>
  <c r="O22" i="15"/>
  <c r="O32" i="15"/>
  <c r="O24" i="15"/>
  <c r="U38" i="1"/>
  <c r="P38" i="1"/>
  <c r="K38" i="1"/>
  <c r="AB16" i="15"/>
  <c r="Y16" i="15"/>
  <c r="X16" i="15"/>
  <c r="Z16" i="15"/>
  <c r="AA16" i="15"/>
  <c r="AR18" i="1"/>
  <c r="AR19" i="1" s="1"/>
  <c r="AW14" i="1"/>
  <c r="AB18" i="15"/>
  <c r="AJ38" i="1"/>
  <c r="AE38" i="1"/>
  <c r="Z38" i="1"/>
  <c r="AN50" i="1"/>
  <c r="AN46" i="1"/>
  <c r="Y50" i="1"/>
  <c r="Y46" i="1"/>
  <c r="J50" i="1"/>
  <c r="J46" i="1"/>
  <c r="AM46" i="1"/>
  <c r="AM50" i="1"/>
  <c r="X46" i="1"/>
  <c r="X50" i="1"/>
  <c r="I46" i="1"/>
  <c r="I50" i="1"/>
  <c r="W46" i="1"/>
  <c r="W50" i="1"/>
  <c r="AX46" i="1"/>
  <c r="AY46" i="1" s="1"/>
  <c r="AX50" i="1"/>
  <c r="AY50" i="1" s="1"/>
  <c r="V50" i="1"/>
  <c r="V46" i="1"/>
  <c r="AI50" i="1"/>
  <c r="AI46" i="1"/>
  <c r="T50" i="1"/>
  <c r="T46" i="1"/>
  <c r="AH46" i="1"/>
  <c r="AH50" i="1"/>
  <c r="S50" i="1"/>
  <c r="S46" i="1"/>
  <c r="E46" i="1"/>
  <c r="E50" i="1"/>
  <c r="BH50" i="1"/>
  <c r="BH46" i="1"/>
  <c r="AG50" i="1"/>
  <c r="AG46" i="1"/>
  <c r="R50" i="1"/>
  <c r="R46" i="1"/>
  <c r="D50" i="1"/>
  <c r="D46" i="1"/>
  <c r="BF50" i="1"/>
  <c r="BF46" i="1"/>
  <c r="BE50" i="1"/>
  <c r="BE46" i="1"/>
  <c r="AS46" i="1"/>
  <c r="AS50" i="1"/>
  <c r="AD46" i="1"/>
  <c r="AD50" i="1"/>
  <c r="O50" i="1"/>
  <c r="O46" i="1"/>
  <c r="H50" i="1"/>
  <c r="H46" i="1"/>
  <c r="G46" i="1"/>
  <c r="G50" i="1"/>
  <c r="AF50" i="1"/>
  <c r="AF46" i="1"/>
  <c r="AR50" i="1"/>
  <c r="AR46" i="1"/>
  <c r="AC50" i="1"/>
  <c r="AC46" i="1"/>
  <c r="N46" i="1"/>
  <c r="N50" i="1"/>
  <c r="AL46" i="1"/>
  <c r="AL50" i="1"/>
  <c r="AQ50" i="1"/>
  <c r="AQ46" i="1"/>
  <c r="AB50" i="1"/>
  <c r="AB46" i="1"/>
  <c r="M46" i="1"/>
  <c r="M50" i="1"/>
  <c r="AK50" i="1"/>
  <c r="AK46" i="1"/>
  <c r="Q50" i="1"/>
  <c r="Q46" i="1"/>
  <c r="AA46" i="1"/>
  <c r="AA50" i="1"/>
  <c r="L46" i="1"/>
  <c r="L50" i="1"/>
  <c r="AZ50" i="1"/>
  <c r="BD50" i="1" s="1"/>
  <c r="AZ46" i="1"/>
  <c r="BD46" i="1" s="1"/>
  <c r="M76" i="1"/>
  <c r="K76" i="1"/>
  <c r="AU8" i="4"/>
  <c r="J23" i="19"/>
  <c r="AC5" i="23"/>
  <c r="H23" i="19"/>
  <c r="AA5" i="23"/>
  <c r="F23" i="19"/>
  <c r="Y5" i="23"/>
  <c r="I23" i="19"/>
  <c r="AB5" i="23"/>
  <c r="G23" i="19"/>
  <c r="Z5" i="23"/>
  <c r="E3" i="13"/>
  <c r="V5" i="23"/>
  <c r="N23" i="19"/>
  <c r="AG5" i="23"/>
  <c r="D3" i="13"/>
  <c r="U5" i="23"/>
  <c r="O23" i="19"/>
  <c r="AH5" i="23"/>
  <c r="M23" i="19"/>
  <c r="AF5" i="23"/>
  <c r="C3" i="13"/>
  <c r="T5" i="23"/>
  <c r="L23" i="19"/>
  <c r="AE5" i="23"/>
  <c r="B3" i="13"/>
  <c r="S5" i="23"/>
  <c r="E23" i="19"/>
  <c r="X5" i="23"/>
  <c r="D23" i="19"/>
  <c r="W5" i="23"/>
  <c r="AX40" i="2"/>
  <c r="AY40" i="2" s="1"/>
  <c r="K23" i="19"/>
  <c r="AD5" i="23"/>
  <c r="M5" i="4"/>
  <c r="D4" i="23" s="1"/>
  <c r="N7" i="4"/>
  <c r="N69" i="4" s="1"/>
  <c r="AK8" i="4"/>
  <c r="AO76" i="4"/>
  <c r="AY19" i="3"/>
  <c r="O69" i="4"/>
  <c r="AP78" i="4"/>
  <c r="J3" i="13"/>
  <c r="M30" i="3"/>
  <c r="BA97" i="1"/>
  <c r="F3" i="13"/>
  <c r="W18" i="15"/>
  <c r="AT38" i="1"/>
  <c r="AW40" i="2"/>
  <c r="L69" i="4"/>
  <c r="W84" i="4"/>
  <c r="H76" i="1"/>
  <c r="AO38" i="1"/>
  <c r="AY38" i="1"/>
  <c r="AX105" i="1"/>
  <c r="AX106" i="1" s="1"/>
  <c r="AX97" i="1"/>
  <c r="AQ105" i="1"/>
  <c r="AQ106" i="1" s="1"/>
  <c r="AZ97" i="1"/>
  <c r="AL105" i="1"/>
  <c r="AL106" i="1" s="1"/>
  <c r="AL107" i="1" s="1"/>
  <c r="R49" i="2"/>
  <c r="O18" i="15"/>
  <c r="H3" i="13"/>
  <c r="U40" i="1"/>
  <c r="AD50" i="2"/>
  <c r="AY23" i="3"/>
  <c r="AO11" i="3"/>
  <c r="G3" i="13"/>
  <c r="AB50" i="2"/>
  <c r="AC50" i="2"/>
  <c r="AQ50" i="2"/>
  <c r="AV105" i="1"/>
  <c r="AV106" i="1" s="1"/>
  <c r="AP84" i="4"/>
  <c r="D33" i="1"/>
  <c r="AR50" i="2"/>
  <c r="AH50" i="2"/>
  <c r="X50" i="2"/>
  <c r="AQ8" i="4"/>
  <c r="I18" i="19"/>
  <c r="I24" i="19" s="1"/>
  <c r="BA8" i="4"/>
  <c r="M18" i="19"/>
  <c r="M24" i="19" s="1"/>
  <c r="AY25" i="1"/>
  <c r="AY26" i="1" s="1"/>
  <c r="BB8" i="4"/>
  <c r="N18" i="19"/>
  <c r="N24" i="19" s="1"/>
  <c r="W50" i="2"/>
  <c r="J4" i="13"/>
  <c r="H18" i="19"/>
  <c r="H24" i="19" s="1"/>
  <c r="AF50" i="2"/>
  <c r="V50" i="2"/>
  <c r="AC8" i="4"/>
  <c r="R3" i="13"/>
  <c r="P23" i="19"/>
  <c r="AL8" i="4"/>
  <c r="E18" i="19"/>
  <c r="E24" i="19" s="1"/>
  <c r="K3" i="13"/>
  <c r="AZ31" i="1"/>
  <c r="AZ33" i="1" s="1"/>
  <c r="P27" i="1"/>
  <c r="P28" i="1" s="1"/>
  <c r="AB84" i="4"/>
  <c r="AB89" i="4" s="1"/>
  <c r="R84" i="4"/>
  <c r="R89" i="4" s="1"/>
  <c r="AG50" i="2"/>
  <c r="M4" i="13"/>
  <c r="K18" i="19"/>
  <c r="K24" i="19" s="1"/>
  <c r="AY21" i="3"/>
  <c r="AQ37" i="3"/>
  <c r="AY60" i="3"/>
  <c r="S20" i="15"/>
  <c r="K20" i="15"/>
  <c r="S18" i="15"/>
  <c r="AY25" i="3"/>
  <c r="Y88" i="1"/>
  <c r="AI12" i="1"/>
  <c r="AZ105" i="1"/>
  <c r="AZ106" i="1" s="1"/>
  <c r="AS105" i="1"/>
  <c r="AS106" i="1" s="1"/>
  <c r="AN105" i="1"/>
  <c r="AN106" i="1" s="1"/>
  <c r="AN107" i="1" s="1"/>
  <c r="AU31" i="1"/>
  <c r="AU33" i="1" s="1"/>
  <c r="V31" i="1"/>
  <c r="V33" i="1" s="1"/>
  <c r="AE5" i="1"/>
  <c r="I6" i="20" s="1"/>
  <c r="I8" i="20" s="1"/>
  <c r="K4" i="13"/>
  <c r="AV8" i="4"/>
  <c r="AU105" i="1"/>
  <c r="AU106" i="1" s="1"/>
  <c r="K5" i="1"/>
  <c r="E6" i="20" s="1"/>
  <c r="E8" i="20" s="1"/>
  <c r="AT104" i="1"/>
  <c r="AT10" i="1"/>
  <c r="AS10" i="1" s="1"/>
  <c r="AR105" i="1"/>
  <c r="AR106" i="1" s="1"/>
  <c r="AM50" i="2"/>
  <c r="AM105" i="1"/>
  <c r="AM106" i="1" s="1"/>
  <c r="AX8" i="4"/>
  <c r="AY11" i="1"/>
  <c r="AY104" i="1"/>
  <c r="D22" i="1"/>
  <c r="AO104" i="1"/>
  <c r="AO10" i="1"/>
  <c r="AN10" i="1" s="1"/>
  <c r="AN88" i="1" s="1"/>
  <c r="AY20" i="3"/>
  <c r="AW105" i="1"/>
  <c r="AW106" i="1" s="1"/>
  <c r="AJ5" i="1"/>
  <c r="J6" i="20" s="1"/>
  <c r="J8" i="20" s="1"/>
  <c r="AO20" i="1"/>
  <c r="AO21" i="1" s="1"/>
  <c r="AO22" i="1" s="1"/>
  <c r="H68" i="19" s="1"/>
  <c r="AS8" i="4"/>
  <c r="G4" i="13"/>
  <c r="AN84" i="4"/>
  <c r="AJ25" i="3"/>
  <c r="P5" i="1"/>
  <c r="F6" i="20" s="1"/>
  <c r="F8" i="20" s="1"/>
  <c r="AP57" i="2"/>
  <c r="AL50" i="2"/>
  <c r="AP50" i="2"/>
  <c r="AP105" i="1"/>
  <c r="AP106" i="1" s="1"/>
  <c r="AK50" i="2"/>
  <c r="AK105" i="1"/>
  <c r="AK106" i="1" s="1"/>
  <c r="AB49" i="2"/>
  <c r="BL16" i="2"/>
  <c r="BJ77" i="1"/>
  <c r="P62" i="3"/>
  <c r="V84" i="4"/>
  <c r="V89" i="4" s="1"/>
  <c r="AQ18" i="1"/>
  <c r="AQ19" i="1" s="1"/>
  <c r="AZ18" i="2"/>
  <c r="AZ42" i="2" s="1"/>
  <c r="AZ44" i="2" s="1"/>
  <c r="AC18" i="2"/>
  <c r="AW18" i="2"/>
  <c r="BH32" i="2"/>
  <c r="BG79" i="1"/>
  <c r="BN14" i="2"/>
  <c r="BS14" i="2" s="1"/>
  <c r="BX14" i="2" s="1"/>
  <c r="J18" i="2"/>
  <c r="BH10" i="3"/>
  <c r="BI10" i="3" s="1"/>
  <c r="Q44" i="2"/>
  <c r="O44" i="2"/>
  <c r="AP18" i="2"/>
  <c r="AP42" i="2" s="1"/>
  <c r="AP44" i="2" s="1"/>
  <c r="AR84" i="4"/>
  <c r="AC83" i="4"/>
  <c r="AC84" i="4" s="1"/>
  <c r="X84" i="4"/>
  <c r="X89" i="4" s="1"/>
  <c r="X101" i="4" s="1"/>
  <c r="T84" i="4"/>
  <c r="T89" i="4" s="1"/>
  <c r="AT76" i="4"/>
  <c r="AY27" i="1"/>
  <c r="AY28" i="1" s="1"/>
  <c r="AZ50" i="2"/>
  <c r="AT5" i="1"/>
  <c r="L6" i="20" s="1"/>
  <c r="L8" i="20" s="1"/>
  <c r="AH11" i="2"/>
  <c r="AH18" i="2" s="1"/>
  <c r="H62" i="3"/>
  <c r="H65" i="3" s="1"/>
  <c r="AC87" i="4"/>
  <c r="AC89" i="4" s="1"/>
  <c r="R4" i="13"/>
  <c r="BE8" i="4"/>
  <c r="AD84" i="4"/>
  <c r="AP26" i="1"/>
  <c r="AV26" i="1"/>
  <c r="AW26" i="1"/>
  <c r="AZ26" i="1"/>
  <c r="L31" i="1"/>
  <c r="L33" i="1" s="1"/>
  <c r="O31" i="1"/>
  <c r="O33" i="1" s="1"/>
  <c r="AS26" i="1"/>
  <c r="AU26" i="1"/>
  <c r="AO27" i="1"/>
  <c r="AO28" i="1" s="1"/>
  <c r="AE29" i="1"/>
  <c r="AE30" i="1" s="1"/>
  <c r="AV31" i="1"/>
  <c r="AV33" i="1" s="1"/>
  <c r="AY26" i="3"/>
  <c r="AY28" i="3"/>
  <c r="P76" i="1"/>
  <c r="G76" i="1"/>
  <c r="AC58" i="3"/>
  <c r="O62" i="3"/>
  <c r="O65" i="3" s="1"/>
  <c r="K62" i="3"/>
  <c r="G62" i="3"/>
  <c r="G65" i="3" s="1"/>
  <c r="AS37" i="3"/>
  <c r="Y23" i="3"/>
  <c r="Z23" i="3" s="1"/>
  <c r="AY14" i="3"/>
  <c r="AV78" i="1"/>
  <c r="AU78" i="1"/>
  <c r="AK88" i="1"/>
  <c r="AN11" i="2"/>
  <c r="AO11" i="2" s="1"/>
  <c r="AO25" i="3"/>
  <c r="Q4" i="13"/>
  <c r="BC8" i="4"/>
  <c r="AD8" i="4"/>
  <c r="L18" i="15"/>
  <c r="AT56" i="1"/>
  <c r="AT62" i="1" s="1"/>
  <c r="D18" i="15"/>
  <c r="I20" i="15"/>
  <c r="AX18" i="2"/>
  <c r="AY18" i="2" s="1"/>
  <c r="AY31" i="2"/>
  <c r="AJ56" i="1"/>
  <c r="AJ62" i="1" s="1"/>
  <c r="N31" i="1"/>
  <c r="N33" i="1" s="1"/>
  <c r="W18" i="2"/>
  <c r="W42" i="2" s="1"/>
  <c r="W44" i="2" s="1"/>
  <c r="I62" i="3"/>
  <c r="I65" i="3" s="1"/>
  <c r="AT36" i="3"/>
  <c r="U37" i="3"/>
  <c r="AO20" i="3"/>
  <c r="AW84" i="4"/>
  <c r="N18" i="15"/>
  <c r="AV68" i="3"/>
  <c r="AL68" i="3"/>
  <c r="AO9" i="3"/>
  <c r="U29" i="3"/>
  <c r="U76" i="1" s="1"/>
  <c r="AD12" i="1"/>
  <c r="AD17" i="1" s="1"/>
  <c r="AV49" i="2"/>
  <c r="AA50" i="2"/>
  <c r="AL49" i="2"/>
  <c r="AG57" i="2"/>
  <c r="AG18" i="2"/>
  <c r="AG42" i="2" s="1"/>
  <c r="AG44" i="2" s="1"/>
  <c r="AW50" i="2"/>
  <c r="AU18" i="2"/>
  <c r="AU42" i="2" s="1"/>
  <c r="AU44" i="2" s="1"/>
  <c r="AS49" i="2"/>
  <c r="AK49" i="2"/>
  <c r="AA49" i="2"/>
  <c r="Q49" i="2"/>
  <c r="AC88" i="1"/>
  <c r="AY18" i="3"/>
  <c r="AQ31" i="1"/>
  <c r="AQ33" i="1" s="1"/>
  <c r="AS97" i="1"/>
  <c r="U27" i="1"/>
  <c r="U28" i="1" s="1"/>
  <c r="AJ29" i="1"/>
  <c r="AJ30" i="1" s="1"/>
  <c r="AI31" i="1"/>
  <c r="AI33" i="1" s="1"/>
  <c r="AN31" i="1"/>
  <c r="AN33" i="1" s="1"/>
  <c r="AN57" i="2"/>
  <c r="Y57" i="2"/>
  <c r="AH11" i="3"/>
  <c r="AI11" i="3" s="1"/>
  <c r="AI84" i="4"/>
  <c r="Y84" i="4"/>
  <c r="Y89" i="4" s="1"/>
  <c r="AJ78" i="4"/>
  <c r="AV84" i="4"/>
  <c r="L20" i="15"/>
  <c r="M20" i="15" s="1"/>
  <c r="P18" i="15"/>
  <c r="AH31" i="1"/>
  <c r="AH33" i="1" s="1"/>
  <c r="AM97" i="1"/>
  <c r="AJ20" i="1"/>
  <c r="AJ21" i="1" s="1"/>
  <c r="AJ22" i="1" s="1"/>
  <c r="G68" i="19" s="1"/>
  <c r="O26" i="1"/>
  <c r="AY75" i="4"/>
  <c r="AT78" i="4"/>
  <c r="AR97" i="1"/>
  <c r="AA97" i="1"/>
  <c r="AE20" i="1"/>
  <c r="AE21" i="1" s="1"/>
  <c r="AE22" i="1" s="1"/>
  <c r="F68" i="19" s="1"/>
  <c r="AO5" i="1"/>
  <c r="K6" i="20" s="1"/>
  <c r="K8" i="20" s="1"/>
  <c r="AI49" i="2"/>
  <c r="N62" i="3"/>
  <c r="N65" i="3" s="1"/>
  <c r="J62" i="3"/>
  <c r="J65" i="3" s="1"/>
  <c r="F62" i="3"/>
  <c r="F65" i="3" s="1"/>
  <c r="K64" i="3" s="1"/>
  <c r="AC25" i="3"/>
  <c r="AD25" i="3" s="1"/>
  <c r="AM84" i="4"/>
  <c r="S84" i="4"/>
  <c r="S89" i="4" s="1"/>
  <c r="AU20" i="4"/>
  <c r="E18" i="15"/>
  <c r="BI37" i="3"/>
  <c r="AA8" i="4"/>
  <c r="F18" i="15"/>
  <c r="AX84" i="4"/>
  <c r="Y31" i="1"/>
  <c r="Y33" i="1" s="1"/>
  <c r="AC68" i="3"/>
  <c r="AT25" i="1"/>
  <c r="AT26" i="1" s="1"/>
  <c r="P25" i="1"/>
  <c r="P26" i="1" s="1"/>
  <c r="AY10" i="3"/>
  <c r="AV50" i="2"/>
  <c r="AI8" i="4"/>
  <c r="AO78" i="4"/>
  <c r="AK31" i="1"/>
  <c r="AK33" i="1" s="1"/>
  <c r="N28" i="1"/>
  <c r="AN97" i="1"/>
  <c r="AI97" i="1"/>
  <c r="AD57" i="2"/>
  <c r="AR49" i="2"/>
  <c r="AM49" i="2"/>
  <c r="AH49" i="2"/>
  <c r="AC49" i="2"/>
  <c r="X49" i="2"/>
  <c r="S49" i="2"/>
  <c r="AC40" i="2"/>
  <c r="J44" i="2"/>
  <c r="T18" i="2"/>
  <c r="T42" i="2" s="1"/>
  <c r="T44" i="2" s="1"/>
  <c r="AD11" i="2"/>
  <c r="AE11" i="2" s="1"/>
  <c r="AM33" i="3"/>
  <c r="AM37" i="3" s="1"/>
  <c r="T28" i="3"/>
  <c r="AJ20" i="3"/>
  <c r="W87" i="4"/>
  <c r="W89" i="4" s="1"/>
  <c r="AH8" i="4"/>
  <c r="AK77" i="4"/>
  <c r="AK78" i="4"/>
  <c r="V20" i="15"/>
  <c r="W20" i="15" s="1"/>
  <c r="H18" i="15"/>
  <c r="BI40" i="1"/>
  <c r="AC18" i="1"/>
  <c r="L88" i="1"/>
  <c r="AR68" i="3"/>
  <c r="AS9" i="3"/>
  <c r="AS68" i="3" s="1"/>
  <c r="AW97" i="1"/>
  <c r="T97" i="1"/>
  <c r="AQ68" i="3"/>
  <c r="AV97" i="1"/>
  <c r="AU97" i="1"/>
  <c r="Z27" i="1"/>
  <c r="Z28" i="1" s="1"/>
  <c r="AF97" i="1"/>
  <c r="Y97" i="1"/>
  <c r="P10" i="1"/>
  <c r="W68" i="3"/>
  <c r="M31" i="1"/>
  <c r="M33" i="1" s="1"/>
  <c r="AR26" i="1"/>
  <c r="U25" i="1"/>
  <c r="U26" i="1" s="1"/>
  <c r="AZ28" i="1"/>
  <c r="AY5" i="1"/>
  <c r="M6" i="20" s="1"/>
  <c r="M8" i="20" s="1"/>
  <c r="AX31" i="1"/>
  <c r="AX33" i="1" s="1"/>
  <c r="Z25" i="1"/>
  <c r="Z26" i="1" s="1"/>
  <c r="AH97" i="1"/>
  <c r="AO25" i="1"/>
  <c r="AO26" i="1" s="1"/>
  <c r="AE25" i="1"/>
  <c r="AE26" i="1" s="1"/>
  <c r="AJ27" i="1"/>
  <c r="AJ28" i="1" s="1"/>
  <c r="AW31" i="1"/>
  <c r="AW33" i="1" s="1"/>
  <c r="AC31" i="1"/>
  <c r="AC33" i="1" s="1"/>
  <c r="AK97" i="1"/>
  <c r="AB97" i="1"/>
  <c r="AG31" i="1"/>
  <c r="AG33" i="1" s="1"/>
  <c r="AP31" i="1"/>
  <c r="AP33" i="1" s="1"/>
  <c r="AB31" i="1"/>
  <c r="AB33" i="1" s="1"/>
  <c r="X31" i="1"/>
  <c r="X33" i="1" s="1"/>
  <c r="U29" i="1"/>
  <c r="U30" i="1" s="1"/>
  <c r="G19" i="5"/>
  <c r="AR31" i="1"/>
  <c r="AR33" i="1" s="1"/>
  <c r="U20" i="1"/>
  <c r="U21" i="1" s="1"/>
  <c r="U22" i="1" s="1"/>
  <c r="D68" i="19" s="1"/>
  <c r="Z5" i="1"/>
  <c r="H6" i="20" s="1"/>
  <c r="H8" i="20" s="1"/>
  <c r="AO56" i="1"/>
  <c r="AO62" i="1" s="1"/>
  <c r="F31" i="1"/>
  <c r="F33" i="1" s="1"/>
  <c r="AH9" i="3"/>
  <c r="AH68" i="3" s="1"/>
  <c r="AS10" i="3"/>
  <c r="AT10" i="3" s="1"/>
  <c r="N18" i="1"/>
  <c r="BD10" i="3"/>
  <c r="AE40" i="1"/>
  <c r="AC12" i="1"/>
  <c r="AC17" i="1" s="1"/>
  <c r="N12" i="1"/>
  <c r="AO40" i="1"/>
  <c r="BC53" i="2"/>
  <c r="BC52" i="2"/>
  <c r="AZ78" i="1"/>
  <c r="AO29" i="1"/>
  <c r="AO30" i="1" s="1"/>
  <c r="AK30" i="1"/>
  <c r="AP49" i="2"/>
  <c r="AN49" i="2"/>
  <c r="S18" i="2"/>
  <c r="S42" i="2" s="1"/>
  <c r="S44" i="2" s="1"/>
  <c r="AF57" i="2"/>
  <c r="AF11" i="2"/>
  <c r="AF18" i="2" s="1"/>
  <c r="AF42" i="2" s="1"/>
  <c r="AF44" i="2" s="1"/>
  <c r="J20" i="15"/>
  <c r="R26" i="1"/>
  <c r="T31" i="1"/>
  <c r="T33" i="1" s="1"/>
  <c r="T28" i="1"/>
  <c r="E22" i="1"/>
  <c r="E33" i="1"/>
  <c r="AT31" i="2"/>
  <c r="AS40" i="2"/>
  <c r="AT40" i="2" s="1"/>
  <c r="AS79" i="1"/>
  <c r="AT6" i="2"/>
  <c r="AS77" i="1"/>
  <c r="AS78" i="1" s="1"/>
  <c r="AS11" i="2"/>
  <c r="AT11" i="2" s="1"/>
  <c r="Y49" i="3"/>
  <c r="Y58" i="3" s="1"/>
  <c r="W58" i="3"/>
  <c r="AM28" i="3"/>
  <c r="AO28" i="3" s="1"/>
  <c r="F4" i="13"/>
  <c r="AP8" i="4"/>
  <c r="AY35" i="3"/>
  <c r="AF28" i="1"/>
  <c r="AF31" i="1"/>
  <c r="AF33" i="1" s="1"/>
  <c r="AY29" i="1"/>
  <c r="Z9" i="3"/>
  <c r="P20" i="1"/>
  <c r="P21" i="1" s="1"/>
  <c r="X30" i="1"/>
  <c r="S31" i="1"/>
  <c r="S33" i="1" s="1"/>
  <c r="AS50" i="2"/>
  <c r="AN50" i="2"/>
  <c r="AI50" i="2"/>
  <c r="Y50" i="2"/>
  <c r="Y49" i="2"/>
  <c r="J18" i="15"/>
  <c r="AF49" i="2"/>
  <c r="AD49" i="2"/>
  <c r="V49" i="2"/>
  <c r="T49" i="2"/>
  <c r="AK11" i="2"/>
  <c r="AK18" i="2" s="1"/>
  <c r="AK42" i="2" s="1"/>
  <c r="AK44" i="2" s="1"/>
  <c r="AK57" i="2"/>
  <c r="S20" i="3"/>
  <c r="T20" i="3" s="1"/>
  <c r="AY20" i="1"/>
  <c r="AY21" i="1" s="1"/>
  <c r="AR22" i="1"/>
  <c r="H31" i="1"/>
  <c r="H33" i="1" s="1"/>
  <c r="K27" i="1"/>
  <c r="K28" i="1" s="1"/>
  <c r="M28" i="1"/>
  <c r="AL26" i="1"/>
  <c r="AP97" i="1"/>
  <c r="AG26" i="1"/>
  <c r="AG97" i="1"/>
  <c r="X18" i="2"/>
  <c r="AB11" i="2"/>
  <c r="AB18" i="2" s="1"/>
  <c r="AB42" i="2" s="1"/>
  <c r="AB44" i="2" s="1"/>
  <c r="AB57" i="2"/>
  <c r="N39" i="3"/>
  <c r="N76" i="1"/>
  <c r="I39" i="3"/>
  <c r="I76" i="1"/>
  <c r="AR26" i="3"/>
  <c r="AS26" i="3" s="1"/>
  <c r="AC18" i="3"/>
  <c r="AD18" i="3" s="1"/>
  <c r="AI14" i="3"/>
  <c r="AJ14" i="3" s="1"/>
  <c r="AW11" i="3"/>
  <c r="AX11" i="3" s="1"/>
  <c r="AW36" i="3"/>
  <c r="AX36" i="3" s="1"/>
  <c r="AV37" i="3"/>
  <c r="AW52" i="3"/>
  <c r="AX52" i="3" s="1"/>
  <c r="AV58" i="3"/>
  <c r="G20" i="15"/>
  <c r="H20" i="15" s="1"/>
  <c r="G18" i="15"/>
  <c r="M18" i="15"/>
  <c r="Q20" i="15"/>
  <c r="R20" i="15" s="1"/>
  <c r="Q18" i="15"/>
  <c r="U18" i="15"/>
  <c r="AV18" i="2"/>
  <c r="AV42" i="2" s="1"/>
  <c r="AV44" i="2" s="1"/>
  <c r="P29" i="1"/>
  <c r="P30" i="1" s="1"/>
  <c r="AA31" i="1"/>
  <c r="AA33" i="1" s="1"/>
  <c r="Q31" i="1"/>
  <c r="Q33" i="1" s="1"/>
  <c r="AQ49" i="2"/>
  <c r="AG49" i="2"/>
  <c r="W49" i="2"/>
  <c r="R18" i="2"/>
  <c r="S33" i="3"/>
  <c r="AO26" i="3"/>
  <c r="AT20" i="3"/>
  <c r="AH84" i="4"/>
  <c r="O4" i="13"/>
  <c r="AW8" i="4"/>
  <c r="K18" i="15"/>
  <c r="AU49" i="2"/>
  <c r="AE56" i="1"/>
  <c r="AE62" i="1" s="1"/>
  <c r="Z29" i="1"/>
  <c r="Z30" i="1" s="1"/>
  <c r="AM31" i="1"/>
  <c r="AM33" i="1" s="1"/>
  <c r="AH40" i="2"/>
  <c r="Q18" i="2"/>
  <c r="M62" i="3"/>
  <c r="M65" i="3" s="1"/>
  <c r="AT33" i="3"/>
  <c r="AJ28" i="3"/>
  <c r="AL31" i="1"/>
  <c r="AL33" i="1" s="1"/>
  <c r="Z20" i="1"/>
  <c r="Z21" i="1" s="1"/>
  <c r="Z22" i="1" s="1"/>
  <c r="E68" i="19" s="1"/>
  <c r="Y18" i="2"/>
  <c r="AC14" i="3"/>
  <c r="AD14" i="3" s="1"/>
  <c r="AQ84" i="4"/>
  <c r="AK84" i="4"/>
  <c r="AL13" i="1"/>
  <c r="BD14" i="3"/>
  <c r="AY56" i="3"/>
  <c r="P20" i="15"/>
  <c r="T20" i="15"/>
  <c r="AE10" i="3"/>
  <c r="P40" i="1"/>
  <c r="AT40" i="1"/>
  <c r="Z40" i="1"/>
  <c r="AJ40" i="1"/>
  <c r="Z14" i="3"/>
  <c r="AJ10" i="3"/>
  <c r="K40" i="1"/>
  <c r="AY40" i="1"/>
  <c r="AR14" i="3"/>
  <c r="AS14" i="3" s="1"/>
  <c r="BI14" i="3"/>
  <c r="AL88" i="1"/>
  <c r="M88" i="1"/>
  <c r="BA19" i="1"/>
  <c r="R88" i="1"/>
  <c r="AB14" i="1"/>
  <c r="AU88" i="1"/>
  <c r="K18" i="1"/>
  <c r="K12" i="1"/>
  <c r="AZ22" i="1"/>
  <c r="AX49" i="2"/>
  <c r="AX50" i="2"/>
  <c r="AZ49" i="2"/>
  <c r="AS28" i="1"/>
  <c r="AT27" i="1"/>
  <c r="AT28" i="1" s="1"/>
  <c r="AQ22" i="1"/>
  <c r="BD33" i="2"/>
  <c r="AW49" i="2"/>
  <c r="BB52" i="2"/>
  <c r="BB53" i="2"/>
  <c r="AX9" i="3"/>
  <c r="AX68" i="3" s="1"/>
  <c r="AJ7" i="3"/>
  <c r="AL84" i="4"/>
  <c r="R30" i="1"/>
  <c r="R31" i="1"/>
  <c r="R33" i="1" s="1"/>
  <c r="T43" i="3"/>
  <c r="AH33" i="3"/>
  <c r="AG37" i="3"/>
  <c r="S14" i="3"/>
  <c r="T14" i="3" s="1"/>
  <c r="AU84" i="4"/>
  <c r="AS84" i="4"/>
  <c r="AF84" i="4"/>
  <c r="AG84" i="4"/>
  <c r="AE9" i="3"/>
  <c r="AW68" i="3"/>
  <c r="AT7" i="3"/>
  <c r="AY7" i="3"/>
  <c r="AT29" i="1"/>
  <c r="K25" i="1"/>
  <c r="K26" i="1" s="1"/>
  <c r="AI22" i="1"/>
  <c r="U5" i="1"/>
  <c r="G6" i="20" s="1"/>
  <c r="G8" i="20" s="1"/>
  <c r="P30" i="3"/>
  <c r="AH49" i="3"/>
  <c r="AG58" i="3"/>
  <c r="AL22" i="1"/>
  <c r="J31" i="1"/>
  <c r="J33" i="1" s="1"/>
  <c r="J30" i="1"/>
  <c r="Y32" i="2"/>
  <c r="Y40" i="2" s="1"/>
  <c r="X40" i="2"/>
  <c r="G31" i="1"/>
  <c r="G33" i="1" s="1"/>
  <c r="AS31" i="1"/>
  <c r="AS33" i="1" s="1"/>
  <c r="AU50" i="2"/>
  <c r="AI23" i="3"/>
  <c r="AJ23" i="3" s="1"/>
  <c r="T22" i="1"/>
  <c r="AQ11" i="2"/>
  <c r="AQ18" i="2" s="1"/>
  <c r="AQ42" i="2" s="1"/>
  <c r="AQ44" i="2" s="1"/>
  <c r="AQ57" i="2"/>
  <c r="AM57" i="2"/>
  <c r="AM11" i="2"/>
  <c r="AM18" i="2" s="1"/>
  <c r="AR60" i="3"/>
  <c r="AS60" i="3" s="1"/>
  <c r="W31" i="1"/>
  <c r="W33" i="1" s="1"/>
  <c r="AE27" i="1"/>
  <c r="AC97" i="1"/>
  <c r="AJ25" i="1"/>
  <c r="AJ26" i="1" s="1"/>
  <c r="AL97" i="1"/>
  <c r="AD31" i="1"/>
  <c r="AD33" i="1" s="1"/>
  <c r="AT20" i="1"/>
  <c r="AT21" i="1" s="1"/>
  <c r="I31" i="1"/>
  <c r="I33" i="1" s="1"/>
  <c r="O97" i="1"/>
  <c r="K20" i="1"/>
  <c r="K21" i="1" s="1"/>
  <c r="L26" i="1"/>
  <c r="K29" i="1"/>
  <c r="AD97" i="1"/>
  <c r="O18" i="2"/>
  <c r="S45" i="3"/>
  <c r="R58" i="3"/>
  <c r="O76" i="1"/>
  <c r="O39" i="3"/>
  <c r="J76" i="1"/>
  <c r="J39" i="3"/>
  <c r="F76" i="1"/>
  <c r="F39" i="3"/>
  <c r="S23" i="3"/>
  <c r="T23" i="3" s="1"/>
  <c r="AI21" i="3"/>
  <c r="AJ21" i="3" s="1"/>
  <c r="Y21" i="3"/>
  <c r="Z21" i="3" s="1"/>
  <c r="AR18" i="3"/>
  <c r="AS18" i="3" s="1"/>
  <c r="B4" i="13"/>
  <c r="AF8" i="4"/>
  <c r="AB8" i="4"/>
  <c r="AG8" i="4"/>
  <c r="AQ97" i="1"/>
  <c r="AQ26" i="1"/>
  <c r="AJ31" i="2"/>
  <c r="AI40" i="2"/>
  <c r="AJ40" i="2" s="1"/>
  <c r="AR49" i="3"/>
  <c r="AQ58" i="3"/>
  <c r="Y33" i="3"/>
  <c r="Y37" i="3" s="1"/>
  <c r="W37" i="3"/>
  <c r="Y25" i="3"/>
  <c r="Z25" i="3" s="1"/>
  <c r="AR19" i="3"/>
  <c r="AS19" i="3" s="1"/>
  <c r="H4" i="13"/>
  <c r="AM8" i="4"/>
  <c r="AM79" i="1"/>
  <c r="AN32" i="2"/>
  <c r="AM40" i="2"/>
  <c r="AD40" i="2"/>
  <c r="AE40" i="2" s="1"/>
  <c r="AJ10" i="2"/>
  <c r="AI57" i="2"/>
  <c r="AI11" i="2"/>
  <c r="AA11" i="2"/>
  <c r="AA18" i="2" s="1"/>
  <c r="AA42" i="2" s="1"/>
  <c r="AA44" i="2" s="1"/>
  <c r="AA57" i="2"/>
  <c r="AR79" i="1"/>
  <c r="AR11" i="2"/>
  <c r="AR18" i="2" s="1"/>
  <c r="AR42" i="2" s="1"/>
  <c r="AR44" i="2" s="1"/>
  <c r="AL49" i="3"/>
  <c r="AK58" i="3"/>
  <c r="S47" i="3"/>
  <c r="T47" i="3" s="1"/>
  <c r="AE58" i="3"/>
  <c r="AE28" i="3"/>
  <c r="AD21" i="3"/>
  <c r="AE21" i="3" s="1"/>
  <c r="AE20" i="3"/>
  <c r="AE11" i="3"/>
  <c r="N6" i="4"/>
  <c r="R5" i="4"/>
  <c r="H4" i="23" s="1"/>
  <c r="M7" i="4"/>
  <c r="M69" i="4" s="1"/>
  <c r="AX33" i="3"/>
  <c r="AR52" i="3"/>
  <c r="AS52" i="3" s="1"/>
  <c r="AR37" i="3"/>
  <c r="AC37" i="3"/>
  <c r="AT25" i="3"/>
  <c r="AT23" i="3"/>
  <c r="AO19" i="3"/>
  <c r="T19" i="3"/>
  <c r="AO18" i="3"/>
  <c r="T18" i="3"/>
  <c r="AO14" i="3"/>
  <c r="T11" i="3"/>
  <c r="AO10" i="3"/>
  <c r="P4" i="13"/>
  <c r="AX78" i="1"/>
  <c r="AX79" i="1"/>
  <c r="AE33" i="3"/>
  <c r="AE37" i="3" s="1"/>
  <c r="T21" i="3"/>
  <c r="AW34" i="3"/>
  <c r="R18" i="15"/>
  <c r="V18" i="15"/>
  <c r="V12" i="1"/>
  <c r="AC57" i="2"/>
  <c r="Z28" i="3"/>
  <c r="AE23" i="3"/>
  <c r="Z20" i="3"/>
  <c r="AJ19" i="3"/>
  <c r="AJ18" i="3"/>
  <c r="Z11" i="3"/>
  <c r="AN8" i="4"/>
  <c r="AX49" i="3"/>
  <c r="AM12" i="1"/>
  <c r="O20" i="15"/>
  <c r="AW79" i="1"/>
  <c r="F20" i="15"/>
  <c r="I18" i="15"/>
  <c r="AA84" i="4"/>
  <c r="AA89" i="4" s="1"/>
  <c r="L4" i="13"/>
  <c r="AR8" i="4"/>
  <c r="AQ13" i="1"/>
  <c r="BI58" i="3"/>
  <c r="BD40" i="1"/>
  <c r="T18" i="15"/>
  <c r="N20" i="15"/>
  <c r="U20" i="15"/>
  <c r="E20" i="15"/>
  <c r="D20" i="15"/>
  <c r="AZ8" i="4"/>
  <c r="BD58" i="3"/>
  <c r="BD37" i="3"/>
  <c r="W16" i="1"/>
  <c r="AD14" i="1"/>
  <c r="AO7" i="1"/>
  <c r="AO8" i="1" s="1"/>
  <c r="AM13" i="1"/>
  <c r="W18" i="1"/>
  <c r="BA88" i="1"/>
  <c r="R18" i="1"/>
  <c r="Y12" i="1"/>
  <c r="Y17" i="1" s="1"/>
  <c r="Z7" i="1"/>
  <c r="Z8" i="1" s="1"/>
  <c r="M18" i="1"/>
  <c r="Y18" i="1"/>
  <c r="W12" i="1"/>
  <c r="W17" i="1" s="1"/>
  <c r="Q12" i="1"/>
  <c r="AK13" i="1"/>
  <c r="R12" i="1"/>
  <c r="V18" i="1"/>
  <c r="V88" i="1"/>
  <c r="Q88" i="1"/>
  <c r="S88" i="1"/>
  <c r="L18" i="1"/>
  <c r="AZ88" i="1"/>
  <c r="AK18" i="1"/>
  <c r="AK19" i="1" s="1"/>
  <c r="AQ88" i="1"/>
  <c r="BD9" i="3"/>
  <c r="AZ19" i="1"/>
  <c r="AK12" i="1"/>
  <c r="AF18" i="1"/>
  <c r="AF13" i="1"/>
  <c r="AX88" i="1"/>
  <c r="AX18" i="1"/>
  <c r="AX19" i="1" s="1"/>
  <c r="AP12" i="1"/>
  <c r="AU12" i="1"/>
  <c r="AP88" i="1"/>
  <c r="AP16" i="1"/>
  <c r="AP18" i="1"/>
  <c r="AP19" i="1" s="1"/>
  <c r="AV12" i="1"/>
  <c r="AV18" i="1"/>
  <c r="BA12" i="1"/>
  <c r="AH13" i="1"/>
  <c r="AH88" i="1"/>
  <c r="AH12" i="1"/>
  <c r="AH17" i="1" s="1"/>
  <c r="AI13" i="1"/>
  <c r="AW12" i="1"/>
  <c r="AW18" i="1"/>
  <c r="AW19" i="1" s="1"/>
  <c r="AZ12" i="1"/>
  <c r="AF12" i="1"/>
  <c r="AF17" i="1" s="1"/>
  <c r="AH16" i="1"/>
  <c r="AH18" i="1"/>
  <c r="AB12" i="1"/>
  <c r="AB17" i="1" s="1"/>
  <c r="AB18" i="1"/>
  <c r="AB88" i="1"/>
  <c r="AT7" i="1"/>
  <c r="AT8" i="1" s="1"/>
  <c r="AP8" i="1"/>
  <c r="AP17" i="1" s="1"/>
  <c r="AM88" i="1"/>
  <c r="AM18" i="1"/>
  <c r="AM19" i="1" s="1"/>
  <c r="AR14" i="1"/>
  <c r="AR16" i="1" s="1"/>
  <c r="AR12" i="1"/>
  <c r="AR88" i="1"/>
  <c r="AR13" i="1"/>
  <c r="AI88" i="1"/>
  <c r="AI18" i="1"/>
  <c r="AN14" i="1"/>
  <c r="AD18" i="1"/>
  <c r="AD88" i="1"/>
  <c r="AA88" i="1"/>
  <c r="AF14" i="1"/>
  <c r="AA16" i="1"/>
  <c r="AA12" i="1"/>
  <c r="AA17" i="1" s="1"/>
  <c r="AA18" i="1"/>
  <c r="AJ7" i="1"/>
  <c r="AJ8" i="1" s="1"/>
  <c r="AF8" i="1"/>
  <c r="AQ14" i="1"/>
  <c r="AQ16" i="1" s="1"/>
  <c r="AQ12" i="1"/>
  <c r="AL18" i="1"/>
  <c r="AL19" i="1" s="1"/>
  <c r="AL12" i="1"/>
  <c r="AG18" i="1"/>
  <c r="AG16" i="1"/>
  <c r="AG13" i="1"/>
  <c r="AG12" i="1"/>
  <c r="AG17" i="1" s="1"/>
  <c r="X88" i="1"/>
  <c r="AC14" i="1"/>
  <c r="AC8" i="1"/>
  <c r="AE7" i="1"/>
  <c r="AE8" i="1" s="1"/>
  <c r="K93" i="1"/>
  <c r="BA48" i="2"/>
  <c r="BA105" i="1" s="1"/>
  <c r="BA106" i="1" s="1"/>
  <c r="BA33" i="1"/>
  <c r="BA55" i="1" s="1"/>
  <c r="J30" i="15"/>
  <c r="O30" i="15"/>
  <c r="D36" i="15"/>
  <c r="S34" i="15"/>
  <c r="F36" i="15"/>
  <c r="D28" i="15"/>
  <c r="P34" i="15"/>
  <c r="Q34" i="15"/>
  <c r="AB34" i="15"/>
  <c r="H34" i="15"/>
  <c r="T26" i="15"/>
  <c r="U36" i="15"/>
  <c r="L34" i="15"/>
  <c r="N36" i="15"/>
  <c r="K34" i="15"/>
  <c r="L26" i="15"/>
  <c r="G30" i="15"/>
  <c r="E30" i="15"/>
  <c r="I36" i="15"/>
  <c r="T36" i="15"/>
  <c r="N34" i="15"/>
  <c r="F28" i="15"/>
  <c r="G28" i="15"/>
  <c r="S28" i="15"/>
  <c r="U26" i="15"/>
  <c r="H28" i="15"/>
  <c r="F30" i="15"/>
  <c r="U34" i="15"/>
  <c r="V34" i="15"/>
  <c r="D26" i="15"/>
  <c r="O34" i="15"/>
  <c r="K26" i="15"/>
  <c r="V28" i="15"/>
  <c r="H30" i="15"/>
  <c r="M28" i="15"/>
  <c r="I34" i="15"/>
  <c r="AB30" i="15"/>
  <c r="O26" i="15"/>
  <c r="K36" i="15"/>
  <c r="D34" i="15"/>
  <c r="P30" i="15"/>
  <c r="R28" i="15"/>
  <c r="Q30" i="15"/>
  <c r="W36" i="15"/>
  <c r="J36" i="15"/>
  <c r="N30" i="15"/>
  <c r="W34" i="15"/>
  <c r="N28" i="15"/>
  <c r="G36" i="15"/>
  <c r="P26" i="15"/>
  <c r="S36" i="15"/>
  <c r="M30" i="15"/>
  <c r="P28" i="15"/>
  <c r="H26" i="15"/>
  <c r="L30" i="15"/>
  <c r="AB26" i="15"/>
  <c r="AB36" i="15"/>
  <c r="O36" i="15"/>
  <c r="G34" i="15"/>
  <c r="G26" i="15"/>
  <c r="S30" i="15"/>
  <c r="E28" i="15"/>
  <c r="T34" i="15"/>
  <c r="I26" i="15"/>
  <c r="I28" i="15"/>
  <c r="K30" i="15"/>
  <c r="R30" i="15"/>
  <c r="M26" i="15"/>
  <c r="E26" i="15"/>
  <c r="K28" i="15"/>
  <c r="V26" i="15"/>
  <c r="Q36" i="15"/>
  <c r="Z28" i="15"/>
  <c r="U28" i="15"/>
  <c r="R26" i="15"/>
  <c r="V36" i="15"/>
  <c r="W30" i="15"/>
  <c r="F34" i="15"/>
  <c r="L28" i="15"/>
  <c r="W28" i="15"/>
  <c r="S26" i="15"/>
  <c r="W26" i="15"/>
  <c r="J34" i="15"/>
  <c r="R34" i="15"/>
  <c r="M34" i="15"/>
  <c r="T28" i="15"/>
  <c r="J26" i="15"/>
  <c r="N26" i="15"/>
  <c r="Z36" i="15"/>
  <c r="P36" i="15"/>
  <c r="E36" i="15"/>
  <c r="J28" i="15"/>
  <c r="Q28" i="15"/>
  <c r="AB28" i="15"/>
  <c r="H36" i="15"/>
  <c r="E34" i="15"/>
  <c r="Q26" i="15"/>
  <c r="Z34" i="15"/>
  <c r="F26" i="15"/>
  <c r="O28" i="15"/>
  <c r="U30" i="15"/>
  <c r="M36" i="15"/>
  <c r="R36" i="15"/>
  <c r="T30" i="15"/>
  <c r="L36" i="15"/>
  <c r="D30" i="15"/>
  <c r="I30" i="15"/>
  <c r="V30" i="15"/>
  <c r="AA30" i="15"/>
  <c r="Y28" i="15"/>
  <c r="AB22" i="15" l="1"/>
  <c r="AB32" i="15"/>
  <c r="AB24" i="15"/>
  <c r="AA22" i="15"/>
  <c r="AA24" i="15"/>
  <c r="AA32" i="15"/>
  <c r="Z22" i="15"/>
  <c r="Z24" i="15"/>
  <c r="Z32" i="15"/>
  <c r="X32" i="15"/>
  <c r="X22" i="15"/>
  <c r="X24" i="15"/>
  <c r="Y32" i="15"/>
  <c r="Y24" i="15"/>
  <c r="Y22" i="15"/>
  <c r="X20" i="15"/>
  <c r="Y20" i="15"/>
  <c r="AV108" i="1"/>
  <c r="X18" i="15"/>
  <c r="Z18" i="15"/>
  <c r="Y18" i="15"/>
  <c r="AA20" i="15"/>
  <c r="AB20" i="15" s="1"/>
  <c r="AA18" i="15"/>
  <c r="Z20" i="15"/>
  <c r="BI46" i="1"/>
  <c r="BI50" i="1"/>
  <c r="R55" i="1"/>
  <c r="AS13" i="1"/>
  <c r="AX14" i="1"/>
  <c r="AW42" i="2"/>
  <c r="AW44" i="2" s="1"/>
  <c r="AL55" i="1"/>
  <c r="O55" i="1"/>
  <c r="X55" i="1"/>
  <c r="P50" i="1"/>
  <c r="T55" i="1"/>
  <c r="T58" i="1" s="1"/>
  <c r="K46" i="1"/>
  <c r="S55" i="1"/>
  <c r="AJ46" i="1"/>
  <c r="AJ50" i="1"/>
  <c r="I55" i="1"/>
  <c r="N55" i="1"/>
  <c r="AR55" i="1"/>
  <c r="AT46" i="1"/>
  <c r="K50" i="1"/>
  <c r="AT50" i="1"/>
  <c r="J55" i="1"/>
  <c r="J57" i="1" s="1"/>
  <c r="P46" i="1"/>
  <c r="G55" i="1"/>
  <c r="AE50" i="1"/>
  <c r="AE46" i="1"/>
  <c r="U46" i="1"/>
  <c r="U50" i="1"/>
  <c r="AO50" i="1"/>
  <c r="Z46" i="1"/>
  <c r="L55" i="1"/>
  <c r="AO46" i="1"/>
  <c r="Z50" i="1"/>
  <c r="M34" i="1"/>
  <c r="M55" i="1"/>
  <c r="AQ55" i="1"/>
  <c r="AQ58" i="1" s="1"/>
  <c r="D42" i="1"/>
  <c r="D55" i="1"/>
  <c r="AM34" i="1"/>
  <c r="AM55" i="1"/>
  <c r="Q42" i="1"/>
  <c r="Q61" i="1" s="1"/>
  <c r="Q55" i="1"/>
  <c r="AA34" i="1"/>
  <c r="AA55" i="1"/>
  <c r="AV55" i="1"/>
  <c r="AS55" i="1"/>
  <c r="AB55" i="1"/>
  <c r="AX55" i="1"/>
  <c r="V34" i="1"/>
  <c r="V55" i="1"/>
  <c r="AW55" i="1"/>
  <c r="AW58" i="1" s="1"/>
  <c r="AK34" i="1"/>
  <c r="AK55" i="1"/>
  <c r="AP34" i="1"/>
  <c r="AP55" i="1"/>
  <c r="AN34" i="1"/>
  <c r="AN55" i="1"/>
  <c r="AU55" i="1"/>
  <c r="AF34" i="1"/>
  <c r="AF55" i="1"/>
  <c r="AG34" i="1"/>
  <c r="AG55" i="1"/>
  <c r="AI34" i="1"/>
  <c r="AI42" i="1"/>
  <c r="AI61" i="1" s="1"/>
  <c r="AI55" i="1"/>
  <c r="AZ55" i="1"/>
  <c r="AD55" i="1"/>
  <c r="W55" i="1"/>
  <c r="AH42" i="1"/>
  <c r="AH55" i="1"/>
  <c r="H34" i="1"/>
  <c r="H55" i="1"/>
  <c r="AC42" i="1"/>
  <c r="AC61" i="1" s="1"/>
  <c r="AC64" i="1" s="1"/>
  <c r="AC6" i="3" s="1"/>
  <c r="AC29" i="3" s="1"/>
  <c r="AC76" i="1" s="1"/>
  <c r="AC55" i="1"/>
  <c r="E55" i="1"/>
  <c r="F34" i="1"/>
  <c r="F55" i="1"/>
  <c r="Y55" i="1"/>
  <c r="BA57" i="1"/>
  <c r="AX34" i="1"/>
  <c r="AY42" i="2"/>
  <c r="AY44" i="2" s="1"/>
  <c r="D34" i="1"/>
  <c r="AC91" i="4"/>
  <c r="AS18" i="2"/>
  <c r="AS42" i="2" s="1"/>
  <c r="AS44" i="2" s="1"/>
  <c r="AQ107" i="1"/>
  <c r="H42" i="1"/>
  <c r="V91" i="4"/>
  <c r="AA42" i="1"/>
  <c r="AX107" i="1"/>
  <c r="AZ108" i="1"/>
  <c r="AV107" i="1"/>
  <c r="W90" i="4"/>
  <c r="S91" i="4"/>
  <c r="AF16" i="1"/>
  <c r="AD16" i="1"/>
  <c r="AD18" i="2"/>
  <c r="AE18" i="2" s="1"/>
  <c r="AN18" i="2"/>
  <c r="AO18" i="2" s="1"/>
  <c r="Y90" i="4"/>
  <c r="AW58" i="3"/>
  <c r="AS107" i="1"/>
  <c r="AQ109" i="1"/>
  <c r="AN16" i="1"/>
  <c r="AS12" i="1"/>
  <c r="AC42" i="2"/>
  <c r="AC44" i="2" s="1"/>
  <c r="AZ109" i="1"/>
  <c r="AX108" i="1"/>
  <c r="AU34" i="1"/>
  <c r="AU42" i="1"/>
  <c r="AU61" i="1" s="1"/>
  <c r="AR109" i="1"/>
  <c r="AR107" i="1"/>
  <c r="AR108" i="1"/>
  <c r="AU108" i="1"/>
  <c r="AU109" i="1"/>
  <c r="AU107" i="1"/>
  <c r="AY106" i="1"/>
  <c r="AS88" i="1"/>
  <c r="AS89" i="1" s="1"/>
  <c r="AN12" i="1"/>
  <c r="AN17" i="1" s="1"/>
  <c r="AS14" i="1"/>
  <c r="AT14" i="1" s="1"/>
  <c r="AK107" i="1"/>
  <c r="AK109" i="1"/>
  <c r="AO106" i="1"/>
  <c r="AO107" i="1" s="1"/>
  <c r="AK108" i="1"/>
  <c r="AZ107" i="1"/>
  <c r="AP13" i="1"/>
  <c r="W91" i="4"/>
  <c r="BJ79" i="1"/>
  <c r="BJ78" i="1"/>
  <c r="AW107" i="1"/>
  <c r="AW108" i="1"/>
  <c r="AW109" i="1"/>
  <c r="AL108" i="1"/>
  <c r="AV109" i="1"/>
  <c r="AM108" i="1"/>
  <c r="AM109" i="1"/>
  <c r="AM107" i="1"/>
  <c r="AN108" i="1"/>
  <c r="AS109" i="1"/>
  <c r="AN11" i="1"/>
  <c r="AN18" i="1"/>
  <c r="AN19" i="1" s="1"/>
  <c r="AX12" i="1"/>
  <c r="BA109" i="1"/>
  <c r="BA107" i="1"/>
  <c r="BA108" i="1"/>
  <c r="AN13" i="1"/>
  <c r="BM16" i="2"/>
  <c r="BL77" i="1"/>
  <c r="AP108" i="1"/>
  <c r="AP109" i="1"/>
  <c r="AP107" i="1"/>
  <c r="AT106" i="1"/>
  <c r="AX109" i="1"/>
  <c r="AL109" i="1"/>
  <c r="AQ108" i="1"/>
  <c r="AN109" i="1"/>
  <c r="AS108" i="1"/>
  <c r="AS18" i="1"/>
  <c r="AS19" i="1" s="1"/>
  <c r="P18" i="1"/>
  <c r="O10" i="1"/>
  <c r="T12" i="1" s="1"/>
  <c r="AS11" i="1"/>
  <c r="BI32" i="2"/>
  <c r="BH79" i="1"/>
  <c r="AH42" i="2"/>
  <c r="AH44" i="2" s="1"/>
  <c r="AE18" i="1"/>
  <c r="AC90" i="4"/>
  <c r="Y42" i="2"/>
  <c r="Y44" i="2" s="1"/>
  <c r="V42" i="1"/>
  <c r="AX42" i="2"/>
  <c r="AX44" i="2" s="1"/>
  <c r="AK42" i="1"/>
  <c r="Y91" i="4"/>
  <c r="AV42" i="1"/>
  <c r="AV61" i="1" s="1"/>
  <c r="AF42" i="1"/>
  <c r="AM42" i="1"/>
  <c r="E37" i="6"/>
  <c r="F37" i="6" s="1"/>
  <c r="L37" i="6"/>
  <c r="I37" i="6"/>
  <c r="AC34" i="1"/>
  <c r="AH34" i="1"/>
  <c r="AP42" i="1"/>
  <c r="Y34" i="1"/>
  <c r="F42" i="1"/>
  <c r="AY52" i="3"/>
  <c r="AT37" i="3"/>
  <c r="K65" i="3"/>
  <c r="P64" i="3" s="1"/>
  <c r="P65" i="3" s="1"/>
  <c r="U30" i="3"/>
  <c r="U39" i="3"/>
  <c r="U62" i="3"/>
  <c r="AT19" i="3"/>
  <c r="Z33" i="3"/>
  <c r="Z37" i="3" s="1"/>
  <c r="S58" i="3"/>
  <c r="X91" i="4"/>
  <c r="AY78" i="4"/>
  <c r="BD76" i="4"/>
  <c r="BD78" i="4"/>
  <c r="AB90" i="4"/>
  <c r="T91" i="4"/>
  <c r="AT9" i="3"/>
  <c r="AV34" i="1"/>
  <c r="AT26" i="3"/>
  <c r="X90" i="4"/>
  <c r="AO33" i="3"/>
  <c r="AO37" i="3" s="1"/>
  <c r="P31" i="1"/>
  <c r="P33" i="1" s="1"/>
  <c r="P12" i="1"/>
  <c r="AI9" i="3"/>
  <c r="AI68" i="3" s="1"/>
  <c r="Z49" i="3"/>
  <c r="Z58" i="3" s="1"/>
  <c r="Y42" i="1"/>
  <c r="AN42" i="1"/>
  <c r="AT60" i="3"/>
  <c r="X42" i="2"/>
  <c r="X44" i="2" s="1"/>
  <c r="AO31" i="1"/>
  <c r="AO33" i="1" s="1"/>
  <c r="U31" i="1"/>
  <c r="U33" i="1" s="1"/>
  <c r="AE25" i="3"/>
  <c r="AJ11" i="3"/>
  <c r="AG42" i="1"/>
  <c r="M42" i="1"/>
  <c r="M61" i="1" s="1"/>
  <c r="AR42" i="1"/>
  <c r="AR34" i="1"/>
  <c r="AX42" i="1"/>
  <c r="AX61" i="1" s="1"/>
  <c r="AX89" i="1"/>
  <c r="AX92" i="1" s="1"/>
  <c r="AX93" i="1" s="1"/>
  <c r="AE14" i="3"/>
  <c r="AY36" i="3"/>
  <c r="Q34" i="1"/>
  <c r="AY11" i="3"/>
  <c r="AE18" i="3"/>
  <c r="AY22" i="1"/>
  <c r="J68" i="19" s="1"/>
  <c r="BA7" i="1"/>
  <c r="BA8" i="1" s="1"/>
  <c r="AT52" i="3"/>
  <c r="T33" i="3"/>
  <c r="T37" i="3" s="1"/>
  <c r="S37" i="3"/>
  <c r="E42" i="1"/>
  <c r="E61" i="1" s="1"/>
  <c r="E34" i="1"/>
  <c r="AW34" i="1"/>
  <c r="AW42" i="1"/>
  <c r="AW61" i="1" s="1"/>
  <c r="T45" i="3"/>
  <c r="T58" i="3" s="1"/>
  <c r="Z31" i="1"/>
  <c r="Z33" i="1" s="1"/>
  <c r="S34" i="1"/>
  <c r="S42" i="1"/>
  <c r="S61" i="1" s="1"/>
  <c r="AY30" i="1"/>
  <c r="AY31" i="1"/>
  <c r="AY33" i="1" s="1"/>
  <c r="AY55" i="1" s="1"/>
  <c r="AT14" i="3"/>
  <c r="R34" i="1"/>
  <c r="R42" i="1"/>
  <c r="R61" i="1" s="1"/>
  <c r="G34" i="1"/>
  <c r="G42" i="1"/>
  <c r="G61" i="1" s="1"/>
  <c r="J42" i="1"/>
  <c r="J61" i="1" s="1"/>
  <c r="J34" i="1"/>
  <c r="U12" i="1"/>
  <c r="K30" i="1"/>
  <c r="K31" i="1"/>
  <c r="K33" i="1" s="1"/>
  <c r="AL34" i="1"/>
  <c r="AL42" i="1"/>
  <c r="AL61" i="1" s="1"/>
  <c r="O42" i="1"/>
  <c r="O61" i="1" s="1"/>
  <c r="O34" i="1"/>
  <c r="X34" i="1"/>
  <c r="X42" i="1"/>
  <c r="X61" i="1" s="1"/>
  <c r="BE53" i="2"/>
  <c r="BE52" i="2"/>
  <c r="AJ31" i="1"/>
  <c r="AJ33" i="1" s="1"/>
  <c r="AR89" i="1"/>
  <c r="AR92" i="1" s="1"/>
  <c r="AR93" i="1" s="1"/>
  <c r="AX58" i="3"/>
  <c r="AY49" i="3"/>
  <c r="AX34" i="3"/>
  <c r="AY34" i="3" s="1"/>
  <c r="AW37" i="3"/>
  <c r="AI18" i="2"/>
  <c r="AJ11" i="2"/>
  <c r="AN79" i="1"/>
  <c r="AO32" i="2"/>
  <c r="AN40" i="2"/>
  <c r="AT22" i="1"/>
  <c r="I68" i="19" s="1"/>
  <c r="T34" i="1"/>
  <c r="T42" i="1"/>
  <c r="T61" i="1" s="1"/>
  <c r="N42" i="1"/>
  <c r="N61" i="1" s="1"/>
  <c r="N34" i="1"/>
  <c r="AI49" i="3"/>
  <c r="AI58" i="3" s="1"/>
  <c r="AH58" i="3"/>
  <c r="P22" i="1"/>
  <c r="AH37" i="3"/>
  <c r="AI33" i="3"/>
  <c r="AI37" i="3" s="1"/>
  <c r="AY33" i="3"/>
  <c r="K22" i="1"/>
  <c r="AD42" i="1"/>
  <c r="AD61" i="1" s="1"/>
  <c r="AD34" i="1"/>
  <c r="AE31" i="1"/>
  <c r="AE33" i="1" s="1"/>
  <c r="AE28" i="1"/>
  <c r="AM42" i="2"/>
  <c r="AM44" i="2" s="1"/>
  <c r="AS42" i="1"/>
  <c r="AS61" i="1" s="1"/>
  <c r="AS34" i="1"/>
  <c r="AT30" i="1"/>
  <c r="AT31" i="1"/>
  <c r="AT33" i="1" s="1"/>
  <c r="AQ34" i="1"/>
  <c r="AQ42" i="1"/>
  <c r="AQ61" i="1" s="1"/>
  <c r="AY9" i="3"/>
  <c r="AZ42" i="1"/>
  <c r="AZ61" i="1" s="1"/>
  <c r="AZ34" i="1"/>
  <c r="AA90" i="4"/>
  <c r="AB91" i="4"/>
  <c r="AA91" i="4"/>
  <c r="AM49" i="3"/>
  <c r="AM58" i="3" s="1"/>
  <c r="AL58" i="3"/>
  <c r="I34" i="1"/>
  <c r="I42" i="1"/>
  <c r="I61" i="1" s="1"/>
  <c r="Y14" i="1"/>
  <c r="AS49" i="3"/>
  <c r="AR58" i="3"/>
  <c r="AT18" i="3"/>
  <c r="W34" i="1"/>
  <c r="W42" i="1"/>
  <c r="W61" i="1" s="1"/>
  <c r="L42" i="1"/>
  <c r="L61" i="1" s="1"/>
  <c r="L34" i="1"/>
  <c r="AB42" i="1"/>
  <c r="AB61" i="1" s="1"/>
  <c r="AB34" i="1"/>
  <c r="BA89" i="1"/>
  <c r="BA92" i="1" s="1"/>
  <c r="BA93" i="1" s="1"/>
  <c r="T88" i="1"/>
  <c r="T89" i="1" s="1"/>
  <c r="T11" i="1"/>
  <c r="T18" i="1"/>
  <c r="AD89" i="1"/>
  <c r="AD92" i="1" s="1"/>
  <c r="AD93" i="1" s="1"/>
  <c r="X14" i="1"/>
  <c r="S12" i="1"/>
  <c r="X12" i="1"/>
  <c r="X17" i="1" s="1"/>
  <c r="S18" i="1"/>
  <c r="BD12" i="2"/>
  <c r="BE68" i="3" s="1"/>
  <c r="BA34" i="1"/>
  <c r="AA89" i="1"/>
  <c r="AM89" i="1"/>
  <c r="AN89" i="1"/>
  <c r="AH89" i="1"/>
  <c r="AP89" i="1"/>
  <c r="AF89" i="1"/>
  <c r="AQ89" i="1"/>
  <c r="AZ7" i="1"/>
  <c r="BD14" i="1"/>
  <c r="AY12" i="1"/>
  <c r="AT18" i="1"/>
  <c r="AT19" i="1" s="1"/>
  <c r="AT12" i="1"/>
  <c r="AE14" i="1"/>
  <c r="Z18" i="1"/>
  <c r="AK89" i="1"/>
  <c r="AI89" i="1"/>
  <c r="AJ18" i="1"/>
  <c r="AJ12" i="1"/>
  <c r="AO12" i="1"/>
  <c r="AO18" i="1"/>
  <c r="AO19" i="1" s="1"/>
  <c r="AL89" i="1"/>
  <c r="AB89" i="1"/>
  <c r="AC89" i="1"/>
  <c r="AV19" i="1"/>
  <c r="AT16" i="1"/>
  <c r="Y89" i="1"/>
  <c r="AG89" i="1"/>
  <c r="AE12" i="1"/>
  <c r="AE17" i="1" s="1"/>
  <c r="AZ89" i="1"/>
  <c r="BA42" i="1"/>
  <c r="BA61" i="1" s="1"/>
  <c r="BA49" i="2"/>
  <c r="BA50" i="2"/>
  <c r="BA58" i="1"/>
  <c r="X26" i="15"/>
  <c r="X28" i="15"/>
  <c r="Z26" i="15"/>
  <c r="AA28" i="15"/>
  <c r="Y34" i="15"/>
  <c r="X34" i="15"/>
  <c r="AA36" i="15"/>
  <c r="AA34" i="15"/>
  <c r="AA26" i="15"/>
  <c r="Y30" i="15"/>
  <c r="Y26" i="15"/>
  <c r="Z30" i="15"/>
  <c r="X30" i="15"/>
  <c r="X36" i="15"/>
  <c r="Y36" i="15"/>
  <c r="T57" i="1" l="1"/>
  <c r="P55" i="1"/>
  <c r="O58" i="1"/>
  <c r="O67" i="1" s="1"/>
  <c r="AV57" i="1"/>
  <c r="AQ57" i="1"/>
  <c r="AJ55" i="1"/>
  <c r="AV58" i="1"/>
  <c r="AV59" i="1" s="1"/>
  <c r="AU57" i="1"/>
  <c r="K55" i="1"/>
  <c r="W57" i="1"/>
  <c r="AT55" i="1"/>
  <c r="AZ57" i="1"/>
  <c r="Y57" i="1"/>
  <c r="AE55" i="1"/>
  <c r="AD58" i="1"/>
  <c r="AD67" i="1" s="1"/>
  <c r="AD57" i="1"/>
  <c r="D57" i="1"/>
  <c r="W58" i="1"/>
  <c r="W59" i="1" s="1"/>
  <c r="AC63" i="1"/>
  <c r="M58" i="1"/>
  <c r="M59" i="1" s="1"/>
  <c r="AA43" i="1"/>
  <c r="AA61" i="1"/>
  <c r="AP43" i="1"/>
  <c r="AP61" i="1"/>
  <c r="H43" i="1"/>
  <c r="H61" i="1"/>
  <c r="V43" i="1"/>
  <c r="V61" i="1"/>
  <c r="AH43" i="1"/>
  <c r="AH61" i="1"/>
  <c r="AH64" i="1" s="1"/>
  <c r="H58" i="1"/>
  <c r="H67" i="1" s="1"/>
  <c r="AS58" i="1"/>
  <c r="AS59" i="1" s="1"/>
  <c r="AR43" i="1"/>
  <c r="AR61" i="1"/>
  <c r="AN43" i="1"/>
  <c r="AN61" i="1"/>
  <c r="AS57" i="1"/>
  <c r="Y61" i="1"/>
  <c r="Y58" i="1"/>
  <c r="Y59" i="1" s="1"/>
  <c r="D43" i="1"/>
  <c r="D61" i="1"/>
  <c r="D63" i="1" s="1"/>
  <c r="AK61" i="1"/>
  <c r="AO34" i="1"/>
  <c r="AO55" i="1"/>
  <c r="Q43" i="1"/>
  <c r="F57" i="1"/>
  <c r="AM61" i="1"/>
  <c r="AM64" i="1" s="1"/>
  <c r="AW57" i="1"/>
  <c r="AZ58" i="1"/>
  <c r="AZ67" i="1" s="1"/>
  <c r="AG43" i="1"/>
  <c r="AG61" i="1"/>
  <c r="AF61" i="1"/>
  <c r="F43" i="1"/>
  <c r="F61" i="1"/>
  <c r="U34" i="1"/>
  <c r="U55" i="1"/>
  <c r="Z34" i="1"/>
  <c r="Z55" i="1"/>
  <c r="AI43" i="1"/>
  <c r="AC43" i="1"/>
  <c r="AC69" i="1"/>
  <c r="AC65" i="1"/>
  <c r="AP58" i="1"/>
  <c r="AP59" i="1" s="1"/>
  <c r="AI57" i="1"/>
  <c r="AU43" i="1"/>
  <c r="AK58" i="1"/>
  <c r="AK67" i="1" s="1"/>
  <c r="AX58" i="1"/>
  <c r="AX59" i="1" s="1"/>
  <c r="AC57" i="1"/>
  <c r="AH57" i="1"/>
  <c r="BA63" i="1"/>
  <c r="AC53" i="1"/>
  <c r="AG57" i="1"/>
  <c r="AA58" i="1"/>
  <c r="AA67" i="1" s="1"/>
  <c r="AM58" i="1"/>
  <c r="AM59" i="1" s="1"/>
  <c r="AF58" i="1"/>
  <c r="AF67" i="1" s="1"/>
  <c r="AN57" i="1"/>
  <c r="AV43" i="1"/>
  <c r="AQ111" i="1"/>
  <c r="M57" i="1"/>
  <c r="D58" i="1"/>
  <c r="D67" i="1" s="1"/>
  <c r="AT18" i="2"/>
  <c r="AT42" i="2" s="1"/>
  <c r="AT44" i="2" s="1"/>
  <c r="AZ110" i="1"/>
  <c r="AY58" i="3"/>
  <c r="AD42" i="2"/>
  <c r="AD44" i="2" s="1"/>
  <c r="AE44" i="2" s="1"/>
  <c r="AM57" i="1"/>
  <c r="X16" i="1"/>
  <c r="Y16" i="1"/>
  <c r="AE16" i="1"/>
  <c r="L64" i="3"/>
  <c r="AV89" i="1"/>
  <c r="AV92" i="1" s="1"/>
  <c r="AV93" i="1" s="1"/>
  <c r="AW89" i="1"/>
  <c r="AW92" i="1" s="1"/>
  <c r="AW93" i="1" s="1"/>
  <c r="AU89" i="1"/>
  <c r="AU90" i="1" s="1"/>
  <c r="AU101" i="1" s="1"/>
  <c r="AZ111" i="1"/>
  <c r="AN111" i="1"/>
  <c r="AN110" i="1"/>
  <c r="AT107" i="1"/>
  <c r="AV111" i="1"/>
  <c r="AV110" i="1"/>
  <c r="AO42" i="1"/>
  <c r="AK57" i="1"/>
  <c r="BN16" i="2"/>
  <c r="BO16" i="2" s="1"/>
  <c r="BM77" i="1"/>
  <c r="BA110" i="1"/>
  <c r="BA111" i="1"/>
  <c r="AY107" i="1"/>
  <c r="AX111" i="1"/>
  <c r="AX110" i="1"/>
  <c r="AS111" i="1"/>
  <c r="AS110" i="1"/>
  <c r="AU111" i="1"/>
  <c r="AU110" i="1"/>
  <c r="AR111" i="1"/>
  <c r="AR110" i="1"/>
  <c r="BL78" i="1"/>
  <c r="BL79" i="1"/>
  <c r="AK110" i="1"/>
  <c r="AK111" i="1"/>
  <c r="AM43" i="1"/>
  <c r="AL111" i="1"/>
  <c r="AL110" i="1"/>
  <c r="AP111" i="1"/>
  <c r="AP110" i="1"/>
  <c r="AM111" i="1"/>
  <c r="AM110" i="1"/>
  <c r="AW111" i="1"/>
  <c r="AW110" i="1"/>
  <c r="AQ110" i="1"/>
  <c r="O12" i="1"/>
  <c r="O18" i="1"/>
  <c r="O88" i="1"/>
  <c r="AU58" i="1"/>
  <c r="AU67" i="1" s="1"/>
  <c r="H57" i="1"/>
  <c r="AH58" i="1"/>
  <c r="AH59" i="1" s="1"/>
  <c r="AG58" i="1"/>
  <c r="AG59" i="1" s="1"/>
  <c r="AP57" i="1"/>
  <c r="AN58" i="1"/>
  <c r="AN59" i="1" s="1"/>
  <c r="AF43" i="1"/>
  <c r="AK43" i="1"/>
  <c r="F58" i="1"/>
  <c r="F59" i="1" s="1"/>
  <c r="U42" i="1"/>
  <c r="AC58" i="1"/>
  <c r="AC59" i="1" s="1"/>
  <c r="AA57" i="1"/>
  <c r="AX57" i="1"/>
  <c r="Q64" i="3"/>
  <c r="U64" i="3"/>
  <c r="U65" i="3" s="1"/>
  <c r="V64" i="3" s="1"/>
  <c r="Y43" i="1"/>
  <c r="AI58" i="1"/>
  <c r="AI59" i="1" s="1"/>
  <c r="AF57" i="1"/>
  <c r="AC62" i="3"/>
  <c r="AJ9" i="3"/>
  <c r="AC39" i="3"/>
  <c r="M43" i="1"/>
  <c r="AX43" i="1"/>
  <c r="AR58" i="1"/>
  <c r="AR57" i="1"/>
  <c r="BI73" i="1"/>
  <c r="V57" i="1"/>
  <c r="V58" i="1"/>
  <c r="AC30" i="3"/>
  <c r="AY42" i="1"/>
  <c r="AY61" i="1" s="1"/>
  <c r="AY34" i="1"/>
  <c r="E58" i="1"/>
  <c r="E57" i="1"/>
  <c r="Z42" i="1"/>
  <c r="AO49" i="3"/>
  <c r="AO58" i="3" s="1"/>
  <c r="Q58" i="1"/>
  <c r="Q57" i="1"/>
  <c r="S43" i="1"/>
  <c r="S57" i="1"/>
  <c r="S58" i="1"/>
  <c r="AW43" i="1"/>
  <c r="E43" i="1"/>
  <c r="O57" i="1"/>
  <c r="J58" i="1"/>
  <c r="J67" i="1" s="1"/>
  <c r="BA43" i="1"/>
  <c r="Z12" i="1"/>
  <c r="U18" i="1"/>
  <c r="AT34" i="1"/>
  <c r="AT42" i="1"/>
  <c r="AT61" i="1" s="1"/>
  <c r="K42" i="1"/>
  <c r="K61" i="1" s="1"/>
  <c r="K34" i="1"/>
  <c r="AQ43" i="1"/>
  <c r="X57" i="1"/>
  <c r="X58" i="1"/>
  <c r="P34" i="1"/>
  <c r="P42" i="1"/>
  <c r="P61" i="1" s="1"/>
  <c r="N43" i="1"/>
  <c r="BF52" i="2"/>
  <c r="BF53" i="2"/>
  <c r="G57" i="1"/>
  <c r="G58" i="1"/>
  <c r="AJ33" i="3"/>
  <c r="AJ37" i="3" s="1"/>
  <c r="L57" i="1"/>
  <c r="L58" i="1"/>
  <c r="AJ49" i="3"/>
  <c r="AJ58" i="3" s="1"/>
  <c r="I57" i="1"/>
  <c r="I58" i="1"/>
  <c r="AS43" i="1"/>
  <c r="AE42" i="1"/>
  <c r="AE61" i="1" s="1"/>
  <c r="AE34" i="1"/>
  <c r="AY37" i="3"/>
  <c r="T43" i="1"/>
  <c r="AO40" i="2"/>
  <c r="AO42" i="2" s="1"/>
  <c r="AO44" i="2" s="1"/>
  <c r="AN42" i="2"/>
  <c r="AN44" i="2" s="1"/>
  <c r="AJ18" i="2"/>
  <c r="AI42" i="2"/>
  <c r="AJ34" i="1"/>
  <c r="AJ42" i="1"/>
  <c r="AJ61" i="1" s="1"/>
  <c r="X43" i="1"/>
  <c r="O43" i="1"/>
  <c r="J43" i="1"/>
  <c r="R58" i="1"/>
  <c r="R57" i="1"/>
  <c r="AB58" i="1"/>
  <c r="AB57" i="1"/>
  <c r="AD43" i="1"/>
  <c r="N58" i="1"/>
  <c r="N57" i="1"/>
  <c r="Q63" i="1"/>
  <c r="Q64" i="1"/>
  <c r="W89" i="1"/>
  <c r="W92" i="1" s="1"/>
  <c r="W93" i="1" s="1"/>
  <c r="X89" i="1"/>
  <c r="X92" i="1" s="1"/>
  <c r="X93" i="1" s="1"/>
  <c r="AB43" i="1"/>
  <c r="L43" i="1"/>
  <c r="W43" i="1"/>
  <c r="AS58" i="3"/>
  <c r="AT49" i="3"/>
  <c r="AT58" i="3" s="1"/>
  <c r="I43" i="1"/>
  <c r="AZ43" i="1"/>
  <c r="AL58" i="1"/>
  <c r="AL57" i="1"/>
  <c r="AX37" i="3"/>
  <c r="AL43" i="1"/>
  <c r="G43" i="1"/>
  <c r="R43" i="1"/>
  <c r="V89" i="1"/>
  <c r="AA90" i="1" s="1"/>
  <c r="AB92" i="1"/>
  <c r="AB93" i="1" s="1"/>
  <c r="AI92" i="1"/>
  <c r="AI93" i="1" s="1"/>
  <c r="AI90" i="1"/>
  <c r="AI94" i="1" s="1"/>
  <c r="AZ8" i="1"/>
  <c r="AS92" i="1"/>
  <c r="AS93" i="1" s="1"/>
  <c r="AS90" i="1"/>
  <c r="AM90" i="1"/>
  <c r="AM92" i="1"/>
  <c r="AM93" i="1" s="1"/>
  <c r="AG92" i="1"/>
  <c r="AG93" i="1" s="1"/>
  <c r="AG90" i="1"/>
  <c r="AR90" i="1"/>
  <c r="AK92" i="1"/>
  <c r="AK93" i="1" s="1"/>
  <c r="AK90" i="1"/>
  <c r="T92" i="1"/>
  <c r="T93" i="1" s="1"/>
  <c r="T90" i="1"/>
  <c r="AX90" i="1"/>
  <c r="AX101" i="1" s="1"/>
  <c r="AQ92" i="1"/>
  <c r="AQ93" i="1" s="1"/>
  <c r="AQ90" i="1"/>
  <c r="AF92" i="1"/>
  <c r="AF93" i="1" s="1"/>
  <c r="AF90" i="1"/>
  <c r="AP90" i="1"/>
  <c r="AP92" i="1"/>
  <c r="AP93" i="1" s="1"/>
  <c r="AA92" i="1"/>
  <c r="AA93" i="1" s="1"/>
  <c r="Y90" i="1"/>
  <c r="Y92" i="1"/>
  <c r="Y93" i="1" s="1"/>
  <c r="AD90" i="1"/>
  <c r="BD4" i="1"/>
  <c r="BD38" i="1" s="1"/>
  <c r="BB6" i="1"/>
  <c r="BB5" i="1"/>
  <c r="AK3" i="23" s="1"/>
  <c r="BB13" i="1"/>
  <c r="BB65" i="2"/>
  <c r="BB18" i="1"/>
  <c r="BB75" i="1"/>
  <c r="AH92" i="1"/>
  <c r="AH93" i="1" s="1"/>
  <c r="AH90" i="1"/>
  <c r="AZ92" i="1"/>
  <c r="AZ93" i="1" s="1"/>
  <c r="AC92" i="1"/>
  <c r="AC93" i="1" s="1"/>
  <c r="AL92" i="1"/>
  <c r="AL93" i="1" s="1"/>
  <c r="AL90" i="1"/>
  <c r="BC18" i="1"/>
  <c r="BC7" i="1" s="1"/>
  <c r="BC8" i="1" s="1"/>
  <c r="BC5" i="1"/>
  <c r="AL3" i="23" s="1"/>
  <c r="BD10" i="2"/>
  <c r="BC65" i="2"/>
  <c r="BD9" i="2"/>
  <c r="BC6" i="1"/>
  <c r="BC75" i="1"/>
  <c r="BC13" i="1"/>
  <c r="AN90" i="1"/>
  <c r="AN92" i="1"/>
  <c r="AN93" i="1" s="1"/>
  <c r="AW67" i="1"/>
  <c r="AW59" i="1"/>
  <c r="D53" i="1"/>
  <c r="AQ59" i="1"/>
  <c r="AQ67" i="1"/>
  <c r="T59" i="1"/>
  <c r="T67" i="1"/>
  <c r="BA67" i="1"/>
  <c r="BA59" i="1"/>
  <c r="O59" i="1" l="1"/>
  <c r="AV67" i="1"/>
  <c r="D13" i="5" s="1"/>
  <c r="AD59" i="1"/>
  <c r="F63" i="1"/>
  <c r="W67" i="1"/>
  <c r="AM63" i="1"/>
  <c r="AF59" i="1"/>
  <c r="AS67" i="1"/>
  <c r="M67" i="1"/>
  <c r="M68" i="1" s="1"/>
  <c r="AF64" i="1"/>
  <c r="AF65" i="1" s="1"/>
  <c r="AF63" i="1"/>
  <c r="AK63" i="1"/>
  <c r="AK64" i="1"/>
  <c r="AK69" i="1" s="1"/>
  <c r="H64" i="1"/>
  <c r="H69" i="1" s="1"/>
  <c r="Y63" i="1"/>
  <c r="Y64" i="1"/>
  <c r="Y65" i="1" s="1"/>
  <c r="U43" i="1"/>
  <c r="U61" i="1"/>
  <c r="H59" i="1"/>
  <c r="D64" i="1"/>
  <c r="AZ59" i="1"/>
  <c r="Z61" i="1"/>
  <c r="AO43" i="1"/>
  <c r="AO61" i="1"/>
  <c r="AK59" i="1"/>
  <c r="U57" i="1"/>
  <c r="Y67" i="1"/>
  <c r="AD68" i="1" s="1"/>
  <c r="AX67" i="1"/>
  <c r="AF68" i="1"/>
  <c r="AK68" i="1"/>
  <c r="AH69" i="1"/>
  <c r="AH70" i="1" s="1"/>
  <c r="AH6" i="3"/>
  <c r="AH29" i="3" s="1"/>
  <c r="AH39" i="3" s="1"/>
  <c r="AH40" i="3" s="1"/>
  <c r="Z57" i="1"/>
  <c r="AP64" i="1"/>
  <c r="AP69" i="1" s="1"/>
  <c r="AV64" i="1"/>
  <c r="AV6" i="3" s="1"/>
  <c r="AV29" i="3" s="1"/>
  <c r="AV53" i="1"/>
  <c r="AM67" i="1"/>
  <c r="AO58" i="1"/>
  <c r="AO59" i="1" s="1"/>
  <c r="AY58" i="1"/>
  <c r="AY67" i="1" s="1"/>
  <c r="AP67" i="1"/>
  <c r="AP68" i="1" s="1"/>
  <c r="AG64" i="1"/>
  <c r="AA63" i="1"/>
  <c r="AU64" i="1"/>
  <c r="AU65" i="1" s="1"/>
  <c r="AA59" i="1"/>
  <c r="V64" i="1"/>
  <c r="AI64" i="1"/>
  <c r="AI6" i="3" s="1"/>
  <c r="AI29" i="3" s="1"/>
  <c r="AI62" i="3" s="1"/>
  <c r="AH65" i="1"/>
  <c r="AR64" i="1"/>
  <c r="AR69" i="1" s="1"/>
  <c r="AN63" i="1"/>
  <c r="AH53" i="1"/>
  <c r="D59" i="1"/>
  <c r="AA64" i="1"/>
  <c r="AE42" i="2"/>
  <c r="AO57" i="1"/>
  <c r="H53" i="1"/>
  <c r="H63" i="1"/>
  <c r="AU63" i="1"/>
  <c r="AU59" i="1"/>
  <c r="AU92" i="1"/>
  <c r="AU93" i="1" s="1"/>
  <c r="AZ90" i="1"/>
  <c r="AZ101" i="1" s="1"/>
  <c r="AW90" i="1"/>
  <c r="AW94" i="1" s="1"/>
  <c r="AW99" i="1" s="1"/>
  <c r="BA90" i="1"/>
  <c r="BA101" i="1" s="1"/>
  <c r="AV90" i="1"/>
  <c r="AV101" i="1" s="1"/>
  <c r="BD11" i="1"/>
  <c r="BD104" i="1"/>
  <c r="BM78" i="1"/>
  <c r="BM79" i="1"/>
  <c r="BS16" i="2"/>
  <c r="BW16" i="2" s="1"/>
  <c r="BO77" i="1"/>
  <c r="AH67" i="1"/>
  <c r="O89" i="1"/>
  <c r="R89" i="1"/>
  <c r="W90" i="1" s="1"/>
  <c r="S89" i="1"/>
  <c r="X90" i="1" s="1"/>
  <c r="Q89" i="1"/>
  <c r="V90" i="1" s="1"/>
  <c r="AG67" i="1"/>
  <c r="AV63" i="1"/>
  <c r="AI67" i="1"/>
  <c r="AI68" i="1" s="1"/>
  <c r="AP63" i="1"/>
  <c r="F64" i="1"/>
  <c r="F65" i="1" s="1"/>
  <c r="V63" i="1"/>
  <c r="AN67" i="1"/>
  <c r="U58" i="1"/>
  <c r="U67" i="1" s="1"/>
  <c r="AC67" i="1"/>
  <c r="F67" i="1"/>
  <c r="Z58" i="1"/>
  <c r="Z67" i="1" s="1"/>
  <c r="AG63" i="1"/>
  <c r="BC19" i="1"/>
  <c r="BF5" i="1"/>
  <c r="AN3" i="23" s="1"/>
  <c r="BF46" i="2"/>
  <c r="BF48" i="2"/>
  <c r="Z64" i="3"/>
  <c r="AR63" i="1"/>
  <c r="AN64" i="1"/>
  <c r="Z43" i="1"/>
  <c r="AY57" i="1"/>
  <c r="M64" i="1"/>
  <c r="M63" i="1"/>
  <c r="V67" i="1"/>
  <c r="AA68" i="1" s="1"/>
  <c r="V59" i="1"/>
  <c r="AR59" i="1"/>
  <c r="AR67" i="1"/>
  <c r="AW68" i="1" s="1"/>
  <c r="AX63" i="1"/>
  <c r="AX64" i="1"/>
  <c r="AB90" i="1"/>
  <c r="AB94" i="1" s="1"/>
  <c r="BB7" i="1"/>
  <c r="BB19" i="1"/>
  <c r="E63" i="1"/>
  <c r="E64" i="1"/>
  <c r="S67" i="1"/>
  <c r="S59" i="1"/>
  <c r="E67" i="1"/>
  <c r="E59" i="1"/>
  <c r="AW64" i="1"/>
  <c r="AW63" i="1"/>
  <c r="Q59" i="1"/>
  <c r="Q67" i="1"/>
  <c r="S64" i="1"/>
  <c r="S63" i="1"/>
  <c r="AY43" i="1"/>
  <c r="T68" i="1"/>
  <c r="J59" i="1"/>
  <c r="AD64" i="1"/>
  <c r="AD63" i="1"/>
  <c r="N64" i="1"/>
  <c r="N63" i="1"/>
  <c r="AJ43" i="1"/>
  <c r="R64" i="1"/>
  <c r="R63" i="1"/>
  <c r="AL64" i="1"/>
  <c r="AL63" i="1"/>
  <c r="AL59" i="1"/>
  <c r="AL67" i="1"/>
  <c r="AZ63" i="1"/>
  <c r="AZ64" i="1"/>
  <c r="AZ52" i="1" s="1"/>
  <c r="N67" i="1"/>
  <c r="N59" i="1"/>
  <c r="AB67" i="1"/>
  <c r="AB59" i="1"/>
  <c r="J64" i="1"/>
  <c r="J63" i="1"/>
  <c r="X64" i="1"/>
  <c r="X63" i="1"/>
  <c r="AE57" i="1"/>
  <c r="AE58" i="1"/>
  <c r="BG52" i="2"/>
  <c r="BG53" i="2"/>
  <c r="P43" i="1"/>
  <c r="X67" i="1"/>
  <c r="X59" i="1"/>
  <c r="AQ63" i="1"/>
  <c r="AQ64" i="1"/>
  <c r="K58" i="1"/>
  <c r="K57" i="1"/>
  <c r="AT57" i="1"/>
  <c r="AT58" i="1"/>
  <c r="I63" i="1"/>
  <c r="I64" i="1"/>
  <c r="Q6" i="3"/>
  <c r="Q65" i="1"/>
  <c r="Q69" i="1"/>
  <c r="Q53" i="1"/>
  <c r="O63" i="1"/>
  <c r="O64" i="1"/>
  <c r="AJ57" i="1"/>
  <c r="AJ58" i="1"/>
  <c r="AE43" i="1"/>
  <c r="I59" i="1"/>
  <c r="I67" i="1"/>
  <c r="L59" i="1"/>
  <c r="L67" i="1"/>
  <c r="K43" i="1"/>
  <c r="L63" i="1"/>
  <c r="L64" i="1"/>
  <c r="R67" i="1"/>
  <c r="R59" i="1"/>
  <c r="AS63" i="1"/>
  <c r="AS64" i="1"/>
  <c r="G67" i="1"/>
  <c r="G59" i="1"/>
  <c r="P57" i="1"/>
  <c r="P58" i="1"/>
  <c r="AM65" i="1"/>
  <c r="AM6" i="3"/>
  <c r="AM29" i="3" s="1"/>
  <c r="AM69" i="1"/>
  <c r="AT43" i="1"/>
  <c r="AC90" i="1"/>
  <c r="AC94" i="1" s="1"/>
  <c r="AC99" i="1" s="1"/>
  <c r="AH94" i="1"/>
  <c r="AH95" i="1" s="1"/>
  <c r="G63" i="1"/>
  <c r="G64" i="1"/>
  <c r="W63" i="1"/>
  <c r="W64" i="1"/>
  <c r="AB63" i="1"/>
  <c r="AB64" i="1"/>
  <c r="AJ42" i="2"/>
  <c r="AI44" i="2"/>
  <c r="AJ44" i="2" s="1"/>
  <c r="T63" i="1"/>
  <c r="T64" i="1"/>
  <c r="AZ68" i="1"/>
  <c r="Y94" i="1"/>
  <c r="Y99" i="1" s="1"/>
  <c r="V92" i="1"/>
  <c r="V93" i="1" s="1"/>
  <c r="AA94" i="1" s="1"/>
  <c r="AU94" i="1"/>
  <c r="AU95" i="1" s="1"/>
  <c r="AL94" i="1"/>
  <c r="AL99" i="1" s="1"/>
  <c r="BD28" i="3"/>
  <c r="BD26" i="2"/>
  <c r="BD8" i="2"/>
  <c r="BC46" i="2"/>
  <c r="BB48" i="2"/>
  <c r="BB105" i="1" s="1"/>
  <c r="BB106" i="1" s="1"/>
  <c r="BB12" i="1"/>
  <c r="BB88" i="1"/>
  <c r="BB89" i="1" s="1"/>
  <c r="BD12" i="1"/>
  <c r="BB31" i="1"/>
  <c r="BD29" i="1"/>
  <c r="AD94" i="1"/>
  <c r="AX94" i="1"/>
  <c r="AK94" i="1"/>
  <c r="AG94" i="1"/>
  <c r="BE75" i="1"/>
  <c r="BE13" i="1"/>
  <c r="BE65" i="2"/>
  <c r="BE6" i="1"/>
  <c r="BE5" i="1"/>
  <c r="AM3" i="23" s="1"/>
  <c r="BF13" i="1"/>
  <c r="BF6" i="1"/>
  <c r="BD24" i="2"/>
  <c r="BC31" i="2"/>
  <c r="BC31" i="1"/>
  <c r="BB31" i="2"/>
  <c r="BB40" i="2" s="1"/>
  <c r="AP94" i="1"/>
  <c r="AQ94" i="1"/>
  <c r="BD25" i="1"/>
  <c r="BD26" i="1" s="1"/>
  <c r="BB97" i="1"/>
  <c r="BD5" i="1"/>
  <c r="N6" i="20" s="1"/>
  <c r="N8" i="20" s="1"/>
  <c r="AF94" i="1"/>
  <c r="AN94" i="1"/>
  <c r="BC48" i="2"/>
  <c r="BD28" i="2"/>
  <c r="BD25" i="3"/>
  <c r="BD25" i="2"/>
  <c r="BC12" i="1"/>
  <c r="BC88" i="1"/>
  <c r="BC97" i="1"/>
  <c r="BB46" i="2"/>
  <c r="BB21" i="1"/>
  <c r="BB22" i="1" s="1"/>
  <c r="BD27" i="1"/>
  <c r="BD28" i="1" s="1"/>
  <c r="AR94" i="1"/>
  <c r="AM94" i="1"/>
  <c r="AS94" i="1"/>
  <c r="AI95" i="1"/>
  <c r="AI99" i="1"/>
  <c r="D20" i="5"/>
  <c r="O68" i="1"/>
  <c r="BA64" i="1"/>
  <c r="BA52" i="1" s="1"/>
  <c r="AV68" i="1" l="1"/>
  <c r="BA68" i="1"/>
  <c r="AK6" i="3"/>
  <c r="AK29" i="3" s="1"/>
  <c r="AK30" i="3" s="1"/>
  <c r="Y68" i="1"/>
  <c r="AB68" i="1"/>
  <c r="R68" i="1"/>
  <c r="AK65" i="1"/>
  <c r="AF69" i="1"/>
  <c r="AK70" i="1" s="1"/>
  <c r="Z63" i="1"/>
  <c r="AF6" i="3"/>
  <c r="AF29" i="3" s="1"/>
  <c r="AS68" i="1"/>
  <c r="Y69" i="1"/>
  <c r="AP6" i="3"/>
  <c r="AP29" i="3" s="1"/>
  <c r="AP62" i="3" s="1"/>
  <c r="AP65" i="1"/>
  <c r="AX68" i="1"/>
  <c r="Y6" i="3"/>
  <c r="Y29" i="3" s="1"/>
  <c r="Y30" i="3" s="1"/>
  <c r="AO67" i="1"/>
  <c r="Z64" i="1"/>
  <c r="Z69" i="1" s="1"/>
  <c r="H65" i="1"/>
  <c r="U64" i="1"/>
  <c r="U69" i="1" s="1"/>
  <c r="AH62" i="3"/>
  <c r="D69" i="1"/>
  <c r="D65" i="1"/>
  <c r="AM68" i="1"/>
  <c r="AY59" i="1"/>
  <c r="AH30" i="3"/>
  <c r="AI30" i="3"/>
  <c r="AI65" i="1"/>
  <c r="AI76" i="1"/>
  <c r="AG69" i="1"/>
  <c r="AG6" i="3"/>
  <c r="AG29" i="3" s="1"/>
  <c r="AG39" i="3" s="1"/>
  <c r="AG40" i="3" s="1"/>
  <c r="AG65" i="1"/>
  <c r="AH76" i="1"/>
  <c r="AU6" i="3"/>
  <c r="AU29" i="3" s="1"/>
  <c r="AV65" i="1"/>
  <c r="AR53" i="1"/>
  <c r="AV69" i="1"/>
  <c r="AR6" i="3"/>
  <c r="AR29" i="3" s="1"/>
  <c r="AR30" i="3" s="1"/>
  <c r="V65" i="1"/>
  <c r="V6" i="3"/>
  <c r="V29" i="3" s="1"/>
  <c r="V62" i="3" s="1"/>
  <c r="AI39" i="3"/>
  <c r="AI40" i="3" s="1"/>
  <c r="AR65" i="1"/>
  <c r="AU69" i="1"/>
  <c r="AU70" i="1" s="1"/>
  <c r="AU53" i="1"/>
  <c r="V53" i="1"/>
  <c r="V69" i="1"/>
  <c r="V70" i="1" s="1"/>
  <c r="AU68" i="1"/>
  <c r="AG53" i="1"/>
  <c r="AK53" i="1"/>
  <c r="AP53" i="1"/>
  <c r="AM53" i="1"/>
  <c r="Y53" i="1"/>
  <c r="AO64" i="1"/>
  <c r="AO69" i="1" s="1"/>
  <c r="AI69" i="1"/>
  <c r="AA53" i="1"/>
  <c r="AF53" i="1"/>
  <c r="AA69" i="1"/>
  <c r="AA6" i="3"/>
  <c r="AA29" i="3" s="1"/>
  <c r="AA62" i="3" s="1"/>
  <c r="AA65" i="1"/>
  <c r="BX16" i="2"/>
  <c r="BW77" i="1"/>
  <c r="AV94" i="1"/>
  <c r="AV95" i="1" s="1"/>
  <c r="AW101" i="1"/>
  <c r="AZ94" i="1"/>
  <c r="AZ99" i="1" s="1"/>
  <c r="AW95" i="1"/>
  <c r="AO63" i="1"/>
  <c r="BA94" i="1"/>
  <c r="BA99" i="1" s="1"/>
  <c r="AH68" i="1"/>
  <c r="BF50" i="2"/>
  <c r="BC105" i="1"/>
  <c r="BC106" i="1" s="1"/>
  <c r="BO79" i="1"/>
  <c r="BO78" i="1"/>
  <c r="BB107" i="1"/>
  <c r="BB109" i="1"/>
  <c r="BB108" i="1"/>
  <c r="AL68" i="1"/>
  <c r="V68" i="1"/>
  <c r="O92" i="1"/>
  <c r="O93" i="1" s="1"/>
  <c r="T94" i="1" s="1"/>
  <c r="T99" i="1" s="1"/>
  <c r="O90" i="1"/>
  <c r="O94" i="1" s="1"/>
  <c r="O99" i="1" s="1"/>
  <c r="Z59" i="1"/>
  <c r="BS73" i="1"/>
  <c r="U59" i="1"/>
  <c r="Z68" i="1"/>
  <c r="F69" i="1"/>
  <c r="AN68" i="1"/>
  <c r="F68" i="1"/>
  <c r="U63" i="1"/>
  <c r="AG68" i="1"/>
  <c r="BF21" i="1"/>
  <c r="BF22" i="1" s="1"/>
  <c r="BF31" i="2"/>
  <c r="BF40" i="2" s="1"/>
  <c r="BF31" i="1"/>
  <c r="AN6" i="3"/>
  <c r="AN29" i="3" s="1"/>
  <c r="AN69" i="1"/>
  <c r="AN65" i="1"/>
  <c r="AU99" i="1"/>
  <c r="W68" i="1"/>
  <c r="AR68" i="1"/>
  <c r="E68" i="1"/>
  <c r="M69" i="1"/>
  <c r="M70" i="1" s="1"/>
  <c r="M65" i="1"/>
  <c r="M53" i="1"/>
  <c r="AX69" i="1"/>
  <c r="AX6" i="3"/>
  <c r="AX29" i="3" s="1"/>
  <c r="AX65" i="1"/>
  <c r="AX53" i="1"/>
  <c r="BB8" i="1"/>
  <c r="BD7" i="1"/>
  <c r="BD8" i="1" s="1"/>
  <c r="AC95" i="1"/>
  <c r="BC89" i="1"/>
  <c r="BC92" i="1" s="1"/>
  <c r="BC93" i="1" s="1"/>
  <c r="BB33" i="1"/>
  <c r="AP70" i="1"/>
  <c r="S68" i="1"/>
  <c r="AY64" i="1"/>
  <c r="AY63" i="1"/>
  <c r="E65" i="1"/>
  <c r="E69" i="1"/>
  <c r="E53" i="1"/>
  <c r="S6" i="3"/>
  <c r="S29" i="3" s="1"/>
  <c r="S69" i="1"/>
  <c r="S65" i="1"/>
  <c r="AW53" i="1"/>
  <c r="AW69" i="1"/>
  <c r="AW70" i="1" s="1"/>
  <c r="AW6" i="3"/>
  <c r="AW29" i="3" s="1"/>
  <c r="AW65" i="1"/>
  <c r="BD18" i="3"/>
  <c r="N69" i="1"/>
  <c r="N53" i="1"/>
  <c r="N65" i="1"/>
  <c r="AH99" i="1"/>
  <c r="AB65" i="1"/>
  <c r="AB6" i="3"/>
  <c r="AB69" i="1"/>
  <c r="AM70" i="1"/>
  <c r="AR70" i="1"/>
  <c r="P59" i="1"/>
  <c r="P67" i="1"/>
  <c r="AS65" i="1"/>
  <c r="AS69" i="1"/>
  <c r="AS6" i="3"/>
  <c r="AS29" i="3" s="1"/>
  <c r="K63" i="1"/>
  <c r="K64" i="1"/>
  <c r="N68" i="1"/>
  <c r="AJ59" i="1"/>
  <c r="AJ67" i="1"/>
  <c r="AT59" i="1"/>
  <c r="AT67" i="1"/>
  <c r="AQ6" i="3"/>
  <c r="AQ29" i="3" s="1"/>
  <c r="AQ39" i="3" s="1"/>
  <c r="AQ40" i="3" s="1"/>
  <c r="AQ65" i="1"/>
  <c r="AQ69" i="1"/>
  <c r="P64" i="1"/>
  <c r="P63" i="1"/>
  <c r="AZ69" i="1"/>
  <c r="AZ6" i="3"/>
  <c r="AZ29" i="3" s="1"/>
  <c r="AZ65" i="1"/>
  <c r="AQ68" i="1"/>
  <c r="AL95" i="1"/>
  <c r="G65" i="1"/>
  <c r="G53" i="1"/>
  <c r="G69" i="1"/>
  <c r="AM39" i="3"/>
  <c r="AM40" i="3" s="1"/>
  <c r="AM30" i="3"/>
  <c r="AM76" i="1"/>
  <c r="AM62" i="3"/>
  <c r="Q29" i="3"/>
  <c r="X69" i="1"/>
  <c r="X65" i="1"/>
  <c r="X6" i="3"/>
  <c r="X29" i="3" s="1"/>
  <c r="AL6" i="3"/>
  <c r="AL69" i="1"/>
  <c r="AL65" i="1"/>
  <c r="AD65" i="1"/>
  <c r="AD6" i="3"/>
  <c r="AD29" i="3" s="1"/>
  <c r="AD30" i="3" s="1"/>
  <c r="AD69" i="1"/>
  <c r="K67" i="1"/>
  <c r="K68" i="1" s="1"/>
  <c r="K59" i="1"/>
  <c r="X68" i="1"/>
  <c r="AC68" i="1"/>
  <c r="J65" i="1"/>
  <c r="J53" i="1"/>
  <c r="J69" i="1"/>
  <c r="R65" i="1"/>
  <c r="R53" i="1"/>
  <c r="R69" i="1"/>
  <c r="R6" i="3"/>
  <c r="R29" i="3" s="1"/>
  <c r="AJ64" i="1"/>
  <c r="AJ63" i="1"/>
  <c r="T69" i="1"/>
  <c r="T65" i="1"/>
  <c r="T53" i="1"/>
  <c r="W6" i="3"/>
  <c r="W65" i="1"/>
  <c r="W69" i="1"/>
  <c r="AT63" i="1"/>
  <c r="AT64" i="1"/>
  <c r="L6" i="3"/>
  <c r="L29" i="3" s="1"/>
  <c r="L53" i="1"/>
  <c r="L69" i="1"/>
  <c r="Q70" i="1" s="1"/>
  <c r="L65" i="1"/>
  <c r="L68" i="1"/>
  <c r="Q68" i="1"/>
  <c r="AE64" i="1"/>
  <c r="AE63" i="1"/>
  <c r="AV62" i="3"/>
  <c r="AV30" i="3"/>
  <c r="AV39" i="3"/>
  <c r="AV40" i="3" s="1"/>
  <c r="AV76" i="1"/>
  <c r="O69" i="1"/>
  <c r="O53" i="1"/>
  <c r="O65" i="1"/>
  <c r="I69" i="1"/>
  <c r="I65" i="1"/>
  <c r="I53" i="1"/>
  <c r="BI33" i="2"/>
  <c r="BH53" i="2"/>
  <c r="BH52" i="2"/>
  <c r="AE59" i="1"/>
  <c r="AE67" i="1"/>
  <c r="AE68" i="1" s="1"/>
  <c r="AA95" i="1"/>
  <c r="AA99" i="1"/>
  <c r="AN95" i="1"/>
  <c r="AN99" i="1"/>
  <c r="AQ95" i="1"/>
  <c r="AQ99" i="1"/>
  <c r="BE31" i="2"/>
  <c r="BE40" i="2" s="1"/>
  <c r="BE31" i="1"/>
  <c r="AX95" i="1"/>
  <c r="AX99" i="1"/>
  <c r="BD31" i="1"/>
  <c r="BD30" i="1"/>
  <c r="AS95" i="1"/>
  <c r="AS99" i="1"/>
  <c r="AP95" i="1"/>
  <c r="AP99" i="1"/>
  <c r="BE97" i="1"/>
  <c r="BF97" i="1"/>
  <c r="BG7" i="1"/>
  <c r="BI14" i="1"/>
  <c r="BI15" i="1" s="1"/>
  <c r="AM95" i="1"/>
  <c r="AM99" i="1"/>
  <c r="BD21" i="3"/>
  <c r="BD20" i="3"/>
  <c r="BE48" i="2"/>
  <c r="BE105" i="1" s="1"/>
  <c r="BE106" i="1" s="1"/>
  <c r="AG95" i="1"/>
  <c r="AG99" i="1"/>
  <c r="BB50" i="2"/>
  <c r="BB49" i="2"/>
  <c r="AR99" i="1"/>
  <c r="AR95" i="1"/>
  <c r="BC50" i="2"/>
  <c r="BC49" i="2"/>
  <c r="AF99" i="1"/>
  <c r="AF95" i="1"/>
  <c r="BD19" i="3"/>
  <c r="AB95" i="1"/>
  <c r="AB99" i="1"/>
  <c r="BD31" i="2"/>
  <c r="BC40" i="2"/>
  <c r="BD40" i="2" s="1"/>
  <c r="BE46" i="2"/>
  <c r="AK99" i="1"/>
  <c r="AK95" i="1"/>
  <c r="AD99" i="1"/>
  <c r="AD95" i="1"/>
  <c r="BB92" i="1"/>
  <c r="BB93" i="1" s="1"/>
  <c r="BB90" i="1"/>
  <c r="BD23" i="3"/>
  <c r="G13" i="5"/>
  <c r="G20" i="5"/>
  <c r="BA65" i="1"/>
  <c r="BA6" i="3"/>
  <c r="BA69" i="1"/>
  <c r="AK76" i="1" l="1"/>
  <c r="AK39" i="3"/>
  <c r="AK40" i="3" s="1"/>
  <c r="AK62" i="3"/>
  <c r="AT68" i="1"/>
  <c r="Z65" i="1"/>
  <c r="AO68" i="1"/>
  <c r="Y39" i="3"/>
  <c r="Y62" i="3"/>
  <c r="AP76" i="1"/>
  <c r="Y76" i="1"/>
  <c r="AP30" i="3"/>
  <c r="AP39" i="3"/>
  <c r="AP40" i="3" s="1"/>
  <c r="E70" i="1"/>
  <c r="U65" i="1"/>
  <c r="AZ70" i="1"/>
  <c r="V76" i="1"/>
  <c r="AG76" i="1"/>
  <c r="AG62" i="3"/>
  <c r="BB42" i="1"/>
  <c r="BB61" i="1" s="1"/>
  <c r="BB55" i="1"/>
  <c r="V30" i="3"/>
  <c r="AG30" i="3"/>
  <c r="F53" i="1"/>
  <c r="U53" i="1"/>
  <c r="AJ6" i="3"/>
  <c r="AJ29" i="3" s="1"/>
  <c r="AJ76" i="1" s="1"/>
  <c r="AR76" i="1"/>
  <c r="AR62" i="3"/>
  <c r="AL70" i="1"/>
  <c r="AA70" i="1"/>
  <c r="V39" i="3"/>
  <c r="AR39" i="3"/>
  <c r="AR40" i="3" s="1"/>
  <c r="AO53" i="1"/>
  <c r="BA53" i="1"/>
  <c r="X53" i="1"/>
  <c r="AZ53" i="1"/>
  <c r="AB53" i="1"/>
  <c r="AI53" i="1"/>
  <c r="AN70" i="1"/>
  <c r="AN53" i="1"/>
  <c r="AS53" i="1"/>
  <c r="AD53" i="1"/>
  <c r="Z53" i="1"/>
  <c r="AO65" i="1"/>
  <c r="W53" i="1"/>
  <c r="AL53" i="1"/>
  <c r="AF70" i="1"/>
  <c r="AA76" i="1"/>
  <c r="AA39" i="3"/>
  <c r="AA30" i="3"/>
  <c r="AV99" i="1"/>
  <c r="BA95" i="1"/>
  <c r="BW79" i="1"/>
  <c r="BW78" i="1"/>
  <c r="AZ95" i="1"/>
  <c r="BE109" i="1"/>
  <c r="BE108" i="1"/>
  <c r="BE107" i="1"/>
  <c r="BC107" i="1"/>
  <c r="BC109" i="1"/>
  <c r="BC108" i="1"/>
  <c r="BF105" i="1"/>
  <c r="BF106" i="1" s="1"/>
  <c r="BB110" i="1"/>
  <c r="BB111" i="1"/>
  <c r="BD106" i="1"/>
  <c r="BD107" i="1" s="1"/>
  <c r="BB94" i="1"/>
  <c r="BB95" i="1" s="1"/>
  <c r="BB101" i="1"/>
  <c r="BF33" i="1"/>
  <c r="BJ53" i="2"/>
  <c r="BJ52" i="2"/>
  <c r="Z70" i="1"/>
  <c r="AN39" i="3"/>
  <c r="AN40" i="3" s="1"/>
  <c r="AN76" i="1"/>
  <c r="AN30" i="3"/>
  <c r="AN62" i="3"/>
  <c r="R70" i="1"/>
  <c r="AX76" i="1"/>
  <c r="AX39" i="3"/>
  <c r="AX40" i="3" s="1"/>
  <c r="AX62" i="3"/>
  <c r="AX30" i="3"/>
  <c r="BB34" i="1"/>
  <c r="BC90" i="1"/>
  <c r="AY6" i="3"/>
  <c r="AY29" i="3" s="1"/>
  <c r="AY30" i="3" s="1"/>
  <c r="AD39" i="3"/>
  <c r="AD76" i="1"/>
  <c r="S30" i="3"/>
  <c r="S39" i="3"/>
  <c r="S62" i="3"/>
  <c r="S76" i="1"/>
  <c r="S54" i="1"/>
  <c r="S53" i="1"/>
  <c r="AY69" i="1"/>
  <c r="AY65" i="1"/>
  <c r="AW62" i="3"/>
  <c r="AW76" i="1"/>
  <c r="AW30" i="3"/>
  <c r="AW39" i="3"/>
  <c r="AW40" i="3" s="1"/>
  <c r="F70" i="1"/>
  <c r="AQ62" i="3"/>
  <c r="AQ30" i="3"/>
  <c r="AQ76" i="1"/>
  <c r="AB70" i="1"/>
  <c r="R76" i="1"/>
  <c r="R62" i="3"/>
  <c r="R30" i="3"/>
  <c r="R39" i="3"/>
  <c r="AV70" i="1"/>
  <c r="AQ70" i="1"/>
  <c r="P68" i="1"/>
  <c r="U68" i="1"/>
  <c r="W29" i="3"/>
  <c r="Z6" i="3"/>
  <c r="Z29" i="3" s="1"/>
  <c r="T70" i="1"/>
  <c r="Y70" i="1"/>
  <c r="AD62" i="3"/>
  <c r="O70" i="1"/>
  <c r="L70" i="1"/>
  <c r="AG70" i="1"/>
  <c r="K69" i="1"/>
  <c r="K70" i="1" s="1"/>
  <c r="K65" i="1"/>
  <c r="AX70" i="1"/>
  <c r="AS70" i="1"/>
  <c r="AE65" i="1"/>
  <c r="AE69" i="1"/>
  <c r="AE70" i="1" s="1"/>
  <c r="L62" i="3"/>
  <c r="L65" i="3" s="1"/>
  <c r="L39" i="3"/>
  <c r="L30" i="3"/>
  <c r="L76" i="1"/>
  <c r="Q62" i="3"/>
  <c r="Q65" i="3" s="1"/>
  <c r="R64" i="3" s="1"/>
  <c r="Q39" i="3"/>
  <c r="Q30" i="3"/>
  <c r="Q76" i="1"/>
  <c r="N70" i="1"/>
  <c r="S70" i="1"/>
  <c r="AU62" i="3"/>
  <c r="AU30" i="3"/>
  <c r="AU76" i="1"/>
  <c r="AU39" i="3"/>
  <c r="AU40" i="3" s="1"/>
  <c r="AT65" i="1"/>
  <c r="AT69" i="1"/>
  <c r="AL29" i="3"/>
  <c r="AO6" i="3"/>
  <c r="AO29" i="3" s="1"/>
  <c r="X70" i="1"/>
  <c r="AC70" i="1"/>
  <c r="AF39" i="3"/>
  <c r="AF40" i="3" s="1"/>
  <c r="AF76" i="1"/>
  <c r="AF30" i="3"/>
  <c r="AF62" i="3"/>
  <c r="AS39" i="3"/>
  <c r="AS40" i="3" s="1"/>
  <c r="AS76" i="1"/>
  <c r="AS30" i="3"/>
  <c r="AS62" i="3"/>
  <c r="AB29" i="3"/>
  <c r="AE6" i="3"/>
  <c r="AE29" i="3" s="1"/>
  <c r="AT6" i="3"/>
  <c r="AT29" i="3" s="1"/>
  <c r="AY68" i="1"/>
  <c r="V6" i="2"/>
  <c r="V65" i="3"/>
  <c r="W64" i="3" s="1"/>
  <c r="W70" i="1"/>
  <c r="AJ69" i="1"/>
  <c r="AJ65" i="1"/>
  <c r="AI70" i="1"/>
  <c r="AD70" i="1"/>
  <c r="X62" i="3"/>
  <c r="X76" i="1"/>
  <c r="X30" i="3"/>
  <c r="X39" i="3"/>
  <c r="T6" i="3"/>
  <c r="T29" i="3" s="1"/>
  <c r="AZ39" i="3"/>
  <c r="AZ40" i="3" s="1"/>
  <c r="AZ30" i="3"/>
  <c r="AZ62" i="3"/>
  <c r="AZ76" i="1"/>
  <c r="P69" i="1"/>
  <c r="P65" i="1"/>
  <c r="AQ53" i="1"/>
  <c r="AJ68" i="1"/>
  <c r="BI12" i="2"/>
  <c r="BJ68" i="3" s="1"/>
  <c r="BI9" i="2"/>
  <c r="BI10" i="2"/>
  <c r="BH5" i="1"/>
  <c r="AP3" i="23" s="1"/>
  <c r="BE50" i="2"/>
  <c r="BE49" i="2"/>
  <c r="BF49" i="2"/>
  <c r="BG8" i="1"/>
  <c r="BA29" i="3"/>
  <c r="BA70" i="1"/>
  <c r="BB43" i="1" l="1"/>
  <c r="AJ39" i="3"/>
  <c r="AJ40" i="3" s="1"/>
  <c r="AJ30" i="3"/>
  <c r="BF42" i="1"/>
  <c r="BF61" i="1" s="1"/>
  <c r="BF55" i="1"/>
  <c r="K53" i="1"/>
  <c r="AJ62" i="3"/>
  <c r="AE53" i="1"/>
  <c r="AJ53" i="1"/>
  <c r="BB58" i="1"/>
  <c r="BB67" i="1" s="1"/>
  <c r="AT53" i="1"/>
  <c r="E89" i="22"/>
  <c r="AY53" i="1"/>
  <c r="F89" i="22"/>
  <c r="BF107" i="1"/>
  <c r="BF108" i="1"/>
  <c r="BF109" i="1"/>
  <c r="BC110" i="1"/>
  <c r="BC111" i="1"/>
  <c r="BE110" i="1"/>
  <c r="BE111" i="1"/>
  <c r="BJ104" i="1"/>
  <c r="BK104" i="1"/>
  <c r="BB99" i="1"/>
  <c r="BC94" i="1"/>
  <c r="BC95" i="1" s="1"/>
  <c r="BC101" i="1"/>
  <c r="BH21" i="1"/>
  <c r="BH22" i="1" s="1"/>
  <c r="BB57" i="1"/>
  <c r="BF34" i="1"/>
  <c r="BK5" i="1"/>
  <c r="AR3" i="23" s="1"/>
  <c r="BK46" i="2"/>
  <c r="BK48" i="2"/>
  <c r="BK19" i="1"/>
  <c r="BK53" i="2"/>
  <c r="BK52" i="2"/>
  <c r="BK65" i="2"/>
  <c r="BI27" i="2"/>
  <c r="BJ65" i="2"/>
  <c r="BJ5" i="1"/>
  <c r="AQ3" i="23" s="1"/>
  <c r="BJ6" i="1"/>
  <c r="BJ13" i="1"/>
  <c r="BK6" i="1"/>
  <c r="BK13" i="1"/>
  <c r="AY39" i="3"/>
  <c r="AY40" i="3" s="1"/>
  <c r="AY62" i="3"/>
  <c r="AY76" i="1"/>
  <c r="BB63" i="1"/>
  <c r="N54" i="1"/>
  <c r="P53" i="1"/>
  <c r="U70" i="1"/>
  <c r="P70" i="1"/>
  <c r="AE30" i="3"/>
  <c r="AE62" i="3"/>
  <c r="AE39" i="3"/>
  <c r="AE76" i="1"/>
  <c r="AO76" i="1"/>
  <c r="AO30" i="3"/>
  <c r="AO39" i="3"/>
  <c r="AO40" i="3" s="1"/>
  <c r="AO62" i="3"/>
  <c r="Z62" i="3"/>
  <c r="Z65" i="3" s="1"/>
  <c r="AE64" i="3" s="1"/>
  <c r="Z76" i="1"/>
  <c r="Z39" i="3"/>
  <c r="Z30" i="3"/>
  <c r="R65" i="3"/>
  <c r="S64" i="3" s="1"/>
  <c r="S65" i="3" s="1"/>
  <c r="T64" i="3" s="1"/>
  <c r="AY70" i="1"/>
  <c r="AT70" i="1"/>
  <c r="AT62" i="3"/>
  <c r="AT76" i="1"/>
  <c r="AT30" i="3"/>
  <c r="AT39" i="3"/>
  <c r="AT40" i="3" s="1"/>
  <c r="BI9" i="3"/>
  <c r="T76" i="1"/>
  <c r="T62" i="3"/>
  <c r="T39" i="3"/>
  <c r="T30" i="3"/>
  <c r="Y32" i="3"/>
  <c r="AJ70" i="1"/>
  <c r="AO70" i="1"/>
  <c r="V11" i="2"/>
  <c r="V18" i="2" s="1"/>
  <c r="V77" i="1"/>
  <c r="V78" i="1" s="1"/>
  <c r="AB62" i="3"/>
  <c r="AB39" i="3"/>
  <c r="AB76" i="1"/>
  <c r="AB30" i="3"/>
  <c r="AL39" i="3"/>
  <c r="AL40" i="3" s="1"/>
  <c r="AL30" i="3"/>
  <c r="AL76" i="1"/>
  <c r="AL62" i="3"/>
  <c r="AL6" i="2" s="1"/>
  <c r="W30" i="3"/>
  <c r="W39" i="3"/>
  <c r="W76" i="1"/>
  <c r="W62" i="3"/>
  <c r="W65" i="3" s="1"/>
  <c r="X64" i="3" s="1"/>
  <c r="X65" i="3" s="1"/>
  <c r="Y64" i="3" s="1"/>
  <c r="Y65" i="3" s="1"/>
  <c r="AA64" i="3" s="1"/>
  <c r="AA65" i="3" s="1"/>
  <c r="AB64" i="3" s="1"/>
  <c r="BA76" i="1"/>
  <c r="BB64" i="1"/>
  <c r="BB52" i="1" s="1"/>
  <c r="BH48" i="2"/>
  <c r="BI28" i="2"/>
  <c r="BI26" i="2"/>
  <c r="BH31" i="2"/>
  <c r="BI24" i="2"/>
  <c r="BI25" i="2"/>
  <c r="BH31" i="1"/>
  <c r="BI8" i="2"/>
  <c r="BH46" i="2"/>
  <c r="BG19" i="1"/>
  <c r="BG5" i="1"/>
  <c r="AO3" i="23" s="1"/>
  <c r="BG6" i="1"/>
  <c r="BG13" i="1"/>
  <c r="BI4" i="1"/>
  <c r="BH13" i="1"/>
  <c r="BH6" i="1"/>
  <c r="BA30" i="3"/>
  <c r="BA39" i="3"/>
  <c r="BA40" i="3" s="1"/>
  <c r="BA62" i="3"/>
  <c r="BF43" i="1" l="1"/>
  <c r="BB59" i="1"/>
  <c r="BF63" i="1"/>
  <c r="BH33" i="1"/>
  <c r="BI38" i="1"/>
  <c r="BI54" i="4"/>
  <c r="BF110" i="1"/>
  <c r="BF111" i="1"/>
  <c r="BI11" i="1"/>
  <c r="BK50" i="2"/>
  <c r="BK22" i="1"/>
  <c r="BC99" i="1"/>
  <c r="BI104" i="1"/>
  <c r="BF57" i="1"/>
  <c r="BF58" i="1"/>
  <c r="BF67" i="1" s="1"/>
  <c r="BI27" i="1"/>
  <c r="BI28" i="1" s="1"/>
  <c r="BK31" i="1"/>
  <c r="BK33" i="1" s="1"/>
  <c r="BK26" i="3"/>
  <c r="BL26" i="3" s="1"/>
  <c r="BK31" i="2"/>
  <c r="BK40" i="2" s="1"/>
  <c r="BL52" i="2"/>
  <c r="BL53" i="2"/>
  <c r="BN27" i="2"/>
  <c r="BI26" i="3"/>
  <c r="BJ48" i="2"/>
  <c r="BJ105" i="1" s="1"/>
  <c r="BJ106" i="1" s="1"/>
  <c r="BJ31" i="2"/>
  <c r="BJ40" i="2" s="1"/>
  <c r="BJ46" i="2"/>
  <c r="BL7" i="1"/>
  <c r="BJ21" i="1"/>
  <c r="BJ22" i="1" s="1"/>
  <c r="BJ97" i="1"/>
  <c r="BK97" i="1"/>
  <c r="BG21" i="1"/>
  <c r="BG22" i="1" s="1"/>
  <c r="AB65" i="3"/>
  <c r="AC64" i="3" s="1"/>
  <c r="AC65" i="3" s="1"/>
  <c r="AD64" i="3" s="1"/>
  <c r="AD65" i="3" s="1"/>
  <c r="AE65" i="3"/>
  <c r="AJ64" i="3" s="1"/>
  <c r="AJ65" i="3" s="1"/>
  <c r="AO64" i="3" s="1"/>
  <c r="AO65" i="3" s="1"/>
  <c r="AT64" i="3" s="1"/>
  <c r="AT65" i="3" s="1"/>
  <c r="AY64" i="3" s="1"/>
  <c r="AY65" i="3" s="1"/>
  <c r="BD64" i="3" s="1"/>
  <c r="AL77" i="1"/>
  <c r="AL78" i="1" s="1"/>
  <c r="AL11" i="2"/>
  <c r="AL18" i="2" s="1"/>
  <c r="AL42" i="2" s="1"/>
  <c r="AL44" i="2" s="1"/>
  <c r="AL79" i="1"/>
  <c r="T65" i="3"/>
  <c r="BG88" i="1"/>
  <c r="BG12" i="1"/>
  <c r="BH34" i="1"/>
  <c r="BB68" i="1"/>
  <c r="BG48" i="2"/>
  <c r="BI5" i="1"/>
  <c r="O6" i="20" s="1"/>
  <c r="O8" i="20" s="1"/>
  <c r="BG31" i="1"/>
  <c r="BI29" i="1"/>
  <c r="BG31" i="2"/>
  <c r="BG40" i="2" s="1"/>
  <c r="BI21" i="3"/>
  <c r="BG97" i="1"/>
  <c r="BI25" i="1"/>
  <c r="BI26" i="1" s="1"/>
  <c r="BH40" i="2"/>
  <c r="BI40" i="2" s="1"/>
  <c r="BI31" i="2"/>
  <c r="BH50" i="2"/>
  <c r="BG46" i="2"/>
  <c r="BI25" i="3"/>
  <c r="BH97" i="1"/>
  <c r="BI28" i="3"/>
  <c r="BB65" i="1"/>
  <c r="BB69" i="1"/>
  <c r="BB70" i="1" s="1"/>
  <c r="BB6" i="3"/>
  <c r="BA77" i="1"/>
  <c r="BK42" i="1" l="1"/>
  <c r="BK61" i="1" s="1"/>
  <c r="BK63" i="1" s="1"/>
  <c r="BK55" i="1"/>
  <c r="BH42" i="1"/>
  <c r="BH61" i="1" s="1"/>
  <c r="BH55" i="1"/>
  <c r="BB53" i="1"/>
  <c r="BI47" i="4"/>
  <c r="BI58" i="4"/>
  <c r="BI51" i="4"/>
  <c r="BK105" i="1"/>
  <c r="BK106" i="1" s="1"/>
  <c r="BK107" i="1" s="1"/>
  <c r="BH49" i="2"/>
  <c r="BG105" i="1"/>
  <c r="BG106" i="1" s="1"/>
  <c r="BH105" i="1"/>
  <c r="BH106" i="1" s="1"/>
  <c r="BH107" i="1" s="1"/>
  <c r="BJ107" i="1"/>
  <c r="BF59" i="1"/>
  <c r="BF64" i="1"/>
  <c r="BF52" i="1" s="1"/>
  <c r="BK34" i="1"/>
  <c r="BF68" i="1"/>
  <c r="BM53" i="2"/>
  <c r="BM52" i="2"/>
  <c r="BN33" i="2"/>
  <c r="BJ50" i="2"/>
  <c r="BJ49" i="2"/>
  <c r="BK49" i="2"/>
  <c r="BJ33" i="1"/>
  <c r="BJ55" i="1" s="1"/>
  <c r="BL8" i="1"/>
  <c r="BG33" i="1"/>
  <c r="AF64" i="3"/>
  <c r="AF65" i="3" s="1"/>
  <c r="AG64" i="3" s="1"/>
  <c r="AG65" i="3" s="1"/>
  <c r="AH64" i="3" s="1"/>
  <c r="AH65" i="3" s="1"/>
  <c r="AI64" i="3" s="1"/>
  <c r="AI65" i="3" s="1"/>
  <c r="AK64" i="3" s="1"/>
  <c r="AK65" i="3" s="1"/>
  <c r="AL64" i="3" s="1"/>
  <c r="AL65" i="3" s="1"/>
  <c r="AM64" i="3" s="1"/>
  <c r="AM65" i="3" s="1"/>
  <c r="AN64" i="3" s="1"/>
  <c r="AN65" i="3" s="1"/>
  <c r="AP64" i="3" s="1"/>
  <c r="AP65" i="3" s="1"/>
  <c r="AQ64" i="3" s="1"/>
  <c r="AQ65" i="3" s="1"/>
  <c r="AR64" i="3" s="1"/>
  <c r="AR65" i="3" s="1"/>
  <c r="AS64" i="3" s="1"/>
  <c r="AS65" i="3" s="1"/>
  <c r="AU64" i="3" s="1"/>
  <c r="AU65" i="3" s="1"/>
  <c r="AV64" i="3" s="1"/>
  <c r="AV65" i="3" s="1"/>
  <c r="AW64" i="3" s="1"/>
  <c r="AW65" i="3" s="1"/>
  <c r="AX64" i="3" s="1"/>
  <c r="AX65" i="3" s="1"/>
  <c r="AZ64" i="3" s="1"/>
  <c r="AZ65" i="3" s="1"/>
  <c r="BI30" i="1"/>
  <c r="BI31" i="1"/>
  <c r="BB29" i="3"/>
  <c r="BB76" i="1" s="1"/>
  <c r="BI19" i="3"/>
  <c r="BI20" i="3"/>
  <c r="BI23" i="3"/>
  <c r="BI18" i="3"/>
  <c r="BG50" i="2"/>
  <c r="BG49" i="2"/>
  <c r="BA78" i="1"/>
  <c r="BA79" i="1"/>
  <c r="BA11" i="2"/>
  <c r="BA18" i="2" s="1"/>
  <c r="BA42" i="2" s="1"/>
  <c r="BA44" i="2" s="1"/>
  <c r="BH43" i="1" l="1"/>
  <c r="BK43" i="1"/>
  <c r="BG34" i="1"/>
  <c r="BG55" i="1"/>
  <c r="BK57" i="1"/>
  <c r="BH57" i="1"/>
  <c r="BH63" i="1"/>
  <c r="BK108" i="1"/>
  <c r="BK109" i="1"/>
  <c r="BK110" i="1" s="1"/>
  <c r="BH108" i="1"/>
  <c r="BJ109" i="1"/>
  <c r="BJ110" i="1" s="1"/>
  <c r="BH109" i="1"/>
  <c r="BJ108" i="1"/>
  <c r="BI106" i="1"/>
  <c r="BI107" i="1" s="1"/>
  <c r="BG107" i="1"/>
  <c r="BG108" i="1"/>
  <c r="BG109" i="1"/>
  <c r="BK58" i="1"/>
  <c r="BK67" i="1" s="1"/>
  <c r="BK64" i="1"/>
  <c r="BO53" i="2"/>
  <c r="BO52" i="2"/>
  <c r="BL104" i="1"/>
  <c r="BF6" i="3"/>
  <c r="BF65" i="1"/>
  <c r="BF69" i="1"/>
  <c r="BF70" i="1" s="1"/>
  <c r="BM26" i="3"/>
  <c r="BA64" i="3"/>
  <c r="BA65" i="3" s="1"/>
  <c r="AZ66" i="3"/>
  <c r="BL65" i="2"/>
  <c r="BJ42" i="1"/>
  <c r="BJ34" i="1"/>
  <c r="BL13" i="1"/>
  <c r="BL19" i="1"/>
  <c r="BL5" i="1"/>
  <c r="AS3" i="23" s="1"/>
  <c r="BL6" i="1"/>
  <c r="BG42" i="1"/>
  <c r="BG61" i="1" s="1"/>
  <c r="BB39" i="3"/>
  <c r="BB40" i="3" s="1"/>
  <c r="BB30" i="3"/>
  <c r="BB62" i="3"/>
  <c r="BK6" i="3" l="1"/>
  <c r="BK29" i="3" s="1"/>
  <c r="BK39" i="3" s="1"/>
  <c r="BK40" i="3" s="1"/>
  <c r="BK52" i="1"/>
  <c r="BJ61" i="1"/>
  <c r="BJ63" i="1" s="1"/>
  <c r="BG63" i="1"/>
  <c r="BJ57" i="1"/>
  <c r="BF53" i="1"/>
  <c r="BF29" i="3"/>
  <c r="BF76" i="1" s="1"/>
  <c r="BK111" i="1"/>
  <c r="BJ111" i="1"/>
  <c r="BH110" i="1"/>
  <c r="BH111" i="1"/>
  <c r="BG110" i="1"/>
  <c r="BG111" i="1"/>
  <c r="BK69" i="1"/>
  <c r="BK70" i="1" s="1"/>
  <c r="BK65" i="1"/>
  <c r="BK59" i="1"/>
  <c r="BK68" i="1"/>
  <c r="BP52" i="2"/>
  <c r="BP53" i="2"/>
  <c r="BS27" i="2"/>
  <c r="BT26" i="3" s="1"/>
  <c r="BX26" i="3" s="1"/>
  <c r="BH64" i="1"/>
  <c r="BN26" i="3"/>
  <c r="BB64" i="3"/>
  <c r="BB65" i="3" s="1"/>
  <c r="BB66" i="3" s="1"/>
  <c r="BA66" i="3"/>
  <c r="BN9" i="3"/>
  <c r="BL48" i="2"/>
  <c r="BL105" i="1" s="1"/>
  <c r="BL106" i="1" s="1"/>
  <c r="BL31" i="2"/>
  <c r="BL40" i="2" s="1"/>
  <c r="BL46" i="2"/>
  <c r="BL12" i="1"/>
  <c r="BL88" i="1"/>
  <c r="BL21" i="1"/>
  <c r="BL22" i="1" s="1"/>
  <c r="BL97" i="1"/>
  <c r="BL31" i="1"/>
  <c r="BJ43" i="1"/>
  <c r="BG43" i="1"/>
  <c r="BB77" i="1"/>
  <c r="BK30" i="3" l="1"/>
  <c r="BK62" i="3"/>
  <c r="BK76" i="1"/>
  <c r="BH69" i="1"/>
  <c r="BH52" i="1"/>
  <c r="BK53" i="1"/>
  <c r="BF30" i="3"/>
  <c r="BF62" i="3"/>
  <c r="BF39" i="3"/>
  <c r="BF40" i="3" s="1"/>
  <c r="BJ58" i="1"/>
  <c r="BJ59" i="1" s="1"/>
  <c r="BQ53" i="2"/>
  <c r="BQ52" i="2"/>
  <c r="BH65" i="1"/>
  <c r="BL107" i="1"/>
  <c r="BL108" i="1"/>
  <c r="BL109" i="1"/>
  <c r="BC64" i="3"/>
  <c r="BN12" i="2"/>
  <c r="BO68" i="3" s="1"/>
  <c r="BL33" i="1"/>
  <c r="BL50" i="2"/>
  <c r="BL49" i="2"/>
  <c r="BB79" i="1"/>
  <c r="BB78" i="1"/>
  <c r="BG64" i="1"/>
  <c r="BB11" i="2"/>
  <c r="BB18" i="2" s="1"/>
  <c r="BB42" i="2" s="1"/>
  <c r="BB44" i="2" s="1"/>
  <c r="BG52" i="1" l="1"/>
  <c r="BG6" i="3"/>
  <c r="BG29" i="3" s="1"/>
  <c r="BL34" i="1"/>
  <c r="BL55" i="1"/>
  <c r="BH53" i="1"/>
  <c r="BQ104" i="1"/>
  <c r="BJ67" i="1"/>
  <c r="BS33" i="2"/>
  <c r="BR53" i="2"/>
  <c r="BR52" i="2"/>
  <c r="BQ19" i="1"/>
  <c r="BQ5" i="1"/>
  <c r="AW3" i="23" s="1"/>
  <c r="BL110" i="1"/>
  <c r="BL111" i="1"/>
  <c r="BG65" i="1"/>
  <c r="BG69" i="1"/>
  <c r="BG70" i="1" s="1"/>
  <c r="BL42" i="1"/>
  <c r="BL61" i="1" s="1"/>
  <c r="BJ64" i="1"/>
  <c r="BJ69" i="1" l="1"/>
  <c r="BJ52" i="1"/>
  <c r="BL57" i="1"/>
  <c r="BL63" i="1"/>
  <c r="BG53" i="1"/>
  <c r="BT65" i="2"/>
  <c r="BT48" i="2"/>
  <c r="BY50" i="2" s="1"/>
  <c r="BT40" i="2"/>
  <c r="BL58" i="1"/>
  <c r="BL59" i="1" s="1"/>
  <c r="BJ6" i="3"/>
  <c r="BQ88" i="1"/>
  <c r="BQ12" i="1"/>
  <c r="BQ48" i="2"/>
  <c r="BQ46" i="2"/>
  <c r="BR26" i="3"/>
  <c r="BQ21" i="1"/>
  <c r="BQ22" i="1" s="1"/>
  <c r="BQ31" i="1"/>
  <c r="BQ31" i="2"/>
  <c r="BQ40" i="2" s="1"/>
  <c r="BG76" i="1"/>
  <c r="BL43" i="1"/>
  <c r="BJ65" i="1"/>
  <c r="BJ53" i="1" l="1"/>
  <c r="BJ29" i="3"/>
  <c r="BJ76" i="1" s="1"/>
  <c r="BV5" i="1"/>
  <c r="BA3" i="23" s="1"/>
  <c r="BV104" i="1"/>
  <c r="BV10" i="1"/>
  <c r="BL67" i="1"/>
  <c r="BQ33" i="1"/>
  <c r="BQ55" i="1" s="1"/>
  <c r="BS26" i="3"/>
  <c r="BG39" i="3"/>
  <c r="BG40" i="3" s="1"/>
  <c r="BQ50" i="2"/>
  <c r="BG30" i="3"/>
  <c r="BG62" i="3"/>
  <c r="BL64" i="1"/>
  <c r="BV14" i="1" l="1"/>
  <c r="BV15" i="1" s="1"/>
  <c r="CA15" i="1"/>
  <c r="BL6" i="3"/>
  <c r="BL29" i="3" s="1"/>
  <c r="BL76" i="1" s="1"/>
  <c r="BL52" i="1"/>
  <c r="BQ42" i="1"/>
  <c r="BJ39" i="3"/>
  <c r="BJ40" i="3" s="1"/>
  <c r="BV18" i="1"/>
  <c r="BJ30" i="3"/>
  <c r="BJ62" i="3"/>
  <c r="BV22" i="1"/>
  <c r="BV65" i="2"/>
  <c r="BV48" i="2"/>
  <c r="BV31" i="2"/>
  <c r="BV40" i="2" s="1"/>
  <c r="BV46" i="2"/>
  <c r="BV88" i="1"/>
  <c r="BV12" i="1"/>
  <c r="BV31" i="1"/>
  <c r="BQ34" i="1"/>
  <c r="BL69" i="1"/>
  <c r="BL70" i="1" s="1"/>
  <c r="BL65" i="1"/>
  <c r="BC21" i="1"/>
  <c r="BQ61" i="1" l="1"/>
  <c r="BQ43" i="1"/>
  <c r="BL53" i="1"/>
  <c r="BV7" i="1"/>
  <c r="BV8" i="1" s="1"/>
  <c r="BV19" i="1"/>
  <c r="BV33" i="1"/>
  <c r="BV55" i="1" s="1"/>
  <c r="CA65" i="2"/>
  <c r="CA5" i="1"/>
  <c r="BE3" i="23" s="1"/>
  <c r="BV50" i="2"/>
  <c r="BX33" i="2"/>
  <c r="BS12" i="2"/>
  <c r="BT68" i="3" s="1"/>
  <c r="BL62" i="3"/>
  <c r="BL30" i="3"/>
  <c r="BL39" i="3"/>
  <c r="BL40" i="3" s="1"/>
  <c r="BC33" i="1"/>
  <c r="BC55" i="1" s="1"/>
  <c r="BC22" i="1"/>
  <c r="BD20" i="1"/>
  <c r="BD21" i="1" s="1"/>
  <c r="BQ63" i="1" l="1"/>
  <c r="BQ64" i="1"/>
  <c r="BQ69" i="1" s="1"/>
  <c r="BQ70" i="1" s="1"/>
  <c r="BC57" i="1"/>
  <c r="BV34" i="1"/>
  <c r="CA18" i="1"/>
  <c r="CA21" i="1"/>
  <c r="CA22" i="1" s="1"/>
  <c r="CA12" i="1"/>
  <c r="BV42" i="1"/>
  <c r="BV61" i="1" s="1"/>
  <c r="BS9" i="3"/>
  <c r="BC42" i="1"/>
  <c r="BC34" i="1"/>
  <c r="BD33" i="1"/>
  <c r="BD55" i="1" s="1"/>
  <c r="BD22" i="1"/>
  <c r="K68" i="19" s="1"/>
  <c r="BQ65" i="1" l="1"/>
  <c r="BQ52" i="1"/>
  <c r="BQ53" i="1" s="1"/>
  <c r="BC43" i="1"/>
  <c r="BC61" i="1"/>
  <c r="BV58" i="1"/>
  <c r="BV59" i="1" s="1"/>
  <c r="CA7" i="1"/>
  <c r="CA8" i="1" s="1"/>
  <c r="CA19" i="1"/>
  <c r="CA33" i="1"/>
  <c r="BV57" i="1"/>
  <c r="BV43" i="1"/>
  <c r="BD56" i="1"/>
  <c r="BC58" i="1"/>
  <c r="BD42" i="1"/>
  <c r="BD61" i="1" s="1"/>
  <c r="BD34" i="1"/>
  <c r="CA55" i="1" l="1"/>
  <c r="BC63" i="1"/>
  <c r="BV63" i="1"/>
  <c r="CF38" i="1"/>
  <c r="CA34" i="1"/>
  <c r="F31" i="15" s="1"/>
  <c r="CA42" i="1"/>
  <c r="CF18" i="1"/>
  <c r="CF7" i="1" s="1"/>
  <c r="CF8" i="1" s="1"/>
  <c r="CF5" i="1"/>
  <c r="BI3" i="23" s="1"/>
  <c r="BV64" i="1"/>
  <c r="BV52" i="1" s="1"/>
  <c r="BV67" i="1"/>
  <c r="BC64" i="1"/>
  <c r="BD58" i="1"/>
  <c r="BD59" i="1" s="1"/>
  <c r="BC67" i="1"/>
  <c r="BC59" i="1"/>
  <c r="BD43" i="1"/>
  <c r="BD62" i="1"/>
  <c r="BD57" i="1"/>
  <c r="BC6" i="3" l="1"/>
  <c r="BD6" i="3" s="1"/>
  <c r="BD29" i="3" s="1"/>
  <c r="BC52" i="1"/>
  <c r="BD52" i="1" s="1"/>
  <c r="CA43" i="1"/>
  <c r="CA61" i="1"/>
  <c r="CA58" i="1"/>
  <c r="CA59" i="1" s="1"/>
  <c r="CA57" i="1"/>
  <c r="CF19" i="1"/>
  <c r="CF21" i="1"/>
  <c r="CF22" i="1" s="1"/>
  <c r="CF12" i="1"/>
  <c r="CF40" i="1"/>
  <c r="CF48" i="2"/>
  <c r="CF46" i="2"/>
  <c r="CF31" i="1"/>
  <c r="CF31" i="2"/>
  <c r="CF40" i="2" s="1"/>
  <c r="BV65" i="1"/>
  <c r="BV69" i="1"/>
  <c r="BV70" i="1" s="1"/>
  <c r="BC69" i="1"/>
  <c r="BC70" i="1" s="1"/>
  <c r="BC65" i="1"/>
  <c r="BD67" i="1"/>
  <c r="BD68" i="1" s="1"/>
  <c r="BD63" i="1"/>
  <c r="BC68" i="1"/>
  <c r="BD64" i="1"/>
  <c r="BC29" i="3" l="1"/>
  <c r="BC30" i="3" s="1"/>
  <c r="CA67" i="1"/>
  <c r="F23" i="15" s="1"/>
  <c r="BC53" i="1"/>
  <c r="CG49" i="2"/>
  <c r="CK50" i="2"/>
  <c r="CF33" i="1"/>
  <c r="CA63" i="1"/>
  <c r="CA64" i="1"/>
  <c r="CA52" i="1" s="1"/>
  <c r="BH70" i="1"/>
  <c r="BD76" i="1"/>
  <c r="BD65" i="1"/>
  <c r="BD69" i="1"/>
  <c r="BD30" i="3"/>
  <c r="BD62" i="3"/>
  <c r="BD39" i="3"/>
  <c r="BD40" i="3" s="1"/>
  <c r="BC76" i="1" l="1"/>
  <c r="BC39" i="3"/>
  <c r="BC40" i="3" s="1"/>
  <c r="BC62" i="3"/>
  <c r="BC65" i="3" s="1"/>
  <c r="CA68" i="1"/>
  <c r="CF42" i="1"/>
  <c r="CF61" i="1" s="1"/>
  <c r="CF55" i="1"/>
  <c r="G89" i="22"/>
  <c r="P21" i="15"/>
  <c r="CF34" i="1"/>
  <c r="K31" i="15" s="1"/>
  <c r="CK75" i="1"/>
  <c r="CA6" i="3"/>
  <c r="CA65" i="1"/>
  <c r="CA69" i="1"/>
  <c r="CA70" i="1" s="1"/>
  <c r="BD65" i="3"/>
  <c r="BC77" i="1"/>
  <c r="BD70" i="1"/>
  <c r="BD53" i="1"/>
  <c r="CF43" i="1" l="1"/>
  <c r="CF57" i="1"/>
  <c r="CF63" i="1"/>
  <c r="CA53" i="1"/>
  <c r="CF58" i="1"/>
  <c r="BI64" i="3"/>
  <c r="BE64" i="3"/>
  <c r="BC66" i="3"/>
  <c r="BC79" i="1"/>
  <c r="BC78" i="1"/>
  <c r="BC11" i="2"/>
  <c r="BD6" i="2"/>
  <c r="CF64" i="1" l="1"/>
  <c r="CF52" i="1" s="1"/>
  <c r="CF67" i="1"/>
  <c r="CF59" i="1"/>
  <c r="BC18" i="2"/>
  <c r="BD11" i="2"/>
  <c r="K23" i="15" l="1"/>
  <c r="P31" i="15"/>
  <c r="CF69" i="1"/>
  <c r="CF65" i="1"/>
  <c r="CF68" i="1"/>
  <c r="CF53" i="1"/>
  <c r="CF6" i="3"/>
  <c r="BD18" i="2"/>
  <c r="BD42" i="2" s="1"/>
  <c r="BD44" i="2" s="1"/>
  <c r="BC42" i="2"/>
  <c r="BC44" i="2" s="1"/>
  <c r="CF70" i="1" l="1"/>
  <c r="CF29" i="3"/>
  <c r="CF76" i="1" s="1"/>
  <c r="BE21" i="1"/>
  <c r="BI20" i="1"/>
  <c r="BI21" i="1" s="1"/>
  <c r="BE33" i="1" l="1"/>
  <c r="BE55" i="1" s="1"/>
  <c r="BE22" i="1"/>
  <c r="BI33" i="1"/>
  <c r="BI55" i="1" s="1"/>
  <c r="BI22" i="1"/>
  <c r="L68" i="19" s="1"/>
  <c r="BE57" i="1" l="1"/>
  <c r="BE42" i="1"/>
  <c r="BE61" i="1" s="1"/>
  <c r="BE34" i="1"/>
  <c r="BI42" i="1"/>
  <c r="BI61" i="1" s="1"/>
  <c r="BI34" i="1"/>
  <c r="BE63" i="1" l="1"/>
  <c r="BE43" i="1"/>
  <c r="BI43" i="1"/>
  <c r="BE58" i="1"/>
  <c r="BE67" i="1" l="1"/>
  <c r="BE59" i="1"/>
  <c r="BI62" i="1"/>
  <c r="BI63" i="1" s="1"/>
  <c r="BE64" i="1"/>
  <c r="BE52" i="1" s="1"/>
  <c r="BI52" i="1" s="1"/>
  <c r="BI64" i="1" l="1"/>
  <c r="BE6" i="3"/>
  <c r="BE65" i="1"/>
  <c r="BE69" i="1"/>
  <c r="BE68" i="1"/>
  <c r="BJ68" i="1"/>
  <c r="BE53" i="1" l="1"/>
  <c r="BH6" i="3"/>
  <c r="BH29" i="3" s="1"/>
  <c r="BH30" i="3" s="1"/>
  <c r="BE29" i="3"/>
  <c r="BJ70" i="1"/>
  <c r="BE70" i="1"/>
  <c r="BI65" i="1"/>
  <c r="BI69" i="1"/>
  <c r="H89" i="22" l="1"/>
  <c r="BI6" i="3"/>
  <c r="BI29" i="3" s="1"/>
  <c r="BI76" i="1" s="1"/>
  <c r="BH62" i="3"/>
  <c r="BH76" i="1"/>
  <c r="BH39" i="3"/>
  <c r="BH40" i="3" s="1"/>
  <c r="BI53" i="1"/>
  <c r="BE76" i="1"/>
  <c r="BE62" i="3"/>
  <c r="BE30" i="3"/>
  <c r="BE39" i="3"/>
  <c r="BE40" i="3" s="1"/>
  <c r="BI70" i="1"/>
  <c r="BI30" i="3" l="1"/>
  <c r="BI39" i="3"/>
  <c r="BI40" i="3" s="1"/>
  <c r="BI62" i="3"/>
  <c r="BI65" i="3" s="1"/>
  <c r="BN64" i="3" s="1"/>
  <c r="BE77" i="1"/>
  <c r="BE65" i="3"/>
  <c r="BF64" i="3" l="1"/>
  <c r="BF65" i="3" s="1"/>
  <c r="BG64" i="3" s="1"/>
  <c r="BE79" i="1"/>
  <c r="BE78" i="1"/>
  <c r="BE11" i="2"/>
  <c r="BE18" i="2" s="1"/>
  <c r="BE42" i="2" s="1"/>
  <c r="BE44" i="2" s="1"/>
  <c r="BG65" i="3" l="1"/>
  <c r="BF11" i="2"/>
  <c r="BF18" i="2" s="1"/>
  <c r="BF42" i="2" s="1"/>
  <c r="BF44" i="2" s="1"/>
  <c r="BH64" i="3" l="1"/>
  <c r="BH65" i="3" s="1"/>
  <c r="BG11" i="2"/>
  <c r="BG18" i="2" s="1"/>
  <c r="BG42" i="2" s="1"/>
  <c r="BG44" i="2" s="1"/>
  <c r="BJ64" i="3" l="1"/>
  <c r="BJ65" i="3" s="1"/>
  <c r="BI6" i="2"/>
  <c r="BH11" i="2"/>
  <c r="BK64" i="3" l="1"/>
  <c r="BK65" i="3" s="1"/>
  <c r="BI11" i="2"/>
  <c r="BH18" i="2"/>
  <c r="BJ11" i="2" l="1"/>
  <c r="BJ18" i="2" s="1"/>
  <c r="BL64" i="3"/>
  <c r="BL65" i="3" s="1"/>
  <c r="BI18" i="2"/>
  <c r="BI42" i="2" s="1"/>
  <c r="BI44" i="2" s="1"/>
  <c r="BH42" i="2"/>
  <c r="BH44" i="2" s="1"/>
  <c r="BK11" i="2"/>
  <c r="BK18" i="2" l="1"/>
  <c r="BK42" i="2" s="1"/>
  <c r="BK44" i="2" s="1"/>
  <c r="BJ42" i="2"/>
  <c r="BJ44" i="2" s="1"/>
  <c r="BM64" i="3"/>
  <c r="BL11" i="2"/>
  <c r="BL18" i="2" l="1"/>
  <c r="BL42" i="2" s="1"/>
  <c r="BL44" i="2" s="1"/>
  <c r="BG57" i="1"/>
  <c r="BG58" i="1"/>
  <c r="BG67" i="1" s="1"/>
  <c r="BG59" i="1" l="1"/>
  <c r="BG68" i="1"/>
  <c r="BL68" i="1"/>
  <c r="BH58" i="1" l="1"/>
  <c r="BH67" i="1" s="1"/>
  <c r="BI56" i="1"/>
  <c r="BI57" i="1" s="1"/>
  <c r="BH59" i="1" l="1"/>
  <c r="BI58" i="1"/>
  <c r="BI67" i="1" s="1"/>
  <c r="BH68" i="1"/>
  <c r="BI59" i="1" l="1"/>
  <c r="BI68" i="1"/>
  <c r="BK88" i="1" l="1"/>
  <c r="BP19" i="1" l="1"/>
  <c r="BQ6" i="1"/>
  <c r="BQ13" i="1"/>
  <c r="BP5" i="1"/>
  <c r="AV3" i="23" s="1"/>
  <c r="BP104" i="1"/>
  <c r="BP21" i="1" l="1"/>
  <c r="BP22" i="1" s="1"/>
  <c r="BP31" i="1"/>
  <c r="BP48" i="2"/>
  <c r="BP31" i="2"/>
  <c r="BP40" i="2" s="1"/>
  <c r="BP46" i="2"/>
  <c r="BP12" i="1"/>
  <c r="BP88" i="1"/>
  <c r="BP33" i="1" l="1"/>
  <c r="BP55" i="1" s="1"/>
  <c r="BQ105" i="1"/>
  <c r="BQ106" i="1" s="1"/>
  <c r="BP50" i="2"/>
  <c r="BQ49" i="2"/>
  <c r="BQ76" i="1"/>
  <c r="BP34" i="1" l="1"/>
  <c r="BP42" i="1"/>
  <c r="BP61" i="1" s="1"/>
  <c r="BU65" i="2"/>
  <c r="BU5" i="1"/>
  <c r="AZ3" i="23" s="1"/>
  <c r="BU10" i="1"/>
  <c r="BU104" i="1"/>
  <c r="BU13" i="1"/>
  <c r="BU6" i="1"/>
  <c r="BV6" i="1"/>
  <c r="BV13" i="1"/>
  <c r="BQ107" i="1"/>
  <c r="BQ62" i="3"/>
  <c r="BQ30" i="3"/>
  <c r="BQ39" i="3"/>
  <c r="BQ40" i="3" s="1"/>
  <c r="BU14" i="1" l="1"/>
  <c r="BU15" i="1" s="1"/>
  <c r="BZ15" i="1"/>
  <c r="BP43" i="1"/>
  <c r="BP63" i="1"/>
  <c r="BZ7" i="1"/>
  <c r="BU18" i="1"/>
  <c r="BU31" i="2"/>
  <c r="BU40" i="2" s="1"/>
  <c r="BU46" i="2"/>
  <c r="BU48" i="2"/>
  <c r="BU12" i="1"/>
  <c r="BU88" i="1"/>
  <c r="BU31" i="1"/>
  <c r="BF12" i="1"/>
  <c r="BK12" i="1"/>
  <c r="BF18" i="1"/>
  <c r="BF19" i="1" s="1"/>
  <c r="BF88" i="1"/>
  <c r="BK7" i="1"/>
  <c r="BK8" i="1" s="1"/>
  <c r="BF11" i="1"/>
  <c r="BP64" i="1" l="1"/>
  <c r="BP52" i="1" s="1"/>
  <c r="BU19" i="1"/>
  <c r="BU33" i="1"/>
  <c r="BU55" i="1" s="1"/>
  <c r="BZ8" i="1"/>
  <c r="BU105" i="1"/>
  <c r="BU106" i="1" s="1"/>
  <c r="BU50" i="2"/>
  <c r="BU49" i="2"/>
  <c r="BV49" i="2"/>
  <c r="BV105" i="1"/>
  <c r="BV106" i="1" s="1"/>
  <c r="BV107" i="1" s="1"/>
  <c r="BF7" i="1"/>
  <c r="BF8" i="1" s="1"/>
  <c r="BO19" i="1"/>
  <c r="BO65" i="2"/>
  <c r="BP13" i="1"/>
  <c r="BO5" i="1"/>
  <c r="AU3" i="23" s="1"/>
  <c r="BP6" i="1"/>
  <c r="BO104" i="1"/>
  <c r="BP69" i="1" l="1"/>
  <c r="BP70" i="1" s="1"/>
  <c r="BP65" i="1"/>
  <c r="BU42" i="1"/>
  <c r="BU34" i="1"/>
  <c r="BZ65" i="2"/>
  <c r="BZ5" i="1"/>
  <c r="BD3" i="23" s="1"/>
  <c r="BZ19" i="1"/>
  <c r="CA13" i="1"/>
  <c r="BZ13" i="1"/>
  <c r="CA6" i="1"/>
  <c r="BZ6" i="1"/>
  <c r="BV108" i="1"/>
  <c r="BO21" i="1"/>
  <c r="BO22" i="1" s="1"/>
  <c r="BO48" i="2"/>
  <c r="BO88" i="1"/>
  <c r="BO46" i="2"/>
  <c r="BO31" i="2"/>
  <c r="BO40" i="2" s="1"/>
  <c r="BO31" i="1"/>
  <c r="BU43" i="1" l="1"/>
  <c r="BU61" i="1"/>
  <c r="BU57" i="1"/>
  <c r="BP53" i="1"/>
  <c r="BO33" i="1"/>
  <c r="BO55" i="1" s="1"/>
  <c r="BZ21" i="1"/>
  <c r="BZ22" i="1" s="1"/>
  <c r="BZ48" i="2"/>
  <c r="BZ12" i="1"/>
  <c r="BZ46" i="2"/>
  <c r="BZ31" i="2"/>
  <c r="BZ40" i="2" s="1"/>
  <c r="BU58" i="1"/>
  <c r="BU59" i="1" s="1"/>
  <c r="BP105" i="1"/>
  <c r="BP106" i="1" s="1"/>
  <c r="BT50" i="2"/>
  <c r="BP49" i="2"/>
  <c r="BO50" i="2"/>
  <c r="BO42" i="1" l="1"/>
  <c r="BU63" i="1"/>
  <c r="BO57" i="1"/>
  <c r="BO34" i="1"/>
  <c r="BZ33" i="1"/>
  <c r="BZ50" i="2"/>
  <c r="BZ49" i="2"/>
  <c r="BU67" i="1"/>
  <c r="BP76" i="1"/>
  <c r="BP3" i="3"/>
  <c r="BU64" i="1"/>
  <c r="BU52" i="1" s="1"/>
  <c r="BQ108" i="1"/>
  <c r="BU107" i="1"/>
  <c r="BP107" i="1"/>
  <c r="BP39" i="3"/>
  <c r="BP40" i="3" s="1"/>
  <c r="BP30" i="3"/>
  <c r="BP62" i="3"/>
  <c r="BZ55" i="1" l="1"/>
  <c r="BO43" i="1"/>
  <c r="BO61" i="1"/>
  <c r="BO63" i="1" s="1"/>
  <c r="BO41" i="1"/>
  <c r="CE38" i="1"/>
  <c r="CE65" i="2"/>
  <c r="CE6" i="1"/>
  <c r="CE5" i="1"/>
  <c r="BH3" i="23" s="1"/>
  <c r="CE13" i="1"/>
  <c r="CF13" i="1"/>
  <c r="CF6" i="1"/>
  <c r="BZ34" i="1"/>
  <c r="E31" i="15" s="1"/>
  <c r="BZ42" i="1"/>
  <c r="BU6" i="3"/>
  <c r="BU29" i="3" s="1"/>
  <c r="BU69" i="1"/>
  <c r="BU65" i="1"/>
  <c r="BO58" i="1"/>
  <c r="BO64" i="1" l="1"/>
  <c r="BO52" i="1" s="1"/>
  <c r="BZ57" i="1"/>
  <c r="BZ43" i="1"/>
  <c r="BZ61" i="1"/>
  <c r="CE18" i="1"/>
  <c r="CE40" i="1"/>
  <c r="CE46" i="2"/>
  <c r="CE31" i="2"/>
  <c r="CE40" i="2" s="1"/>
  <c r="CE48" i="2"/>
  <c r="CE12" i="1"/>
  <c r="BZ58" i="1"/>
  <c r="BU70" i="1"/>
  <c r="BO59" i="1"/>
  <c r="BO67" i="1"/>
  <c r="CE7" i="1" l="1"/>
  <c r="CE8" i="1" s="1"/>
  <c r="CE19" i="1"/>
  <c r="CE33" i="1"/>
  <c r="CE55" i="1" s="1"/>
  <c r="BZ63" i="1"/>
  <c r="BZ64" i="1"/>
  <c r="BZ52" i="1" s="1"/>
  <c r="CE50" i="2"/>
  <c r="CE49" i="2"/>
  <c r="CF49" i="2"/>
  <c r="BT68" i="1"/>
  <c r="BZ67" i="1"/>
  <c r="E23" i="15" s="1"/>
  <c r="BZ59" i="1"/>
  <c r="BO69" i="1"/>
  <c r="BO65" i="1"/>
  <c r="BO68" i="1"/>
  <c r="BE12" i="1"/>
  <c r="BE18" i="1"/>
  <c r="BE19" i="1" s="1"/>
  <c r="BE11" i="1"/>
  <c r="BE88" i="1"/>
  <c r="BE89" i="1" s="1"/>
  <c r="CE42" i="1" l="1"/>
  <c r="CE61" i="1" s="1"/>
  <c r="CE34" i="1"/>
  <c r="J31" i="15" s="1"/>
  <c r="CF30" i="3"/>
  <c r="CF62" i="3"/>
  <c r="CF39" i="3"/>
  <c r="CF40" i="3" s="1"/>
  <c r="BZ69" i="1"/>
  <c r="BZ70" i="1" s="1"/>
  <c r="BZ68" i="1"/>
  <c r="BZ65" i="1"/>
  <c r="BZ6" i="3"/>
  <c r="BZ29" i="3" s="1"/>
  <c r="BZ76" i="1" s="1"/>
  <c r="BO53" i="1"/>
  <c r="BO70" i="1"/>
  <c r="BT70" i="1"/>
  <c r="BF89" i="1"/>
  <c r="BF92" i="1" s="1"/>
  <c r="BE92" i="1"/>
  <c r="BE93" i="1" s="1"/>
  <c r="BE90" i="1"/>
  <c r="BE7" i="1"/>
  <c r="BG89" i="1"/>
  <c r="CE63" i="1" l="1"/>
  <c r="CE57" i="1"/>
  <c r="CE43" i="1"/>
  <c r="CE58" i="1"/>
  <c r="BZ30" i="3"/>
  <c r="BZ53" i="1"/>
  <c r="BZ39" i="3"/>
  <c r="BZ40" i="3" s="1"/>
  <c r="BZ62" i="3"/>
  <c r="BF90" i="1"/>
  <c r="BF101" i="1" s="1"/>
  <c r="BF93" i="1"/>
  <c r="BG92" i="1"/>
  <c r="BG93" i="1" s="1"/>
  <c r="BG90" i="1"/>
  <c r="BE101" i="1"/>
  <c r="BE94" i="1"/>
  <c r="BE8" i="1"/>
  <c r="CE64" i="1" l="1"/>
  <c r="CE52" i="1" s="1"/>
  <c r="CE67" i="1"/>
  <c r="J23" i="15" s="1"/>
  <c r="CE59" i="1"/>
  <c r="BZ11" i="2"/>
  <c r="BF94" i="1"/>
  <c r="BF99" i="1" s="1"/>
  <c r="BG101" i="1"/>
  <c r="BG94" i="1"/>
  <c r="BE95" i="1"/>
  <c r="BE99" i="1"/>
  <c r="CE6" i="3" l="1"/>
  <c r="CE69" i="1"/>
  <c r="CE70" i="1" s="1"/>
  <c r="CE65" i="1"/>
  <c r="CE68" i="1"/>
  <c r="BZ18" i="2"/>
  <c r="BZ42" i="2" s="1"/>
  <c r="BZ44" i="2" s="1"/>
  <c r="BF95" i="1"/>
  <c r="BG99" i="1"/>
  <c r="BG95" i="1"/>
  <c r="BI12" i="1"/>
  <c r="CE29" i="3" l="1"/>
  <c r="CE76" i="1" s="1"/>
  <c r="CG6" i="3"/>
  <c r="CE53" i="1"/>
  <c r="BN14" i="1"/>
  <c r="BN15" i="1" s="1"/>
  <c r="BH11" i="1"/>
  <c r="BH12" i="1"/>
  <c r="BH18" i="1"/>
  <c r="BH88" i="1"/>
  <c r="CE39" i="3" l="1"/>
  <c r="CE40" i="3" s="1"/>
  <c r="CE30" i="3"/>
  <c r="CE62" i="3"/>
  <c r="BI18" i="1"/>
  <c r="BH19" i="1"/>
  <c r="BH7" i="1"/>
  <c r="BH89" i="1"/>
  <c r="BI7" i="1" l="1"/>
  <c r="BI8" i="1" s="1"/>
  <c r="BH8" i="1"/>
  <c r="BH92" i="1"/>
  <c r="BH93" i="1" s="1"/>
  <c r="BH90" i="1"/>
  <c r="BM104" i="1"/>
  <c r="BM13" i="1"/>
  <c r="BM22" i="1"/>
  <c r="BM65" i="2"/>
  <c r="BM6" i="1"/>
  <c r="BM5" i="1"/>
  <c r="AT3" i="23" s="1"/>
  <c r="BO13" i="1"/>
  <c r="BO6" i="1"/>
  <c r="BN4" i="1"/>
  <c r="BN38" i="1" l="1"/>
  <c r="BN54" i="4"/>
  <c r="BN20" i="1"/>
  <c r="BN21" i="1" s="1"/>
  <c r="BN27" i="1"/>
  <c r="BN28" i="1" s="1"/>
  <c r="Q29" i="24" s="1"/>
  <c r="BN20" i="3"/>
  <c r="BN9" i="2"/>
  <c r="BN18" i="3"/>
  <c r="BM46" i="2"/>
  <c r="BN8" i="2"/>
  <c r="BM48" i="2"/>
  <c r="BN28" i="2"/>
  <c r="BN5" i="1"/>
  <c r="P6" i="20" s="1"/>
  <c r="P8" i="20" s="1"/>
  <c r="BN104" i="1"/>
  <c r="BN25" i="1"/>
  <c r="BN26" i="1" s="1"/>
  <c r="Q28" i="24" s="1"/>
  <c r="BP97" i="1"/>
  <c r="BM97" i="1"/>
  <c r="BO97" i="1"/>
  <c r="BQ97" i="1"/>
  <c r="BN19" i="3"/>
  <c r="BN10" i="2"/>
  <c r="BM31" i="1"/>
  <c r="BM33" i="1" s="1"/>
  <c r="BM55" i="1" s="1"/>
  <c r="BN29" i="1"/>
  <c r="BH101" i="1"/>
  <c r="BH94" i="1"/>
  <c r="BN25" i="3"/>
  <c r="BN25" i="2"/>
  <c r="BN28" i="3"/>
  <c r="BN26" i="2"/>
  <c r="BN21" i="3"/>
  <c r="BM31" i="2"/>
  <c r="BN24" i="2"/>
  <c r="BM42" i="1" l="1"/>
  <c r="BN51" i="4"/>
  <c r="BN58" i="4"/>
  <c r="BN55" i="4"/>
  <c r="BN47" i="4"/>
  <c r="BM105" i="1"/>
  <c r="BM106" i="1" s="1"/>
  <c r="BO105" i="1"/>
  <c r="BO106" i="1" s="1"/>
  <c r="BN31" i="2"/>
  <c r="BM40" i="2"/>
  <c r="BN40" i="2" s="1"/>
  <c r="BM34" i="1"/>
  <c r="BM57" i="1"/>
  <c r="BN23" i="3"/>
  <c r="BH95" i="1"/>
  <c r="BH99" i="1"/>
  <c r="BM50" i="2"/>
  <c r="BO49" i="2"/>
  <c r="BM49" i="2"/>
  <c r="BN30" i="1"/>
  <c r="Q30" i="24" s="1"/>
  <c r="BN31" i="1"/>
  <c r="BN33" i="1" s="1"/>
  <c r="BN55" i="1" s="1"/>
  <c r="BN22" i="1"/>
  <c r="BO76" i="1"/>
  <c r="M68" i="19" l="1"/>
  <c r="Q27" i="24"/>
  <c r="BM61" i="1"/>
  <c r="BM58" i="1"/>
  <c r="BO62" i="3"/>
  <c r="BO39" i="3"/>
  <c r="BO40" i="3" s="1"/>
  <c r="BO30" i="3"/>
  <c r="BO108" i="1"/>
  <c r="BP108" i="1"/>
  <c r="BO107" i="1"/>
  <c r="BQ109" i="1"/>
  <c r="BP109" i="1"/>
  <c r="BO109" i="1"/>
  <c r="BN34" i="1"/>
  <c r="BN42" i="1"/>
  <c r="BN61" i="1" s="1"/>
  <c r="BM107" i="1"/>
  <c r="BM108" i="1"/>
  <c r="BN106" i="1"/>
  <c r="BN107" i="1" s="1"/>
  <c r="BM109" i="1"/>
  <c r="BM43" i="1"/>
  <c r="BM63" i="1" l="1"/>
  <c r="BT6" i="1"/>
  <c r="BN56" i="1"/>
  <c r="BN58" i="1" s="1"/>
  <c r="BM111" i="1"/>
  <c r="BM110" i="1"/>
  <c r="BO111" i="1"/>
  <c r="BO110" i="1"/>
  <c r="BP110" i="1"/>
  <c r="BP111" i="1"/>
  <c r="BM59" i="1"/>
  <c r="BM67" i="1"/>
  <c r="BR5" i="1"/>
  <c r="AX3" i="23" s="1"/>
  <c r="BR6" i="1"/>
  <c r="BR13" i="1"/>
  <c r="BR104" i="1"/>
  <c r="BS4" i="1"/>
  <c r="BS54" i="4" s="1"/>
  <c r="BN43" i="1"/>
  <c r="BQ110" i="1"/>
  <c r="BQ111" i="1"/>
  <c r="BS51" i="4" l="1"/>
  <c r="BS47" i="4"/>
  <c r="BS58" i="4"/>
  <c r="BS55" i="4"/>
  <c r="BX55" i="4"/>
  <c r="BS38" i="1"/>
  <c r="BS27" i="1"/>
  <c r="BS28" i="1" s="1"/>
  <c r="BS20" i="1"/>
  <c r="BS21" i="1" s="1"/>
  <c r="BR21" i="1"/>
  <c r="BR22" i="1" s="1"/>
  <c r="BN57" i="1"/>
  <c r="BN67" i="1"/>
  <c r="BN59" i="1"/>
  <c r="BN62" i="1"/>
  <c r="BN64" i="1" s="1"/>
  <c r="BS24" i="2"/>
  <c r="BS21" i="3"/>
  <c r="BR31" i="2"/>
  <c r="BR46" i="2"/>
  <c r="BS8" i="2"/>
  <c r="BS18" i="3"/>
  <c r="BM68" i="1"/>
  <c r="BM64" i="1"/>
  <c r="BM52" i="1" s="1"/>
  <c r="BN52" i="1" s="1"/>
  <c r="BS20" i="3"/>
  <c r="BS9" i="2"/>
  <c r="BS25" i="1"/>
  <c r="BS26" i="1" s="1"/>
  <c r="BR97" i="1"/>
  <c r="BR31" i="1"/>
  <c r="BS29" i="1"/>
  <c r="BS28" i="3"/>
  <c r="BS26" i="2"/>
  <c r="BS104" i="1"/>
  <c r="BS5" i="1"/>
  <c r="Q6" i="20" s="1"/>
  <c r="Q8" i="20" s="1"/>
  <c r="BS10" i="2"/>
  <c r="BS28" i="2"/>
  <c r="BT23" i="3" s="1"/>
  <c r="BR48" i="2"/>
  <c r="BT49" i="2" s="1"/>
  <c r="BS10" i="1"/>
  <c r="BR88" i="1"/>
  <c r="BS25" i="3"/>
  <c r="BS25" i="2"/>
  <c r="BW23" i="3" l="1"/>
  <c r="BT29" i="3"/>
  <c r="BN68" i="1"/>
  <c r="BR89" i="1"/>
  <c r="BT89" i="1"/>
  <c r="BV89" i="1"/>
  <c r="BU89" i="1"/>
  <c r="BR105" i="1"/>
  <c r="BR106" i="1" s="1"/>
  <c r="BT105" i="1"/>
  <c r="BT106" i="1" s="1"/>
  <c r="BR33" i="1"/>
  <c r="BR55" i="1" s="1"/>
  <c r="BN65" i="1"/>
  <c r="BN69" i="1"/>
  <c r="BN70" i="1" s="1"/>
  <c r="BN63" i="1"/>
  <c r="BR49" i="2"/>
  <c r="BR50" i="2"/>
  <c r="BS31" i="1"/>
  <c r="BS33" i="1" s="1"/>
  <c r="BS55" i="1" s="1"/>
  <c r="BS30" i="1"/>
  <c r="BS23" i="3"/>
  <c r="BS22" i="1"/>
  <c r="N68" i="19" s="1"/>
  <c r="BM53" i="1"/>
  <c r="BM65" i="1"/>
  <c r="BM69" i="1"/>
  <c r="BM70" i="1" s="1"/>
  <c r="BM6" i="3"/>
  <c r="BM29" i="3" s="1"/>
  <c r="BR40" i="2"/>
  <c r="BS40" i="2" s="1"/>
  <c r="BS31" i="2"/>
  <c r="I89" i="22" l="1"/>
  <c r="BR34" i="1"/>
  <c r="BR92" i="1"/>
  <c r="BR93" i="1" s="1"/>
  <c r="BW65" i="2"/>
  <c r="BU92" i="1"/>
  <c r="BU93" i="1" s="1"/>
  <c r="BV92" i="1"/>
  <c r="BV93" i="1" s="1"/>
  <c r="BT92" i="1"/>
  <c r="BT93" i="1" s="1"/>
  <c r="BW10" i="1"/>
  <c r="CB15" i="1" s="1"/>
  <c r="BW104" i="1"/>
  <c r="BW13" i="1"/>
  <c r="BW6" i="1"/>
  <c r="BW5" i="1"/>
  <c r="BB3" i="23" s="1"/>
  <c r="BR42" i="1"/>
  <c r="BR61" i="1" s="1"/>
  <c r="BT109" i="1"/>
  <c r="BT108" i="1"/>
  <c r="BT107" i="1"/>
  <c r="BU108" i="1"/>
  <c r="BV109" i="1"/>
  <c r="BU109" i="1"/>
  <c r="BN53" i="1"/>
  <c r="Q31" i="24" s="1"/>
  <c r="BS34" i="1"/>
  <c r="BS42" i="1"/>
  <c r="BS61" i="1" s="1"/>
  <c r="BR108" i="1"/>
  <c r="BR107" i="1"/>
  <c r="BR109" i="1"/>
  <c r="BS106" i="1"/>
  <c r="BS107" i="1" s="1"/>
  <c r="BN6" i="3"/>
  <c r="BM76" i="1"/>
  <c r="BR43" i="1" l="1"/>
  <c r="BR57" i="1"/>
  <c r="BW18" i="1"/>
  <c r="BW19" i="1" s="1"/>
  <c r="BW14" i="1"/>
  <c r="BW15" i="1" s="1"/>
  <c r="BN29" i="3"/>
  <c r="BX27" i="1"/>
  <c r="BX28" i="1" s="1"/>
  <c r="BW88" i="1"/>
  <c r="BW89" i="1" s="1"/>
  <c r="BX9" i="2"/>
  <c r="BX20" i="3"/>
  <c r="BX25" i="3"/>
  <c r="BX25" i="2"/>
  <c r="BX21" i="3"/>
  <c r="BX24" i="2"/>
  <c r="BW31" i="2"/>
  <c r="BW46" i="2"/>
  <c r="BX8" i="2"/>
  <c r="BX18" i="3"/>
  <c r="BX28" i="3"/>
  <c r="BX26" i="2"/>
  <c r="BX28" i="2"/>
  <c r="BX23" i="3"/>
  <c r="BW48" i="2"/>
  <c r="BR63" i="1"/>
  <c r="BX10" i="2"/>
  <c r="BW21" i="1"/>
  <c r="BW22" i="1" s="1"/>
  <c r="BX20" i="1"/>
  <c r="BX21" i="1" s="1"/>
  <c r="BX22" i="1" s="1"/>
  <c r="O68" i="19" s="1"/>
  <c r="BW12" i="1"/>
  <c r="BX10" i="1"/>
  <c r="BX104" i="1"/>
  <c r="BX5" i="1"/>
  <c r="R6" i="20" s="1"/>
  <c r="R8" i="20" s="1"/>
  <c r="BW31" i="1"/>
  <c r="BX29" i="1"/>
  <c r="BX25" i="1"/>
  <c r="BX26" i="1" s="1"/>
  <c r="BU111" i="1"/>
  <c r="BU110" i="1"/>
  <c r="BV111" i="1"/>
  <c r="BV110" i="1"/>
  <c r="BT111" i="1"/>
  <c r="BT110" i="1"/>
  <c r="BS43" i="1"/>
  <c r="BR58" i="1"/>
  <c r="BR111" i="1"/>
  <c r="BR110" i="1"/>
  <c r="BM39" i="3"/>
  <c r="BM40" i="3" s="1"/>
  <c r="BM30" i="3"/>
  <c r="BM62" i="3"/>
  <c r="BW7" i="1" l="1"/>
  <c r="BW8" i="1" s="1"/>
  <c r="BX18" i="1"/>
  <c r="BN76" i="1"/>
  <c r="BN62" i="3"/>
  <c r="BN65" i="3" s="1"/>
  <c r="BS64" i="3" s="1"/>
  <c r="BN30" i="3"/>
  <c r="BN39" i="3"/>
  <c r="BN40" i="3" s="1"/>
  <c r="CC14" i="1"/>
  <c r="BY49" i="2"/>
  <c r="BX12" i="1"/>
  <c r="BS62" i="1"/>
  <c r="BS63" i="1" s="1"/>
  <c r="BX31" i="2"/>
  <c r="BW40" i="2"/>
  <c r="BX40" i="2" s="1"/>
  <c r="BW50" i="2"/>
  <c r="BW49" i="2"/>
  <c r="BW105" i="1"/>
  <c r="BW106" i="1" s="1"/>
  <c r="BW92" i="1"/>
  <c r="BW93" i="1" s="1"/>
  <c r="BW90" i="1"/>
  <c r="BX31" i="1"/>
  <c r="BX33" i="1" s="1"/>
  <c r="BX30" i="1"/>
  <c r="BW33" i="1"/>
  <c r="BW55" i="1" s="1"/>
  <c r="BR59" i="1"/>
  <c r="BR67" i="1"/>
  <c r="BM65" i="3"/>
  <c r="BR64" i="1"/>
  <c r="BR52" i="1" s="1"/>
  <c r="BS52" i="1" s="1"/>
  <c r="BX55" i="1" l="1"/>
  <c r="BW57" i="1"/>
  <c r="BW94" i="1"/>
  <c r="BW95" i="1" s="1"/>
  <c r="BW101" i="1"/>
  <c r="BS64" i="1"/>
  <c r="BW108" i="1"/>
  <c r="BX106" i="1"/>
  <c r="BX107" i="1" s="1"/>
  <c r="BW109" i="1"/>
  <c r="BW107" i="1"/>
  <c r="BX42" i="1"/>
  <c r="BX61" i="1" s="1"/>
  <c r="BX34" i="1"/>
  <c r="BW34" i="1"/>
  <c r="BW42" i="1"/>
  <c r="BW61" i="1" s="1"/>
  <c r="BR68" i="1"/>
  <c r="BR65" i="1"/>
  <c r="BR69" i="1"/>
  <c r="BR70" i="1" s="1"/>
  <c r="BR6" i="3"/>
  <c r="BR29" i="3" s="1"/>
  <c r="BM11" i="2"/>
  <c r="BN6" i="2"/>
  <c r="BO64" i="3"/>
  <c r="BO65" i="3" s="1"/>
  <c r="BW99" i="1" l="1"/>
  <c r="BS69" i="1"/>
  <c r="BS70" i="1" s="1"/>
  <c r="BS65" i="1"/>
  <c r="BR53" i="1"/>
  <c r="BW110" i="1"/>
  <c r="BW111" i="1"/>
  <c r="BW43" i="1"/>
  <c r="BX43" i="1"/>
  <c r="BR76" i="1"/>
  <c r="BS6" i="3"/>
  <c r="BP64" i="3"/>
  <c r="BP65" i="3" s="1"/>
  <c r="BN11" i="2"/>
  <c r="BM18" i="2"/>
  <c r="BS53" i="1" l="1"/>
  <c r="J89" i="22"/>
  <c r="BW64" i="1"/>
  <c r="BW52" i="1" s="1"/>
  <c r="BX52" i="1" s="1"/>
  <c r="BW63" i="1"/>
  <c r="BS29" i="3"/>
  <c r="BX56" i="1"/>
  <c r="BX57" i="1" s="1"/>
  <c r="BW58" i="1"/>
  <c r="BM42" i="2"/>
  <c r="BM44" i="2" s="1"/>
  <c r="BN18" i="2"/>
  <c r="BN42" i="2" s="1"/>
  <c r="BN44" i="2" s="1"/>
  <c r="BR30" i="3"/>
  <c r="BR39" i="3"/>
  <c r="BR40" i="3" s="1"/>
  <c r="BR62" i="3"/>
  <c r="BQ64" i="3"/>
  <c r="BQ65" i="3" s="1"/>
  <c r="BO11" i="2"/>
  <c r="BS76" i="1" l="1"/>
  <c r="BS62" i="3"/>
  <c r="BS65" i="3" s="1"/>
  <c r="BX64" i="3" s="1"/>
  <c r="BS39" i="3"/>
  <c r="BS40" i="3" s="1"/>
  <c r="BS30" i="3"/>
  <c r="BX58" i="1"/>
  <c r="BX67" i="1" s="1"/>
  <c r="BX62" i="1"/>
  <c r="BX63" i="1" s="1"/>
  <c r="BO18" i="2"/>
  <c r="BO42" i="2" s="1"/>
  <c r="BO44" i="2" s="1"/>
  <c r="BW59" i="1"/>
  <c r="BW67" i="1"/>
  <c r="BR64" i="3"/>
  <c r="BR65" i="3" s="1"/>
  <c r="BT64" i="3" s="1"/>
  <c r="BP11" i="2"/>
  <c r="BX59" i="1" l="1"/>
  <c r="BX64" i="1"/>
  <c r="BX65" i="1" s="1"/>
  <c r="BW6" i="3"/>
  <c r="BP18" i="2"/>
  <c r="BP42" i="2" s="1"/>
  <c r="BP44" i="2" s="1"/>
  <c r="BW68" i="1"/>
  <c r="BW65" i="1"/>
  <c r="BW69" i="1"/>
  <c r="BQ11" i="2"/>
  <c r="BX6" i="3" l="1"/>
  <c r="BW29" i="3"/>
  <c r="BX69" i="1"/>
  <c r="BX70" i="1" s="1"/>
  <c r="BW70" i="1"/>
  <c r="BQ18" i="2"/>
  <c r="BQ42" i="2" s="1"/>
  <c r="BQ44" i="2" s="1"/>
  <c r="BS6" i="2"/>
  <c r="BR11" i="2"/>
  <c r="BR18" i="2" s="1"/>
  <c r="BS11" i="2" l="1"/>
  <c r="BR42" i="2" l="1"/>
  <c r="BR44" i="2" s="1"/>
  <c r="BS18" i="2"/>
  <c r="BS42" i="2" s="1"/>
  <c r="BS44" i="2" s="1"/>
  <c r="BT53" i="1" l="1"/>
  <c r="BT30" i="3" l="1"/>
  <c r="BT76" i="1"/>
  <c r="BT62" i="3"/>
  <c r="BT65" i="3" s="1"/>
  <c r="BT39" i="3"/>
  <c r="BT40" i="3" s="1"/>
  <c r="BU76" i="1" l="1"/>
  <c r="BU53" i="1"/>
  <c r="BU64" i="3"/>
  <c r="BT11" i="2" l="1"/>
  <c r="BU30" i="3"/>
  <c r="BU39" i="3"/>
  <c r="BU40" i="3" s="1"/>
  <c r="BU62" i="3"/>
  <c r="BT18" i="2" l="1"/>
  <c r="BT42" i="2" s="1"/>
  <c r="BT44" i="2" s="1"/>
  <c r="BV53" i="1"/>
  <c r="BU11" i="2"/>
  <c r="BU18" i="2" s="1"/>
  <c r="BV76" i="1"/>
  <c r="BU65" i="3"/>
  <c r="BU42" i="2" l="1"/>
  <c r="BU44" i="2" s="1"/>
  <c r="BV64" i="3"/>
  <c r="BW53" i="1"/>
  <c r="BW76" i="1"/>
  <c r="BX9" i="3"/>
  <c r="BX12" i="2"/>
  <c r="BV62" i="3"/>
  <c r="BV30" i="3"/>
  <c r="BV39" i="3"/>
  <c r="BV40" i="3" s="1"/>
  <c r="CC9" i="3" l="1"/>
  <c r="BY68" i="3"/>
  <c r="BX29" i="3"/>
  <c r="BW30" i="3"/>
  <c r="BW62" i="3"/>
  <c r="BW39" i="3"/>
  <c r="BW40" i="3" s="1"/>
  <c r="BV11" i="2"/>
  <c r="BV65" i="3"/>
  <c r="K89" i="22" l="1"/>
  <c r="BX76" i="1"/>
  <c r="BX62" i="3"/>
  <c r="BX65" i="3" s="1"/>
  <c r="CC64" i="3" s="1"/>
  <c r="BV18" i="2"/>
  <c r="BV42" i="2" s="1"/>
  <c r="BV44" i="2" s="1"/>
  <c r="BX53" i="1"/>
  <c r="BX6" i="2"/>
  <c r="BW11" i="2"/>
  <c r="BW18" i="2" s="1"/>
  <c r="BW64" i="3"/>
  <c r="BW65" i="3" s="1"/>
  <c r="BY64" i="3" s="1"/>
  <c r="BX39" i="3"/>
  <c r="BX40" i="3" s="1"/>
  <c r="BX30" i="3"/>
  <c r="BX11" i="2" l="1"/>
  <c r="BX18" i="2" s="1"/>
  <c r="BW42" i="2" l="1"/>
  <c r="BW44" i="2" s="1"/>
  <c r="BX42" i="2"/>
  <c r="BX44" i="2" s="1"/>
  <c r="BP58" i="1"/>
  <c r="BP59" i="1" l="1"/>
  <c r="BP67" i="1"/>
  <c r="BP57" i="1"/>
  <c r="BU68" i="1" l="1"/>
  <c r="BP68" i="1"/>
  <c r="BQ58" i="1"/>
  <c r="BQ59" i="1" s="1"/>
  <c r="BQ67" i="1" l="1"/>
  <c r="BQ57" i="1"/>
  <c r="BS56" i="1"/>
  <c r="BS57" i="1" s="1"/>
  <c r="BQ68" i="1" l="1"/>
  <c r="BV68" i="1"/>
  <c r="BS58" i="1"/>
  <c r="BS59" i="1" s="1"/>
  <c r="BS67" i="1" l="1"/>
  <c r="BX68" i="1" l="1"/>
  <c r="BS68" i="1"/>
  <c r="BX14" i="1" l="1"/>
  <c r="CC15" i="1" s="1"/>
  <c r="BU7" i="1" l="1"/>
  <c r="BU8" i="1" l="1"/>
  <c r="BX7" i="1"/>
  <c r="BX8" i="1" s="1"/>
  <c r="BY31" i="1" l="1"/>
  <c r="BY33" i="1" s="1"/>
  <c r="BY55" i="1" s="1"/>
  <c r="BY34" i="1" l="1"/>
  <c r="D31" i="15" s="1"/>
  <c r="BY42" i="1"/>
  <c r="BY43" i="1" l="1"/>
  <c r="BY61" i="1"/>
  <c r="BY58" i="1"/>
  <c r="BY57" i="1"/>
  <c r="BY63" i="1" l="1"/>
  <c r="BY67" i="1"/>
  <c r="D23" i="15" s="1"/>
  <c r="BY59" i="1"/>
  <c r="CD68" i="1" l="1"/>
  <c r="BY68" i="1"/>
  <c r="BY64" i="1" l="1"/>
  <c r="BY52" i="1" s="1"/>
  <c r="BY53" i="1" l="1"/>
  <c r="BY69" i="1"/>
  <c r="BY65" i="1"/>
  <c r="BY6" i="3"/>
  <c r="BY70" i="1" l="1"/>
  <c r="CD70" i="1"/>
  <c r="BY29" i="3"/>
  <c r="BY76" i="1" s="1"/>
  <c r="BY39" i="3" l="1"/>
  <c r="BY40" i="3" s="1"/>
  <c r="BY62" i="3"/>
  <c r="BY65" i="3" s="1"/>
  <c r="BY30" i="3"/>
  <c r="BZ64" i="3" l="1"/>
  <c r="BZ65" i="3" s="1"/>
  <c r="CA64" i="3" l="1"/>
  <c r="CA48" i="2" l="1"/>
  <c r="CA46" i="2" l="1"/>
  <c r="CA50" i="2"/>
  <c r="CF50" i="2"/>
  <c r="CA49" i="2"/>
  <c r="CA31" i="2"/>
  <c r="CA40" i="2" s="1"/>
  <c r="CA29" i="3" l="1"/>
  <c r="CA76" i="1" l="1"/>
  <c r="CA39" i="3"/>
  <c r="CA40" i="3" s="1"/>
  <c r="CA62" i="3"/>
  <c r="CA30" i="3"/>
  <c r="CA65" i="3" l="1"/>
  <c r="CA11" i="2" l="1"/>
  <c r="CA18" i="2" s="1"/>
  <c r="CA42" i="2" s="1"/>
  <c r="CA44" i="2" s="1"/>
  <c r="CB64" i="3"/>
  <c r="BJ12" i="1" l="1"/>
  <c r="BO12" i="1"/>
  <c r="BJ18" i="1"/>
  <c r="BJ19" i="1" s="1"/>
  <c r="BJ88" i="1"/>
  <c r="BJ89" i="1" s="1"/>
  <c r="BR12" i="1"/>
  <c r="BJ7" i="1" l="1"/>
  <c r="BJ8" i="1" s="1"/>
  <c r="BK89" i="1"/>
  <c r="BK92" i="1" s="1"/>
  <c r="BK93" i="1" s="1"/>
  <c r="BN10" i="1"/>
  <c r="BS12" i="1" s="1"/>
  <c r="BM88" i="1"/>
  <c r="BQ89" i="1" s="1"/>
  <c r="BM12" i="1"/>
  <c r="BL89" i="1"/>
  <c r="BL90" i="1" s="1"/>
  <c r="BL94" i="1" s="1"/>
  <c r="BJ92" i="1"/>
  <c r="BJ93" i="1" s="1"/>
  <c r="BJ90" i="1"/>
  <c r="BN12" i="1" l="1"/>
  <c r="BK90" i="1"/>
  <c r="BK94" i="1" s="1"/>
  <c r="BL92" i="1"/>
  <c r="BL93" i="1" s="1"/>
  <c r="BL101" i="1"/>
  <c r="BM7" i="1"/>
  <c r="BM19" i="1"/>
  <c r="BN18" i="1"/>
  <c r="BO89" i="1"/>
  <c r="BM89" i="1"/>
  <c r="BP89" i="1"/>
  <c r="BP92" i="1" s="1"/>
  <c r="BL95" i="1"/>
  <c r="BL99" i="1"/>
  <c r="BQ90" i="1"/>
  <c r="BV90" i="1"/>
  <c r="BQ92" i="1"/>
  <c r="BQ93" i="1" s="1"/>
  <c r="BJ101" i="1"/>
  <c r="BJ94" i="1"/>
  <c r="BK101" i="1" l="1"/>
  <c r="BU90" i="1"/>
  <c r="BU101" i="1" s="1"/>
  <c r="BP93" i="1"/>
  <c r="BM90" i="1"/>
  <c r="BR90" i="1"/>
  <c r="BR101" i="1" s="1"/>
  <c r="BM92" i="1"/>
  <c r="BM93" i="1" s="1"/>
  <c r="BP90" i="1"/>
  <c r="BP101" i="1" s="1"/>
  <c r="BT90" i="1"/>
  <c r="BO92" i="1"/>
  <c r="BO93" i="1" s="1"/>
  <c r="BO90" i="1"/>
  <c r="BN7" i="1"/>
  <c r="BN8" i="1" s="1"/>
  <c r="BM8" i="1"/>
  <c r="BJ95" i="1"/>
  <c r="BJ99" i="1"/>
  <c r="BV94" i="1"/>
  <c r="BV101" i="1"/>
  <c r="BQ94" i="1"/>
  <c r="BQ101" i="1"/>
  <c r="BK95" i="1"/>
  <c r="BK99" i="1"/>
  <c r="BR94" i="1" l="1"/>
  <c r="BR95" i="1" s="1"/>
  <c r="BU94" i="1"/>
  <c r="BU99" i="1" s="1"/>
  <c r="BP94" i="1"/>
  <c r="BP95" i="1" s="1"/>
  <c r="BO101" i="1"/>
  <c r="BO94" i="1"/>
  <c r="BT101" i="1"/>
  <c r="BT94" i="1"/>
  <c r="BM94" i="1"/>
  <c r="BM101" i="1"/>
  <c r="BQ99" i="1"/>
  <c r="BQ95" i="1"/>
  <c r="BV95" i="1"/>
  <c r="BV99" i="1"/>
  <c r="BR99" i="1" l="1"/>
  <c r="BP99" i="1"/>
  <c r="BU95" i="1"/>
  <c r="BM99" i="1"/>
  <c r="BM95" i="1"/>
  <c r="BT95" i="1"/>
  <c r="BT99" i="1"/>
  <c r="BO95" i="1"/>
  <c r="BO99" i="1"/>
  <c r="CB18" i="1" l="1"/>
  <c r="CB19" i="1" s="1"/>
  <c r="CB13" i="1"/>
  <c r="CB6" i="1"/>
  <c r="CC4" i="1"/>
  <c r="E61" i="19" s="1"/>
  <c r="E62" i="19" s="1"/>
  <c r="E63" i="19" s="1"/>
  <c r="CB5" i="1"/>
  <c r="BF3" i="23" s="1"/>
  <c r="CD6" i="1"/>
  <c r="CB65" i="2"/>
  <c r="H21" i="15" l="1"/>
  <c r="CC54" i="4"/>
  <c r="CB7" i="1"/>
  <c r="CC18" i="1"/>
  <c r="CC19" i="1" s="1"/>
  <c r="CC38" i="1"/>
  <c r="CC27" i="1"/>
  <c r="CC28" i="1" s="1"/>
  <c r="CC20" i="1"/>
  <c r="CC21" i="1" s="1"/>
  <c r="CC25" i="1"/>
  <c r="CC26" i="1" s="1"/>
  <c r="CB21" i="1"/>
  <c r="CB22" i="1" s="1"/>
  <c r="CC29" i="1"/>
  <c r="CC24" i="2"/>
  <c r="CB31" i="2"/>
  <c r="CC21" i="3"/>
  <c r="CB12" i="1"/>
  <c r="CC10" i="1"/>
  <c r="CC12" i="1" s="1"/>
  <c r="CC28" i="3"/>
  <c r="CC26" i="2"/>
  <c r="CC25" i="3"/>
  <c r="CC25" i="2"/>
  <c r="CC5" i="1"/>
  <c r="S6" i="20" s="1"/>
  <c r="S8" i="20" s="1"/>
  <c r="CC20" i="3"/>
  <c r="CC9" i="2"/>
  <c r="CC28" i="2"/>
  <c r="CD23" i="3" s="1"/>
  <c r="CB48" i="2"/>
  <c r="CG50" i="2" s="1"/>
  <c r="CC23" i="3"/>
  <c r="CC8" i="2"/>
  <c r="CB46" i="2"/>
  <c r="CC18" i="3"/>
  <c r="CC10" i="2"/>
  <c r="CC51" i="4" l="1"/>
  <c r="CC47" i="4"/>
  <c r="CC58" i="4"/>
  <c r="CC55" i="4"/>
  <c r="CB8" i="1"/>
  <c r="CC7" i="1"/>
  <c r="CC8" i="1" s="1"/>
  <c r="CD29" i="3"/>
  <c r="CD76" i="1" s="1"/>
  <c r="CG23" i="3"/>
  <c r="CB33" i="1"/>
  <c r="CB55" i="1" s="1"/>
  <c r="CC22" i="1"/>
  <c r="P68" i="19" s="1"/>
  <c r="CB40" i="2"/>
  <c r="CC40" i="2" s="1"/>
  <c r="CC31" i="2"/>
  <c r="CB49" i="2"/>
  <c r="CD49" i="2"/>
  <c r="CB50" i="2"/>
  <c r="CH14" i="1"/>
  <c r="CH15" i="1" s="1"/>
  <c r="CC31" i="1"/>
  <c r="CC33" i="1" s="1"/>
  <c r="CC55" i="1" s="1"/>
  <c r="CC30" i="1"/>
  <c r="CB57" i="1" l="1"/>
  <c r="CB34" i="1"/>
  <c r="G31" i="15" s="1"/>
  <c r="CB42" i="1"/>
  <c r="CC34" i="1"/>
  <c r="H31" i="15" s="1"/>
  <c r="CC42" i="1"/>
  <c r="CC61" i="1" s="1"/>
  <c r="CD62" i="3"/>
  <c r="CD30" i="3"/>
  <c r="CD39" i="3"/>
  <c r="CD40" i="3" s="1"/>
  <c r="CG38" i="1"/>
  <c r="CB61" i="1" l="1"/>
  <c r="CI13" i="1"/>
  <c r="CI6" i="1"/>
  <c r="CB43" i="1"/>
  <c r="CC56" i="1"/>
  <c r="CC58" i="1" s="1"/>
  <c r="CB58" i="1"/>
  <c r="CH4" i="1"/>
  <c r="F61" i="19" s="1"/>
  <c r="F62" i="19" s="1"/>
  <c r="F63" i="19" s="1"/>
  <c r="CG5" i="1"/>
  <c r="BJ3" i="23" s="1"/>
  <c r="CG6" i="1"/>
  <c r="CG13" i="1"/>
  <c r="CC43" i="1"/>
  <c r="CB63" i="1" l="1"/>
  <c r="CB64" i="1"/>
  <c r="M21" i="15"/>
  <c r="CH54" i="4"/>
  <c r="CH20" i="1"/>
  <c r="CH21" i="1" s="1"/>
  <c r="CH27" i="1"/>
  <c r="CH28" i="1" s="1"/>
  <c r="CH25" i="1"/>
  <c r="CH26" i="1" s="1"/>
  <c r="CH14" i="3"/>
  <c r="CG40" i="1"/>
  <c r="CH37" i="1"/>
  <c r="CC57" i="1"/>
  <c r="CC62" i="1"/>
  <c r="CC64" i="1" s="1"/>
  <c r="CG21" i="1"/>
  <c r="CG22" i="1" s="1"/>
  <c r="CG46" i="2"/>
  <c r="CH8" i="2"/>
  <c r="CH18" i="3"/>
  <c r="AD13" i="17"/>
  <c r="AE31" i="17" s="1"/>
  <c r="CH5" i="1"/>
  <c r="T6" i="20" s="1"/>
  <c r="T8" i="20" s="1"/>
  <c r="H6" i="16"/>
  <c r="H8" i="16" s="1"/>
  <c r="CH10" i="2"/>
  <c r="CH25" i="3"/>
  <c r="CH25" i="2"/>
  <c r="CC67" i="1"/>
  <c r="H23" i="15" s="1"/>
  <c r="CC59" i="1"/>
  <c r="CH9" i="2"/>
  <c r="CH20" i="3"/>
  <c r="CG31" i="2"/>
  <c r="CH24" i="2"/>
  <c r="CH21" i="3"/>
  <c r="CH29" i="1"/>
  <c r="CG31" i="1"/>
  <c r="CH26" i="2"/>
  <c r="CH28" i="3"/>
  <c r="CH23" i="3"/>
  <c r="CH28" i="2"/>
  <c r="CB67" i="1"/>
  <c r="G23" i="15" s="1"/>
  <c r="CB59" i="1"/>
  <c r="CB65" i="1" l="1"/>
  <c r="CB52" i="1"/>
  <c r="CC52" i="1" s="1"/>
  <c r="CH58" i="4"/>
  <c r="CH55" i="4"/>
  <c r="CH47" i="4"/>
  <c r="CH51" i="4"/>
  <c r="CH38" i="1"/>
  <c r="CH40" i="1"/>
  <c r="CI29" i="3"/>
  <c r="CI76" i="1" s="1"/>
  <c r="CC63" i="1"/>
  <c r="CC65" i="1"/>
  <c r="CC69" i="1"/>
  <c r="CC70" i="1" s="1"/>
  <c r="CG33" i="1"/>
  <c r="CG55" i="1" s="1"/>
  <c r="CB29" i="3"/>
  <c r="CB69" i="1"/>
  <c r="CB70" i="1" s="1"/>
  <c r="CH31" i="1"/>
  <c r="CH33" i="1" s="1"/>
  <c r="CH55" i="1" s="1"/>
  <c r="CH30" i="1"/>
  <c r="CH31" i="2"/>
  <c r="CG40" i="2"/>
  <c r="CH40" i="2" s="1"/>
  <c r="CH22" i="1"/>
  <c r="Q68" i="19" s="1"/>
  <c r="CB68" i="1"/>
  <c r="AE30" i="17"/>
  <c r="AE32" i="17" s="1"/>
  <c r="C15" i="17" s="1"/>
  <c r="C16" i="17" s="1"/>
  <c r="AE21" i="17"/>
  <c r="CC68" i="1"/>
  <c r="CB53" i="1" l="1"/>
  <c r="L89" i="22"/>
  <c r="CI62" i="3"/>
  <c r="CI39" i="3"/>
  <c r="CI40" i="3" s="1"/>
  <c r="CI30" i="3"/>
  <c r="CB76" i="1"/>
  <c r="CG34" i="1"/>
  <c r="L31" i="15" s="1"/>
  <c r="CC53" i="1"/>
  <c r="CC6" i="3"/>
  <c r="CC29" i="3" s="1"/>
  <c r="CC76" i="1" s="1"/>
  <c r="CG42" i="1"/>
  <c r="CG61" i="1" s="1"/>
  <c r="CH34" i="1"/>
  <c r="M31" i="15" s="1"/>
  <c r="CH42" i="1"/>
  <c r="CH61" i="1" s="1"/>
  <c r="CB39" i="3"/>
  <c r="CB40" i="3" s="1"/>
  <c r="CB30" i="3"/>
  <c r="CB62" i="3"/>
  <c r="CG63" i="1" l="1"/>
  <c r="CC62" i="3"/>
  <c r="CC65" i="3" s="1"/>
  <c r="CH64" i="3" s="1"/>
  <c r="CI57" i="1"/>
  <c r="CG57" i="1"/>
  <c r="CG58" i="1"/>
  <c r="CM37" i="1"/>
  <c r="CG43" i="1"/>
  <c r="CC39" i="3"/>
  <c r="CC40" i="3" s="1"/>
  <c r="CC30" i="3"/>
  <c r="CB65" i="3"/>
  <c r="CD64" i="3" s="1"/>
  <c r="CD65" i="3" s="1"/>
  <c r="CH43" i="1"/>
  <c r="E20" i="6" l="1"/>
  <c r="F20" i="6" s="1"/>
  <c r="H20" i="6"/>
  <c r="I20" i="6" s="1"/>
  <c r="L20" i="6"/>
  <c r="CH56" i="1"/>
  <c r="CH62" i="1"/>
  <c r="CH63" i="1" s="1"/>
  <c r="CM40" i="1"/>
  <c r="CB11" i="2"/>
  <c r="CC6" i="2"/>
  <c r="CE64" i="3"/>
  <c r="CE65" i="3" s="1"/>
  <c r="CG59" i="1"/>
  <c r="CG67" i="1"/>
  <c r="CG64" i="1"/>
  <c r="CG52" i="1" s="1"/>
  <c r="L23" i="15" l="1"/>
  <c r="CL68" i="1"/>
  <c r="CH64" i="1"/>
  <c r="CH65" i="1" s="1"/>
  <c r="CH57" i="1"/>
  <c r="CH58" i="1"/>
  <c r="CG68" i="1"/>
  <c r="CF64" i="3"/>
  <c r="CF65" i="3" s="1"/>
  <c r="CC11" i="2"/>
  <c r="CC18" i="2" s="1"/>
  <c r="CC42" i="2" s="1"/>
  <c r="CC44" i="2" s="1"/>
  <c r="CB18" i="2"/>
  <c r="CB42" i="2" s="1"/>
  <c r="CB44" i="2" s="1"/>
  <c r="CG65" i="1"/>
  <c r="CG69" i="1"/>
  <c r="CL70" i="1" s="1"/>
  <c r="CH52" i="1" l="1"/>
  <c r="CH69" i="1"/>
  <c r="CH70" i="1" s="1"/>
  <c r="CH67" i="1"/>
  <c r="M23" i="15" s="1"/>
  <c r="CH59" i="1"/>
  <c r="CG53" i="1"/>
  <c r="CG70" i="1"/>
  <c r="CH6" i="3"/>
  <c r="CH29" i="3" s="1"/>
  <c r="CG29" i="3"/>
  <c r="CG76" i="1" s="1"/>
  <c r="CD11" i="2"/>
  <c r="CD18" i="2" s="1"/>
  <c r="CD42" i="2" s="1"/>
  <c r="CD44" i="2" s="1"/>
  <c r="CG64" i="3"/>
  <c r="CH62" i="3" l="1"/>
  <c r="CH76" i="1"/>
  <c r="M89" i="22"/>
  <c r="CH53" i="1"/>
  <c r="CH68" i="1"/>
  <c r="CE11" i="2"/>
  <c r="CE18" i="2" s="1"/>
  <c r="CE42" i="2" s="1"/>
  <c r="CE44" i="2" s="1"/>
  <c r="CG39" i="3"/>
  <c r="CG40" i="3" s="1"/>
  <c r="CG30" i="3"/>
  <c r="CG62" i="3"/>
  <c r="CG65" i="3" s="1"/>
  <c r="CH39" i="3"/>
  <c r="CH40" i="3" s="1"/>
  <c r="CH65" i="3"/>
  <c r="CH30" i="3"/>
  <c r="CM64" i="3" l="1"/>
  <c r="CI64" i="3"/>
  <c r="CI65" i="3" s="1"/>
  <c r="CF11" i="2"/>
  <c r="CF18" i="2" s="1"/>
  <c r="CF42" i="2" s="1"/>
  <c r="CF44" i="2" s="1"/>
  <c r="CJ64" i="3" l="1"/>
  <c r="CH6" i="2"/>
  <c r="CG11" i="2"/>
  <c r="CH11" i="2" l="1"/>
  <c r="CH18" i="2" s="1"/>
  <c r="CH42" i="2" s="1"/>
  <c r="CH44" i="2" s="1"/>
  <c r="CG18" i="2"/>
  <c r="CG42" i="2" s="1"/>
  <c r="CG44" i="2" s="1"/>
  <c r="CI11" i="2" l="1"/>
  <c r="CI18" i="2" s="1"/>
  <c r="CI42" i="2" s="1"/>
  <c r="CI44" i="2" s="1"/>
  <c r="CG12" i="1" l="1"/>
  <c r="CG18" i="1"/>
  <c r="CG19" i="1" s="1"/>
  <c r="CH10" i="1"/>
  <c r="CH12" i="1" s="1"/>
  <c r="CG7" i="1" l="1"/>
  <c r="CG8" i="1" s="1"/>
  <c r="CH18" i="1"/>
  <c r="CH19" i="1" s="1"/>
  <c r="CG11" i="1"/>
  <c r="CH7" i="1" l="1"/>
  <c r="CH8" i="1" s="1"/>
  <c r="Q21" i="15" l="1"/>
  <c r="CL75" i="1"/>
  <c r="CM27" i="1" l="1"/>
  <c r="CM25" i="1"/>
  <c r="CM9" i="2"/>
  <c r="CM26" i="2"/>
  <c r="CM10" i="2"/>
  <c r="CM8" i="2"/>
  <c r="CM28" i="2"/>
  <c r="CM29" i="1"/>
  <c r="CM25" i="2"/>
  <c r="CM24" i="2"/>
  <c r="Q31" i="15" l="1"/>
  <c r="CN49" i="2"/>
  <c r="CN29" i="3"/>
  <c r="CN76" i="1" s="1"/>
  <c r="CM31" i="1"/>
  <c r="CM31" i="2"/>
  <c r="CM40" i="2"/>
  <c r="CN62" i="3" l="1"/>
  <c r="CN30" i="3"/>
  <c r="CN39" i="3"/>
  <c r="CN40" i="3" s="1"/>
  <c r="K6" i="6"/>
  <c r="CM56" i="1" l="1"/>
  <c r="V21" i="15"/>
  <c r="K7" i="6"/>
  <c r="K12" i="6"/>
  <c r="K13" i="6"/>
  <c r="CQ75" i="1"/>
  <c r="K14" i="6"/>
  <c r="CM62" i="1" l="1"/>
  <c r="CR24" i="2"/>
  <c r="CR26" i="2"/>
  <c r="CR9" i="2"/>
  <c r="CR8" i="2"/>
  <c r="CR10" i="2"/>
  <c r="CR28" i="2"/>
  <c r="CR25" i="2"/>
  <c r="CR40" i="2" l="1"/>
  <c r="CR31" i="2"/>
  <c r="K28" i="6"/>
  <c r="Q23" i="15"/>
  <c r="V31" i="15" l="1"/>
  <c r="K29" i="6" l="1"/>
  <c r="K33" i="6" l="1"/>
  <c r="V23" i="15" l="1"/>
  <c r="CJ77" i="1" l="1"/>
  <c r="CJ79" i="1" s="1"/>
  <c r="CJ78" i="1" l="1"/>
  <c r="CJ11" i="2"/>
  <c r="CJ18" i="2" s="1"/>
  <c r="CJ75" i="1"/>
  <c r="CJ31" i="2"/>
  <c r="CJ40" i="2" s="1"/>
  <c r="CJ48" i="2"/>
  <c r="CK49" i="2" l="1"/>
  <c r="CO50" i="2"/>
  <c r="CJ42" i="2"/>
  <c r="CJ44" i="2" s="1"/>
  <c r="CJ49" i="2"/>
  <c r="CJ50" i="2"/>
  <c r="CJ29" i="3"/>
  <c r="CO2" i="3" s="1"/>
  <c r="CJ76" i="1" l="1"/>
  <c r="CJ39" i="3"/>
  <c r="CJ62" i="3"/>
  <c r="CJ65" i="3" s="1"/>
  <c r="CK64" i="3" s="1"/>
  <c r="CK77" i="1" l="1"/>
  <c r="CM6" i="2" l="1"/>
  <c r="CL77" i="1"/>
  <c r="CM11" i="2"/>
  <c r="CM18" i="2" s="1"/>
  <c r="CM42" i="2" s="1"/>
  <c r="CM44" i="2" s="1"/>
  <c r="CK79" i="1"/>
  <c r="CK78" i="1"/>
  <c r="CJ38" i="1"/>
  <c r="CJ62" i="2"/>
  <c r="CJ61" i="2"/>
  <c r="CJ57" i="2"/>
  <c r="CJ26" i="1"/>
  <c r="CJ28" i="1"/>
  <c r="CJ46" i="2"/>
  <c r="CJ6" i="1"/>
  <c r="CJ55" i="2"/>
  <c r="CJ65" i="2"/>
  <c r="CJ56" i="2"/>
  <c r="CJ13" i="1"/>
  <c r="CJ40" i="3"/>
  <c r="CJ59" i="2"/>
  <c r="CJ30" i="1"/>
  <c r="CJ60" i="2"/>
  <c r="CJ63" i="2"/>
  <c r="CJ30" i="3"/>
  <c r="CJ5" i="1"/>
  <c r="BL3" i="23" s="1"/>
  <c r="O21" i="15"/>
  <c r="CN11" i="2" l="1"/>
  <c r="CN18" i="2" s="1"/>
  <c r="CN42" i="2" s="1"/>
  <c r="CN44" i="2" s="1"/>
  <c r="CL79" i="1"/>
  <c r="CL78" i="1"/>
  <c r="CM4" i="1" l="1"/>
  <c r="F15" i="25" s="1"/>
  <c r="F12" i="25" s="1"/>
  <c r="G61" i="19" l="1"/>
  <c r="G62" i="19" s="1"/>
  <c r="G63" i="19" s="1"/>
  <c r="CM54" i="4"/>
  <c r="CM5" i="1"/>
  <c r="CM30" i="1"/>
  <c r="R30" i="24" s="1"/>
  <c r="T30" i="24" s="1"/>
  <c r="CM38" i="1"/>
  <c r="CM28" i="1"/>
  <c r="R29" i="24" s="1"/>
  <c r="T29" i="24" s="1"/>
  <c r="CM26" i="1"/>
  <c r="R28" i="24" s="1"/>
  <c r="T28" i="24" s="1"/>
  <c r="R21" i="15"/>
  <c r="CM56" i="4" l="1"/>
  <c r="CM46" i="4"/>
  <c r="CM43" i="4" s="1"/>
  <c r="CM55" i="4"/>
  <c r="CJ10" i="1"/>
  <c r="CO12" i="1" l="1"/>
  <c r="CO15" i="1"/>
  <c r="CT14" i="1"/>
  <c r="CM47" i="4"/>
  <c r="CM48" i="4"/>
  <c r="CM35" i="4"/>
  <c r="CM49" i="4"/>
  <c r="CJ14" i="1"/>
  <c r="CJ15" i="1" s="1"/>
  <c r="CJ12" i="1"/>
  <c r="CJ18" i="1"/>
  <c r="CT10" i="1" l="1"/>
  <c r="CT7" i="1"/>
  <c r="CJ19" i="1"/>
  <c r="CJ7" i="1"/>
  <c r="CT4" i="1" l="1"/>
  <c r="CT11" i="1" s="1"/>
  <c r="CT12" i="1"/>
  <c r="CJ8" i="1"/>
  <c r="T21" i="15" l="1"/>
  <c r="Y21" i="15"/>
  <c r="CT24" i="2"/>
  <c r="CT10" i="2"/>
  <c r="CT26" i="2"/>
  <c r="CT9" i="2"/>
  <c r="CT25" i="2"/>
  <c r="CT28" i="2"/>
  <c r="CT8" i="2"/>
  <c r="CT65" i="2"/>
  <c r="CO75" i="1"/>
  <c r="CO54" i="4"/>
  <c r="CT27" i="1"/>
  <c r="CT29" i="1"/>
  <c r="CT25" i="1"/>
  <c r="CT19" i="1"/>
  <c r="CT38" i="1"/>
  <c r="CT5" i="1"/>
  <c r="CT20" i="1"/>
  <c r="CT8" i="1"/>
  <c r="CT46" i="2" l="1"/>
  <c r="CT48" i="2"/>
  <c r="CT31" i="2"/>
  <c r="CT40" i="2" s="1"/>
  <c r="CT31" i="1"/>
  <c r="CO51" i="4"/>
  <c r="CO55" i="4"/>
  <c r="CO47" i="4"/>
  <c r="CO58" i="4"/>
  <c r="CO56" i="4"/>
  <c r="CT21" i="1"/>
  <c r="CT50" i="2" l="1"/>
  <c r="CT33" i="1"/>
  <c r="T31" i="15"/>
  <c r="CT55" i="1" l="1"/>
  <c r="CT42" i="1"/>
  <c r="CT34" i="1"/>
  <c r="Y31" i="15" s="1"/>
  <c r="CT43" i="1" l="1"/>
  <c r="CT61" i="1"/>
  <c r="CT56" i="1"/>
  <c r="CT58" i="1" l="1"/>
  <c r="CT62" i="1"/>
  <c r="CT64" i="1" l="1"/>
  <c r="CT6" i="3" s="1"/>
  <c r="CT67" i="1"/>
  <c r="CT59" i="1"/>
  <c r="CT65" i="1" l="1"/>
  <c r="CT69" i="1"/>
  <c r="CT52" i="1"/>
  <c r="CT53" i="1" s="1"/>
  <c r="Y23" i="15"/>
  <c r="CM20" i="1" l="1"/>
  <c r="CM21" i="1" s="1"/>
  <c r="CJ21" i="1"/>
  <c r="CJ33" i="1" s="1"/>
  <c r="CJ55" i="1" s="1"/>
  <c r="D30" i="6" s="1"/>
  <c r="D35" i="6" s="1"/>
  <c r="CJ22" i="1" l="1"/>
  <c r="CM22" i="1"/>
  <c r="CM33" i="1"/>
  <c r="CM55" i="1" s="1"/>
  <c r="CJ34" i="1"/>
  <c r="O31" i="15" s="1"/>
  <c r="CJ42" i="1"/>
  <c r="CJ61" i="1" s="1"/>
  <c r="R68" i="19" l="1"/>
  <c r="R27" i="24"/>
  <c r="CJ58" i="1"/>
  <c r="CM34" i="1"/>
  <c r="R31" i="15" s="1"/>
  <c r="CM42" i="1"/>
  <c r="CM61" i="1" s="1"/>
  <c r="CJ57" i="1"/>
  <c r="CJ43" i="1"/>
  <c r="T27" i="24" l="1"/>
  <c r="R33" i="24"/>
  <c r="CM43" i="1"/>
  <c r="CJ63" i="1"/>
  <c r="CJ64" i="1"/>
  <c r="CJ59" i="1"/>
  <c r="CJ67" i="1"/>
  <c r="CO68" i="1" s="1"/>
  <c r="CJ52" i="1" l="1"/>
  <c r="CJ65" i="1"/>
  <c r="CJ69" i="1"/>
  <c r="CO70" i="1" s="1"/>
  <c r="O23" i="15"/>
  <c r="CJ68" i="1"/>
  <c r="CJ70" i="1" l="1"/>
  <c r="CJ53" i="1"/>
  <c r="CI48" i="4" l="1"/>
  <c r="CE63" i="4" s="1"/>
  <c r="CJ49" i="4"/>
  <c r="CI39" i="4"/>
  <c r="CI35" i="4"/>
  <c r="CI47" i="4"/>
  <c r="CI51" i="4"/>
  <c r="CJ56" i="4"/>
  <c r="CI55" i="4"/>
  <c r="CI43" i="4"/>
  <c r="CM58" i="1" l="1"/>
  <c r="CM57" i="1"/>
  <c r="CK63" i="1" l="1"/>
  <c r="CK64" i="1"/>
  <c r="CK52" i="1" s="1"/>
  <c r="CM52" i="1" s="1"/>
  <c r="CM67" i="1"/>
  <c r="CM59" i="1"/>
  <c r="CM63" i="1"/>
  <c r="CM64" i="1"/>
  <c r="CK65" i="1" l="1"/>
  <c r="CK69" i="1"/>
  <c r="CK70" i="1" s="1"/>
  <c r="CK6" i="3"/>
  <c r="CM68" i="1"/>
  <c r="R23" i="15"/>
  <c r="CM65" i="1"/>
  <c r="CM69" i="1"/>
  <c r="CK57" i="1"/>
  <c r="CK58" i="1"/>
  <c r="CK53" i="1" l="1"/>
  <c r="CK29" i="3"/>
  <c r="CK39" i="3" s="1"/>
  <c r="CK40" i="3" s="1"/>
  <c r="CL6" i="3"/>
  <c r="CL29" i="3" s="1"/>
  <c r="CQ2" i="3" s="1"/>
  <c r="CM29" i="3"/>
  <c r="CK59" i="1"/>
  <c r="CK67" i="1"/>
  <c r="CM70" i="1"/>
  <c r="CM30" i="3" l="1"/>
  <c r="CM76" i="1"/>
  <c r="CM53" i="1"/>
  <c r="R31" i="24" s="1"/>
  <c r="T31" i="24" s="1"/>
  <c r="CK62" i="3"/>
  <c r="CK65" i="3" s="1"/>
  <c r="CL64" i="3" s="1"/>
  <c r="CK30" i="3"/>
  <c r="CK76" i="1"/>
  <c r="CL39" i="3"/>
  <c r="CL40" i="3" s="1"/>
  <c r="CL30" i="3"/>
  <c r="CL62" i="3"/>
  <c r="CL76" i="1"/>
  <c r="CM62" i="3"/>
  <c r="CM65" i="3" s="1"/>
  <c r="CR64" i="3" s="1"/>
  <c r="CR65" i="3" s="1"/>
  <c r="CM39" i="3"/>
  <c r="CM40" i="3" s="1"/>
  <c r="P23" i="15"/>
  <c r="CK68" i="1"/>
  <c r="CL65" i="3" l="1"/>
  <c r="CM67" i="2"/>
  <c r="CN64" i="3"/>
  <c r="CN65" i="3" s="1"/>
  <c r="CO64" i="3" s="1"/>
  <c r="CO65" i="3" s="1"/>
  <c r="CM39" i="4"/>
  <c r="CM40" i="4"/>
  <c r="CL40" i="4"/>
  <c r="CH62" i="4" s="1"/>
  <c r="CL39" i="4"/>
  <c r="BQ7" i="1" l="1"/>
  <c r="BQ8" i="1" s="1"/>
  <c r="BR7" i="1"/>
  <c r="BR8" i="1" s="1"/>
  <c r="BP7" i="1"/>
  <c r="BP8" i="1" s="1"/>
  <c r="BO7" i="1"/>
  <c r="BS7" i="1" l="1"/>
  <c r="BS8" i="1" s="1"/>
  <c r="BO8" i="1"/>
  <c r="BS14" i="1"/>
  <c r="BS15" i="1" l="1"/>
  <c r="BX15" i="1"/>
  <c r="AY14" i="1"/>
  <c r="AY15" i="1" s="1"/>
  <c r="AX7" i="1"/>
  <c r="AX8" i="1" s="1"/>
  <c r="AW16" i="1"/>
  <c r="AW7" i="1"/>
  <c r="AW8" i="1" s="1"/>
  <c r="AV16" i="1"/>
  <c r="AV7" i="1"/>
  <c r="AV8" i="1" s="1"/>
  <c r="AX16" i="1"/>
  <c r="AU16" i="1"/>
  <c r="AU7" i="1"/>
  <c r="AU8" i="1" s="1"/>
  <c r="BD15" i="1" l="1"/>
  <c r="AY16" i="1"/>
  <c r="AY7" i="1"/>
  <c r="AY8" i="1" s="1"/>
  <c r="CN12" i="1"/>
  <c r="CS14" i="1" l="1"/>
  <c r="CS7" i="1" l="1"/>
  <c r="CS4" i="1" s="1"/>
  <c r="CS10" i="1"/>
  <c r="CS12" i="1" l="1"/>
  <c r="CS8" i="1"/>
  <c r="CS65" i="2" l="1"/>
  <c r="X21" i="15"/>
  <c r="CT6" i="1"/>
  <c r="CS19" i="1"/>
  <c r="CS13" i="1"/>
  <c r="CS6" i="1"/>
  <c r="CS38" i="1"/>
  <c r="CS5" i="1"/>
  <c r="CT13" i="1"/>
  <c r="CS10" i="2"/>
  <c r="CS20" i="1"/>
  <c r="CS25" i="1"/>
  <c r="CS9" i="2"/>
  <c r="CS27" i="1"/>
  <c r="CS26" i="2"/>
  <c r="CS28" i="2"/>
  <c r="CS29" i="1"/>
  <c r="CS24" i="2"/>
  <c r="CS25" i="2"/>
  <c r="CS8" i="2"/>
  <c r="CS11" i="1"/>
  <c r="CS19" i="3" l="1"/>
  <c r="CT19" i="3"/>
  <c r="CS21" i="1"/>
  <c r="CS46" i="2"/>
  <c r="CT18" i="3"/>
  <c r="CS18" i="3"/>
  <c r="CT25" i="3"/>
  <c r="CS25" i="3"/>
  <c r="CS31" i="2"/>
  <c r="CS40" i="2" s="1"/>
  <c r="CT21" i="3"/>
  <c r="CS21" i="3"/>
  <c r="CS31" i="1"/>
  <c r="CT23" i="3"/>
  <c r="CS48" i="2"/>
  <c r="CS23" i="3"/>
  <c r="CT28" i="3"/>
  <c r="CS28" i="3"/>
  <c r="CS20" i="3"/>
  <c r="CT20" i="3"/>
  <c r="CT29" i="3" l="1"/>
  <c r="CS33" i="1"/>
  <c r="CT49" i="2"/>
  <c r="CS49" i="2"/>
  <c r="CS50" i="2"/>
  <c r="CS34" i="1" l="1"/>
  <c r="X31" i="15" s="1"/>
  <c r="CS55" i="1"/>
  <c r="CS42" i="1"/>
  <c r="CT62" i="3"/>
  <c r="CT30" i="3"/>
  <c r="CT39" i="3"/>
  <c r="CT40" i="3" s="1"/>
  <c r="CS43" i="1" l="1"/>
  <c r="CS61" i="1"/>
  <c r="CS56" i="1"/>
  <c r="CS58" i="1" l="1"/>
  <c r="CS62" i="1"/>
  <c r="CS64" i="1" l="1"/>
  <c r="CS52" i="1" s="1"/>
  <c r="CS59" i="1"/>
  <c r="CS67" i="1"/>
  <c r="CS6" i="3" l="1"/>
  <c r="CS69" i="1"/>
  <c r="CS70" i="1" s="1"/>
  <c r="CS65" i="1"/>
  <c r="CS68" i="1"/>
  <c r="X23" i="15"/>
  <c r="CS29" i="3"/>
  <c r="CS53" i="1" l="1"/>
  <c r="CS30" i="3"/>
  <c r="CS39" i="3"/>
  <c r="CS40" i="3" s="1"/>
  <c r="CS62" i="3"/>
  <c r="CR47" i="1" l="1"/>
  <c r="CR50" i="1" l="1"/>
  <c r="L25" i="6"/>
  <c r="E25" i="6"/>
  <c r="F25" i="6" s="1"/>
  <c r="H25" i="6"/>
  <c r="I25" i="6" s="1"/>
  <c r="H26" i="6" l="1"/>
  <c r="I26" i="6" s="1"/>
  <c r="E26" i="6"/>
  <c r="F26" i="6" s="1"/>
  <c r="L26" i="6"/>
  <c r="CT70" i="1" l="1"/>
  <c r="CO76" i="1"/>
  <c r="CT68" i="1" l="1"/>
  <c r="T23" i="15"/>
  <c r="CP64" i="3"/>
  <c r="CO77" i="1"/>
  <c r="CO79" i="1" l="1"/>
  <c r="CO78" i="1"/>
  <c r="CK10" i="1"/>
  <c r="CP15" i="1" s="1"/>
  <c r="CK12" i="1" l="1"/>
  <c r="CK18" i="1"/>
  <c r="CK14" i="1"/>
  <c r="CP7" i="1" l="1"/>
  <c r="CK15" i="1"/>
  <c r="CK7" i="1"/>
  <c r="CK19" i="1"/>
  <c r="CK8" i="1" l="1"/>
  <c r="CP8" i="1"/>
  <c r="CP12" i="1"/>
  <c r="CU14" i="1"/>
  <c r="CU10" i="1" l="1"/>
  <c r="CU7" i="1"/>
  <c r="CP5" i="1"/>
  <c r="CP65" i="2"/>
  <c r="CP19" i="1"/>
  <c r="CP6" i="1"/>
  <c r="U21" i="15"/>
  <c r="CP13" i="1"/>
  <c r="CP38" i="1"/>
  <c r="CP54" i="4"/>
  <c r="CQ56" i="4" s="1"/>
  <c r="CR4" i="1"/>
  <c r="CR54" i="4" l="1"/>
  <c r="CR30" i="3"/>
  <c r="CR40" i="3"/>
  <c r="G15" i="25"/>
  <c r="G12" i="25" s="1"/>
  <c r="E6" i="21"/>
  <c r="D5" i="21"/>
  <c r="CR20" i="1"/>
  <c r="CR21" i="1" s="1"/>
  <c r="K8" i="6"/>
  <c r="CR27" i="1"/>
  <c r="CR28" i="1" s="1"/>
  <c r="CR25" i="1"/>
  <c r="CR26" i="1" s="1"/>
  <c r="L6" i="6"/>
  <c r="E6" i="6"/>
  <c r="H6" i="6"/>
  <c r="I6" i="6" s="1"/>
  <c r="H5" i="21"/>
  <c r="I5" i="21" s="1"/>
  <c r="H14" i="6"/>
  <c r="I14" i="6" s="1"/>
  <c r="E14" i="6"/>
  <c r="F14" i="6" s="1"/>
  <c r="N14" i="6"/>
  <c r="L14" i="6"/>
  <c r="CP48" i="2"/>
  <c r="CQ49" i="2" s="1"/>
  <c r="CP31" i="1"/>
  <c r="CR29" i="1"/>
  <c r="CP46" i="2"/>
  <c r="CP31" i="2"/>
  <c r="CP40" i="2" s="1"/>
  <c r="CU8" i="1"/>
  <c r="CU4" i="1"/>
  <c r="CP21" i="1"/>
  <c r="CP22" i="1" s="1"/>
  <c r="CU12" i="1"/>
  <c r="CR5" i="1"/>
  <c r="W21" i="15"/>
  <c r="CR38" i="1"/>
  <c r="H61" i="19"/>
  <c r="H62" i="19" s="1"/>
  <c r="H63" i="19" s="1"/>
  <c r="CP58" i="4"/>
  <c r="CP51" i="4"/>
  <c r="CP47" i="4"/>
  <c r="CP56" i="4"/>
  <c r="CP55" i="4"/>
  <c r="CR56" i="4" l="1"/>
  <c r="CR55" i="4"/>
  <c r="G16" i="25"/>
  <c r="D6" i="21"/>
  <c r="F5" i="21"/>
  <c r="J5" i="21" s="1"/>
  <c r="G20" i="25"/>
  <c r="G13" i="25"/>
  <c r="K9" i="6"/>
  <c r="H8" i="6"/>
  <c r="I8" i="6" s="1"/>
  <c r="L8" i="6"/>
  <c r="F6" i="6"/>
  <c r="L13" i="6"/>
  <c r="H13" i="6"/>
  <c r="I13" i="6" s="1"/>
  <c r="E13" i="6"/>
  <c r="F13" i="6" s="1"/>
  <c r="N13" i="6"/>
  <c r="N12" i="6"/>
  <c r="E12" i="6"/>
  <c r="F12" i="6" s="1"/>
  <c r="H12" i="6"/>
  <c r="I12" i="6" s="1"/>
  <c r="L12" i="6"/>
  <c r="K15" i="6"/>
  <c r="L7" i="6"/>
  <c r="H7" i="6"/>
  <c r="I7" i="6" s="1"/>
  <c r="E7" i="6"/>
  <c r="F7" i="6" s="1"/>
  <c r="CP33" i="1"/>
  <c r="CU38" i="1"/>
  <c r="CU13" i="1"/>
  <c r="CU19" i="1"/>
  <c r="CU65" i="2"/>
  <c r="CU5" i="1"/>
  <c r="CU6" i="1"/>
  <c r="Z21" i="15"/>
  <c r="CU25" i="1"/>
  <c r="CU20" i="1"/>
  <c r="CU27" i="1"/>
  <c r="CU29" i="1"/>
  <c r="CU25" i="2"/>
  <c r="CU28" i="2"/>
  <c r="CU24" i="2"/>
  <c r="CU9" i="2"/>
  <c r="CU8" i="2"/>
  <c r="CU26" i="2"/>
  <c r="CU10" i="2"/>
  <c r="CQ76" i="1"/>
  <c r="CR30" i="1"/>
  <c r="CR31" i="1"/>
  <c r="CR33" i="1" s="1"/>
  <c r="CR22" i="1"/>
  <c r="S68" i="19" s="1"/>
  <c r="CP50" i="2"/>
  <c r="CP49" i="2"/>
  <c r="CU11" i="1"/>
  <c r="CP34" i="1" l="1"/>
  <c r="U31" i="15" s="1"/>
  <c r="CP42" i="1"/>
  <c r="CP61" i="1" s="1"/>
  <c r="CP63" i="1" s="1"/>
  <c r="H15" i="6"/>
  <c r="I15" i="6" s="1"/>
  <c r="L15" i="6"/>
  <c r="E15" i="6"/>
  <c r="F15" i="6" s="1"/>
  <c r="N9" i="6"/>
  <c r="E9" i="6"/>
  <c r="H9" i="6"/>
  <c r="E8" i="6"/>
  <c r="F8" i="6" s="1"/>
  <c r="K17" i="6"/>
  <c r="CU21" i="1"/>
  <c r="CP55" i="1"/>
  <c r="G28" i="6" s="1"/>
  <c r="G30" i="6" s="1"/>
  <c r="G35" i="6" s="1"/>
  <c r="CU48" i="2"/>
  <c r="CU23" i="3"/>
  <c r="CU20" i="3"/>
  <c r="CR34" i="1"/>
  <c r="W31" i="15" s="1"/>
  <c r="CR42" i="1"/>
  <c r="CR55" i="1"/>
  <c r="CU19" i="3"/>
  <c r="CU28" i="3"/>
  <c r="CU46" i="2"/>
  <c r="CU18" i="3"/>
  <c r="CU31" i="2"/>
  <c r="CU40" i="2" s="1"/>
  <c r="CU21" i="3"/>
  <c r="CU25" i="3"/>
  <c r="CU31" i="1"/>
  <c r="L28" i="6" l="1"/>
  <c r="CP57" i="1"/>
  <c r="CP43" i="1"/>
  <c r="E17" i="6"/>
  <c r="F17" i="6" s="1"/>
  <c r="K18" i="6"/>
  <c r="L17" i="6"/>
  <c r="N17" i="6"/>
  <c r="H17" i="6"/>
  <c r="I17" i="6" s="1"/>
  <c r="K22" i="6"/>
  <c r="CU33" i="1"/>
  <c r="CU34" i="1" s="1"/>
  <c r="Z31" i="15" s="1"/>
  <c r="E28" i="6"/>
  <c r="F28" i="6" s="1"/>
  <c r="CR43" i="1"/>
  <c r="CR61" i="1"/>
  <c r="CU49" i="2"/>
  <c r="CU50" i="2"/>
  <c r="H28" i="6" l="1"/>
  <c r="I28" i="6" s="1"/>
  <c r="CU42" i="1"/>
  <c r="CU43" i="1" s="1"/>
  <c r="CU55" i="1"/>
  <c r="CU56" i="1" s="1"/>
  <c r="CR56" i="1"/>
  <c r="CP58" i="1"/>
  <c r="CP67" i="1" s="1"/>
  <c r="L22" i="6"/>
  <c r="H22" i="6"/>
  <c r="I22" i="6" s="1"/>
  <c r="E22" i="6"/>
  <c r="F22" i="6" s="1"/>
  <c r="K23" i="6"/>
  <c r="K32" i="6"/>
  <c r="CR62" i="1"/>
  <c r="CR63" i="1" s="1"/>
  <c r="H18" i="6"/>
  <c r="I18" i="6" s="1"/>
  <c r="L18" i="6"/>
  <c r="E18" i="6"/>
  <c r="F18" i="6" s="1"/>
  <c r="CP64" i="1"/>
  <c r="CU61" i="1" l="1"/>
  <c r="CU62" i="1" s="1"/>
  <c r="CP59" i="1"/>
  <c r="CR58" i="1"/>
  <c r="CR67" i="1" s="1"/>
  <c r="CR57" i="1"/>
  <c r="E33" i="6"/>
  <c r="F33" i="6" s="1"/>
  <c r="L33" i="6"/>
  <c r="H33" i="6"/>
  <c r="I33" i="6" s="1"/>
  <c r="L32" i="6"/>
  <c r="H32" i="6"/>
  <c r="I32" i="6" s="1"/>
  <c r="K34" i="6"/>
  <c r="E32" i="6"/>
  <c r="F32" i="6" s="1"/>
  <c r="CR64" i="1"/>
  <c r="CR69" i="1" s="1"/>
  <c r="CR70" i="1" s="1"/>
  <c r="L23" i="6"/>
  <c r="H23" i="6"/>
  <c r="I23" i="6" s="1"/>
  <c r="E23" i="6"/>
  <c r="F23" i="6" s="1"/>
  <c r="L29" i="6"/>
  <c r="E29" i="6"/>
  <c r="F29" i="6" s="1"/>
  <c r="H29" i="6"/>
  <c r="I29" i="6" s="1"/>
  <c r="K30" i="6"/>
  <c r="CU58" i="1"/>
  <c r="CP68" i="1"/>
  <c r="U23" i="15"/>
  <c r="CP65" i="1"/>
  <c r="CP69" i="1"/>
  <c r="CP70" i="1" s="1"/>
  <c r="CP52" i="1"/>
  <c r="H7" i="21" l="1"/>
  <c r="I7" i="21" s="1"/>
  <c r="CP54" i="1"/>
  <c r="E30" i="6"/>
  <c r="F30" i="6" s="1"/>
  <c r="K35" i="6"/>
  <c r="H30" i="6"/>
  <c r="I30" i="6" s="1"/>
  <c r="L30" i="6"/>
  <c r="CR65" i="1"/>
  <c r="H34" i="6"/>
  <c r="L34" i="6"/>
  <c r="E34" i="6"/>
  <c r="F34" i="6" s="1"/>
  <c r="K36" i="6"/>
  <c r="CR59" i="1"/>
  <c r="CU64" i="1"/>
  <c r="CU69" i="1" s="1"/>
  <c r="CU70" i="1" s="1"/>
  <c r="CU59" i="1"/>
  <c r="CU67" i="1"/>
  <c r="CR76" i="1"/>
  <c r="CP29" i="3"/>
  <c r="CP76" i="1" s="1"/>
  <c r="CP53" i="1"/>
  <c r="CR52" i="1"/>
  <c r="CR53" i="1" s="1"/>
  <c r="D8" i="21" s="1"/>
  <c r="D7" i="21" s="1"/>
  <c r="F7" i="21" s="1"/>
  <c r="J7" i="21" l="1"/>
  <c r="CN31" i="3"/>
  <c r="CP2" i="3"/>
  <c r="W23" i="15"/>
  <c r="CR68" i="1"/>
  <c r="L36" i="6"/>
  <c r="E36" i="6"/>
  <c r="F36" i="6" s="1"/>
  <c r="H36" i="6"/>
  <c r="I36" i="6" s="1"/>
  <c r="I34" i="6"/>
  <c r="H9" i="21"/>
  <c r="I9" i="21" s="1"/>
  <c r="J9" i="21" s="1"/>
  <c r="N35" i="6"/>
  <c r="E35" i="6"/>
  <c r="F35" i="6" s="1"/>
  <c r="H35" i="6"/>
  <c r="I35" i="6" s="1"/>
  <c r="L35" i="6"/>
  <c r="CU65" i="1"/>
  <c r="CU6" i="3"/>
  <c r="CU29" i="3" s="1"/>
  <c r="CU52" i="1"/>
  <c r="CP30" i="3"/>
  <c r="CP39" i="3"/>
  <c r="CP40" i="3" s="1"/>
  <c r="CP62" i="3"/>
  <c r="CU68" i="1"/>
  <c r="Z23" i="15"/>
  <c r="CU53" i="1" l="1"/>
  <c r="CW64" i="3"/>
  <c r="CS64" i="3"/>
  <c r="CS65" i="3" s="1"/>
  <c r="CT64" i="3" s="1"/>
  <c r="CT65" i="3" s="1"/>
  <c r="CU64" i="3" s="1"/>
  <c r="CR67" i="2"/>
  <c r="CP65" i="3"/>
  <c r="CQ64" i="3" s="1"/>
  <c r="CQ65" i="3" s="1"/>
  <c r="CU62" i="3"/>
  <c r="CU39" i="3"/>
  <c r="CU40" i="3" s="1"/>
  <c r="CU30" i="3"/>
  <c r="CQ77" i="1" l="1"/>
  <c r="CP11" i="2"/>
  <c r="CP18" i="2" s="1"/>
  <c r="CP42" i="2" s="1"/>
  <c r="CP44" i="2" s="1"/>
  <c r="CU65" i="3"/>
  <c r="CV64" i="3" s="1"/>
  <c r="CQ79" i="1" l="1"/>
  <c r="CQ78" i="1"/>
  <c r="CR6" i="2"/>
  <c r="CS6" i="2" l="1"/>
  <c r="C5" i="17"/>
  <c r="C6" i="17" s="1"/>
  <c r="CS11" i="2"/>
  <c r="CS18" i="2" s="1"/>
  <c r="CS42" i="2" s="1"/>
  <c r="CS44" i="2" s="1"/>
  <c r="CT6" i="2"/>
  <c r="CR11" i="2"/>
  <c r="CR18" i="2" s="1"/>
  <c r="CR42" i="2" s="1"/>
  <c r="CR44" i="2" s="1"/>
  <c r="CT11" i="2" l="1"/>
  <c r="CT18" i="2" s="1"/>
  <c r="CT42" i="2" s="1"/>
  <c r="CT44" i="2" s="1"/>
  <c r="CU6" i="2"/>
  <c r="CU11" i="2" l="1"/>
  <c r="CU18" i="2" s="1"/>
  <c r="CU42" i="2" s="1"/>
  <c r="CU44" i="2" s="1"/>
  <c r="L10" i="24" l="1"/>
  <c r="J5" i="24"/>
  <c r="L8" i="24"/>
  <c r="L5" i="24" l="1"/>
  <c r="N14" i="24"/>
  <c r="N11" i="24"/>
  <c r="N8" i="24"/>
  <c r="J7" i="24"/>
  <c r="L7" i="24" s="1"/>
  <c r="CL18" i="1"/>
  <c r="CL19" i="1" s="1"/>
  <c r="CL12" i="1"/>
  <c r="CM10" i="1"/>
  <c r="CM12" i="1" s="1"/>
  <c r="CM18" i="1" l="1"/>
  <c r="CM19" i="1" s="1"/>
  <c r="CL14" i="1"/>
  <c r="CL15" i="1" l="1"/>
  <c r="CM14" i="1"/>
  <c r="CM15" i="1" s="1"/>
  <c r="CL7" i="1"/>
  <c r="CL8" i="1" l="1"/>
  <c r="CM7" i="1"/>
  <c r="CM8" i="1" s="1"/>
  <c r="CL11" i="1"/>
  <c r="CV14" i="1"/>
  <c r="CW14" i="1" l="1"/>
  <c r="CV10" i="1"/>
  <c r="CV7" i="1"/>
  <c r="CQ12" i="1"/>
  <c r="CR10" i="1"/>
  <c r="CR12" i="1" s="1"/>
  <c r="CQ14" i="1"/>
  <c r="CQ18" i="1"/>
  <c r="CR18" i="1" l="1"/>
  <c r="CR19" i="1" s="1"/>
  <c r="CQ19" i="1"/>
  <c r="CQ7" i="1"/>
  <c r="CQ15" i="1"/>
  <c r="CR14" i="1"/>
  <c r="CR15" i="1" s="1"/>
  <c r="CV8" i="1"/>
  <c r="CW7" i="1"/>
  <c r="CW8" i="1" s="1"/>
  <c r="CV4" i="1"/>
  <c r="CV12" i="1"/>
  <c r="CW10" i="1"/>
  <c r="CW12" i="1" s="1"/>
  <c r="CV11" i="1"/>
  <c r="CW15" i="1"/>
  <c r="CV25" i="1" l="1"/>
  <c r="CW25" i="1" s="1"/>
  <c r="CV38" i="1"/>
  <c r="CV65" i="2"/>
  <c r="CV13" i="1"/>
  <c r="CV5" i="1"/>
  <c r="CV6" i="1"/>
  <c r="CV20" i="1"/>
  <c r="CW20" i="1" s="1"/>
  <c r="CV27" i="1"/>
  <c r="CW27" i="1" s="1"/>
  <c r="CV19" i="1"/>
  <c r="AA21" i="15"/>
  <c r="CV26" i="2"/>
  <c r="CV10" i="2"/>
  <c r="CV29" i="1"/>
  <c r="CV24" i="2"/>
  <c r="CV28" i="2"/>
  <c r="CV9" i="2"/>
  <c r="CV8" i="2"/>
  <c r="CV25" i="2"/>
  <c r="CW4" i="1"/>
  <c r="CW19" i="1" s="1"/>
  <c r="CR7" i="1"/>
  <c r="CR8" i="1" s="1"/>
  <c r="CQ8" i="1"/>
  <c r="CV21" i="1" l="1"/>
  <c r="CW28" i="1"/>
  <c r="CW10" i="2"/>
  <c r="CV19" i="3"/>
  <c r="CW19" i="3" s="1"/>
  <c r="AB21" i="15"/>
  <c r="CW5" i="1"/>
  <c r="CW38" i="1"/>
  <c r="H15" i="25"/>
  <c r="CW21" i="1"/>
  <c r="CV28" i="3"/>
  <c r="CW28" i="3" s="1"/>
  <c r="CW26" i="2"/>
  <c r="CW25" i="2"/>
  <c r="CV25" i="3"/>
  <c r="CW25" i="3" s="1"/>
  <c r="CW24" i="2"/>
  <c r="CV21" i="3"/>
  <c r="CW21" i="3" s="1"/>
  <c r="CV31" i="2"/>
  <c r="CV46" i="2"/>
  <c r="CV18" i="3"/>
  <c r="CW18" i="3" s="1"/>
  <c r="CW8" i="2"/>
  <c r="CW9" i="2"/>
  <c r="CV20" i="3"/>
  <c r="CW20" i="3" s="1"/>
  <c r="CV23" i="3"/>
  <c r="CW23" i="3" s="1"/>
  <c r="CW28" i="2"/>
  <c r="CV48" i="2"/>
  <c r="CW29" i="1"/>
  <c r="CV31" i="1"/>
  <c r="CV33" i="1" s="1"/>
  <c r="CW26" i="1"/>
  <c r="CV34" i="1" l="1"/>
  <c r="AA31" i="15" s="1"/>
  <c r="CV55" i="1"/>
  <c r="CV42" i="1"/>
  <c r="CV49" i="2"/>
  <c r="CV50" i="2"/>
  <c r="CW22" i="1"/>
  <c r="CW30" i="1"/>
  <c r="CW31" i="1"/>
  <c r="CW33" i="1" s="1"/>
  <c r="H16" i="25"/>
  <c r="H12" i="25"/>
  <c r="CV40" i="2"/>
  <c r="CW40" i="2" s="1"/>
  <c r="CW31" i="2"/>
  <c r="CW34" i="1" l="1"/>
  <c r="AB31" i="15" s="1"/>
  <c r="CW55" i="1"/>
  <c r="CW42" i="1"/>
  <c r="CV56" i="1"/>
  <c r="CW56" i="1" s="1"/>
  <c r="H20" i="25"/>
  <c r="H21" i="25" s="1"/>
  <c r="H13" i="25"/>
  <c r="CV43" i="1"/>
  <c r="CV61" i="1"/>
  <c r="CW57" i="1" l="1"/>
  <c r="CV58" i="1"/>
  <c r="CV59" i="1" s="1"/>
  <c r="CV62" i="1"/>
  <c r="CW62" i="1" s="1"/>
  <c r="CW43" i="1"/>
  <c r="CW61" i="1"/>
  <c r="CW58" i="1"/>
  <c r="CW67" i="1" s="1"/>
  <c r="CV67" i="1" l="1"/>
  <c r="CV68" i="1" s="1"/>
  <c r="CW64" i="1"/>
  <c r="CW65" i="1" s="1"/>
  <c r="CV64" i="1"/>
  <c r="CV65" i="1" s="1"/>
  <c r="CW59" i="1"/>
  <c r="CW63" i="1"/>
  <c r="AA23" i="15" l="1"/>
  <c r="CV6" i="3"/>
  <c r="CW6" i="3" s="1"/>
  <c r="CW29" i="3" s="1"/>
  <c r="CW69" i="1"/>
  <c r="CW70" i="1" s="1"/>
  <c r="CV52" i="1"/>
  <c r="CV53" i="1" s="1"/>
  <c r="CV69" i="1"/>
  <c r="CV70" i="1" s="1"/>
  <c r="CW68" i="1"/>
  <c r="AB23" i="15"/>
  <c r="CV29" i="3" l="1"/>
  <c r="CV39" i="3" s="1"/>
  <c r="CV40" i="3" s="1"/>
  <c r="CW52" i="1"/>
  <c r="C2" i="17" s="1"/>
  <c r="C7" i="17" s="1"/>
  <c r="CW62" i="3"/>
  <c r="CW65" i="3" s="1"/>
  <c r="CW30" i="3"/>
  <c r="CW39" i="3"/>
  <c r="CV62" i="3" l="1"/>
  <c r="CV30" i="3"/>
  <c r="CW53" i="1"/>
  <c r="CW67" i="2"/>
  <c r="CW40" i="3"/>
  <c r="CV6" i="2"/>
  <c r="CV65" i="3"/>
  <c r="CW6" i="2" l="1"/>
  <c r="CV11" i="2"/>
  <c r="CV18" i="2" l="1"/>
  <c r="CV42" i="2" s="1"/>
  <c r="CV44" i="2" s="1"/>
  <c r="CW11" i="2"/>
  <c r="CW18" i="2" s="1"/>
  <c r="CW42" i="2" s="1"/>
  <c r="CW4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A1" authorId="0" shapeId="0" xr:uid="{43B4FE26-7D3A-4956-BE9D-90DBF1D3CA26}">
      <text>
        <r>
          <rPr>
            <b/>
            <sz val="9"/>
            <color indexed="81"/>
            <rFont val="Tahoma"/>
            <family val="2"/>
          </rPr>
          <t>&lt;?xml version="1.0" encoding="utf-8"?&gt;&lt;Schema xmlns:xsd="http://www.w3.org/2001/XMLSchema" xmlns:xsi="http://www.w3.org/2001/XMLSchema-instance" Version="2" Timestamp="1770941651"&gt;&lt;FQL&gt;&lt;Q&gt;SPSC^P_PRICE(NOW)&lt;/Q&gt;&lt;R&gt;1&lt;/R&gt;&lt;C&gt;1&lt;/C&gt;&lt;D xsi:type="xsd:double"&gt;115.28&lt;/D&gt;&lt;/FQL&gt;&lt;/Schema&gt;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H7" authorId="0" shapeId="0" xr:uid="{9946F73B-B6C0-4399-9302-8371F317DB65}">
      <text>
        <r>
          <rPr>
            <b/>
            <sz val="9"/>
            <color indexed="81"/>
            <rFont val="Tahoma"/>
            <family val="2"/>
          </rPr>
          <t>Black, Ian:</t>
        </r>
        <r>
          <rPr>
            <sz val="9"/>
            <color indexed="81"/>
            <rFont val="Tahoma"/>
            <family val="2"/>
          </rPr>
          <t xml:space="preserve">
Reference must be changed quarterly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CP16" authorId="0" shapeId="0" xr:uid="{DE6C7BEB-B610-49B1-A423-3CE289BFA40C}">
      <text>
        <r>
          <rPr>
            <b/>
            <sz val="9"/>
            <color indexed="81"/>
            <rFont val="Tahoma"/>
            <family val="2"/>
          </rPr>
          <t>Black, Ian:</t>
        </r>
        <r>
          <rPr>
            <sz val="9"/>
            <color indexed="81"/>
            <rFont val="Tahoma"/>
            <family val="2"/>
          </rPr>
          <t xml:space="preserve">
Initially 13,250. Lowered Carbon6 10% on weakness</t>
        </r>
      </text>
    </comment>
    <comment ref="CQ16" authorId="0" shapeId="0" xr:uid="{49F79929-E566-44E9-9071-3FEBB7F1CE67}">
      <text>
        <r>
          <rPr>
            <b/>
            <sz val="9"/>
            <color indexed="81"/>
            <rFont val="Tahoma"/>
            <family val="2"/>
          </rPr>
          <t>Black, Ian:</t>
        </r>
        <r>
          <rPr>
            <sz val="9"/>
            <color indexed="81"/>
            <rFont val="Tahoma"/>
            <family val="2"/>
          </rPr>
          <t xml:space="preserve">
Initially 14mm, lowered Carbon 6 10% on weakness</t>
        </r>
      </text>
    </comment>
    <comment ref="CS16" authorId="0" shapeId="0" xr:uid="{D8B9BE84-F1CE-45B9-A7A4-D355B3426DF6}">
      <text>
        <r>
          <rPr>
            <b/>
            <sz val="9"/>
            <color indexed="81"/>
            <rFont val="Tahoma"/>
            <family val="2"/>
          </rPr>
          <t>Black, Ian:</t>
        </r>
        <r>
          <rPr>
            <sz val="9"/>
            <color indexed="81"/>
            <rFont val="Tahoma"/>
            <family val="2"/>
          </rPr>
          <t xml:space="preserve">
Originally 5mm, lowered 10% on weakness in Carbon6 and 10% on conservativism</t>
        </r>
      </text>
    </comment>
    <comment ref="CQ30" authorId="0" shapeId="0" xr:uid="{A80D901C-A904-4A38-A937-F00855B76549}">
      <text>
        <r>
          <rPr>
            <b/>
            <sz val="9"/>
            <color indexed="81"/>
            <rFont val="Tahoma"/>
            <family val="2"/>
          </rPr>
          <t>Black, Ian:</t>
        </r>
        <r>
          <rPr>
            <sz val="9"/>
            <color indexed="81"/>
            <rFont val="Tahoma"/>
            <family val="2"/>
          </rPr>
          <t xml:space="preserve">
ERP Migration</t>
        </r>
      </text>
    </comment>
    <comment ref="C48" authorId="0" shapeId="0" xr:uid="{91D9EFB8-38C4-4E6C-822D-FB9B992D0816}">
      <text>
        <r>
          <rPr>
            <b/>
            <sz val="9"/>
            <color indexed="81"/>
            <rFont val="Tahoma"/>
            <family val="2"/>
          </rPr>
          <t>Black, Ian:</t>
        </r>
        <r>
          <rPr>
            <sz val="9"/>
            <color indexed="81"/>
            <rFont val="Tahoma"/>
            <family val="2"/>
          </rPr>
          <t xml:space="preserve">
"Realized (gain) loss from investments held and foreign currency impact on cash and investments"</t>
        </r>
      </text>
    </comment>
    <comment ref="CK48" authorId="0" shapeId="0" xr:uid="{A02779B4-51E5-42EF-A5E3-8BB7C359B5D0}">
      <text>
        <r>
          <rPr>
            <b/>
            <sz val="9"/>
            <color indexed="81"/>
            <rFont val="Tahoma"/>
            <family val="2"/>
          </rPr>
          <t>Black, Ian:</t>
        </r>
        <r>
          <rPr>
            <sz val="9"/>
            <color indexed="81"/>
            <rFont val="Tahoma"/>
            <family val="2"/>
          </rPr>
          <t xml:space="preserve">
3,778</t>
        </r>
      </text>
    </comment>
    <comment ref="C49" authorId="0" shapeId="0" xr:uid="{703692DB-186F-4BD2-9C92-DF6531A906E3}">
      <text>
        <r>
          <rPr>
            <b/>
            <sz val="9"/>
            <color indexed="81"/>
            <rFont val="Tahoma"/>
            <family val="2"/>
          </rPr>
          <t>Black, Ian:</t>
        </r>
        <r>
          <rPr>
            <sz val="9"/>
            <color indexed="81"/>
            <rFont val="Tahoma"/>
            <family val="2"/>
          </rPr>
          <t xml:space="preserve">
"Other" on Net Income to Non-GAAP Income table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CN13" authorId="0" shapeId="0" xr:uid="{034DD3C5-43AF-466C-BEA5-3AF7BA9FBFBD}">
      <text>
        <r>
          <rPr>
            <b/>
            <sz val="9"/>
            <color indexed="81"/>
            <rFont val="Tahoma"/>
            <family val="2"/>
          </rPr>
          <t>Black, Ian:</t>
        </r>
        <r>
          <rPr>
            <sz val="9"/>
            <color indexed="81"/>
            <rFont val="Tahoma"/>
            <family val="2"/>
          </rPr>
          <t xml:space="preserve">
Includes 300 additions from Carbon6</t>
        </r>
      </text>
    </comment>
    <comment ref="C15" authorId="0" shapeId="0" xr:uid="{ED74E40C-1403-41A8-922B-1AAA1FF24597}">
      <text>
        <r>
          <rPr>
            <b/>
            <sz val="9"/>
            <color indexed="81"/>
            <rFont val="Tahoma"/>
            <family val="2"/>
          </rPr>
          <t>Black, Ian:</t>
        </r>
        <r>
          <rPr>
            <sz val="9"/>
            <color indexed="81"/>
            <rFont val="Tahoma"/>
            <family val="2"/>
          </rPr>
          <t xml:space="preserve">
Exclusively 3P customers from Carbon6</t>
        </r>
      </text>
    </comment>
    <comment ref="CN15" authorId="0" shapeId="0" xr:uid="{F5F56B17-44E8-4B4E-A5BF-8AFEEB9BAA86}">
      <text>
        <r>
          <rPr>
            <b/>
            <sz val="9"/>
            <color indexed="81"/>
            <rFont val="Tahoma"/>
            <family val="2"/>
          </rPr>
          <t>Black, Ian:</t>
        </r>
        <r>
          <rPr>
            <sz val="9"/>
            <color indexed="81"/>
            <rFont val="Tahoma"/>
            <family val="2"/>
          </rPr>
          <t xml:space="preserve">
Carbon6 acquisition closes</t>
        </r>
      </text>
    </comment>
    <comment ref="CB42" authorId="0" shapeId="0" xr:uid="{78DE1823-C06A-4492-900C-EB985A4BFA06}">
      <text>
        <r>
          <rPr>
            <b/>
            <sz val="9"/>
            <color indexed="81"/>
            <rFont val="Tahoma"/>
            <family val="2"/>
          </rPr>
          <t>Black, Ian:</t>
        </r>
        <r>
          <rPr>
            <sz val="9"/>
            <color indexed="81"/>
            <rFont val="Tahoma"/>
            <family val="2"/>
          </rPr>
          <t xml:space="preserve">
Acquisition of InterTrade Systems</t>
        </r>
      </text>
    </comment>
    <comment ref="CJ42" authorId="0" shapeId="0" xr:uid="{4EC055B8-03FA-4EC4-9C41-2972F5D769CB}">
      <text>
        <r>
          <rPr>
            <b/>
            <sz val="9"/>
            <color indexed="81"/>
            <rFont val="Tahoma"/>
            <family val="2"/>
          </rPr>
          <t>Black, Ian:</t>
        </r>
        <r>
          <rPr>
            <sz val="9"/>
            <color indexed="81"/>
            <rFont val="Tahoma"/>
            <family val="2"/>
          </rPr>
          <t xml:space="preserve">
Supply Pike acquisition</t>
        </r>
      </text>
    </comment>
    <comment ref="CL42" authorId="0" shapeId="0" xr:uid="{5767F755-8AB8-4BC5-B557-5692C3F87A18}">
      <text>
        <r>
          <rPr>
            <b/>
            <sz val="9"/>
            <color indexed="81"/>
            <rFont val="Tahoma"/>
            <family val="2"/>
          </rPr>
          <t>Black, Ian:</t>
        </r>
        <r>
          <rPr>
            <sz val="9"/>
            <color indexed="81"/>
            <rFont val="Tahoma"/>
            <family val="2"/>
          </rPr>
          <t xml:space="preserve">
Carbon6 acquisition</t>
        </r>
      </text>
    </comment>
  </commentList>
</comments>
</file>

<file path=xl/sharedStrings.xml><?xml version="1.0" encoding="utf-8"?>
<sst xmlns="http://schemas.openxmlformats.org/spreadsheetml/2006/main" count="1264" uniqueCount="586">
  <si>
    <t>Y/Y Growth</t>
  </si>
  <si>
    <t>Q/Q Growth</t>
  </si>
  <si>
    <t>1QA</t>
  </si>
  <si>
    <t>2QA</t>
  </si>
  <si>
    <t>3QA</t>
  </si>
  <si>
    <t>4QA</t>
  </si>
  <si>
    <t>Gross Profit</t>
  </si>
  <si>
    <t>Gross Margins</t>
  </si>
  <si>
    <t>Operating Expenses</t>
  </si>
  <si>
    <t>Sales and marketing</t>
  </si>
  <si>
    <t xml:space="preserve">   % of Revenue</t>
  </si>
  <si>
    <t>Research and development</t>
  </si>
  <si>
    <t>General and administrative</t>
  </si>
  <si>
    <t>Total Operating Expenses</t>
  </si>
  <si>
    <t>Proforma Operating Income</t>
  </si>
  <si>
    <t>Proforma Operating Margins</t>
  </si>
  <si>
    <t>Stock-based Compensation</t>
  </si>
  <si>
    <t>GAAP Operating Income</t>
  </si>
  <si>
    <t>GAAP Operating Margin</t>
  </si>
  <si>
    <t>Adjusted EBITDA</t>
  </si>
  <si>
    <t>EBITDA Margins</t>
  </si>
  <si>
    <t>Proforma Income Before Taxes</t>
  </si>
  <si>
    <t>Income Tax</t>
  </si>
  <si>
    <t>Reported Tax Rate %</t>
  </si>
  <si>
    <t>Proforma Net Margin</t>
  </si>
  <si>
    <t>GAAP Pre-Tax Income</t>
  </si>
  <si>
    <t>Tax Rate %</t>
  </si>
  <si>
    <t>GAAP Net margin</t>
  </si>
  <si>
    <t>Proforma EPS</t>
  </si>
  <si>
    <t>Y/Y Growth %</t>
  </si>
  <si>
    <t>GAAP EPS</t>
  </si>
  <si>
    <t>Deferred Revenue</t>
  </si>
  <si>
    <t>CFO</t>
  </si>
  <si>
    <t>Cash Balance</t>
  </si>
  <si>
    <t>Cash/Share</t>
  </si>
  <si>
    <t>Basic Shares Oustanding</t>
  </si>
  <si>
    <t>Fully Diluted Share Outstanding</t>
  </si>
  <si>
    <t>Balance Sheet</t>
  </si>
  <si>
    <t>Assets</t>
  </si>
  <si>
    <t>Cash and equivalents</t>
  </si>
  <si>
    <t>Accounts receivables</t>
  </si>
  <si>
    <t>Deferred costs, current</t>
  </si>
  <si>
    <t>Prepaid expenses and other assets</t>
  </si>
  <si>
    <t>Total Current Assets</t>
  </si>
  <si>
    <t>Total PP&amp;E</t>
  </si>
  <si>
    <t>Goodwill</t>
  </si>
  <si>
    <t>Intangible assets</t>
  </si>
  <si>
    <t>Other assets</t>
  </si>
  <si>
    <t>Total Assets</t>
  </si>
  <si>
    <t>Liabilities and Equity</t>
  </si>
  <si>
    <t>Current portion of capital lease</t>
  </si>
  <si>
    <t>Equipment and term loans</t>
  </si>
  <si>
    <t>Line of credit</t>
  </si>
  <si>
    <t>Accounts payable</t>
  </si>
  <si>
    <t>Accrued compensation and benefits</t>
  </si>
  <si>
    <t>Accrued expenses and other curr. Liab.</t>
  </si>
  <si>
    <t>Deferred rent</t>
  </si>
  <si>
    <t>Current portion of deferred revenues</t>
  </si>
  <si>
    <t>Interest payable</t>
  </si>
  <si>
    <t>Total current liabilities</t>
  </si>
  <si>
    <t>Deferred revenue, net of current portion</t>
  </si>
  <si>
    <t>Equipment and terms loans, net of current portion</t>
  </si>
  <si>
    <t>Capital lease obligations</t>
  </si>
  <si>
    <t>Convertible preferred stock warrant liability</t>
  </si>
  <si>
    <t>Deferred tax liability</t>
  </si>
  <si>
    <t>Total liabilities</t>
  </si>
  <si>
    <t>Total stockholders' equity</t>
  </si>
  <si>
    <t>Total Liabilities and Equity</t>
  </si>
  <si>
    <t>Cash Flows</t>
  </si>
  <si>
    <t>Operating activities</t>
  </si>
  <si>
    <t>Net income (loss)</t>
  </si>
  <si>
    <t>Depreciation and amortization</t>
  </si>
  <si>
    <t>Provision for doubtful accounts</t>
  </si>
  <si>
    <t>Amortization of debt issue costs</t>
  </si>
  <si>
    <t>Stock based compensation</t>
  </si>
  <si>
    <t>Change in carrying value of pref. stock warrants</t>
  </si>
  <si>
    <t>Deferred costs</t>
  </si>
  <si>
    <t>Deferred revenue</t>
  </si>
  <si>
    <t>Accrued expenses and other current liabilities</t>
  </si>
  <si>
    <t>Investing Activities</t>
  </si>
  <si>
    <t>Purchase of PP&amp;E</t>
  </si>
  <si>
    <t>Maturities of short-term investments</t>
  </si>
  <si>
    <t>Purchase of short-term investments</t>
  </si>
  <si>
    <t>Financing Activities</t>
  </si>
  <si>
    <t>Borrowing on line of credit</t>
  </si>
  <si>
    <t>Payments on line of credit</t>
  </si>
  <si>
    <t>Proceeds from equipment loans</t>
  </si>
  <si>
    <t>Payments on equipment lons</t>
  </si>
  <si>
    <t>Payments on term loans</t>
  </si>
  <si>
    <t>Proceeds from exercise of stock options</t>
  </si>
  <si>
    <t>Payments of capital lease obligations</t>
  </si>
  <si>
    <t>Proceeds from preferred stock</t>
  </si>
  <si>
    <t>Purchase of preferred and common stock</t>
  </si>
  <si>
    <t>Cash and equivalents at beginning of period</t>
  </si>
  <si>
    <t>Cash and equivalents at end of period</t>
  </si>
  <si>
    <t>Non-cash interest expense</t>
  </si>
  <si>
    <t>Long-term debt</t>
  </si>
  <si>
    <t>Customer Count</t>
  </si>
  <si>
    <t>Recurring Rev as a % of Rev</t>
  </si>
  <si>
    <t>Revenue per customer (calculated)</t>
  </si>
  <si>
    <t>Non-recurring revenue</t>
  </si>
  <si>
    <t>AR as a % of Rev</t>
  </si>
  <si>
    <t>Deferred Costs of a % of Rev</t>
  </si>
  <si>
    <t>Prepaid expenses as a % of Rev</t>
  </si>
  <si>
    <t>AP as a % of Rev</t>
  </si>
  <si>
    <t>Accrued Comp/benefits as a % of Rev</t>
  </si>
  <si>
    <t>Accrued expenses as a % of Rev</t>
  </si>
  <si>
    <t>Current portions of Def. Rev as a % of Rev</t>
  </si>
  <si>
    <t>Def. Rev, net of current, as a % of Rev</t>
  </si>
  <si>
    <t>DSO</t>
  </si>
  <si>
    <t>D&amp;A as a % of PPE</t>
  </si>
  <si>
    <t>Free Cash Flow (FCF)</t>
  </si>
  <si>
    <t>Recurring revenue</t>
  </si>
  <si>
    <t>% ot total Rev</t>
  </si>
  <si>
    <t>% of total Rev</t>
  </si>
  <si>
    <t>Proceeds from public offering</t>
  </si>
  <si>
    <t>Guidance</t>
  </si>
  <si>
    <t>Revenue</t>
  </si>
  <si>
    <t>Non-GAAP EPS</t>
  </si>
  <si>
    <t>SPSC Estimates</t>
  </si>
  <si>
    <t>4QE</t>
  </si>
  <si>
    <t>3QE</t>
  </si>
  <si>
    <t>2QE</t>
  </si>
  <si>
    <t>$ in thousands, except per share data</t>
  </si>
  <si>
    <t>Y/Y Change</t>
  </si>
  <si>
    <t>% Change</t>
  </si>
  <si>
    <t>Total Operating Expense</t>
  </si>
  <si>
    <t>GAAP Operating Margins</t>
  </si>
  <si>
    <t>Proforma Net Income</t>
  </si>
  <si>
    <t>GAAP Income Before Taxes</t>
  </si>
  <si>
    <t>GAAP Net Income</t>
  </si>
  <si>
    <t>Diluted Shares Outstanding</t>
  </si>
  <si>
    <t>SPS Commerce</t>
  </si>
  <si>
    <t>Organic Revenue</t>
  </si>
  <si>
    <t>y/y growth</t>
  </si>
  <si>
    <t>Amortization of Intangible assets</t>
  </si>
  <si>
    <t>Amortization of acquired intangibles</t>
  </si>
  <si>
    <t>Acquisitions</t>
  </si>
  <si>
    <t>475 organic</t>
  </si>
  <si>
    <t>CFO as a % of revs</t>
  </si>
  <si>
    <t>Deferred Income taxes</t>
  </si>
  <si>
    <t>Customer Additions</t>
  </si>
  <si>
    <t>Y/Y</t>
  </si>
  <si>
    <t>Q/Q</t>
  </si>
  <si>
    <t>Net New Annual Recurring Revenues</t>
  </si>
  <si>
    <t>Total annual recurring revenue at quarter end</t>
  </si>
  <si>
    <t>q/q change, net new annual rec. rev sales</t>
  </si>
  <si>
    <t>Organic total annual rec. rev (excluding acq.)</t>
  </si>
  <si>
    <t>organic q/q change</t>
  </si>
  <si>
    <t>Sales Headcount</t>
  </si>
  <si>
    <t>5 from edifice</t>
  </si>
  <si>
    <t>6 from DirectEDI</t>
  </si>
  <si>
    <t>ARR Calculation</t>
  </si>
  <si>
    <t>Deferred Revs</t>
  </si>
  <si>
    <t>q/q change</t>
  </si>
  <si>
    <t>Y/Y change</t>
  </si>
  <si>
    <t>LT Def Revs y/y</t>
  </si>
  <si>
    <t>q/q</t>
  </si>
  <si>
    <t>3Q13</t>
  </si>
  <si>
    <t>4Q13</t>
  </si>
  <si>
    <t>1Q14</t>
  </si>
  <si>
    <t>2Q14</t>
  </si>
  <si>
    <t>3Q14</t>
  </si>
  <si>
    <t>Excess tax benefit from exercise of options to purchase common stock</t>
  </si>
  <si>
    <t>4Q14</t>
  </si>
  <si>
    <t>Effect of foreign currency exchange rate changes</t>
  </si>
  <si>
    <t>2016E</t>
  </si>
  <si>
    <t>2Q15</t>
  </si>
  <si>
    <t>Source: Company reports and Needham &amp; Co estimates</t>
  </si>
  <si>
    <t>Needham</t>
  </si>
  <si>
    <t xml:space="preserve">Proceeds from employee stock purchase plan </t>
  </si>
  <si>
    <t>3Q15</t>
  </si>
  <si>
    <t>763-350-4027</t>
  </si>
  <si>
    <t>Scott Berg, sberg@needhamco.com</t>
  </si>
  <si>
    <t>4Q15</t>
  </si>
  <si>
    <t xml:space="preserve">Trading Partners </t>
  </si>
  <si>
    <t xml:space="preserve">Retailers </t>
  </si>
  <si>
    <t>1Q15</t>
  </si>
  <si>
    <t>1Q16</t>
  </si>
  <si>
    <t>2Q16</t>
  </si>
  <si>
    <t>3Q16</t>
  </si>
  <si>
    <t>4Q16</t>
  </si>
  <si>
    <t>Total Headcount</t>
  </si>
  <si>
    <t>1Q12</t>
  </si>
  <si>
    <t>1Q13</t>
  </si>
  <si>
    <t>2Q13</t>
  </si>
  <si>
    <t>2Q12</t>
  </si>
  <si>
    <t>3Q12</t>
  </si>
  <si>
    <t>4Q12</t>
  </si>
  <si>
    <t>ARPU</t>
  </si>
  <si>
    <t xml:space="preserve">Partner channels </t>
  </si>
  <si>
    <t xml:space="preserve">Sales Headcount Growth </t>
  </si>
  <si>
    <t>1Q16 Est.</t>
  </si>
  <si>
    <t>1Q16 old</t>
  </si>
  <si>
    <t>SPSC 1Q16</t>
  </si>
  <si>
    <t>SPSC FY16</t>
  </si>
  <si>
    <t>FY16 old</t>
  </si>
  <si>
    <t>FY16 Est.</t>
  </si>
  <si>
    <t>$45.3M</t>
  </si>
  <si>
    <t>$193.5M</t>
  </si>
  <si>
    <t>Source: Company Reports and Needham &amp; Company Estimates</t>
  </si>
  <si>
    <t>$44.5M - $45.0M</t>
  </si>
  <si>
    <t>$0.20-$0.22</t>
  </si>
  <si>
    <t>$191.5M-$193.0M</t>
  </si>
  <si>
    <t>$0.92-$0.95</t>
  </si>
  <si>
    <t>$45.8M</t>
  </si>
  <si>
    <t>$192.3M</t>
  </si>
  <si>
    <t>Organic Recurring revenue</t>
  </si>
  <si>
    <t>Inorganic Recurring revenue</t>
  </si>
  <si>
    <t xml:space="preserve">Short term marketable securities </t>
  </si>
  <si>
    <t>Marketable securities, non-current</t>
  </si>
  <si>
    <t>Recurring Revenue</t>
  </si>
  <si>
    <t>LTM Rev</t>
  </si>
  <si>
    <t>Change in LTM Recurring Rev</t>
  </si>
  <si>
    <t>Retention Rate</t>
  </si>
  <si>
    <t>Revenue Retention Rate</t>
  </si>
  <si>
    <t>NTM Gross Revenue Churn</t>
  </si>
  <si>
    <t>LTM S&amp;M</t>
  </si>
  <si>
    <t>Revenue Ratio</t>
  </si>
  <si>
    <t>Gross New Revenue</t>
  </si>
  <si>
    <t>Net New Revenue</t>
  </si>
  <si>
    <t xml:space="preserve">Q/Q Change </t>
  </si>
  <si>
    <t xml:space="preserve">New Rep Additions </t>
  </si>
  <si>
    <t>Share based earn-out liability</t>
  </si>
  <si>
    <t>2Q16 old</t>
  </si>
  <si>
    <t>2Q16 Est.</t>
  </si>
  <si>
    <t>SPSC 2Q16</t>
  </si>
  <si>
    <t>$192.1M-$193.6M</t>
  </si>
  <si>
    <t>$0.93-$0.95</t>
  </si>
  <si>
    <t>$0.19-$0.20</t>
  </si>
  <si>
    <t>$46.7M - $47.2M</t>
  </si>
  <si>
    <t>$46.9M</t>
  </si>
  <si>
    <t xml:space="preserve">Other </t>
  </si>
  <si>
    <t>$193.2M</t>
  </si>
  <si>
    <t>$47.0M</t>
  </si>
  <si>
    <t>3Q16 old</t>
  </si>
  <si>
    <t>SPSC 3Q16</t>
  </si>
  <si>
    <t>3Q16 Est.</t>
  </si>
  <si>
    <t>$48.9M</t>
  </si>
  <si>
    <t>no more hiring , back t0 20% orgain in 2H17</t>
  </si>
  <si>
    <t>$192.6M-$193.6M</t>
  </si>
  <si>
    <t>$0.96-$0.98</t>
  </si>
  <si>
    <t>$48.7M-$49.2M</t>
  </si>
  <si>
    <t>$0.24-$0.25</t>
  </si>
  <si>
    <t>Organic Y/Y ARPU Change</t>
  </si>
  <si>
    <t>Toolbox</t>
  </si>
  <si>
    <t>Leadtec</t>
  </si>
  <si>
    <t>Edifice Aug 2012</t>
  </si>
  <si>
    <t>13% for the year</t>
  </si>
  <si>
    <t>ALL FISCAL DATA MUST BE ENTERED IN MILLION (INCLUDING NUMBER OF SHARE)</t>
  </si>
  <si>
    <t>NULL:FISCAL</t>
  </si>
  <si>
    <t xml:space="preserve">ALL PER SHARE DATA MUST BE IN UNIT </t>
  </si>
  <si>
    <t>ADJUSTED:FISCAL</t>
  </si>
  <si>
    <t>DATA MUST BE ENTERED IN THE CURRENCY OF THE COMPANY</t>
  </si>
  <si>
    <t>BASIC:FISCAL</t>
  </si>
  <si>
    <t>Click here to find a list of BlueMatrix Client Codes</t>
  </si>
  <si>
    <t>DILUTED:FISCAL</t>
  </si>
  <si>
    <t>Strong Buy</t>
  </si>
  <si>
    <t>GAAP:FISCAL</t>
  </si>
  <si>
    <t>Buy</t>
  </si>
  <si>
    <t>INDICATED:FISCAL</t>
  </si>
  <si>
    <t>Hold</t>
  </si>
  <si>
    <t>MANAGED:FISCAL</t>
  </si>
  <si>
    <t>Under Perform</t>
  </si>
  <si>
    <t>NON-GAAP:FISCAL</t>
  </si>
  <si>
    <t>Company name</t>
  </si>
  <si>
    <t>Rating Suspended</t>
  </si>
  <si>
    <t>OPERATING:FISCAL</t>
  </si>
  <si>
    <t>Rating</t>
  </si>
  <si>
    <t>RATING</t>
  </si>
  <si>
    <t>Restricted</t>
  </si>
  <si>
    <t>PRIMARY:FISCAL</t>
  </si>
  <si>
    <t>Currency</t>
  </si>
  <si>
    <t>USD</t>
  </si>
  <si>
    <t>Under Review</t>
  </si>
  <si>
    <t>PROFORMA:FISCAL</t>
  </si>
  <si>
    <t>Sell</t>
  </si>
  <si>
    <t>RESTATED:FISCAL</t>
  </si>
  <si>
    <t>12-Month Price Target</t>
  </si>
  <si>
    <t>TARGET_PRICE</t>
  </si>
  <si>
    <t>REVENUE:FISCAL</t>
  </si>
  <si>
    <t>Ticker</t>
  </si>
  <si>
    <t>SPSC</t>
  </si>
  <si>
    <t>E</t>
  </si>
  <si>
    <t>A</t>
  </si>
  <si>
    <t>NULL:CALENDAR</t>
  </si>
  <si>
    <t>ADJUSTED:CALENDAR</t>
  </si>
  <si>
    <t>BASIC:CALENDAR</t>
  </si>
  <si>
    <r>
      <t xml:space="preserve">Current  Year </t>
    </r>
    <r>
      <rPr>
        <i/>
        <sz val="12"/>
        <rFont val="Arial"/>
        <family val="2"/>
      </rPr>
      <t>(Matching What Selected From Drop-down Bars - ie. Fiscal or Calendar)</t>
    </r>
  </si>
  <si>
    <t>DILUTED:CALENDAR</t>
  </si>
  <si>
    <r>
      <t xml:space="preserve">Current Base Quarter </t>
    </r>
    <r>
      <rPr>
        <i/>
        <sz val="12"/>
        <rFont val="Arial"/>
        <family val="2"/>
      </rPr>
      <t>(NOT one just reported - One After That)</t>
    </r>
  </si>
  <si>
    <t>Q4</t>
  </si>
  <si>
    <t>GAAP:CALENDAR</t>
  </si>
  <si>
    <t>Q1</t>
  </si>
  <si>
    <t>Q2</t>
  </si>
  <si>
    <t>Q3</t>
  </si>
  <si>
    <t>AN</t>
  </si>
  <si>
    <t>INDICATED:CALENDAR</t>
  </si>
  <si>
    <t>BlueMatrix Time Series Grids</t>
  </si>
  <si>
    <t>MANAGED:CALENDAR</t>
  </si>
  <si>
    <t>Revenue ($M)</t>
  </si>
  <si>
    <t>REVENUE</t>
  </si>
  <si>
    <t>|</t>
  </si>
  <si>
    <t>NON-GAAP:CALENDAR</t>
  </si>
  <si>
    <t>OPERATING:CALENDAR</t>
  </si>
  <si>
    <t>EPS</t>
  </si>
  <si>
    <t>PRIMARY:CALENDAR</t>
  </si>
  <si>
    <t>PROFORMA:CALENDAR</t>
  </si>
  <si>
    <t>FCF</t>
  </si>
  <si>
    <t>RESTATED:CALENDAR</t>
  </si>
  <si>
    <t>REVENUE:CALENDAR</t>
  </si>
  <si>
    <t>FFO</t>
  </si>
  <si>
    <t>Net Cash/Debt ($M)</t>
  </si>
  <si>
    <t>NET_CASH_DEBT</t>
  </si>
  <si>
    <t>Operating Margin</t>
  </si>
  <si>
    <t>OP_MARGIN</t>
  </si>
  <si>
    <t>ROIC</t>
  </si>
  <si>
    <t>Calendar Year = Fiscal Year (If yes =0, if less= -1, if more = 1)</t>
  </si>
  <si>
    <t>Fiscal 1Q Ending Month Number</t>
  </si>
  <si>
    <t>Fiscal 2Q Ending Month Number</t>
  </si>
  <si>
    <t>Fiscal 3Q Ending Month Number</t>
  </si>
  <si>
    <t>Fiscal 4Q Ending Month Number</t>
  </si>
  <si>
    <t>EV</t>
  </si>
  <si>
    <t xml:space="preserve">Net Cash </t>
  </si>
  <si>
    <t>1Q17</t>
  </si>
  <si>
    <t>2Q17</t>
  </si>
  <si>
    <t>3Q17</t>
  </si>
  <si>
    <t>4Q17</t>
  </si>
  <si>
    <t xml:space="preserve">Repurchase of common stock </t>
  </si>
  <si>
    <t>1Q18</t>
  </si>
  <si>
    <t>2Q18</t>
  </si>
  <si>
    <t>3Q18</t>
  </si>
  <si>
    <t>4Q18</t>
  </si>
  <si>
    <t>Deferred rent as a % or Rev</t>
  </si>
  <si>
    <t xml:space="preserve">FCF Margins (%) </t>
  </si>
  <si>
    <t>2016 Billings</t>
  </si>
  <si>
    <t>2017 Billings</t>
  </si>
  <si>
    <t>2018 Billings</t>
  </si>
  <si>
    <t>2019 Billings</t>
  </si>
  <si>
    <t xml:space="preserve">  Change In Deferred Revenue</t>
  </si>
  <si>
    <t>Billings</t>
  </si>
  <si>
    <t>% change y/y</t>
  </si>
  <si>
    <t>% change q/q</t>
  </si>
  <si>
    <t>Total Billings TTM</t>
  </si>
  <si>
    <t>CAC Ratio</t>
  </si>
  <si>
    <t>1Q19</t>
  </si>
  <si>
    <t>Operating lease right to use</t>
  </si>
  <si>
    <t>Operating lease liabilities</t>
  </si>
  <si>
    <t>Operating lease liabilities, non-current</t>
  </si>
  <si>
    <t>Operating leases</t>
  </si>
  <si>
    <t>2Q19</t>
  </si>
  <si>
    <t>3Q19</t>
  </si>
  <si>
    <t>4Q19</t>
  </si>
  <si>
    <t>Rev</t>
  </si>
  <si>
    <t>EBITDA</t>
  </si>
  <si>
    <t>Change in earn-out liability</t>
  </si>
  <si>
    <t>2020 Billings</t>
  </si>
  <si>
    <t>2015 Billings</t>
  </si>
  <si>
    <t>2014 Billings</t>
  </si>
  <si>
    <t>1Q20</t>
  </si>
  <si>
    <t>2Q20</t>
  </si>
  <si>
    <t>3Q20</t>
  </si>
  <si>
    <t>4Q20</t>
  </si>
  <si>
    <t>New</t>
  </si>
  <si>
    <t>Consensus</t>
  </si>
  <si>
    <t>FY</t>
  </si>
  <si>
    <t>med</t>
  </si>
  <si>
    <t>Old</t>
  </si>
  <si>
    <t>Payment for earn-out liability</t>
  </si>
  <si>
    <t>1Q21</t>
  </si>
  <si>
    <t>Other</t>
  </si>
  <si>
    <t>2Q21</t>
  </si>
  <si>
    <t>3Q21</t>
  </si>
  <si>
    <t>4Q21</t>
  </si>
  <si>
    <t>1Q22</t>
  </si>
  <si>
    <t>2Q22</t>
  </si>
  <si>
    <t>Y/Y ARPU Change</t>
  </si>
  <si>
    <t>Non-GAAP other income</t>
  </si>
  <si>
    <t>3Q22</t>
  </si>
  <si>
    <t>4Q22</t>
  </si>
  <si>
    <t>2023E</t>
  </si>
  <si>
    <t>1QE</t>
  </si>
  <si>
    <t>PT</t>
  </si>
  <si>
    <t>Diluted Shares</t>
  </si>
  <si>
    <t>Mkt Cap</t>
  </si>
  <si>
    <t>Debt</t>
  </si>
  <si>
    <t>Cash</t>
  </si>
  <si>
    <t>Current EV/ Revenue</t>
  </si>
  <si>
    <t>Price Target</t>
  </si>
  <si>
    <t>Current EV</t>
  </si>
  <si>
    <t>Market Cap</t>
  </si>
  <si>
    <t>Current Mkt. Cap</t>
  </si>
  <si>
    <t>Shares Outstanding</t>
  </si>
  <si>
    <t>Curret Debt</t>
  </si>
  <si>
    <t>Current Cash</t>
  </si>
  <si>
    <t>Capitalization</t>
  </si>
  <si>
    <t>Post Deal  / Most Recent (Update)</t>
  </si>
  <si>
    <t>EV/FCF</t>
  </si>
  <si>
    <t>Adj. P/E</t>
  </si>
  <si>
    <t>EV/Adj. EBITDA</t>
  </si>
  <si>
    <t>EV/Non-GAAP Op Inc</t>
  </si>
  <si>
    <t>Bull</t>
  </si>
  <si>
    <t>EV/Gross Profit</t>
  </si>
  <si>
    <t>Base</t>
  </si>
  <si>
    <t>EV/Revenue</t>
  </si>
  <si>
    <t xml:space="preserve">Bear </t>
  </si>
  <si>
    <t>Multiples</t>
  </si>
  <si>
    <t>Multiple Scenario</t>
  </si>
  <si>
    <t>Free Cash Flow</t>
  </si>
  <si>
    <t>Adj. EBITDA</t>
  </si>
  <si>
    <t>Up / Down to Target</t>
  </si>
  <si>
    <t>Non-GAAP Op Inc</t>
  </si>
  <si>
    <t>Target Price</t>
  </si>
  <si>
    <t>Non-GAAP Gross Profit</t>
  </si>
  <si>
    <t>$ Multiplier</t>
  </si>
  <si>
    <t>Target</t>
  </si>
  <si>
    <t>Financials ($M)</t>
  </si>
  <si>
    <t>Current Price</t>
  </si>
  <si>
    <t>Valuation and Price Target</t>
  </si>
  <si>
    <t>Assumptions / Outputs</t>
  </si>
  <si>
    <t>Currently off FY'22</t>
  </si>
  <si>
    <t>FY23 Rev</t>
  </si>
  <si>
    <t>This sheet contains FactSet XML data for use with this workbook's =FDS codes.  Modifying the worksheet's contents may damage the workbook's =FDS functionality.</t>
  </si>
  <si>
    <t>Addition</t>
  </si>
  <si>
    <t>ARPU Y/Y Growth</t>
  </si>
  <si>
    <t>Fullfillment</t>
  </si>
  <si>
    <t>Analytics</t>
  </si>
  <si>
    <t>Recurring</t>
  </si>
  <si>
    <t>One time</t>
  </si>
  <si>
    <t>total</t>
  </si>
  <si>
    <t>.</t>
  </si>
  <si>
    <t>Revenue Growth</t>
  </si>
  <si>
    <t>EBITDA Margin</t>
  </si>
  <si>
    <t>"Rule of"</t>
  </si>
  <si>
    <t>1Q10</t>
  </si>
  <si>
    <t>2Q10</t>
  </si>
  <si>
    <t>3Q10</t>
  </si>
  <si>
    <t>4Q10</t>
  </si>
  <si>
    <t>1Q11</t>
  </si>
  <si>
    <t>2Q11</t>
  </si>
  <si>
    <t>3Q11</t>
  </si>
  <si>
    <t>4Q11</t>
  </si>
  <si>
    <t>Organic Customer Adds</t>
  </si>
  <si>
    <t>2024E</t>
  </si>
  <si>
    <t>1Q23</t>
  </si>
  <si>
    <t>Rest of Year
Raise / (Reduce)</t>
  </si>
  <si>
    <t>Growth</t>
  </si>
  <si>
    <t>Margin</t>
  </si>
  <si>
    <t>Adj EBITDA</t>
  </si>
  <si>
    <t>2Q23</t>
  </si>
  <si>
    <t>3Q23</t>
  </si>
  <si>
    <t>4Q23</t>
  </si>
  <si>
    <t>Delta</t>
  </si>
  <si>
    <t>Payments for contingent consideration</t>
  </si>
  <si>
    <t>2025E</t>
  </si>
  <si>
    <t>1Q24</t>
  </si>
  <si>
    <t>2Q24</t>
  </si>
  <si>
    <t>DirectEDI</t>
  </si>
  <si>
    <t>3Q24</t>
  </si>
  <si>
    <t>FY24</t>
  </si>
  <si>
    <t>FY25</t>
  </si>
  <si>
    <t xml:space="preserve">Income Statement </t>
  </si>
  <si>
    <t>Total Revenue Growth</t>
  </si>
  <si>
    <t>Customer Count Growth</t>
  </si>
  <si>
    <t>ARPU Growth</t>
  </si>
  <si>
    <t>1Q09</t>
  </si>
  <si>
    <t>2Q09</t>
  </si>
  <si>
    <t>3Q09</t>
  </si>
  <si>
    <t>4Q09</t>
  </si>
  <si>
    <t>Revenue Breakdown</t>
  </si>
  <si>
    <t>% of Revenue</t>
  </si>
  <si>
    <t>Total Revenue</t>
  </si>
  <si>
    <t>Fulfullment Recurring</t>
  </si>
  <si>
    <t>Analytics Recurring</t>
  </si>
  <si>
    <t>Other Recurring</t>
  </si>
  <si>
    <t>% of Recurring Revenue</t>
  </si>
  <si>
    <t>Total Recurring Revenue</t>
  </si>
  <si>
    <t>One-Time Revenue</t>
  </si>
  <si>
    <t>Organic ARPU</t>
  </si>
  <si>
    <t>Check</t>
  </si>
  <si>
    <t>Revenue Per Customer (as reported)</t>
  </si>
  <si>
    <t>Fulfillment</t>
  </si>
  <si>
    <t>Total</t>
  </si>
  <si>
    <t>Other long-term liabilities</t>
  </si>
  <si>
    <t>4Q24</t>
  </si>
  <si>
    <t>Acquisition</t>
  </si>
  <si>
    <t>Close Date</t>
  </si>
  <si>
    <t>Announced</t>
  </si>
  <si>
    <t>Inorganic</t>
  </si>
  <si>
    <t>Traverse Systems</t>
  </si>
  <si>
    <t>SupplyPike</t>
  </si>
  <si>
    <t>Carbon6</t>
  </si>
  <si>
    <t>May 2024</t>
  </si>
  <si>
    <t>August 2024</t>
  </si>
  <si>
    <t>January 2025</t>
  </si>
  <si>
    <t>FY25E Revenue</t>
  </si>
  <si>
    <t>FY25E Adj. EBITDA</t>
  </si>
  <si>
    <t>Inorganic Revenue</t>
  </si>
  <si>
    <t>FY22</t>
  </si>
  <si>
    <t>FY23</t>
  </si>
  <si>
    <t>FY21</t>
  </si>
  <si>
    <t>Organic Rev Growth</t>
  </si>
  <si>
    <t>Gross Margin</t>
  </si>
  <si>
    <t>Investment Income</t>
  </si>
  <si>
    <t>Other income</t>
  </si>
  <si>
    <t>Other adjustments</t>
  </si>
  <si>
    <t>FX and interest rate impact</t>
  </si>
  <si>
    <t>1Q25</t>
  </si>
  <si>
    <t>Other Income</t>
  </si>
  <si>
    <t>Non-GAAP Other Income</t>
  </si>
  <si>
    <t>2026E</t>
  </si>
  <si>
    <t>1QA10</t>
  </si>
  <si>
    <t>2QA10</t>
  </si>
  <si>
    <t>1Q08</t>
  </si>
  <si>
    <t>2Q08</t>
  </si>
  <si>
    <t>4Q08</t>
  </si>
  <si>
    <t>4Q25E</t>
  </si>
  <si>
    <t>1Q26E</t>
  </si>
  <si>
    <t>2Q26E</t>
  </si>
  <si>
    <t>3Q26E</t>
  </si>
  <si>
    <t>4Q26E</t>
  </si>
  <si>
    <t>Recurring Revenue Y/Y Growth Rate</t>
  </si>
  <si>
    <t>SPS Commerce (SPSC)</t>
  </si>
  <si>
    <t>2Q25</t>
  </si>
  <si>
    <t>Organic customer adds</t>
  </si>
  <si>
    <t>Customers</t>
  </si>
  <si>
    <t>Large</t>
  </si>
  <si>
    <t>Medium</t>
  </si>
  <si>
    <t>Small</t>
  </si>
  <si>
    <t>CAGR</t>
  </si>
  <si>
    <t>Long-Term Financial Model</t>
  </si>
  <si>
    <t>S&amp;M</t>
  </si>
  <si>
    <t>G&amp;A</t>
  </si>
  <si>
    <t>R&amp;D</t>
  </si>
  <si>
    <t>35%+</t>
  </si>
  <si>
    <t>70-75%</t>
  </si>
  <si>
    <t>9-12%</t>
  </si>
  <si>
    <t>18-22%</t>
  </si>
  <si>
    <t>10-15%</t>
  </si>
  <si>
    <t>Expansion (bps)</t>
  </si>
  <si>
    <t>Connections</t>
  </si>
  <si>
    <t>Revenue/Connection</t>
  </si>
  <si>
    <t>Monthly</t>
  </si>
  <si>
    <t>TAM</t>
  </si>
  <si>
    <t>Penetration</t>
  </si>
  <si>
    <t>Rounded and estimated</t>
  </si>
  <si>
    <t>Total US Revenue</t>
  </si>
  <si>
    <t>Recurring fulfillment Revenue (TTM)</t>
  </si>
  <si>
    <t>Growth since 2019</t>
  </si>
  <si>
    <t>3Q25</t>
  </si>
  <si>
    <t>Other, net</t>
  </si>
  <si>
    <t>3P Customers</t>
  </si>
  <si>
    <t>1P Customers (including Fulfillment)</t>
  </si>
  <si>
    <t>Net New Adds</t>
  </si>
  <si>
    <t>N/A</t>
  </si>
  <si>
    <t>SupplyPike Revenues</t>
  </si>
  <si>
    <t>C6 Revenues</t>
  </si>
  <si>
    <t>Rest of Business</t>
  </si>
  <si>
    <t>Total Rev Recovery Revenues</t>
  </si>
  <si>
    <t>Total revenues</t>
  </si>
  <si>
    <t>growth rate</t>
  </si>
  <si>
    <t>&lt;-20% growth</t>
  </si>
  <si>
    <t>&lt;-3% growth?</t>
  </si>
  <si>
    <t>FY25E</t>
  </si>
  <si>
    <t>FY26E</t>
  </si>
  <si>
    <t>GAAP Adjustments</t>
  </si>
  <si>
    <t>Prior FY26 Guide</t>
  </si>
  <si>
    <t>New FY26 Guide</t>
  </si>
  <si>
    <t>3Q26 Guide</t>
  </si>
  <si>
    <t>4Q25</t>
  </si>
  <si>
    <t>Cost of Revenue</t>
  </si>
  <si>
    <t>Organic 1P Customer Adds</t>
  </si>
  <si>
    <t>Needham &amp; Company Research</t>
  </si>
  <si>
    <t>Organic Customer Adds vs ARPU Growth</t>
  </si>
  <si>
    <t>Net cash provided by investing activities</t>
  </si>
  <si>
    <t>Net cash provided by operating activities</t>
  </si>
  <si>
    <t>Net cash provided by financing activities</t>
  </si>
  <si>
    <t>Net increase in cash and cash equivalents</t>
  </si>
  <si>
    <t>was 14,200</t>
  </si>
  <si>
    <t>Total Other Income</t>
  </si>
  <si>
    <t>GAAP Net income</t>
  </si>
  <si>
    <t>FY26E EBITDA</t>
  </si>
  <si>
    <t>Stock price</t>
  </si>
  <si>
    <t>S/o</t>
  </si>
  <si>
    <t>Net cash</t>
  </si>
  <si>
    <t>EV/EBITDA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</si>
</sst>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6">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_);\(0\)"/>
    <numFmt numFmtId="166" formatCode="_(* #,##0.0_);_(* \(#,##0.0\);_(* &quot;-&quot;??_);_(@_)"/>
    <numFmt numFmtId="167" formatCode="_(* #,##0_);_(* \(#,##0\);_(* &quot;-&quot;??_);_(@_)"/>
    <numFmt numFmtId="168" formatCode="0.0"/>
    <numFmt numFmtId="169" formatCode="0.000"/>
    <numFmt numFmtId="170" formatCode="_(* #,##0.0_);_(* \(#,##0.0\);_(* &quot;-&quot;?_);_(@_)"/>
    <numFmt numFmtId="171" formatCode="_(* #,##0.000_);_(* \(#,##0.000\);_(* &quot;-&quot;??_);_(@_)"/>
    <numFmt numFmtId="172" formatCode="&quot;$&quot;#,##0.0_);[Red]\(&quot;$&quot;#,##0.0\)"/>
    <numFmt numFmtId="173" formatCode="_(&quot;$&quot;* #,##0.0_);_(&quot;$&quot;* \(#,##0.0\);_(&quot;$&quot;* &quot;-&quot;??_);_(@_)"/>
    <numFmt numFmtId="174" formatCode="_(* #,##0.000_);_(* \(#,##0.000\);_(* &quot;-&quot;???_);_(@_)"/>
    <numFmt numFmtId="175" formatCode="_(&quot;$&quot;* #,##0_);_(&quot;$&quot;* \(#,##0\);_(&quot;$&quot;* &quot;-&quot;??_);_(@_)"/>
    <numFmt numFmtId="176" formatCode="&quot;$&quot;#,##0.00"/>
    <numFmt numFmtId="177" formatCode="&quot;$&quot;#,##0.0_);\(&quot;$&quot;#,##0.0\)"/>
    <numFmt numFmtId="178" formatCode="0\ %"/>
    <numFmt numFmtId="179" formatCode="0.0\ %"/>
    <numFmt numFmtId="180" formatCode="0.00\ %"/>
    <numFmt numFmtId="181" formatCode="#,##0.0_);\(#,##0.0\)"/>
    <numFmt numFmtId="182" formatCode="[$-409]h:mm:ss\ AM/PM"/>
    <numFmt numFmtId="183" formatCode="&quot;$&quot;\ #,##0.0_);\(&quot;$&quot;\ #,##0.0\)"/>
    <numFmt numFmtId="184" formatCode="&quot;$&quot;\ #,##0.00_);[Red]\(&quot;$&quot;\ #,##0.00\)"/>
    <numFmt numFmtId="185" formatCode="&quot;$&quot;#,##0.000_);[Red]\(&quot;$&quot;#,##0.000\)"/>
    <numFmt numFmtId="186" formatCode="0.0%;\ \(0.0%\)"/>
    <numFmt numFmtId="187" formatCode="0.0%_);\(0.0%\);0.0%_);@_)"/>
    <numFmt numFmtId="188" formatCode="&quot;$&quot;#,##0"/>
    <numFmt numFmtId="189" formatCode="#,##0.00\ \ ;"/>
    <numFmt numFmtId="190" formatCode="#,##0.\9\5\ \ ;"/>
    <numFmt numFmtId="191" formatCode="#,##0.\9\9\ \ ;"/>
    <numFmt numFmtId="192" formatCode="&quot; CALL FOR DELIVERY APPT: (909) 428-8600               &quot;"/>
    <numFmt numFmtId="193" formatCode="&quot;1-56884-&quot;000\-0"/>
    <numFmt numFmtId="194" formatCode="&quot;1-878058-&quot;00\-0"/>
    <numFmt numFmtId="195" formatCode="m/d"/>
    <numFmt numFmtId="196" formatCode="mm/dd"/>
    <numFmt numFmtId="197" formatCode="mm/yy"/>
    <numFmt numFmtId="198" formatCode="mmm\ \'yy"/>
    <numFmt numFmtId="199" formatCode="&quot;0-87779-&quot;000\-0"/>
    <numFmt numFmtId="200" formatCode="[$€-2]\ #,##0.00"/>
    <numFmt numFmtId="201" formatCode="#,##0.0\ \ \ ;\(#,##0.0\)\ \ "/>
    <numFmt numFmtId="202" formatCode="&quot;0-07-88&quot;0000\-0"/>
    <numFmt numFmtId="203" formatCode="&quot; CALL FOR DELIVERY APPT: (203) 928-0847                &quot;"/>
    <numFmt numFmtId="204" formatCode="General_)"/>
    <numFmt numFmtId="205" formatCode="[$-409]mmm\-yy;@"/>
    <numFmt numFmtId="206" formatCode="#,##0.00000000_);[Red]\(#,##0.00000000\)"/>
    <numFmt numFmtId="207" formatCode="#,##0.0000"/>
    <numFmt numFmtId="208" formatCode="#,##0.0;[Red]\(#,##0.0\)"/>
    <numFmt numFmtId="209" formatCode="#\ ##0\ "/>
    <numFmt numFmtId="210" formatCode="_(* #,##0.0_);_(* \(#,##0.0\);_(* &quot;-&quot;_);_(@_)"/>
    <numFmt numFmtId="211" formatCode="0.000_)"/>
    <numFmt numFmtId="212" formatCode="#,##0\ ;\(#,##0.0\)"/>
    <numFmt numFmtId="213" formatCode="_._.* #,##0.00_)_%;_._.* \(#,##0.00\)_%"/>
    <numFmt numFmtId="214" formatCode="[$€-2]\ #,##0.00_);[Red]\([$€-2]\ #,##0.00\)"/>
    <numFmt numFmtId="215" formatCode="&quot;$&quot;* #,##0.00"/>
    <numFmt numFmtId="216" formatCode="_(&quot;$&quot;* #,##0_);_(&quot;$&quot;* \(#,##0\);_(&quot;$&quot;* &quot;-&quot;??_);_(* @_)"/>
    <numFmt numFmtId="217" formatCode="_(* #,##0.00_);_(* \(#,##0.00\);_(* &quot;-&quot;??_);_(* @_)"/>
    <numFmt numFmtId="218" formatCode="_._.* \(#,##0\)_%;_._.* #,##0_)_%;_._.* 0_)_%;_._.@_)_%"/>
    <numFmt numFmtId="219" formatCode="_._.&quot;$&quot;* \(#,##0\)_%;_._.&quot;$&quot;* #,##0_)_%;_._.&quot;$&quot;* 0_)_%;_._.@_)_%"/>
    <numFmt numFmtId="220" formatCode="0.00_);\(0.00\);0.00"/>
    <numFmt numFmtId="221" formatCode="_._.&quot;$&quot;* #,##0.00_)_%;_._.&quot;$&quot;* \(#,##0.00\)_%"/>
    <numFmt numFmtId="222" formatCode="&quot;$&quot;#,##0\ ;\(&quot;$&quot;#,##0\)"/>
    <numFmt numFmtId="223" formatCode=";;;"/>
    <numFmt numFmtId="224" formatCode="&quot;$&quot;#,##0.0_);\(&quot;$&quot;#,##0.0\)&quot;MM&quot;"/>
    <numFmt numFmtId="225" formatCode="#,##0,"/>
    <numFmt numFmtId="226" formatCode="#,##0,,"/>
    <numFmt numFmtId="227" formatCode="_([$€-2]* #,##0.00_);_([$€-2]* \(#,##0.00\);_([$€-2]* &quot;-&quot;??_)"/>
    <numFmt numFmtId="228" formatCode="\+\ #\ ??/??;[Red]\ \-\ #\ ??/??"/>
    <numFmt numFmtId="229" formatCode="#,##0.000_);\(#,##0.000\)"/>
    <numFmt numFmtId="230" formatCode="0.00_);\(0.00\);0.00_)"/>
    <numFmt numFmtId="231" formatCode="0.00\ \ "/>
    <numFmt numFmtId="232" formatCode="_-* #,##0_-;\-* #,##0_-;_-* &quot;-&quot;_-;_-@_-"/>
    <numFmt numFmtId="233" formatCode="_-* #,##0.00_-;\-* #,##0.00_-;_-* &quot;-&quot;??_-;_-@_-"/>
    <numFmt numFmtId="234" formatCode="_-&quot;$&quot;* #,##0_-;\-&quot;$&quot;* #,##0_-;_-&quot;$&quot;* &quot;-&quot;_-;_-@_-"/>
    <numFmt numFmtId="235" formatCode="_-&quot;$&quot;* #,##0.00_-;\-&quot;$&quot;* #,##0.00_-;_-&quot;$&quot;* &quot;-&quot;??_-;_-@_-"/>
    <numFmt numFmtId="236" formatCode="0.0\x"/>
    <numFmt numFmtId="237" formatCode="0.0\ \x"/>
    <numFmt numFmtId="238" formatCode="0.00_)"/>
    <numFmt numFmtId="239" formatCode="[$-409]mmmm\ d\,\ yyyy;@"/>
    <numFmt numFmtId="240" formatCode="#,##0.00_);\(#,##0.00\);&quot; --- &quot;"/>
    <numFmt numFmtId="241" formatCode="#,"/>
    <numFmt numFmtId="242" formatCode="_._._(* 0_)%;_._.* \(0\)%"/>
    <numFmt numFmtId="243" formatCode="_._._(* 0.00_)%;_._.* \(0.00\)%"/>
    <numFmt numFmtId="244" formatCode="0.0_%"/>
    <numFmt numFmtId="245" formatCode="0.00\%;\-0.00\%;0.00\%"/>
    <numFmt numFmtId="246" formatCode="0.00;\-0.00;0.00"/>
    <numFmt numFmtId="247" formatCode="0.00\x;\-0.00\x;0.00\x"/>
    <numFmt numFmtId="248" formatCode="##0.00000"/>
    <numFmt numFmtId="249" formatCode="General;\-General;General;"/>
    <numFmt numFmtId="250" formatCode="#,##0.000;\(#,##0.000\)"/>
    <numFmt numFmtId="251" formatCode="#,##0.0_);\(#,##0.0\);_(* &quot;-&quot;_)"/>
    <numFmt numFmtId="252" formatCode="m/d/yy"/>
    <numFmt numFmtId="253" formatCode="_(&quot;$&quot;* #,##0.00_);_(&quot;$&quot;* \(#,##0.00\);_(* &quot;-&quot;_);_(@_)"/>
    <numFmt numFmtId="254" formatCode="_(&quot;$&quot;* #,##0.000_);_(&quot;$&quot;* \(#,##0.000\);_(* &quot;-&quot;_);_(@_)"/>
    <numFmt numFmtId="255" formatCode="_(&quot;$&quot;* #,##0.0_);_(&quot;$&quot;* \(#,##0.0\);_(* &quot;-&quot;_);_(@_)"/>
    <numFmt numFmtId="256" formatCode="#,##0.0\x"/>
    <numFmt numFmtId="257" formatCode="#,##0.00_);\(#,##0.00\);_(* &quot;-&quot;_)"/>
    <numFmt numFmtId="258" formatCode="#,##0_);\(#,##0\);_(* &quot;-&quot;_);_(* &quot;-&quot;_)"/>
    <numFmt numFmtId="259" formatCode="_(###.##%_);\(* &quot;-&quot;_);_(@_)"/>
    <numFmt numFmtId="260" formatCode="#,##0.00\x"/>
    <numFmt numFmtId="261" formatCode="0_)"/>
    <numFmt numFmtId="262" formatCode="#,##0.0"/>
    <numFmt numFmtId="263" formatCode="[$-409]mmmmm;@"/>
    <numFmt numFmtId="264" formatCode="_(* #,##0.00000_);_(* \(#,##0.00000\);_(* &quot;-&quot;??_);_(@_)"/>
    <numFmt numFmtId="265" formatCode="0.0\x\ "/>
    <numFmt numFmtId="266" formatCode="&quot;FY'&quot;yy&quot;E&quot;"/>
    <numFmt numFmtId="267" formatCode="&quot;FY'&quot;yy&quot;A&quot;"/>
    <numFmt numFmtId="268" formatCode="0.000%"/>
    <numFmt numFmtId="269" formatCode="&quot;$&quot;#,##0.0"/>
    <numFmt numFmtId="270" formatCode="#;#;#;@_+"/>
    <numFmt numFmtId="271" formatCode="#;#;#;@_+_%"/>
  </numFmts>
  <fonts count="23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i/>
      <sz val="8"/>
      <name val="Arial"/>
      <family val="2"/>
    </font>
    <font>
      <sz val="10"/>
      <name val="Arial"/>
      <family val="2"/>
    </font>
    <font>
      <sz val="8"/>
      <name val="Arial"/>
      <family val="2"/>
    </font>
    <font>
      <i/>
      <sz val="10"/>
      <name val="Arial"/>
      <family val="2"/>
    </font>
    <font>
      <b/>
      <i/>
      <sz val="8"/>
      <name val="Arial"/>
      <family val="2"/>
    </font>
    <font>
      <b/>
      <sz val="12"/>
      <name val="Arial"/>
      <family val="2"/>
    </font>
    <font>
      <i/>
      <sz val="8"/>
      <name val="Arial"/>
      <family val="2"/>
    </font>
    <font>
      <u/>
      <sz val="10"/>
      <color indexed="12"/>
      <name val="Arial"/>
      <family val="2"/>
    </font>
    <font>
      <i/>
      <sz val="8"/>
      <color indexed="12"/>
      <name val="Arial"/>
      <family val="2"/>
    </font>
    <font>
      <sz val="10"/>
      <color indexed="12"/>
      <name val="Arial"/>
      <family val="2"/>
    </font>
    <font>
      <sz val="10"/>
      <color indexed="12"/>
      <name val="Arial"/>
      <family val="2"/>
    </font>
    <font>
      <b/>
      <i/>
      <sz val="10"/>
      <name val="Arial"/>
      <family val="2"/>
    </font>
    <font>
      <sz val="10"/>
      <name val="Arial"/>
      <family val="2"/>
    </font>
    <font>
      <b/>
      <sz val="12"/>
      <name val="Times New Roman"/>
      <family val="1"/>
    </font>
    <font>
      <sz val="9"/>
      <name val="Times New Roman"/>
      <family val="1"/>
    </font>
    <font>
      <sz val="12"/>
      <name val="Arial"/>
      <family val="2"/>
    </font>
    <font>
      <b/>
      <sz val="9"/>
      <name val="Times New Roman"/>
      <family val="1"/>
    </font>
    <font>
      <i/>
      <sz val="8"/>
      <name val="Times New Roman"/>
      <family val="1"/>
    </font>
    <font>
      <sz val="10"/>
      <color indexed="8"/>
      <name val="Arial"/>
      <family val="2"/>
    </font>
    <font>
      <b/>
      <sz val="10"/>
      <color indexed="8"/>
      <name val="Arial"/>
      <family val="2"/>
    </font>
    <font>
      <sz val="10"/>
      <color indexed="10"/>
      <name val="Arial"/>
      <family val="2"/>
    </font>
    <font>
      <sz val="8"/>
      <name val="Helvetica"/>
      <family val="2"/>
    </font>
    <font>
      <i/>
      <sz val="9"/>
      <name val="Arial"/>
      <family val="2"/>
    </font>
    <font>
      <sz val="11"/>
      <color indexed="8"/>
      <name val="Calibri"/>
      <family val="2"/>
    </font>
    <font>
      <b/>
      <sz val="10"/>
      <color indexed="9"/>
      <name val="Arial"/>
      <family val="2"/>
    </font>
    <font>
      <i/>
      <sz val="8"/>
      <color indexed="8"/>
      <name val="Arial"/>
      <family val="2"/>
    </font>
    <font>
      <sz val="10"/>
      <name val="Courier"/>
      <family val="3"/>
    </font>
    <font>
      <b/>
      <sz val="10"/>
      <name val="MS Sans Serif"/>
      <family val="2"/>
    </font>
    <font>
      <sz val="10"/>
      <name val="MS Sans Serif"/>
      <family val="2"/>
    </font>
    <font>
      <b/>
      <u val="singleAccounting"/>
      <sz val="8"/>
      <color indexed="8"/>
      <name val="Arial"/>
      <family val="2"/>
    </font>
    <font>
      <sz val="10"/>
      <name val="Helv"/>
    </font>
    <font>
      <sz val="8"/>
      <color indexed="12"/>
      <name val="Arial Narrow"/>
      <family val="2"/>
    </font>
    <font>
      <sz val="9"/>
      <color indexed="28"/>
      <name val="Arial"/>
      <family val="2"/>
    </font>
    <font>
      <sz val="1"/>
      <color indexed="9"/>
      <name val="Symbol"/>
      <family val="1"/>
      <charset val="2"/>
    </font>
    <font>
      <b/>
      <u val="singleAccounting"/>
      <sz val="8"/>
      <color indexed="8"/>
      <name val="Verdana"/>
      <family val="2"/>
    </font>
    <font>
      <b/>
      <sz val="12"/>
      <color indexed="8"/>
      <name val="Verdana"/>
      <family val="2"/>
    </font>
    <font>
      <sz val="10"/>
      <color indexed="8"/>
      <name val="Helvetic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sz val="8"/>
      <color indexed="8"/>
      <name val="Arial"/>
      <family val="2"/>
    </font>
    <font>
      <b/>
      <sz val="13"/>
      <color indexed="8"/>
      <name val="Verdana"/>
      <family val="2"/>
    </font>
    <font>
      <sz val="10"/>
      <name val="Arial"/>
      <family val="2"/>
    </font>
    <font>
      <sz val="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trike/>
      <sz val="10"/>
      <name val="Arial"/>
      <family val="2"/>
    </font>
    <font>
      <b/>
      <strike/>
      <sz val="10"/>
      <name val="Arial"/>
      <family val="2"/>
    </font>
    <font>
      <sz val="10"/>
      <color indexed="8"/>
      <name val="Helv"/>
      <family val="2"/>
    </font>
    <font>
      <sz val="1"/>
      <color indexed="9"/>
      <name val="Symbol"/>
      <family val="1"/>
    </font>
    <font>
      <sz val="9"/>
      <name val="Helv"/>
    </font>
    <font>
      <b/>
      <sz val="9"/>
      <color indexed="12"/>
      <name val="Helv"/>
    </font>
    <font>
      <b/>
      <sz val="11"/>
      <color indexed="51"/>
      <name val="Calibri"/>
      <family val="2"/>
    </font>
    <font>
      <b/>
      <sz val="10"/>
      <name val="Helv"/>
    </font>
    <font>
      <b/>
      <sz val="15"/>
      <color indexed="61"/>
      <name val="Calibri"/>
      <family val="2"/>
    </font>
    <font>
      <b/>
      <sz val="13"/>
      <color indexed="61"/>
      <name val="Calibri"/>
      <family val="2"/>
    </font>
    <font>
      <b/>
      <sz val="11"/>
      <color indexed="61"/>
      <name val="Calibri"/>
      <family val="2"/>
    </font>
    <font>
      <sz val="11"/>
      <color indexed="61"/>
      <name val="Calibri"/>
      <family val="2"/>
    </font>
    <font>
      <sz val="11"/>
      <color indexed="51"/>
      <name val="Calibri"/>
      <family val="2"/>
    </font>
    <font>
      <sz val="11"/>
      <color indexed="59"/>
      <name val="Calibri"/>
      <family val="2"/>
    </font>
    <font>
      <sz val="9"/>
      <color indexed="0"/>
      <name val="Helvetica"/>
      <family val="2"/>
    </font>
    <font>
      <sz val="8"/>
      <name val="Helv"/>
    </font>
    <font>
      <b/>
      <sz val="11"/>
      <color indexed="62"/>
      <name val="Calibri"/>
      <family val="2"/>
    </font>
    <font>
      <b/>
      <sz val="9"/>
      <color indexed="10"/>
      <name val="Helv"/>
    </font>
    <font>
      <b/>
      <sz val="18"/>
      <color indexed="61"/>
      <name val="Cambria"/>
      <family val="2"/>
    </font>
    <font>
      <sz val="11"/>
      <color theme="1"/>
      <name val="Calibri"/>
      <family val="2"/>
      <scheme val="minor"/>
    </font>
    <font>
      <sz val="10"/>
      <color theme="1"/>
      <name val="Times New Roman"/>
      <family val="2"/>
    </font>
    <font>
      <sz val="10"/>
      <color theme="1"/>
      <name val="Arial"/>
      <family val="2"/>
    </font>
    <font>
      <b/>
      <sz val="10"/>
      <color theme="1"/>
      <name val="Arial"/>
      <family val="2"/>
    </font>
    <font>
      <i/>
      <sz val="8"/>
      <color theme="1"/>
      <name val="Arial"/>
      <family val="2"/>
    </font>
    <font>
      <sz val="10"/>
      <color rgb="FF0000FF"/>
      <name val="Arial"/>
      <family val="2"/>
    </font>
    <font>
      <b/>
      <sz val="10"/>
      <color theme="0"/>
      <name val="Arial"/>
      <family val="2"/>
    </font>
    <font>
      <b/>
      <sz val="11"/>
      <color theme="0"/>
      <name val="Calibri"/>
      <family val="2"/>
    </font>
    <font>
      <b/>
      <sz val="18"/>
      <color theme="3"/>
      <name val="Cambria"/>
      <family val="2"/>
      <scheme val="major"/>
    </font>
    <font>
      <sz val="11"/>
      <color indexed="8"/>
      <name val="Arial"/>
      <family val="2"/>
    </font>
    <font>
      <i/>
      <sz val="11"/>
      <name val="Helvetica-Black"/>
      <family val="2"/>
    </font>
    <font>
      <sz val="10"/>
      <name val="Arial Narrow"/>
      <family val="2"/>
    </font>
    <font>
      <sz val="10"/>
      <name val="GillSans"/>
    </font>
    <font>
      <sz val="10"/>
      <name val="Geneva"/>
      <family val="2"/>
    </font>
    <font>
      <sz val="10"/>
      <name val="Baskerville MT"/>
    </font>
    <font>
      <sz val="10"/>
      <name val="Century Schoolbook"/>
      <family val="1"/>
    </font>
    <font>
      <sz val="10"/>
      <name val="Geneva"/>
    </font>
    <font>
      <sz val="12"/>
      <name val="Times New Roman"/>
      <family val="1"/>
    </font>
    <font>
      <sz val="10"/>
      <color indexed="8"/>
      <name val="Trebuchet MS"/>
      <family val="2"/>
    </font>
    <font>
      <sz val="10"/>
      <name val="Times New Roman"/>
      <family val="1"/>
    </font>
    <font>
      <sz val="8"/>
      <color indexed="8"/>
      <name val="Times New Roman"/>
      <family val="1"/>
    </font>
    <font>
      <sz val="8"/>
      <color indexed="14"/>
      <name val="Times New Roman"/>
      <family val="1"/>
    </font>
    <font>
      <b/>
      <sz val="18"/>
      <color indexed="24"/>
      <name val="Arial"/>
      <family val="2"/>
    </font>
    <font>
      <sz val="12"/>
      <name val="Weiss"/>
    </font>
    <font>
      <sz val="11"/>
      <color indexed="9"/>
      <name val="Arial"/>
      <family val="2"/>
    </font>
    <font>
      <sz val="11"/>
      <color indexed="20"/>
      <name val="Arial"/>
      <family val="2"/>
    </font>
    <font>
      <b/>
      <sz val="9"/>
      <color indexed="0"/>
      <name val="Arial"/>
      <family val="2"/>
    </font>
    <font>
      <b/>
      <sz val="9"/>
      <name val="Helvetica 65"/>
      <family val="2"/>
    </font>
    <font>
      <sz val="9"/>
      <color indexed="0"/>
      <name val="Arial"/>
      <family val="2"/>
    </font>
    <font>
      <b/>
      <sz val="8"/>
      <name val="Times New Roman"/>
      <family val="1"/>
    </font>
    <font>
      <b/>
      <sz val="8"/>
      <color indexed="8"/>
      <name val="Times New Roman"/>
      <family val="1"/>
    </font>
    <font>
      <sz val="8"/>
      <color indexed="12"/>
      <name val="Tms Rmn"/>
    </font>
    <font>
      <sz val="8"/>
      <color indexed="12"/>
      <name val="Tms Rmn"/>
      <family val="1"/>
    </font>
    <font>
      <b/>
      <sz val="8"/>
      <color indexed="12"/>
      <name val="Times New Roman"/>
      <family val="1"/>
    </font>
    <font>
      <b/>
      <sz val="10"/>
      <color indexed="12"/>
      <name val="Arial"/>
      <family val="2"/>
    </font>
    <font>
      <sz val="7"/>
      <name val="Times New Roman"/>
      <family val="1"/>
    </font>
    <font>
      <b/>
      <i/>
      <sz val="12"/>
      <name val="Times New Roman"/>
      <family val="1"/>
    </font>
    <font>
      <b/>
      <sz val="10"/>
      <color indexed="8"/>
      <name val="Times New Roman"/>
      <family val="1"/>
    </font>
    <font>
      <b/>
      <sz val="11"/>
      <color indexed="52"/>
      <name val="Arial"/>
      <family val="2"/>
    </font>
    <font>
      <b/>
      <sz val="7"/>
      <name val="Arial"/>
      <family val="2"/>
    </font>
    <font>
      <b/>
      <sz val="9"/>
      <name val="Arial"/>
      <family val="2"/>
    </font>
    <font>
      <sz val="10"/>
      <color indexed="18"/>
      <name val="Times New Roman"/>
      <family val="1"/>
    </font>
    <font>
      <b/>
      <sz val="11"/>
      <color indexed="9"/>
      <name val="Arial"/>
      <family val="2"/>
    </font>
    <font>
      <b/>
      <sz val="8"/>
      <name val="Arial"/>
      <family val="2"/>
    </font>
    <font>
      <sz val="11"/>
      <name val="Tms Rmn"/>
    </font>
    <font>
      <sz val="8"/>
      <color indexed="12"/>
      <name val="Times New Roman"/>
      <family val="1"/>
    </font>
    <font>
      <u val="singleAccounting"/>
      <sz val="11"/>
      <name val="Times New Roman"/>
      <family val="1"/>
    </font>
    <font>
      <sz val="10"/>
      <name val="Verdana"/>
      <family val="2"/>
    </font>
    <font>
      <sz val="10.5"/>
      <color theme="1"/>
      <name val="Frutiger 45 Light"/>
      <family val="2"/>
    </font>
    <font>
      <sz val="12"/>
      <color theme="1"/>
      <name val="Calibri"/>
      <family val="2"/>
      <scheme val="minor"/>
    </font>
    <font>
      <sz val="24"/>
      <name val="MS Sans Serif"/>
      <family val="2"/>
    </font>
    <font>
      <b/>
      <sz val="13"/>
      <name val="Arial"/>
      <family val="2"/>
    </font>
    <font>
      <b/>
      <sz val="14"/>
      <name val="Book Antiqua"/>
      <family val="1"/>
    </font>
    <font>
      <sz val="11"/>
      <color indexed="12"/>
      <name val="Times New Roman"/>
      <family val="1"/>
    </font>
    <font>
      <sz val="11"/>
      <name val="Times New Roman"/>
      <family val="1"/>
    </font>
    <font>
      <sz val="10"/>
      <name val="Book Antiqua"/>
      <family val="1"/>
    </font>
    <font>
      <sz val="8"/>
      <name val="Times New Roman"/>
      <family val="1"/>
    </font>
    <font>
      <b/>
      <sz val="14"/>
      <name val="Tms Rmn"/>
    </font>
    <font>
      <sz val="10"/>
      <name val="Palatino"/>
      <family val="1"/>
    </font>
    <font>
      <sz val="10"/>
      <name val="Palatino"/>
    </font>
    <font>
      <sz val="9"/>
      <name val="Helvetica 45"/>
    </font>
    <font>
      <sz val="11"/>
      <name val="Book Antiqua"/>
      <family val="1"/>
    </font>
    <font>
      <sz val="10"/>
      <color indexed="12"/>
      <name val="Arial Narrow"/>
      <family val="2"/>
    </font>
    <font>
      <i/>
      <sz val="11"/>
      <color indexed="23"/>
      <name val="Arial"/>
      <family val="2"/>
    </font>
    <font>
      <b/>
      <sz val="10"/>
      <color indexed="18"/>
      <name val="Arial"/>
      <family val="2"/>
    </font>
    <font>
      <sz val="1"/>
      <color indexed="8"/>
      <name val="Courier"/>
      <family val="3"/>
    </font>
    <font>
      <sz val="11"/>
      <color indexed="17"/>
      <name val="Arial"/>
      <family val="2"/>
    </font>
    <font>
      <i/>
      <sz val="8"/>
      <color indexed="12"/>
      <name val="Times New Roman"/>
      <family val="1"/>
    </font>
    <font>
      <b/>
      <sz val="8"/>
      <name val="Palatino"/>
      <family val="1"/>
    </font>
    <font>
      <b/>
      <sz val="15"/>
      <color indexed="56"/>
      <name val="Arial"/>
      <family val="2"/>
    </font>
    <font>
      <b/>
      <sz val="13"/>
      <color indexed="56"/>
      <name val="Arial"/>
      <family val="2"/>
    </font>
    <font>
      <b/>
      <sz val="11"/>
      <color indexed="56"/>
      <name val="Arial"/>
      <family val="2"/>
    </font>
    <font>
      <u/>
      <sz val="11"/>
      <color theme="10"/>
      <name val="Calibri"/>
      <family val="2"/>
    </font>
    <font>
      <u/>
      <sz val="11"/>
      <color theme="10"/>
      <name val="Calibri"/>
      <family val="2"/>
      <scheme val="minor"/>
    </font>
    <font>
      <sz val="11"/>
      <color indexed="62"/>
      <name val="Arial"/>
      <family val="2"/>
    </font>
    <font>
      <b/>
      <sz val="10"/>
      <name val="Palatino"/>
      <family val="1"/>
    </font>
    <font>
      <sz val="11"/>
      <color indexed="52"/>
      <name val="Arial"/>
      <family val="2"/>
    </font>
    <font>
      <sz val="8"/>
      <name val="Book Antiqua"/>
      <family val="1"/>
    </font>
    <font>
      <i/>
      <sz val="7"/>
      <name val="Book Antiqua"/>
      <family val="1"/>
    </font>
    <font>
      <sz val="11"/>
      <color indexed="19"/>
      <name val="Calibri"/>
      <family val="2"/>
    </font>
    <font>
      <sz val="11"/>
      <color indexed="60"/>
      <name val="Arial"/>
      <family val="2"/>
    </font>
    <font>
      <b/>
      <i/>
      <sz val="16"/>
      <name val="Helv"/>
    </font>
    <font>
      <sz val="11"/>
      <color theme="1"/>
      <name val="Book Antiqua"/>
      <family val="2"/>
    </font>
    <font>
      <sz val="10.5"/>
      <name val="Frutiger 45 Light"/>
      <family val="2"/>
    </font>
    <font>
      <sz val="12"/>
      <color theme="1"/>
      <name val="Calibri"/>
      <family val="2"/>
      <charset val="134"/>
      <scheme val="minor"/>
    </font>
    <font>
      <sz val="10"/>
      <name val="Frutiger 45 Light"/>
      <family val="2"/>
    </font>
    <font>
      <b/>
      <sz val="1"/>
      <color indexed="8"/>
      <name val="Courier"/>
      <family val="3"/>
    </font>
    <font>
      <sz val="8"/>
      <color indexed="72"/>
      <name val="Arial"/>
      <family val="2"/>
    </font>
    <font>
      <b/>
      <sz val="11"/>
      <color indexed="63"/>
      <name val="Arial"/>
      <family val="2"/>
    </font>
    <font>
      <u/>
      <sz val="8"/>
      <name val="Book Antiqua"/>
      <family val="1"/>
    </font>
    <font>
      <u/>
      <sz val="10"/>
      <name val="GillSans"/>
      <family val="2"/>
    </font>
    <font>
      <sz val="7"/>
      <color indexed="12"/>
      <name val="Arial"/>
      <family val="2"/>
    </font>
    <font>
      <b/>
      <sz val="8"/>
      <color indexed="10"/>
      <name val="Times New Roman"/>
      <family val="1"/>
    </font>
    <font>
      <sz val="10"/>
      <color indexed="8"/>
      <name val="Times New Roman"/>
      <family val="1"/>
    </font>
    <font>
      <sz val="10"/>
      <color indexed="23"/>
      <name val="MS Sans Serif"/>
      <family val="2"/>
    </font>
    <font>
      <b/>
      <sz val="12"/>
      <name val="MS Sans Serif"/>
      <family val="2"/>
    </font>
    <font>
      <b/>
      <sz val="9"/>
      <color indexed="12"/>
      <name val="Times New Roman"/>
      <family val="1"/>
    </font>
    <font>
      <sz val="8"/>
      <name val="Times"/>
      <family val="1"/>
    </font>
    <font>
      <sz val="8"/>
      <color indexed="39"/>
      <name val="Arial"/>
      <family val="2"/>
    </font>
    <font>
      <b/>
      <sz val="10"/>
      <name val="Times New Roman"/>
      <family val="1"/>
    </font>
    <font>
      <u/>
      <sz val="8"/>
      <name val="Times New Roman"/>
      <family val="1"/>
    </font>
    <font>
      <b/>
      <sz val="12"/>
      <name val="GillSans"/>
      <family val="2"/>
    </font>
    <font>
      <b/>
      <u/>
      <sz val="14"/>
      <name val="Book Antiqua"/>
      <family val="1"/>
    </font>
    <font>
      <b/>
      <sz val="10"/>
      <name val="Book Antiqua"/>
      <family val="1"/>
    </font>
    <font>
      <u/>
      <sz val="11"/>
      <name val="GillSans"/>
      <family val="2"/>
    </font>
    <font>
      <i/>
      <sz val="10"/>
      <name val="Times New Roman"/>
      <family val="1"/>
    </font>
    <font>
      <b/>
      <sz val="11"/>
      <color indexed="8"/>
      <name val="Arial"/>
      <family val="2"/>
    </font>
    <font>
      <sz val="7"/>
      <color indexed="10"/>
      <name val="Arial"/>
      <family val="2"/>
    </font>
    <font>
      <sz val="8"/>
      <color indexed="10"/>
      <name val="Arial"/>
      <family val="2"/>
    </font>
    <font>
      <b/>
      <sz val="7"/>
      <color indexed="12"/>
      <name val="Arial"/>
      <family val="2"/>
    </font>
    <font>
      <sz val="11"/>
      <color indexed="10"/>
      <name val="Arial"/>
      <family val="2"/>
    </font>
    <font>
      <b/>
      <sz val="12"/>
      <color indexed="17"/>
      <name val="MS Sans Serif"/>
      <family val="2"/>
    </font>
    <font>
      <b/>
      <u/>
      <sz val="10"/>
      <name val="Book Antiqua"/>
      <family val="1"/>
    </font>
    <font>
      <sz val="8"/>
      <name val="Calibri"/>
      <family val="2"/>
    </font>
    <font>
      <sz val="12"/>
      <name val="Helv"/>
    </font>
    <font>
      <u/>
      <sz val="16"/>
      <color indexed="12"/>
      <name val="Calibri"/>
      <family val="2"/>
    </font>
    <font>
      <b/>
      <sz val="14"/>
      <name val="Arial"/>
      <family val="2"/>
    </font>
    <font>
      <b/>
      <sz val="12"/>
      <color indexed="9"/>
      <name val="Arial"/>
      <family val="2"/>
    </font>
    <font>
      <sz val="10"/>
      <color indexed="18"/>
      <name val="Arial"/>
      <family val="2"/>
    </font>
    <font>
      <sz val="10"/>
      <color indexed="9"/>
      <name val="Arial"/>
      <family val="2"/>
    </font>
    <font>
      <i/>
      <sz val="12"/>
      <name val="Arial"/>
      <family val="2"/>
    </font>
    <font>
      <sz val="12"/>
      <color indexed="9"/>
      <name val="Arial"/>
      <family val="2"/>
    </font>
    <font>
      <b/>
      <sz val="14"/>
      <color indexed="9"/>
      <name val="Arial"/>
      <family val="2"/>
    </font>
    <font>
      <sz val="12"/>
      <color indexed="8"/>
      <name val="Arial"/>
      <family val="2"/>
    </font>
    <font>
      <b/>
      <sz val="12"/>
      <color indexed="10"/>
      <name val="Arial"/>
      <family val="2"/>
    </font>
    <font>
      <sz val="9"/>
      <color theme="1"/>
      <name val="Arial"/>
      <family val="2"/>
    </font>
    <font>
      <b/>
      <sz val="9"/>
      <color theme="1"/>
      <name val="Arial"/>
      <family val="2"/>
    </font>
    <font>
      <sz val="10"/>
      <color theme="0"/>
      <name val="Arial"/>
      <family val="2"/>
    </font>
    <font>
      <i/>
      <sz val="10"/>
      <color indexed="10"/>
      <name val="Arial"/>
      <family val="2"/>
    </font>
    <font>
      <sz val="10"/>
      <color rgb="FF000000"/>
      <name val="Arial"/>
      <family val="2"/>
    </font>
    <font>
      <i/>
      <sz val="8"/>
      <color rgb="FF000000"/>
      <name val="Arial"/>
      <family val="2"/>
    </font>
    <font>
      <i/>
      <sz val="8"/>
      <color rgb="FF0000FF"/>
      <name val="Arial"/>
      <family val="2"/>
    </font>
    <font>
      <sz val="11"/>
      <color theme="1"/>
      <name val="Calibri"/>
      <family val="2"/>
    </font>
    <font>
      <b/>
      <sz val="11"/>
      <color theme="1"/>
      <name val="Calibri"/>
      <family val="2"/>
    </font>
    <font>
      <sz val="11"/>
      <color rgb="FF00B050"/>
      <name val="Calibri"/>
      <family val="2"/>
    </font>
    <font>
      <sz val="11"/>
      <color rgb="FF0000FF"/>
      <name val="Calibri"/>
      <family val="2"/>
    </font>
    <font>
      <b/>
      <sz val="11"/>
      <color rgb="FF000000"/>
      <name val="Calibri"/>
      <family val="2"/>
    </font>
    <font>
      <sz val="11"/>
      <color rgb="FF000000"/>
      <name val="Calibri"/>
      <family val="2"/>
    </font>
    <font>
      <sz val="11"/>
      <color theme="0"/>
      <name val="Calibri"/>
      <family val="2"/>
    </font>
    <font>
      <b/>
      <sz val="9"/>
      <color theme="0"/>
      <name val="Arial"/>
      <family val="2"/>
    </font>
    <font>
      <i/>
      <sz val="9"/>
      <color theme="1"/>
      <name val="Arial"/>
      <family val="2"/>
    </font>
    <font>
      <sz val="11"/>
      <color theme="1"/>
      <name val="Arial"/>
      <family val="2"/>
    </font>
    <font>
      <i/>
      <sz val="10"/>
      <color theme="1"/>
      <name val="Arial"/>
      <family val="2"/>
    </font>
    <font>
      <sz val="9"/>
      <color indexed="81"/>
      <name val="Tahoma"/>
      <family val="2"/>
    </font>
    <font>
      <b/>
      <sz val="9"/>
      <color indexed="81"/>
      <name val="Tahoma"/>
      <family val="2"/>
    </font>
    <font>
      <i/>
      <sz val="10"/>
      <color indexed="8"/>
      <name val="Arial"/>
      <family val="2"/>
    </font>
    <font>
      <b/>
      <sz val="10"/>
      <color rgb="FF000000"/>
      <name val="Arial"/>
      <family val="2"/>
    </font>
    <font>
      <i/>
      <sz val="10"/>
      <color rgb="FF000000"/>
      <name val="Arial"/>
      <family val="2"/>
    </font>
    <font>
      <u/>
      <sz val="10"/>
      <name val="Arial"/>
      <family val="2"/>
    </font>
    <font>
      <u val="singleAccounting"/>
      <sz val="10"/>
      <name val="Arial"/>
      <family val="2"/>
    </font>
  </fonts>
  <fills count="71">
    <fill>
      <patternFill patternType="none"/>
    </fill>
    <fill>
      <patternFill patternType="gray125"/>
    </fill>
    <fill>
      <patternFill patternType="solid">
        <fgColor indexed="31"/>
      </patternFill>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8"/>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6"/>
      </patternFill>
    </fill>
    <fill>
      <patternFill patternType="solid">
        <fgColor indexed="53"/>
      </patternFill>
    </fill>
    <fill>
      <patternFill patternType="solid">
        <fgColor indexed="22"/>
        <bgColor indexed="64"/>
      </patternFill>
    </fill>
    <fill>
      <patternFill patternType="solid">
        <fgColor indexed="9"/>
      </patternFill>
    </fill>
    <fill>
      <patternFill patternType="solid">
        <fgColor indexed="55"/>
      </patternFill>
    </fill>
    <fill>
      <patternFill patternType="solid">
        <fgColor indexed="63"/>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mediumGray">
        <fgColor indexed="22"/>
      </patternFill>
    </fill>
    <fill>
      <patternFill patternType="solid">
        <fgColor indexed="56"/>
        <bgColor indexed="64"/>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theme="0"/>
        <bgColor indexed="64"/>
      </patternFill>
    </fill>
    <fill>
      <patternFill patternType="solid">
        <fgColor theme="5" tint="-0.249977111117893"/>
        <bgColor indexed="64"/>
      </patternFill>
    </fill>
    <fill>
      <patternFill patternType="lightGray">
        <fgColor indexed="12"/>
      </patternFill>
    </fill>
    <fill>
      <patternFill patternType="solid">
        <fgColor indexed="54"/>
      </patternFill>
    </fill>
    <fill>
      <patternFill patternType="solid">
        <fgColor indexed="15"/>
        <bgColor indexed="64"/>
      </patternFill>
    </fill>
    <fill>
      <patternFill patternType="solid">
        <fgColor indexed="13"/>
        <bgColor indexed="64"/>
      </patternFill>
    </fill>
    <fill>
      <patternFill patternType="gray125">
        <fgColor indexed="22"/>
      </patternFill>
    </fill>
    <fill>
      <patternFill patternType="solid">
        <fgColor indexed="42"/>
        <bgColor indexed="64"/>
      </patternFill>
    </fill>
    <fill>
      <patternFill patternType="lightGray">
        <fgColor indexed="13"/>
      </patternFill>
    </fill>
    <fill>
      <patternFill patternType="solid">
        <fgColor indexed="13"/>
      </patternFill>
    </fill>
    <fill>
      <patternFill patternType="solid">
        <fgColor indexed="47"/>
        <bgColor indexed="8"/>
      </patternFill>
    </fill>
    <fill>
      <patternFill patternType="solid">
        <fgColor indexed="44"/>
        <bgColor indexed="64"/>
      </patternFill>
    </fill>
    <fill>
      <patternFill patternType="solid">
        <fgColor indexed="57"/>
        <bgColor indexed="8"/>
      </patternFill>
    </fill>
    <fill>
      <patternFill patternType="solid">
        <fgColor indexed="23"/>
        <bgColor indexed="8"/>
      </patternFill>
    </fill>
    <fill>
      <patternFill patternType="solid">
        <fgColor indexed="45"/>
        <bgColor indexed="8"/>
      </patternFill>
    </fill>
    <fill>
      <patternFill patternType="solid">
        <fgColor indexed="17"/>
        <bgColor indexed="64"/>
      </patternFill>
    </fill>
    <fill>
      <patternFill patternType="solid">
        <fgColor indexed="57"/>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
      <patternFill patternType="solid">
        <fgColor rgb="FF002060"/>
        <bgColor indexed="64"/>
      </patternFill>
    </fill>
  </fills>
  <borders count="95">
    <border>
      <left/>
      <right/>
      <top/>
      <bottom/>
      <diagonal/>
    </border>
    <border>
      <left/>
      <right style="medium">
        <color indexed="64"/>
      </right>
      <top style="medium">
        <color indexed="64"/>
      </top>
      <bottom style="hair">
        <color indexed="64"/>
      </bottom>
      <diagonal/>
    </border>
    <border>
      <left style="thin">
        <color indexed="64"/>
      </left>
      <right style="thin">
        <color indexed="64"/>
      </right>
      <top style="hair">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62"/>
      </left>
      <right style="double">
        <color indexed="62"/>
      </right>
      <top style="double">
        <color indexed="62"/>
      </top>
      <bottom style="double">
        <color indexed="62"/>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medium">
        <color indexed="30"/>
      </bottom>
      <diagonal/>
    </border>
    <border>
      <left/>
      <right/>
      <top/>
      <bottom style="medium">
        <color indexed="48"/>
      </bottom>
      <diagonal/>
    </border>
    <border>
      <left style="medium">
        <color indexed="64"/>
      </left>
      <right style="medium">
        <color indexed="64"/>
      </right>
      <top style="medium">
        <color indexed="64"/>
      </top>
      <bottom style="hair">
        <color indexed="64"/>
      </bottom>
      <diagonal/>
    </border>
    <border>
      <left style="dotted">
        <color indexed="64"/>
      </left>
      <right/>
      <top/>
      <bottom style="dotted">
        <color indexed="64"/>
      </bottom>
      <diagonal/>
    </border>
    <border>
      <left/>
      <right/>
      <top/>
      <bottom style="double">
        <color indexed="52"/>
      </bottom>
      <diagonal/>
    </border>
    <border>
      <left/>
      <right/>
      <top/>
      <bottom style="double">
        <color indexed="5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2"/>
      </left>
      <right style="thin">
        <color indexed="62"/>
      </right>
      <top style="thin">
        <color indexed="62"/>
      </top>
      <bottom style="thin">
        <color indexed="62"/>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right/>
      <top style="thin">
        <color indexed="62"/>
      </top>
      <bottom style="double">
        <color indexed="62"/>
      </bottom>
      <diagonal/>
    </border>
    <border>
      <left/>
      <right/>
      <top style="thin">
        <color indexed="48"/>
      </top>
      <bottom style="double">
        <color indexed="48"/>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top style="medium">
        <color indexed="8"/>
      </top>
      <bottom/>
      <diagonal/>
    </border>
    <border>
      <left/>
      <right style="medium">
        <color auto="1"/>
      </right>
      <top style="medium">
        <color auto="1"/>
      </top>
      <bottom style="hair">
        <color auto="1"/>
      </bottom>
      <diagonal/>
    </border>
    <border diagonalDown="1">
      <left/>
      <right/>
      <top/>
      <bottom/>
      <diagonal/>
    </border>
    <border>
      <left/>
      <right/>
      <top style="thin">
        <color indexed="8"/>
      </top>
      <bottom/>
      <diagonal/>
    </border>
    <border>
      <left/>
      <right/>
      <top/>
      <bottom style="double">
        <color indexed="10"/>
      </bottom>
      <diagonal/>
    </border>
    <border>
      <left/>
      <right/>
      <top/>
      <bottom style="thin">
        <color indexed="8"/>
      </bottom>
      <diagonal/>
    </border>
    <border>
      <left style="thin">
        <color indexed="9"/>
      </left>
      <right style="thin">
        <color indexed="9"/>
      </right>
      <top/>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left style="medium">
        <color auto="1"/>
      </left>
      <right style="medium">
        <color auto="1"/>
      </right>
      <top style="thin">
        <color auto="1"/>
      </top>
      <bottom style="thin">
        <color auto="1"/>
      </bottom>
      <diagonal/>
    </border>
    <border>
      <left/>
      <right/>
      <top/>
      <bottom style="medium">
        <color auto="1"/>
      </bottom>
      <diagonal/>
    </border>
    <border>
      <left/>
      <right/>
      <top/>
      <bottom style="thick">
        <color indexed="64"/>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medium">
        <color indexed="64"/>
      </right>
      <top/>
      <bottom style="thin">
        <color indexed="64"/>
      </bottom>
      <diagonal/>
    </border>
    <border>
      <left style="thin">
        <color auto="1"/>
      </left>
      <right/>
      <top/>
      <bottom/>
      <diagonal/>
    </border>
    <border>
      <left/>
      <right style="thin">
        <color indexed="64"/>
      </right>
      <top style="medium">
        <color indexed="64"/>
      </top>
      <bottom style="medium">
        <color auto="1"/>
      </bottom>
      <diagonal/>
    </border>
    <border>
      <left style="thin">
        <color auto="1"/>
      </left>
      <right/>
      <top/>
      <bottom/>
      <diagonal/>
    </border>
  </borders>
  <cellStyleXfs count="11031">
    <xf numFmtId="0" fontId="0" fillId="0" borderId="0"/>
    <xf numFmtId="189" fontId="39" fillId="0" borderId="1" applyFill="0" applyBorder="0" applyProtection="0">
      <alignment horizontal="right"/>
      <protection locked="0"/>
    </xf>
    <xf numFmtId="190" fontId="39" fillId="0" borderId="1" applyFill="0" applyBorder="0" applyProtection="0">
      <alignment horizontal="right"/>
      <protection locked="0"/>
    </xf>
    <xf numFmtId="191" fontId="39" fillId="0" borderId="1" applyFill="0" applyBorder="0" applyProtection="0">
      <alignment horizontal="right"/>
      <protection locked="0"/>
    </xf>
    <xf numFmtId="178" fontId="37" fillId="0" borderId="0" applyFont="0" applyFill="0" applyBorder="0" applyAlignment="0" applyProtection="0"/>
    <xf numFmtId="179" fontId="37" fillId="0" borderId="0" applyFont="0" applyFill="0" applyBorder="0" applyAlignment="0" applyProtection="0"/>
    <xf numFmtId="180" fontId="37" fillId="0" borderId="0" applyFont="0" applyFill="0" applyBorder="0" applyAlignment="0" applyProtection="0"/>
    <xf numFmtId="0" fontId="32" fillId="2" borderId="0" applyNumberFormat="0" applyBorder="0" applyAlignment="0" applyProtection="0"/>
    <xf numFmtId="0" fontId="32" fillId="3" borderId="0" applyNumberFormat="0" applyBorder="0" applyAlignment="0" applyProtection="0"/>
    <xf numFmtId="0" fontId="89" fillId="35" borderId="0" applyNumberFormat="0" applyBorder="0" applyAlignment="0" applyProtection="0"/>
    <xf numFmtId="0" fontId="89" fillId="35" borderId="0" applyNumberFormat="0" applyBorder="0" applyAlignment="0" applyProtection="0"/>
    <xf numFmtId="0" fontId="89" fillId="35"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89" fillId="36" borderId="0" applyNumberFormat="0" applyBorder="0" applyAlignment="0" applyProtection="0"/>
    <xf numFmtId="0" fontId="89" fillId="36" borderId="0" applyNumberFormat="0" applyBorder="0" applyAlignment="0" applyProtection="0"/>
    <xf numFmtId="0" fontId="89" fillId="36"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89" fillId="37" borderId="0" applyNumberFormat="0" applyBorder="0" applyAlignment="0" applyProtection="0"/>
    <xf numFmtId="0" fontId="89" fillId="37" borderId="0" applyNumberFormat="0" applyBorder="0" applyAlignment="0" applyProtection="0"/>
    <xf numFmtId="0" fontId="89" fillId="37" borderId="0" applyNumberFormat="0" applyBorder="0" applyAlignment="0" applyProtection="0"/>
    <xf numFmtId="0" fontId="32" fillId="8" borderId="0" applyNumberFormat="0" applyBorder="0" applyAlignment="0" applyProtection="0"/>
    <xf numFmtId="0" fontId="32" fillId="3" borderId="0" applyNumberFormat="0" applyBorder="0" applyAlignment="0" applyProtection="0"/>
    <xf numFmtId="0" fontId="89" fillId="38" borderId="0" applyNumberFormat="0" applyBorder="0" applyAlignment="0" applyProtection="0"/>
    <xf numFmtId="0" fontId="89" fillId="38" borderId="0" applyNumberFormat="0" applyBorder="0" applyAlignment="0" applyProtection="0"/>
    <xf numFmtId="0" fontId="89" fillId="38" borderId="0" applyNumberFormat="0" applyBorder="0" applyAlignment="0" applyProtection="0"/>
    <xf numFmtId="0" fontId="32" fillId="9" borderId="0" applyNumberFormat="0" applyBorder="0" applyAlignment="0" applyProtection="0"/>
    <xf numFmtId="0" fontId="89" fillId="39" borderId="0" applyNumberFormat="0" applyBorder="0" applyAlignment="0" applyProtection="0"/>
    <xf numFmtId="0" fontId="89" fillId="39" borderId="0" applyNumberFormat="0" applyBorder="0" applyAlignment="0" applyProtection="0"/>
    <xf numFmtId="0" fontId="89" fillId="39" borderId="0" applyNumberFormat="0" applyBorder="0" applyAlignment="0" applyProtection="0"/>
    <xf numFmtId="0" fontId="32" fillId="3" borderId="0" applyNumberFormat="0" applyBorder="0" applyAlignment="0" applyProtection="0"/>
    <xf numFmtId="0" fontId="32" fillId="7" borderId="0" applyNumberFormat="0" applyBorder="0" applyAlignment="0" applyProtection="0"/>
    <xf numFmtId="0" fontId="89" fillId="40" borderId="0" applyNumberFormat="0" applyBorder="0" applyAlignment="0" applyProtection="0"/>
    <xf numFmtId="0" fontId="89" fillId="40" borderId="0" applyNumberFormat="0" applyBorder="0" applyAlignment="0" applyProtection="0"/>
    <xf numFmtId="0" fontId="89" fillId="40"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89" fillId="41" borderId="0" applyNumberFormat="0" applyBorder="0" applyAlignment="0" applyProtection="0"/>
    <xf numFmtId="0" fontId="89" fillId="41" borderId="0" applyNumberFormat="0" applyBorder="0" applyAlignment="0" applyProtection="0"/>
    <xf numFmtId="0" fontId="89" fillId="41" borderId="0" applyNumberFormat="0" applyBorder="0" applyAlignment="0" applyProtection="0"/>
    <xf numFmtId="0" fontId="32" fillId="5" borderId="0" applyNumberFormat="0" applyBorder="0" applyAlignment="0" applyProtection="0"/>
    <xf numFmtId="0" fontId="89" fillId="42" borderId="0" applyNumberFormat="0" applyBorder="0" applyAlignment="0" applyProtection="0"/>
    <xf numFmtId="0" fontId="89" fillId="42" borderId="0" applyNumberFormat="0" applyBorder="0" applyAlignment="0" applyProtection="0"/>
    <xf numFmtId="0" fontId="89" fillId="42"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32" fillId="8" borderId="0" applyNumberFormat="0" applyBorder="0" applyAlignment="0" applyProtection="0"/>
    <xf numFmtId="0" fontId="32" fillId="11" borderId="0" applyNumberFormat="0" applyBorder="0" applyAlignment="0" applyProtection="0"/>
    <xf numFmtId="0" fontId="89" fillId="44" borderId="0" applyNumberFormat="0" applyBorder="0" applyAlignment="0" applyProtection="0"/>
    <xf numFmtId="0" fontId="89" fillId="44" borderId="0" applyNumberFormat="0" applyBorder="0" applyAlignment="0" applyProtection="0"/>
    <xf numFmtId="0" fontId="89" fillId="44" borderId="0" applyNumberFormat="0" applyBorder="0" applyAlignment="0" applyProtection="0"/>
    <xf numFmtId="0" fontId="32" fillId="10" borderId="0" applyNumberFormat="0" applyBorder="0" applyAlignment="0" applyProtection="0"/>
    <xf numFmtId="0" fontId="89" fillId="45" borderId="0" applyNumberFormat="0" applyBorder="0" applyAlignment="0" applyProtection="0"/>
    <xf numFmtId="0" fontId="89" fillId="45" borderId="0" applyNumberFormat="0" applyBorder="0" applyAlignment="0" applyProtection="0"/>
    <xf numFmtId="0" fontId="89" fillId="45" borderId="0" applyNumberFormat="0" applyBorder="0" applyAlignment="0" applyProtection="0"/>
    <xf numFmtId="0" fontId="32" fillId="14" borderId="0" applyNumberFormat="0" applyBorder="0" applyAlignment="0" applyProtection="0"/>
    <xf numFmtId="0" fontId="32" fillId="13" borderId="0" applyNumberFormat="0" applyBorder="0" applyAlignment="0" applyProtection="0"/>
    <xf numFmtId="0" fontId="89" fillId="46" borderId="0" applyNumberFormat="0" applyBorder="0" applyAlignment="0" applyProtection="0"/>
    <xf numFmtId="0" fontId="89" fillId="46" borderId="0" applyNumberFormat="0" applyBorder="0" applyAlignment="0" applyProtection="0"/>
    <xf numFmtId="0" fontId="89" fillId="46"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5" borderId="0" applyNumberFormat="0" applyBorder="0" applyAlignment="0" applyProtection="0"/>
    <xf numFmtId="0" fontId="54" fillId="12" borderId="0" applyNumberFormat="0" applyBorder="0" applyAlignment="0" applyProtection="0"/>
    <xf numFmtId="0" fontId="54" fillId="13" borderId="0" applyNumberFormat="0" applyBorder="0" applyAlignment="0" applyProtection="0"/>
    <xf numFmtId="0" fontId="54" fillId="17" borderId="0" applyNumberFormat="0" applyBorder="0" applyAlignment="0" applyProtection="0"/>
    <xf numFmtId="0" fontId="54" fillId="11" borderId="0" applyNumberFormat="0" applyBorder="0" applyAlignment="0" applyProtection="0"/>
    <xf numFmtId="0" fontId="54" fillId="18" borderId="0" applyNumberFormat="0" applyBorder="0" applyAlignment="0" applyProtection="0"/>
    <xf numFmtId="0" fontId="54" fillId="16" borderId="0" applyNumberFormat="0" applyBorder="0" applyAlignment="0" applyProtection="0"/>
    <xf numFmtId="0" fontId="54" fillId="19" borderId="0" applyNumberFormat="0" applyBorder="0" applyAlignment="0" applyProtection="0"/>
    <xf numFmtId="0" fontId="54" fillId="5" borderId="0" applyNumberFormat="0" applyBorder="0" applyAlignment="0" applyProtection="0"/>
    <xf numFmtId="0" fontId="54" fillId="20" borderId="0" applyNumberFormat="0" applyBorder="0" applyAlignment="0" applyProtection="0"/>
    <xf numFmtId="0" fontId="54" fillId="16"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4" fillId="17" borderId="0" applyNumberFormat="0" applyBorder="0" applyAlignment="0" applyProtection="0"/>
    <xf numFmtId="0" fontId="54" fillId="24" borderId="0" applyNumberFormat="0" applyBorder="0" applyAlignment="0" applyProtection="0"/>
    <xf numFmtId="0" fontId="54" fillId="18" borderId="0" applyNumberFormat="0" applyBorder="0" applyAlignment="0" applyProtection="0"/>
    <xf numFmtId="0" fontId="54" fillId="16" borderId="0" applyNumberFormat="0" applyBorder="0" applyAlignment="0" applyProtection="0"/>
    <xf numFmtId="0" fontId="54" fillId="24" borderId="0" applyNumberFormat="0" applyBorder="0" applyAlignment="0" applyProtection="0"/>
    <xf numFmtId="0" fontId="54" fillId="19" borderId="0" applyNumberFormat="0" applyBorder="0" applyAlignment="0" applyProtection="0"/>
    <xf numFmtId="0" fontId="55" fillId="4" borderId="0" applyNumberFormat="0" applyBorder="0" applyAlignment="0" applyProtection="0"/>
    <xf numFmtId="0" fontId="74" fillId="0" borderId="2" applyNumberFormat="0" applyBorder="0" applyAlignment="0" applyProtection="0">
      <alignment horizontal="center" vertical="top"/>
      <protection locked="0"/>
    </xf>
    <xf numFmtId="0" fontId="75" fillId="25" borderId="2" applyNumberFormat="0" applyBorder="0" applyAlignment="0" applyProtection="0">
      <alignment horizontal="center" vertical="top"/>
      <protection locked="0"/>
    </xf>
    <xf numFmtId="0" fontId="56" fillId="11" borderId="3" applyNumberFormat="0" applyAlignment="0" applyProtection="0"/>
    <xf numFmtId="0" fontId="76" fillId="26" borderId="3" applyNumberFormat="0" applyAlignment="0" applyProtection="0"/>
    <xf numFmtId="0" fontId="27" fillId="0" borderId="0"/>
    <xf numFmtId="0" fontId="57" fillId="27" borderId="4" applyNumberFormat="0" applyAlignment="0" applyProtection="0"/>
    <xf numFmtId="0" fontId="57" fillId="28" borderId="5" applyNumberFormat="0" applyAlignment="0" applyProtection="0"/>
    <xf numFmtId="0" fontId="38" fillId="29" borderId="0"/>
    <xf numFmtId="43" fontId="6" fillId="0" borderId="0" applyFont="0" applyFill="0" applyBorder="0" applyAlignment="0" applyProtection="0"/>
    <xf numFmtId="43" fontId="10" fillId="0" borderId="0" applyFont="0" applyFill="0" applyBorder="0" applyAlignment="0" applyProtection="0"/>
    <xf numFmtId="43" fontId="32" fillId="0" borderId="0" applyFont="0" applyFill="0" applyBorder="0" applyAlignment="0" applyProtection="0"/>
    <xf numFmtId="4" fontId="3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9" fillId="0" borderId="0" applyFont="0" applyFill="0" applyBorder="0" applyAlignment="0" applyProtection="0"/>
    <xf numFmtId="43" fontId="89" fillId="0" borderId="0" applyFont="0" applyFill="0" applyBorder="0" applyAlignment="0" applyProtection="0"/>
    <xf numFmtId="43" fontId="8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ill="0" applyBorder="0" applyAlignment="0" applyProtection="0"/>
    <xf numFmtId="37" fontId="37" fillId="0" borderId="0" applyFont="0" applyFill="0" applyBorder="0" applyAlignment="0" applyProtection="0"/>
    <xf numFmtId="181" fontId="37" fillId="0" borderId="0" applyFont="0" applyFill="0" applyBorder="0" applyAlignment="0" applyProtection="0"/>
    <xf numFmtId="182" fontId="37" fillId="0" borderId="0" applyFont="0" applyFill="0" applyBorder="0" applyAlignment="0" applyProtection="0"/>
    <xf numFmtId="182" fontId="37" fillId="0" borderId="0" applyFont="0" applyFill="0" applyBorder="0" applyAlignment="0" applyProtection="0"/>
    <xf numFmtId="181" fontId="37" fillId="0" borderId="0" applyFont="0" applyFill="0" applyBorder="0" applyAlignment="0" applyProtection="0"/>
    <xf numFmtId="181" fontId="37" fillId="0" borderId="0" applyFont="0" applyFill="0" applyBorder="0" applyAlignment="0" applyProtection="0"/>
    <xf numFmtId="39" fontId="37" fillId="0" borderId="0" applyFont="0" applyFill="0" applyBorder="0" applyAlignment="0" applyProtection="0"/>
    <xf numFmtId="44" fontId="6" fillId="0" borderId="0" applyFont="0" applyFill="0" applyBorder="0" applyAlignment="0" applyProtection="0"/>
    <xf numFmtId="183" fontId="37" fillId="0" borderId="6" applyFont="0" applyFill="0" applyBorder="0" applyAlignment="0" applyProtection="0"/>
    <xf numFmtId="184" fontId="37" fillId="0" borderId="0"/>
    <xf numFmtId="185" fontId="37" fillId="0" borderId="0"/>
    <xf numFmtId="185" fontId="37" fillId="0" borderId="0"/>
    <xf numFmtId="184" fontId="37" fillId="0" borderId="0"/>
    <xf numFmtId="184" fontId="37" fillId="0" borderId="0"/>
    <xf numFmtId="184" fontId="37" fillId="0" borderId="0"/>
    <xf numFmtId="8" fontId="39"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89"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81" fontId="40" fillId="0" borderId="0" applyFill="0" applyBorder="0" applyAlignment="0" applyProtection="0">
      <alignment horizontal="left" vertical="center" wrapText="1"/>
    </xf>
    <xf numFmtId="164" fontId="40" fillId="0" borderId="0"/>
    <xf numFmtId="0" fontId="58" fillId="0" borderId="0" applyNumberFormat="0" applyFill="0" applyBorder="0" applyAlignment="0" applyProtection="0"/>
    <xf numFmtId="192" fontId="77" fillId="0" borderId="0" applyFill="0" applyBorder="0" applyProtection="0">
      <alignment horizontal="centerContinuous"/>
      <protection locked="0"/>
    </xf>
    <xf numFmtId="0" fontId="59" fillId="6" borderId="0" applyNumberFormat="0" applyBorder="0" applyAlignment="0" applyProtection="0"/>
    <xf numFmtId="0" fontId="14" fillId="0" borderId="7" applyNumberFormat="0" applyAlignment="0" applyProtection="0">
      <alignment horizontal="left" vertical="center"/>
    </xf>
    <xf numFmtId="0" fontId="14" fillId="0" borderId="8">
      <alignment horizontal="left" vertical="center"/>
    </xf>
    <xf numFmtId="0" fontId="60" fillId="0" borderId="9" applyNumberFormat="0" applyFill="0" applyAlignment="0" applyProtection="0"/>
    <xf numFmtId="0" fontId="78" fillId="0" borderId="10" applyNumberFormat="0" applyFill="0" applyAlignment="0" applyProtection="0"/>
    <xf numFmtId="0" fontId="61" fillId="0" borderId="11" applyNumberFormat="0" applyFill="0" applyAlignment="0" applyProtection="0"/>
    <xf numFmtId="0" fontId="79" fillId="0" borderId="11" applyNumberFormat="0" applyFill="0" applyAlignment="0" applyProtection="0"/>
    <xf numFmtId="0" fontId="62" fillId="0" borderId="12" applyNumberFormat="0" applyFill="0" applyAlignment="0" applyProtection="0"/>
    <xf numFmtId="0" fontId="80" fillId="0" borderId="13" applyNumberFormat="0" applyFill="0" applyAlignment="0" applyProtection="0"/>
    <xf numFmtId="0" fontId="62" fillId="0" borderId="0" applyNumberFormat="0" applyFill="0" applyBorder="0" applyAlignment="0" applyProtection="0"/>
    <xf numFmtId="0" fontId="80" fillId="0" borderId="0" applyNumberFormat="0" applyFill="0" applyBorder="0" applyAlignment="0" applyProtection="0"/>
    <xf numFmtId="0" fontId="16" fillId="0" borderId="0" applyNumberFormat="0" applyFill="0" applyBorder="0" applyAlignment="0" applyProtection="0">
      <alignment vertical="top"/>
      <protection locked="0"/>
    </xf>
    <xf numFmtId="193" fontId="39" fillId="0" borderId="14" applyFill="0" applyBorder="0" applyProtection="0">
      <alignment horizontal="center"/>
      <protection locked="0"/>
    </xf>
    <xf numFmtId="194" fontId="39" fillId="0" borderId="14" applyFill="0" applyBorder="0" applyProtection="0">
      <alignment horizontal="center"/>
      <protection locked="0"/>
    </xf>
    <xf numFmtId="186" fontId="41" fillId="0" borderId="15" applyBorder="0">
      <alignment horizontal="right"/>
    </xf>
    <xf numFmtId="0" fontId="63" fillId="3" borderId="3" applyNumberFormat="0" applyAlignment="0" applyProtection="0"/>
    <xf numFmtId="0" fontId="81" fillId="13" borderId="3" applyNumberFormat="0" applyAlignment="0" applyProtection="0"/>
    <xf numFmtId="0" fontId="42" fillId="0" borderId="0"/>
    <xf numFmtId="0" fontId="73" fillId="0" borderId="0"/>
    <xf numFmtId="0" fontId="64" fillId="0" borderId="16" applyNumberFormat="0" applyFill="0" applyAlignment="0" applyProtection="0"/>
    <xf numFmtId="0" fontId="82" fillId="0" borderId="17" applyNumberFormat="0" applyFill="0" applyAlignment="0" applyProtection="0"/>
    <xf numFmtId="195" fontId="10"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39" fillId="0" borderId="14" applyFill="0" applyBorder="0" applyProtection="0">
      <alignment horizontal="center"/>
      <protection locked="0"/>
    </xf>
    <xf numFmtId="0" fontId="65" fillId="13" borderId="0" applyNumberFormat="0" applyBorder="0" applyAlignment="0" applyProtection="0"/>
    <xf numFmtId="0" fontId="83" fillId="13" borderId="0" applyNumberFormat="0" applyBorder="0" applyAlignment="0" applyProtection="0"/>
    <xf numFmtId="0" fontId="43" fillId="30" borderId="0"/>
    <xf numFmtId="0" fontId="33" fillId="31" borderId="0"/>
    <xf numFmtId="0" fontId="44" fillId="0" borderId="0"/>
    <xf numFmtId="0" fontId="10" fillId="0" borderId="0"/>
    <xf numFmtId="0" fontId="10" fillId="0" borderId="0"/>
    <xf numFmtId="0" fontId="89" fillId="0" borderId="0"/>
    <xf numFmtId="0" fontId="89" fillId="0" borderId="0"/>
    <xf numFmtId="0" fontId="89" fillId="0" borderId="0"/>
    <xf numFmtId="0" fontId="32"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4" fillId="0" borderId="0"/>
    <xf numFmtId="200" fontId="90" fillId="0" borderId="0"/>
    <xf numFmtId="0" fontId="24" fillId="0" borderId="0"/>
    <xf numFmtId="0" fontId="10" fillId="0" borderId="0"/>
    <xf numFmtId="0" fontId="35" fillId="0" borderId="0"/>
    <xf numFmtId="0" fontId="30" fillId="0" borderId="0"/>
    <xf numFmtId="0" fontId="10" fillId="0" borderId="0"/>
    <xf numFmtId="0" fontId="10" fillId="0" borderId="0"/>
    <xf numFmtId="0" fontId="89" fillId="0" borderId="0"/>
    <xf numFmtId="0" fontId="89" fillId="0" borderId="0"/>
    <xf numFmtId="0" fontId="89" fillId="0" borderId="0"/>
    <xf numFmtId="0" fontId="89" fillId="0" borderId="0"/>
    <xf numFmtId="0" fontId="10" fillId="0" borderId="0"/>
    <xf numFmtId="0" fontId="10" fillId="0" borderId="0"/>
    <xf numFmtId="0" fontId="10"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10" fillId="0" borderId="0"/>
    <xf numFmtId="0" fontId="10" fillId="0" borderId="0"/>
    <xf numFmtId="0" fontId="10" fillId="0" borderId="0"/>
    <xf numFmtId="0" fontId="10" fillId="0" borderId="0"/>
    <xf numFmtId="0" fontId="10"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10" fillId="0" borderId="0"/>
    <xf numFmtId="0" fontId="10" fillId="0" borderId="0"/>
    <xf numFmtId="200" fontId="84" fillId="0" borderId="0"/>
    <xf numFmtId="0" fontId="89" fillId="0" borderId="0"/>
    <xf numFmtId="0" fontId="89" fillId="0" borderId="0"/>
    <xf numFmtId="0" fontId="89" fillId="0" borderId="0"/>
    <xf numFmtId="0" fontId="89" fillId="0" borderId="0"/>
    <xf numFmtId="0" fontId="10" fillId="0" borderId="0"/>
    <xf numFmtId="0" fontId="89" fillId="0" borderId="0"/>
    <xf numFmtId="0" fontId="89" fillId="0" borderId="0"/>
    <xf numFmtId="0" fontId="89" fillId="0" borderId="0"/>
    <xf numFmtId="0" fontId="24" fillId="0" borderId="0"/>
    <xf numFmtId="0" fontId="10" fillId="7" borderId="18" applyNumberFormat="0" applyFont="0" applyAlignment="0" applyProtection="0"/>
    <xf numFmtId="0" fontId="10" fillId="7" borderId="18" applyNumberFormat="0" applyFont="0" applyAlignment="0" applyProtection="0"/>
    <xf numFmtId="0" fontId="89" fillId="47" borderId="44" applyNumberFormat="0" applyFont="0" applyAlignment="0" applyProtection="0"/>
    <xf numFmtId="0" fontId="89" fillId="47" borderId="44" applyNumberFormat="0" applyFont="0" applyAlignment="0" applyProtection="0"/>
    <xf numFmtId="0" fontId="89" fillId="47" borderId="44" applyNumberFormat="0" applyFont="0" applyAlignment="0" applyProtection="0"/>
    <xf numFmtId="0" fontId="89" fillId="47" borderId="44" applyNumberFormat="0" applyFont="0" applyAlignment="0" applyProtection="0"/>
    <xf numFmtId="201" fontId="85" fillId="0" borderId="0"/>
    <xf numFmtId="202" fontId="39" fillId="0" borderId="14" applyFill="0" applyBorder="0" applyProtection="0">
      <alignment horizontal="center"/>
      <protection locked="0"/>
    </xf>
    <xf numFmtId="0" fontId="66" fillId="11" borderId="19" applyNumberFormat="0" applyAlignment="0" applyProtection="0"/>
    <xf numFmtId="0" fontId="86" fillId="26" borderId="20" applyNumberFormat="0" applyAlignment="0" applyProtection="0"/>
    <xf numFmtId="9" fontId="6" fillId="0" borderId="0" applyFont="0" applyFill="0" applyBorder="0" applyAlignment="0" applyProtection="0"/>
    <xf numFmtId="164" fontId="45" fillId="0" borderId="0" applyBorder="0"/>
    <xf numFmtId="164" fontId="72" fillId="0" borderId="0" applyBorder="0"/>
    <xf numFmtId="9" fontId="89" fillId="0" borderId="0" applyFont="0" applyFill="0" applyBorder="0" applyAlignment="0" applyProtection="0"/>
    <xf numFmtId="9" fontId="3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ill="0" applyBorder="0" applyAlignment="0" applyProtection="0"/>
    <xf numFmtId="1" fontId="74" fillId="0" borderId="21" applyNumberFormat="0" applyFont="0" applyFill="0" applyAlignment="0" applyProtection="0">
      <alignment horizontal="center"/>
    </xf>
    <xf numFmtId="0" fontId="37" fillId="0" borderId="0" applyNumberFormat="0" applyFont="0" applyFill="0" applyBorder="0" applyAlignment="0" applyProtection="0">
      <alignment horizontal="left"/>
    </xf>
    <xf numFmtId="0" fontId="37" fillId="0" borderId="0" applyNumberFormat="0" applyFont="0" applyFill="0" applyBorder="0" applyAlignment="0" applyProtection="0">
      <alignment horizontal="left"/>
    </xf>
    <xf numFmtId="15" fontId="37" fillId="0" borderId="0" applyFont="0" applyFill="0" applyBorder="0" applyAlignment="0" applyProtection="0"/>
    <xf numFmtId="15" fontId="37" fillId="0" borderId="0" applyFont="0" applyFill="0" applyBorder="0" applyAlignment="0" applyProtection="0"/>
    <xf numFmtId="4" fontId="37" fillId="0" borderId="0" applyFont="0" applyFill="0" applyBorder="0" applyAlignment="0" applyProtection="0"/>
    <xf numFmtId="4" fontId="37" fillId="0" borderId="0" applyFont="0" applyFill="0" applyBorder="0" applyAlignment="0" applyProtection="0"/>
    <xf numFmtId="0" fontId="36" fillId="0" borderId="22">
      <alignment horizontal="center"/>
    </xf>
    <xf numFmtId="0" fontId="36" fillId="0" borderId="22">
      <alignment horizontal="center"/>
    </xf>
    <xf numFmtId="3" fontId="37" fillId="0" borderId="0" applyFont="0" applyFill="0" applyBorder="0" applyAlignment="0" applyProtection="0"/>
    <xf numFmtId="3" fontId="37" fillId="0" borderId="0" applyFont="0" applyFill="0" applyBorder="0" applyAlignment="0" applyProtection="0"/>
    <xf numFmtId="0" fontId="37" fillId="32" borderId="0" applyNumberFormat="0" applyFont="0" applyBorder="0" applyAlignment="0" applyProtection="0"/>
    <xf numFmtId="0" fontId="37" fillId="32" borderId="0" applyNumberFormat="0" applyFont="0" applyBorder="0" applyAlignment="0" applyProtection="0"/>
    <xf numFmtId="203" fontId="77" fillId="0" borderId="0" applyFill="0" applyBorder="0" applyProtection="0">
      <alignment horizontal="centerContinuous"/>
      <protection locked="0"/>
    </xf>
    <xf numFmtId="0" fontId="87" fillId="0" borderId="2" applyNumberFormat="0" applyBorder="0" applyAlignment="0" applyProtection="0">
      <alignment horizontal="center" vertical="top"/>
      <protection locked="0"/>
    </xf>
    <xf numFmtId="0" fontId="46" fillId="33" borderId="0"/>
    <xf numFmtId="0" fontId="36" fillId="0" borderId="0" applyNumberFormat="0" applyFill="0" applyBorder="0" applyAlignment="0" applyProtection="0"/>
    <xf numFmtId="0" fontId="47" fillId="0" borderId="0"/>
    <xf numFmtId="0" fontId="48" fillId="0" borderId="0"/>
    <xf numFmtId="0" fontId="49" fillId="0" borderId="0">
      <alignment vertical="top"/>
    </xf>
    <xf numFmtId="0" fontId="34" fillId="0" borderId="0"/>
    <xf numFmtId="0" fontId="50" fillId="0" borderId="0">
      <alignment vertical="top"/>
    </xf>
    <xf numFmtId="0" fontId="67" fillId="0" borderId="0" applyNumberFormat="0" applyFill="0" applyBorder="0" applyAlignment="0" applyProtection="0"/>
    <xf numFmtId="0" fontId="88" fillId="0" borderId="0" applyNumberFormat="0" applyFill="0" applyBorder="0" applyAlignment="0" applyProtection="0"/>
    <xf numFmtId="0" fontId="51" fillId="0" borderId="0">
      <alignment vertical="top"/>
    </xf>
    <xf numFmtId="0" fontId="68" fillId="0" borderId="23" applyNumberFormat="0" applyFill="0" applyAlignment="0" applyProtection="0"/>
    <xf numFmtId="0" fontId="68" fillId="0" borderId="24" applyNumberFormat="0" applyFill="0" applyAlignment="0" applyProtection="0"/>
    <xf numFmtId="0" fontId="69" fillId="0" borderId="0" applyNumberFormat="0" applyFill="0" applyBorder="0" applyAlignment="0" applyProtection="0"/>
    <xf numFmtId="0" fontId="5" fillId="0" borderId="0"/>
    <xf numFmtId="0" fontId="6" fillId="0" borderId="0"/>
    <xf numFmtId="0" fontId="5" fillId="0" borderId="0"/>
    <xf numFmtId="0" fontId="99" fillId="0" borderId="48"/>
    <xf numFmtId="0" fontId="99" fillId="0" borderId="48"/>
    <xf numFmtId="0" fontId="100" fillId="0" borderId="0" applyFont="0" applyFill="0" applyBorder="0" applyAlignment="0" applyProtection="0"/>
    <xf numFmtId="0" fontId="100" fillId="0" borderId="0" applyFont="0" applyFill="0" applyBorder="0" applyAlignment="0" applyProtection="0"/>
    <xf numFmtId="0" fontId="101" fillId="0" borderId="0"/>
    <xf numFmtId="0" fontId="100" fillId="0" borderId="0" applyFont="0" applyFill="0" applyBorder="0" applyAlignment="0" applyProtection="0"/>
    <xf numFmtId="8" fontId="102" fillId="0" borderId="0" applyFont="0" applyFill="0" applyBorder="0" applyAlignment="0" applyProtection="0"/>
    <xf numFmtId="8" fontId="102" fillId="0" borderId="0" applyFont="0" applyFill="0" applyBorder="0" applyAlignment="0" applyProtection="0"/>
    <xf numFmtId="8"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5" fontId="102" fillId="0" borderId="0" applyFont="0" applyFill="0" applyBorder="0" applyAlignment="0" applyProtection="0"/>
    <xf numFmtId="0" fontId="101" fillId="0" borderId="0"/>
    <xf numFmtId="0" fontId="100" fillId="0" borderId="0" applyFont="0" applyFill="0" applyBorder="0" applyAlignment="0" applyProtection="0"/>
    <xf numFmtId="189" fontId="39" fillId="0" borderId="49" applyFill="0" applyBorder="0" applyProtection="0">
      <alignment horizontal="right"/>
      <protection locked="0"/>
    </xf>
    <xf numFmtId="189" fontId="39" fillId="0" borderId="49" applyFill="0" applyBorder="0" applyProtection="0">
      <alignment horizontal="right"/>
      <protection locked="0"/>
    </xf>
    <xf numFmtId="190" fontId="39" fillId="0" borderId="49" applyFill="0" applyBorder="0" applyProtection="0">
      <alignment horizontal="right"/>
      <protection locked="0"/>
    </xf>
    <xf numFmtId="190" fontId="39" fillId="0" borderId="49" applyFill="0" applyBorder="0" applyProtection="0">
      <alignment horizontal="right"/>
      <protection locked="0"/>
    </xf>
    <xf numFmtId="191" fontId="39" fillId="0" borderId="49" applyFill="0" applyBorder="0" applyProtection="0">
      <alignment horizontal="right"/>
      <protection locked="0"/>
    </xf>
    <xf numFmtId="191" fontId="39" fillId="0" borderId="49" applyFill="0" applyBorder="0" applyProtection="0">
      <alignment horizontal="right"/>
      <protection locked="0"/>
    </xf>
    <xf numFmtId="0" fontId="103" fillId="0" borderId="0">
      <alignment horizontal="right"/>
    </xf>
    <xf numFmtId="0" fontId="103" fillId="25" borderId="0"/>
    <xf numFmtId="0" fontId="104" fillId="25" borderId="0"/>
    <xf numFmtId="0" fontId="104" fillId="25" borderId="0"/>
    <xf numFmtId="0" fontId="104" fillId="25" borderId="0"/>
    <xf numFmtId="0" fontId="104" fillId="25" borderId="0">
      <alignment horizontal="right"/>
    </xf>
    <xf numFmtId="0" fontId="100" fillId="0" borderId="0" applyFont="0" applyFill="0" applyBorder="0" applyAlignment="0" applyProtection="0"/>
    <xf numFmtId="0" fontId="10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10" fontId="105" fillId="0" borderId="0" applyFont="0" applyFill="0" applyBorder="0" applyAlignment="0" applyProtection="0"/>
    <xf numFmtId="10" fontId="102" fillId="0" borderId="0" applyFont="0" applyFill="0" applyBorder="0" applyAlignment="0" applyProtection="0"/>
    <xf numFmtId="10" fontId="102" fillId="0" borderId="0" applyFont="0" applyFill="0" applyBorder="0" applyAlignment="0" applyProtection="0"/>
    <xf numFmtId="10" fontId="102" fillId="0" borderId="0" applyFont="0" applyFill="0" applyBorder="0" applyAlignment="0" applyProtection="0"/>
    <xf numFmtId="9" fontId="106" fillId="0" borderId="0"/>
    <xf numFmtId="164" fontId="106" fillId="0" borderId="0"/>
    <xf numFmtId="10" fontId="106" fillId="0" borderId="0"/>
    <xf numFmtId="0" fontId="107" fillId="0" borderId="0" applyNumberFormat="0" applyFill="0" applyBorder="0" applyAlignment="0" applyProtection="0"/>
    <xf numFmtId="0" fontId="108" fillId="0" borderId="0" applyFont="0" applyFill="0" applyBorder="0" applyAlignment="0"/>
    <xf numFmtId="44" fontId="108" fillId="0" borderId="0" applyFont="0" applyFill="0" applyBorder="0" applyAlignment="0" applyProtection="0"/>
    <xf numFmtId="42" fontId="108" fillId="0" borderId="0" applyFont="0" applyFill="0" applyBorder="0" applyAlignment="0" applyProtection="0"/>
    <xf numFmtId="0" fontId="106" fillId="0" borderId="0" applyFont="0" applyFill="0" applyBorder="0" applyAlignment="0" applyProtection="0"/>
    <xf numFmtId="206" fontId="6"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xf numFmtId="0" fontId="106" fillId="0" borderId="0" applyFont="0" applyFill="0" applyBorder="0" applyAlignment="0" applyProtection="0"/>
    <xf numFmtId="207" fontId="6" fillId="0" borderId="0" applyFont="0" applyFill="0" applyBorder="0" applyAlignment="0" applyProtection="0"/>
    <xf numFmtId="0" fontId="111" fillId="0" borderId="0" applyNumberFormat="0" applyFill="0" applyBorder="0" applyAlignment="0" applyProtection="0"/>
    <xf numFmtId="0" fontId="108" fillId="0" borderId="0"/>
    <xf numFmtId="168" fontId="37" fillId="0" borderId="0"/>
    <xf numFmtId="164" fontId="37" fillId="0" borderId="0"/>
    <xf numFmtId="2" fontId="37" fillId="0" borderId="0"/>
    <xf numFmtId="165" fontId="112" fillId="0" borderId="0" applyFont="0" applyFill="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98" fillId="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98" fillId="4"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98" fillId="6"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98" fillId="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98" fillId="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98" fillId="3"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32" fillId="10"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3" borderId="0" applyNumberFormat="0" applyBorder="0" applyAlignment="0" applyProtection="0"/>
    <xf numFmtId="0" fontId="32" fillId="10" borderId="0" applyNumberFormat="0" applyBorder="0" applyAlignment="0" applyProtection="0"/>
    <xf numFmtId="0" fontId="32" fillId="13" borderId="0" applyNumberFormat="0" applyBorder="0" applyAlignment="0" applyProtection="0"/>
    <xf numFmtId="0" fontId="32" fillId="2" borderId="0" applyNumberFormat="0" applyBorder="0" applyAlignment="0" applyProtection="0"/>
    <xf numFmtId="0" fontId="32" fillId="4" borderId="0" applyNumberFormat="0" applyBorder="0" applyAlignment="0" applyProtection="0"/>
    <xf numFmtId="0" fontId="32" fillId="6"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3"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98" fillId="10"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98" fillId="5"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98" fillId="1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98" fillId="8"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98" fillId="10"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98" fillId="14"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32" fillId="10" borderId="0" applyNumberFormat="0" applyBorder="0" applyAlignment="0" applyProtection="0"/>
    <xf numFmtId="0" fontId="32" fillId="24" borderId="0" applyNumberFormat="0" applyBorder="0" applyAlignment="0" applyProtection="0"/>
    <xf numFmtId="0" fontId="32" fillId="13" borderId="0" applyNumberFormat="0" applyBorder="0" applyAlignment="0" applyProtection="0"/>
    <xf numFmtId="0" fontId="32" fillId="4" borderId="0" applyNumberFormat="0" applyBorder="0" applyAlignment="0" applyProtection="0"/>
    <xf numFmtId="0" fontId="32" fillId="10" borderId="0" applyNumberFormat="0" applyBorder="0" applyAlignment="0" applyProtection="0"/>
    <xf numFmtId="0" fontId="32" fillId="13" borderId="0" applyNumberFormat="0" applyBorder="0" applyAlignment="0" applyProtection="0"/>
    <xf numFmtId="0" fontId="32" fillId="10" borderId="0" applyNumberFormat="0" applyBorder="0" applyAlignment="0" applyProtection="0"/>
    <xf numFmtId="0" fontId="32" fillId="5" borderId="0" applyNumberFormat="0" applyBorder="0" applyAlignment="0" applyProtection="0"/>
    <xf numFmtId="0" fontId="32" fillId="12" borderId="0" applyNumberFormat="0" applyBorder="0" applyAlignment="0" applyProtection="0"/>
    <xf numFmtId="0" fontId="32" fillId="8" borderId="0" applyNumberFormat="0" applyBorder="0" applyAlignment="0" applyProtection="0"/>
    <xf numFmtId="0" fontId="32" fillId="10" borderId="0" applyNumberFormat="0" applyBorder="0" applyAlignment="0" applyProtection="0"/>
    <xf numFmtId="0" fontId="32" fillId="14" borderId="0" applyNumberFormat="0" applyBorder="0" applyAlignment="0" applyProtection="0"/>
    <xf numFmtId="0" fontId="113" fillId="15" borderId="0" applyNumberFormat="0" applyBorder="0" applyAlignment="0" applyProtection="0"/>
    <xf numFmtId="0" fontId="113" fillId="5" borderId="0" applyNumberFormat="0" applyBorder="0" applyAlignment="0" applyProtection="0"/>
    <xf numFmtId="0" fontId="113" fillId="12" borderId="0" applyNumberFormat="0" applyBorder="0" applyAlignment="0" applyProtection="0"/>
    <xf numFmtId="0" fontId="113" fillId="17" borderId="0" applyNumberFormat="0" applyBorder="0" applyAlignment="0" applyProtection="0"/>
    <xf numFmtId="0" fontId="113" fillId="18" borderId="0" applyNumberFormat="0" applyBorder="0" applyAlignment="0" applyProtection="0"/>
    <xf numFmtId="0" fontId="113" fillId="19" borderId="0" applyNumberFormat="0" applyBorder="0" applyAlignment="0" applyProtection="0"/>
    <xf numFmtId="0" fontId="54" fillId="10" borderId="0" applyNumberFormat="0" applyBorder="0" applyAlignment="0" applyProtection="0"/>
    <xf numFmtId="0" fontId="54" fillId="24" borderId="0" applyNumberFormat="0" applyBorder="0" applyAlignment="0" applyProtection="0"/>
    <xf numFmtId="0" fontId="54" fillId="14" borderId="0" applyNumberFormat="0" applyBorder="0" applyAlignment="0" applyProtection="0"/>
    <xf numFmtId="0" fontId="54" fillId="4" borderId="0" applyNumberFormat="0" applyBorder="0" applyAlignment="0" applyProtection="0"/>
    <xf numFmtId="0" fontId="54" fillId="10" borderId="0" applyNumberFormat="0" applyBorder="0" applyAlignment="0" applyProtection="0"/>
    <xf numFmtId="0" fontId="54" fillId="13" borderId="0" applyNumberFormat="0" applyBorder="0" applyAlignment="0" applyProtection="0"/>
    <xf numFmtId="0" fontId="54" fillId="15" borderId="0" applyNumberFormat="0" applyBorder="0" applyAlignment="0" applyProtection="0"/>
    <xf numFmtId="0" fontId="54" fillId="5" borderId="0" applyNumberFormat="0" applyBorder="0" applyAlignment="0" applyProtection="0"/>
    <xf numFmtId="0" fontId="54" fillId="12"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113" fillId="20" borderId="0" applyNumberFormat="0" applyBorder="0" applyAlignment="0" applyProtection="0"/>
    <xf numFmtId="0" fontId="113" fillId="21" borderId="0" applyNumberFormat="0" applyBorder="0" applyAlignment="0" applyProtection="0"/>
    <xf numFmtId="0" fontId="113" fillId="22" borderId="0" applyNumberFormat="0" applyBorder="0" applyAlignment="0" applyProtection="0"/>
    <xf numFmtId="0" fontId="113" fillId="17" borderId="0" applyNumberFormat="0" applyBorder="0" applyAlignment="0" applyProtection="0"/>
    <xf numFmtId="0" fontId="113" fillId="18" borderId="0" applyNumberFormat="0" applyBorder="0" applyAlignment="0" applyProtection="0"/>
    <xf numFmtId="0" fontId="113" fillId="24" borderId="0" applyNumberFormat="0" applyBorder="0" applyAlignment="0" applyProtection="0"/>
    <xf numFmtId="42" fontId="6" fillId="0" borderId="0" applyFont="0" applyFill="0" applyBorder="0" applyAlignment="0" applyProtection="0"/>
    <xf numFmtId="0" fontId="6" fillId="0" borderId="0"/>
    <xf numFmtId="0" fontId="6" fillId="0" borderId="0"/>
    <xf numFmtId="0" fontId="6" fillId="0" borderId="0"/>
    <xf numFmtId="0" fontId="23" fillId="0" borderId="0"/>
    <xf numFmtId="0" fontId="114" fillId="4" borderId="0" applyNumberFormat="0" applyBorder="0" applyAlignment="0" applyProtection="0"/>
    <xf numFmtId="0" fontId="115" fillId="0" borderId="50">
      <alignment horizontal="left"/>
    </xf>
    <xf numFmtId="1" fontId="116" fillId="0" borderId="0">
      <alignment horizontal="center"/>
    </xf>
    <xf numFmtId="0" fontId="117" fillId="0" borderId="50">
      <alignment horizontal="left" wrapText="1"/>
    </xf>
    <xf numFmtId="1" fontId="118" fillId="0" borderId="0" applyFill="0" applyBorder="0" applyProtection="0">
      <alignment horizontal="right" wrapText="1"/>
      <protection locked="0"/>
    </xf>
    <xf numFmtId="208" fontId="119" fillId="0" borderId="0" applyFill="0" applyBorder="0" applyProtection="0">
      <alignment horizontal="right"/>
      <protection locked="0"/>
    </xf>
    <xf numFmtId="1" fontId="118" fillId="0" borderId="0" applyFill="0" applyBorder="0" applyProtection="0">
      <alignment horizontal="right" wrapText="1"/>
      <protection locked="0"/>
    </xf>
    <xf numFmtId="0" fontId="108" fillId="0" borderId="0" applyFill="0" applyBorder="0" applyAlignment="0" applyProtection="0"/>
    <xf numFmtId="0" fontId="120" fillId="0" borderId="0" applyNumberFormat="0" applyFill="0" applyBorder="0" applyAlignment="0" applyProtection="0"/>
    <xf numFmtId="0" fontId="121" fillId="0" borderId="0" applyNumberFormat="0" applyFill="0" applyBorder="0" applyAlignment="0" applyProtection="0"/>
    <xf numFmtId="0" fontId="122" fillId="0" borderId="0" applyNumberFormat="0" applyFill="0" applyBorder="0" applyProtection="0">
      <protection locked="0"/>
    </xf>
    <xf numFmtId="208" fontId="123" fillId="0" borderId="0">
      <protection locked="0"/>
    </xf>
    <xf numFmtId="0" fontId="122" fillId="0" borderId="0" applyNumberFormat="0" applyFill="0" applyBorder="0" applyProtection="0">
      <protection locked="0"/>
    </xf>
    <xf numFmtId="0" fontId="108" fillId="0" borderId="0"/>
    <xf numFmtId="0" fontId="22" fillId="0" borderId="37" applyNumberFormat="0" applyFill="0" applyAlignment="0" applyProtection="0"/>
    <xf numFmtId="204" fontId="108" fillId="0" borderId="0">
      <alignment vertical="top"/>
    </xf>
    <xf numFmtId="209" fontId="124" fillId="0" borderId="0" applyFill="0" applyBorder="0" applyProtection="0"/>
    <xf numFmtId="204" fontId="124" fillId="0" borderId="0">
      <alignment horizontal="left"/>
    </xf>
    <xf numFmtId="0" fontId="59" fillId="6" borderId="0" applyNumberFormat="0" applyBorder="0" applyAlignment="0" applyProtection="0"/>
    <xf numFmtId="0" fontId="102" fillId="0" borderId="37" applyNumberFormat="0" applyFont="0" applyFill="0" applyAlignment="0" applyProtection="0"/>
    <xf numFmtId="0" fontId="102" fillId="0" borderId="37" applyNumberFormat="0" applyFont="0" applyFill="0" applyAlignment="0" applyProtection="0"/>
    <xf numFmtId="0" fontId="102" fillId="0" borderId="37" applyNumberFormat="0" applyFont="0" applyFill="0" applyAlignment="0" applyProtection="0"/>
    <xf numFmtId="0" fontId="102" fillId="0" borderId="47" applyNumberFormat="0" applyFont="0" applyFill="0" applyAlignment="0" applyProtection="0"/>
    <xf numFmtId="0" fontId="102" fillId="0" borderId="47" applyNumberFormat="0" applyFont="0" applyFill="0" applyAlignment="0" applyProtection="0"/>
    <xf numFmtId="0" fontId="102" fillId="0" borderId="47" applyNumberFormat="0" applyFont="0" applyFill="0" applyAlignment="0" applyProtection="0"/>
    <xf numFmtId="0" fontId="102" fillId="0" borderId="46" applyNumberFormat="0" applyFont="0" applyFill="0" applyAlignment="0" applyProtection="0"/>
    <xf numFmtId="0" fontId="102" fillId="0" borderId="46" applyNumberFormat="0" applyFont="0" applyFill="0" applyAlignment="0" applyProtection="0"/>
    <xf numFmtId="0" fontId="102" fillId="0" borderId="46" applyNumberFormat="0" applyFont="0" applyFill="0" applyAlignment="0" applyProtection="0"/>
    <xf numFmtId="0" fontId="102" fillId="0" borderId="38" applyNumberFormat="0" applyFont="0" applyFill="0" applyAlignment="0" applyProtection="0"/>
    <xf numFmtId="0" fontId="102" fillId="0" borderId="38" applyNumberFormat="0" applyFont="0" applyFill="0" applyAlignment="0" applyProtection="0"/>
    <xf numFmtId="0" fontId="102" fillId="0" borderId="38" applyNumberFormat="0" applyFont="0" applyFill="0" applyAlignment="0" applyProtection="0"/>
    <xf numFmtId="0" fontId="102" fillId="0" borderId="38" applyNumberFormat="0" applyFont="0" applyFill="0" applyAlignment="0" applyProtection="0"/>
    <xf numFmtId="0" fontId="102" fillId="0" borderId="38" applyNumberFormat="0" applyFont="0" applyFill="0" applyAlignment="0" applyProtection="0"/>
    <xf numFmtId="0" fontId="102" fillId="0" borderId="38" applyNumberFormat="0" applyFont="0" applyFill="0" applyAlignment="0" applyProtection="0"/>
    <xf numFmtId="0" fontId="125" fillId="0" borderId="51" applyFill="0" applyProtection="0">
      <alignment horizontal="right"/>
    </xf>
    <xf numFmtId="0" fontId="125" fillId="0" borderId="51" applyFill="0" applyProtection="0">
      <alignment horizontal="right"/>
    </xf>
    <xf numFmtId="0" fontId="125" fillId="0" borderId="51" applyFill="0" applyProtection="0">
      <alignment horizontal="right"/>
    </xf>
    <xf numFmtId="0" fontId="125" fillId="0" borderId="51" applyFill="0" applyProtection="0">
      <alignment horizontal="right"/>
    </xf>
    <xf numFmtId="0" fontId="125" fillId="0" borderId="51" applyFill="0" applyProtection="0">
      <alignment horizontal="right"/>
    </xf>
    <xf numFmtId="0" fontId="125" fillId="0" borderId="51" applyFill="0" applyProtection="0">
      <alignment horizontal="right"/>
    </xf>
    <xf numFmtId="0" fontId="59" fillId="6" borderId="0" applyNumberFormat="0" applyBorder="0" applyAlignment="0" applyProtection="0"/>
    <xf numFmtId="0" fontId="106" fillId="0" borderId="0" applyFont="0" applyFill="0" applyBorder="0" applyAlignment="0" applyProtection="0"/>
    <xf numFmtId="210" fontId="6" fillId="0" borderId="0" applyFont="0" applyFill="0" applyBorder="0" applyAlignment="0" applyProtection="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76" fillId="26" borderId="3" applyNumberFormat="0" applyAlignment="0" applyProtection="0"/>
    <xf numFmtId="0" fontId="76" fillId="26" borderId="3" applyNumberFormat="0" applyAlignment="0" applyProtection="0"/>
    <xf numFmtId="0" fontId="76" fillId="26" borderId="3" applyNumberFormat="0" applyAlignment="0" applyProtection="0"/>
    <xf numFmtId="0" fontId="76" fillId="26" borderId="3" applyNumberFormat="0" applyAlignment="0" applyProtection="0"/>
    <xf numFmtId="0" fontId="76" fillId="26" borderId="3" applyNumberFormat="0" applyAlignment="0" applyProtection="0"/>
    <xf numFmtId="0" fontId="56" fillId="11" borderId="3" applyNumberFormat="0" applyAlignment="0" applyProtection="0"/>
    <xf numFmtId="0" fontId="56" fillId="11" borderId="3" applyNumberFormat="0" applyAlignment="0" applyProtection="0"/>
    <xf numFmtId="0" fontId="56" fillId="11" borderId="3" applyNumberFormat="0" applyAlignment="0" applyProtection="0"/>
    <xf numFmtId="0" fontId="56" fillId="11" borderId="3" applyNumberFormat="0" applyAlignment="0" applyProtection="0"/>
    <xf numFmtId="0" fontId="56" fillId="11" borderId="3" applyNumberFormat="0" applyAlignment="0" applyProtection="0"/>
    <xf numFmtId="0" fontId="127" fillId="11" borderId="3" applyNumberFormat="0" applyAlignment="0" applyProtection="0"/>
    <xf numFmtId="0" fontId="127" fillId="11" borderId="3" applyNumberFormat="0" applyAlignment="0" applyProtection="0"/>
    <xf numFmtId="0" fontId="127" fillId="11" borderId="3" applyNumberFormat="0" applyAlignment="0" applyProtection="0"/>
    <xf numFmtId="0" fontId="127" fillId="11" borderId="3" applyNumberFormat="0" applyAlignment="0" applyProtection="0"/>
    <xf numFmtId="0" fontId="127" fillId="11" borderId="3" applyNumberFormat="0" applyAlignment="0" applyProtection="0"/>
    <xf numFmtId="0" fontId="127" fillId="11" borderId="3" applyNumberFormat="0" applyAlignment="0" applyProtection="0"/>
    <xf numFmtId="0" fontId="56" fillId="11" borderId="3" applyNumberFormat="0" applyAlignment="0" applyProtection="0"/>
    <xf numFmtId="0" fontId="56" fillId="11" borderId="3" applyNumberFormat="0" applyAlignment="0" applyProtection="0"/>
    <xf numFmtId="0" fontId="57" fillId="27" borderId="4" applyNumberFormat="0" applyAlignment="0" applyProtection="0"/>
    <xf numFmtId="0" fontId="64" fillId="0" borderId="16" applyNumberFormat="0" applyFill="0" applyAlignment="0" applyProtection="0"/>
    <xf numFmtId="0" fontId="117" fillId="0" borderId="0">
      <alignment horizontal="right" vertical="center"/>
    </xf>
    <xf numFmtId="0" fontId="57" fillId="27" borderId="4" applyNumberFormat="0" applyAlignment="0" applyProtection="0"/>
    <xf numFmtId="0" fontId="69" fillId="0" borderId="52" applyNumberFormat="0" applyFill="0" applyAlignment="0" applyProtection="0"/>
    <xf numFmtId="0" fontId="128" fillId="0" borderId="0" applyFill="0" applyBorder="0" applyProtection="0">
      <alignment horizontal="center" vertical="center"/>
    </xf>
    <xf numFmtId="0" fontId="129" fillId="0" borderId="0" applyFill="0" applyBorder="0" applyProtection="0">
      <alignment horizontal="center" vertical="center"/>
    </xf>
    <xf numFmtId="8" fontId="6" fillId="0" borderId="53" applyFont="0" applyFill="0" applyBorder="0" applyProtection="0">
      <alignment horizontal="right"/>
    </xf>
    <xf numFmtId="0" fontId="115" fillId="0" borderId="0">
      <alignment horizontal="center" vertical="center" wrapText="1"/>
    </xf>
    <xf numFmtId="1" fontId="130" fillId="0" borderId="0"/>
    <xf numFmtId="0" fontId="27" fillId="0" borderId="0"/>
    <xf numFmtId="0" fontId="27" fillId="0" borderId="0" applyAlignment="0"/>
    <xf numFmtId="0" fontId="131" fillId="27" borderId="4" applyNumberFormat="0" applyAlignment="0" applyProtection="0"/>
    <xf numFmtId="1" fontId="109" fillId="0" borderId="0">
      <protection locked="0"/>
    </xf>
    <xf numFmtId="0" fontId="37" fillId="0" borderId="0">
      <alignment horizontal="center" wrapText="1"/>
      <protection hidden="1"/>
    </xf>
    <xf numFmtId="0" fontId="132" fillId="0" borderId="45">
      <alignment horizontal="center"/>
    </xf>
    <xf numFmtId="0" fontId="38" fillId="29" borderId="0" applyAlignment="0"/>
    <xf numFmtId="211" fontId="133" fillId="0" borderId="0"/>
    <xf numFmtId="211" fontId="133" fillId="0" borderId="0"/>
    <xf numFmtId="211" fontId="133" fillId="0" borderId="0"/>
    <xf numFmtId="211" fontId="133" fillId="0" borderId="0"/>
    <xf numFmtId="211" fontId="133" fillId="0" borderId="0"/>
    <xf numFmtId="211" fontId="133" fillId="0" borderId="0"/>
    <xf numFmtId="211" fontId="133" fillId="0" borderId="0"/>
    <xf numFmtId="211" fontId="133" fillId="0" borderId="0"/>
    <xf numFmtId="212" fontId="39" fillId="0" borderId="37"/>
    <xf numFmtId="0" fontId="134" fillId="0" borderId="0" applyFont="0" applyFill="0" applyBorder="0" applyAlignment="0" applyProtection="0"/>
    <xf numFmtId="213" fontId="135" fillId="0" borderId="0" applyFont="0" applyFill="0" applyBorder="0" applyAlignment="0" applyProtection="0"/>
    <xf numFmtId="43" fontId="6" fillId="0" borderId="0" applyFont="0" applyFill="0" applyBorder="0" applyAlignment="0" applyProtection="0"/>
    <xf numFmtId="214"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214" fontId="6"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21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214"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205" fontId="6" fillId="0" borderId="0" applyFont="0" applyFill="0" applyBorder="0" applyAlignment="0" applyProtection="0"/>
    <xf numFmtId="216" fontId="6" fillId="0" borderId="0" applyFont="0" applyFill="0" applyBorder="0" applyAlignment="0" applyProtection="0"/>
    <xf numFmtId="215" fontId="6"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214"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4"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4"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217"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108" fillId="0" borderId="0" applyFont="0" applyFill="0" applyBorder="0" applyAlignment="0" applyProtection="0"/>
    <xf numFmtId="43" fontId="5" fillId="0" borderId="0" applyFont="0" applyFill="0" applyBorder="0" applyAlignment="0" applyProtection="0"/>
    <xf numFmtId="43" fontId="108" fillId="0" borderId="0" applyFont="0" applyFill="0" applyBorder="0" applyAlignment="0" applyProtection="0"/>
    <xf numFmtId="43" fontId="6" fillId="0" borderId="0" applyFont="0" applyFill="0" applyBorder="0" applyAlignment="0" applyProtection="0"/>
    <xf numFmtId="4" fontId="39" fillId="0" borderId="0" applyFont="0" applyFill="0" applyBorder="0" applyAlignment="0" applyProtection="0"/>
    <xf numFmtId="43" fontId="108" fillId="0" borderId="0" applyFont="0" applyFill="0" applyBorder="0" applyAlignment="0" applyProtection="0"/>
    <xf numFmtId="214" fontId="6" fillId="0" borderId="0" applyFont="0" applyFill="0" applyBorder="0" applyAlignment="0" applyProtection="0"/>
    <xf numFmtId="43" fontId="5" fillId="0" borderId="0" applyFont="0" applyFill="0" applyBorder="0" applyAlignment="0" applyProtection="0"/>
    <xf numFmtId="214" fontId="6" fillId="0" borderId="0" applyFont="0" applyFill="0" applyBorder="0" applyAlignment="0" applyProtection="0"/>
    <xf numFmtId="43" fontId="108"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214" fontId="6" fillId="0" borderId="0" applyFont="0" applyFill="0" applyBorder="0" applyAlignment="0" applyProtection="0"/>
    <xf numFmtId="43" fontId="32" fillId="0" borderId="0" applyFont="0" applyFill="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3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7" fillId="0" borderId="0" applyFont="0" applyFill="0" applyBorder="0" applyAlignment="0" applyProtection="0"/>
    <xf numFmtId="43" fontId="137" fillId="0" borderId="0" applyFont="0" applyFill="0" applyBorder="0" applyAlignment="0" applyProtection="0"/>
    <xf numFmtId="43" fontId="137"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91"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43" fontId="5" fillId="0" borderId="0" applyFont="0" applyFill="0" applyBorder="0" applyAlignment="0" applyProtection="0"/>
    <xf numFmtId="214" fontId="6" fillId="0" borderId="0" applyFont="0" applyFill="0" applyBorder="0" applyAlignment="0" applyProtection="0"/>
    <xf numFmtId="214" fontId="6" fillId="0" borderId="0" applyFont="0" applyFill="0" applyBorder="0" applyAlignment="0" applyProtection="0"/>
    <xf numFmtId="43" fontId="6" fillId="0" borderId="0" applyFont="0" applyFill="0" applyBorder="0" applyAlignment="0" applyProtection="0"/>
    <xf numFmtId="215" fontId="6" fillId="0" borderId="0" applyFont="0" applyFill="0" applyBorder="0" applyAlignment="0" applyProtection="0"/>
    <xf numFmtId="43" fontId="32" fillId="0" borderId="0" applyFont="0" applyFill="0" applyBorder="0" applyAlignment="0" applyProtection="0"/>
    <xf numFmtId="215" fontId="6"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214" fontId="6"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14" fontId="6"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214" fontId="6" fillId="0" borderId="0" applyFont="0" applyFill="0" applyBorder="0" applyAlignment="0" applyProtection="0"/>
    <xf numFmtId="43" fontId="32" fillId="0" borderId="0" applyFont="0" applyFill="0" applyBorder="0" applyAlignment="0" applyProtection="0"/>
    <xf numFmtId="214" fontId="6"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13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215" fontId="6" fillId="0" borderId="0" applyFont="0" applyFill="0" applyBorder="0" applyAlignment="0" applyProtection="0"/>
    <xf numFmtId="43" fontId="6"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138"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215" fontId="6" fillId="0" borderId="0" applyFont="0" applyFill="0" applyBorder="0" applyAlignment="0" applyProtection="0"/>
    <xf numFmtId="43" fontId="6" fillId="0" borderId="0" applyFont="0" applyFill="0" applyBorder="0" applyAlignment="0" applyProtection="0"/>
    <xf numFmtId="214"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214" fontId="6"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215" fontId="6" fillId="0" borderId="0" applyFont="0" applyFill="0" applyBorder="0" applyAlignment="0" applyProtection="0"/>
    <xf numFmtId="214" fontId="6" fillId="0" borderId="0" applyFont="0" applyFill="0" applyBorder="0" applyAlignment="0" applyProtection="0"/>
    <xf numFmtId="43" fontId="32" fillId="0" borderId="0" applyFont="0" applyFill="0" applyBorder="0" applyAlignment="0" applyProtection="0"/>
    <xf numFmtId="214" fontId="6"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214" fontId="6"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214"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ill="0" applyBorder="0" applyAlignment="0" applyProtection="0"/>
    <xf numFmtId="214" fontId="6" fillId="0" borderId="0" applyFont="0" applyFill="0" applyBorder="0" applyAlignment="0" applyProtection="0"/>
    <xf numFmtId="215" fontId="6" fillId="0" borderId="0" applyFont="0" applyFill="0" applyBorder="0" applyAlignment="0" applyProtection="0"/>
    <xf numFmtId="215" fontId="6" fillId="0" borderId="0" applyFont="0" applyFill="0" applyBorder="0" applyAlignment="0" applyProtection="0"/>
    <xf numFmtId="214" fontId="6" fillId="0" borderId="0" applyFont="0" applyFill="0" applyBorder="0" applyAlignment="0" applyProtection="0"/>
    <xf numFmtId="43" fontId="6" fillId="0" borderId="0" applyFont="0" applyFill="0" applyBorder="0" applyAlignment="0" applyProtection="0"/>
    <xf numFmtId="43" fontId="10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0" fontId="6" fillId="0" borderId="0" applyFont="0" applyFill="0" applyBorder="0" applyProtection="0">
      <alignment horizontal="right"/>
    </xf>
    <xf numFmtId="38" fontId="106" fillId="0" borderId="0" applyFill="0" applyBorder="0" applyProtection="0">
      <alignment horizontal="center"/>
    </xf>
    <xf numFmtId="182" fontId="37" fillId="0" borderId="0" applyFont="0" applyFill="0" applyBorder="0" applyAlignment="0" applyProtection="0"/>
    <xf numFmtId="182" fontId="37" fillId="0" borderId="0" applyFont="0" applyFill="0" applyBorder="0" applyAlignment="0" applyProtection="0"/>
    <xf numFmtId="181" fontId="37" fillId="0" borderId="0" applyFont="0" applyFill="0" applyBorder="0" applyAlignment="0" applyProtection="0"/>
    <xf numFmtId="181" fontId="37" fillId="0" borderId="0" applyFont="0" applyFill="0" applyBorder="0" applyAlignment="0" applyProtection="0"/>
    <xf numFmtId="3" fontId="6" fillId="0" borderId="0" applyFont="0" applyFill="0" applyBorder="0" applyAlignment="0" applyProtection="0"/>
    <xf numFmtId="0" fontId="139" fillId="50" borderId="0">
      <alignment horizontal="center" vertical="center" wrapText="1"/>
    </xf>
    <xf numFmtId="0" fontId="140" fillId="0" borderId="0" applyFill="0" applyBorder="0" applyAlignment="0" applyProtection="0"/>
    <xf numFmtId="38" fontId="22" fillId="0" borderId="0" applyNumberFormat="0" applyFill="0" applyBorder="0">
      <alignment horizontal="left"/>
    </xf>
    <xf numFmtId="38" fontId="141" fillId="0" borderId="0" applyNumberFormat="0" applyFill="0" applyBorder="0">
      <alignment vertical="center"/>
    </xf>
    <xf numFmtId="218" fontId="142" fillId="0" borderId="0" applyFill="0" applyBorder="0" applyProtection="0"/>
    <xf numFmtId="219" fontId="143" fillId="0" borderId="0" applyFont="0" applyFill="0" applyBorder="0" applyAlignment="0" applyProtection="0"/>
    <xf numFmtId="220" fontId="6" fillId="0" borderId="0" applyFill="0" applyBorder="0">
      <alignment horizontal="right"/>
      <protection locked="0"/>
    </xf>
    <xf numFmtId="7" fontId="6" fillId="0" borderId="0" applyFont="0" applyFill="0" applyBorder="0" applyAlignment="0" applyProtection="0"/>
    <xf numFmtId="0" fontId="108" fillId="0" borderId="0" applyFont="0" applyFill="0" applyBorder="0" applyAlignment="0" applyProtection="0"/>
    <xf numFmtId="183" fontId="37" fillId="0" borderId="6" applyFont="0" applyFill="0" applyBorder="0" applyAlignment="0" applyProtection="0"/>
    <xf numFmtId="183" fontId="37" fillId="0" borderId="6" applyFont="0" applyFill="0" applyBorder="0" applyAlignment="0" applyProtection="0"/>
    <xf numFmtId="183" fontId="37" fillId="0" borderId="6" applyFont="0" applyFill="0" applyBorder="0" applyAlignment="0" applyProtection="0"/>
    <xf numFmtId="185" fontId="37" fillId="0" borderId="0"/>
    <xf numFmtId="185" fontId="37" fillId="0" borderId="0"/>
    <xf numFmtId="184" fontId="37" fillId="0" borderId="0"/>
    <xf numFmtId="184" fontId="37" fillId="0" borderId="0"/>
    <xf numFmtId="8" fontId="144" fillId="0" borderId="0" applyBorder="0"/>
    <xf numFmtId="8" fontId="145" fillId="0" borderId="0" applyFont="0" applyFill="0" applyBorder="0" applyAlignment="0" applyProtection="0">
      <alignment horizontal="left"/>
    </xf>
    <xf numFmtId="221" fontId="135"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5" fillId="0" borderId="0" applyFont="0" applyFill="0" applyBorder="0" applyAlignment="0" applyProtection="0"/>
    <xf numFmtId="44" fontId="6" fillId="0" borderId="0" applyFont="0" applyFill="0" applyBorder="0" applyAlignment="0" applyProtection="0"/>
    <xf numFmtId="44" fontId="5"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91"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5"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8" fontId="39" fillId="0" borderId="0" applyFont="0" applyFill="0" applyBorder="0" applyAlignment="0" applyProtection="0"/>
    <xf numFmtId="44" fontId="6" fillId="0" borderId="0" applyFont="0" applyFill="0" applyBorder="0" applyAlignment="0" applyProtection="0"/>
    <xf numFmtId="44" fontId="13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8" fillId="0" borderId="0" applyFont="0" applyFill="0" applyBorder="0" applyAlignment="0" applyProtection="0"/>
    <xf numFmtId="44" fontId="32" fillId="0" borderId="0" applyFont="0" applyFill="0" applyBorder="0" applyAlignment="0" applyProtection="0"/>
    <xf numFmtId="44" fontId="5"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8"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5" fillId="0" borderId="0" applyFont="0" applyFill="0" applyBorder="0" applyAlignment="0" applyProtection="0"/>
    <xf numFmtId="44" fontId="138"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172" fontId="146" fillId="0" borderId="0" applyFont="0" applyFill="0" applyBorder="0" applyAlignment="0" applyProtection="0"/>
    <xf numFmtId="222" fontId="6" fillId="0" borderId="0" applyFont="0" applyFill="0" applyBorder="0" applyAlignment="0" applyProtection="0"/>
    <xf numFmtId="0" fontId="37" fillId="0" borderId="0" applyFont="0" applyFill="0" applyBorder="0" applyAlignment="0">
      <protection locked="0"/>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7" fillId="25" borderId="46">
      <alignment horizontal="right"/>
    </xf>
    <xf numFmtId="176" fontId="147" fillId="25" borderId="46">
      <alignment horizontal="right"/>
    </xf>
    <xf numFmtId="0" fontId="147" fillId="25" borderId="46">
      <alignment horizontal="right"/>
    </xf>
    <xf numFmtId="0" fontId="147" fillId="25" borderId="46">
      <alignment horizontal="right"/>
    </xf>
    <xf numFmtId="176" fontId="148" fillId="25" borderId="46">
      <alignment horizontal="right"/>
    </xf>
    <xf numFmtId="0" fontId="147" fillId="25" borderId="46">
      <alignment horizontal="right"/>
    </xf>
    <xf numFmtId="176" fontId="147" fillId="25" borderId="46">
      <alignment horizontal="right"/>
    </xf>
    <xf numFmtId="0" fontId="147" fillId="25" borderId="46">
      <alignment horizontal="right"/>
    </xf>
    <xf numFmtId="0" fontId="147" fillId="25" borderId="46">
      <alignment horizontal="right"/>
    </xf>
    <xf numFmtId="176" fontId="148" fillId="25" borderId="46">
      <alignment horizontal="right"/>
    </xf>
    <xf numFmtId="0"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7" fillId="25" borderId="46">
      <alignment horizontal="right"/>
    </xf>
    <xf numFmtId="176" fontId="147" fillId="25" borderId="46">
      <alignment horizontal="right"/>
    </xf>
    <xf numFmtId="0" fontId="147" fillId="25" borderId="46">
      <alignment horizontal="right"/>
    </xf>
    <xf numFmtId="0" fontId="147" fillId="25" borderId="46">
      <alignment horizontal="right"/>
    </xf>
    <xf numFmtId="176" fontId="148" fillId="25" borderId="46">
      <alignment horizontal="right"/>
    </xf>
    <xf numFmtId="0" fontId="147" fillId="25" borderId="46">
      <alignment horizontal="right"/>
    </xf>
    <xf numFmtId="176" fontId="147" fillId="25" borderId="46">
      <alignment horizontal="right"/>
    </xf>
    <xf numFmtId="0" fontId="147" fillId="25" borderId="46">
      <alignment horizontal="right"/>
    </xf>
    <xf numFmtId="0" fontId="147" fillId="25" borderId="46">
      <alignment horizontal="right"/>
    </xf>
    <xf numFmtId="176" fontId="148" fillId="25" borderId="46">
      <alignment horizontal="right"/>
    </xf>
    <xf numFmtId="0"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8" fillId="25" borderId="46">
      <alignment horizontal="right"/>
    </xf>
    <xf numFmtId="0" fontId="106" fillId="0" borderId="0" applyFont="0" applyFill="0" applyBorder="0" applyAlignment="0" applyProtection="0"/>
    <xf numFmtId="224" fontId="6" fillId="0" borderId="0" applyFont="0" applyFill="0" applyBorder="0" applyAlignment="0" applyProtection="0"/>
    <xf numFmtId="0" fontId="6" fillId="0" borderId="0" applyNumberFormat="0">
      <alignment horizontal="right"/>
    </xf>
    <xf numFmtId="15" fontId="6" fillId="0" borderId="0" applyFont="0" applyFill="0" applyBorder="0" applyProtection="0">
      <alignment horizontal="right"/>
    </xf>
    <xf numFmtId="0" fontId="6" fillId="0" borderId="0" applyFont="0" applyFill="0" applyBorder="0" applyAlignment="0" applyProtection="0"/>
    <xf numFmtId="17" fontId="25" fillId="0" borderId="38" applyFont="0" applyFill="0" applyBorder="0" applyAlignment="0" applyProtection="0"/>
    <xf numFmtId="17" fontId="25" fillId="0" borderId="38" applyFont="0" applyFill="0" applyBorder="0" applyAlignment="0" applyProtection="0"/>
    <xf numFmtId="37" fontId="149" fillId="0" borderId="0"/>
    <xf numFmtId="8" fontId="106" fillId="0" borderId="0" applyFill="0" applyBorder="0" applyProtection="0">
      <alignment horizontal="center"/>
    </xf>
    <xf numFmtId="6" fontId="106" fillId="0" borderId="0">
      <alignment horizontal="center"/>
    </xf>
    <xf numFmtId="8" fontId="106" fillId="0" borderId="0" applyFill="0" applyBorder="0" applyProtection="0">
      <alignment horizontal="center"/>
    </xf>
    <xf numFmtId="0" fontId="110" fillId="0" borderId="0" applyFont="0" applyFill="0" applyBorder="0" applyAlignment="0" applyProtection="0"/>
    <xf numFmtId="4" fontId="106" fillId="0" borderId="0" applyFont="0" applyFill="0" applyBorder="0" applyAlignment="0" applyProtection="0"/>
    <xf numFmtId="176" fontId="110" fillId="0" borderId="0" applyFont="0" applyFill="0" applyBorder="0" applyAlignment="0" applyProtection="0"/>
    <xf numFmtId="225" fontId="150" fillId="0" borderId="0"/>
    <xf numFmtId="226" fontId="150" fillId="0" borderId="0"/>
    <xf numFmtId="0" fontId="62" fillId="0" borderId="0" applyNumberFormat="0" applyFill="0" applyBorder="0" applyAlignment="0" applyProtection="0"/>
    <xf numFmtId="0" fontId="54" fillId="23" borderId="0" applyNumberFormat="0" applyBorder="0" applyAlignment="0" applyProtection="0"/>
    <xf numFmtId="0" fontId="54" fillId="24" borderId="0" applyNumberFormat="0" applyBorder="0" applyAlignment="0" applyProtection="0"/>
    <xf numFmtId="0" fontId="54" fillId="14" borderId="0" applyNumberFormat="0" applyBorder="0" applyAlignment="0" applyProtection="0"/>
    <xf numFmtId="0" fontId="54" fillId="51" borderId="0" applyNumberFormat="0" applyBorder="0" applyAlignment="0" applyProtection="0"/>
    <xf numFmtId="0" fontId="54" fillId="18" borderId="0" applyNumberFormat="0" applyBorder="0" applyAlignment="0" applyProtection="0"/>
    <xf numFmtId="0" fontId="54" fillId="21" borderId="0" applyNumberFormat="0" applyBorder="0" applyAlignment="0" applyProtection="0"/>
    <xf numFmtId="0" fontId="54" fillId="20"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24" borderId="0" applyNumberFormat="0" applyBorder="0" applyAlignment="0" applyProtection="0"/>
    <xf numFmtId="0" fontId="63" fillId="3" borderId="3" applyNumberFormat="0" applyAlignment="0" applyProtection="0"/>
    <xf numFmtId="0" fontId="63" fillId="3" borderId="3" applyNumberFormat="0" applyAlignment="0" applyProtection="0"/>
    <xf numFmtId="0" fontId="104" fillId="52" borderId="0"/>
    <xf numFmtId="0" fontId="104" fillId="52" borderId="0"/>
    <xf numFmtId="0" fontId="105" fillId="52" borderId="0"/>
    <xf numFmtId="0" fontId="105" fillId="0" borderId="0"/>
    <xf numFmtId="0" fontId="104" fillId="52" borderId="0"/>
    <xf numFmtId="0" fontId="147" fillId="0" borderId="0"/>
    <xf numFmtId="0" fontId="147" fillId="0" borderId="0"/>
    <xf numFmtId="0" fontId="100" fillId="0" borderId="0" applyFont="0" applyFill="0" applyBorder="0" applyAlignment="0" applyProtection="0"/>
    <xf numFmtId="0" fontId="151"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0" fontId="152" fillId="0" borderId="0" applyNumberFormat="0" applyFill="0" applyBorder="0" applyAlignment="0" applyProtection="0"/>
    <xf numFmtId="0" fontId="153" fillId="0" borderId="0"/>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0" fontId="37" fillId="0" borderId="0"/>
    <xf numFmtId="0" fontId="144" fillId="0" borderId="0" applyNumberFormat="0" applyFont="0" applyAlignment="0">
      <alignment vertical="center"/>
    </xf>
    <xf numFmtId="2" fontId="6" fillId="0" borderId="0" applyFont="0" applyFill="0" applyBorder="0" applyAlignment="0" applyProtection="0"/>
    <xf numFmtId="228" fontId="23" fillId="0" borderId="0" applyFont="0" applyFill="0" applyBorder="0" applyAlignment="0" applyProtection="0">
      <protection locked="0"/>
    </xf>
    <xf numFmtId="13" fontId="23" fillId="0" borderId="0" applyFont="0" applyFill="0" applyBorder="0" applyAlignment="0" applyProtection="0">
      <protection locked="0"/>
    </xf>
    <xf numFmtId="0" fontId="104" fillId="0" borderId="54"/>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8"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04" fillId="25" borderId="46">
      <alignment horizontal="right"/>
    </xf>
    <xf numFmtId="0" fontId="147" fillId="25" borderId="46">
      <alignment horizontal="right"/>
    </xf>
    <xf numFmtId="229" fontId="147" fillId="25" borderId="46">
      <alignment horizontal="right"/>
    </xf>
    <xf numFmtId="0" fontId="147" fillId="25" borderId="46">
      <alignment horizontal="right"/>
    </xf>
    <xf numFmtId="0" fontId="147" fillId="25" borderId="46">
      <alignment horizontal="right"/>
    </xf>
    <xf numFmtId="229" fontId="148"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7" fillId="25" borderId="46">
      <alignment horizontal="right"/>
    </xf>
    <xf numFmtId="223" fontId="147"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48" fillId="25" borderId="46">
      <alignment horizontal="right"/>
    </xf>
    <xf numFmtId="0" fontId="147" fillId="25" borderId="46">
      <alignment horizontal="right"/>
    </xf>
    <xf numFmtId="0" fontId="147" fillId="25" borderId="46">
      <alignment horizontal="right"/>
    </xf>
    <xf numFmtId="0" fontId="148" fillId="25" borderId="46">
      <alignment horizontal="right"/>
    </xf>
    <xf numFmtId="0" fontId="148" fillId="25" borderId="46">
      <alignment horizontal="right"/>
    </xf>
    <xf numFmtId="0" fontId="155" fillId="6" borderId="0" applyNumberFormat="0" applyBorder="0" applyAlignment="0" applyProtection="0"/>
    <xf numFmtId="38" fontId="8" fillId="25" borderId="0" applyNumberFormat="0" applyBorder="0" applyAlignment="0" applyProtection="0"/>
    <xf numFmtId="164" fontId="156" fillId="0" borderId="0" applyFill="0" applyBorder="0" applyProtection="0">
      <alignment horizontal="right"/>
      <protection locked="0"/>
    </xf>
    <xf numFmtId="0" fontId="14" fillId="0" borderId="55" applyNumberFormat="0" applyAlignment="0" applyProtection="0">
      <alignment horizontal="left" vertical="center"/>
    </xf>
    <xf numFmtId="0" fontId="14" fillId="0" borderId="55" applyNumberFormat="0" applyAlignment="0" applyProtection="0">
      <alignment horizontal="left" vertical="center"/>
    </xf>
    <xf numFmtId="0" fontId="14" fillId="0" borderId="8">
      <alignment horizontal="left" vertical="center"/>
    </xf>
    <xf numFmtId="0" fontId="14" fillId="0" borderId="8">
      <alignment horizontal="left" vertical="center"/>
    </xf>
    <xf numFmtId="0" fontId="14" fillId="0" borderId="8">
      <alignment horizontal="left" vertical="center"/>
    </xf>
    <xf numFmtId="0" fontId="14" fillId="0" borderId="8">
      <alignment horizontal="left" vertical="center"/>
    </xf>
    <xf numFmtId="0" fontId="157" fillId="0" borderId="0">
      <alignment horizontal="center"/>
    </xf>
    <xf numFmtId="0" fontId="129" fillId="0" borderId="0" applyFill="0" applyBorder="0" applyProtection="0">
      <alignment horizontal="right"/>
    </xf>
    <xf numFmtId="0" fontId="158" fillId="0" borderId="9" applyNumberFormat="0" applyFill="0" applyAlignment="0" applyProtection="0"/>
    <xf numFmtId="0" fontId="159" fillId="0" borderId="11" applyNumberFormat="0" applyFill="0" applyAlignment="0" applyProtection="0"/>
    <xf numFmtId="0" fontId="160" fillId="0" borderId="12" applyNumberFormat="0" applyFill="0" applyAlignment="0" applyProtection="0"/>
    <xf numFmtId="0" fontId="160" fillId="0" borderId="0" applyNumberFormat="0" applyFill="0" applyBorder="0" applyAlignment="0" applyProtection="0"/>
    <xf numFmtId="0" fontId="7" fillId="0" borderId="0" applyFill="0" applyAlignment="0" applyProtection="0"/>
    <xf numFmtId="0" fontId="7" fillId="0" borderId="37" applyFill="0" applyAlignment="0" applyProtection="0"/>
    <xf numFmtId="0" fontId="16" fillId="0" borderId="0" applyNumberFormat="0" applyFill="0" applyBorder="0" applyAlignment="0" applyProtection="0">
      <alignment vertical="top"/>
      <protection locked="0"/>
    </xf>
    <xf numFmtId="0" fontId="132" fillId="0" borderId="0" applyFill="0" applyAlignment="0" applyProtection="0"/>
    <xf numFmtId="0" fontId="161"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62" fillId="0" borderId="0" applyNumberFormat="0" applyFill="0" applyBorder="0" applyAlignment="0" applyProtection="0"/>
    <xf numFmtId="0" fontId="6" fillId="0" borderId="0" applyNumberFormat="0" applyFill="0" applyBorder="0" applyAlignment="0" applyProtection="0">
      <alignment vertical="top"/>
      <protection locked="0"/>
    </xf>
    <xf numFmtId="193" fontId="39" fillId="0" borderId="56" applyFill="0" applyBorder="0" applyProtection="0">
      <alignment horizontal="center"/>
      <protection locked="0"/>
    </xf>
    <xf numFmtId="193" fontId="39" fillId="0" borderId="56" applyFill="0" applyBorder="0" applyProtection="0">
      <alignment horizontal="center"/>
      <protection locked="0"/>
    </xf>
    <xf numFmtId="194" fontId="39" fillId="0" borderId="56" applyFill="0" applyBorder="0" applyProtection="0">
      <alignment horizontal="center"/>
      <protection locked="0"/>
    </xf>
    <xf numFmtId="194" fontId="39" fillId="0" borderId="56" applyFill="0" applyBorder="0" applyProtection="0">
      <alignment horizontal="center"/>
      <protection locked="0"/>
    </xf>
    <xf numFmtId="10" fontId="120" fillId="0" borderId="0" applyNumberFormat="0" applyFill="0" applyBorder="0" applyAlignment="0" applyProtection="0">
      <alignment horizontal="right"/>
    </xf>
    <xf numFmtId="0" fontId="55" fillId="4" borderId="0" applyNumberFormat="0" applyBorder="0" applyAlignment="0" applyProtection="0"/>
    <xf numFmtId="0" fontId="55" fillId="8" borderId="0" applyNumberFormat="0" applyBorder="0" applyAlignment="0" applyProtection="0"/>
    <xf numFmtId="10" fontId="8" fillId="34" borderId="57" applyNumberFormat="0" applyBorder="0" applyAlignment="0" applyProtection="0"/>
    <xf numFmtId="0" fontId="81" fillId="13" borderId="3" applyNumberFormat="0" applyAlignment="0" applyProtection="0"/>
    <xf numFmtId="0" fontId="81" fillId="13" borderId="3" applyNumberFormat="0" applyAlignment="0" applyProtection="0"/>
    <xf numFmtId="0" fontId="81" fillId="13" borderId="3" applyNumberFormat="0" applyAlignment="0" applyProtection="0"/>
    <xf numFmtId="0" fontId="81" fillId="13" borderId="3" applyNumberFormat="0" applyAlignment="0" applyProtection="0"/>
    <xf numFmtId="0" fontId="81" fillId="13" borderId="3" applyNumberFormat="0" applyAlignment="0" applyProtection="0"/>
    <xf numFmtId="0" fontId="63" fillId="3" borderId="3" applyNumberFormat="0" applyAlignment="0" applyProtection="0"/>
    <xf numFmtId="0" fontId="63" fillId="3" borderId="3" applyNumberFormat="0" applyAlignment="0" applyProtection="0"/>
    <xf numFmtId="0" fontId="63" fillId="3" borderId="3" applyNumberFormat="0" applyAlignment="0" applyProtection="0"/>
    <xf numFmtId="0" fontId="63" fillId="3" borderId="3" applyNumberFormat="0" applyAlignment="0" applyProtection="0"/>
    <xf numFmtId="0" fontId="63" fillId="3" borderId="3" applyNumberFormat="0" applyAlignment="0" applyProtection="0"/>
    <xf numFmtId="0" fontId="163" fillId="3" borderId="3" applyNumberFormat="0" applyAlignment="0" applyProtection="0"/>
    <xf numFmtId="0" fontId="163" fillId="3" borderId="3" applyNumberFormat="0" applyAlignment="0" applyProtection="0"/>
    <xf numFmtId="0" fontId="163" fillId="3" borderId="3" applyNumberFormat="0" applyAlignment="0" applyProtection="0"/>
    <xf numFmtId="0" fontId="163" fillId="3" borderId="3" applyNumberFormat="0" applyAlignment="0" applyProtection="0"/>
    <xf numFmtId="0" fontId="163" fillId="3" borderId="3" applyNumberFormat="0" applyAlignment="0" applyProtection="0"/>
    <xf numFmtId="0" fontId="163" fillId="3" borderId="3" applyNumberFormat="0" applyAlignment="0" applyProtection="0"/>
    <xf numFmtId="13" fontId="118" fillId="0" borderId="58" applyNumberFormat="0" applyFont="0" applyFill="0" applyAlignment="0" applyProtection="0">
      <alignment horizontal="right" wrapText="1"/>
      <protection locked="0"/>
    </xf>
    <xf numFmtId="0" fontId="18" fillId="0" borderId="0" applyNumberFormat="0" applyFill="0" applyBorder="0" applyAlignment="0">
      <protection locked="0"/>
    </xf>
    <xf numFmtId="0" fontId="6" fillId="0" borderId="0" applyFill="0" applyBorder="0">
      <alignment horizontal="right"/>
      <protection locked="0"/>
    </xf>
    <xf numFmtId="0" fontId="42" fillId="0" borderId="0" applyAlignment="0"/>
    <xf numFmtId="38" fontId="26" fillId="0" borderId="0" applyNumberFormat="0" applyBorder="0" applyProtection="0">
      <alignment horizontal="left"/>
    </xf>
    <xf numFmtId="230" fontId="6" fillId="0" borderId="0" applyFill="0" applyBorder="0">
      <alignment horizontal="right"/>
      <protection locked="0"/>
    </xf>
    <xf numFmtId="0" fontId="7" fillId="53" borderId="59">
      <alignment horizontal="left" vertical="center" wrapText="1"/>
    </xf>
    <xf numFmtId="15" fontId="6" fillId="0" borderId="0"/>
    <xf numFmtId="0" fontId="164" fillId="0" borderId="0"/>
    <xf numFmtId="0" fontId="165" fillId="0" borderId="16" applyNumberFormat="0" applyFill="0" applyAlignment="0" applyProtection="0"/>
    <xf numFmtId="181" fontId="6" fillId="0" borderId="0" applyNumberFormat="0" applyFont="0" applyFill="0" applyBorder="0" applyAlignment="0"/>
    <xf numFmtId="0" fontId="103" fillId="0" borderId="0">
      <alignment horizontal="right"/>
    </xf>
    <xf numFmtId="0" fontId="105" fillId="52" borderId="0">
      <alignment horizontal="right"/>
    </xf>
    <xf numFmtId="17" fontId="108" fillId="0" borderId="0"/>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167"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167"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103"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167"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167"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103" fillId="0" borderId="0">
      <alignment horizontal="right"/>
    </xf>
    <xf numFmtId="165" fontId="103" fillId="0" borderId="0">
      <alignment horizontal="right"/>
    </xf>
    <xf numFmtId="0" fontId="103" fillId="0" borderId="0">
      <alignment horizontal="right"/>
    </xf>
    <xf numFmtId="0" fontId="103" fillId="0" borderId="0">
      <alignment horizontal="right"/>
    </xf>
    <xf numFmtId="0" fontId="103" fillId="0" borderId="0">
      <alignment horizontal="right"/>
    </xf>
    <xf numFmtId="167"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6" fillId="0" borderId="0">
      <alignment horizontal="right"/>
    </xf>
    <xf numFmtId="231" fontId="6" fillId="0" borderId="0">
      <alignment horizontal="right"/>
    </xf>
    <xf numFmtId="0" fontId="6" fillId="0" borderId="0">
      <alignment horizontal="right"/>
    </xf>
    <xf numFmtId="0" fontId="6" fillId="0" borderId="0">
      <alignment horizontal="right"/>
    </xf>
    <xf numFmtId="0" fontId="6" fillId="0" borderId="0">
      <alignment horizontal="right"/>
    </xf>
    <xf numFmtId="0" fontId="103" fillId="0" borderId="0">
      <alignment horizontal="right"/>
    </xf>
    <xf numFmtId="165" fontId="103" fillId="0" borderId="0">
      <alignment horizontal="right"/>
    </xf>
    <xf numFmtId="0" fontId="103" fillId="0" borderId="0">
      <alignment horizontal="right"/>
    </xf>
    <xf numFmtId="0" fontId="103" fillId="0" borderId="0">
      <alignment horizontal="right"/>
    </xf>
    <xf numFmtId="0" fontId="103" fillId="0" borderId="0">
      <alignment horizontal="right"/>
    </xf>
    <xf numFmtId="167"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45" fillId="0" borderId="0" applyNumberFormat="0" applyFill="0" applyBorder="0" applyProtection="0"/>
    <xf numFmtId="0" fontId="108" fillId="0" borderId="0" applyNumberFormat="0" applyFill="0" applyBorder="0" applyProtection="0"/>
    <xf numFmtId="38" fontId="166" fillId="0" borderId="0" applyNumberFormat="0" applyFill="0" applyBorder="0">
      <alignment horizontal="left" vertical="center"/>
    </xf>
    <xf numFmtId="232" fontId="6" fillId="0" borderId="0" applyFont="0" applyFill="0" applyBorder="0" applyAlignment="0" applyProtection="0"/>
    <xf numFmtId="4" fontId="143" fillId="0" borderId="0" applyFont="0" applyFill="0" applyBorder="0" applyAlignment="0" applyProtection="0"/>
    <xf numFmtId="233" fontId="6" fillId="0" borderId="0" applyFont="0" applyFill="0" applyBorder="0" applyAlignment="0" applyProtection="0"/>
    <xf numFmtId="0" fontId="167" fillId="0" borderId="0" applyFill="0" applyBorder="0">
      <alignment vertical="center"/>
    </xf>
    <xf numFmtId="0" fontId="104" fillId="52" borderId="46">
      <alignment horizontal="right"/>
    </xf>
    <xf numFmtId="14" fontId="102" fillId="0" borderId="0" applyFont="0" applyFill="0" applyBorder="0" applyAlignment="0" applyProtection="0"/>
    <xf numFmtId="14" fontId="102" fillId="0" borderId="0" applyFont="0" applyFill="0" applyBorder="0" applyAlignment="0" applyProtection="0"/>
    <xf numFmtId="14" fontId="102"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234" fontId="6" fillId="0" borderId="0" applyFont="0" applyFill="0" applyBorder="0" applyAlignment="0" applyProtection="0"/>
    <xf numFmtId="235" fontId="6" fillId="0" borderId="0" applyFont="0" applyFill="0" applyBorder="0" applyAlignment="0" applyProtection="0"/>
    <xf numFmtId="236" fontId="106" fillId="0" borderId="0" applyFill="0" applyBorder="0" applyProtection="0">
      <alignment horizontal="center"/>
    </xf>
    <xf numFmtId="237" fontId="106" fillId="0" borderId="0" applyFont="0" applyFill="0" applyBorder="0" applyAlignment="0" applyProtection="0">
      <alignment horizontal="centerContinuous"/>
      <protection locked="0"/>
    </xf>
    <xf numFmtId="0" fontId="106" fillId="0" borderId="0" applyFont="0" applyFill="0" applyBorder="0" applyAlignment="0" applyProtection="0"/>
    <xf numFmtId="0" fontId="108" fillId="0" borderId="0" applyFont="0" applyFill="0" applyBorder="0" applyAlignment="0" applyProtection="0"/>
    <xf numFmtId="0" fontId="106" fillId="0" borderId="0" applyFont="0" applyFill="0" applyBorder="0" applyAlignment="0" applyProtection="0"/>
    <xf numFmtId="0" fontId="108" fillId="0" borderId="0" applyFont="0" applyFill="0" applyBorder="0" applyAlignment="0" applyProtection="0"/>
    <xf numFmtId="0" fontId="108" fillId="0" borderId="0" applyFont="0" applyFill="0" applyBorder="0" applyAlignment="0" applyProtection="0"/>
    <xf numFmtId="0" fontId="106" fillId="0" borderId="0" applyFont="0" applyFill="0" applyBorder="0" applyAlignment="0" applyProtection="0"/>
    <xf numFmtId="0" fontId="108" fillId="0" borderId="0" applyFont="0" applyFill="0" applyBorder="0" applyAlignment="0" applyProtection="0"/>
    <xf numFmtId="0" fontId="108" fillId="0" borderId="0" applyFont="0" applyFill="0" applyBorder="0" applyAlignment="0" applyProtection="0"/>
    <xf numFmtId="199" fontId="39" fillId="0" borderId="56" applyFill="0" applyBorder="0" applyProtection="0">
      <alignment horizontal="center"/>
      <protection locked="0"/>
    </xf>
    <xf numFmtId="199" fontId="39" fillId="0" borderId="56" applyFill="0" applyBorder="0" applyProtection="0">
      <alignment horizontal="center"/>
      <protection locked="0"/>
    </xf>
    <xf numFmtId="0" fontId="168" fillId="13" borderId="0" applyNumberFormat="0" applyBorder="0" applyAlignment="0" applyProtection="0"/>
    <xf numFmtId="0" fontId="169" fillId="13" borderId="0" applyNumberFormat="0" applyBorder="0" applyAlignment="0" applyProtection="0"/>
    <xf numFmtId="0" fontId="43" fillId="30" borderId="0" applyAlignment="0"/>
    <xf numFmtId="0" fontId="33" fillId="31" borderId="0"/>
    <xf numFmtId="0" fontId="33" fillId="31" borderId="0" applyAlignment="0"/>
    <xf numFmtId="0" fontId="44" fillId="0" borderId="0" applyAlignment="0"/>
    <xf numFmtId="0" fontId="35" fillId="0" borderId="0"/>
    <xf numFmtId="0" fontId="170" fillId="0" borderId="0"/>
    <xf numFmtId="238" fontId="170" fillId="0" borderId="0"/>
    <xf numFmtId="0" fontId="5" fillId="0" borderId="0"/>
    <xf numFmtId="0" fontId="32"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32"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lignment vertical="center"/>
    </xf>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32"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6" fillId="0" borderId="0"/>
    <xf numFmtId="0" fontId="6" fillId="0" borderId="0"/>
    <xf numFmtId="0" fontId="5" fillId="0" borderId="0"/>
    <xf numFmtId="0" fontId="5" fillId="0" borderId="0"/>
    <xf numFmtId="0" fontId="6" fillId="0" borderId="0"/>
    <xf numFmtId="0" fontId="6" fillId="0" borderId="0"/>
    <xf numFmtId="0" fontId="5" fillId="0" borderId="0"/>
    <xf numFmtId="0" fontId="6" fillId="0" borderId="0"/>
    <xf numFmtId="0" fontId="5" fillId="0" borderId="0"/>
    <xf numFmtId="0" fontId="6" fillId="0" borderId="0"/>
    <xf numFmtId="0" fontId="32"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91"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32"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32"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8" fillId="0" borderId="0"/>
    <xf numFmtId="0" fontId="8" fillId="0" borderId="0"/>
    <xf numFmtId="0" fontId="6" fillId="0" borderId="0"/>
    <xf numFmtId="0" fontId="8" fillId="0" borderId="0"/>
    <xf numFmtId="0" fontId="5" fillId="0" borderId="0"/>
    <xf numFmtId="0" fontId="5" fillId="0" borderId="0"/>
    <xf numFmtId="0" fontId="5" fillId="0" borderId="0"/>
    <xf numFmtId="0" fontId="6" fillId="0" borderId="0"/>
    <xf numFmtId="0" fontId="5" fillId="0" borderId="0"/>
    <xf numFmtId="239"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32" fillId="0" borderId="0"/>
    <xf numFmtId="0" fontId="32" fillId="0" borderId="0"/>
    <xf numFmtId="0" fontId="6" fillId="0" borderId="0"/>
    <xf numFmtId="0" fontId="8" fillId="0" borderId="0"/>
    <xf numFmtId="0" fontId="5" fillId="0" borderId="0"/>
    <xf numFmtId="0" fontId="5" fillId="0" borderId="0"/>
    <xf numFmtId="0" fontId="32" fillId="0" borderId="0"/>
    <xf numFmtId="0" fontId="6" fillId="0" borderId="0"/>
    <xf numFmtId="0" fontId="32" fillId="0" borderId="0"/>
    <xf numFmtId="0" fontId="6" fillId="0" borderId="0"/>
    <xf numFmtId="0" fontId="6" fillId="0" borderId="0"/>
    <xf numFmtId="0" fontId="32" fillId="0" borderId="0"/>
    <xf numFmtId="0" fontId="6" fillId="0" borderId="0"/>
    <xf numFmtId="0" fontId="6" fillId="0" borderId="0">
      <alignment vertical="center"/>
    </xf>
    <xf numFmtId="0" fontId="6" fillId="0" borderId="0"/>
    <xf numFmtId="200" fontId="90" fillId="0" borderId="0"/>
    <xf numFmtId="0" fontId="6" fillId="0" borderId="0"/>
    <xf numFmtId="200" fontId="90" fillId="0" borderId="0"/>
    <xf numFmtId="0" fontId="8"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6" fillId="0" borderId="0">
      <alignment vertical="center"/>
    </xf>
    <xf numFmtId="0" fontId="5" fillId="0" borderId="0"/>
    <xf numFmtId="0" fontId="8" fillId="0" borderId="0"/>
    <xf numFmtId="0" fontId="6" fillId="0" borderId="0"/>
    <xf numFmtId="0" fontId="6" fillId="0" borderId="0"/>
    <xf numFmtId="0" fontId="8" fillId="0" borderId="0"/>
    <xf numFmtId="0" fontId="35" fillId="0" borderId="0"/>
    <xf numFmtId="0" fontId="172"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7" fillId="0" borderId="0"/>
    <xf numFmtId="0" fontId="137"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7"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173" fillId="0" borderId="0"/>
    <xf numFmtId="0" fontId="6" fillId="0" borderId="0"/>
    <xf numFmtId="0" fontId="27" fillId="0" borderId="0"/>
    <xf numFmtId="0" fontId="8" fillId="0" borderId="0"/>
    <xf numFmtId="0" fontId="5" fillId="0" borderId="0"/>
    <xf numFmtId="0" fontId="6" fillId="0" borderId="0"/>
    <xf numFmtId="0" fontId="6" fillId="0" borderId="0"/>
    <xf numFmtId="0" fontId="27" fillId="0" borderId="0"/>
    <xf numFmtId="0" fontId="6" fillId="0" borderId="0"/>
    <xf numFmtId="0" fontId="8" fillId="0" borderId="0"/>
    <xf numFmtId="0" fontId="6"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173"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0" fontId="8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204" fontId="26" fillId="0" borderId="0" applyBorder="0">
      <alignment horizontal="left"/>
    </xf>
    <xf numFmtId="0" fontId="174" fillId="13" borderId="18" applyNumberFormat="0" applyFont="0" applyAlignment="0" applyProtection="0"/>
    <xf numFmtId="0" fontId="174" fillId="13" borderId="18" applyNumberFormat="0" applyFont="0" applyAlignment="0" applyProtection="0"/>
    <xf numFmtId="0" fontId="32" fillId="7" borderId="18" applyNumberFormat="0" applyFont="0" applyAlignment="0" applyProtection="0"/>
    <xf numFmtId="0" fontId="32" fillId="7" borderId="18" applyNumberFormat="0" applyFont="0" applyAlignment="0" applyProtection="0"/>
    <xf numFmtId="0" fontId="6" fillId="7" borderId="18"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6" fillId="7" borderId="18"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6" fillId="7" borderId="18"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0" fontId="5" fillId="47" borderId="44" applyNumberFormat="0" applyFont="0" applyAlignment="0" applyProtection="0"/>
    <xf numFmtId="240" fontId="12" fillId="0" borderId="0" applyFont="0" applyFill="0" applyBorder="0" applyAlignment="0" applyProtection="0"/>
    <xf numFmtId="43" fontId="108" fillId="0" borderId="0" applyFont="0" applyFill="0" applyBorder="0" applyAlignment="0" applyProtection="0"/>
    <xf numFmtId="41" fontId="108" fillId="0" borderId="0" applyFont="0" applyFill="0" applyBorder="0" applyAlignment="0" applyProtection="0"/>
    <xf numFmtId="241" fontId="175" fillId="0" borderId="0">
      <protection locked="0"/>
    </xf>
    <xf numFmtId="202" fontId="39" fillId="0" borderId="56" applyFill="0" applyBorder="0" applyProtection="0">
      <alignment horizontal="center"/>
      <protection locked="0"/>
    </xf>
    <xf numFmtId="202" fontId="39" fillId="0" borderId="56" applyFill="0" applyBorder="0" applyProtection="0">
      <alignment horizontal="center"/>
      <protection locked="0"/>
    </xf>
    <xf numFmtId="0" fontId="176" fillId="0" borderId="0">
      <alignment horizontal="left" vertical="top"/>
      <protection locked="0"/>
    </xf>
    <xf numFmtId="0" fontId="86" fillId="26" borderId="20" applyNumberFormat="0" applyAlignment="0" applyProtection="0"/>
    <xf numFmtId="0" fontId="86" fillId="26" borderId="20" applyNumberFormat="0" applyAlignment="0" applyProtection="0"/>
    <xf numFmtId="0" fontId="86" fillId="26" borderId="20" applyNumberFormat="0" applyAlignment="0" applyProtection="0"/>
    <xf numFmtId="0" fontId="86" fillId="26" borderId="20" applyNumberFormat="0" applyAlignment="0" applyProtection="0"/>
    <xf numFmtId="0" fontId="66" fillId="11" borderId="19" applyNumberFormat="0" applyAlignment="0" applyProtection="0"/>
    <xf numFmtId="0" fontId="66" fillId="11" borderId="19" applyNumberFormat="0" applyAlignment="0" applyProtection="0"/>
    <xf numFmtId="0" fontId="66" fillId="11" borderId="19" applyNumberFormat="0" applyAlignment="0" applyProtection="0"/>
    <xf numFmtId="0" fontId="66" fillId="11" borderId="19" applyNumberFormat="0" applyAlignment="0" applyProtection="0"/>
    <xf numFmtId="0" fontId="66" fillId="11" borderId="19" applyNumberFormat="0" applyAlignment="0" applyProtection="0"/>
    <xf numFmtId="0" fontId="177" fillId="11" borderId="19" applyNumberFormat="0" applyAlignment="0" applyProtection="0"/>
    <xf numFmtId="0" fontId="177" fillId="11" borderId="19" applyNumberFormat="0" applyAlignment="0" applyProtection="0"/>
    <xf numFmtId="0" fontId="177" fillId="11" borderId="19" applyNumberFormat="0" applyAlignment="0" applyProtection="0"/>
    <xf numFmtId="0" fontId="177" fillId="11" borderId="19" applyNumberFormat="0" applyAlignment="0" applyProtection="0"/>
    <xf numFmtId="0" fontId="177" fillId="11" borderId="19" applyNumberFormat="0" applyAlignment="0" applyProtection="0"/>
    <xf numFmtId="0" fontId="177" fillId="11" borderId="19" applyNumberFormat="0" applyAlignment="0" applyProtection="0"/>
    <xf numFmtId="0" fontId="178" fillId="0" borderId="0" applyFill="0">
      <alignment horizontal="center" vertical="center"/>
    </xf>
    <xf numFmtId="0" fontId="147" fillId="0" borderId="0" applyNumberFormat="0" applyFill="0" applyBorder="0" applyAlignment="0" applyProtection="0"/>
    <xf numFmtId="0" fontId="105" fillId="52" borderId="0"/>
    <xf numFmtId="0" fontId="147" fillId="0" borderId="0"/>
    <xf numFmtId="242" fontId="135" fillId="0" borderId="0" applyFont="0" applyFill="0" applyBorder="0" applyAlignment="0" applyProtection="0"/>
    <xf numFmtId="9" fontId="106" fillId="0" borderId="0" applyFont="0" applyFill="0" applyBorder="0" applyAlignment="0" applyProtection="0"/>
    <xf numFmtId="0" fontId="106" fillId="0" borderId="0" applyFont="0" applyFill="0" applyBorder="0" applyAlignment="0" applyProtection="0"/>
    <xf numFmtId="0" fontId="106" fillId="0" borderId="0" applyFont="0" applyFill="0" applyBorder="0" applyAlignment="0" applyProtection="0"/>
    <xf numFmtId="164" fontId="106" fillId="0" borderId="0" applyFont="0" applyFill="0" applyBorder="0" applyAlignment="0" applyProtection="0"/>
    <xf numFmtId="0" fontId="9" fillId="25" borderId="0" applyFill="0" applyBorder="0" applyAlignment="0" applyProtection="0">
      <protection hidden="1"/>
    </xf>
    <xf numFmtId="10" fontId="6" fillId="0" borderId="0" applyFont="0" applyFill="0" applyBorder="0" applyAlignment="0" applyProtection="0"/>
    <xf numFmtId="243" fontId="13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9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5"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17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08" fillId="0" borderId="0" applyFont="0" applyFill="0" applyBorder="0" applyAlignment="0" applyProtection="0"/>
    <xf numFmtId="9" fontId="108" fillId="0" borderId="0" applyFont="0" applyFill="0" applyBorder="0" applyAlignment="0" applyProtection="0"/>
    <xf numFmtId="9" fontId="32" fillId="0" borderId="0" applyFont="0" applyFill="0" applyBorder="0" applyAlignment="0" applyProtection="0"/>
    <xf numFmtId="9" fontId="5" fillId="0" borderId="0" applyFont="0" applyFill="0" applyBorder="0" applyAlignment="0" applyProtection="0"/>
    <xf numFmtId="9" fontId="13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44" fontId="6" fillId="0" borderId="0" applyFont="0" applyFill="0" applyBorder="0" applyProtection="0">
      <alignment horizontal="right"/>
    </xf>
    <xf numFmtId="164" fontId="146" fillId="0" borderId="0" applyFont="0" applyFill="0" applyBorder="0" applyAlignment="0" applyProtection="0"/>
    <xf numFmtId="10" fontId="146" fillId="0" borderId="0" applyFont="0" applyFill="0" applyBorder="0" applyAlignment="0" applyProtection="0"/>
    <xf numFmtId="9" fontId="6" fillId="0" borderId="0"/>
    <xf numFmtId="245" fontId="6" fillId="0" borderId="0" applyFill="0" applyBorder="0">
      <alignment horizontal="right"/>
      <protection locked="0"/>
    </xf>
    <xf numFmtId="1" fontId="74" fillId="0" borderId="60" applyNumberFormat="0" applyFont="0" applyFill="0" applyAlignment="0" applyProtection="0">
      <alignment horizontal="center"/>
    </xf>
    <xf numFmtId="1" fontId="74" fillId="0" borderId="60" applyNumberFormat="0" applyFont="0" applyFill="0" applyAlignment="0" applyProtection="0">
      <alignment horizontal="center"/>
    </xf>
    <xf numFmtId="1" fontId="74" fillId="0" borderId="60" applyNumberFormat="0" applyFont="0" applyFill="0" applyAlignment="0" applyProtection="0">
      <alignment horizontal="center"/>
    </xf>
    <xf numFmtId="1" fontId="74" fillId="0" borderId="60" applyNumberFormat="0" applyFont="0" applyFill="0" applyAlignment="0" applyProtection="0">
      <alignment horizontal="center"/>
    </xf>
    <xf numFmtId="1" fontId="74" fillId="0" borderId="60" applyNumberFormat="0" applyFont="0" applyFill="0" applyAlignment="0" applyProtection="0">
      <alignment horizontal="center"/>
    </xf>
    <xf numFmtId="2" fontId="6" fillId="0" borderId="0" applyFont="0" applyFill="0" applyAlignment="0" applyProtection="0"/>
    <xf numFmtId="9" fontId="6" fillId="0" borderId="0" applyNumberFormat="0" applyFill="0" applyBorder="0" applyAlignment="0" applyProtection="0"/>
    <xf numFmtId="0" fontId="104" fillId="52" borderId="0">
      <alignment horizontal="right"/>
    </xf>
    <xf numFmtId="0" fontId="36" fillId="0" borderId="61">
      <alignment horizontal="center"/>
    </xf>
    <xf numFmtId="0" fontId="36" fillId="0" borderId="61">
      <alignment horizontal="center"/>
    </xf>
    <xf numFmtId="0" fontId="36" fillId="0" borderId="61">
      <alignment horizontal="center"/>
    </xf>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47" fillId="25" borderId="0"/>
    <xf numFmtId="0" fontId="148"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47" fillId="25" borderId="0"/>
    <xf numFmtId="0" fontId="148"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04" fillId="25" borderId="0"/>
    <xf numFmtId="0" fontId="147" fillId="25" borderId="0"/>
    <xf numFmtId="0" fontId="148" fillId="25" borderId="0"/>
    <xf numFmtId="0" fontId="147" fillId="25" borderId="0"/>
    <xf numFmtId="0" fontId="147" fillId="25" borderId="0"/>
    <xf numFmtId="185" fontId="147" fillId="25" borderId="0"/>
    <xf numFmtId="185" fontId="147" fillId="25" borderId="0"/>
    <xf numFmtId="0" fontId="147" fillId="25" borderId="0"/>
    <xf numFmtId="0" fontId="148" fillId="25" borderId="0"/>
    <xf numFmtId="0" fontId="147" fillId="25" borderId="0"/>
    <xf numFmtId="0" fontId="147" fillId="25" borderId="0"/>
    <xf numFmtId="185" fontId="147" fillId="25" borderId="0"/>
    <xf numFmtId="185" fontId="147" fillId="25" borderId="0"/>
    <xf numFmtId="0" fontId="147" fillId="25" borderId="0"/>
    <xf numFmtId="0" fontId="148" fillId="25" borderId="0"/>
    <xf numFmtId="0" fontId="148" fillId="25" borderId="0"/>
    <xf numFmtId="0" fontId="148"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04" fillId="25" borderId="0"/>
    <xf numFmtId="0" fontId="147" fillId="25" borderId="0"/>
    <xf numFmtId="0" fontId="148" fillId="25" borderId="0"/>
    <xf numFmtId="0" fontId="104" fillId="25" borderId="0"/>
    <xf numFmtId="0" fontId="147" fillId="25" borderId="0"/>
    <xf numFmtId="0" fontId="148" fillId="25" borderId="0"/>
    <xf numFmtId="0" fontId="147" fillId="25" borderId="0"/>
    <xf numFmtId="0" fontId="147" fillId="25" borderId="0"/>
    <xf numFmtId="185" fontId="147" fillId="25" borderId="0"/>
    <xf numFmtId="185" fontId="147" fillId="25" borderId="0"/>
    <xf numFmtId="0" fontId="147" fillId="25" borderId="0"/>
    <xf numFmtId="0" fontId="148" fillId="25" borderId="0"/>
    <xf numFmtId="0" fontId="147" fillId="25" borderId="0"/>
    <xf numFmtId="0" fontId="147" fillId="25" borderId="0"/>
    <xf numFmtId="185" fontId="147" fillId="25" borderId="0"/>
    <xf numFmtId="185" fontId="147" fillId="25" borderId="0"/>
    <xf numFmtId="0" fontId="147" fillId="25" borderId="0"/>
    <xf numFmtId="0" fontId="148" fillId="25" borderId="0"/>
    <xf numFmtId="0" fontId="148" fillId="25" borderId="0"/>
    <xf numFmtId="0" fontId="148" fillId="25" borderId="0"/>
    <xf numFmtId="0" fontId="179" fillId="0" borderId="0">
      <alignment horizontal="center"/>
    </xf>
    <xf numFmtId="0" fontId="101" fillId="0" borderId="37">
      <alignment horizontal="centerContinuous"/>
    </xf>
    <xf numFmtId="0" fontId="147" fillId="25" borderId="0">
      <alignment horizontal="right"/>
    </xf>
    <xf numFmtId="0" fontId="103" fillId="0" borderId="0">
      <alignment horizontal="center"/>
    </xf>
    <xf numFmtId="0" fontId="147" fillId="25" borderId="46">
      <alignment horizontal="right"/>
    </xf>
    <xf numFmtId="177" fontId="180" fillId="0" borderId="0"/>
    <xf numFmtId="0" fontId="6" fillId="0" borderId="0" applyFont="0" applyFill="0" applyBorder="0" applyProtection="0">
      <alignment horizontal="right"/>
    </xf>
    <xf numFmtId="246" fontId="37" fillId="0" borderId="0" applyFill="0" applyBorder="0">
      <alignment horizontal="right"/>
      <protection locked="0"/>
    </xf>
    <xf numFmtId="0" fontId="6" fillId="0" borderId="0" applyFont="0" applyFill="0" applyBorder="0" applyProtection="0">
      <alignment horizontal="right"/>
    </xf>
    <xf numFmtId="0" fontId="6" fillId="0" borderId="0" applyFont="0" applyFill="0" applyBorder="0" applyProtection="0">
      <alignment horizontal="right"/>
    </xf>
    <xf numFmtId="247" fontId="6" fillId="0" borderId="0">
      <alignment horizontal="right"/>
      <protection locked="0"/>
    </xf>
    <xf numFmtId="0" fontId="181" fillId="0" borderId="0" applyNumberFormat="0" applyFill="0" applyBorder="0" applyProtection="0">
      <protection locked="0"/>
    </xf>
    <xf numFmtId="0" fontId="117" fillId="0" borderId="0">
      <alignment horizontal="left" vertical="center" wrapText="1"/>
    </xf>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53">
      <alignment horizontal="centerContinuous"/>
    </xf>
    <xf numFmtId="0" fontId="182" fillId="0" borderId="53">
      <alignment horizontal="centerContinuous"/>
    </xf>
    <xf numFmtId="0" fontId="182" fillId="0" borderId="53">
      <alignment horizontal="centerContinuous"/>
    </xf>
    <xf numFmtId="0" fontId="182" fillId="0" borderId="53">
      <alignment horizontal="centerContinuous"/>
    </xf>
    <xf numFmtId="0" fontId="182" fillId="0" borderId="53">
      <alignment horizontal="centerContinuous"/>
    </xf>
    <xf numFmtId="0" fontId="182" fillId="0" borderId="53">
      <alignment horizontal="centerContinuous"/>
    </xf>
    <xf numFmtId="0" fontId="182" fillId="0" borderId="53">
      <alignment horizontal="centerContinuous"/>
    </xf>
    <xf numFmtId="0" fontId="182" fillId="0" borderId="53">
      <alignment horizontal="centerContinuous"/>
    </xf>
    <xf numFmtId="0" fontId="66" fillId="26" borderId="19" applyNumberFormat="0" applyAlignment="0" applyProtection="0"/>
    <xf numFmtId="0" fontId="66" fillId="26" borderId="19" applyNumberFormat="0" applyAlignment="0" applyProtection="0"/>
    <xf numFmtId="0" fontId="66" fillId="11" borderId="19" applyNumberFormat="0" applyAlignment="0" applyProtection="0"/>
    <xf numFmtId="0" fontId="66" fillId="11" borderId="19" applyNumberFormat="0" applyAlignment="0" applyProtection="0"/>
    <xf numFmtId="248" fontId="183" fillId="0" borderId="0" applyFill="0" applyBorder="0">
      <alignment horizontal="right"/>
      <protection hidden="1"/>
    </xf>
    <xf numFmtId="0" fontId="14" fillId="0" borderId="0" applyFill="0" applyBorder="0" applyProtection="0">
      <alignment horizontal="left"/>
    </xf>
    <xf numFmtId="0" fontId="46" fillId="33" borderId="0" applyAlignment="0"/>
    <xf numFmtId="0" fontId="184" fillId="50" borderId="57">
      <alignment horizontal="center" vertical="center" wrapText="1"/>
      <protection hidden="1"/>
    </xf>
    <xf numFmtId="38" fontId="37"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208" fontId="185" fillId="54" borderId="0" applyNumberFormat="0" applyFont="0" applyBorder="0" applyAlignment="0" applyProtection="0">
      <protection locked="0"/>
    </xf>
    <xf numFmtId="0" fontId="115" fillId="0" borderId="0">
      <alignment horizontal="left" vertical="center" wrapText="1"/>
    </xf>
    <xf numFmtId="0" fontId="26" fillId="0" borderId="53"/>
    <xf numFmtId="249" fontId="37" fillId="0" borderId="0">
      <protection locked="0"/>
    </xf>
    <xf numFmtId="12" fontId="6" fillId="0" borderId="0" applyFont="0" applyFill="0" applyBorder="0" applyProtection="0">
      <alignment horizontal="right"/>
    </xf>
    <xf numFmtId="0" fontId="6" fillId="52" borderId="0" applyFont="0" applyFill="0" applyBorder="0" applyProtection="0">
      <alignment horizontal="right"/>
    </xf>
    <xf numFmtId="0" fontId="186" fillId="0" borderId="0"/>
    <xf numFmtId="0" fontId="7" fillId="0" borderId="0" applyNumberFormat="0" applyFill="0" applyBorder="0" applyProtection="0">
      <alignment horizontal="left"/>
    </xf>
    <xf numFmtId="250" fontId="8" fillId="0" borderId="0" applyFill="0" applyBorder="0" applyProtection="0">
      <alignment horizontal="right" vertical="top"/>
    </xf>
    <xf numFmtId="251" fontId="8" fillId="0" borderId="0" applyFill="0" applyBorder="0" applyProtection="0">
      <alignment horizontal="right" wrapText="1"/>
    </xf>
    <xf numFmtId="252" fontId="8" fillId="0" borderId="0" applyFill="0" applyBorder="0" applyProtection="0">
      <alignment horizontal="right"/>
    </xf>
    <xf numFmtId="253" fontId="8" fillId="0" borderId="0" applyFill="0" applyBorder="0" applyProtection="0">
      <alignment horizontal="right"/>
    </xf>
    <xf numFmtId="254" fontId="8" fillId="0" borderId="0" applyFill="0" applyBorder="0" applyProtection="0">
      <alignment horizontal="right"/>
    </xf>
    <xf numFmtId="255" fontId="8" fillId="0" borderId="0" applyFill="0" applyBorder="0" applyProtection="0">
      <alignment horizontal="right"/>
    </xf>
    <xf numFmtId="256" fontId="8" fillId="0" borderId="0" applyFill="0" applyBorder="0" applyProtection="0">
      <alignment horizontal="right" wrapText="1"/>
    </xf>
    <xf numFmtId="176" fontId="8" fillId="0" borderId="0" applyFill="0" applyBorder="0" applyProtection="0">
      <alignment horizontal="right" wrapText="1"/>
    </xf>
    <xf numFmtId="4" fontId="8" fillId="0" borderId="0" applyFill="0" applyBorder="0" applyProtection="0">
      <alignment wrapText="1"/>
    </xf>
    <xf numFmtId="0" fontId="8" fillId="0" borderId="0" applyNumberFormat="0" applyFill="0" applyBorder="0" applyProtection="0">
      <alignment horizontal="left" vertical="top" wrapText="1"/>
    </xf>
    <xf numFmtId="0" fontId="132" fillId="0" borderId="0" applyNumberFormat="0" applyFill="0" applyBorder="0" applyProtection="0">
      <alignment horizontal="left" vertical="top" wrapText="1"/>
    </xf>
    <xf numFmtId="257" fontId="187" fillId="0" borderId="0" applyFill="0" applyBorder="0" applyProtection="0">
      <alignment horizontal="center" wrapText="1"/>
    </xf>
    <xf numFmtId="256" fontId="187" fillId="0" borderId="0" applyFill="0" applyBorder="0" applyProtection="0">
      <alignment horizontal="right" wrapText="1"/>
    </xf>
    <xf numFmtId="251" fontId="187" fillId="0" borderId="0" applyFill="0" applyBorder="0" applyProtection="0">
      <alignment horizontal="right" wrapText="1"/>
    </xf>
    <xf numFmtId="258" fontId="187" fillId="0" borderId="0" applyFill="0" applyBorder="0" applyProtection="0">
      <alignment horizontal="right" wrapText="1"/>
    </xf>
    <xf numFmtId="37" fontId="187" fillId="0" borderId="0" applyFill="0" applyBorder="0" applyProtection="0">
      <alignment horizontal="center" wrapText="1"/>
    </xf>
    <xf numFmtId="253" fontId="187" fillId="0" borderId="0" applyFill="0" applyBorder="0" applyProtection="0">
      <alignment horizontal="right"/>
    </xf>
    <xf numFmtId="259" fontId="187" fillId="0" borderId="0" applyFill="0" applyBorder="0" applyProtection="0">
      <alignment horizontal="right"/>
    </xf>
    <xf numFmtId="252" fontId="187" fillId="0" borderId="0" applyFill="0" applyBorder="0" applyProtection="0">
      <alignment horizontal="right"/>
    </xf>
    <xf numFmtId="4" fontId="187" fillId="0" borderId="0" applyFill="0" applyBorder="0" applyProtection="0">
      <alignment wrapText="1"/>
    </xf>
    <xf numFmtId="0" fontId="132" fillId="0" borderId="62" applyNumberFormat="0" applyFill="0" applyProtection="0">
      <alignment wrapText="1"/>
    </xf>
    <xf numFmtId="0" fontId="7" fillId="0" borderId="0" applyNumberFormat="0" applyFill="0" applyBorder="0" applyProtection="0"/>
    <xf numFmtId="0" fontId="132" fillId="0" borderId="62" applyNumberFormat="0" applyFill="0" applyProtection="0">
      <alignment horizontal="center" wrapText="1"/>
    </xf>
    <xf numFmtId="260" fontId="132" fillId="0" borderId="0" applyFill="0" applyBorder="0" applyProtection="0">
      <alignment horizontal="center" wrapText="1"/>
    </xf>
    <xf numFmtId="0" fontId="14" fillId="0" borderId="0" applyNumberFormat="0" applyFill="0" applyBorder="0" applyProtection="0">
      <alignment horizontal="justify" wrapText="1"/>
    </xf>
    <xf numFmtId="0" fontId="132" fillId="0" borderId="0" applyNumberFormat="0" applyFill="0" applyBorder="0" applyProtection="0">
      <alignment horizontal="centerContinuous" wrapText="1"/>
    </xf>
    <xf numFmtId="0" fontId="8" fillId="0" borderId="0" applyNumberFormat="0" applyFill="0" applyBorder="0" applyProtection="0">
      <alignment horizontal="left"/>
    </xf>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47" fillId="0" borderId="0" applyAlignment="0"/>
    <xf numFmtId="6" fontId="166" fillId="0" borderId="63" applyFill="0">
      <alignment vertical="center"/>
    </xf>
    <xf numFmtId="0" fontId="48" fillId="0" borderId="0" applyAlignment="0"/>
    <xf numFmtId="0" fontId="188" fillId="0" borderId="0">
      <alignment horizontal="centerContinuous"/>
    </xf>
    <xf numFmtId="38" fontId="189" fillId="0" borderId="0" applyNumberFormat="0" applyBorder="0">
      <alignment horizontal="left"/>
    </xf>
    <xf numFmtId="49" fontId="190" fillId="0" borderId="0"/>
    <xf numFmtId="0" fontId="8" fillId="0" borderId="0"/>
    <xf numFmtId="0" fontId="102" fillId="0" borderId="0" applyNumberFormat="0" applyFont="0" applyFill="0" applyBorder="0" applyProtection="0">
      <alignment horizontal="left" vertical="top" wrapText="1"/>
    </xf>
    <xf numFmtId="0" fontId="102" fillId="0" borderId="0" applyNumberFormat="0" applyFont="0" applyFill="0" applyBorder="0" applyProtection="0">
      <alignment horizontal="left" vertical="top" wrapText="1"/>
    </xf>
    <xf numFmtId="0" fontId="102" fillId="0" borderId="0" applyNumberFormat="0" applyFont="0" applyFill="0" applyBorder="0" applyProtection="0">
      <alignment horizontal="left" vertical="top" wrapText="1"/>
    </xf>
    <xf numFmtId="0" fontId="49" fillId="0" borderId="0" applyAlignment="0"/>
    <xf numFmtId="0" fontId="34" fillId="0" borderId="0"/>
    <xf numFmtId="0" fontId="34" fillId="0" borderId="0" applyAlignment="0"/>
    <xf numFmtId="0" fontId="50" fillId="0" borderId="0" applyAlignment="0"/>
    <xf numFmtId="0" fontId="69" fillId="0" borderId="0" applyNumberForma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166" fillId="0" borderId="0" applyFill="0" applyBorder="0">
      <alignment vertical="center"/>
    </xf>
    <xf numFmtId="0" fontId="108" fillId="0" borderId="0">
      <alignment horizontal="center"/>
    </xf>
    <xf numFmtId="0" fontId="97" fillId="0" borderId="0" applyNumberFormat="0" applyFill="0" applyBorder="0" applyAlignment="0" applyProtection="0"/>
    <xf numFmtId="38" fontId="191" fillId="0" borderId="0" applyNumberFormat="0" applyFill="0" applyBorder="0">
      <alignment horizontal="left" vertical="center"/>
    </xf>
    <xf numFmtId="38" fontId="192" fillId="0" borderId="0" applyNumberFormat="0" applyFill="0" applyBorder="0">
      <alignment horizontal="centerContinuous" vertical="center"/>
    </xf>
    <xf numFmtId="0" fontId="51" fillId="0" borderId="0" applyAlignment="0"/>
    <xf numFmtId="0" fontId="37" fillId="0" borderId="0" applyBorder="0"/>
    <xf numFmtId="0" fontId="67" fillId="0" borderId="0" applyNumberFormat="0" applyFill="0" applyBorder="0" applyAlignment="0" applyProtection="0"/>
    <xf numFmtId="0" fontId="60" fillId="0" borderId="9" applyNumberFormat="0" applyFill="0" applyAlignment="0" applyProtection="0"/>
    <xf numFmtId="0" fontId="61" fillId="0" borderId="11" applyNumberFormat="0" applyFill="0" applyAlignment="0" applyProtection="0"/>
    <xf numFmtId="0" fontId="62" fillId="0" borderId="12" applyNumberFormat="0" applyFill="0" applyAlignment="0" applyProtection="0"/>
    <xf numFmtId="0" fontId="86" fillId="0" borderId="0" applyNumberFormat="0" applyFill="0" applyBorder="0" applyAlignment="0" applyProtection="0"/>
    <xf numFmtId="0" fontId="193" fillId="0" borderId="0"/>
    <xf numFmtId="0" fontId="194" fillId="0" borderId="0" applyFill="0" applyBorder="0" applyAlignment="0" applyProtection="0"/>
    <xf numFmtId="0" fontId="68" fillId="0" borderId="24" applyNumberFormat="0" applyFill="0" applyAlignment="0" applyProtection="0"/>
    <xf numFmtId="0" fontId="68" fillId="0" borderId="24" applyNumberFormat="0" applyFill="0" applyAlignment="0" applyProtection="0"/>
    <xf numFmtId="0" fontId="68" fillId="0" borderId="24" applyNumberFormat="0" applyFill="0" applyAlignment="0" applyProtection="0"/>
    <xf numFmtId="0" fontId="68" fillId="0" borderId="24"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195" fillId="0" borderId="23" applyNumberFormat="0" applyFill="0" applyAlignment="0" applyProtection="0"/>
    <xf numFmtId="0" fontId="195" fillId="0" borderId="23" applyNumberFormat="0" applyFill="0" applyAlignment="0" applyProtection="0"/>
    <xf numFmtId="0" fontId="195" fillId="0" borderId="23" applyNumberFormat="0" applyFill="0" applyAlignment="0" applyProtection="0"/>
    <xf numFmtId="0" fontId="195" fillId="0" borderId="23" applyNumberFormat="0" applyFill="0" applyAlignment="0" applyProtection="0"/>
    <xf numFmtId="0" fontId="195" fillId="0" borderId="23" applyNumberFormat="0" applyFill="0" applyAlignment="0" applyProtection="0"/>
    <xf numFmtId="0" fontId="195" fillId="0" borderId="23" applyNumberFormat="0" applyFill="0" applyAlignment="0" applyProtection="0"/>
    <xf numFmtId="0" fontId="196" fillId="0" borderId="0"/>
    <xf numFmtId="0" fontId="196" fillId="25" borderId="0" applyFill="0"/>
    <xf numFmtId="0" fontId="196" fillId="25" borderId="0" applyFill="0"/>
    <xf numFmtId="0" fontId="197" fillId="0" borderId="0" applyNumberFormat="0"/>
    <xf numFmtId="204" fontId="198" fillId="0" borderId="0">
      <alignment horizontal="left"/>
      <protection locked="0"/>
    </xf>
    <xf numFmtId="1" fontId="145" fillId="0" borderId="37" applyNumberFormat="0">
      <alignment horizontal="right"/>
    </xf>
    <xf numFmtId="0" fontId="37" fillId="0" borderId="0"/>
    <xf numFmtId="0" fontId="18" fillId="0" borderId="0"/>
    <xf numFmtId="0" fontId="199" fillId="0" borderId="0" applyNumberFormat="0" applyFill="0" applyBorder="0" applyAlignment="0" applyProtection="0"/>
    <xf numFmtId="5" fontId="23" fillId="0" borderId="0">
      <alignment vertical="center"/>
    </xf>
    <xf numFmtId="0" fontId="200" fillId="55" borderId="0"/>
    <xf numFmtId="0" fontId="201" fillId="0" borderId="0" applyFill="0" applyBorder="0">
      <alignment vertical="center"/>
    </xf>
    <xf numFmtId="0" fontId="166" fillId="56" borderId="64" applyNumberFormat="0" applyFont="0" applyBorder="0" applyAlignment="0" applyProtection="0">
      <alignment horizontal="right"/>
    </xf>
    <xf numFmtId="0" fontId="23" fillId="57" borderId="0" applyNumberFormat="0" applyFont="0" applyBorder="0" applyAlignment="0" applyProtection="0"/>
    <xf numFmtId="261" fontId="35" fillId="0" borderId="0"/>
    <xf numFmtId="0" fontId="4" fillId="0" borderId="0"/>
    <xf numFmtId="204" fontId="203" fillId="0" borderId="0"/>
    <xf numFmtId="43" fontId="6" fillId="0" borderId="0" applyFont="0" applyFill="0" applyBorder="0" applyAlignment="0" applyProtection="0"/>
    <xf numFmtId="8" fontId="37" fillId="0" borderId="0" applyFont="0" applyFill="0" applyBorder="0" applyAlignment="0" applyProtection="0"/>
    <xf numFmtId="0" fontId="4" fillId="0" borderId="0"/>
    <xf numFmtId="43" fontId="3" fillId="0" borderId="0" applyFont="0" applyFill="0" applyBorder="0" applyAlignment="0" applyProtection="0"/>
    <xf numFmtId="0" fontId="2" fillId="0" borderId="0"/>
    <xf numFmtId="0" fontId="1" fillId="0" borderId="0"/>
  </cellStyleXfs>
  <cellXfs count="934">
    <xf numFmtId="0" fontId="0" fillId="0" borderId="0" xfId="0"/>
    <xf numFmtId="0" fontId="7" fillId="0" borderId="0" xfId="0" applyFont="1"/>
    <xf numFmtId="0" fontId="9" fillId="0" borderId="0" xfId="0" applyFont="1"/>
    <xf numFmtId="0" fontId="7" fillId="0" borderId="7" xfId="0" applyFont="1" applyBorder="1" applyAlignment="1">
      <alignment horizontal="center"/>
    </xf>
    <xf numFmtId="0" fontId="10" fillId="0" borderId="0" xfId="0" applyFont="1"/>
    <xf numFmtId="164" fontId="9" fillId="0" borderId="0" xfId="329" applyNumberFormat="1" applyFont="1" applyFill="1" applyBorder="1"/>
    <xf numFmtId="0" fontId="7" fillId="0" borderId="25" xfId="132" applyNumberFormat="1" applyFont="1" applyFill="1" applyBorder="1" applyAlignment="1">
      <alignment horizontal="left"/>
    </xf>
    <xf numFmtId="0" fontId="10" fillId="0" borderId="25" xfId="0" applyFont="1" applyBorder="1"/>
    <xf numFmtId="0" fontId="10" fillId="0" borderId="0" xfId="132" applyNumberFormat="1" applyFont="1" applyFill="1" applyBorder="1" applyAlignment="1">
      <alignment horizontal="left"/>
    </xf>
    <xf numFmtId="0" fontId="9" fillId="0" borderId="0" xfId="132" applyNumberFormat="1" applyFont="1" applyFill="1" applyBorder="1" applyAlignment="1">
      <alignment horizontal="left"/>
    </xf>
    <xf numFmtId="0" fontId="12" fillId="0" borderId="0" xfId="132" applyNumberFormat="1" applyFont="1" applyFill="1" applyBorder="1" applyAlignment="1">
      <alignment horizontal="left"/>
    </xf>
    <xf numFmtId="0" fontId="9" fillId="0" borderId="25" xfId="0" applyFont="1" applyBorder="1"/>
    <xf numFmtId="0" fontId="7" fillId="0" borderId="26" xfId="132" applyNumberFormat="1" applyFont="1" applyFill="1" applyBorder="1" applyAlignment="1">
      <alignment horizontal="left"/>
    </xf>
    <xf numFmtId="0" fontId="7" fillId="0" borderId="8" xfId="0" applyFont="1" applyBorder="1"/>
    <xf numFmtId="0" fontId="7" fillId="0" borderId="25" xfId="0" applyFont="1" applyBorder="1"/>
    <xf numFmtId="0" fontId="7" fillId="0" borderId="27" xfId="0" applyFont="1" applyBorder="1"/>
    <xf numFmtId="0" fontId="7" fillId="0" borderId="28" xfId="0" applyFont="1" applyBorder="1"/>
    <xf numFmtId="0" fontId="9" fillId="0" borderId="29" xfId="0" applyFont="1" applyBorder="1"/>
    <xf numFmtId="0" fontId="9" fillId="0" borderId="22" xfId="0" applyFont="1" applyBorder="1"/>
    <xf numFmtId="0" fontId="10" fillId="0" borderId="27" xfId="0" applyFont="1" applyBorder="1"/>
    <xf numFmtId="0" fontId="10" fillId="0" borderId="28" xfId="0" applyFont="1" applyBorder="1"/>
    <xf numFmtId="0" fontId="10" fillId="0" borderId="29" xfId="0" applyFont="1" applyBorder="1"/>
    <xf numFmtId="0" fontId="10" fillId="0" borderId="22" xfId="0" applyFont="1" applyBorder="1"/>
    <xf numFmtId="0" fontId="11" fillId="0" borderId="0" xfId="0" applyFont="1"/>
    <xf numFmtId="0" fontId="0" fillId="0" borderId="25" xfId="0" applyBorder="1"/>
    <xf numFmtId="0" fontId="0" fillId="0" borderId="8" xfId="0" applyBorder="1"/>
    <xf numFmtId="0" fontId="13" fillId="0" borderId="25" xfId="0" applyFont="1" applyBorder="1"/>
    <xf numFmtId="44" fontId="0" fillId="0" borderId="0" xfId="132" applyFont="1" applyBorder="1"/>
    <xf numFmtId="0" fontId="0" fillId="0" borderId="22" xfId="0" applyBorder="1"/>
    <xf numFmtId="0" fontId="7" fillId="0" borderId="26" xfId="0" applyFont="1" applyBorder="1"/>
    <xf numFmtId="0" fontId="0" fillId="0" borderId="28" xfId="0" applyBorder="1"/>
    <xf numFmtId="0" fontId="7" fillId="0" borderId="30" xfId="0" applyFont="1" applyBorder="1" applyAlignment="1">
      <alignment horizontal="center"/>
    </xf>
    <xf numFmtId="0" fontId="0" fillId="0" borderId="31" xfId="0" applyBorder="1"/>
    <xf numFmtId="0" fontId="0" fillId="0" borderId="21" xfId="0" applyBorder="1"/>
    <xf numFmtId="164" fontId="9" fillId="0" borderId="31" xfId="329" applyNumberFormat="1" applyFont="1" applyBorder="1"/>
    <xf numFmtId="44" fontId="0" fillId="0" borderId="31" xfId="132" applyFont="1" applyBorder="1"/>
    <xf numFmtId="0" fontId="0" fillId="0" borderId="33" xfId="0" applyBorder="1"/>
    <xf numFmtId="164" fontId="9" fillId="0" borderId="0" xfId="329" applyNumberFormat="1" applyFont="1" applyBorder="1"/>
    <xf numFmtId="0" fontId="0" fillId="0" borderId="32" xfId="0" applyBorder="1"/>
    <xf numFmtId="164" fontId="9" fillId="0" borderId="31" xfId="0" applyNumberFormat="1" applyFont="1" applyBorder="1"/>
    <xf numFmtId="164" fontId="9" fillId="0" borderId="0" xfId="0" applyNumberFormat="1" applyFont="1"/>
    <xf numFmtId="165" fontId="0" fillId="0" borderId="0" xfId="0" applyNumberFormat="1"/>
    <xf numFmtId="0" fontId="14" fillId="0" borderId="0" xfId="0" applyFont="1"/>
    <xf numFmtId="0" fontId="0" fillId="0" borderId="27" xfId="0" applyBorder="1"/>
    <xf numFmtId="167" fontId="7" fillId="0" borderId="0" xfId="95" applyNumberFormat="1" applyFont="1" applyBorder="1"/>
    <xf numFmtId="167" fontId="0" fillId="0" borderId="0" xfId="95" applyNumberFormat="1" applyFont="1" applyBorder="1"/>
    <xf numFmtId="0" fontId="7" fillId="0" borderId="29" xfId="0" applyFont="1" applyBorder="1"/>
    <xf numFmtId="0" fontId="7" fillId="0" borderId="22" xfId="0" applyFont="1" applyBorder="1"/>
    <xf numFmtId="167" fontId="7" fillId="0" borderId="22" xfId="95" applyNumberFormat="1" applyFont="1" applyBorder="1"/>
    <xf numFmtId="167" fontId="7" fillId="0" borderId="31" xfId="95" applyNumberFormat="1" applyFont="1" applyBorder="1"/>
    <xf numFmtId="167" fontId="0" fillId="0" borderId="31" xfId="95" applyNumberFormat="1" applyFont="1" applyBorder="1"/>
    <xf numFmtId="167" fontId="7" fillId="0" borderId="33" xfId="95" applyNumberFormat="1" applyFont="1" applyBorder="1"/>
    <xf numFmtId="0" fontId="7" fillId="0" borderId="31" xfId="0" applyFont="1" applyBorder="1"/>
    <xf numFmtId="0" fontId="7" fillId="0" borderId="33" xfId="0" applyFont="1" applyBorder="1"/>
    <xf numFmtId="0" fontId="0" fillId="0" borderId="34" xfId="0" applyBorder="1"/>
    <xf numFmtId="0" fontId="0" fillId="0" borderId="29" xfId="0" applyBorder="1"/>
    <xf numFmtId="167" fontId="0" fillId="0" borderId="25" xfId="95" applyNumberFormat="1" applyFont="1" applyBorder="1"/>
    <xf numFmtId="167" fontId="0" fillId="0" borderId="35" xfId="95" applyNumberFormat="1" applyFont="1" applyBorder="1"/>
    <xf numFmtId="167" fontId="0" fillId="0" borderId="29" xfId="95" applyNumberFormat="1" applyFont="1" applyBorder="1"/>
    <xf numFmtId="167" fontId="0" fillId="0" borderId="22" xfId="95" applyNumberFormat="1" applyFont="1" applyBorder="1"/>
    <xf numFmtId="167" fontId="0" fillId="0" borderId="36" xfId="95" applyNumberFormat="1" applyFont="1" applyBorder="1"/>
    <xf numFmtId="167" fontId="0" fillId="0" borderId="33" xfId="95" applyNumberFormat="1" applyFont="1" applyBorder="1"/>
    <xf numFmtId="167" fontId="0" fillId="0" borderId="21" xfId="95" applyNumberFormat="1" applyFont="1" applyBorder="1"/>
    <xf numFmtId="167" fontId="0" fillId="0" borderId="8" xfId="95" applyNumberFormat="1" applyFont="1" applyBorder="1"/>
    <xf numFmtId="167" fontId="0" fillId="0" borderId="0" xfId="95" applyNumberFormat="1" applyFont="1" applyFill="1" applyBorder="1"/>
    <xf numFmtId="164" fontId="15" fillId="0" borderId="25" xfId="329" applyNumberFormat="1" applyFont="1" applyFill="1" applyBorder="1"/>
    <xf numFmtId="164" fontId="15" fillId="0" borderId="0" xfId="329" applyNumberFormat="1" applyFont="1" applyFill="1" applyBorder="1"/>
    <xf numFmtId="164" fontId="8" fillId="0" borderId="0" xfId="329" applyNumberFormat="1" applyFont="1"/>
    <xf numFmtId="164" fontId="9" fillId="0" borderId="33" xfId="329" applyNumberFormat="1" applyFont="1" applyBorder="1"/>
    <xf numFmtId="164" fontId="9" fillId="0" borderId="22" xfId="329" applyNumberFormat="1" applyFont="1" applyBorder="1"/>
    <xf numFmtId="9" fontId="0" fillId="0" borderId="0" xfId="329" applyFont="1"/>
    <xf numFmtId="1" fontId="0" fillId="0" borderId="0" xfId="0" applyNumberFormat="1"/>
    <xf numFmtId="164" fontId="0" fillId="0" borderId="0" xfId="329" applyNumberFormat="1" applyFont="1"/>
    <xf numFmtId="168" fontId="0" fillId="0" borderId="0" xfId="0" applyNumberFormat="1"/>
    <xf numFmtId="164" fontId="18" fillId="0" borderId="0" xfId="329" applyNumberFormat="1" applyFont="1"/>
    <xf numFmtId="167" fontId="18" fillId="0" borderId="0" xfId="95" applyNumberFormat="1" applyFont="1" applyBorder="1"/>
    <xf numFmtId="167" fontId="10" fillId="0" borderId="0" xfId="95" applyNumberFormat="1" applyFont="1" applyBorder="1"/>
    <xf numFmtId="167" fontId="19" fillId="0" borderId="0" xfId="95" applyNumberFormat="1" applyFont="1" applyBorder="1"/>
    <xf numFmtId="167" fontId="7" fillId="0" borderId="25" xfId="95" applyNumberFormat="1" applyFont="1" applyBorder="1"/>
    <xf numFmtId="167" fontId="7" fillId="0" borderId="35" xfId="95" applyNumberFormat="1" applyFont="1" applyBorder="1"/>
    <xf numFmtId="167" fontId="0" fillId="0" borderId="28" xfId="95" applyNumberFormat="1" applyFont="1" applyBorder="1"/>
    <xf numFmtId="167" fontId="0" fillId="0" borderId="32" xfId="95" applyNumberFormat="1" applyFont="1" applyBorder="1"/>
    <xf numFmtId="167" fontId="18" fillId="0" borderId="0" xfId="95" applyNumberFormat="1" applyFont="1" applyFill="1" applyBorder="1"/>
    <xf numFmtId="0" fontId="20" fillId="0" borderId="25" xfId="0" applyFont="1" applyBorder="1"/>
    <xf numFmtId="0" fontId="12" fillId="0" borderId="0" xfId="0" applyFont="1"/>
    <xf numFmtId="167" fontId="0" fillId="0" borderId="0" xfId="0" applyNumberFormat="1"/>
    <xf numFmtId="43" fontId="0" fillId="0" borderId="0" xfId="0" applyNumberFormat="1"/>
    <xf numFmtId="167" fontId="21" fillId="0" borderId="0" xfId="95" applyNumberFormat="1" applyFont="1" applyFill="1" applyBorder="1"/>
    <xf numFmtId="43" fontId="0" fillId="0" borderId="22" xfId="95" applyFont="1" applyBorder="1"/>
    <xf numFmtId="171" fontId="0" fillId="0" borderId="31" xfId="95" applyNumberFormat="1" applyFont="1" applyBorder="1"/>
    <xf numFmtId="171" fontId="0" fillId="0" borderId="0" xfId="95" applyNumberFormat="1" applyFont="1" applyBorder="1"/>
    <xf numFmtId="8" fontId="0" fillId="0" borderId="0" xfId="0" applyNumberFormat="1" applyAlignment="1">
      <alignment horizontal="center"/>
    </xf>
    <xf numFmtId="173" fontId="9" fillId="0" borderId="0" xfId="132" applyNumberFormat="1" applyFont="1" applyFill="1" applyBorder="1" applyAlignment="1">
      <alignment horizontal="right"/>
    </xf>
    <xf numFmtId="37" fontId="11" fillId="34" borderId="0" xfId="0" applyNumberFormat="1" applyFont="1" applyFill="1" applyAlignment="1">
      <alignment horizontal="right"/>
    </xf>
    <xf numFmtId="0" fontId="23" fillId="0" borderId="0" xfId="318" applyFont="1"/>
    <xf numFmtId="167" fontId="0" fillId="0" borderId="0" xfId="95" applyNumberFormat="1" applyFont="1"/>
    <xf numFmtId="167" fontId="10" fillId="0" borderId="8" xfId="95" applyNumberFormat="1" applyFont="1" applyBorder="1"/>
    <xf numFmtId="169" fontId="0" fillId="0" borderId="0" xfId="0" applyNumberFormat="1"/>
    <xf numFmtId="167" fontId="10" fillId="0" borderId="0" xfId="95" applyNumberFormat="1" applyFont="1" applyFill="1" applyBorder="1"/>
    <xf numFmtId="0" fontId="27" fillId="0" borderId="0" xfId="0" applyFont="1"/>
    <xf numFmtId="167" fontId="27" fillId="0" borderId="28" xfId="95" applyNumberFormat="1" applyFont="1" applyBorder="1"/>
    <xf numFmtId="167" fontId="27" fillId="0" borderId="0" xfId="95" applyNumberFormat="1" applyFont="1" applyBorder="1"/>
    <xf numFmtId="167" fontId="28" fillId="0" borderId="0" xfId="95" applyNumberFormat="1" applyFont="1" applyBorder="1"/>
    <xf numFmtId="171" fontId="27" fillId="0" borderId="0" xfId="95" applyNumberFormat="1" applyFont="1" applyBorder="1"/>
    <xf numFmtId="167" fontId="28" fillId="0" borderId="22" xfId="95" applyNumberFormat="1" applyFont="1" applyBorder="1"/>
    <xf numFmtId="1" fontId="27" fillId="0" borderId="0" xfId="0" applyNumberFormat="1" applyFont="1"/>
    <xf numFmtId="167" fontId="29" fillId="0" borderId="35" xfId="95" applyNumberFormat="1" applyFont="1" applyBorder="1"/>
    <xf numFmtId="167" fontId="9" fillId="0" borderId="31" xfId="95" applyNumberFormat="1" applyFont="1" applyBorder="1"/>
    <xf numFmtId="167" fontId="9" fillId="0" borderId="0" xfId="95" applyNumberFormat="1" applyFont="1" applyBorder="1"/>
    <xf numFmtId="9" fontId="9" fillId="0" borderId="31" xfId="329" applyFont="1" applyBorder="1"/>
    <xf numFmtId="9" fontId="9" fillId="0" borderId="0" xfId="329" applyFont="1" applyBorder="1"/>
    <xf numFmtId="167" fontId="0" fillId="0" borderId="31" xfId="0" applyNumberFormat="1" applyBorder="1"/>
    <xf numFmtId="167" fontId="0" fillId="0" borderId="31" xfId="95" applyNumberFormat="1" applyFont="1" applyFill="1" applyBorder="1"/>
    <xf numFmtId="167" fontId="0" fillId="0" borderId="25" xfId="95" applyNumberFormat="1" applyFont="1" applyFill="1" applyBorder="1"/>
    <xf numFmtId="167" fontId="10" fillId="0" borderId="35" xfId="95" applyNumberFormat="1" applyFont="1" applyBorder="1"/>
    <xf numFmtId="171" fontId="0" fillId="0" borderId="35" xfId="95" applyNumberFormat="1" applyFont="1" applyBorder="1"/>
    <xf numFmtId="0" fontId="10" fillId="0" borderId="22" xfId="0" applyFont="1" applyBorder="1" applyAlignment="1">
      <alignment horizontal="center"/>
    </xf>
    <xf numFmtId="8" fontId="0" fillId="0" borderId="36" xfId="0" applyNumberFormat="1" applyBorder="1" applyAlignment="1">
      <alignment horizontal="center"/>
    </xf>
    <xf numFmtId="167" fontId="91" fillId="0" borderId="0" xfId="95" applyNumberFormat="1" applyFont="1" applyBorder="1"/>
    <xf numFmtId="167" fontId="91" fillId="0" borderId="0" xfId="95" applyNumberFormat="1" applyFont="1" applyFill="1" applyBorder="1"/>
    <xf numFmtId="167" fontId="92" fillId="0" borderId="0" xfId="95" applyNumberFormat="1" applyFont="1" applyBorder="1"/>
    <xf numFmtId="0" fontId="8" fillId="0" borderId="0" xfId="0" applyFont="1"/>
    <xf numFmtId="164" fontId="93" fillId="0" borderId="0" xfId="329" applyNumberFormat="1" applyFont="1" applyBorder="1"/>
    <xf numFmtId="167" fontId="94" fillId="0" borderId="0" xfId="95" applyNumberFormat="1" applyFont="1" applyBorder="1"/>
    <xf numFmtId="0" fontId="31" fillId="0" borderId="0" xfId="0" applyFont="1"/>
    <xf numFmtId="0" fontId="7" fillId="0" borderId="28" xfId="0" applyFont="1" applyBorder="1" applyAlignment="1">
      <alignment horizontal="center"/>
    </xf>
    <xf numFmtId="0" fontId="7" fillId="0" borderId="32" xfId="0" applyFont="1" applyBorder="1" applyAlignment="1">
      <alignment horizontal="center"/>
    </xf>
    <xf numFmtId="170" fontId="0" fillId="0" borderId="0" xfId="0" applyNumberFormat="1"/>
    <xf numFmtId="0" fontId="31" fillId="0" borderId="25" xfId="0" applyFont="1" applyBorder="1"/>
    <xf numFmtId="164" fontId="31" fillId="0" borderId="0" xfId="329" applyNumberFormat="1" applyFont="1" applyBorder="1"/>
    <xf numFmtId="0" fontId="31" fillId="0" borderId="29" xfId="0" applyFont="1" applyBorder="1"/>
    <xf numFmtId="0" fontId="31" fillId="0" borderId="22" xfId="0" applyFont="1" applyBorder="1"/>
    <xf numFmtId="9" fontId="31" fillId="0" borderId="22" xfId="329" applyFont="1" applyBorder="1"/>
    <xf numFmtId="0" fontId="31" fillId="0" borderId="31" xfId="0" applyFont="1" applyBorder="1"/>
    <xf numFmtId="0" fontId="31" fillId="0" borderId="33" xfId="0" applyFont="1" applyBorder="1"/>
    <xf numFmtId="167" fontId="0" fillId="0" borderId="32" xfId="0" applyNumberFormat="1" applyBorder="1"/>
    <xf numFmtId="167" fontId="0" fillId="0" borderId="8" xfId="0" applyNumberFormat="1" applyBorder="1"/>
    <xf numFmtId="170" fontId="0" fillId="0" borderId="8" xfId="0" applyNumberFormat="1" applyBorder="1"/>
    <xf numFmtId="0" fontId="0" fillId="0" borderId="26" xfId="0" applyBorder="1"/>
    <xf numFmtId="0" fontId="0" fillId="0" borderId="7" xfId="0" applyBorder="1"/>
    <xf numFmtId="0" fontId="0" fillId="0" borderId="30" xfId="0" applyBorder="1"/>
    <xf numFmtId="0" fontId="10" fillId="0" borderId="0" xfId="0" applyFont="1" applyAlignment="1">
      <alignment horizontal="right"/>
    </xf>
    <xf numFmtId="0" fontId="91" fillId="0" borderId="0" xfId="0" applyFont="1"/>
    <xf numFmtId="167" fontId="91" fillId="0" borderId="35" xfId="95" applyNumberFormat="1" applyFont="1" applyBorder="1"/>
    <xf numFmtId="167" fontId="91" fillId="0" borderId="31" xfId="95" applyNumberFormat="1" applyFont="1" applyBorder="1"/>
    <xf numFmtId="8" fontId="0" fillId="0" borderId="29" xfId="0" applyNumberFormat="1" applyBorder="1" applyAlignment="1">
      <alignment horizontal="center"/>
    </xf>
    <xf numFmtId="164" fontId="9" fillId="0" borderId="31" xfId="329" applyNumberFormat="1" applyFont="1" applyFill="1" applyBorder="1"/>
    <xf numFmtId="167" fontId="52" fillId="48" borderId="35" xfId="95" applyNumberFormat="1" applyFont="1" applyFill="1" applyBorder="1"/>
    <xf numFmtId="8" fontId="10" fillId="0" borderId="22" xfId="0" applyNumberFormat="1" applyFont="1" applyBorder="1" applyAlignment="1">
      <alignment horizontal="center"/>
    </xf>
    <xf numFmtId="167" fontId="10" fillId="48" borderId="35" xfId="95" applyNumberFormat="1" applyFont="1" applyFill="1" applyBorder="1"/>
    <xf numFmtId="167" fontId="10" fillId="0" borderId="25" xfId="95" applyNumberFormat="1" applyFont="1" applyBorder="1"/>
    <xf numFmtId="0" fontId="95" fillId="49" borderId="7" xfId="0" applyFont="1" applyFill="1" applyBorder="1" applyAlignment="1">
      <alignment horizontal="center"/>
    </xf>
    <xf numFmtId="164" fontId="93" fillId="0" borderId="31" xfId="329" applyNumberFormat="1" applyFont="1" applyBorder="1"/>
    <xf numFmtId="0" fontId="96" fillId="49" borderId="32" xfId="0" applyFont="1" applyFill="1" applyBorder="1"/>
    <xf numFmtId="0" fontId="95" fillId="49" borderId="27" xfId="0" applyFont="1" applyFill="1" applyBorder="1" applyAlignment="1">
      <alignment horizontal="center"/>
    </xf>
    <xf numFmtId="0" fontId="95" fillId="49" borderId="28" xfId="0" applyFont="1" applyFill="1" applyBorder="1" applyAlignment="1">
      <alignment horizontal="center"/>
    </xf>
    <xf numFmtId="0" fontId="95" fillId="49" borderId="34" xfId="0" applyFont="1" applyFill="1" applyBorder="1" applyAlignment="1">
      <alignment horizontal="center"/>
    </xf>
    <xf numFmtId="0" fontId="96" fillId="49" borderId="42" xfId="0" applyFont="1" applyFill="1" applyBorder="1"/>
    <xf numFmtId="0" fontId="95" fillId="49" borderId="25" xfId="0" applyFont="1" applyFill="1" applyBorder="1" applyAlignment="1">
      <alignment horizontal="center"/>
    </xf>
    <xf numFmtId="0" fontId="95" fillId="49" borderId="0" xfId="0" applyFont="1" applyFill="1" applyAlignment="1">
      <alignment horizontal="center"/>
    </xf>
    <xf numFmtId="0" fontId="95" fillId="49" borderId="35" xfId="0" applyFont="1" applyFill="1" applyBorder="1" applyAlignment="1">
      <alignment horizontal="center"/>
    </xf>
    <xf numFmtId="164" fontId="9" fillId="0" borderId="25" xfId="0" applyNumberFormat="1" applyFont="1" applyBorder="1"/>
    <xf numFmtId="164" fontId="0" fillId="0" borderId="0" xfId="0" applyNumberFormat="1"/>
    <xf numFmtId="0" fontId="95" fillId="0" borderId="0" xfId="0" applyFont="1"/>
    <xf numFmtId="0" fontId="95" fillId="49" borderId="43" xfId="0" applyFont="1" applyFill="1" applyBorder="1" applyAlignment="1">
      <alignment horizontal="center"/>
    </xf>
    <xf numFmtId="0" fontId="95" fillId="49" borderId="41" xfId="0" applyFont="1" applyFill="1" applyBorder="1" applyAlignment="1">
      <alignment horizontal="center"/>
    </xf>
    <xf numFmtId="167" fontId="7" fillId="0" borderId="31" xfId="0" applyNumberFormat="1" applyFont="1" applyBorder="1"/>
    <xf numFmtId="167" fontId="0" fillId="0" borderId="33" xfId="0" applyNumberFormat="1" applyBorder="1"/>
    <xf numFmtId="0" fontId="0" fillId="0" borderId="35" xfId="0" applyBorder="1"/>
    <xf numFmtId="0" fontId="10" fillId="0" borderId="41" xfId="0" applyFont="1" applyBorder="1"/>
    <xf numFmtId="0" fontId="7" fillId="0" borderId="0" xfId="0" applyFont="1" applyAlignment="1">
      <alignment horizontal="center"/>
    </xf>
    <xf numFmtId="167" fontId="0" fillId="0" borderId="7" xfId="95" applyNumberFormat="1" applyFont="1" applyBorder="1"/>
    <xf numFmtId="167" fontId="0" fillId="0" borderId="30" xfId="95" applyNumberFormat="1" applyFont="1" applyBorder="1"/>
    <xf numFmtId="167" fontId="10" fillId="0" borderId="7" xfId="95" applyNumberFormat="1" applyFont="1" applyBorder="1"/>
    <xf numFmtId="167" fontId="0" fillId="0" borderId="27" xfId="95" applyNumberFormat="1" applyFont="1" applyBorder="1"/>
    <xf numFmtId="167" fontId="0" fillId="0" borderId="25" xfId="0" applyNumberFormat="1" applyBorder="1"/>
    <xf numFmtId="0" fontId="7" fillId="0" borderId="41" xfId="0" applyFont="1" applyBorder="1" applyAlignment="1">
      <alignment horizontal="center"/>
    </xf>
    <xf numFmtId="0" fontId="7" fillId="0" borderId="43" xfId="0" applyFont="1" applyBorder="1" applyAlignment="1">
      <alignment horizontal="center"/>
    </xf>
    <xf numFmtId="0" fontId="0" fillId="0" borderId="36" xfId="0" applyBorder="1"/>
    <xf numFmtId="0" fontId="31" fillId="0" borderId="0" xfId="0" applyFont="1" applyAlignment="1">
      <alignment horizontal="right"/>
    </xf>
    <xf numFmtId="187" fontId="31" fillId="0" borderId="31" xfId="0" applyNumberFormat="1" applyFont="1" applyBorder="1"/>
    <xf numFmtId="164" fontId="31" fillId="0" borderId="22" xfId="329" applyNumberFormat="1" applyFont="1" applyBorder="1"/>
    <xf numFmtId="0" fontId="0" fillId="0" borderId="32" xfId="0" applyBorder="1" applyAlignment="1">
      <alignment horizontal="center"/>
    </xf>
    <xf numFmtId="0" fontId="0" fillId="0" borderId="28" xfId="0" applyBorder="1" applyAlignment="1">
      <alignment horizontal="center"/>
    </xf>
    <xf numFmtId="167" fontId="0" fillId="0" borderId="0" xfId="95" applyNumberFormat="1" applyFont="1" applyBorder="1" applyAlignment="1">
      <alignment horizontal="center"/>
    </xf>
    <xf numFmtId="0" fontId="10" fillId="0" borderId="0" xfId="0" applyFont="1" applyAlignment="1">
      <alignment horizontal="left"/>
    </xf>
    <xf numFmtId="167" fontId="0" fillId="0" borderId="25" xfId="95" applyNumberFormat="1" applyFont="1" applyBorder="1" applyAlignment="1">
      <alignment horizontal="center"/>
    </xf>
    <xf numFmtId="167" fontId="0" fillId="0" borderId="35" xfId="95" applyNumberFormat="1" applyFont="1" applyBorder="1" applyAlignment="1">
      <alignment horizontal="center"/>
    </xf>
    <xf numFmtId="0" fontId="10" fillId="0" borderId="27" xfId="0" applyFont="1" applyBorder="1" applyAlignment="1">
      <alignment horizontal="center"/>
    </xf>
    <xf numFmtId="0" fontId="10" fillId="0" borderId="28" xfId="0" applyFont="1" applyBorder="1" applyAlignment="1">
      <alignment horizontal="center"/>
    </xf>
    <xf numFmtId="172" fontId="10" fillId="0" borderId="28" xfId="0" applyNumberFormat="1" applyFont="1" applyBorder="1" applyAlignment="1">
      <alignment horizontal="center"/>
    </xf>
    <xf numFmtId="172" fontId="10" fillId="0" borderId="34" xfId="0" applyNumberFormat="1" applyFont="1" applyBorder="1" applyAlignment="1">
      <alignment horizontal="center"/>
    </xf>
    <xf numFmtId="8" fontId="0" fillId="0" borderId="22" xfId="0" applyNumberFormat="1" applyBorder="1" applyAlignment="1">
      <alignment horizontal="center"/>
    </xf>
    <xf numFmtId="0" fontId="10" fillId="0" borderId="34" xfId="0" applyFont="1" applyBorder="1" applyAlignment="1">
      <alignment horizontal="center"/>
    </xf>
    <xf numFmtId="187" fontId="0" fillId="0" borderId="25" xfId="132" applyNumberFormat="1" applyFont="1" applyBorder="1" applyAlignment="1">
      <alignment horizontal="center"/>
    </xf>
    <xf numFmtId="187" fontId="0" fillId="0" borderId="0" xfId="132" applyNumberFormat="1" applyFont="1" applyBorder="1" applyAlignment="1">
      <alignment horizontal="center"/>
    </xf>
    <xf numFmtId="188" fontId="0" fillId="0" borderId="27" xfId="132" applyNumberFormat="1" applyFont="1" applyBorder="1" applyAlignment="1">
      <alignment horizontal="center"/>
    </xf>
    <xf numFmtId="188" fontId="0" fillId="0" borderId="28" xfId="132" applyNumberFormat="1" applyFont="1" applyBorder="1" applyAlignment="1">
      <alignment horizontal="center"/>
    </xf>
    <xf numFmtId="188" fontId="0" fillId="0" borderId="34" xfId="132" applyNumberFormat="1" applyFont="1" applyBorder="1" applyAlignment="1">
      <alignment horizontal="center"/>
    </xf>
    <xf numFmtId="187" fontId="0" fillId="0" borderId="35" xfId="132" applyNumberFormat="1" applyFont="1" applyBorder="1" applyAlignment="1">
      <alignment horizontal="center"/>
    </xf>
    <xf numFmtId="0" fontId="10" fillId="0" borderId="0" xfId="207" applyAlignment="1">
      <alignment horizontal="left"/>
    </xf>
    <xf numFmtId="0" fontId="10" fillId="0" borderId="0" xfId="0" applyFont="1" applyAlignment="1">
      <alignment horizontal="left" indent="2"/>
    </xf>
    <xf numFmtId="0" fontId="9" fillId="0" borderId="0" xfId="0" applyFont="1" applyAlignment="1">
      <alignment horizontal="left" indent="2"/>
    </xf>
    <xf numFmtId="10" fontId="70" fillId="0" borderId="0" xfId="0" applyNumberFormat="1" applyFont="1" applyAlignment="1">
      <alignment horizontal="right"/>
    </xf>
    <xf numFmtId="0" fontId="70" fillId="0" borderId="0" xfId="0" applyFont="1" applyAlignment="1">
      <alignment horizontal="right"/>
    </xf>
    <xf numFmtId="0" fontId="70" fillId="0" borderId="0" xfId="0" applyFont="1"/>
    <xf numFmtId="0" fontId="71" fillId="0" borderId="0" xfId="0" applyFont="1" applyAlignment="1">
      <alignment horizontal="right"/>
    </xf>
    <xf numFmtId="2" fontId="0" fillId="0" borderId="43" xfId="0" applyNumberFormat="1" applyBorder="1"/>
    <xf numFmtId="2" fontId="0" fillId="0" borderId="7" xfId="0" applyNumberFormat="1" applyBorder="1"/>
    <xf numFmtId="2" fontId="0" fillId="0" borderId="0" xfId="0" applyNumberFormat="1"/>
    <xf numFmtId="2" fontId="0" fillId="0" borderId="41" xfId="0" applyNumberFormat="1" applyBorder="1"/>
    <xf numFmtId="0" fontId="0" fillId="0" borderId="41" xfId="0" applyBorder="1"/>
    <xf numFmtId="167" fontId="0" fillId="0" borderId="36" xfId="0" applyNumberFormat="1" applyBorder="1"/>
    <xf numFmtId="167" fontId="0" fillId="0" borderId="29" xfId="0" applyNumberFormat="1" applyBorder="1"/>
    <xf numFmtId="187" fontId="0" fillId="0" borderId="35" xfId="0" applyNumberFormat="1" applyBorder="1"/>
    <xf numFmtId="187" fontId="0" fillId="0" borderId="0" xfId="0" applyNumberFormat="1"/>
    <xf numFmtId="187" fontId="0" fillId="0" borderId="25" xfId="0" applyNumberFormat="1" applyBorder="1"/>
    <xf numFmtId="167" fontId="0" fillId="0" borderId="35" xfId="0" applyNumberFormat="1" applyBorder="1"/>
    <xf numFmtId="167" fontId="0" fillId="0" borderId="34" xfId="0" applyNumberFormat="1" applyBorder="1"/>
    <xf numFmtId="167" fontId="0" fillId="0" borderId="28" xfId="0" applyNumberFormat="1" applyBorder="1"/>
    <xf numFmtId="167" fontId="0" fillId="0" borderId="27" xfId="0" applyNumberFormat="1" applyBorder="1"/>
    <xf numFmtId="167" fontId="0" fillId="0" borderId="22" xfId="0" applyNumberFormat="1" applyBorder="1"/>
    <xf numFmtId="0" fontId="27" fillId="0" borderId="32" xfId="207" applyFont="1" applyBorder="1" applyAlignment="1">
      <alignment horizontal="right"/>
    </xf>
    <xf numFmtId="0" fontId="27" fillId="0" borderId="31" xfId="207" applyFont="1" applyBorder="1" applyAlignment="1">
      <alignment horizontal="right"/>
    </xf>
    <xf numFmtId="0" fontId="27" fillId="0" borderId="30" xfId="207" applyFont="1" applyBorder="1" applyAlignment="1">
      <alignment horizontal="right"/>
    </xf>
    <xf numFmtId="0" fontId="27" fillId="0" borderId="31" xfId="206" applyFont="1" applyBorder="1" applyAlignment="1">
      <alignment horizontal="right"/>
    </xf>
    <xf numFmtId="0" fontId="27" fillId="0" borderId="33" xfId="206" applyFont="1" applyBorder="1" applyAlignment="1">
      <alignment horizontal="right"/>
    </xf>
    <xf numFmtId="9" fontId="0" fillId="0" borderId="35" xfId="329" applyFont="1" applyBorder="1"/>
    <xf numFmtId="2" fontId="0" fillId="0" borderId="36" xfId="0" applyNumberFormat="1" applyBorder="1"/>
    <xf numFmtId="9" fontId="0" fillId="0" borderId="31" xfId="329" applyFont="1" applyBorder="1"/>
    <xf numFmtId="9" fontId="0" fillId="0" borderId="0" xfId="329" applyFont="1" applyBorder="1"/>
    <xf numFmtId="2" fontId="0" fillId="0" borderId="22" xfId="0" applyNumberFormat="1" applyBorder="1"/>
    <xf numFmtId="2" fontId="0" fillId="0" borderId="33" xfId="0" applyNumberFormat="1" applyBorder="1"/>
    <xf numFmtId="43" fontId="9" fillId="0" borderId="0" xfId="95" applyFont="1" applyBorder="1"/>
    <xf numFmtId="164" fontId="9" fillId="48" borderId="0" xfId="0" applyNumberFormat="1" applyFont="1" applyFill="1"/>
    <xf numFmtId="0" fontId="0" fillId="0" borderId="30" xfId="0" applyBorder="1" applyAlignment="1">
      <alignment horizontal="center"/>
    </xf>
    <xf numFmtId="0" fontId="0" fillId="0" borderId="7" xfId="0" applyBorder="1" applyAlignment="1">
      <alignment horizontal="center"/>
    </xf>
    <xf numFmtId="0" fontId="31" fillId="0" borderId="0" xfId="0" applyFont="1" applyAlignment="1">
      <alignment horizontal="center"/>
    </xf>
    <xf numFmtId="187" fontId="31" fillId="0" borderId="0" xfId="0" applyNumberFormat="1" applyFont="1" applyAlignment="1">
      <alignment horizontal="center"/>
    </xf>
    <xf numFmtId="187" fontId="31" fillId="0" borderId="31" xfId="0" applyNumberFormat="1" applyFont="1" applyBorder="1" applyAlignment="1">
      <alignment horizontal="center"/>
    </xf>
    <xf numFmtId="0" fontId="31" fillId="0" borderId="31" xfId="0" applyFont="1" applyBorder="1" applyAlignment="1">
      <alignment horizontal="center"/>
    </xf>
    <xf numFmtId="9" fontId="31" fillId="0" borderId="31" xfId="329" applyFont="1" applyBorder="1" applyAlignment="1">
      <alignment horizontal="center"/>
    </xf>
    <xf numFmtId="164" fontId="10" fillId="0" borderId="0" xfId="0" applyNumberFormat="1" applyFont="1"/>
    <xf numFmtId="164" fontId="31" fillId="0" borderId="0" xfId="329" applyNumberFormat="1" applyFont="1" applyBorder="1" applyAlignment="1">
      <alignment horizontal="center"/>
    </xf>
    <xf numFmtId="167" fontId="0" fillId="0" borderId="8" xfId="95" applyNumberFormat="1" applyFont="1" applyFill="1" applyBorder="1"/>
    <xf numFmtId="172" fontId="10" fillId="0" borderId="27" xfId="0" applyNumberFormat="1" applyFont="1" applyBorder="1" applyAlignment="1">
      <alignment horizontal="center"/>
    </xf>
    <xf numFmtId="167" fontId="10" fillId="0" borderId="31" xfId="0" applyNumberFormat="1" applyFont="1" applyBorder="1"/>
    <xf numFmtId="167" fontId="10" fillId="0" borderId="0" xfId="0" applyNumberFormat="1" applyFont="1"/>
    <xf numFmtId="44" fontId="10" fillId="0" borderId="0" xfId="132" applyFont="1" applyBorder="1"/>
    <xf numFmtId="167" fontId="10" fillId="0" borderId="22" xfId="95" applyNumberFormat="1" applyFont="1" applyBorder="1"/>
    <xf numFmtId="167" fontId="10" fillId="0" borderId="29" xfId="95" applyNumberFormat="1" applyFont="1" applyBorder="1"/>
    <xf numFmtId="176" fontId="0" fillId="0" borderId="36" xfId="95" applyNumberFormat="1" applyFont="1" applyBorder="1" applyAlignment="1">
      <alignment horizontal="center"/>
    </xf>
    <xf numFmtId="6" fontId="10" fillId="0" borderId="27" xfId="0" applyNumberFormat="1" applyFont="1" applyBorder="1" applyAlignment="1">
      <alignment horizontal="center"/>
    </xf>
    <xf numFmtId="167" fontId="6" fillId="0" borderId="0" xfId="95" applyNumberFormat="1" applyFont="1" applyBorder="1"/>
    <xf numFmtId="0" fontId="6" fillId="0" borderId="0" xfId="0" applyFont="1"/>
    <xf numFmtId="167" fontId="10" fillId="0" borderId="28" xfId="95" applyNumberFormat="1" applyFont="1" applyBorder="1"/>
    <xf numFmtId="10" fontId="0" fillId="0" borderId="0" xfId="0" applyNumberFormat="1"/>
    <xf numFmtId="164" fontId="0" fillId="0" borderId="0" xfId="329" applyNumberFormat="1" applyFont="1" applyBorder="1"/>
    <xf numFmtId="261" fontId="14" fillId="0" borderId="0" xfId="11022" applyFont="1" applyAlignment="1" applyProtection="1">
      <alignment horizontal="left"/>
      <protection locked="0"/>
    </xf>
    <xf numFmtId="261" fontId="7" fillId="0" borderId="0" xfId="11022" applyFont="1" applyProtection="1">
      <protection locked="0"/>
    </xf>
    <xf numFmtId="261" fontId="6" fillId="0" borderId="0" xfId="11022" applyFont="1" applyProtection="1">
      <protection locked="0"/>
    </xf>
    <xf numFmtId="0" fontId="4" fillId="0" borderId="0" xfId="11023"/>
    <xf numFmtId="0" fontId="202" fillId="0" borderId="0" xfId="381" applyFont="1" applyAlignment="1">
      <alignment horizontal="left" vertical="center"/>
    </xf>
    <xf numFmtId="204" fontId="24" fillId="0" borderId="0" xfId="11024" applyFont="1"/>
    <xf numFmtId="261" fontId="204" fillId="0" borderId="0" xfId="174" applyNumberFormat="1" applyFont="1" applyFill="1" applyBorder="1" applyAlignment="1" applyProtection="1">
      <protection locked="0"/>
    </xf>
    <xf numFmtId="261" fontId="6" fillId="0" borderId="0" xfId="11022" applyFont="1" applyAlignment="1" applyProtection="1">
      <alignment horizontal="right"/>
      <protection locked="0"/>
    </xf>
    <xf numFmtId="261" fontId="35" fillId="0" borderId="0" xfId="11022"/>
    <xf numFmtId="261" fontId="205" fillId="0" borderId="0" xfId="11022" applyFont="1" applyProtection="1">
      <protection locked="0"/>
    </xf>
    <xf numFmtId="261" fontId="206" fillId="0" borderId="65" xfId="11022" applyFont="1" applyBorder="1"/>
    <xf numFmtId="38" fontId="207" fillId="58" borderId="0" xfId="11022" applyNumberFormat="1" applyFont="1" applyFill="1" applyAlignment="1" applyProtection="1">
      <alignment horizontal="left"/>
      <protection locked="0"/>
    </xf>
    <xf numFmtId="261" fontId="7" fillId="0" borderId="66" xfId="11022" applyFont="1" applyBorder="1"/>
    <xf numFmtId="166" fontId="24" fillId="59" borderId="46" xfId="11025" applyNumberFormat="1" applyFont="1" applyFill="1" applyBorder="1" applyProtection="1"/>
    <xf numFmtId="261" fontId="207" fillId="0" borderId="0" xfId="11022" applyFont="1" applyAlignment="1" applyProtection="1">
      <alignment horizontal="right"/>
      <protection locked="0"/>
    </xf>
    <xf numFmtId="204" fontId="14" fillId="0" borderId="0" xfId="11024" applyFont="1"/>
    <xf numFmtId="8" fontId="207" fillId="58" borderId="0" xfId="11026" applyFont="1" applyFill="1" applyBorder="1" applyAlignment="1" applyProtection="1">
      <alignment horizontal="right"/>
      <protection locked="0"/>
    </xf>
    <xf numFmtId="261" fontId="6" fillId="0" borderId="66" xfId="11022" applyFont="1" applyBorder="1"/>
    <xf numFmtId="38" fontId="207" fillId="58" borderId="0" xfId="11022" applyNumberFormat="1" applyFont="1" applyFill="1" applyAlignment="1" applyProtection="1">
      <alignment horizontal="right"/>
      <protection locked="0"/>
    </xf>
    <xf numFmtId="0" fontId="202" fillId="0" borderId="0" xfId="230" applyFont="1" applyAlignment="1">
      <alignment horizontal="center"/>
    </xf>
    <xf numFmtId="0" fontId="14" fillId="0" borderId="0" xfId="11024" applyNumberFormat="1" applyFont="1"/>
    <xf numFmtId="0" fontId="208" fillId="0" borderId="66" xfId="11022" applyNumberFormat="1" applyFont="1" applyBorder="1"/>
    <xf numFmtId="0" fontId="24" fillId="0" borderId="0" xfId="11024" applyNumberFormat="1" applyFont="1" applyAlignment="1">
      <alignment horizontal="right"/>
    </xf>
    <xf numFmtId="261" fontId="208" fillId="0" borderId="66" xfId="11022" applyFont="1" applyBorder="1"/>
    <xf numFmtId="204" fontId="24" fillId="0" borderId="0" xfId="11024" applyFont="1" applyAlignment="1">
      <alignment horizontal="right"/>
    </xf>
    <xf numFmtId="261" fontId="202" fillId="0" borderId="66" xfId="11027" applyNumberFormat="1" applyFont="1" applyBorder="1" applyAlignment="1">
      <alignment horizontal="center"/>
    </xf>
    <xf numFmtId="261" fontId="202" fillId="0" borderId="46" xfId="11027" applyNumberFormat="1" applyFont="1" applyBorder="1" applyAlignment="1">
      <alignment horizontal="center"/>
    </xf>
    <xf numFmtId="204" fontId="14" fillId="0" borderId="0" xfId="11024" quotePrefix="1" applyFont="1" applyAlignment="1">
      <alignment horizontal="left" wrapText="1"/>
    </xf>
    <xf numFmtId="261" fontId="208" fillId="60" borderId="67" xfId="11022" applyFont="1" applyFill="1" applyBorder="1" applyAlignment="1">
      <alignment horizontal="center"/>
    </xf>
    <xf numFmtId="0" fontId="202" fillId="0" borderId="66" xfId="11027" applyFont="1" applyBorder="1" applyAlignment="1">
      <alignment horizontal="center"/>
    </xf>
    <xf numFmtId="261" fontId="208" fillId="60" borderId="66" xfId="11022" applyFont="1" applyFill="1" applyBorder="1" applyAlignment="1">
      <alignment horizontal="center"/>
    </xf>
    <xf numFmtId="204" fontId="14" fillId="25" borderId="66" xfId="11024" applyFont="1" applyFill="1" applyBorder="1" applyAlignment="1">
      <alignment horizontal="center"/>
    </xf>
    <xf numFmtId="204" fontId="14" fillId="25" borderId="46" xfId="11024" applyFont="1" applyFill="1" applyBorder="1" applyAlignment="1">
      <alignment horizontal="center"/>
    </xf>
    <xf numFmtId="17" fontId="24" fillId="0" borderId="0" xfId="11024" applyNumberFormat="1" applyFont="1"/>
    <xf numFmtId="17" fontId="14" fillId="0" borderId="0" xfId="11024" applyNumberFormat="1" applyFont="1" applyAlignment="1">
      <alignment horizontal="left" wrapText="1"/>
    </xf>
    <xf numFmtId="17" fontId="208" fillId="0" borderId="66" xfId="11022" applyNumberFormat="1" applyFont="1" applyBorder="1"/>
    <xf numFmtId="17" fontId="24" fillId="0" borderId="0" xfId="11025" applyNumberFormat="1" applyFont="1" applyFill="1" applyBorder="1" applyAlignment="1" applyProtection="1">
      <alignment horizontal="right"/>
    </xf>
    <xf numFmtId="1" fontId="202" fillId="0" borderId="68" xfId="11027" applyNumberFormat="1" applyFont="1" applyBorder="1" applyAlignment="1">
      <alignment horizontal="center"/>
    </xf>
    <xf numFmtId="1" fontId="202" fillId="0" borderId="40" xfId="11027" applyNumberFormat="1" applyFont="1" applyBorder="1" applyAlignment="1">
      <alignment horizontal="center"/>
    </xf>
    <xf numFmtId="204" fontId="210" fillId="0" borderId="0" xfId="11024" applyFont="1"/>
    <xf numFmtId="261" fontId="206" fillId="61" borderId="0" xfId="11022" applyFont="1" applyFill="1" applyAlignment="1">
      <alignment horizontal="left"/>
    </xf>
    <xf numFmtId="261" fontId="208" fillId="61" borderId="66" xfId="11022" applyFont="1" applyFill="1" applyBorder="1"/>
    <xf numFmtId="168" fontId="210" fillId="61" borderId="0" xfId="11024" applyNumberFormat="1" applyFont="1" applyFill="1" applyAlignment="1">
      <alignment horizontal="right"/>
    </xf>
    <xf numFmtId="262" fontId="24" fillId="62" borderId="69" xfId="11025" applyNumberFormat="1" applyFont="1" applyFill="1" applyBorder="1" applyProtection="1"/>
    <xf numFmtId="262" fontId="24" fillId="62" borderId="65" xfId="11025" applyNumberFormat="1" applyFont="1" applyFill="1" applyBorder="1" applyAlignment="1" applyProtection="1">
      <alignment horizontal="center"/>
    </xf>
    <xf numFmtId="262" fontId="24" fillId="58" borderId="65" xfId="11025" applyNumberFormat="1" applyFont="1" applyFill="1" applyBorder="1" applyProtection="1"/>
    <xf numFmtId="205" fontId="24" fillId="62" borderId="69" xfId="11025" applyNumberFormat="1" applyFont="1" applyFill="1" applyBorder="1" applyProtection="1"/>
    <xf numFmtId="205" fontId="24" fillId="62" borderId="65" xfId="11025" applyNumberFormat="1" applyFont="1" applyFill="1" applyBorder="1" applyAlignment="1" applyProtection="1">
      <alignment horizontal="center"/>
    </xf>
    <xf numFmtId="205" fontId="24" fillId="58" borderId="65" xfId="11025" applyNumberFormat="1" applyFont="1" applyFill="1" applyBorder="1" applyProtection="1"/>
    <xf numFmtId="0" fontId="211" fillId="63" borderId="70" xfId="11023" applyFont="1" applyFill="1" applyBorder="1" applyAlignment="1">
      <alignment horizontal="left" indent="1"/>
    </xf>
    <xf numFmtId="261" fontId="24" fillId="0" borderId="65" xfId="11022" applyFont="1" applyBorder="1"/>
    <xf numFmtId="0" fontId="212" fillId="0" borderId="71" xfId="11023" applyFont="1" applyBorder="1"/>
    <xf numFmtId="262" fontId="98" fillId="0" borderId="70" xfId="11023" applyNumberFormat="1" applyFont="1" applyBorder="1" applyAlignment="1">
      <alignment horizontal="center"/>
    </xf>
    <xf numFmtId="204" fontId="211" fillId="63" borderId="39" xfId="11024" applyFont="1" applyFill="1" applyBorder="1" applyAlignment="1">
      <alignment horizontal="left" indent="2"/>
    </xf>
    <xf numFmtId="261" fontId="210" fillId="64" borderId="68" xfId="11022" applyFont="1" applyFill="1" applyBorder="1"/>
    <xf numFmtId="166" fontId="24" fillId="0" borderId="37" xfId="11025" applyNumberFormat="1" applyFont="1" applyFill="1" applyBorder="1" applyAlignment="1" applyProtection="1">
      <alignment horizontal="right"/>
    </xf>
    <xf numFmtId="166" fontId="24" fillId="59" borderId="39" xfId="11025" applyNumberFormat="1" applyFont="1" applyFill="1" applyBorder="1" applyProtection="1"/>
    <xf numFmtId="166" fontId="24" fillId="59" borderId="37" xfId="11025" applyNumberFormat="1" applyFont="1" applyFill="1" applyBorder="1" applyProtection="1"/>
    <xf numFmtId="166" fontId="24" fillId="59" borderId="40" xfId="11025" applyNumberFormat="1" applyFont="1" applyFill="1" applyBorder="1" applyProtection="1"/>
    <xf numFmtId="0" fontId="98" fillId="0" borderId="0" xfId="11023" applyFont="1"/>
    <xf numFmtId="0" fontId="211" fillId="63" borderId="0" xfId="11023" applyFont="1" applyFill="1" applyAlignment="1">
      <alignment horizontal="left" indent="1"/>
    </xf>
    <xf numFmtId="261" fontId="24" fillId="25" borderId="66" xfId="11022" applyFont="1" applyFill="1" applyBorder="1"/>
    <xf numFmtId="0" fontId="212" fillId="25" borderId="0" xfId="11023" applyFont="1" applyFill="1"/>
    <xf numFmtId="176" fontId="98" fillId="0" borderId="47" xfId="11023" applyNumberFormat="1" applyFont="1" applyBorder="1"/>
    <xf numFmtId="204" fontId="211" fillId="63" borderId="0" xfId="11024" applyFont="1" applyFill="1" applyAlignment="1">
      <alignment horizontal="left" indent="2"/>
    </xf>
    <xf numFmtId="261" fontId="210" fillId="64" borderId="66" xfId="11022" applyFont="1" applyFill="1" applyBorder="1"/>
    <xf numFmtId="166" fontId="24" fillId="25" borderId="0" xfId="11025" applyNumberFormat="1" applyFont="1" applyFill="1" applyBorder="1" applyAlignment="1" applyProtection="1">
      <alignment horizontal="right"/>
    </xf>
    <xf numFmtId="0" fontId="212" fillId="0" borderId="70" xfId="11023" applyFont="1" applyBorder="1" applyAlignment="1">
      <alignment horizontal="left" indent="1"/>
    </xf>
    <xf numFmtId="0" fontId="98" fillId="0" borderId="70" xfId="11023" applyFont="1" applyBorder="1"/>
    <xf numFmtId="0" fontId="98" fillId="0" borderId="71" xfId="11023" applyFont="1" applyBorder="1"/>
    <xf numFmtId="0" fontId="98" fillId="0" borderId="69" xfId="11023" applyFont="1" applyBorder="1"/>
    <xf numFmtId="204" fontId="24" fillId="0" borderId="39" xfId="11024" applyFont="1" applyBorder="1" applyAlignment="1">
      <alignment horizontal="left" indent="2"/>
    </xf>
    <xf numFmtId="0" fontId="212" fillId="25" borderId="0" xfId="11023" applyFont="1" applyFill="1" applyAlignment="1">
      <alignment horizontal="left" indent="1"/>
    </xf>
    <xf numFmtId="0" fontId="98" fillId="0" borderId="47" xfId="11023" applyFont="1" applyBorder="1"/>
    <xf numFmtId="0" fontId="98" fillId="0" borderId="46" xfId="11023" applyFont="1" applyBorder="1"/>
    <xf numFmtId="204" fontId="24" fillId="25" borderId="0" xfId="11024" applyFont="1" applyFill="1" applyAlignment="1">
      <alignment horizontal="left" indent="2"/>
    </xf>
    <xf numFmtId="166" fontId="24" fillId="59" borderId="47" xfId="11025" applyNumberFormat="1" applyFont="1" applyFill="1" applyBorder="1" applyProtection="1"/>
    <xf numFmtId="166" fontId="24" fillId="59" borderId="0" xfId="11025" applyNumberFormat="1" applyFont="1" applyFill="1" applyBorder="1" applyProtection="1"/>
    <xf numFmtId="0" fontId="212" fillId="25" borderId="70" xfId="11023" applyFont="1" applyFill="1" applyBorder="1" applyAlignment="1">
      <alignment horizontal="left" indent="1"/>
    </xf>
    <xf numFmtId="261" fontId="24" fillId="25" borderId="65" xfId="11022" applyFont="1" applyFill="1" applyBorder="1"/>
    <xf numFmtId="0" fontId="212" fillId="25" borderId="71" xfId="11023" applyFont="1" applyFill="1" applyBorder="1"/>
    <xf numFmtId="204" fontId="24" fillId="25" borderId="39" xfId="11024" applyFont="1" applyFill="1" applyBorder="1" applyAlignment="1">
      <alignment horizontal="left" indent="1"/>
    </xf>
    <xf numFmtId="166" fontId="24" fillId="25" borderId="37" xfId="11025" applyNumberFormat="1" applyFont="1" applyFill="1" applyBorder="1" applyAlignment="1" applyProtection="1">
      <alignment horizontal="right"/>
    </xf>
    <xf numFmtId="204" fontId="213" fillId="0" borderId="0" xfId="11024" applyFont="1"/>
    <xf numFmtId="263" fontId="24" fillId="0" borderId="0" xfId="11024" applyNumberFormat="1" applyFont="1" applyAlignment="1">
      <alignment horizontal="right"/>
    </xf>
    <xf numFmtId="43" fontId="0" fillId="0" borderId="0" xfId="95" applyFont="1" applyBorder="1"/>
    <xf numFmtId="43" fontId="0" fillId="0" borderId="31" xfId="95" applyFont="1" applyBorder="1"/>
    <xf numFmtId="0" fontId="10" fillId="0" borderId="38" xfId="0" applyFont="1" applyBorder="1"/>
    <xf numFmtId="0" fontId="0" fillId="0" borderId="73" xfId="0" applyBorder="1"/>
    <xf numFmtId="167" fontId="0" fillId="0" borderId="73" xfId="95" applyNumberFormat="1" applyFont="1" applyBorder="1"/>
    <xf numFmtId="167" fontId="0" fillId="0" borderId="38" xfId="95" applyNumberFormat="1" applyFont="1" applyBorder="1"/>
    <xf numFmtId="167" fontId="0" fillId="0" borderId="72" xfId="95" applyNumberFormat="1" applyFont="1" applyBorder="1"/>
    <xf numFmtId="167" fontId="0" fillId="0" borderId="74" xfId="95" applyNumberFormat="1" applyFont="1" applyBorder="1"/>
    <xf numFmtId="0" fontId="0" fillId="0" borderId="77" xfId="0" applyBorder="1"/>
    <xf numFmtId="167" fontId="0" fillId="0" borderId="77" xfId="95" applyNumberFormat="1" applyFont="1" applyBorder="1"/>
    <xf numFmtId="167" fontId="0" fillId="0" borderId="76" xfId="95" applyNumberFormat="1" applyFont="1" applyBorder="1"/>
    <xf numFmtId="43" fontId="0" fillId="0" borderId="29" xfId="95" applyFont="1" applyBorder="1"/>
    <xf numFmtId="0" fontId="0" fillId="0" borderId="78" xfId="0" applyBorder="1"/>
    <xf numFmtId="0" fontId="10" fillId="0" borderId="78" xfId="0" applyFont="1" applyBorder="1"/>
    <xf numFmtId="0" fontId="10" fillId="0" borderId="35" xfId="0" applyFont="1" applyBorder="1"/>
    <xf numFmtId="0" fontId="6" fillId="0" borderId="36" xfId="0" applyFont="1" applyBorder="1"/>
    <xf numFmtId="167" fontId="6" fillId="0" borderId="31" xfId="95" applyNumberFormat="1" applyFont="1" applyBorder="1"/>
    <xf numFmtId="167" fontId="6" fillId="0" borderId="35" xfId="95" applyNumberFormat="1" applyFont="1" applyBorder="1"/>
    <xf numFmtId="167" fontId="6" fillId="0" borderId="25" xfId="95" applyNumberFormat="1" applyFont="1" applyBorder="1"/>
    <xf numFmtId="167" fontId="6" fillId="0" borderId="29" xfId="95" applyNumberFormat="1" applyFont="1" applyBorder="1"/>
    <xf numFmtId="0" fontId="0" fillId="0" borderId="76" xfId="0" applyBorder="1"/>
    <xf numFmtId="167" fontId="0" fillId="0" borderId="79" xfId="95" applyNumberFormat="1" applyFont="1" applyBorder="1"/>
    <xf numFmtId="164" fontId="6" fillId="0" borderId="0" xfId="0" applyNumberFormat="1" applyFont="1"/>
    <xf numFmtId="167" fontId="6" fillId="0" borderId="0" xfId="0" applyNumberFormat="1" applyFont="1"/>
    <xf numFmtId="167" fontId="6" fillId="0" borderId="8" xfId="95" applyNumberFormat="1" applyFont="1" applyFill="1" applyBorder="1"/>
    <xf numFmtId="164" fontId="9" fillId="0" borderId="25" xfId="329" applyNumberFormat="1" applyFont="1" applyBorder="1"/>
    <xf numFmtId="188" fontId="0" fillId="0" borderId="76" xfId="132" applyNumberFormat="1" applyFont="1" applyBorder="1" applyAlignment="1">
      <alignment horizontal="center"/>
    </xf>
    <xf numFmtId="9" fontId="0" fillId="0" borderId="0" xfId="329" applyFont="1" applyBorder="1" applyAlignment="1">
      <alignment horizontal="center"/>
    </xf>
    <xf numFmtId="188" fontId="0" fillId="0" borderId="75" xfId="132" applyNumberFormat="1" applyFont="1" applyBorder="1" applyAlignment="1">
      <alignment horizontal="center"/>
    </xf>
    <xf numFmtId="164" fontId="0" fillId="0" borderId="25" xfId="329" applyNumberFormat="1" applyFont="1" applyBorder="1"/>
    <xf numFmtId="167" fontId="6" fillId="0" borderId="0" xfId="95" applyNumberFormat="1" applyFont="1" applyFill="1" applyBorder="1"/>
    <xf numFmtId="0" fontId="95" fillId="49" borderId="76" xfId="0" applyFont="1" applyFill="1" applyBorder="1" applyAlignment="1">
      <alignment horizontal="center"/>
    </xf>
    <xf numFmtId="0" fontId="95" fillId="49" borderId="75" xfId="0" applyFont="1" applyFill="1" applyBorder="1" applyAlignment="1">
      <alignment horizontal="center"/>
    </xf>
    <xf numFmtId="0" fontId="95" fillId="49" borderId="78" xfId="0" applyFont="1" applyFill="1" applyBorder="1" applyAlignment="1">
      <alignment horizontal="center"/>
    </xf>
    <xf numFmtId="0" fontId="6" fillId="0" borderId="0" xfId="0" applyFont="1" applyAlignment="1">
      <alignment horizontal="left"/>
    </xf>
    <xf numFmtId="0" fontId="9" fillId="0" borderId="0" xfId="0" applyFont="1" applyAlignment="1">
      <alignment horizontal="left"/>
    </xf>
    <xf numFmtId="167" fontId="6" fillId="0" borderId="22" xfId="95" applyNumberFormat="1" applyFont="1" applyBorder="1"/>
    <xf numFmtId="37" fontId="6" fillId="0" borderId="0" xfId="0" applyNumberFormat="1" applyFont="1" applyAlignment="1">
      <alignment horizontal="left"/>
    </xf>
    <xf numFmtId="167" fontId="0" fillId="0" borderId="71" xfId="95" applyNumberFormat="1" applyFont="1" applyBorder="1"/>
    <xf numFmtId="0" fontId="6" fillId="0" borderId="35" xfId="0" applyFont="1" applyBorder="1"/>
    <xf numFmtId="10" fontId="6" fillId="0" borderId="0" xfId="0" applyNumberFormat="1" applyFont="1"/>
    <xf numFmtId="167" fontId="9" fillId="0" borderId="0" xfId="95" applyNumberFormat="1" applyFont="1"/>
    <xf numFmtId="0" fontId="6" fillId="0" borderId="31" xfId="0" applyFont="1" applyBorder="1"/>
    <xf numFmtId="10" fontId="0" fillId="0" borderId="31" xfId="0" applyNumberFormat="1" applyBorder="1"/>
    <xf numFmtId="10" fontId="0" fillId="0" borderId="31" xfId="329" applyNumberFormat="1" applyFont="1" applyBorder="1"/>
    <xf numFmtId="9" fontId="10" fillId="0" borderId="25" xfId="329" applyFont="1" applyBorder="1"/>
    <xf numFmtId="167" fontId="31" fillId="0" borderId="25" xfId="95" applyNumberFormat="1" applyFont="1" applyBorder="1"/>
    <xf numFmtId="167" fontId="31" fillId="0" borderId="0" xfId="95" applyNumberFormat="1" applyFont="1" applyBorder="1"/>
    <xf numFmtId="167" fontId="31" fillId="0" borderId="35" xfId="95" applyNumberFormat="1" applyFont="1" applyBorder="1"/>
    <xf numFmtId="167" fontId="31" fillId="0" borderId="31" xfId="95" applyNumberFormat="1" applyFont="1" applyBorder="1"/>
    <xf numFmtId="164" fontId="31" fillId="0" borderId="25" xfId="329" applyNumberFormat="1" applyFont="1" applyBorder="1"/>
    <xf numFmtId="164" fontId="31" fillId="0" borderId="31" xfId="329" applyNumberFormat="1" applyFont="1" applyBorder="1"/>
    <xf numFmtId="167" fontId="10" fillId="48" borderId="0" xfId="95" applyNumberFormat="1" applyFont="1" applyFill="1" applyBorder="1"/>
    <xf numFmtId="0" fontId="0" fillId="48" borderId="25" xfId="0" applyFill="1" applyBorder="1"/>
    <xf numFmtId="0" fontId="0" fillId="48" borderId="0" xfId="0" applyFill="1"/>
    <xf numFmtId="0" fontId="0" fillId="48" borderId="31" xfId="0" applyFill="1" applyBorder="1"/>
    <xf numFmtId="0" fontId="10" fillId="48" borderId="0" xfId="0" applyFont="1" applyFill="1"/>
    <xf numFmtId="43" fontId="0" fillId="48" borderId="31" xfId="95" applyFont="1" applyFill="1" applyBorder="1"/>
    <xf numFmtId="43" fontId="10" fillId="48" borderId="0" xfId="95" applyFont="1" applyFill="1" applyBorder="1"/>
    <xf numFmtId="43" fontId="0" fillId="48" borderId="0" xfId="95" applyFont="1" applyFill="1" applyBorder="1"/>
    <xf numFmtId="167" fontId="0" fillId="48" borderId="0" xfId="95" applyNumberFormat="1" applyFont="1" applyFill="1"/>
    <xf numFmtId="10" fontId="0" fillId="0" borderId="0" xfId="329" applyNumberFormat="1" applyFont="1" applyFill="1" applyBorder="1"/>
    <xf numFmtId="167" fontId="10" fillId="0" borderId="0" xfId="95" applyNumberFormat="1" applyFont="1"/>
    <xf numFmtId="167" fontId="8" fillId="0" borderId="0" xfId="95" applyNumberFormat="1" applyFont="1"/>
    <xf numFmtId="164" fontId="0" fillId="48" borderId="0" xfId="329" applyNumberFormat="1" applyFont="1" applyFill="1"/>
    <xf numFmtId="166" fontId="0" fillId="0" borderId="0" xfId="0" applyNumberFormat="1"/>
    <xf numFmtId="164" fontId="9" fillId="0" borderId="37" xfId="329" applyNumberFormat="1" applyFont="1" applyBorder="1"/>
    <xf numFmtId="164" fontId="93" fillId="0" borderId="0" xfId="0" applyNumberFormat="1" applyFont="1"/>
    <xf numFmtId="166" fontId="0" fillId="0" borderId="0" xfId="95" applyNumberFormat="1" applyFont="1" applyBorder="1"/>
    <xf numFmtId="0" fontId="214" fillId="34" borderId="0" xfId="0" applyFont="1" applyFill="1"/>
    <xf numFmtId="0" fontId="129" fillId="34" borderId="55" xfId="0" applyFont="1" applyFill="1" applyBorder="1" applyAlignment="1">
      <alignment horizontal="center"/>
    </xf>
    <xf numFmtId="0" fontId="129" fillId="34" borderId="80" xfId="0" applyFont="1" applyFill="1" applyBorder="1" applyAlignment="1">
      <alignment horizontal="center"/>
    </xf>
    <xf numFmtId="167" fontId="214" fillId="0" borderId="0" xfId="0" applyNumberFormat="1" applyFont="1"/>
    <xf numFmtId="167" fontId="214" fillId="0" borderId="31" xfId="0" applyNumberFormat="1" applyFont="1" applyBorder="1"/>
    <xf numFmtId="167" fontId="214" fillId="0" borderId="31" xfId="106" applyNumberFormat="1" applyFont="1" applyBorder="1"/>
    <xf numFmtId="167" fontId="215" fillId="0" borderId="55" xfId="106" applyNumberFormat="1" applyFont="1" applyBorder="1"/>
    <xf numFmtId="167" fontId="215" fillId="0" borderId="80" xfId="106" applyNumberFormat="1" applyFont="1" applyBorder="1"/>
    <xf numFmtId="164" fontId="9" fillId="0" borderId="0" xfId="106" applyNumberFormat="1" applyFont="1" applyBorder="1"/>
    <xf numFmtId="187" fontId="9" fillId="0" borderId="31" xfId="334" applyNumberFormat="1" applyFont="1" applyBorder="1"/>
    <xf numFmtId="164" fontId="9" fillId="0" borderId="22" xfId="334" applyNumberFormat="1" applyFont="1" applyBorder="1"/>
    <xf numFmtId="164" fontId="9" fillId="0" borderId="22" xfId="106" applyNumberFormat="1" applyFont="1" applyBorder="1"/>
    <xf numFmtId="167" fontId="31" fillId="0" borderId="33" xfId="106" applyNumberFormat="1" applyFont="1" applyBorder="1"/>
    <xf numFmtId="167" fontId="215" fillId="0" borderId="81" xfId="0" applyNumberFormat="1" applyFont="1" applyBorder="1"/>
    <xf numFmtId="167" fontId="215" fillId="0" borderId="55" xfId="0" applyNumberFormat="1" applyFont="1" applyBorder="1"/>
    <xf numFmtId="167" fontId="215" fillId="0" borderId="82" xfId="0" applyNumberFormat="1" applyFont="1" applyBorder="1"/>
    <xf numFmtId="167" fontId="31" fillId="0" borderId="0" xfId="106" applyNumberFormat="1" applyFont="1" applyBorder="1"/>
    <xf numFmtId="164" fontId="9" fillId="0" borderId="75" xfId="106" applyNumberFormat="1" applyFont="1" applyBorder="1"/>
    <xf numFmtId="164" fontId="9" fillId="0" borderId="76" xfId="106" applyNumberFormat="1" applyFont="1" applyBorder="1"/>
    <xf numFmtId="164" fontId="9" fillId="0" borderId="78" xfId="106" applyNumberFormat="1" applyFont="1" applyBorder="1"/>
    <xf numFmtId="167" fontId="31" fillId="0" borderId="35" xfId="106" applyNumberFormat="1" applyFont="1" applyBorder="1"/>
    <xf numFmtId="164" fontId="9" fillId="0" borderId="29" xfId="334" applyNumberFormat="1" applyFont="1" applyBorder="1"/>
    <xf numFmtId="164" fontId="9" fillId="0" borderId="36" xfId="106" applyNumberFormat="1" applyFont="1" applyBorder="1"/>
    <xf numFmtId="167" fontId="31" fillId="0" borderId="22" xfId="106" applyNumberFormat="1" applyFont="1" applyBorder="1"/>
    <xf numFmtId="167" fontId="31" fillId="0" borderId="36" xfId="106" applyNumberFormat="1" applyFont="1" applyBorder="1"/>
    <xf numFmtId="43" fontId="214" fillId="0" borderId="0" xfId="95" applyFont="1" applyBorder="1"/>
    <xf numFmtId="0" fontId="53" fillId="34" borderId="77" xfId="0" applyFont="1" applyFill="1" applyBorder="1" applyAlignment="1">
      <alignment horizontal="right"/>
    </xf>
    <xf numFmtId="0" fontId="53" fillId="34" borderId="31" xfId="0" applyFont="1" applyFill="1" applyBorder="1" applyAlignment="1">
      <alignment horizontal="right"/>
    </xf>
    <xf numFmtId="0" fontId="129" fillId="34" borderId="31" xfId="0" applyFont="1" applyFill="1" applyBorder="1" applyAlignment="1">
      <alignment horizontal="right"/>
    </xf>
    <xf numFmtId="0" fontId="31" fillId="34" borderId="31" xfId="0" applyFont="1" applyFill="1" applyBorder="1" applyAlignment="1">
      <alignment horizontal="right"/>
    </xf>
    <xf numFmtId="0" fontId="31" fillId="34" borderId="33" xfId="0" applyFont="1" applyFill="1" applyBorder="1" applyAlignment="1">
      <alignment horizontal="right"/>
    </xf>
    <xf numFmtId="167" fontId="215" fillId="0" borderId="77" xfId="0" applyNumberFormat="1" applyFont="1" applyBorder="1" applyAlignment="1">
      <alignment horizontal="right"/>
    </xf>
    <xf numFmtId="167" fontId="91" fillId="0" borderId="8" xfId="95" applyNumberFormat="1" applyFont="1" applyBorder="1"/>
    <xf numFmtId="167" fontId="91" fillId="48" borderId="0" xfId="95" applyNumberFormat="1" applyFont="1" applyFill="1" applyBorder="1"/>
    <xf numFmtId="9" fontId="0" fillId="0" borderId="0" xfId="0" applyNumberFormat="1"/>
    <xf numFmtId="164" fontId="91" fillId="0" borderId="0" xfId="0" applyNumberFormat="1" applyFont="1"/>
    <xf numFmtId="166" fontId="91" fillId="0" borderId="0" xfId="95" applyNumberFormat="1" applyFont="1" applyBorder="1"/>
    <xf numFmtId="164" fontId="93" fillId="0" borderId="0" xfId="329" applyNumberFormat="1" applyFont="1" applyFill="1" applyBorder="1"/>
    <xf numFmtId="167" fontId="91" fillId="0" borderId="0" xfId="0" applyNumberFormat="1" applyFont="1"/>
    <xf numFmtId="167" fontId="91" fillId="0" borderId="8" xfId="95" applyNumberFormat="1" applyFont="1" applyFill="1" applyBorder="1"/>
    <xf numFmtId="0" fontId="0" fillId="0" borderId="75" xfId="0" applyBorder="1"/>
    <xf numFmtId="0" fontId="31" fillId="0" borderId="35" xfId="0" applyFont="1" applyBorder="1"/>
    <xf numFmtId="0" fontId="0" fillId="0" borderId="0" xfId="0" applyAlignment="1">
      <alignment horizontal="left" vertical="top"/>
    </xf>
    <xf numFmtId="188" fontId="0" fillId="0" borderId="78" xfId="0" applyNumberFormat="1" applyBorder="1"/>
    <xf numFmtId="9" fontId="0" fillId="0" borderId="35" xfId="0" applyNumberFormat="1" applyBorder="1"/>
    <xf numFmtId="9" fontId="53" fillId="0" borderId="0" xfId="0" applyNumberFormat="1" applyFont="1"/>
    <xf numFmtId="188" fontId="0" fillId="0" borderId="78" xfId="132" applyNumberFormat="1" applyFont="1" applyBorder="1" applyAlignment="1">
      <alignment horizontal="center"/>
    </xf>
    <xf numFmtId="0" fontId="53" fillId="0" borderId="31" xfId="0" applyFont="1" applyBorder="1"/>
    <xf numFmtId="0" fontId="0" fillId="0" borderId="57" xfId="0" applyBorder="1"/>
    <xf numFmtId="44" fontId="91" fillId="0" borderId="0" xfId="132" applyFont="1" applyBorder="1"/>
    <xf numFmtId="164" fontId="93" fillId="0" borderId="22" xfId="329" applyNumberFormat="1" applyFont="1" applyBorder="1"/>
    <xf numFmtId="0" fontId="91" fillId="0" borderId="28" xfId="0" applyFont="1" applyBorder="1"/>
    <xf numFmtId="167" fontId="91" fillId="0" borderId="22" xfId="95" applyNumberFormat="1" applyFont="1" applyBorder="1"/>
    <xf numFmtId="0" fontId="95" fillId="65" borderId="7" xfId="0" applyFont="1" applyFill="1" applyBorder="1" applyAlignment="1">
      <alignment horizontal="center"/>
    </xf>
    <xf numFmtId="0" fontId="95" fillId="65" borderId="80" xfId="0" applyFont="1" applyFill="1" applyBorder="1" applyAlignment="1">
      <alignment horizontal="center"/>
    </xf>
    <xf numFmtId="174" fontId="9" fillId="0" borderId="0" xfId="132" applyNumberFormat="1" applyFont="1" applyFill="1" applyBorder="1"/>
    <xf numFmtId="164" fontId="9" fillId="0" borderId="0" xfId="329" applyNumberFormat="1" applyFont="1" applyFill="1" applyBorder="1" applyProtection="1"/>
    <xf numFmtId="0" fontId="6" fillId="34" borderId="37" xfId="0" applyFont="1" applyFill="1" applyBorder="1"/>
    <xf numFmtId="0" fontId="6" fillId="34" borderId="0" xfId="0" applyFont="1" applyFill="1"/>
    <xf numFmtId="0" fontId="7" fillId="34" borderId="0" xfId="0" applyFont="1" applyFill="1"/>
    <xf numFmtId="164" fontId="9" fillId="66" borderId="46" xfId="95" applyNumberFormat="1" applyFont="1" applyFill="1" applyBorder="1" applyAlignment="1" applyProtection="1">
      <alignment horizontal="center"/>
    </xf>
    <xf numFmtId="0" fontId="7" fillId="0" borderId="47" xfId="132" applyNumberFormat="1" applyFont="1" applyFill="1" applyBorder="1" applyAlignment="1">
      <alignment horizontal="left"/>
    </xf>
    <xf numFmtId="164" fontId="12" fillId="66" borderId="69" xfId="95" applyNumberFormat="1" applyFont="1" applyFill="1" applyBorder="1" applyAlignment="1">
      <alignment horizontal="center"/>
    </xf>
    <xf numFmtId="164" fontId="12" fillId="66" borderId="46" xfId="95" applyNumberFormat="1" applyFont="1" applyFill="1" applyBorder="1" applyAlignment="1">
      <alignment horizontal="center"/>
    </xf>
    <xf numFmtId="0" fontId="6" fillId="0" borderId="47" xfId="132" applyNumberFormat="1" applyFont="1" applyFill="1" applyBorder="1" applyAlignment="1">
      <alignment horizontal="left"/>
    </xf>
    <xf numFmtId="174" fontId="6" fillId="0" borderId="0" xfId="132" applyNumberFormat="1" applyFont="1" applyFill="1" applyBorder="1"/>
    <xf numFmtId="167" fontId="6" fillId="0" borderId="0" xfId="95" applyNumberFormat="1" applyFont="1" applyFill="1" applyBorder="1" applyProtection="1"/>
    <xf numFmtId="164" fontId="12" fillId="66" borderId="46" xfId="95" applyNumberFormat="1" applyFont="1" applyFill="1" applyBorder="1" applyAlignment="1" applyProtection="1">
      <alignment horizontal="center"/>
    </xf>
    <xf numFmtId="174" fontId="7" fillId="0" borderId="8" xfId="132" applyNumberFormat="1" applyFont="1" applyFill="1" applyBorder="1"/>
    <xf numFmtId="167" fontId="6" fillId="0" borderId="8" xfId="95" applyNumberFormat="1" applyFont="1" applyFill="1" applyBorder="1" applyProtection="1"/>
    <xf numFmtId="164" fontId="12" fillId="66" borderId="6" xfId="95" applyNumberFormat="1" applyFont="1" applyFill="1" applyBorder="1" applyAlignment="1" applyProtection="1">
      <alignment horizontal="center"/>
    </xf>
    <xf numFmtId="0" fontId="20" fillId="0" borderId="47" xfId="132" applyNumberFormat="1" applyFont="1" applyFill="1" applyBorder="1" applyAlignment="1">
      <alignment horizontal="left"/>
    </xf>
    <xf numFmtId="174" fontId="6" fillId="0" borderId="47" xfId="132" applyNumberFormat="1" applyFont="1" applyFill="1" applyBorder="1"/>
    <xf numFmtId="10" fontId="6" fillId="0" borderId="0" xfId="329" applyNumberFormat="1" applyFont="1" applyFill="1" applyBorder="1" applyProtection="1"/>
    <xf numFmtId="38" fontId="6" fillId="0" borderId="0" xfId="0" applyNumberFormat="1" applyFont="1"/>
    <xf numFmtId="10" fontId="6" fillId="0" borderId="0" xfId="329" applyNumberFormat="1" applyFont="1" applyFill="1" applyBorder="1"/>
    <xf numFmtId="164" fontId="12" fillId="66" borderId="46" xfId="0" applyNumberFormat="1" applyFont="1" applyFill="1" applyBorder="1" applyAlignment="1">
      <alignment horizontal="center"/>
    </xf>
    <xf numFmtId="37" fontId="6" fillId="0" borderId="0" xfId="0" applyNumberFormat="1" applyFont="1"/>
    <xf numFmtId="167" fontId="6" fillId="0" borderId="0" xfId="0" applyNumberFormat="1" applyFont="1" applyAlignment="1">
      <alignment horizontal="left" indent="1"/>
    </xf>
    <xf numFmtId="0" fontId="6" fillId="0" borderId="39" xfId="132" applyNumberFormat="1" applyFont="1" applyFill="1" applyBorder="1" applyAlignment="1">
      <alignment horizontal="left"/>
    </xf>
    <xf numFmtId="167" fontId="6" fillId="0" borderId="37" xfId="95" applyNumberFormat="1" applyFont="1" applyFill="1" applyBorder="1"/>
    <xf numFmtId="164" fontId="12" fillId="66" borderId="40" xfId="318" applyNumberFormat="1" applyFont="1" applyFill="1" applyBorder="1" applyAlignment="1">
      <alignment horizontal="center"/>
    </xf>
    <xf numFmtId="0" fontId="6" fillId="0" borderId="47" xfId="0" applyFont="1" applyBorder="1"/>
    <xf numFmtId="164" fontId="6" fillId="0" borderId="0" xfId="329" applyNumberFormat="1" applyFont="1" applyFill="1" applyBorder="1"/>
    <xf numFmtId="164" fontId="12" fillId="66" borderId="46" xfId="329" applyNumberFormat="1" applyFont="1" applyFill="1" applyBorder="1" applyAlignment="1">
      <alignment horizontal="center"/>
    </xf>
    <xf numFmtId="38" fontId="7" fillId="0" borderId="47" xfId="95" applyNumberFormat="1" applyFont="1" applyFill="1" applyBorder="1" applyAlignment="1">
      <alignment horizontal="left"/>
    </xf>
    <xf numFmtId="167" fontId="7" fillId="0" borderId="0" xfId="0" applyNumberFormat="1" applyFont="1"/>
    <xf numFmtId="174" fontId="12" fillId="0" borderId="47" xfId="132" applyNumberFormat="1" applyFont="1" applyFill="1" applyBorder="1"/>
    <xf numFmtId="174" fontId="7" fillId="0" borderId="0" xfId="132" applyNumberFormat="1" applyFont="1" applyFill="1" applyBorder="1"/>
    <xf numFmtId="166" fontId="7" fillId="0" borderId="0" xfId="95" applyNumberFormat="1" applyFont="1" applyFill="1" applyBorder="1"/>
    <xf numFmtId="164" fontId="217" fillId="66" borderId="46" xfId="95" applyNumberFormat="1" applyFont="1" applyFill="1" applyBorder="1" applyAlignment="1">
      <alignment horizontal="center"/>
    </xf>
    <xf numFmtId="167" fontId="6" fillId="0" borderId="37" xfId="95" applyNumberFormat="1" applyFont="1" applyBorder="1"/>
    <xf numFmtId="164" fontId="12" fillId="66" borderId="40" xfId="95" applyNumberFormat="1" applyFont="1" applyFill="1" applyBorder="1" applyAlignment="1">
      <alignment horizontal="center"/>
    </xf>
    <xf numFmtId="0" fontId="7" fillId="0" borderId="47" xfId="0" applyFont="1" applyBorder="1" applyAlignment="1">
      <alignment horizontal="left"/>
    </xf>
    <xf numFmtId="174" fontId="6" fillId="0" borderId="39" xfId="132" applyNumberFormat="1" applyFont="1" applyFill="1" applyBorder="1"/>
    <xf numFmtId="174" fontId="6" fillId="0" borderId="37" xfId="132" applyNumberFormat="1" applyFont="1" applyFill="1" applyBorder="1"/>
    <xf numFmtId="0" fontId="7" fillId="0" borderId="70" xfId="132" applyNumberFormat="1" applyFont="1" applyFill="1" applyBorder="1" applyAlignment="1">
      <alignment horizontal="left"/>
    </xf>
    <xf numFmtId="175" fontId="6" fillId="0" borderId="71" xfId="132" applyNumberFormat="1" applyFont="1" applyFill="1" applyBorder="1"/>
    <xf numFmtId="164" fontId="12" fillId="66" borderId="69" xfId="318" applyNumberFormat="1" applyFont="1" applyFill="1" applyBorder="1" applyAlignment="1">
      <alignment horizontal="center"/>
    </xf>
    <xf numFmtId="164" fontId="12" fillId="66" borderId="40" xfId="329" applyNumberFormat="1" applyFont="1" applyFill="1" applyBorder="1" applyAlignment="1">
      <alignment horizontal="center"/>
    </xf>
    <xf numFmtId="164" fontId="9" fillId="66" borderId="46" xfId="329" applyNumberFormat="1" applyFont="1" applyFill="1" applyBorder="1" applyAlignment="1">
      <alignment horizontal="center"/>
    </xf>
    <xf numFmtId="0" fontId="95" fillId="65" borderId="55" xfId="0" applyFont="1" applyFill="1" applyBorder="1" applyAlignment="1">
      <alignment horizontal="center"/>
    </xf>
    <xf numFmtId="0" fontId="14" fillId="0" borderId="0" xfId="0" applyFont="1" applyAlignment="1">
      <alignment horizontal="left"/>
    </xf>
    <xf numFmtId="0" fontId="53" fillId="0" borderId="0" xfId="318" applyFont="1"/>
    <xf numFmtId="0" fontId="95" fillId="65" borderId="82" xfId="0" applyFont="1" applyFill="1" applyBorder="1" applyAlignment="1">
      <alignment horizontal="center"/>
    </xf>
    <xf numFmtId="0" fontId="95" fillId="65" borderId="81" xfId="0" applyFont="1" applyFill="1" applyBorder="1" applyAlignment="1">
      <alignment horizontal="center"/>
    </xf>
    <xf numFmtId="0" fontId="129" fillId="34" borderId="0" xfId="0" applyFont="1" applyFill="1" applyAlignment="1">
      <alignment horizontal="center"/>
    </xf>
    <xf numFmtId="167" fontId="214" fillId="0" borderId="0" xfId="106" applyNumberFormat="1" applyFont="1" applyBorder="1"/>
    <xf numFmtId="167" fontId="215" fillId="0" borderId="0" xfId="106" applyNumberFormat="1" applyFont="1" applyBorder="1"/>
    <xf numFmtId="187" fontId="9" fillId="0" borderId="0" xfId="334" applyNumberFormat="1" applyFont="1" applyBorder="1"/>
    <xf numFmtId="167" fontId="215" fillId="0" borderId="0" xfId="0" applyNumberFormat="1" applyFont="1"/>
    <xf numFmtId="167" fontId="218" fillId="0" borderId="0" xfId="95" applyNumberFormat="1" applyFont="1" applyBorder="1"/>
    <xf numFmtId="9" fontId="9" fillId="0" borderId="0" xfId="329" applyFont="1" applyFill="1" applyBorder="1"/>
    <xf numFmtId="167" fontId="0" fillId="0" borderId="85" xfId="95" applyNumberFormat="1" applyFont="1" applyBorder="1"/>
    <xf numFmtId="167" fontId="0" fillId="0" borderId="37" xfId="95" applyNumberFormat="1" applyFont="1" applyBorder="1"/>
    <xf numFmtId="0" fontId="6" fillId="0" borderId="0" xfId="0" applyFont="1" applyAlignment="1">
      <alignment horizontal="center"/>
    </xf>
    <xf numFmtId="164" fontId="219" fillId="0" borderId="0" xfId="329" applyNumberFormat="1" applyFont="1" applyBorder="1"/>
    <xf numFmtId="0" fontId="6" fillId="0" borderId="0" xfId="207" applyFont="1" applyAlignment="1">
      <alignment horizontal="left"/>
    </xf>
    <xf numFmtId="0" fontId="91" fillId="0" borderId="34" xfId="0" applyFont="1" applyBorder="1"/>
    <xf numFmtId="167" fontId="91" fillId="0" borderId="37" xfId="95" applyNumberFormat="1" applyFont="1" applyBorder="1"/>
    <xf numFmtId="167" fontId="91" fillId="0" borderId="74" xfId="95" applyNumberFormat="1" applyFont="1" applyBorder="1"/>
    <xf numFmtId="0" fontId="218" fillId="0" borderId="0" xfId="0" applyFont="1"/>
    <xf numFmtId="0" fontId="218" fillId="0" borderId="25" xfId="0" applyFont="1" applyBorder="1"/>
    <xf numFmtId="0" fontId="218" fillId="0" borderId="31" xfId="0" applyFont="1" applyBorder="1"/>
    <xf numFmtId="167" fontId="218" fillId="0" borderId="31" xfId="95" applyNumberFormat="1" applyFont="1" applyBorder="1"/>
    <xf numFmtId="167" fontId="218" fillId="0" borderId="31" xfId="0" applyNumberFormat="1" applyFont="1" applyBorder="1"/>
    <xf numFmtId="167" fontId="218" fillId="0" borderId="0" xfId="95" applyNumberFormat="1" applyFont="1" applyFill="1" applyBorder="1"/>
    <xf numFmtId="167" fontId="218" fillId="0" borderId="25" xfId="95" applyNumberFormat="1" applyFont="1" applyBorder="1"/>
    <xf numFmtId="167" fontId="218" fillId="0" borderId="35" xfId="95" applyNumberFormat="1" applyFont="1" applyBorder="1"/>
    <xf numFmtId="167" fontId="94" fillId="0" borderId="0" xfId="95" applyNumberFormat="1" applyFont="1" applyFill="1" applyBorder="1"/>
    <xf numFmtId="167" fontId="0" fillId="0" borderId="86" xfId="95" applyNumberFormat="1" applyFont="1" applyBorder="1"/>
    <xf numFmtId="167" fontId="0" fillId="0" borderId="75" xfId="95" applyNumberFormat="1" applyFont="1" applyBorder="1"/>
    <xf numFmtId="43" fontId="0" fillId="0" borderId="25" xfId="95" applyFont="1" applyBorder="1"/>
    <xf numFmtId="164" fontId="9" fillId="0" borderId="0" xfId="329" applyNumberFormat="1" applyFont="1" applyFill="1" applyBorder="1" applyAlignment="1">
      <alignment horizontal="center"/>
    </xf>
    <xf numFmtId="44" fontId="0" fillId="0" borderId="0" xfId="132" applyFont="1"/>
    <xf numFmtId="175" fontId="0" fillId="0" borderId="0" xfId="0" applyNumberFormat="1"/>
    <xf numFmtId="0" fontId="221" fillId="0" borderId="0" xfId="11029" applyFont="1"/>
    <xf numFmtId="0" fontId="221" fillId="48" borderId="0" xfId="11029" applyFont="1" applyFill="1"/>
    <xf numFmtId="0" fontId="221" fillId="48" borderId="0" xfId="11029" applyFont="1" applyFill="1" applyAlignment="1">
      <alignment horizontal="right"/>
    </xf>
    <xf numFmtId="265" fontId="221" fillId="48" borderId="0" xfId="11029" applyNumberFormat="1" applyFont="1" applyFill="1" applyAlignment="1">
      <alignment horizontal="right"/>
    </xf>
    <xf numFmtId="5" fontId="221" fillId="48" borderId="0" xfId="11029" applyNumberFormat="1" applyFont="1" applyFill="1"/>
    <xf numFmtId="7" fontId="222" fillId="67" borderId="87" xfId="11029" applyNumberFormat="1" applyFont="1" applyFill="1" applyBorder="1"/>
    <xf numFmtId="5" fontId="222" fillId="67" borderId="88" xfId="11029" applyNumberFormat="1" applyFont="1" applyFill="1" applyBorder="1"/>
    <xf numFmtId="0" fontId="222" fillId="67" borderId="89" xfId="11029" applyFont="1" applyFill="1" applyBorder="1"/>
    <xf numFmtId="5" fontId="221" fillId="48" borderId="46" xfId="11029" applyNumberFormat="1" applyFont="1" applyFill="1" applyBorder="1" applyAlignment="1">
      <alignment vertical="top"/>
    </xf>
    <xf numFmtId="5" fontId="221" fillId="48" borderId="0" xfId="11029" applyNumberFormat="1" applyFont="1" applyFill="1" applyAlignment="1">
      <alignment vertical="top"/>
    </xf>
    <xf numFmtId="0" fontId="221" fillId="48" borderId="47" xfId="11029" applyFont="1" applyFill="1" applyBorder="1" applyAlignment="1">
      <alignment vertical="top"/>
    </xf>
    <xf numFmtId="5" fontId="221" fillId="48" borderId="40" xfId="11029" applyNumberFormat="1" applyFont="1" applyFill="1" applyBorder="1"/>
    <xf numFmtId="0" fontId="221" fillId="48" borderId="39" xfId="11029" applyFont="1" applyFill="1" applyBorder="1"/>
    <xf numFmtId="5" fontId="221" fillId="48" borderId="46" xfId="11029" applyNumberFormat="1" applyFont="1" applyFill="1" applyBorder="1"/>
    <xf numFmtId="0" fontId="221" fillId="48" borderId="47" xfId="11029" applyFont="1" applyFill="1" applyBorder="1"/>
    <xf numFmtId="181" fontId="223" fillId="68" borderId="46" xfId="11029" applyNumberFormat="1" applyFont="1" applyFill="1" applyBorder="1"/>
    <xf numFmtId="181" fontId="221" fillId="48" borderId="0" xfId="11029" applyNumberFormat="1" applyFont="1" applyFill="1"/>
    <xf numFmtId="181" fontId="224" fillId="48" borderId="46" xfId="11029" applyNumberFormat="1" applyFont="1" applyFill="1" applyBorder="1"/>
    <xf numFmtId="177" fontId="223" fillId="48" borderId="46" xfId="11029" applyNumberFormat="1" applyFont="1" applyFill="1" applyBorder="1"/>
    <xf numFmtId="177" fontId="224" fillId="48" borderId="0" xfId="11029" applyNumberFormat="1" applyFont="1" applyFill="1"/>
    <xf numFmtId="0" fontId="224" fillId="48" borderId="0" xfId="11029" applyFont="1" applyFill="1"/>
    <xf numFmtId="177" fontId="221" fillId="48" borderId="0" xfId="11029" applyNumberFormat="1" applyFont="1" applyFill="1"/>
    <xf numFmtId="177" fontId="224" fillId="48" borderId="46" xfId="11029" applyNumberFormat="1" applyFont="1" applyFill="1" applyBorder="1"/>
    <xf numFmtId="177" fontId="221" fillId="48" borderId="46" xfId="11029" applyNumberFormat="1" applyFont="1" applyFill="1" applyBorder="1"/>
    <xf numFmtId="0" fontId="222" fillId="67" borderId="46" xfId="11029" applyFont="1" applyFill="1" applyBorder="1"/>
    <xf numFmtId="0" fontId="222" fillId="67" borderId="0" xfId="11029" applyFont="1" applyFill="1"/>
    <xf numFmtId="0" fontId="222" fillId="67" borderId="47" xfId="11029" applyFont="1" applyFill="1" applyBorder="1"/>
    <xf numFmtId="0" fontId="221" fillId="65" borderId="6" xfId="11029" applyFont="1" applyFill="1" applyBorder="1"/>
    <xf numFmtId="0" fontId="96" fillId="65" borderId="83" xfId="11029" applyFont="1" applyFill="1" applyBorder="1"/>
    <xf numFmtId="0" fontId="221" fillId="0" borderId="0" xfId="11029" applyFont="1" applyAlignment="1">
      <alignment vertical="top"/>
    </xf>
    <xf numFmtId="0" fontId="221" fillId="48" borderId="0" xfId="11029" applyFont="1" applyFill="1" applyAlignment="1">
      <alignment vertical="top"/>
    </xf>
    <xf numFmtId="265" fontId="221" fillId="48" borderId="46" xfId="11029" applyNumberFormat="1" applyFont="1" applyFill="1" applyBorder="1" applyAlignment="1">
      <alignment horizontal="right" vertical="top"/>
    </xf>
    <xf numFmtId="265" fontId="221" fillId="48" borderId="0" xfId="11029" applyNumberFormat="1" applyFont="1" applyFill="1" applyAlignment="1">
      <alignment horizontal="right" vertical="top"/>
    </xf>
    <xf numFmtId="265" fontId="221" fillId="48" borderId="46" xfId="11029" applyNumberFormat="1" applyFont="1" applyFill="1" applyBorder="1" applyAlignment="1">
      <alignment horizontal="right"/>
    </xf>
    <xf numFmtId="265" fontId="224" fillId="48" borderId="40" xfId="11029" applyNumberFormat="1" applyFont="1" applyFill="1" applyBorder="1"/>
    <xf numFmtId="265" fontId="224" fillId="48" borderId="46" xfId="11029" applyNumberFormat="1" applyFont="1" applyFill="1" applyBorder="1"/>
    <xf numFmtId="265" fontId="225" fillId="48" borderId="46" xfId="11029" applyNumberFormat="1" applyFont="1" applyFill="1" applyBorder="1" applyAlignment="1">
      <alignment horizontal="right"/>
    </xf>
    <xf numFmtId="265" fontId="224" fillId="48" borderId="69" xfId="11029" applyNumberFormat="1" applyFont="1" applyFill="1" applyBorder="1"/>
    <xf numFmtId="0" fontId="221" fillId="48" borderId="90" xfId="11029" applyFont="1" applyFill="1" applyBorder="1"/>
    <xf numFmtId="0" fontId="221" fillId="48" borderId="46" xfId="11029" applyFont="1" applyFill="1" applyBorder="1" applyAlignment="1">
      <alignment vertical="top"/>
    </xf>
    <xf numFmtId="177" fontId="221" fillId="48" borderId="0" xfId="11029" applyNumberFormat="1" applyFont="1" applyFill="1" applyAlignment="1">
      <alignment vertical="top"/>
    </xf>
    <xf numFmtId="7" fontId="221" fillId="48" borderId="0" xfId="11029" applyNumberFormat="1" applyFont="1" applyFill="1" applyAlignment="1">
      <alignment horizontal="right" vertical="top"/>
    </xf>
    <xf numFmtId="0" fontId="221" fillId="48" borderId="0" xfId="11029" applyFont="1" applyFill="1" applyAlignment="1">
      <alignment horizontal="right" vertical="top"/>
    </xf>
    <xf numFmtId="7" fontId="221" fillId="48" borderId="0" xfId="11029" applyNumberFormat="1" applyFont="1" applyFill="1" applyAlignment="1">
      <alignment vertical="top"/>
    </xf>
    <xf numFmtId="0" fontId="221" fillId="48" borderId="46" xfId="11029" applyFont="1" applyFill="1" applyBorder="1"/>
    <xf numFmtId="164" fontId="221" fillId="48" borderId="40" xfId="11029" applyNumberFormat="1" applyFont="1" applyFill="1" applyBorder="1"/>
    <xf numFmtId="7" fontId="221" fillId="48" borderId="46" xfId="11029" applyNumberFormat="1" applyFont="1" applyFill="1" applyBorder="1"/>
    <xf numFmtId="265" fontId="226" fillId="48" borderId="46" xfId="11029" applyNumberFormat="1" applyFont="1" applyFill="1" applyBorder="1" applyAlignment="1">
      <alignment horizontal="right"/>
    </xf>
    <xf numFmtId="0" fontId="224" fillId="69" borderId="47" xfId="11029" applyFont="1" applyFill="1" applyBorder="1"/>
    <xf numFmtId="37" fontId="224" fillId="48" borderId="46" xfId="11029" applyNumberFormat="1" applyFont="1" applyFill="1" applyBorder="1"/>
    <xf numFmtId="0" fontId="222" fillId="67" borderId="46" xfId="11029" applyFont="1" applyFill="1" applyBorder="1" applyAlignment="1">
      <alignment horizontal="center"/>
    </xf>
    <xf numFmtId="266" fontId="222" fillId="67" borderId="0" xfId="11029" applyNumberFormat="1" applyFont="1" applyFill="1" applyAlignment="1">
      <alignment horizontal="center"/>
    </xf>
    <xf numFmtId="267" fontId="222" fillId="67" borderId="0" xfId="11029" applyNumberFormat="1" applyFont="1" applyFill="1" applyAlignment="1">
      <alignment horizontal="center"/>
    </xf>
    <xf numFmtId="7" fontId="226" fillId="48" borderId="46" xfId="11029" applyNumberFormat="1" applyFont="1" applyFill="1" applyBorder="1"/>
    <xf numFmtId="0" fontId="96" fillId="48" borderId="47" xfId="11029" applyFont="1" applyFill="1" applyBorder="1"/>
    <xf numFmtId="0" fontId="221" fillId="65" borderId="8" xfId="11029" applyFont="1" applyFill="1" applyBorder="1"/>
    <xf numFmtId="0" fontId="227" fillId="65" borderId="6" xfId="11029" applyFont="1" applyFill="1" applyBorder="1" applyAlignment="1">
      <alignment horizontal="right"/>
    </xf>
    <xf numFmtId="175" fontId="7" fillId="0" borderId="0" xfId="0" applyNumberFormat="1" applyFont="1"/>
    <xf numFmtId="175" fontId="0" fillId="0" borderId="0" xfId="132" applyNumberFormat="1" applyFont="1"/>
    <xf numFmtId="175" fontId="6" fillId="0" borderId="37" xfId="132" applyNumberFormat="1" applyFont="1" applyFill="1" applyBorder="1" applyAlignment="1">
      <alignment horizontal="right"/>
    </xf>
    <xf numFmtId="268" fontId="0" fillId="0" borderId="0" xfId="0" applyNumberFormat="1"/>
    <xf numFmtId="3" fontId="0" fillId="0" borderId="0" xfId="0" applyNumberFormat="1"/>
    <xf numFmtId="0" fontId="95" fillId="0" borderId="0" xfId="318" applyFont="1" applyAlignment="1">
      <alignment horizontal="center"/>
    </xf>
    <xf numFmtId="164" fontId="12" fillId="0" borderId="0" xfId="95" applyNumberFormat="1" applyFont="1" applyFill="1" applyBorder="1" applyAlignment="1">
      <alignment horizontal="center"/>
    </xf>
    <xf numFmtId="164" fontId="12" fillId="0" borderId="0" xfId="95" applyNumberFormat="1" applyFont="1" applyFill="1" applyBorder="1" applyAlignment="1" applyProtection="1">
      <alignment horizontal="center"/>
    </xf>
    <xf numFmtId="164" fontId="9" fillId="0" borderId="0" xfId="95" applyNumberFormat="1" applyFont="1" applyFill="1" applyBorder="1" applyAlignment="1" applyProtection="1">
      <alignment horizontal="center"/>
    </xf>
    <xf numFmtId="164" fontId="12" fillId="0" borderId="0" xfId="0" applyNumberFormat="1" applyFont="1" applyAlignment="1">
      <alignment horizontal="center"/>
    </xf>
    <xf numFmtId="164" fontId="12" fillId="0" borderId="0" xfId="318" applyNumberFormat="1" applyFont="1" applyAlignment="1">
      <alignment horizontal="center"/>
    </xf>
    <xf numFmtId="164" fontId="12" fillId="0" borderId="0" xfId="329" applyNumberFormat="1" applyFont="1" applyFill="1" applyBorder="1" applyAlignment="1">
      <alignment horizontal="center"/>
    </xf>
    <xf numFmtId="164" fontId="217" fillId="0" borderId="0" xfId="95" applyNumberFormat="1" applyFont="1" applyFill="1" applyBorder="1" applyAlignment="1">
      <alignment horizontal="center"/>
    </xf>
    <xf numFmtId="39" fontId="6" fillId="0" borderId="0" xfId="0" applyNumberFormat="1" applyFont="1"/>
    <xf numFmtId="0" fontId="95" fillId="70" borderId="41" xfId="0" applyFont="1" applyFill="1" applyBorder="1"/>
    <xf numFmtId="0" fontId="95" fillId="70" borderId="7" xfId="0" applyFont="1" applyFill="1" applyBorder="1"/>
    <xf numFmtId="0" fontId="95" fillId="70" borderId="30" xfId="0" applyFont="1" applyFill="1" applyBorder="1" applyAlignment="1">
      <alignment horizontal="center"/>
    </xf>
    <xf numFmtId="0" fontId="95" fillId="70" borderId="7" xfId="0" applyFont="1" applyFill="1" applyBorder="1" applyAlignment="1">
      <alignment horizontal="center"/>
    </xf>
    <xf numFmtId="0" fontId="95" fillId="70" borderId="80" xfId="0" applyFont="1" applyFill="1" applyBorder="1" applyAlignment="1">
      <alignment horizontal="center"/>
    </xf>
    <xf numFmtId="0" fontId="216" fillId="70" borderId="83" xfId="0" applyFont="1" applyFill="1" applyBorder="1"/>
    <xf numFmtId="0" fontId="95" fillId="70" borderId="8" xfId="318" applyFont="1" applyFill="1" applyBorder="1" applyAlignment="1">
      <alignment horizontal="left"/>
    </xf>
    <xf numFmtId="0" fontId="95" fillId="70" borderId="8" xfId="318" applyFont="1" applyFill="1" applyBorder="1" applyAlignment="1">
      <alignment horizontal="center"/>
    </xf>
    <xf numFmtId="0" fontId="95" fillId="70" borderId="6" xfId="318" applyFont="1" applyFill="1" applyBorder="1" applyAlignment="1">
      <alignment horizontal="center"/>
    </xf>
    <xf numFmtId="167" fontId="0" fillId="0" borderId="42" xfId="95" applyNumberFormat="1" applyFont="1" applyBorder="1"/>
    <xf numFmtId="0" fontId="95" fillId="70" borderId="43" xfId="0" applyFont="1" applyFill="1" applyBorder="1" applyAlignment="1">
      <alignment horizontal="center"/>
    </xf>
    <xf numFmtId="0" fontId="95" fillId="70" borderId="41" xfId="0" applyFont="1" applyFill="1" applyBorder="1" applyAlignment="1">
      <alignment horizontal="center"/>
    </xf>
    <xf numFmtId="0" fontId="95" fillId="70" borderId="30" xfId="0" applyFont="1" applyFill="1" applyBorder="1" applyAlignment="1">
      <alignment horizontal="left"/>
    </xf>
    <xf numFmtId="0" fontId="95" fillId="70" borderId="55" xfId="0" applyFont="1" applyFill="1" applyBorder="1" applyAlignment="1">
      <alignment horizontal="center"/>
    </xf>
    <xf numFmtId="0" fontId="20" fillId="0" borderId="31" xfId="0" applyFont="1" applyBorder="1"/>
    <xf numFmtId="167" fontId="20" fillId="0" borderId="25" xfId="95" applyNumberFormat="1" applyFont="1" applyBorder="1"/>
    <xf numFmtId="167" fontId="20" fillId="0" borderId="0" xfId="95" applyNumberFormat="1" applyFont="1" applyBorder="1"/>
    <xf numFmtId="167" fontId="20" fillId="0" borderId="31" xfId="95" applyNumberFormat="1" applyFont="1" applyBorder="1"/>
    <xf numFmtId="164" fontId="12" fillId="0" borderId="0" xfId="329" applyNumberFormat="1" applyFont="1" applyBorder="1"/>
    <xf numFmtId="164" fontId="12" fillId="0" borderId="31" xfId="329" applyNumberFormat="1" applyFont="1" applyBorder="1"/>
    <xf numFmtId="164" fontId="12" fillId="0" borderId="35" xfId="95" applyNumberFormat="1" applyFont="1" applyBorder="1"/>
    <xf numFmtId="164" fontId="12" fillId="0" borderId="31" xfId="95" applyNumberFormat="1" applyFont="1" applyBorder="1"/>
    <xf numFmtId="164" fontId="12" fillId="0" borderId="0" xfId="95" applyNumberFormat="1" applyFont="1" applyBorder="1"/>
    <xf numFmtId="0" fontId="0" fillId="0" borderId="0" xfId="0" applyAlignment="1">
      <alignment horizontal="center"/>
    </xf>
    <xf numFmtId="0" fontId="91" fillId="0" borderId="0" xfId="11030" applyFont="1" applyAlignment="1">
      <alignment wrapText="1"/>
    </xf>
    <xf numFmtId="0" fontId="1" fillId="0" borderId="0" xfId="11030" applyAlignment="1">
      <alignment wrapText="1"/>
    </xf>
    <xf numFmtId="0" fontId="229" fillId="0" borderId="0" xfId="11030" applyFont="1" applyAlignment="1">
      <alignment wrapText="1"/>
    </xf>
    <xf numFmtId="167" fontId="0" fillId="0" borderId="21" xfId="95" applyNumberFormat="1" applyFont="1" applyFill="1" applyBorder="1"/>
    <xf numFmtId="9" fontId="9" fillId="0" borderId="31" xfId="329" applyFont="1" applyFill="1" applyBorder="1"/>
    <xf numFmtId="164" fontId="220" fillId="0" borderId="0" xfId="329" applyNumberFormat="1" applyFont="1" applyFill="1" applyBorder="1"/>
    <xf numFmtId="164" fontId="17" fillId="0" borderId="0" xfId="0" applyNumberFormat="1" applyFont="1"/>
    <xf numFmtId="43" fontId="0" fillId="0" borderId="31" xfId="95" applyFont="1" applyFill="1" applyBorder="1"/>
    <xf numFmtId="10" fontId="0" fillId="0" borderId="31" xfId="329" applyNumberFormat="1" applyFont="1" applyFill="1" applyBorder="1"/>
    <xf numFmtId="166" fontId="91" fillId="0" borderId="0" xfId="95" applyNumberFormat="1" applyFont="1" applyFill="1" applyBorder="1"/>
    <xf numFmtId="166" fontId="0" fillId="0" borderId="0" xfId="95" applyNumberFormat="1" applyFont="1" applyFill="1" applyBorder="1"/>
    <xf numFmtId="44" fontId="0" fillId="0" borderId="0" xfId="132" applyFont="1" applyFill="1" applyBorder="1"/>
    <xf numFmtId="44" fontId="0" fillId="0" borderId="31" xfId="132" applyFont="1" applyFill="1" applyBorder="1"/>
    <xf numFmtId="164" fontId="9" fillId="0" borderId="22" xfId="329" applyNumberFormat="1" applyFont="1" applyFill="1" applyBorder="1"/>
    <xf numFmtId="164" fontId="9" fillId="0" borderId="33" xfId="329" applyNumberFormat="1" applyFont="1" applyFill="1" applyBorder="1"/>
    <xf numFmtId="167" fontId="0" fillId="0" borderId="22" xfId="95" applyNumberFormat="1" applyFont="1" applyFill="1" applyBorder="1"/>
    <xf numFmtId="167" fontId="0" fillId="0" borderId="33" xfId="95" applyNumberFormat="1" applyFont="1" applyFill="1" applyBorder="1"/>
    <xf numFmtId="167" fontId="0" fillId="0" borderId="85" xfId="95" applyNumberFormat="1" applyFont="1" applyFill="1" applyBorder="1"/>
    <xf numFmtId="167" fontId="0" fillId="0" borderId="37" xfId="95" applyNumberFormat="1" applyFont="1" applyFill="1" applyBorder="1"/>
    <xf numFmtId="167" fontId="0" fillId="0" borderId="91" xfId="95" applyNumberFormat="1" applyFont="1" applyFill="1" applyBorder="1"/>
    <xf numFmtId="167" fontId="0" fillId="0" borderId="42" xfId="95" applyNumberFormat="1" applyFont="1" applyFill="1" applyBorder="1"/>
    <xf numFmtId="167" fontId="0" fillId="0" borderId="35" xfId="95" applyNumberFormat="1" applyFont="1" applyFill="1" applyBorder="1"/>
    <xf numFmtId="167" fontId="0" fillId="0" borderId="76" xfId="95" applyNumberFormat="1" applyFont="1" applyFill="1" applyBorder="1"/>
    <xf numFmtId="167" fontId="0" fillId="0" borderId="77" xfId="95" applyNumberFormat="1" applyFont="1" applyFill="1" applyBorder="1"/>
    <xf numFmtId="43" fontId="0" fillId="0" borderId="0" xfId="95" applyFont="1" applyFill="1" applyBorder="1"/>
    <xf numFmtId="43" fontId="0" fillId="0" borderId="22" xfId="95" applyFont="1" applyFill="1" applyBorder="1"/>
    <xf numFmtId="9" fontId="94" fillId="0" borderId="0" xfId="329" applyFont="1"/>
    <xf numFmtId="0" fontId="230" fillId="0" borderId="0" xfId="11030" applyFont="1" applyAlignment="1">
      <alignment wrapText="1"/>
    </xf>
    <xf numFmtId="164" fontId="91" fillId="0" borderId="0" xfId="11030" applyNumberFormat="1" applyFont="1" applyAlignment="1">
      <alignment wrapText="1"/>
    </xf>
    <xf numFmtId="167" fontId="92" fillId="0" borderId="35" xfId="95" applyNumberFormat="1" applyFont="1" applyBorder="1"/>
    <xf numFmtId="164" fontId="231" fillId="0" borderId="35" xfId="95" applyNumberFormat="1" applyFont="1" applyBorder="1"/>
    <xf numFmtId="166" fontId="129" fillId="0" borderId="0" xfId="1065" applyNumberFormat="1" applyFont="1" applyFill="1" applyBorder="1" applyAlignment="1" applyProtection="1">
      <alignment horizontal="right" wrapText="1"/>
    </xf>
    <xf numFmtId="166" fontId="129" fillId="0" borderId="46" xfId="1065" applyNumberFormat="1" applyFont="1" applyFill="1" applyBorder="1" applyAlignment="1" applyProtection="1">
      <alignment horizontal="right" wrapText="1"/>
    </xf>
    <xf numFmtId="166" fontId="129" fillId="0" borderId="92" xfId="1065" applyNumberFormat="1" applyFont="1" applyFill="1" applyBorder="1" applyAlignment="1" applyProtection="1">
      <alignment horizontal="right" wrapText="1"/>
    </xf>
    <xf numFmtId="164" fontId="229" fillId="0" borderId="0" xfId="11030" applyNumberFormat="1" applyFont="1" applyAlignment="1">
      <alignment horizontal="right" wrapText="1"/>
    </xf>
    <xf numFmtId="166" fontId="229" fillId="0" borderId="46" xfId="11030" applyNumberFormat="1" applyFont="1" applyBorder="1" applyAlignment="1">
      <alignment horizontal="right" wrapText="1"/>
    </xf>
    <xf numFmtId="164" fontId="229" fillId="0" borderId="92" xfId="11030" applyNumberFormat="1" applyFont="1" applyBorder="1" applyAlignment="1">
      <alignment horizontal="right" wrapText="1"/>
    </xf>
    <xf numFmtId="164" fontId="229" fillId="0" borderId="46" xfId="11030" applyNumberFormat="1" applyFont="1" applyBorder="1" applyAlignment="1">
      <alignment horizontal="right" wrapText="1"/>
    </xf>
    <xf numFmtId="43" fontId="129" fillId="0" borderId="37" xfId="1065" applyFont="1" applyFill="1" applyBorder="1" applyAlignment="1" applyProtection="1">
      <alignment horizontal="right" wrapText="1"/>
    </xf>
    <xf numFmtId="43" fontId="129" fillId="0" borderId="39" xfId="1065" applyFont="1" applyFill="1" applyBorder="1" applyAlignment="1" applyProtection="1">
      <alignment horizontal="right" wrapText="1"/>
    </xf>
    <xf numFmtId="43" fontId="129" fillId="0" borderId="40" xfId="1065" applyFont="1" applyFill="1" applyBorder="1" applyAlignment="1" applyProtection="1">
      <alignment horizontal="right" wrapText="1"/>
    </xf>
    <xf numFmtId="43" fontId="129" fillId="0" borderId="68" xfId="1065" applyFont="1" applyFill="1" applyBorder="1" applyAlignment="1" applyProtection="1">
      <alignment horizontal="right" wrapText="1"/>
    </xf>
    <xf numFmtId="167" fontId="7" fillId="48" borderId="35" xfId="95" applyNumberFormat="1" applyFont="1" applyFill="1" applyBorder="1"/>
    <xf numFmtId="0" fontId="228" fillId="70" borderId="83" xfId="11030" applyFont="1" applyFill="1" applyBorder="1" applyAlignment="1">
      <alignment horizontal="center" vertical="center" wrapText="1"/>
    </xf>
    <xf numFmtId="0" fontId="228" fillId="70" borderId="8" xfId="11030" applyFont="1" applyFill="1" applyBorder="1" applyAlignment="1">
      <alignment horizontal="center" vertical="center" wrapText="1"/>
    </xf>
    <xf numFmtId="0" fontId="228" fillId="70" borderId="6" xfId="11030" applyFont="1" applyFill="1" applyBorder="1" applyAlignment="1">
      <alignment horizontal="center" vertical="center" wrapText="1"/>
    </xf>
    <xf numFmtId="0" fontId="228" fillId="70" borderId="57" xfId="11030" applyFont="1" applyFill="1" applyBorder="1" applyAlignment="1">
      <alignment horizontal="center" vertical="center" wrapText="1"/>
    </xf>
    <xf numFmtId="9" fontId="93" fillId="0" borderId="0" xfId="329" applyFont="1" applyFill="1" applyBorder="1"/>
    <xf numFmtId="9" fontId="219" fillId="0" borderId="0" xfId="329" applyFont="1" applyFill="1" applyBorder="1"/>
    <xf numFmtId="0" fontId="0" fillId="0" borderId="90" xfId="0" applyBorder="1"/>
    <xf numFmtId="0" fontId="7" fillId="0" borderId="71" xfId="0" applyFont="1" applyBorder="1" applyAlignment="1">
      <alignment horizontal="right"/>
    </xf>
    <xf numFmtId="0" fontId="7" fillId="0" borderId="69" xfId="0" applyFont="1" applyBorder="1" applyAlignment="1">
      <alignment horizontal="right"/>
    </xf>
    <xf numFmtId="0" fontId="7" fillId="0" borderId="92" xfId="0" applyFont="1" applyBorder="1"/>
    <xf numFmtId="37" fontId="0" fillId="0" borderId="0" xfId="0" applyNumberFormat="1"/>
    <xf numFmtId="37" fontId="0" fillId="0" borderId="46" xfId="0" applyNumberFormat="1" applyBorder="1"/>
    <xf numFmtId="0" fontId="7" fillId="0" borderId="39" xfId="0" applyFont="1" applyBorder="1"/>
    <xf numFmtId="37" fontId="0" fillId="0" borderId="37" xfId="0" applyNumberFormat="1" applyBorder="1"/>
    <xf numFmtId="37" fontId="0" fillId="0" borderId="40" xfId="0" applyNumberFormat="1" applyBorder="1"/>
    <xf numFmtId="167" fontId="7" fillId="0" borderId="0" xfId="95" applyNumberFormat="1" applyFont="1" applyFill="1" applyBorder="1"/>
    <xf numFmtId="167" fontId="7" fillId="0" borderId="0" xfId="95" applyNumberFormat="1" applyFont="1" applyBorder="1" applyAlignment="1">
      <alignment horizontal="center"/>
    </xf>
    <xf numFmtId="167" fontId="7" fillId="0" borderId="0" xfId="95" applyNumberFormat="1" applyFont="1" applyFill="1" applyBorder="1" applyAlignment="1">
      <alignment horizontal="center"/>
    </xf>
    <xf numFmtId="167" fontId="7" fillId="0" borderId="31" xfId="95" applyNumberFormat="1" applyFont="1" applyBorder="1" applyAlignment="1">
      <alignment horizontal="center"/>
    </xf>
    <xf numFmtId="0" fontId="7" fillId="0" borderId="31" xfId="0" applyFont="1" applyBorder="1" applyAlignment="1">
      <alignment horizontal="center"/>
    </xf>
    <xf numFmtId="167" fontId="7" fillId="0" borderId="25" xfId="95" applyNumberFormat="1" applyFont="1" applyBorder="1" applyAlignment="1">
      <alignment horizontal="center"/>
    </xf>
    <xf numFmtId="167" fontId="7" fillId="0" borderId="35" xfId="95" applyNumberFormat="1" applyFont="1" applyFill="1" applyBorder="1" applyAlignment="1">
      <alignment horizontal="center"/>
    </xf>
    <xf numFmtId="3" fontId="7" fillId="0" borderId="0" xfId="0" applyNumberFormat="1" applyFont="1"/>
    <xf numFmtId="3" fontId="7" fillId="0" borderId="25" xfId="0" applyNumberFormat="1" applyFont="1" applyBorder="1"/>
    <xf numFmtId="3" fontId="7" fillId="0" borderId="31" xfId="0" applyNumberFormat="1" applyFont="1" applyBorder="1"/>
    <xf numFmtId="3" fontId="7" fillId="0" borderId="35" xfId="0" applyNumberFormat="1" applyFont="1" applyBorder="1"/>
    <xf numFmtId="0" fontId="10" fillId="0" borderId="55" xfId="0" applyFont="1" applyBorder="1"/>
    <xf numFmtId="0" fontId="0" fillId="0" borderId="55" xfId="0" applyBorder="1"/>
    <xf numFmtId="3" fontId="7" fillId="0" borderId="76" xfId="0" applyNumberFormat="1" applyFont="1" applyBorder="1"/>
    <xf numFmtId="0" fontId="6" fillId="0" borderId="25" xfId="0" applyFont="1" applyBorder="1"/>
    <xf numFmtId="3" fontId="7" fillId="0" borderId="77" xfId="0" applyNumberFormat="1" applyFont="1" applyBorder="1"/>
    <xf numFmtId="0" fontId="6" fillId="0" borderId="29" xfId="0" applyFont="1" applyBorder="1"/>
    <xf numFmtId="0" fontId="6" fillId="0" borderId="22" xfId="0" applyFont="1" applyBorder="1"/>
    <xf numFmtId="37" fontId="7" fillId="0" borderId="25" xfId="0" applyNumberFormat="1" applyFont="1" applyBorder="1"/>
    <xf numFmtId="37" fontId="7" fillId="0" borderId="0" xfId="0" applyNumberFormat="1" applyFont="1"/>
    <xf numFmtId="37" fontId="7" fillId="0" borderId="31" xfId="0" applyNumberFormat="1" applyFont="1" applyBorder="1"/>
    <xf numFmtId="37" fontId="7" fillId="0" borderId="0" xfId="95" applyNumberFormat="1" applyFont="1" applyBorder="1"/>
    <xf numFmtId="37" fontId="7" fillId="0" borderId="25" xfId="95" applyNumberFormat="1" applyFont="1" applyBorder="1"/>
    <xf numFmtId="37" fontId="7" fillId="0" borderId="35" xfId="95" applyNumberFormat="1" applyFont="1" applyBorder="1"/>
    <xf numFmtId="164" fontId="0" fillId="0" borderId="22" xfId="329" applyNumberFormat="1" applyFont="1" applyBorder="1"/>
    <xf numFmtId="0" fontId="12" fillId="0" borderId="25" xfId="0" applyFont="1" applyBorder="1"/>
    <xf numFmtId="0" fontId="12" fillId="0" borderId="31" xfId="0" applyFont="1" applyBorder="1"/>
    <xf numFmtId="9" fontId="6" fillId="0" borderId="25" xfId="0" applyNumberFormat="1" applyFont="1" applyBorder="1"/>
    <xf numFmtId="9" fontId="12" fillId="0" borderId="0" xfId="0" applyNumberFormat="1" applyFont="1"/>
    <xf numFmtId="9" fontId="6" fillId="0" borderId="0" xfId="0" applyNumberFormat="1" applyFont="1"/>
    <xf numFmtId="9" fontId="12" fillId="0" borderId="0" xfId="329" applyFont="1" applyFill="1" applyBorder="1" applyAlignment="1">
      <alignment horizontal="right"/>
    </xf>
    <xf numFmtId="9" fontId="12" fillId="0" borderId="31" xfId="329" applyFont="1" applyFill="1" applyBorder="1" applyAlignment="1">
      <alignment horizontal="right"/>
    </xf>
    <xf numFmtId="9" fontId="234" fillId="0" borderId="0" xfId="329" applyFont="1" applyFill="1" applyBorder="1" applyAlignment="1">
      <alignment horizontal="right"/>
    </xf>
    <xf numFmtId="9" fontId="234" fillId="0" borderId="31" xfId="329" applyFont="1" applyFill="1" applyBorder="1" applyAlignment="1">
      <alignment horizontal="right"/>
    </xf>
    <xf numFmtId="9" fontId="6" fillId="0" borderId="29" xfId="0" applyNumberFormat="1" applyFont="1" applyBorder="1"/>
    <xf numFmtId="9" fontId="12" fillId="0" borderId="22" xfId="0" applyNumberFormat="1" applyFont="1" applyBorder="1"/>
    <xf numFmtId="9" fontId="6" fillId="0" borderId="22" xfId="0" applyNumberFormat="1" applyFont="1" applyBorder="1"/>
    <xf numFmtId="9" fontId="12" fillId="0" borderId="22" xfId="329" applyFont="1" applyFill="1" applyBorder="1" applyAlignment="1">
      <alignment horizontal="right"/>
    </xf>
    <xf numFmtId="9" fontId="234" fillId="0" borderId="22" xfId="329" applyFont="1" applyFill="1" applyBorder="1" applyAlignment="1">
      <alignment horizontal="right"/>
    </xf>
    <xf numFmtId="9" fontId="234" fillId="0" borderId="33" xfId="329" applyFont="1" applyFill="1" applyBorder="1" applyAlignment="1">
      <alignment horizontal="right"/>
    </xf>
    <xf numFmtId="164" fontId="12" fillId="0" borderId="25" xfId="329" applyNumberFormat="1" applyFont="1" applyBorder="1"/>
    <xf numFmtId="164" fontId="12" fillId="0" borderId="35" xfId="329" applyNumberFormat="1" applyFont="1" applyBorder="1"/>
    <xf numFmtId="0" fontId="6" fillId="0" borderId="33" xfId="0" applyFont="1" applyBorder="1"/>
    <xf numFmtId="164" fontId="12" fillId="0" borderId="22" xfId="329" applyNumberFormat="1" applyFont="1" applyBorder="1"/>
    <xf numFmtId="164" fontId="12" fillId="0" borderId="33" xfId="329" applyNumberFormat="1" applyFont="1" applyBorder="1"/>
    <xf numFmtId="164" fontId="12" fillId="0" borderId="29" xfId="329" applyNumberFormat="1" applyFont="1" applyBorder="1"/>
    <xf numFmtId="167" fontId="12" fillId="0" borderId="22" xfId="329" applyNumberFormat="1" applyFont="1" applyBorder="1"/>
    <xf numFmtId="164" fontId="12" fillId="0" borderId="36" xfId="329" applyNumberFormat="1" applyFont="1" applyBorder="1"/>
    <xf numFmtId="164" fontId="6" fillId="0" borderId="29" xfId="0" applyNumberFormat="1" applyFont="1" applyBorder="1"/>
    <xf numFmtId="164" fontId="6" fillId="0" borderId="22" xfId="0" applyNumberFormat="1" applyFont="1" applyBorder="1"/>
    <xf numFmtId="0" fontId="7" fillId="0" borderId="75" xfId="0" applyFont="1" applyBorder="1"/>
    <xf numFmtId="0" fontId="7" fillId="0" borderId="76" xfId="0" applyFont="1" applyBorder="1"/>
    <xf numFmtId="167" fontId="7" fillId="0" borderId="28" xfId="95" applyNumberFormat="1" applyFont="1" applyBorder="1"/>
    <xf numFmtId="167" fontId="7" fillId="0" borderId="32" xfId="95" applyNumberFormat="1" applyFont="1" applyBorder="1"/>
    <xf numFmtId="167" fontId="7" fillId="0" borderId="28" xfId="95" applyNumberFormat="1" applyFont="1" applyBorder="1" applyAlignment="1">
      <alignment horizontal="center"/>
    </xf>
    <xf numFmtId="167" fontId="7" fillId="0" borderId="32" xfId="95" applyNumberFormat="1" applyFont="1" applyBorder="1" applyAlignment="1">
      <alignment horizontal="center"/>
    </xf>
    <xf numFmtId="167" fontId="7" fillId="0" borderId="76" xfId="95" applyNumberFormat="1" applyFont="1" applyBorder="1" applyAlignment="1">
      <alignment horizontal="center"/>
    </xf>
    <xf numFmtId="0" fontId="7" fillId="0" borderId="0" xfId="0" applyFont="1" applyAlignment="1">
      <alignment horizontal="right"/>
    </xf>
    <xf numFmtId="0" fontId="6" fillId="0" borderId="94" xfId="0" applyFont="1" applyBorder="1"/>
    <xf numFmtId="188" fontId="0" fillId="0" borderId="0" xfId="0" applyNumberFormat="1" applyAlignment="1">
      <alignment horizontal="center"/>
    </xf>
    <xf numFmtId="9" fontId="0" fillId="0" borderId="46" xfId="329" applyFont="1" applyBorder="1" applyAlignment="1">
      <alignment horizontal="center"/>
    </xf>
    <xf numFmtId="0" fontId="7" fillId="0" borderId="37" xfId="0" applyFont="1" applyBorder="1"/>
    <xf numFmtId="188" fontId="7" fillId="0" borderId="37" xfId="0" applyNumberFormat="1" applyFont="1" applyBorder="1" applyAlignment="1">
      <alignment horizontal="center"/>
    </xf>
    <xf numFmtId="9" fontId="7" fillId="0" borderId="40" xfId="329" applyFont="1" applyBorder="1" applyAlignment="1">
      <alignment horizontal="center"/>
    </xf>
    <xf numFmtId="49" fontId="6" fillId="0" borderId="0" xfId="0" applyNumberFormat="1" applyFont="1" applyAlignment="1">
      <alignment horizontal="left"/>
    </xf>
    <xf numFmtId="269" fontId="0" fillId="0" borderId="0" xfId="0" applyNumberFormat="1" applyAlignment="1">
      <alignment horizontal="center"/>
    </xf>
    <xf numFmtId="269" fontId="7" fillId="0" borderId="37" xfId="0" applyNumberFormat="1" applyFont="1" applyBorder="1" applyAlignment="1">
      <alignment horizontal="center"/>
    </xf>
    <xf numFmtId="0" fontId="0" fillId="0" borderId="0" xfId="0" applyAlignment="1">
      <alignment horizontal="right"/>
    </xf>
    <xf numFmtId="167" fontId="92" fillId="0" borderId="0" xfId="95" applyNumberFormat="1" applyFont="1" applyFill="1" applyBorder="1"/>
    <xf numFmtId="167" fontId="7" fillId="0" borderId="31" xfId="95" applyNumberFormat="1" applyFont="1" applyFill="1" applyBorder="1"/>
    <xf numFmtId="167" fontId="7" fillId="0" borderId="0" xfId="95" applyNumberFormat="1" applyFont="1"/>
    <xf numFmtId="167" fontId="7" fillId="0" borderId="21" xfId="95" applyNumberFormat="1" applyFont="1" applyBorder="1"/>
    <xf numFmtId="167" fontId="7" fillId="0" borderId="8" xfId="95" applyNumberFormat="1" applyFont="1" applyBorder="1"/>
    <xf numFmtId="167" fontId="92" fillId="0" borderId="8" xfId="95" applyNumberFormat="1" applyFont="1" applyBorder="1"/>
    <xf numFmtId="167" fontId="7" fillId="0" borderId="8" xfId="95" applyNumberFormat="1" applyFont="1" applyFill="1" applyBorder="1"/>
    <xf numFmtId="167" fontId="7" fillId="0" borderId="21" xfId="95" applyNumberFormat="1" applyFont="1" applyFill="1" applyBorder="1"/>
    <xf numFmtId="44" fontId="7" fillId="0" borderId="32" xfId="132" applyFont="1" applyBorder="1"/>
    <xf numFmtId="44" fontId="7" fillId="0" borderId="28" xfId="132" applyFont="1" applyBorder="1"/>
    <xf numFmtId="44" fontId="7" fillId="0" borderId="77" xfId="132" applyFont="1" applyBorder="1"/>
    <xf numFmtId="44" fontId="92" fillId="0" borderId="28" xfId="132" applyFont="1" applyBorder="1"/>
    <xf numFmtId="44" fontId="7" fillId="0" borderId="28" xfId="132" applyFont="1" applyFill="1" applyBorder="1"/>
    <xf numFmtId="44" fontId="7" fillId="0" borderId="32" xfId="132" applyFont="1" applyFill="1" applyBorder="1"/>
    <xf numFmtId="9" fontId="12" fillId="0" borderId="35" xfId="329" applyFont="1" applyFill="1" applyBorder="1" applyAlignment="1">
      <alignment horizontal="right"/>
    </xf>
    <xf numFmtId="0" fontId="23" fillId="0" borderId="0" xfId="318" applyFont="1" applyAlignment="1">
      <alignment horizontal="right"/>
    </xf>
    <xf numFmtId="181" fontId="6" fillId="0" borderId="0" xfId="0" applyNumberFormat="1" applyFont="1"/>
    <xf numFmtId="167" fontId="95" fillId="70" borderId="7" xfId="0" applyNumberFormat="1" applyFont="1" applyFill="1" applyBorder="1" applyAlignment="1">
      <alignment horizontal="center"/>
    </xf>
    <xf numFmtId="167" fontId="218" fillId="0" borderId="31" xfId="95" applyNumberFormat="1" applyFont="1" applyFill="1" applyBorder="1"/>
    <xf numFmtId="0" fontId="95" fillId="70" borderId="82" xfId="0" applyFont="1" applyFill="1" applyBorder="1" applyAlignment="1">
      <alignment horizontal="center"/>
    </xf>
    <xf numFmtId="0" fontId="95" fillId="70" borderId="84" xfId="0" applyFont="1" applyFill="1" applyBorder="1" applyAlignment="1">
      <alignment horizontal="center"/>
    </xf>
    <xf numFmtId="0" fontId="95" fillId="70" borderId="81" xfId="0" applyFont="1" applyFill="1" applyBorder="1" applyAlignment="1">
      <alignment horizontal="center"/>
    </xf>
    <xf numFmtId="0" fontId="95" fillId="70" borderId="32" xfId="0" applyFont="1" applyFill="1" applyBorder="1" applyAlignment="1">
      <alignment horizontal="center"/>
    </xf>
    <xf numFmtId="0" fontId="95" fillId="70" borderId="28" xfId="0" applyFont="1" applyFill="1" applyBorder="1" applyAlignment="1">
      <alignment horizontal="center"/>
    </xf>
    <xf numFmtId="0" fontId="95" fillId="70" borderId="81" xfId="0" applyFont="1" applyFill="1" applyBorder="1"/>
    <xf numFmtId="0" fontId="95" fillId="70" borderId="82" xfId="0" applyFont="1" applyFill="1" applyBorder="1"/>
    <xf numFmtId="9" fontId="12" fillId="0" borderId="31" xfId="329" applyFont="1" applyBorder="1"/>
    <xf numFmtId="9" fontId="6" fillId="0" borderId="33" xfId="329" applyFont="1" applyBorder="1"/>
    <xf numFmtId="164" fontId="229" fillId="0" borderId="94" xfId="11030" applyNumberFormat="1" applyFont="1" applyBorder="1" applyAlignment="1">
      <alignment horizontal="right" wrapText="1"/>
    </xf>
    <xf numFmtId="164" fontId="0" fillId="0" borderId="31" xfId="329" applyNumberFormat="1" applyFont="1" applyFill="1" applyBorder="1"/>
    <xf numFmtId="167" fontId="7" fillId="0" borderId="77" xfId="0" applyNumberFormat="1" applyFont="1" applyBorder="1"/>
    <xf numFmtId="164" fontId="12" fillId="0" borderId="31" xfId="0" applyNumberFormat="1" applyFont="1" applyBorder="1"/>
    <xf numFmtId="167" fontId="7" fillId="0" borderId="31" xfId="0" applyNumberFormat="1" applyFont="1" applyBorder="1" applyAlignment="1">
      <alignment horizontal="center"/>
    </xf>
    <xf numFmtId="3" fontId="7" fillId="0" borderId="0" xfId="0" applyNumberFormat="1" applyFont="1" applyAlignment="1">
      <alignment horizontal="right"/>
    </xf>
    <xf numFmtId="3" fontId="0" fillId="0" borderId="0" xfId="0" applyNumberFormat="1" applyAlignment="1">
      <alignment horizontal="right"/>
    </xf>
    <xf numFmtId="0" fontId="216" fillId="70" borderId="0" xfId="0" applyFont="1" applyFill="1"/>
    <xf numFmtId="0" fontId="95" fillId="70" borderId="0" xfId="0" applyFont="1" applyFill="1" applyAlignment="1">
      <alignment horizontal="right"/>
    </xf>
    <xf numFmtId="9" fontId="7" fillId="0" borderId="0" xfId="329" applyFont="1" applyAlignment="1">
      <alignment horizontal="right"/>
    </xf>
    <xf numFmtId="9" fontId="0" fillId="0" borderId="0" xfId="329" applyFont="1" applyAlignment="1">
      <alignment horizontal="right"/>
    </xf>
    <xf numFmtId="0" fontId="95" fillId="70" borderId="55" xfId="0" applyFont="1" applyFill="1" applyBorder="1" applyAlignment="1">
      <alignment horizontal="left"/>
    </xf>
    <xf numFmtId="0" fontId="33" fillId="70" borderId="55" xfId="0" applyFont="1" applyFill="1" applyBorder="1" applyAlignment="1">
      <alignment horizontal="left"/>
    </xf>
    <xf numFmtId="0" fontId="95" fillId="70" borderId="75" xfId="0" applyFont="1" applyFill="1" applyBorder="1"/>
    <xf numFmtId="0" fontId="95" fillId="70" borderId="76" xfId="0" applyFont="1" applyFill="1" applyBorder="1" applyAlignment="1">
      <alignment horizontal="right"/>
    </xf>
    <xf numFmtId="271" fontId="95" fillId="70" borderId="76" xfId="0" applyNumberFormat="1" applyFont="1" applyFill="1" applyBorder="1" applyAlignment="1">
      <alignment horizontal="right"/>
    </xf>
    <xf numFmtId="0" fontId="95" fillId="70" borderId="78" xfId="0" applyFont="1" applyFill="1" applyBorder="1" applyAlignment="1">
      <alignment horizontal="right"/>
    </xf>
    <xf numFmtId="270" fontId="6" fillId="0" borderId="0" xfId="0" applyNumberFormat="1" applyFont="1" applyAlignment="1">
      <alignment horizontal="right"/>
    </xf>
    <xf numFmtId="37" fontId="0" fillId="0" borderId="35" xfId="0" applyNumberFormat="1" applyBorder="1"/>
    <xf numFmtId="9" fontId="7" fillId="0" borderId="22" xfId="329" applyFont="1" applyBorder="1"/>
    <xf numFmtId="270" fontId="7" fillId="0" borderId="22" xfId="0" applyNumberFormat="1" applyFont="1" applyBorder="1" applyAlignment="1">
      <alignment horizontal="right"/>
    </xf>
    <xf numFmtId="37" fontId="7" fillId="0" borderId="36" xfId="0" applyNumberFormat="1" applyFont="1" applyBorder="1"/>
    <xf numFmtId="3" fontId="6" fillId="0" borderId="0" xfId="0" applyNumberFormat="1" applyFont="1"/>
    <xf numFmtId="0" fontId="216" fillId="70" borderId="75" xfId="0" applyFont="1" applyFill="1" applyBorder="1"/>
    <xf numFmtId="9" fontId="7" fillId="0" borderId="35" xfId="329" applyFont="1" applyBorder="1" applyAlignment="1">
      <alignment horizontal="right"/>
    </xf>
    <xf numFmtId="9" fontId="0" fillId="0" borderId="35" xfId="329" applyFont="1" applyBorder="1" applyAlignment="1">
      <alignment horizontal="right"/>
    </xf>
    <xf numFmtId="3" fontId="0" fillId="0" borderId="22" xfId="0" applyNumberFormat="1" applyBorder="1" applyAlignment="1">
      <alignment horizontal="right"/>
    </xf>
    <xf numFmtId="9" fontId="0" fillId="0" borderId="36" xfId="329" applyFont="1" applyBorder="1" applyAlignment="1">
      <alignment horizontal="right"/>
    </xf>
    <xf numFmtId="9" fontId="7" fillId="0" borderId="0" xfId="329" applyFont="1"/>
    <xf numFmtId="167" fontId="6" fillId="0" borderId="31" xfId="95" applyNumberFormat="1" applyFont="1" applyFill="1" applyBorder="1"/>
    <xf numFmtId="167" fontId="6" fillId="0" borderId="0" xfId="95" applyNumberFormat="1" applyFont="1"/>
    <xf numFmtId="0" fontId="216" fillId="70" borderId="90" xfId="0" applyFont="1" applyFill="1" applyBorder="1" applyAlignment="1">
      <alignment horizontal="center"/>
    </xf>
    <xf numFmtId="0" fontId="216" fillId="70" borderId="71" xfId="0" applyFont="1" applyFill="1" applyBorder="1" applyAlignment="1">
      <alignment horizontal="center"/>
    </xf>
    <xf numFmtId="0" fontId="95" fillId="70" borderId="39" xfId="0" applyFont="1" applyFill="1" applyBorder="1" applyAlignment="1">
      <alignment horizontal="left"/>
    </xf>
    <xf numFmtId="0" fontId="95" fillId="70" borderId="37" xfId="0" applyFont="1" applyFill="1" applyBorder="1" applyAlignment="1">
      <alignment horizontal="left"/>
    </xf>
    <xf numFmtId="0" fontId="95" fillId="70" borderId="37" xfId="0" applyFont="1" applyFill="1" applyBorder="1" applyAlignment="1">
      <alignment horizontal="center"/>
    </xf>
    <xf numFmtId="0" fontId="95" fillId="70" borderId="40" xfId="0" applyFont="1" applyFill="1" applyBorder="1" applyAlignment="1">
      <alignment horizontal="center"/>
    </xf>
    <xf numFmtId="167" fontId="10" fillId="0" borderId="35" xfId="95" applyNumberFormat="1" applyFont="1" applyFill="1" applyBorder="1"/>
    <xf numFmtId="167" fontId="91" fillId="0" borderId="35" xfId="95" applyNumberFormat="1" applyFont="1" applyFill="1" applyBorder="1"/>
    <xf numFmtId="167" fontId="235" fillId="0" borderId="0" xfId="95" applyNumberFormat="1" applyFont="1" applyBorder="1"/>
    <xf numFmtId="164" fontId="236" fillId="0" borderId="0" xfId="95" applyNumberFormat="1" applyFont="1" applyBorder="1"/>
    <xf numFmtId="167" fontId="12" fillId="0" borderId="0" xfId="329" applyNumberFormat="1" applyFont="1" applyBorder="1"/>
    <xf numFmtId="164" fontId="6" fillId="0" borderId="25" xfId="0" applyNumberFormat="1" applyFont="1" applyBorder="1"/>
    <xf numFmtId="9" fontId="6" fillId="0" borderId="31" xfId="329" applyFont="1" applyBorder="1"/>
    <xf numFmtId="167" fontId="7" fillId="0" borderId="31" xfId="95" applyNumberFormat="1" applyFont="1" applyFill="1" applyBorder="1" applyAlignment="1">
      <alignment horizontal="center"/>
    </xf>
    <xf numFmtId="164" fontId="6" fillId="0" borderId="0" xfId="0" applyNumberFormat="1" applyFont="1" applyAlignment="1">
      <alignment horizontal="right"/>
    </xf>
    <xf numFmtId="0" fontId="6" fillId="0" borderId="25" xfId="0" applyFont="1" applyBorder="1" applyAlignment="1">
      <alignment vertical="top"/>
    </xf>
    <xf numFmtId="0" fontId="6" fillId="0" borderId="0" xfId="0" applyFont="1" applyAlignment="1">
      <alignment vertical="top"/>
    </xf>
    <xf numFmtId="0" fontId="6" fillId="0" borderId="31" xfId="0" applyFont="1" applyBorder="1" applyAlignment="1">
      <alignment vertical="top"/>
    </xf>
    <xf numFmtId="164" fontId="12" fillId="0" borderId="0" xfId="329" applyNumberFormat="1" applyFont="1" applyBorder="1" applyAlignment="1">
      <alignment vertical="top"/>
    </xf>
    <xf numFmtId="164" fontId="12" fillId="0" borderId="31" xfId="329" applyNumberFormat="1" applyFont="1" applyBorder="1" applyAlignment="1">
      <alignment vertical="top"/>
    </xf>
    <xf numFmtId="164" fontId="12" fillId="0" borderId="25" xfId="329" applyNumberFormat="1" applyFont="1" applyBorder="1" applyAlignment="1">
      <alignment vertical="top"/>
    </xf>
    <xf numFmtId="167" fontId="6" fillId="0" borderId="0" xfId="95" applyNumberFormat="1" applyFont="1" applyBorder="1" applyAlignment="1">
      <alignment vertical="top"/>
    </xf>
    <xf numFmtId="167" fontId="12" fillId="0" borderId="0" xfId="329" applyNumberFormat="1" applyFont="1" applyBorder="1" applyAlignment="1">
      <alignment vertical="top"/>
    </xf>
    <xf numFmtId="164" fontId="12" fillId="0" borderId="35" xfId="329" applyNumberFormat="1" applyFont="1" applyBorder="1" applyAlignment="1">
      <alignment vertical="top"/>
    </xf>
    <xf numFmtId="164" fontId="6" fillId="0" borderId="25" xfId="0" applyNumberFormat="1" applyFont="1" applyBorder="1" applyAlignment="1">
      <alignment vertical="top"/>
    </xf>
    <xf numFmtId="164" fontId="6" fillId="0" borderId="0" xfId="0" applyNumberFormat="1" applyFont="1" applyAlignment="1">
      <alignment vertical="top"/>
    </xf>
    <xf numFmtId="9" fontId="6" fillId="0" borderId="31" xfId="329" applyFont="1" applyBorder="1" applyAlignment="1">
      <alignment vertical="top"/>
    </xf>
    <xf numFmtId="164" fontId="6" fillId="0" borderId="0" xfId="0" applyNumberFormat="1" applyFont="1" applyAlignment="1">
      <alignment horizontal="right" vertical="top"/>
    </xf>
    <xf numFmtId="167" fontId="7" fillId="0" borderId="0" xfId="95" applyNumberFormat="1" applyFont="1" applyFill="1"/>
    <xf numFmtId="0" fontId="9" fillId="0" borderId="0" xfId="0" applyFont="1" applyAlignment="1">
      <alignment vertical="top"/>
    </xf>
    <xf numFmtId="164" fontId="93" fillId="0" borderId="0" xfId="329" applyNumberFormat="1" applyFont="1" applyBorder="1" applyAlignment="1">
      <alignment vertical="top"/>
    </xf>
    <xf numFmtId="164" fontId="9" fillId="0" borderId="31" xfId="329" applyNumberFormat="1" applyFont="1" applyBorder="1" applyAlignment="1">
      <alignment vertical="top"/>
    </xf>
    <xf numFmtId="187" fontId="9" fillId="0" borderId="0" xfId="95" applyNumberFormat="1" applyFont="1" applyBorder="1" applyAlignment="1">
      <alignment vertical="top"/>
    </xf>
    <xf numFmtId="187" fontId="9" fillId="0" borderId="31" xfId="95" applyNumberFormat="1" applyFont="1" applyBorder="1" applyAlignment="1">
      <alignment vertical="top"/>
    </xf>
    <xf numFmtId="187" fontId="9" fillId="0" borderId="0" xfId="95" applyNumberFormat="1" applyFont="1" applyFill="1" applyBorder="1" applyAlignment="1">
      <alignment vertical="top"/>
    </xf>
    <xf numFmtId="166" fontId="7" fillId="0" borderId="0" xfId="95" applyNumberFormat="1" applyFont="1" applyFill="1"/>
    <xf numFmtId="171" fontId="0" fillId="0" borderId="0" xfId="0" applyNumberFormat="1"/>
    <xf numFmtId="0" fontId="0" fillId="0" borderId="71" xfId="0" applyBorder="1"/>
    <xf numFmtId="0" fontId="6" fillId="0" borderId="71" xfId="0" applyFont="1" applyBorder="1"/>
    <xf numFmtId="0" fontId="0" fillId="0" borderId="69" xfId="0" applyBorder="1"/>
    <xf numFmtId="0" fontId="0" fillId="0" borderId="94" xfId="0" applyBorder="1"/>
    <xf numFmtId="0" fontId="6" fillId="0" borderId="46" xfId="0" applyFont="1" applyBorder="1"/>
    <xf numFmtId="0" fontId="237" fillId="0" borderId="94" xfId="0" applyFont="1" applyBorder="1"/>
    <xf numFmtId="167" fontId="238" fillId="0" borderId="0" xfId="95" applyNumberFormat="1" applyFont="1" applyBorder="1"/>
    <xf numFmtId="0" fontId="0" fillId="0" borderId="46" xfId="0" applyBorder="1"/>
    <xf numFmtId="0" fontId="12" fillId="0" borderId="94" xfId="0" applyFont="1" applyBorder="1"/>
    <xf numFmtId="167" fontId="12" fillId="0" borderId="0" xfId="95" applyNumberFormat="1" applyFont="1" applyBorder="1"/>
    <xf numFmtId="0" fontId="12" fillId="0" borderId="46" xfId="0" applyFont="1" applyBorder="1"/>
    <xf numFmtId="0" fontId="0" fillId="0" borderId="39" xfId="0" applyBorder="1"/>
    <xf numFmtId="0" fontId="12" fillId="0" borderId="39" xfId="0" applyFont="1" applyBorder="1"/>
    <xf numFmtId="0" fontId="12" fillId="0" borderId="37" xfId="0" applyFont="1" applyBorder="1"/>
    <xf numFmtId="0" fontId="12" fillId="0" borderId="40" xfId="0" applyFont="1" applyBorder="1"/>
    <xf numFmtId="164" fontId="12" fillId="0" borderId="37" xfId="329" applyNumberFormat="1" applyFont="1" applyBorder="1"/>
    <xf numFmtId="0" fontId="6" fillId="0" borderId="47" xfId="132" applyNumberFormat="1" applyFont="1" applyFill="1" applyBorder="1" applyAlignment="1">
      <alignment horizontal="left" vertical="center"/>
    </xf>
    <xf numFmtId="174" fontId="7" fillId="0" borderId="0" xfId="132" applyNumberFormat="1" applyFont="1" applyFill="1" applyBorder="1" applyAlignment="1">
      <alignment horizontal="left" vertical="center"/>
    </xf>
    <xf numFmtId="167" fontId="6" fillId="0" borderId="0" xfId="95" applyNumberFormat="1" applyFont="1" applyBorder="1" applyAlignment="1">
      <alignment horizontal="left" vertical="center"/>
    </xf>
    <xf numFmtId="164" fontId="12" fillId="0" borderId="0" xfId="95" applyNumberFormat="1" applyFont="1" applyFill="1" applyBorder="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6" fillId="0" borderId="39" xfId="132" applyNumberFormat="1" applyFont="1" applyFill="1" applyBorder="1" applyAlignment="1">
      <alignment horizontal="left" vertical="center"/>
    </xf>
    <xf numFmtId="0" fontId="6" fillId="34" borderId="37" xfId="0" applyFont="1" applyFill="1" applyBorder="1" applyAlignment="1">
      <alignment vertical="center"/>
    </xf>
    <xf numFmtId="167" fontId="6" fillId="0" borderId="37" xfId="95" applyNumberFormat="1" applyFont="1" applyFill="1" applyBorder="1" applyAlignment="1">
      <alignment vertical="center"/>
    </xf>
    <xf numFmtId="164" fontId="12" fillId="66" borderId="40" xfId="95" applyNumberFormat="1" applyFont="1" applyFill="1" applyBorder="1" applyAlignment="1">
      <alignment horizontal="center" vertical="center"/>
    </xf>
    <xf numFmtId="164" fontId="12" fillId="0" borderId="0" xfId="95" applyNumberFormat="1" applyFont="1" applyFill="1" applyBorder="1" applyAlignment="1">
      <alignment horizontal="center" vertical="center"/>
    </xf>
    <xf numFmtId="0" fontId="0" fillId="0" borderId="0" xfId="0" applyAlignment="1">
      <alignment vertical="center"/>
    </xf>
    <xf numFmtId="164" fontId="12" fillId="66" borderId="46" xfId="95" applyNumberFormat="1" applyFont="1" applyFill="1" applyBorder="1" applyAlignment="1">
      <alignment horizontal="center" vertical="center"/>
    </xf>
    <xf numFmtId="167" fontId="6" fillId="0" borderId="37" xfId="95" applyNumberFormat="1" applyFont="1" applyFill="1" applyBorder="1" applyAlignment="1">
      <alignment horizontal="right" vertical="center"/>
    </xf>
    <xf numFmtId="0" fontId="7" fillId="0" borderId="86" xfId="0" applyFont="1" applyBorder="1"/>
    <xf numFmtId="0" fontId="6" fillId="0" borderId="47" xfId="132" applyNumberFormat="1" applyFont="1" applyFill="1" applyBorder="1" applyAlignment="1">
      <alignment horizontal="left" indent="1"/>
    </xf>
    <xf numFmtId="0" fontId="6" fillId="0" borderId="39" xfId="132" applyNumberFormat="1" applyFont="1" applyFill="1" applyBorder="1" applyAlignment="1">
      <alignment horizontal="left" indent="1"/>
    </xf>
    <xf numFmtId="9" fontId="6" fillId="0" borderId="0" xfId="329" applyFont="1"/>
    <xf numFmtId="0" fontId="7" fillId="0" borderId="71" xfId="0" applyFont="1" applyBorder="1"/>
    <xf numFmtId="167" fontId="7" fillId="0" borderId="79" xfId="95" applyNumberFormat="1" applyFont="1" applyBorder="1"/>
    <xf numFmtId="167" fontId="7" fillId="0" borderId="71" xfId="95" applyNumberFormat="1" applyFont="1" applyBorder="1"/>
    <xf numFmtId="167" fontId="7" fillId="0" borderId="77" xfId="95" applyNumberFormat="1" applyFont="1" applyBorder="1"/>
    <xf numFmtId="167" fontId="7" fillId="0" borderId="71" xfId="95" applyNumberFormat="1" applyFont="1" applyFill="1" applyBorder="1"/>
    <xf numFmtId="167" fontId="7" fillId="0" borderId="79" xfId="95" applyNumberFormat="1" applyFont="1" applyFill="1" applyBorder="1"/>
    <xf numFmtId="0" fontId="215" fillId="0" borderId="92" xfId="11030" applyFont="1" applyBorder="1" applyAlignment="1">
      <alignment horizontal="left" wrapText="1"/>
    </xf>
    <xf numFmtId="0" fontId="215" fillId="0" borderId="39" xfId="11030" applyFont="1" applyBorder="1" applyAlignment="1">
      <alignment horizontal="left" wrapText="1"/>
    </xf>
    <xf numFmtId="0" fontId="229" fillId="0" borderId="92" xfId="11030" applyFont="1" applyBorder="1" applyAlignment="1">
      <alignment horizontal="left" wrapText="1" indent="1"/>
    </xf>
    <xf numFmtId="0" fontId="229" fillId="0" borderId="94" xfId="11030" applyFont="1" applyBorder="1" applyAlignment="1">
      <alignment horizontal="left" wrapText="1" indent="1"/>
    </xf>
    <xf numFmtId="9" fontId="93" fillId="69" borderId="0" xfId="329" applyFont="1" applyFill="1" applyBorder="1"/>
    <xf numFmtId="0" fontId="10" fillId="0" borderId="86" xfId="0" applyFont="1" applyBorder="1"/>
    <xf numFmtId="0" fontId="10" fillId="0" borderId="77" xfId="0" applyFont="1" applyBorder="1"/>
    <xf numFmtId="0" fontId="10" fillId="0" borderId="31" xfId="0" applyFont="1" applyBorder="1"/>
    <xf numFmtId="264" fontId="6" fillId="0" borderId="0" xfId="0" applyNumberFormat="1" applyFont="1"/>
    <xf numFmtId="1" fontId="6" fillId="0" borderId="0" xfId="0" applyNumberFormat="1" applyFont="1"/>
    <xf numFmtId="7" fontId="7" fillId="0" borderId="71" xfId="318" applyNumberFormat="1" applyFont="1" applyBorder="1"/>
    <xf numFmtId="7" fontId="6" fillId="0" borderId="37" xfId="329" applyNumberFormat="1" applyFont="1" applyFill="1" applyBorder="1"/>
    <xf numFmtId="0" fontId="6" fillId="0" borderId="83" xfId="132" applyNumberFormat="1" applyFont="1" applyFill="1" applyBorder="1" applyAlignment="1">
      <alignment horizontal="left"/>
    </xf>
    <xf numFmtId="0" fontId="13" fillId="0" borderId="25" xfId="0" applyFont="1" applyBorder="1" applyAlignment="1">
      <alignment vertical="top"/>
    </xf>
    <xf numFmtId="167" fontId="9" fillId="0" borderId="31" xfId="95" applyNumberFormat="1" applyFont="1" applyBorder="1" applyAlignment="1">
      <alignment vertical="top"/>
    </xf>
    <xf numFmtId="167" fontId="9" fillId="0" borderId="0" xfId="95" applyNumberFormat="1" applyFont="1" applyBorder="1" applyAlignment="1">
      <alignment vertical="top"/>
    </xf>
    <xf numFmtId="164" fontId="9" fillId="0" borderId="31" xfId="329" applyNumberFormat="1" applyFont="1" applyFill="1" applyBorder="1" applyAlignment="1">
      <alignment vertical="top"/>
    </xf>
    <xf numFmtId="0" fontId="6" fillId="0" borderId="26" xfId="0" applyFont="1" applyBorder="1"/>
    <xf numFmtId="3" fontId="221" fillId="0" borderId="0" xfId="11029" applyNumberFormat="1" applyFont="1"/>
    <xf numFmtId="168" fontId="221" fillId="0" borderId="0" xfId="11029" applyNumberFormat="1" applyFont="1"/>
    <xf numFmtId="0" fontId="129" fillId="34" borderId="75" xfId="0" applyFont="1" applyFill="1" applyBorder="1" applyAlignment="1">
      <alignment horizontal="center"/>
    </xf>
    <xf numFmtId="0" fontId="129" fillId="34" borderId="76" xfId="0" applyFont="1" applyFill="1" applyBorder="1" applyAlignment="1">
      <alignment horizontal="center"/>
    </xf>
    <xf numFmtId="0" fontId="129" fillId="34" borderId="78" xfId="0" applyFont="1" applyFill="1" applyBorder="1" applyAlignment="1">
      <alignment horizontal="center"/>
    </xf>
    <xf numFmtId="0" fontId="95" fillId="70" borderId="81" xfId="0" applyFont="1" applyFill="1" applyBorder="1" applyAlignment="1">
      <alignment horizontal="left"/>
    </xf>
    <xf numFmtId="0" fontId="95" fillId="70" borderId="82" xfId="0" applyFont="1" applyFill="1" applyBorder="1" applyAlignment="1">
      <alignment horizontal="left"/>
    </xf>
    <xf numFmtId="0" fontId="33" fillId="70" borderId="81" xfId="0" applyFont="1" applyFill="1" applyBorder="1" applyAlignment="1">
      <alignment horizontal="left"/>
    </xf>
    <xf numFmtId="0" fontId="33" fillId="70" borderId="93" xfId="0" applyFont="1" applyFill="1" applyBorder="1" applyAlignment="1">
      <alignment horizontal="left"/>
    </xf>
    <xf numFmtId="0" fontId="95" fillId="70" borderId="71" xfId="0" applyFont="1" applyFill="1" applyBorder="1" applyAlignment="1">
      <alignment horizontal="center"/>
    </xf>
    <xf numFmtId="0" fontId="95" fillId="70" borderId="69" xfId="0" applyFont="1" applyFill="1" applyBorder="1" applyAlignment="1">
      <alignment horizontal="center"/>
    </xf>
  </cellXfs>
  <cellStyles count="11031">
    <cellStyle name="&quot;A&quot;-style" xfId="383" xr:uid="{00000000-0005-0000-0000-000000000000}"/>
    <cellStyle name="&quot;A&quot;-style 2" xfId="384" xr:uid="{00000000-0005-0000-0000-000001000000}"/>
    <cellStyle name="#" xfId="385" xr:uid="{00000000-0005-0000-0000-000002000000}"/>
    <cellStyle name="#-" xfId="386" xr:uid="{00000000-0005-0000-0000-000003000000}"/>
    <cellStyle name="$" xfId="387" xr:uid="{00000000-0005-0000-0000-000004000000}"/>
    <cellStyle name="$-" xfId="388" xr:uid="{00000000-0005-0000-0000-000005000000}"/>
    <cellStyle name="$ &amp; ¢" xfId="389" xr:uid="{00000000-0005-0000-0000-000006000000}"/>
    <cellStyle name="$ &amp; ¢ 2" xfId="390" xr:uid="{00000000-0005-0000-0000-000007000000}"/>
    <cellStyle name="$ &amp; ¢ 3" xfId="391" xr:uid="{00000000-0005-0000-0000-000008000000}"/>
    <cellStyle name="$ 10" xfId="392" xr:uid="{00000000-0005-0000-0000-000009000000}"/>
    <cellStyle name="$ 11" xfId="393" xr:uid="{00000000-0005-0000-0000-00000A000000}"/>
    <cellStyle name="$ 12" xfId="394" xr:uid="{00000000-0005-0000-0000-00000B000000}"/>
    <cellStyle name="$ 13" xfId="395" xr:uid="{00000000-0005-0000-0000-00000C000000}"/>
    <cellStyle name="$ 14" xfId="396" xr:uid="{00000000-0005-0000-0000-00000D000000}"/>
    <cellStyle name="$ 15" xfId="397" xr:uid="{00000000-0005-0000-0000-00000E000000}"/>
    <cellStyle name="$ 16" xfId="398" xr:uid="{00000000-0005-0000-0000-00000F000000}"/>
    <cellStyle name="$ 17" xfId="399" xr:uid="{00000000-0005-0000-0000-000010000000}"/>
    <cellStyle name="$ 18" xfId="400" xr:uid="{00000000-0005-0000-0000-000011000000}"/>
    <cellStyle name="$ 19" xfId="401" xr:uid="{00000000-0005-0000-0000-000012000000}"/>
    <cellStyle name="$ 2" xfId="402" xr:uid="{00000000-0005-0000-0000-000013000000}"/>
    <cellStyle name="$ 20" xfId="403" xr:uid="{00000000-0005-0000-0000-000014000000}"/>
    <cellStyle name="$ 21" xfId="404" xr:uid="{00000000-0005-0000-0000-000015000000}"/>
    <cellStyle name="$ 22" xfId="405" xr:uid="{00000000-0005-0000-0000-000016000000}"/>
    <cellStyle name="$ 23" xfId="406" xr:uid="{00000000-0005-0000-0000-000017000000}"/>
    <cellStyle name="$ 24" xfId="407" xr:uid="{00000000-0005-0000-0000-000018000000}"/>
    <cellStyle name="$ 25" xfId="408" xr:uid="{00000000-0005-0000-0000-000019000000}"/>
    <cellStyle name="$ 26" xfId="409" xr:uid="{00000000-0005-0000-0000-00001A000000}"/>
    <cellStyle name="$ 27" xfId="410" xr:uid="{00000000-0005-0000-0000-00001B000000}"/>
    <cellStyle name="$ 28" xfId="411" xr:uid="{00000000-0005-0000-0000-00001C000000}"/>
    <cellStyle name="$ 29" xfId="412" xr:uid="{00000000-0005-0000-0000-00001D000000}"/>
    <cellStyle name="$ 3" xfId="413" xr:uid="{00000000-0005-0000-0000-00001E000000}"/>
    <cellStyle name="$ 30" xfId="414" xr:uid="{00000000-0005-0000-0000-00001F000000}"/>
    <cellStyle name="$ 31" xfId="415" xr:uid="{00000000-0005-0000-0000-000020000000}"/>
    <cellStyle name="$ 32" xfId="416" xr:uid="{00000000-0005-0000-0000-000021000000}"/>
    <cellStyle name="$ 33" xfId="417" xr:uid="{00000000-0005-0000-0000-000022000000}"/>
    <cellStyle name="$ 34" xfId="418" xr:uid="{00000000-0005-0000-0000-000023000000}"/>
    <cellStyle name="$ 4" xfId="419" xr:uid="{00000000-0005-0000-0000-000024000000}"/>
    <cellStyle name="$ 5" xfId="420" xr:uid="{00000000-0005-0000-0000-000025000000}"/>
    <cellStyle name="$ 6" xfId="421" xr:uid="{00000000-0005-0000-0000-000026000000}"/>
    <cellStyle name="$ 7" xfId="422" xr:uid="{00000000-0005-0000-0000-000027000000}"/>
    <cellStyle name="$ 8" xfId="423" xr:uid="{00000000-0005-0000-0000-000028000000}"/>
    <cellStyle name="$ 9" xfId="424" xr:uid="{00000000-0005-0000-0000-000029000000}"/>
    <cellStyle name="$_Hershey_Model_0.54" xfId="425" xr:uid="{00000000-0005-0000-0000-00002A000000}"/>
    <cellStyle name="$_HSY_2006_Board_Memo_Supportv1.0" xfId="426" xr:uid="{00000000-0005-0000-0000-00002B000000}"/>
    <cellStyle name="$0.00" xfId="1" xr:uid="{00000000-0005-0000-0000-00002C000000}"/>
    <cellStyle name="$0.00 2" xfId="427" xr:uid="{00000000-0005-0000-0000-00002D000000}"/>
    <cellStyle name="$0.00 3" xfId="428" xr:uid="{00000000-0005-0000-0000-00002E000000}"/>
    <cellStyle name="$0.95" xfId="2" xr:uid="{00000000-0005-0000-0000-00002F000000}"/>
    <cellStyle name="$0.95 2" xfId="429" xr:uid="{00000000-0005-0000-0000-000030000000}"/>
    <cellStyle name="$0.95 3" xfId="430" xr:uid="{00000000-0005-0000-0000-000031000000}"/>
    <cellStyle name="$0.99" xfId="3" xr:uid="{00000000-0005-0000-0000-000032000000}"/>
    <cellStyle name="$0.99 2" xfId="431" xr:uid="{00000000-0005-0000-0000-000033000000}"/>
    <cellStyle name="$0.99 3" xfId="432" xr:uid="{00000000-0005-0000-0000-000034000000}"/>
    <cellStyle name="$m" xfId="433" xr:uid="{00000000-0005-0000-0000-000035000000}"/>
    <cellStyle name="$q" xfId="434" xr:uid="{00000000-0005-0000-0000-000036000000}"/>
    <cellStyle name="$q*" xfId="435" xr:uid="{00000000-0005-0000-0000-000037000000}"/>
    <cellStyle name="$q_AVP" xfId="436" xr:uid="{00000000-0005-0000-0000-000038000000}"/>
    <cellStyle name="$qA" xfId="437" xr:uid="{00000000-0005-0000-0000-000039000000}"/>
    <cellStyle name="$qRange" xfId="438" xr:uid="{00000000-0005-0000-0000-00003A000000}"/>
    <cellStyle name="%" xfId="439" xr:uid="{00000000-0005-0000-0000-00003B000000}"/>
    <cellStyle name="%-" xfId="440" xr:uid="{00000000-0005-0000-0000-00003C000000}"/>
    <cellStyle name="% 2" xfId="441" xr:uid="{00000000-0005-0000-0000-00003D000000}"/>
    <cellStyle name="% 3" xfId="442" xr:uid="{00000000-0005-0000-0000-00003E000000}"/>
    <cellStyle name="% 4" xfId="443" xr:uid="{00000000-0005-0000-0000-00003F000000}"/>
    <cellStyle name="% 5" xfId="444" xr:uid="{00000000-0005-0000-0000-000040000000}"/>
    <cellStyle name="% 6" xfId="445" xr:uid="{00000000-0005-0000-0000-000041000000}"/>
    <cellStyle name="%.00" xfId="446" xr:uid="{00000000-0005-0000-0000-000042000000}"/>
    <cellStyle name="%.00 2" xfId="447" xr:uid="{00000000-0005-0000-0000-000043000000}"/>
    <cellStyle name="%.00 3" xfId="448" xr:uid="{00000000-0005-0000-0000-000044000000}"/>
    <cellStyle name="%.00 4" xfId="449" xr:uid="{00000000-0005-0000-0000-000045000000}"/>
    <cellStyle name="%[0]" xfId="4" xr:uid="{00000000-0005-0000-0000-000046000000}"/>
    <cellStyle name="%[1]" xfId="5" xr:uid="{00000000-0005-0000-0000-000047000000}"/>
    <cellStyle name="%[2]" xfId="6" xr:uid="{00000000-0005-0000-0000-000048000000}"/>
    <cellStyle name="%0" xfId="450" xr:uid="{00000000-0005-0000-0000-000049000000}"/>
    <cellStyle name="%1" xfId="451" xr:uid="{00000000-0005-0000-0000-00004A000000}"/>
    <cellStyle name="%2" xfId="452" xr:uid="{00000000-0005-0000-0000-00004B000000}"/>
    <cellStyle name="******************************************" xfId="453" xr:uid="{00000000-0005-0000-0000-00004C000000}"/>
    <cellStyle name=";;;" xfId="454" xr:uid="{00000000-0005-0000-0000-00004D000000}"/>
    <cellStyle name="’Ê‰Ý [0.00]_GE 3 MINIMUM" xfId="455" xr:uid="{00000000-0005-0000-0000-00004E000000}"/>
    <cellStyle name="’Ê‰Ý_GE 3 MINIMUM" xfId="456" xr:uid="{00000000-0005-0000-0000-00004F000000}"/>
    <cellStyle name="£ BP" xfId="457" xr:uid="{00000000-0005-0000-0000-000050000000}"/>
    <cellStyle name="£ BP 2" xfId="458" xr:uid="{00000000-0005-0000-0000-000051000000}"/>
    <cellStyle name="£Currency [0]" xfId="459" xr:uid="{00000000-0005-0000-0000-000052000000}"/>
    <cellStyle name="£Currency [1]" xfId="460" xr:uid="{00000000-0005-0000-0000-000053000000}"/>
    <cellStyle name="£Currency [2]" xfId="461" xr:uid="{00000000-0005-0000-0000-000054000000}"/>
    <cellStyle name="£Currency [p]" xfId="462" xr:uid="{00000000-0005-0000-0000-000055000000}"/>
    <cellStyle name="£Currency [p2]" xfId="463" xr:uid="{00000000-0005-0000-0000-000056000000}"/>
    <cellStyle name="£Pounds" xfId="464" xr:uid="{00000000-0005-0000-0000-000057000000}"/>
    <cellStyle name="¥ JY" xfId="465" xr:uid="{00000000-0005-0000-0000-000058000000}"/>
    <cellStyle name="¥ JY 2" xfId="466" xr:uid="{00000000-0005-0000-0000-000059000000}"/>
    <cellStyle name="=C:\WINNT\SYSTEM32\COMMAND.COM" xfId="467" xr:uid="{00000000-0005-0000-0000-00005A000000}"/>
    <cellStyle name="•W_GE 3 MINIMUM" xfId="468" xr:uid="{00000000-0005-0000-0000-00005B000000}"/>
    <cellStyle name="0.0" xfId="469" xr:uid="{00000000-0005-0000-0000-00005C000000}"/>
    <cellStyle name="0.0%" xfId="470" xr:uid="{00000000-0005-0000-0000-00005D000000}"/>
    <cellStyle name="0.00" xfId="471" xr:uid="{00000000-0005-0000-0000-00005E000000}"/>
    <cellStyle name="0000" xfId="472" xr:uid="{00000000-0005-0000-0000-00005F000000}"/>
    <cellStyle name="20% - Accent1 2" xfId="7" xr:uid="{00000000-0005-0000-0000-000060000000}"/>
    <cellStyle name="20% - Accent1 2 2" xfId="8" xr:uid="{00000000-0005-0000-0000-000061000000}"/>
    <cellStyle name="20% - Accent1 2 2 2" xfId="473" xr:uid="{00000000-0005-0000-0000-000062000000}"/>
    <cellStyle name="20% - Accent1 2 2 2 2" xfId="474" xr:uid="{00000000-0005-0000-0000-000063000000}"/>
    <cellStyle name="20% - Accent1 2 2 3" xfId="475" xr:uid="{00000000-0005-0000-0000-000064000000}"/>
    <cellStyle name="20% - Accent1 2 2 4" xfId="476" xr:uid="{00000000-0005-0000-0000-000065000000}"/>
    <cellStyle name="20% - Accent1 2 3" xfId="477" xr:uid="{00000000-0005-0000-0000-000066000000}"/>
    <cellStyle name="20% - Accent1 2 3 2" xfId="478" xr:uid="{00000000-0005-0000-0000-000067000000}"/>
    <cellStyle name="20% - Accent1 2 4" xfId="479" xr:uid="{00000000-0005-0000-0000-000068000000}"/>
    <cellStyle name="20% - Accent1 2 5" xfId="480" xr:uid="{00000000-0005-0000-0000-000069000000}"/>
    <cellStyle name="20% - Accent1 2 6" xfId="481" xr:uid="{00000000-0005-0000-0000-00006A000000}"/>
    <cellStyle name="20% - Accent1 3" xfId="9" xr:uid="{00000000-0005-0000-0000-00006B000000}"/>
    <cellStyle name="20% - Accent1 3 2" xfId="10" xr:uid="{00000000-0005-0000-0000-00006C000000}"/>
    <cellStyle name="20% - Accent1 3 2 2" xfId="482" xr:uid="{00000000-0005-0000-0000-00006D000000}"/>
    <cellStyle name="20% - Accent1 3 3" xfId="483" xr:uid="{00000000-0005-0000-0000-00006E000000}"/>
    <cellStyle name="20% - Accent1 4" xfId="11" xr:uid="{00000000-0005-0000-0000-00006F000000}"/>
    <cellStyle name="20% - Accent1 4 2" xfId="484" xr:uid="{00000000-0005-0000-0000-000070000000}"/>
    <cellStyle name="20% - Accent1 5" xfId="485" xr:uid="{00000000-0005-0000-0000-000071000000}"/>
    <cellStyle name="20% - Accent1 5 2" xfId="486" xr:uid="{00000000-0005-0000-0000-000072000000}"/>
    <cellStyle name="20% - Accent1 5 3" xfId="487" xr:uid="{00000000-0005-0000-0000-000073000000}"/>
    <cellStyle name="20% - Accent1 6" xfId="488" xr:uid="{00000000-0005-0000-0000-000074000000}"/>
    <cellStyle name="20% - Accent1 7" xfId="489" xr:uid="{00000000-0005-0000-0000-000075000000}"/>
    <cellStyle name="20% - Accent1 8" xfId="490" xr:uid="{00000000-0005-0000-0000-000076000000}"/>
    <cellStyle name="20% - Accent2 2" xfId="12" xr:uid="{00000000-0005-0000-0000-000077000000}"/>
    <cellStyle name="20% - Accent2 2 2" xfId="13" xr:uid="{00000000-0005-0000-0000-000078000000}"/>
    <cellStyle name="20% - Accent2 2 2 2" xfId="491" xr:uid="{00000000-0005-0000-0000-000079000000}"/>
    <cellStyle name="20% - Accent2 2 2 2 2" xfId="492" xr:uid="{00000000-0005-0000-0000-00007A000000}"/>
    <cellStyle name="20% - Accent2 2 2 3" xfId="493" xr:uid="{00000000-0005-0000-0000-00007B000000}"/>
    <cellStyle name="20% - Accent2 2 2 4" xfId="494" xr:uid="{00000000-0005-0000-0000-00007C000000}"/>
    <cellStyle name="20% - Accent2 2 3" xfId="495" xr:uid="{00000000-0005-0000-0000-00007D000000}"/>
    <cellStyle name="20% - Accent2 2 3 2" xfId="496" xr:uid="{00000000-0005-0000-0000-00007E000000}"/>
    <cellStyle name="20% - Accent2 2 4" xfId="497" xr:uid="{00000000-0005-0000-0000-00007F000000}"/>
    <cellStyle name="20% - Accent2 2 5" xfId="498" xr:uid="{00000000-0005-0000-0000-000080000000}"/>
    <cellStyle name="20% - Accent2 2 6" xfId="499" xr:uid="{00000000-0005-0000-0000-000081000000}"/>
    <cellStyle name="20% - Accent2 3" xfId="14" xr:uid="{00000000-0005-0000-0000-000082000000}"/>
    <cellStyle name="20% - Accent2 3 2" xfId="15" xr:uid="{00000000-0005-0000-0000-000083000000}"/>
    <cellStyle name="20% - Accent2 3 2 2" xfId="500" xr:uid="{00000000-0005-0000-0000-000084000000}"/>
    <cellStyle name="20% - Accent2 3 3" xfId="501" xr:uid="{00000000-0005-0000-0000-000085000000}"/>
    <cellStyle name="20% - Accent2 4" xfId="16" xr:uid="{00000000-0005-0000-0000-000086000000}"/>
    <cellStyle name="20% - Accent2 4 2" xfId="502" xr:uid="{00000000-0005-0000-0000-000087000000}"/>
    <cellStyle name="20% - Accent2 5" xfId="503" xr:uid="{00000000-0005-0000-0000-000088000000}"/>
    <cellStyle name="20% - Accent2 5 2" xfId="504" xr:uid="{00000000-0005-0000-0000-000089000000}"/>
    <cellStyle name="20% - Accent2 5 3" xfId="505" xr:uid="{00000000-0005-0000-0000-00008A000000}"/>
    <cellStyle name="20% - Accent2 6" xfId="506" xr:uid="{00000000-0005-0000-0000-00008B000000}"/>
    <cellStyle name="20% - Accent2 7" xfId="507" xr:uid="{00000000-0005-0000-0000-00008C000000}"/>
    <cellStyle name="20% - Accent2 8" xfId="508" xr:uid="{00000000-0005-0000-0000-00008D000000}"/>
    <cellStyle name="20% - Accent3 2" xfId="17" xr:uid="{00000000-0005-0000-0000-00008E000000}"/>
    <cellStyle name="20% - Accent3 2 2" xfId="18" xr:uid="{00000000-0005-0000-0000-00008F000000}"/>
    <cellStyle name="20% - Accent3 2 2 2" xfId="509" xr:uid="{00000000-0005-0000-0000-000090000000}"/>
    <cellStyle name="20% - Accent3 2 2 2 2" xfId="510" xr:uid="{00000000-0005-0000-0000-000091000000}"/>
    <cellStyle name="20% - Accent3 2 2 3" xfId="511" xr:uid="{00000000-0005-0000-0000-000092000000}"/>
    <cellStyle name="20% - Accent3 2 2 4" xfId="512" xr:uid="{00000000-0005-0000-0000-000093000000}"/>
    <cellStyle name="20% - Accent3 2 3" xfId="513" xr:uid="{00000000-0005-0000-0000-000094000000}"/>
    <cellStyle name="20% - Accent3 2 3 2" xfId="514" xr:uid="{00000000-0005-0000-0000-000095000000}"/>
    <cellStyle name="20% - Accent3 2 4" xfId="515" xr:uid="{00000000-0005-0000-0000-000096000000}"/>
    <cellStyle name="20% - Accent3 2 5" xfId="516" xr:uid="{00000000-0005-0000-0000-000097000000}"/>
    <cellStyle name="20% - Accent3 2 6" xfId="517" xr:uid="{00000000-0005-0000-0000-000098000000}"/>
    <cellStyle name="20% - Accent3 3" xfId="19" xr:uid="{00000000-0005-0000-0000-000099000000}"/>
    <cellStyle name="20% - Accent3 3 2" xfId="20" xr:uid="{00000000-0005-0000-0000-00009A000000}"/>
    <cellStyle name="20% - Accent3 3 2 2" xfId="518" xr:uid="{00000000-0005-0000-0000-00009B000000}"/>
    <cellStyle name="20% - Accent3 3 3" xfId="519" xr:uid="{00000000-0005-0000-0000-00009C000000}"/>
    <cellStyle name="20% - Accent3 4" xfId="21" xr:uid="{00000000-0005-0000-0000-00009D000000}"/>
    <cellStyle name="20% - Accent3 4 2" xfId="520" xr:uid="{00000000-0005-0000-0000-00009E000000}"/>
    <cellStyle name="20% - Accent3 5" xfId="521" xr:uid="{00000000-0005-0000-0000-00009F000000}"/>
    <cellStyle name="20% - Accent3 5 2" xfId="522" xr:uid="{00000000-0005-0000-0000-0000A0000000}"/>
    <cellStyle name="20% - Accent3 5 3" xfId="523" xr:uid="{00000000-0005-0000-0000-0000A1000000}"/>
    <cellStyle name="20% - Accent3 6" xfId="524" xr:uid="{00000000-0005-0000-0000-0000A2000000}"/>
    <cellStyle name="20% - Accent3 7" xfId="525" xr:uid="{00000000-0005-0000-0000-0000A3000000}"/>
    <cellStyle name="20% - Accent3 8" xfId="526" xr:uid="{00000000-0005-0000-0000-0000A4000000}"/>
    <cellStyle name="20% - Accent4 2" xfId="22" xr:uid="{00000000-0005-0000-0000-0000A5000000}"/>
    <cellStyle name="20% - Accent4 2 2" xfId="23" xr:uid="{00000000-0005-0000-0000-0000A6000000}"/>
    <cellStyle name="20% - Accent4 2 2 2" xfId="527" xr:uid="{00000000-0005-0000-0000-0000A7000000}"/>
    <cellStyle name="20% - Accent4 2 2 2 2" xfId="528" xr:uid="{00000000-0005-0000-0000-0000A8000000}"/>
    <cellStyle name="20% - Accent4 2 2 3" xfId="529" xr:uid="{00000000-0005-0000-0000-0000A9000000}"/>
    <cellStyle name="20% - Accent4 2 2 4" xfId="530" xr:uid="{00000000-0005-0000-0000-0000AA000000}"/>
    <cellStyle name="20% - Accent4 2 3" xfId="531" xr:uid="{00000000-0005-0000-0000-0000AB000000}"/>
    <cellStyle name="20% - Accent4 2 3 2" xfId="532" xr:uid="{00000000-0005-0000-0000-0000AC000000}"/>
    <cellStyle name="20% - Accent4 2 4" xfId="533" xr:uid="{00000000-0005-0000-0000-0000AD000000}"/>
    <cellStyle name="20% - Accent4 2 5" xfId="534" xr:uid="{00000000-0005-0000-0000-0000AE000000}"/>
    <cellStyle name="20% - Accent4 2 6" xfId="535" xr:uid="{00000000-0005-0000-0000-0000AF000000}"/>
    <cellStyle name="20% - Accent4 3" xfId="24" xr:uid="{00000000-0005-0000-0000-0000B0000000}"/>
    <cellStyle name="20% - Accent4 3 2" xfId="25" xr:uid="{00000000-0005-0000-0000-0000B1000000}"/>
    <cellStyle name="20% - Accent4 3 2 2" xfId="536" xr:uid="{00000000-0005-0000-0000-0000B2000000}"/>
    <cellStyle name="20% - Accent4 3 3" xfId="537" xr:uid="{00000000-0005-0000-0000-0000B3000000}"/>
    <cellStyle name="20% - Accent4 4" xfId="26" xr:uid="{00000000-0005-0000-0000-0000B4000000}"/>
    <cellStyle name="20% - Accent4 4 2" xfId="538" xr:uid="{00000000-0005-0000-0000-0000B5000000}"/>
    <cellStyle name="20% - Accent4 5" xfId="539" xr:uid="{00000000-0005-0000-0000-0000B6000000}"/>
    <cellStyle name="20% - Accent4 5 2" xfId="540" xr:uid="{00000000-0005-0000-0000-0000B7000000}"/>
    <cellStyle name="20% - Accent4 5 3" xfId="541" xr:uid="{00000000-0005-0000-0000-0000B8000000}"/>
    <cellStyle name="20% - Accent4 6" xfId="542" xr:uid="{00000000-0005-0000-0000-0000B9000000}"/>
    <cellStyle name="20% - Accent4 7" xfId="543" xr:uid="{00000000-0005-0000-0000-0000BA000000}"/>
    <cellStyle name="20% - Accent4 8" xfId="544" xr:uid="{00000000-0005-0000-0000-0000BB000000}"/>
    <cellStyle name="20% - Accent5 2" xfId="27" xr:uid="{00000000-0005-0000-0000-0000BC000000}"/>
    <cellStyle name="20% - Accent5 2 2" xfId="545" xr:uid="{00000000-0005-0000-0000-0000BD000000}"/>
    <cellStyle name="20% - Accent5 2 2 2" xfId="546" xr:uid="{00000000-0005-0000-0000-0000BE000000}"/>
    <cellStyle name="20% - Accent5 2 2 2 2" xfId="547" xr:uid="{00000000-0005-0000-0000-0000BF000000}"/>
    <cellStyle name="20% - Accent5 2 2 3" xfId="548" xr:uid="{00000000-0005-0000-0000-0000C0000000}"/>
    <cellStyle name="20% - Accent5 2 3" xfId="549" xr:uid="{00000000-0005-0000-0000-0000C1000000}"/>
    <cellStyle name="20% - Accent5 2 3 2" xfId="550" xr:uid="{00000000-0005-0000-0000-0000C2000000}"/>
    <cellStyle name="20% - Accent5 2 4" xfId="551" xr:uid="{00000000-0005-0000-0000-0000C3000000}"/>
    <cellStyle name="20% - Accent5 2 5" xfId="552" xr:uid="{00000000-0005-0000-0000-0000C4000000}"/>
    <cellStyle name="20% - Accent5 2 6" xfId="553" xr:uid="{00000000-0005-0000-0000-0000C5000000}"/>
    <cellStyle name="20% - Accent5 3" xfId="28" xr:uid="{00000000-0005-0000-0000-0000C6000000}"/>
    <cellStyle name="20% - Accent5 3 2" xfId="29" xr:uid="{00000000-0005-0000-0000-0000C7000000}"/>
    <cellStyle name="20% - Accent5 3 2 2" xfId="554" xr:uid="{00000000-0005-0000-0000-0000C8000000}"/>
    <cellStyle name="20% - Accent5 3 3" xfId="555" xr:uid="{00000000-0005-0000-0000-0000C9000000}"/>
    <cellStyle name="20% - Accent5 4" xfId="30" xr:uid="{00000000-0005-0000-0000-0000CA000000}"/>
    <cellStyle name="20% - Accent5 4 2" xfId="556" xr:uid="{00000000-0005-0000-0000-0000CB000000}"/>
    <cellStyle name="20% - Accent5 5" xfId="557" xr:uid="{00000000-0005-0000-0000-0000CC000000}"/>
    <cellStyle name="20% - Accent5 5 2" xfId="558" xr:uid="{00000000-0005-0000-0000-0000CD000000}"/>
    <cellStyle name="20% - Accent5 5 3" xfId="559" xr:uid="{00000000-0005-0000-0000-0000CE000000}"/>
    <cellStyle name="20% - Accent5 6" xfId="560" xr:uid="{00000000-0005-0000-0000-0000CF000000}"/>
    <cellStyle name="20% - Accent5 7" xfId="561" xr:uid="{00000000-0005-0000-0000-0000D0000000}"/>
    <cellStyle name="20% - Accent5 8" xfId="562" xr:uid="{00000000-0005-0000-0000-0000D1000000}"/>
    <cellStyle name="20% - Accent6 2" xfId="31" xr:uid="{00000000-0005-0000-0000-0000D2000000}"/>
    <cellStyle name="20% - Accent6 2 2" xfId="32" xr:uid="{00000000-0005-0000-0000-0000D3000000}"/>
    <cellStyle name="20% - Accent6 2 2 2" xfId="563" xr:uid="{00000000-0005-0000-0000-0000D4000000}"/>
    <cellStyle name="20% - Accent6 2 2 2 2" xfId="564" xr:uid="{00000000-0005-0000-0000-0000D5000000}"/>
    <cellStyle name="20% - Accent6 2 2 3" xfId="565" xr:uid="{00000000-0005-0000-0000-0000D6000000}"/>
    <cellStyle name="20% - Accent6 2 2 4" xfId="566" xr:uid="{00000000-0005-0000-0000-0000D7000000}"/>
    <cellStyle name="20% - Accent6 2 3" xfId="567" xr:uid="{00000000-0005-0000-0000-0000D8000000}"/>
    <cellStyle name="20% - Accent6 2 3 2" xfId="568" xr:uid="{00000000-0005-0000-0000-0000D9000000}"/>
    <cellStyle name="20% - Accent6 2 4" xfId="569" xr:uid="{00000000-0005-0000-0000-0000DA000000}"/>
    <cellStyle name="20% - Accent6 2 5" xfId="570" xr:uid="{00000000-0005-0000-0000-0000DB000000}"/>
    <cellStyle name="20% - Accent6 2 6" xfId="571" xr:uid="{00000000-0005-0000-0000-0000DC000000}"/>
    <cellStyle name="20% - Accent6 3" xfId="33" xr:uid="{00000000-0005-0000-0000-0000DD000000}"/>
    <cellStyle name="20% - Accent6 3 2" xfId="34" xr:uid="{00000000-0005-0000-0000-0000DE000000}"/>
    <cellStyle name="20% - Accent6 3 2 2" xfId="572" xr:uid="{00000000-0005-0000-0000-0000DF000000}"/>
    <cellStyle name="20% - Accent6 3 3" xfId="573" xr:uid="{00000000-0005-0000-0000-0000E0000000}"/>
    <cellStyle name="20% - Accent6 4" xfId="35" xr:uid="{00000000-0005-0000-0000-0000E1000000}"/>
    <cellStyle name="20% - Accent6 4 2" xfId="574" xr:uid="{00000000-0005-0000-0000-0000E2000000}"/>
    <cellStyle name="20% - Accent6 5" xfId="575" xr:uid="{00000000-0005-0000-0000-0000E3000000}"/>
    <cellStyle name="20% - Accent6 5 2" xfId="576" xr:uid="{00000000-0005-0000-0000-0000E4000000}"/>
    <cellStyle name="20% - Accent6 5 3" xfId="577" xr:uid="{00000000-0005-0000-0000-0000E5000000}"/>
    <cellStyle name="20% - Accent6 6" xfId="578" xr:uid="{00000000-0005-0000-0000-0000E6000000}"/>
    <cellStyle name="20% - Accent6 7" xfId="579" xr:uid="{00000000-0005-0000-0000-0000E7000000}"/>
    <cellStyle name="20% - Accent6 8" xfId="580" xr:uid="{00000000-0005-0000-0000-0000E8000000}"/>
    <cellStyle name="20% - Ênfase1" xfId="581" xr:uid="{00000000-0005-0000-0000-0000E9000000}"/>
    <cellStyle name="20% - Ênfase2" xfId="582" xr:uid="{00000000-0005-0000-0000-0000EA000000}"/>
    <cellStyle name="20% - Ênfase3" xfId="583" xr:uid="{00000000-0005-0000-0000-0000EB000000}"/>
    <cellStyle name="20% - Ênfase4" xfId="584" xr:uid="{00000000-0005-0000-0000-0000EC000000}"/>
    <cellStyle name="20% - Ênfase5" xfId="585" xr:uid="{00000000-0005-0000-0000-0000ED000000}"/>
    <cellStyle name="20% - Ênfase6" xfId="586" xr:uid="{00000000-0005-0000-0000-0000EE000000}"/>
    <cellStyle name="20% - Énfasis1" xfId="587" xr:uid="{00000000-0005-0000-0000-0000EF000000}"/>
    <cellStyle name="20% - Énfasis2" xfId="588" xr:uid="{00000000-0005-0000-0000-0000F0000000}"/>
    <cellStyle name="20% - Énfasis3" xfId="589" xr:uid="{00000000-0005-0000-0000-0000F1000000}"/>
    <cellStyle name="20% - Énfasis4" xfId="590" xr:uid="{00000000-0005-0000-0000-0000F2000000}"/>
    <cellStyle name="20% - Énfasis5" xfId="591" xr:uid="{00000000-0005-0000-0000-0000F3000000}"/>
    <cellStyle name="20% - Énfasis6" xfId="592" xr:uid="{00000000-0005-0000-0000-0000F4000000}"/>
    <cellStyle name="40% - Accent1 2" xfId="36" xr:uid="{00000000-0005-0000-0000-0000F5000000}"/>
    <cellStyle name="40% - Accent1 2 2" xfId="37" xr:uid="{00000000-0005-0000-0000-0000F6000000}"/>
    <cellStyle name="40% - Accent1 2 2 2" xfId="593" xr:uid="{00000000-0005-0000-0000-0000F7000000}"/>
    <cellStyle name="40% - Accent1 2 2 2 2" xfId="594" xr:uid="{00000000-0005-0000-0000-0000F8000000}"/>
    <cellStyle name="40% - Accent1 2 2 3" xfId="595" xr:uid="{00000000-0005-0000-0000-0000F9000000}"/>
    <cellStyle name="40% - Accent1 2 2 4" xfId="596" xr:uid="{00000000-0005-0000-0000-0000FA000000}"/>
    <cellStyle name="40% - Accent1 2 3" xfId="597" xr:uid="{00000000-0005-0000-0000-0000FB000000}"/>
    <cellStyle name="40% - Accent1 2 3 2" xfId="598" xr:uid="{00000000-0005-0000-0000-0000FC000000}"/>
    <cellStyle name="40% - Accent1 2 4" xfId="599" xr:uid="{00000000-0005-0000-0000-0000FD000000}"/>
    <cellStyle name="40% - Accent1 2 5" xfId="600" xr:uid="{00000000-0005-0000-0000-0000FE000000}"/>
    <cellStyle name="40% - Accent1 2 6" xfId="601" xr:uid="{00000000-0005-0000-0000-0000FF000000}"/>
    <cellStyle name="40% - Accent1 3" xfId="38" xr:uid="{00000000-0005-0000-0000-000000010000}"/>
    <cellStyle name="40% - Accent1 3 2" xfId="39" xr:uid="{00000000-0005-0000-0000-000001010000}"/>
    <cellStyle name="40% - Accent1 3 2 2" xfId="602" xr:uid="{00000000-0005-0000-0000-000002010000}"/>
    <cellStyle name="40% - Accent1 3 3" xfId="603" xr:uid="{00000000-0005-0000-0000-000003010000}"/>
    <cellStyle name="40% - Accent1 4" xfId="40" xr:uid="{00000000-0005-0000-0000-000004010000}"/>
    <cellStyle name="40% - Accent1 4 2" xfId="604" xr:uid="{00000000-0005-0000-0000-000005010000}"/>
    <cellStyle name="40% - Accent1 5" xfId="605" xr:uid="{00000000-0005-0000-0000-000006010000}"/>
    <cellStyle name="40% - Accent1 5 2" xfId="606" xr:uid="{00000000-0005-0000-0000-000007010000}"/>
    <cellStyle name="40% - Accent1 5 3" xfId="607" xr:uid="{00000000-0005-0000-0000-000008010000}"/>
    <cellStyle name="40% - Accent1 6" xfId="608" xr:uid="{00000000-0005-0000-0000-000009010000}"/>
    <cellStyle name="40% - Accent1 7" xfId="609" xr:uid="{00000000-0005-0000-0000-00000A010000}"/>
    <cellStyle name="40% - Accent1 8" xfId="610" xr:uid="{00000000-0005-0000-0000-00000B010000}"/>
    <cellStyle name="40% - Accent2 2" xfId="41" xr:uid="{00000000-0005-0000-0000-00000C010000}"/>
    <cellStyle name="40% - Accent2 2 2" xfId="611" xr:uid="{00000000-0005-0000-0000-00000D010000}"/>
    <cellStyle name="40% - Accent2 2 2 2" xfId="612" xr:uid="{00000000-0005-0000-0000-00000E010000}"/>
    <cellStyle name="40% - Accent2 2 2 2 2" xfId="613" xr:uid="{00000000-0005-0000-0000-00000F010000}"/>
    <cellStyle name="40% - Accent2 2 2 3" xfId="614" xr:uid="{00000000-0005-0000-0000-000010010000}"/>
    <cellStyle name="40% - Accent2 2 3" xfId="615" xr:uid="{00000000-0005-0000-0000-000011010000}"/>
    <cellStyle name="40% - Accent2 2 3 2" xfId="616" xr:uid="{00000000-0005-0000-0000-000012010000}"/>
    <cellStyle name="40% - Accent2 2 4" xfId="617" xr:uid="{00000000-0005-0000-0000-000013010000}"/>
    <cellStyle name="40% - Accent2 2 5" xfId="618" xr:uid="{00000000-0005-0000-0000-000014010000}"/>
    <cellStyle name="40% - Accent2 2 6" xfId="619" xr:uid="{00000000-0005-0000-0000-000015010000}"/>
    <cellStyle name="40% - Accent2 3" xfId="42" xr:uid="{00000000-0005-0000-0000-000016010000}"/>
    <cellStyle name="40% - Accent2 3 2" xfId="43" xr:uid="{00000000-0005-0000-0000-000017010000}"/>
    <cellStyle name="40% - Accent2 3 2 2" xfId="620" xr:uid="{00000000-0005-0000-0000-000018010000}"/>
    <cellStyle name="40% - Accent2 3 3" xfId="621" xr:uid="{00000000-0005-0000-0000-000019010000}"/>
    <cellStyle name="40% - Accent2 4" xfId="44" xr:uid="{00000000-0005-0000-0000-00001A010000}"/>
    <cellStyle name="40% - Accent2 4 2" xfId="622" xr:uid="{00000000-0005-0000-0000-00001B010000}"/>
    <cellStyle name="40% - Accent2 5" xfId="623" xr:uid="{00000000-0005-0000-0000-00001C010000}"/>
    <cellStyle name="40% - Accent2 5 2" xfId="624" xr:uid="{00000000-0005-0000-0000-00001D010000}"/>
    <cellStyle name="40% - Accent2 5 3" xfId="625" xr:uid="{00000000-0005-0000-0000-00001E010000}"/>
    <cellStyle name="40% - Accent2 6" xfId="626" xr:uid="{00000000-0005-0000-0000-00001F010000}"/>
    <cellStyle name="40% - Accent2 7" xfId="627" xr:uid="{00000000-0005-0000-0000-000020010000}"/>
    <cellStyle name="40% - Accent2 8" xfId="628" xr:uid="{00000000-0005-0000-0000-000021010000}"/>
    <cellStyle name="40% - Accent3 2" xfId="45" xr:uid="{00000000-0005-0000-0000-000022010000}"/>
    <cellStyle name="40% - Accent3 2 2" xfId="46" xr:uid="{00000000-0005-0000-0000-000023010000}"/>
    <cellStyle name="40% - Accent3 2 2 2" xfId="629" xr:uid="{00000000-0005-0000-0000-000024010000}"/>
    <cellStyle name="40% - Accent3 2 2 2 2" xfId="630" xr:uid="{00000000-0005-0000-0000-000025010000}"/>
    <cellStyle name="40% - Accent3 2 2 3" xfId="631" xr:uid="{00000000-0005-0000-0000-000026010000}"/>
    <cellStyle name="40% - Accent3 2 2 4" xfId="632" xr:uid="{00000000-0005-0000-0000-000027010000}"/>
    <cellStyle name="40% - Accent3 2 3" xfId="633" xr:uid="{00000000-0005-0000-0000-000028010000}"/>
    <cellStyle name="40% - Accent3 2 3 2" xfId="634" xr:uid="{00000000-0005-0000-0000-000029010000}"/>
    <cellStyle name="40% - Accent3 2 4" xfId="635" xr:uid="{00000000-0005-0000-0000-00002A010000}"/>
    <cellStyle name="40% - Accent3 2 5" xfId="636" xr:uid="{00000000-0005-0000-0000-00002B010000}"/>
    <cellStyle name="40% - Accent3 2 6" xfId="637" xr:uid="{00000000-0005-0000-0000-00002C010000}"/>
    <cellStyle name="40% - Accent3 3" xfId="47" xr:uid="{00000000-0005-0000-0000-00002D010000}"/>
    <cellStyle name="40% - Accent3 3 2" xfId="48" xr:uid="{00000000-0005-0000-0000-00002E010000}"/>
    <cellStyle name="40% - Accent3 3 2 2" xfId="638" xr:uid="{00000000-0005-0000-0000-00002F010000}"/>
    <cellStyle name="40% - Accent3 3 3" xfId="639" xr:uid="{00000000-0005-0000-0000-000030010000}"/>
    <cellStyle name="40% - Accent3 4" xfId="49" xr:uid="{00000000-0005-0000-0000-000031010000}"/>
    <cellStyle name="40% - Accent3 4 2" xfId="640" xr:uid="{00000000-0005-0000-0000-000032010000}"/>
    <cellStyle name="40% - Accent3 5" xfId="641" xr:uid="{00000000-0005-0000-0000-000033010000}"/>
    <cellStyle name="40% - Accent3 5 2" xfId="642" xr:uid="{00000000-0005-0000-0000-000034010000}"/>
    <cellStyle name="40% - Accent3 5 3" xfId="643" xr:uid="{00000000-0005-0000-0000-000035010000}"/>
    <cellStyle name="40% - Accent3 6" xfId="644" xr:uid="{00000000-0005-0000-0000-000036010000}"/>
    <cellStyle name="40% - Accent3 7" xfId="645" xr:uid="{00000000-0005-0000-0000-000037010000}"/>
    <cellStyle name="40% - Accent3 8" xfId="646" xr:uid="{00000000-0005-0000-0000-000038010000}"/>
    <cellStyle name="40% - Accent4 2" xfId="50" xr:uid="{00000000-0005-0000-0000-000039010000}"/>
    <cellStyle name="40% - Accent4 2 2" xfId="51" xr:uid="{00000000-0005-0000-0000-00003A010000}"/>
    <cellStyle name="40% - Accent4 2 2 2" xfId="647" xr:uid="{00000000-0005-0000-0000-00003B010000}"/>
    <cellStyle name="40% - Accent4 2 2 2 2" xfId="648" xr:uid="{00000000-0005-0000-0000-00003C010000}"/>
    <cellStyle name="40% - Accent4 2 2 3" xfId="649" xr:uid="{00000000-0005-0000-0000-00003D010000}"/>
    <cellStyle name="40% - Accent4 2 2 4" xfId="650" xr:uid="{00000000-0005-0000-0000-00003E010000}"/>
    <cellStyle name="40% - Accent4 2 3" xfId="651" xr:uid="{00000000-0005-0000-0000-00003F010000}"/>
    <cellStyle name="40% - Accent4 2 3 2" xfId="652" xr:uid="{00000000-0005-0000-0000-000040010000}"/>
    <cellStyle name="40% - Accent4 2 4" xfId="653" xr:uid="{00000000-0005-0000-0000-000041010000}"/>
    <cellStyle name="40% - Accent4 2 5" xfId="654" xr:uid="{00000000-0005-0000-0000-000042010000}"/>
    <cellStyle name="40% - Accent4 2 6" xfId="655" xr:uid="{00000000-0005-0000-0000-000043010000}"/>
    <cellStyle name="40% - Accent4 3" xfId="52" xr:uid="{00000000-0005-0000-0000-000044010000}"/>
    <cellStyle name="40% - Accent4 3 2" xfId="53" xr:uid="{00000000-0005-0000-0000-000045010000}"/>
    <cellStyle name="40% - Accent4 3 2 2" xfId="656" xr:uid="{00000000-0005-0000-0000-000046010000}"/>
    <cellStyle name="40% - Accent4 3 3" xfId="657" xr:uid="{00000000-0005-0000-0000-000047010000}"/>
    <cellStyle name="40% - Accent4 4" xfId="54" xr:uid="{00000000-0005-0000-0000-000048010000}"/>
    <cellStyle name="40% - Accent4 4 2" xfId="658" xr:uid="{00000000-0005-0000-0000-000049010000}"/>
    <cellStyle name="40% - Accent4 5" xfId="659" xr:uid="{00000000-0005-0000-0000-00004A010000}"/>
    <cellStyle name="40% - Accent4 5 2" xfId="660" xr:uid="{00000000-0005-0000-0000-00004B010000}"/>
    <cellStyle name="40% - Accent4 5 3" xfId="661" xr:uid="{00000000-0005-0000-0000-00004C010000}"/>
    <cellStyle name="40% - Accent4 6" xfId="662" xr:uid="{00000000-0005-0000-0000-00004D010000}"/>
    <cellStyle name="40% - Accent4 7" xfId="663" xr:uid="{00000000-0005-0000-0000-00004E010000}"/>
    <cellStyle name="40% - Accent4 8" xfId="664" xr:uid="{00000000-0005-0000-0000-00004F010000}"/>
    <cellStyle name="40% - Accent5 2" xfId="55" xr:uid="{00000000-0005-0000-0000-000050010000}"/>
    <cellStyle name="40% - Accent5 2 2" xfId="665" xr:uid="{00000000-0005-0000-0000-000051010000}"/>
    <cellStyle name="40% - Accent5 2 2 2" xfId="666" xr:uid="{00000000-0005-0000-0000-000052010000}"/>
    <cellStyle name="40% - Accent5 2 2 2 2" xfId="667" xr:uid="{00000000-0005-0000-0000-000053010000}"/>
    <cellStyle name="40% - Accent5 2 2 3" xfId="668" xr:uid="{00000000-0005-0000-0000-000054010000}"/>
    <cellStyle name="40% - Accent5 2 3" xfId="669" xr:uid="{00000000-0005-0000-0000-000055010000}"/>
    <cellStyle name="40% - Accent5 2 3 2" xfId="670" xr:uid="{00000000-0005-0000-0000-000056010000}"/>
    <cellStyle name="40% - Accent5 2 4" xfId="671" xr:uid="{00000000-0005-0000-0000-000057010000}"/>
    <cellStyle name="40% - Accent5 2 5" xfId="672" xr:uid="{00000000-0005-0000-0000-000058010000}"/>
    <cellStyle name="40% - Accent5 2 6" xfId="673" xr:uid="{00000000-0005-0000-0000-000059010000}"/>
    <cellStyle name="40% - Accent5 3" xfId="56" xr:uid="{00000000-0005-0000-0000-00005A010000}"/>
    <cellStyle name="40% - Accent5 3 2" xfId="57" xr:uid="{00000000-0005-0000-0000-00005B010000}"/>
    <cellStyle name="40% - Accent5 3 2 2" xfId="674" xr:uid="{00000000-0005-0000-0000-00005C010000}"/>
    <cellStyle name="40% - Accent5 3 3" xfId="675" xr:uid="{00000000-0005-0000-0000-00005D010000}"/>
    <cellStyle name="40% - Accent5 4" xfId="58" xr:uid="{00000000-0005-0000-0000-00005E010000}"/>
    <cellStyle name="40% - Accent5 4 2" xfId="676" xr:uid="{00000000-0005-0000-0000-00005F010000}"/>
    <cellStyle name="40% - Accent5 5" xfId="677" xr:uid="{00000000-0005-0000-0000-000060010000}"/>
    <cellStyle name="40% - Accent5 5 2" xfId="678" xr:uid="{00000000-0005-0000-0000-000061010000}"/>
    <cellStyle name="40% - Accent5 5 3" xfId="679" xr:uid="{00000000-0005-0000-0000-000062010000}"/>
    <cellStyle name="40% - Accent5 6" xfId="680" xr:uid="{00000000-0005-0000-0000-000063010000}"/>
    <cellStyle name="40% - Accent5 7" xfId="681" xr:uid="{00000000-0005-0000-0000-000064010000}"/>
    <cellStyle name="40% - Accent5 8" xfId="682" xr:uid="{00000000-0005-0000-0000-000065010000}"/>
    <cellStyle name="40% - Accent6 2" xfId="59" xr:uid="{00000000-0005-0000-0000-000066010000}"/>
    <cellStyle name="40% - Accent6 2 2" xfId="60" xr:uid="{00000000-0005-0000-0000-000067010000}"/>
    <cellStyle name="40% - Accent6 2 2 2" xfId="683" xr:uid="{00000000-0005-0000-0000-000068010000}"/>
    <cellStyle name="40% - Accent6 2 2 2 2" xfId="684" xr:uid="{00000000-0005-0000-0000-000069010000}"/>
    <cellStyle name="40% - Accent6 2 2 3" xfId="685" xr:uid="{00000000-0005-0000-0000-00006A010000}"/>
    <cellStyle name="40% - Accent6 2 2 4" xfId="686" xr:uid="{00000000-0005-0000-0000-00006B010000}"/>
    <cellStyle name="40% - Accent6 2 3" xfId="687" xr:uid="{00000000-0005-0000-0000-00006C010000}"/>
    <cellStyle name="40% - Accent6 2 3 2" xfId="688" xr:uid="{00000000-0005-0000-0000-00006D010000}"/>
    <cellStyle name="40% - Accent6 2 4" xfId="689" xr:uid="{00000000-0005-0000-0000-00006E010000}"/>
    <cellStyle name="40% - Accent6 2 5" xfId="690" xr:uid="{00000000-0005-0000-0000-00006F010000}"/>
    <cellStyle name="40% - Accent6 2 6" xfId="691" xr:uid="{00000000-0005-0000-0000-000070010000}"/>
    <cellStyle name="40% - Accent6 3" xfId="61" xr:uid="{00000000-0005-0000-0000-000071010000}"/>
    <cellStyle name="40% - Accent6 3 2" xfId="62" xr:uid="{00000000-0005-0000-0000-000072010000}"/>
    <cellStyle name="40% - Accent6 3 2 2" xfId="692" xr:uid="{00000000-0005-0000-0000-000073010000}"/>
    <cellStyle name="40% - Accent6 3 3" xfId="693" xr:uid="{00000000-0005-0000-0000-000074010000}"/>
    <cellStyle name="40% - Accent6 4" xfId="63" xr:uid="{00000000-0005-0000-0000-000075010000}"/>
    <cellStyle name="40% - Accent6 4 2" xfId="694" xr:uid="{00000000-0005-0000-0000-000076010000}"/>
    <cellStyle name="40% - Accent6 5" xfId="695" xr:uid="{00000000-0005-0000-0000-000077010000}"/>
    <cellStyle name="40% - Accent6 5 2" xfId="696" xr:uid="{00000000-0005-0000-0000-000078010000}"/>
    <cellStyle name="40% - Accent6 5 3" xfId="697" xr:uid="{00000000-0005-0000-0000-000079010000}"/>
    <cellStyle name="40% - Accent6 6" xfId="698" xr:uid="{00000000-0005-0000-0000-00007A010000}"/>
    <cellStyle name="40% - Accent6 7" xfId="699" xr:uid="{00000000-0005-0000-0000-00007B010000}"/>
    <cellStyle name="40% - Accent6 8" xfId="700" xr:uid="{00000000-0005-0000-0000-00007C010000}"/>
    <cellStyle name="40% - Ênfase1" xfId="701" xr:uid="{00000000-0005-0000-0000-00007D010000}"/>
    <cellStyle name="40% - Ênfase2" xfId="702" xr:uid="{00000000-0005-0000-0000-00007E010000}"/>
    <cellStyle name="40% - Ênfase3" xfId="703" xr:uid="{00000000-0005-0000-0000-00007F010000}"/>
    <cellStyle name="40% - Ênfase4" xfId="704" xr:uid="{00000000-0005-0000-0000-000080010000}"/>
    <cellStyle name="40% - Ênfase5" xfId="705" xr:uid="{00000000-0005-0000-0000-000081010000}"/>
    <cellStyle name="40% - Ênfase6" xfId="706" xr:uid="{00000000-0005-0000-0000-000082010000}"/>
    <cellStyle name="40% - Énfasis1" xfId="707" xr:uid="{00000000-0005-0000-0000-000083010000}"/>
    <cellStyle name="40% - Énfasis2" xfId="708" xr:uid="{00000000-0005-0000-0000-000084010000}"/>
    <cellStyle name="40% - Énfasis3" xfId="709" xr:uid="{00000000-0005-0000-0000-000085010000}"/>
    <cellStyle name="40% - Énfasis4" xfId="710" xr:uid="{00000000-0005-0000-0000-000086010000}"/>
    <cellStyle name="40% - Énfasis5" xfId="711" xr:uid="{00000000-0005-0000-0000-000087010000}"/>
    <cellStyle name="40% - Énfasis6" xfId="712" xr:uid="{00000000-0005-0000-0000-000088010000}"/>
    <cellStyle name="60% - Accent1 2" xfId="64" xr:uid="{00000000-0005-0000-0000-000089010000}"/>
    <cellStyle name="60% - Accent1 2 2" xfId="65" xr:uid="{00000000-0005-0000-0000-00008A010000}"/>
    <cellStyle name="60% - Accent1 3" xfId="713" xr:uid="{00000000-0005-0000-0000-00008B010000}"/>
    <cellStyle name="60% - Accent2 2" xfId="66" xr:uid="{00000000-0005-0000-0000-00008C010000}"/>
    <cellStyle name="60% - Accent2 3" xfId="714" xr:uid="{00000000-0005-0000-0000-00008D010000}"/>
    <cellStyle name="60% - Accent3 2" xfId="67" xr:uid="{00000000-0005-0000-0000-00008E010000}"/>
    <cellStyle name="60% - Accent3 2 2" xfId="68" xr:uid="{00000000-0005-0000-0000-00008F010000}"/>
    <cellStyle name="60% - Accent3 3" xfId="715" xr:uid="{00000000-0005-0000-0000-000090010000}"/>
    <cellStyle name="60% - Accent4 2" xfId="69" xr:uid="{00000000-0005-0000-0000-000091010000}"/>
    <cellStyle name="60% - Accent4 2 2" xfId="70" xr:uid="{00000000-0005-0000-0000-000092010000}"/>
    <cellStyle name="60% - Accent4 3" xfId="716" xr:uid="{00000000-0005-0000-0000-000093010000}"/>
    <cellStyle name="60% - Accent5 2" xfId="71" xr:uid="{00000000-0005-0000-0000-000094010000}"/>
    <cellStyle name="60% - Accent5 2 2" xfId="72" xr:uid="{00000000-0005-0000-0000-000095010000}"/>
    <cellStyle name="60% - Accent5 3" xfId="717" xr:uid="{00000000-0005-0000-0000-000096010000}"/>
    <cellStyle name="60% - Accent6 2" xfId="73" xr:uid="{00000000-0005-0000-0000-000097010000}"/>
    <cellStyle name="60% - Accent6 2 2" xfId="74" xr:uid="{00000000-0005-0000-0000-000098010000}"/>
    <cellStyle name="60% - Accent6 3" xfId="718" xr:uid="{00000000-0005-0000-0000-000099010000}"/>
    <cellStyle name="60% - Ênfase1" xfId="719" xr:uid="{00000000-0005-0000-0000-00009A010000}"/>
    <cellStyle name="60% - Ênfase2" xfId="720" xr:uid="{00000000-0005-0000-0000-00009B010000}"/>
    <cellStyle name="60% - Ênfase3" xfId="721" xr:uid="{00000000-0005-0000-0000-00009C010000}"/>
    <cellStyle name="60% - Ênfase4" xfId="722" xr:uid="{00000000-0005-0000-0000-00009D010000}"/>
    <cellStyle name="60% - Ênfase5" xfId="723" xr:uid="{00000000-0005-0000-0000-00009E010000}"/>
    <cellStyle name="60% - Ênfase6" xfId="724" xr:uid="{00000000-0005-0000-0000-00009F010000}"/>
    <cellStyle name="60% - Énfasis1" xfId="725" xr:uid="{00000000-0005-0000-0000-0000A0010000}"/>
    <cellStyle name="60% - Énfasis2" xfId="726" xr:uid="{00000000-0005-0000-0000-0000A1010000}"/>
    <cellStyle name="60% - Énfasis3" xfId="727" xr:uid="{00000000-0005-0000-0000-0000A2010000}"/>
    <cellStyle name="60% - Énfasis4" xfId="728" xr:uid="{00000000-0005-0000-0000-0000A3010000}"/>
    <cellStyle name="60% - Énfasis5" xfId="729" xr:uid="{00000000-0005-0000-0000-0000A4010000}"/>
    <cellStyle name="60% - Énfasis6" xfId="730" xr:uid="{00000000-0005-0000-0000-0000A5010000}"/>
    <cellStyle name="Accent1 2" xfId="75" xr:uid="{00000000-0005-0000-0000-0000A6010000}"/>
    <cellStyle name="Accent1 2 2" xfId="76" xr:uid="{00000000-0005-0000-0000-0000A7010000}"/>
    <cellStyle name="Accent1 3" xfId="731" xr:uid="{00000000-0005-0000-0000-0000A8010000}"/>
    <cellStyle name="Accent2 2" xfId="77" xr:uid="{00000000-0005-0000-0000-0000A9010000}"/>
    <cellStyle name="Accent2 3" xfId="732" xr:uid="{00000000-0005-0000-0000-0000AA010000}"/>
    <cellStyle name="Accent3 2" xfId="78" xr:uid="{00000000-0005-0000-0000-0000AB010000}"/>
    <cellStyle name="Accent3 2 2" xfId="79" xr:uid="{00000000-0005-0000-0000-0000AC010000}"/>
    <cellStyle name="Accent3 3" xfId="733" xr:uid="{00000000-0005-0000-0000-0000AD010000}"/>
    <cellStyle name="Accent4 2" xfId="80" xr:uid="{00000000-0005-0000-0000-0000AE010000}"/>
    <cellStyle name="Accent4 2 2" xfId="81" xr:uid="{00000000-0005-0000-0000-0000AF010000}"/>
    <cellStyle name="Accent4 3" xfId="734" xr:uid="{00000000-0005-0000-0000-0000B0010000}"/>
    <cellStyle name="Accent5 2" xfId="82" xr:uid="{00000000-0005-0000-0000-0000B1010000}"/>
    <cellStyle name="Accent5 2 2" xfId="83" xr:uid="{00000000-0005-0000-0000-0000B2010000}"/>
    <cellStyle name="Accent5 3" xfId="735" xr:uid="{00000000-0005-0000-0000-0000B3010000}"/>
    <cellStyle name="Accent6 2" xfId="84" xr:uid="{00000000-0005-0000-0000-0000B4010000}"/>
    <cellStyle name="Accent6 2 2" xfId="85" xr:uid="{00000000-0005-0000-0000-0000B5010000}"/>
    <cellStyle name="Accent6 3" xfId="736" xr:uid="{00000000-0005-0000-0000-0000B6010000}"/>
    <cellStyle name="Accounting $" xfId="737" xr:uid="{00000000-0005-0000-0000-0000B7010000}"/>
    <cellStyle name="AFE" xfId="738" xr:uid="{00000000-0005-0000-0000-0000B8010000}"/>
    <cellStyle name="AFE 2" xfId="739" xr:uid="{00000000-0005-0000-0000-0000B9010000}"/>
    <cellStyle name="AFE_COACH_Public_Comps_SOLUTION_v1 28_Hermes (3)" xfId="740" xr:uid="{00000000-0005-0000-0000-0000BA010000}"/>
    <cellStyle name="Availability" xfId="741" xr:uid="{00000000-0005-0000-0000-0000BB010000}"/>
    <cellStyle name="Bad 2" xfId="86" xr:uid="{00000000-0005-0000-0000-0000BC010000}"/>
    <cellStyle name="Bad 3" xfId="742" xr:uid="{00000000-0005-0000-0000-0000BD010000}"/>
    <cellStyle name="bch" xfId="743" xr:uid="{00000000-0005-0000-0000-0000BE010000}"/>
    <cellStyle name="B-CHeader" xfId="744" xr:uid="{00000000-0005-0000-0000-0000BF010000}"/>
    <cellStyle name="bci" xfId="745" xr:uid="{00000000-0005-0000-0000-0000C0010000}"/>
    <cellStyle name="Black" xfId="87" xr:uid="{00000000-0005-0000-0000-0000C1010000}"/>
    <cellStyle name="Black Text" xfId="746" xr:uid="{00000000-0005-0000-0000-0000C2010000}"/>
    <cellStyle name="Black Text (No Wrap)" xfId="747" xr:uid="{00000000-0005-0000-0000-0000C3010000}"/>
    <cellStyle name="Black Text_Argentina" xfId="748" xr:uid="{00000000-0005-0000-0000-0000C4010000}"/>
    <cellStyle name="Blank" xfId="749" xr:uid="{00000000-0005-0000-0000-0000C5010000}"/>
    <cellStyle name="Blue" xfId="88" xr:uid="{00000000-0005-0000-0000-0000C6010000}"/>
    <cellStyle name="Blue 2" xfId="750" xr:uid="{00000000-0005-0000-0000-0000C7010000}"/>
    <cellStyle name="Blue 3" xfId="751" xr:uid="{00000000-0005-0000-0000-0000C8010000}"/>
    <cellStyle name="Blue Text" xfId="752" xr:uid="{00000000-0005-0000-0000-0000C9010000}"/>
    <cellStyle name="Blue Text - Ariel 10" xfId="753" xr:uid="{00000000-0005-0000-0000-0000CA010000}"/>
    <cellStyle name="Blue Text_Argentina" xfId="754" xr:uid="{00000000-0005-0000-0000-0000CB010000}"/>
    <cellStyle name="Body_$Dollars" xfId="755" xr:uid="{00000000-0005-0000-0000-0000CC010000}"/>
    <cellStyle name="Bold/Border" xfId="756" xr:uid="{00000000-0005-0000-0000-0000CD010000}"/>
    <cellStyle name="Bol-Data" xfId="757" xr:uid="{00000000-0005-0000-0000-0000CE010000}"/>
    <cellStyle name="bolet" xfId="758" xr:uid="{00000000-0005-0000-0000-0000CF010000}"/>
    <cellStyle name="Boletim" xfId="759" xr:uid="{00000000-0005-0000-0000-0000D0010000}"/>
    <cellStyle name="Bom" xfId="760" xr:uid="{00000000-0005-0000-0000-0000D1010000}"/>
    <cellStyle name="Border, Bottom" xfId="761" xr:uid="{00000000-0005-0000-0000-0000D2010000}"/>
    <cellStyle name="Border, Bottom 2" xfId="762" xr:uid="{00000000-0005-0000-0000-0000D3010000}"/>
    <cellStyle name="Border, Bottom 3" xfId="763" xr:uid="{00000000-0005-0000-0000-0000D4010000}"/>
    <cellStyle name="Border, Left" xfId="764" xr:uid="{00000000-0005-0000-0000-0000D5010000}"/>
    <cellStyle name="Border, Left 2" xfId="765" xr:uid="{00000000-0005-0000-0000-0000D6010000}"/>
    <cellStyle name="Border, Left 3" xfId="766" xr:uid="{00000000-0005-0000-0000-0000D7010000}"/>
    <cellStyle name="Border, Right" xfId="767" xr:uid="{00000000-0005-0000-0000-0000D8010000}"/>
    <cellStyle name="Border, Right 2" xfId="768" xr:uid="{00000000-0005-0000-0000-0000D9010000}"/>
    <cellStyle name="Border, Right 3" xfId="769" xr:uid="{00000000-0005-0000-0000-0000DA010000}"/>
    <cellStyle name="Border, Top" xfId="770" xr:uid="{00000000-0005-0000-0000-0000DB010000}"/>
    <cellStyle name="Border, Top 2" xfId="771" xr:uid="{00000000-0005-0000-0000-0000DC010000}"/>
    <cellStyle name="Border, Top 2 2" xfId="772" xr:uid="{00000000-0005-0000-0000-0000DD010000}"/>
    <cellStyle name="Border, Top 3" xfId="773" xr:uid="{00000000-0005-0000-0000-0000DE010000}"/>
    <cellStyle name="Border, Top 3 2" xfId="774" xr:uid="{00000000-0005-0000-0000-0000DF010000}"/>
    <cellStyle name="Border, Top 4" xfId="775" xr:uid="{00000000-0005-0000-0000-0000E0010000}"/>
    <cellStyle name="Bottom Edge" xfId="776" xr:uid="{00000000-0005-0000-0000-0000E1010000}"/>
    <cellStyle name="Bottom Edge 2" xfId="777" xr:uid="{00000000-0005-0000-0000-0000E2010000}"/>
    <cellStyle name="Bottom Edge 2 2" xfId="778" xr:uid="{00000000-0005-0000-0000-0000E3010000}"/>
    <cellStyle name="Bottom Edge 2 3" xfId="779" xr:uid="{00000000-0005-0000-0000-0000E4010000}"/>
    <cellStyle name="Bottom Edge 3" xfId="780" xr:uid="{00000000-0005-0000-0000-0000E5010000}"/>
    <cellStyle name="Bottom Edge 4" xfId="781" xr:uid="{00000000-0005-0000-0000-0000E6010000}"/>
    <cellStyle name="Buena" xfId="782" xr:uid="{00000000-0005-0000-0000-0000E7010000}"/>
    <cellStyle name="Bullet" xfId="783" xr:uid="{00000000-0005-0000-0000-0000E8010000}"/>
    <cellStyle name="Bullet 2" xfId="784" xr:uid="{00000000-0005-0000-0000-0000E9010000}"/>
    <cellStyle name="c_HardInc " xfId="785" xr:uid="{00000000-0005-0000-0000-0000EA010000}"/>
    <cellStyle name="c_HardInc _1 Cadbury_&amp;_Kraft_Model_v11.0" xfId="786" xr:uid="{00000000-0005-0000-0000-0000EB010000}"/>
    <cellStyle name="c_HardInc _2 HNZ_CPB_v11.0" xfId="787" xr:uid="{00000000-0005-0000-0000-0000EC010000}"/>
    <cellStyle name="c_HardInc _2 HNZ_CPB_v11.0.2" xfId="788" xr:uid="{00000000-0005-0000-0000-0000ED010000}"/>
    <cellStyle name="c_HardInc _Book2" xfId="789" xr:uid="{00000000-0005-0000-0000-0000EE010000}"/>
    <cellStyle name="c_HardInc _CBRY_Case_v2.0 DRAFT4.0_AL" xfId="790" xr:uid="{00000000-0005-0000-0000-0000EF010000}"/>
    <cellStyle name="c_HardInc _CBRY_Case_v2.0 DRAFT4.0_AL_MBA_Val_101_CAD_2009_BACKUP_v1.0_Draft_10" xfId="791" xr:uid="{00000000-0005-0000-0000-0000F0010000}"/>
    <cellStyle name="c_HardInc _CBRY_Case_v2.0 DRAFT4.0_AL_MBA_Val_101_CAD_2009_BACKUP_v1.0_Draft_15" xfId="792" xr:uid="{00000000-0005-0000-0000-0000F1010000}"/>
    <cellStyle name="c_HardInc _COH_Merger_Model_Analysts_SOLUTION_v1.88" xfId="793" xr:uid="{00000000-0005-0000-0000-0000F2010000}"/>
    <cellStyle name="c_HardInc _Copy of COH_2008_FM_SOLUTION_DCF_v1.05" xfId="794" xr:uid="{00000000-0005-0000-0000-0000F3010000}"/>
    <cellStyle name="c_HardInc _MBA_Val_CAD_DCFv2.0" xfId="795" xr:uid="{00000000-0005-0000-0000-0000F4010000}"/>
    <cellStyle name="c_HardInc _MBA_Val_CAD_DCFv2.0_MBA_Val_101_CAD_2009_BACKUP_v1.0_Draft_10" xfId="796" xr:uid="{00000000-0005-0000-0000-0000F5010000}"/>
    <cellStyle name="c_HardInc _MBA_Val_CAD_DCFv2.0_MBA_Val_101_CAD_2009_BACKUP_v1.0_Draft_15" xfId="797" xr:uid="{00000000-0005-0000-0000-0000F6010000}"/>
    <cellStyle name="c_HardInc _MBA_Val_CAD_DCFv2.0_MBA_Val_101_CAD_2009_BACKUP_v1.0_Draft_9" xfId="798" xr:uid="{00000000-0005-0000-0000-0000F7010000}"/>
    <cellStyle name="Calculation 2" xfId="89" xr:uid="{00000000-0005-0000-0000-0000F8010000}"/>
    <cellStyle name="Calculation 2 2" xfId="90" xr:uid="{00000000-0005-0000-0000-0000F9010000}"/>
    <cellStyle name="Calculation 2 2 2" xfId="799" xr:uid="{00000000-0005-0000-0000-0000FA010000}"/>
    <cellStyle name="Calculation 2 2 2 2" xfId="800" xr:uid="{00000000-0005-0000-0000-0000FB010000}"/>
    <cellStyle name="Calculation 2 2 2 3" xfId="801" xr:uid="{00000000-0005-0000-0000-0000FC010000}"/>
    <cellStyle name="Calculation 2 2 3" xfId="802" xr:uid="{00000000-0005-0000-0000-0000FD010000}"/>
    <cellStyle name="Calculation 2 2 4" xfId="803" xr:uid="{00000000-0005-0000-0000-0000FE010000}"/>
    <cellStyle name="Calculation 2 3" xfId="804" xr:uid="{00000000-0005-0000-0000-0000FF010000}"/>
    <cellStyle name="Calculation 2 3 2" xfId="805" xr:uid="{00000000-0005-0000-0000-000000020000}"/>
    <cellStyle name="Calculation 2 3 3" xfId="806" xr:uid="{00000000-0005-0000-0000-000001020000}"/>
    <cellStyle name="Calculation 2 4" xfId="807" xr:uid="{00000000-0005-0000-0000-000002020000}"/>
    <cellStyle name="Calculation 2 5" xfId="808" xr:uid="{00000000-0005-0000-0000-000003020000}"/>
    <cellStyle name="Calculation 3" xfId="809" xr:uid="{00000000-0005-0000-0000-000004020000}"/>
    <cellStyle name="Calculation 3 2" xfId="810" xr:uid="{00000000-0005-0000-0000-000005020000}"/>
    <cellStyle name="Calculation 3 2 2" xfId="811" xr:uid="{00000000-0005-0000-0000-000006020000}"/>
    <cellStyle name="Calculation 3 2 3" xfId="812" xr:uid="{00000000-0005-0000-0000-000007020000}"/>
    <cellStyle name="Calculation 3 3" xfId="813" xr:uid="{00000000-0005-0000-0000-000008020000}"/>
    <cellStyle name="Calculation 3 4" xfId="814" xr:uid="{00000000-0005-0000-0000-000009020000}"/>
    <cellStyle name="Cálculo" xfId="815" xr:uid="{00000000-0005-0000-0000-00000A020000}"/>
    <cellStyle name="Cálculo 2" xfId="816" xr:uid="{00000000-0005-0000-0000-00000B020000}"/>
    <cellStyle name="Celda de comprobación" xfId="817" xr:uid="{00000000-0005-0000-0000-00000C020000}"/>
    <cellStyle name="Celda vinculada" xfId="818" xr:uid="{00000000-0005-0000-0000-00000D020000}"/>
    <cellStyle name="cell" xfId="819" xr:uid="{00000000-0005-0000-0000-00000E020000}"/>
    <cellStyle name="Célula de Verificação" xfId="820" xr:uid="{00000000-0005-0000-0000-00000F020000}"/>
    <cellStyle name="Célula Vinculada" xfId="821" xr:uid="{00000000-0005-0000-0000-000010020000}"/>
    <cellStyle name="Centered Heading" xfId="822" xr:uid="{00000000-0005-0000-0000-000011020000}"/>
    <cellStyle name="Centered Heading 5" xfId="823" xr:uid="{00000000-0005-0000-0000-000012020000}"/>
    <cellStyle name="Cents" xfId="824" xr:uid="{00000000-0005-0000-0000-000013020000}"/>
    <cellStyle name="ch" xfId="825" xr:uid="{00000000-0005-0000-0000-000014020000}"/>
    <cellStyle name="Changeable" xfId="826" xr:uid="{00000000-0005-0000-0000-000015020000}"/>
    <cellStyle name="ChartingText" xfId="91" xr:uid="{00000000-0005-0000-0000-000016020000}"/>
    <cellStyle name="ChartingText 2" xfId="827" xr:uid="{00000000-0005-0000-0000-000017020000}"/>
    <cellStyle name="ChartingText 3" xfId="828" xr:uid="{00000000-0005-0000-0000-000018020000}"/>
    <cellStyle name="Check Cell 2" xfId="92" xr:uid="{00000000-0005-0000-0000-000019020000}"/>
    <cellStyle name="Check Cell 2 2" xfId="93" xr:uid="{00000000-0005-0000-0000-00001A020000}"/>
    <cellStyle name="Check Cell 3" xfId="829" xr:uid="{00000000-0005-0000-0000-00001B020000}"/>
    <cellStyle name="CLEAR" xfId="830" xr:uid="{00000000-0005-0000-0000-00001C020000}"/>
    <cellStyle name="ColHeading" xfId="831" xr:uid="{00000000-0005-0000-0000-00001D020000}"/>
    <cellStyle name="Column_Title" xfId="832" xr:uid="{00000000-0005-0000-0000-00001E020000}"/>
    <cellStyle name="ColumnHeaderNormal" xfId="94" xr:uid="{00000000-0005-0000-0000-00001F020000}"/>
    <cellStyle name="ColumnHeaderNormal 2" xfId="833" xr:uid="{00000000-0005-0000-0000-000020020000}"/>
    <cellStyle name="Comma" xfId="95" builtinId="3"/>
    <cellStyle name="Comma  - Style1" xfId="834" xr:uid="{00000000-0005-0000-0000-000022020000}"/>
    <cellStyle name="Comma  - Style2" xfId="835" xr:uid="{00000000-0005-0000-0000-000023020000}"/>
    <cellStyle name="Comma  - Style3" xfId="836" xr:uid="{00000000-0005-0000-0000-000024020000}"/>
    <cellStyle name="Comma  - Style4" xfId="837" xr:uid="{00000000-0005-0000-0000-000025020000}"/>
    <cellStyle name="Comma  - Style5" xfId="838" xr:uid="{00000000-0005-0000-0000-000026020000}"/>
    <cellStyle name="Comma  - Style6" xfId="839" xr:uid="{00000000-0005-0000-0000-000027020000}"/>
    <cellStyle name="Comma  - Style7" xfId="840" xr:uid="{00000000-0005-0000-0000-000028020000}"/>
    <cellStyle name="Comma  - Style8" xfId="841" xr:uid="{00000000-0005-0000-0000-000029020000}"/>
    <cellStyle name="comma (0)" xfId="842" xr:uid="{00000000-0005-0000-0000-00002A020000}"/>
    <cellStyle name="Comma [1]" xfId="843" xr:uid="{00000000-0005-0000-0000-00002B020000}"/>
    <cellStyle name="Comma 0.00" xfId="844" xr:uid="{00000000-0005-0000-0000-00002C020000}"/>
    <cellStyle name="Comma 10" xfId="96" xr:uid="{00000000-0005-0000-0000-00002D020000}"/>
    <cellStyle name="Comma 10 2" xfId="845" xr:uid="{00000000-0005-0000-0000-00002E020000}"/>
    <cellStyle name="Comma 10 2 2" xfId="846" xr:uid="{00000000-0005-0000-0000-00002F020000}"/>
    <cellStyle name="Comma 10 2 3" xfId="847" xr:uid="{00000000-0005-0000-0000-000030020000}"/>
    <cellStyle name="Comma 10 2 3 2 2" xfId="11028" xr:uid="{00000000-0005-0000-0000-000031020000}"/>
    <cellStyle name="Comma 10 3" xfId="848" xr:uid="{00000000-0005-0000-0000-000032020000}"/>
    <cellStyle name="Comma 10 3 2" xfId="849" xr:uid="{00000000-0005-0000-0000-000033020000}"/>
    <cellStyle name="Comma 10 4" xfId="850" xr:uid="{00000000-0005-0000-0000-000034020000}"/>
    <cellStyle name="Comma 100" xfId="851" xr:uid="{00000000-0005-0000-0000-000035020000}"/>
    <cellStyle name="Comma 101" xfId="852" xr:uid="{00000000-0005-0000-0000-000036020000}"/>
    <cellStyle name="Comma 102" xfId="853" xr:uid="{00000000-0005-0000-0000-000037020000}"/>
    <cellStyle name="Comma 103" xfId="854" xr:uid="{00000000-0005-0000-0000-000038020000}"/>
    <cellStyle name="Comma 104" xfId="855" xr:uid="{00000000-0005-0000-0000-000039020000}"/>
    <cellStyle name="Comma 105" xfId="856" xr:uid="{00000000-0005-0000-0000-00003A020000}"/>
    <cellStyle name="Comma 106" xfId="857" xr:uid="{00000000-0005-0000-0000-00003B020000}"/>
    <cellStyle name="Comma 107" xfId="858" xr:uid="{00000000-0005-0000-0000-00003C020000}"/>
    <cellStyle name="Comma 108" xfId="859" xr:uid="{00000000-0005-0000-0000-00003D020000}"/>
    <cellStyle name="Comma 109" xfId="860" xr:uid="{00000000-0005-0000-0000-00003E020000}"/>
    <cellStyle name="Comma 11" xfId="861" xr:uid="{00000000-0005-0000-0000-00003F020000}"/>
    <cellStyle name="Comma 11 2" xfId="862" xr:uid="{00000000-0005-0000-0000-000040020000}"/>
    <cellStyle name="Comma 11 2 2" xfId="863" xr:uid="{00000000-0005-0000-0000-000041020000}"/>
    <cellStyle name="Comma 11 3" xfId="864" xr:uid="{00000000-0005-0000-0000-000042020000}"/>
    <cellStyle name="Comma 11 4" xfId="865" xr:uid="{00000000-0005-0000-0000-000043020000}"/>
    <cellStyle name="Comma 11 5" xfId="866" xr:uid="{00000000-0005-0000-0000-000044020000}"/>
    <cellStyle name="Comma 110" xfId="867" xr:uid="{00000000-0005-0000-0000-000045020000}"/>
    <cellStyle name="Comma 111" xfId="868" xr:uid="{00000000-0005-0000-0000-000046020000}"/>
    <cellStyle name="Comma 112" xfId="869" xr:uid="{00000000-0005-0000-0000-000047020000}"/>
    <cellStyle name="Comma 113" xfId="870" xr:uid="{00000000-0005-0000-0000-000048020000}"/>
    <cellStyle name="Comma 114" xfId="871" xr:uid="{00000000-0005-0000-0000-000049020000}"/>
    <cellStyle name="Comma 115" xfId="872" xr:uid="{00000000-0005-0000-0000-00004A020000}"/>
    <cellStyle name="Comma 116" xfId="873" xr:uid="{00000000-0005-0000-0000-00004B020000}"/>
    <cellStyle name="Comma 117" xfId="874" xr:uid="{00000000-0005-0000-0000-00004C020000}"/>
    <cellStyle name="Comma 118" xfId="875" xr:uid="{00000000-0005-0000-0000-00004D020000}"/>
    <cellStyle name="Comma 119" xfId="876" xr:uid="{00000000-0005-0000-0000-00004E020000}"/>
    <cellStyle name="Comma 12" xfId="877" xr:uid="{00000000-0005-0000-0000-00004F020000}"/>
    <cellStyle name="Comma 12 10" xfId="878" xr:uid="{00000000-0005-0000-0000-000050020000}"/>
    <cellStyle name="Comma 12 11" xfId="879" xr:uid="{00000000-0005-0000-0000-000051020000}"/>
    <cellStyle name="Comma 12 12" xfId="880" xr:uid="{00000000-0005-0000-0000-000052020000}"/>
    <cellStyle name="Comma 12 2" xfId="881" xr:uid="{00000000-0005-0000-0000-000053020000}"/>
    <cellStyle name="Comma 12 2 2" xfId="882" xr:uid="{00000000-0005-0000-0000-000054020000}"/>
    <cellStyle name="Comma 12 2 2 2" xfId="883" xr:uid="{00000000-0005-0000-0000-000055020000}"/>
    <cellStyle name="Comma 12 3" xfId="884" xr:uid="{00000000-0005-0000-0000-000056020000}"/>
    <cellStyle name="Comma 12 3 2" xfId="885" xr:uid="{00000000-0005-0000-0000-000057020000}"/>
    <cellStyle name="Comma 12 3 2 2" xfId="886" xr:uid="{00000000-0005-0000-0000-000058020000}"/>
    <cellStyle name="Comma 12 3 2 2 2" xfId="887" xr:uid="{00000000-0005-0000-0000-000059020000}"/>
    <cellStyle name="Comma 12 3 2 3" xfId="888" xr:uid="{00000000-0005-0000-0000-00005A020000}"/>
    <cellStyle name="Comma 12 3 3" xfId="889" xr:uid="{00000000-0005-0000-0000-00005B020000}"/>
    <cellStyle name="Comma 12 3 3 2" xfId="890" xr:uid="{00000000-0005-0000-0000-00005C020000}"/>
    <cellStyle name="Comma 12 3 4" xfId="891" xr:uid="{00000000-0005-0000-0000-00005D020000}"/>
    <cellStyle name="Comma 12 4" xfId="892" xr:uid="{00000000-0005-0000-0000-00005E020000}"/>
    <cellStyle name="Comma 12 4 2" xfId="893" xr:uid="{00000000-0005-0000-0000-00005F020000}"/>
    <cellStyle name="Comma 12 4 2 2" xfId="894" xr:uid="{00000000-0005-0000-0000-000060020000}"/>
    <cellStyle name="Comma 12 4 3" xfId="895" xr:uid="{00000000-0005-0000-0000-000061020000}"/>
    <cellStyle name="Comma 12 5" xfId="896" xr:uid="{00000000-0005-0000-0000-000062020000}"/>
    <cellStyle name="Comma 12 5 2" xfId="897" xr:uid="{00000000-0005-0000-0000-000063020000}"/>
    <cellStyle name="Comma 12 6" xfId="898" xr:uid="{00000000-0005-0000-0000-000064020000}"/>
    <cellStyle name="Comma 12 6 2" xfId="899" xr:uid="{00000000-0005-0000-0000-000065020000}"/>
    <cellStyle name="Comma 12 7" xfId="900" xr:uid="{00000000-0005-0000-0000-000066020000}"/>
    <cellStyle name="Comma 12 8" xfId="901" xr:uid="{00000000-0005-0000-0000-000067020000}"/>
    <cellStyle name="Comma 12 9" xfId="902" xr:uid="{00000000-0005-0000-0000-000068020000}"/>
    <cellStyle name="Comma 120" xfId="903" xr:uid="{00000000-0005-0000-0000-000069020000}"/>
    <cellStyle name="Comma 121" xfId="904" xr:uid="{00000000-0005-0000-0000-00006A020000}"/>
    <cellStyle name="Comma 122" xfId="905" xr:uid="{00000000-0005-0000-0000-00006B020000}"/>
    <cellStyle name="Comma 123" xfId="906" xr:uid="{00000000-0005-0000-0000-00006C020000}"/>
    <cellStyle name="Comma 124" xfId="907" xr:uid="{00000000-0005-0000-0000-00006D020000}"/>
    <cellStyle name="Comma 125" xfId="908" xr:uid="{00000000-0005-0000-0000-00006E020000}"/>
    <cellStyle name="Comma 126" xfId="909" xr:uid="{00000000-0005-0000-0000-00006F020000}"/>
    <cellStyle name="Comma 127" xfId="910" xr:uid="{00000000-0005-0000-0000-000070020000}"/>
    <cellStyle name="Comma 128" xfId="911" xr:uid="{00000000-0005-0000-0000-000071020000}"/>
    <cellStyle name="Comma 129" xfId="912" xr:uid="{00000000-0005-0000-0000-000072020000}"/>
    <cellStyle name="Comma 13" xfId="913" xr:uid="{00000000-0005-0000-0000-000073020000}"/>
    <cellStyle name="Comma 13 2" xfId="914" xr:uid="{00000000-0005-0000-0000-000074020000}"/>
    <cellStyle name="Comma 13 2 2" xfId="915" xr:uid="{00000000-0005-0000-0000-000075020000}"/>
    <cellStyle name="Comma 13 2 2 2" xfId="916" xr:uid="{00000000-0005-0000-0000-000076020000}"/>
    <cellStyle name="Comma 13 2 2 2 2" xfId="917" xr:uid="{00000000-0005-0000-0000-000077020000}"/>
    <cellStyle name="Comma 13 2 2 3" xfId="918" xr:uid="{00000000-0005-0000-0000-000078020000}"/>
    <cellStyle name="Comma 13 2 3" xfId="919" xr:uid="{00000000-0005-0000-0000-000079020000}"/>
    <cellStyle name="Comma 13 2 3 2" xfId="920" xr:uid="{00000000-0005-0000-0000-00007A020000}"/>
    <cellStyle name="Comma 13 2 4" xfId="921" xr:uid="{00000000-0005-0000-0000-00007B020000}"/>
    <cellStyle name="Comma 13 3" xfId="922" xr:uid="{00000000-0005-0000-0000-00007C020000}"/>
    <cellStyle name="Comma 13 3 2" xfId="923" xr:uid="{00000000-0005-0000-0000-00007D020000}"/>
    <cellStyle name="Comma 13 3 2 2" xfId="924" xr:uid="{00000000-0005-0000-0000-00007E020000}"/>
    <cellStyle name="Comma 13 3 3" xfId="925" xr:uid="{00000000-0005-0000-0000-00007F020000}"/>
    <cellStyle name="Comma 13 4" xfId="926" xr:uid="{00000000-0005-0000-0000-000080020000}"/>
    <cellStyle name="Comma 13 4 2" xfId="927" xr:uid="{00000000-0005-0000-0000-000081020000}"/>
    <cellStyle name="Comma 13 5" xfId="928" xr:uid="{00000000-0005-0000-0000-000082020000}"/>
    <cellStyle name="Comma 13 5 2" xfId="929" xr:uid="{00000000-0005-0000-0000-000083020000}"/>
    <cellStyle name="Comma 13 6" xfId="930" xr:uid="{00000000-0005-0000-0000-000084020000}"/>
    <cellStyle name="Comma 13 7" xfId="931" xr:uid="{00000000-0005-0000-0000-000085020000}"/>
    <cellStyle name="Comma 13 8" xfId="932" xr:uid="{00000000-0005-0000-0000-000086020000}"/>
    <cellStyle name="Comma 13 9" xfId="933" xr:uid="{00000000-0005-0000-0000-000087020000}"/>
    <cellStyle name="Comma 130" xfId="934" xr:uid="{00000000-0005-0000-0000-000088020000}"/>
    <cellStyle name="Comma 131" xfId="935" xr:uid="{00000000-0005-0000-0000-000089020000}"/>
    <cellStyle name="Comma 132" xfId="936" xr:uid="{00000000-0005-0000-0000-00008A020000}"/>
    <cellStyle name="Comma 133" xfId="937" xr:uid="{00000000-0005-0000-0000-00008B020000}"/>
    <cellStyle name="Comma 134" xfId="938" xr:uid="{00000000-0005-0000-0000-00008C020000}"/>
    <cellStyle name="Comma 135" xfId="939" xr:uid="{00000000-0005-0000-0000-00008D020000}"/>
    <cellStyle name="Comma 136" xfId="940" xr:uid="{00000000-0005-0000-0000-00008E020000}"/>
    <cellStyle name="Comma 137" xfId="941" xr:uid="{00000000-0005-0000-0000-00008F020000}"/>
    <cellStyle name="Comma 138" xfId="942" xr:uid="{00000000-0005-0000-0000-000090020000}"/>
    <cellStyle name="Comma 139" xfId="943" xr:uid="{00000000-0005-0000-0000-000091020000}"/>
    <cellStyle name="Comma 14" xfId="944" xr:uid="{00000000-0005-0000-0000-000092020000}"/>
    <cellStyle name="Comma 14 2" xfId="945" xr:uid="{00000000-0005-0000-0000-000093020000}"/>
    <cellStyle name="Comma 14 2 2" xfId="946" xr:uid="{00000000-0005-0000-0000-000094020000}"/>
    <cellStyle name="Comma 14 2 2 2" xfId="947" xr:uid="{00000000-0005-0000-0000-000095020000}"/>
    <cellStyle name="Comma 14 2 2 2 2" xfId="948" xr:uid="{00000000-0005-0000-0000-000096020000}"/>
    <cellStyle name="Comma 14 2 2 3" xfId="949" xr:uid="{00000000-0005-0000-0000-000097020000}"/>
    <cellStyle name="Comma 14 2 3" xfId="950" xr:uid="{00000000-0005-0000-0000-000098020000}"/>
    <cellStyle name="Comma 14 2 3 2" xfId="951" xr:uid="{00000000-0005-0000-0000-000099020000}"/>
    <cellStyle name="Comma 14 2 4" xfId="952" xr:uid="{00000000-0005-0000-0000-00009A020000}"/>
    <cellStyle name="Comma 14 3" xfId="953" xr:uid="{00000000-0005-0000-0000-00009B020000}"/>
    <cellStyle name="Comma 14 3 2" xfId="954" xr:uid="{00000000-0005-0000-0000-00009C020000}"/>
    <cellStyle name="Comma 14 3 2 2" xfId="955" xr:uid="{00000000-0005-0000-0000-00009D020000}"/>
    <cellStyle name="Comma 14 3 3" xfId="956" xr:uid="{00000000-0005-0000-0000-00009E020000}"/>
    <cellStyle name="Comma 14 4" xfId="957" xr:uid="{00000000-0005-0000-0000-00009F020000}"/>
    <cellStyle name="Comma 14 4 2" xfId="958" xr:uid="{00000000-0005-0000-0000-0000A0020000}"/>
    <cellStyle name="Comma 14 5" xfId="959" xr:uid="{00000000-0005-0000-0000-0000A1020000}"/>
    <cellStyle name="Comma 14 6" xfId="960" xr:uid="{00000000-0005-0000-0000-0000A2020000}"/>
    <cellStyle name="Comma 14 7" xfId="961" xr:uid="{00000000-0005-0000-0000-0000A3020000}"/>
    <cellStyle name="Comma 140" xfId="962" xr:uid="{00000000-0005-0000-0000-0000A4020000}"/>
    <cellStyle name="Comma 141" xfId="963" xr:uid="{00000000-0005-0000-0000-0000A5020000}"/>
    <cellStyle name="Comma 142" xfId="964" xr:uid="{00000000-0005-0000-0000-0000A6020000}"/>
    <cellStyle name="Comma 143" xfId="965" xr:uid="{00000000-0005-0000-0000-0000A7020000}"/>
    <cellStyle name="Comma 144" xfId="966" xr:uid="{00000000-0005-0000-0000-0000A8020000}"/>
    <cellStyle name="Comma 145" xfId="967" xr:uid="{00000000-0005-0000-0000-0000A9020000}"/>
    <cellStyle name="Comma 146" xfId="968" xr:uid="{00000000-0005-0000-0000-0000AA020000}"/>
    <cellStyle name="Comma 147" xfId="969" xr:uid="{00000000-0005-0000-0000-0000AB020000}"/>
    <cellStyle name="Comma 148" xfId="970" xr:uid="{00000000-0005-0000-0000-0000AC020000}"/>
    <cellStyle name="Comma 149" xfId="971" xr:uid="{00000000-0005-0000-0000-0000AD020000}"/>
    <cellStyle name="Comma 15" xfId="972" xr:uid="{00000000-0005-0000-0000-0000AE020000}"/>
    <cellStyle name="Comma 15 2" xfId="973" xr:uid="{00000000-0005-0000-0000-0000AF020000}"/>
    <cellStyle name="Comma 15 2 2" xfId="974" xr:uid="{00000000-0005-0000-0000-0000B0020000}"/>
    <cellStyle name="Comma 15 2 2 2" xfId="975" xr:uid="{00000000-0005-0000-0000-0000B1020000}"/>
    <cellStyle name="Comma 15 2 2 2 2" xfId="976" xr:uid="{00000000-0005-0000-0000-0000B2020000}"/>
    <cellStyle name="Comma 15 2 2 3" xfId="977" xr:uid="{00000000-0005-0000-0000-0000B3020000}"/>
    <cellStyle name="Comma 15 2 3" xfId="978" xr:uid="{00000000-0005-0000-0000-0000B4020000}"/>
    <cellStyle name="Comma 15 2 3 2" xfId="979" xr:uid="{00000000-0005-0000-0000-0000B5020000}"/>
    <cellStyle name="Comma 15 2 4" xfId="980" xr:uid="{00000000-0005-0000-0000-0000B6020000}"/>
    <cellStyle name="Comma 15 3" xfId="981" xr:uid="{00000000-0005-0000-0000-0000B7020000}"/>
    <cellStyle name="Comma 15 3 2" xfId="982" xr:uid="{00000000-0005-0000-0000-0000B8020000}"/>
    <cellStyle name="Comma 15 3 2 2" xfId="983" xr:uid="{00000000-0005-0000-0000-0000B9020000}"/>
    <cellStyle name="Comma 15 3 2 2 2" xfId="984" xr:uid="{00000000-0005-0000-0000-0000BA020000}"/>
    <cellStyle name="Comma 15 3 3" xfId="985" xr:uid="{00000000-0005-0000-0000-0000BB020000}"/>
    <cellStyle name="Comma 15 4" xfId="986" xr:uid="{00000000-0005-0000-0000-0000BC020000}"/>
    <cellStyle name="Comma 15 4 2" xfId="987" xr:uid="{00000000-0005-0000-0000-0000BD020000}"/>
    <cellStyle name="Comma 15 5" xfId="988" xr:uid="{00000000-0005-0000-0000-0000BE020000}"/>
    <cellStyle name="Comma 15 6" xfId="989" xr:uid="{00000000-0005-0000-0000-0000BF020000}"/>
    <cellStyle name="Comma 150" xfId="990" xr:uid="{00000000-0005-0000-0000-0000C0020000}"/>
    <cellStyle name="Comma 151" xfId="991" xr:uid="{00000000-0005-0000-0000-0000C1020000}"/>
    <cellStyle name="Comma 152" xfId="992" xr:uid="{00000000-0005-0000-0000-0000C2020000}"/>
    <cellStyle name="Comma 153" xfId="993" xr:uid="{00000000-0005-0000-0000-0000C3020000}"/>
    <cellStyle name="Comma 154" xfId="994" xr:uid="{00000000-0005-0000-0000-0000C4020000}"/>
    <cellStyle name="Comma 155" xfId="995" xr:uid="{00000000-0005-0000-0000-0000C5020000}"/>
    <cellStyle name="Comma 156" xfId="996" xr:uid="{00000000-0005-0000-0000-0000C6020000}"/>
    <cellStyle name="Comma 157" xfId="997" xr:uid="{00000000-0005-0000-0000-0000C7020000}"/>
    <cellStyle name="Comma 158" xfId="998" xr:uid="{00000000-0005-0000-0000-0000C8020000}"/>
    <cellStyle name="Comma 159" xfId="999" xr:uid="{00000000-0005-0000-0000-0000C9020000}"/>
    <cellStyle name="Comma 16" xfId="1000" xr:uid="{00000000-0005-0000-0000-0000CA020000}"/>
    <cellStyle name="Comma 16 2" xfId="1001" xr:uid="{00000000-0005-0000-0000-0000CB020000}"/>
    <cellStyle name="Comma 16 2 2" xfId="1002" xr:uid="{00000000-0005-0000-0000-0000CC020000}"/>
    <cellStyle name="Comma 160" xfId="1003" xr:uid="{00000000-0005-0000-0000-0000CD020000}"/>
    <cellStyle name="Comma 161" xfId="1004" xr:uid="{00000000-0005-0000-0000-0000CE020000}"/>
    <cellStyle name="Comma 162" xfId="1005" xr:uid="{00000000-0005-0000-0000-0000CF020000}"/>
    <cellStyle name="Comma 163" xfId="1006" xr:uid="{00000000-0005-0000-0000-0000D0020000}"/>
    <cellStyle name="Comma 164" xfId="1007" xr:uid="{00000000-0005-0000-0000-0000D1020000}"/>
    <cellStyle name="Comma 165" xfId="1008" xr:uid="{00000000-0005-0000-0000-0000D2020000}"/>
    <cellStyle name="Comma 166" xfId="1009" xr:uid="{00000000-0005-0000-0000-0000D3020000}"/>
    <cellStyle name="Comma 167" xfId="1010" xr:uid="{00000000-0005-0000-0000-0000D4020000}"/>
    <cellStyle name="Comma 168" xfId="1011" xr:uid="{00000000-0005-0000-0000-0000D5020000}"/>
    <cellStyle name="Comma 169" xfId="1012" xr:uid="{00000000-0005-0000-0000-0000D6020000}"/>
    <cellStyle name="Comma 17" xfId="1013" xr:uid="{00000000-0005-0000-0000-0000D7020000}"/>
    <cellStyle name="Comma 17 2" xfId="1014" xr:uid="{00000000-0005-0000-0000-0000D8020000}"/>
    <cellStyle name="Comma 17 2 2" xfId="1015" xr:uid="{00000000-0005-0000-0000-0000D9020000}"/>
    <cellStyle name="Comma 17 2 3" xfId="1016" xr:uid="{00000000-0005-0000-0000-0000DA020000}"/>
    <cellStyle name="Comma 17 3" xfId="1017" xr:uid="{00000000-0005-0000-0000-0000DB020000}"/>
    <cellStyle name="Comma 17 4" xfId="1018" xr:uid="{00000000-0005-0000-0000-0000DC020000}"/>
    <cellStyle name="Comma 170" xfId="1019" xr:uid="{00000000-0005-0000-0000-0000DD020000}"/>
    <cellStyle name="Comma 171" xfId="1020" xr:uid="{00000000-0005-0000-0000-0000DE020000}"/>
    <cellStyle name="Comma 172" xfId="1021" xr:uid="{00000000-0005-0000-0000-0000DF020000}"/>
    <cellStyle name="Comma 173" xfId="1022" xr:uid="{00000000-0005-0000-0000-0000E0020000}"/>
    <cellStyle name="Comma 174" xfId="1023" xr:uid="{00000000-0005-0000-0000-0000E1020000}"/>
    <cellStyle name="Comma 175" xfId="1024" xr:uid="{00000000-0005-0000-0000-0000E2020000}"/>
    <cellStyle name="Comma 176" xfId="1025" xr:uid="{00000000-0005-0000-0000-0000E3020000}"/>
    <cellStyle name="Comma 177" xfId="1026" xr:uid="{00000000-0005-0000-0000-0000E4020000}"/>
    <cellStyle name="Comma 178" xfId="1027" xr:uid="{00000000-0005-0000-0000-0000E5020000}"/>
    <cellStyle name="Comma 179" xfId="1028" xr:uid="{00000000-0005-0000-0000-0000E6020000}"/>
    <cellStyle name="Comma 18" xfId="1029" xr:uid="{00000000-0005-0000-0000-0000E7020000}"/>
    <cellStyle name="Comma 18 2" xfId="1030" xr:uid="{00000000-0005-0000-0000-0000E8020000}"/>
    <cellStyle name="Comma 18 2 2" xfId="1031" xr:uid="{00000000-0005-0000-0000-0000E9020000}"/>
    <cellStyle name="Comma 18 2 3" xfId="1032" xr:uid="{00000000-0005-0000-0000-0000EA020000}"/>
    <cellStyle name="Comma 18 3" xfId="1033" xr:uid="{00000000-0005-0000-0000-0000EB020000}"/>
    <cellStyle name="Comma 18 4" xfId="1034" xr:uid="{00000000-0005-0000-0000-0000EC020000}"/>
    <cellStyle name="Comma 18 5" xfId="1035" xr:uid="{00000000-0005-0000-0000-0000ED020000}"/>
    <cellStyle name="Comma 180" xfId="1036" xr:uid="{00000000-0005-0000-0000-0000EE020000}"/>
    <cellStyle name="Comma 181" xfId="1037" xr:uid="{00000000-0005-0000-0000-0000EF020000}"/>
    <cellStyle name="Comma 182" xfId="1038" xr:uid="{00000000-0005-0000-0000-0000F0020000}"/>
    <cellStyle name="Comma 183" xfId="1039" xr:uid="{00000000-0005-0000-0000-0000F1020000}"/>
    <cellStyle name="Comma 184" xfId="1040" xr:uid="{00000000-0005-0000-0000-0000F2020000}"/>
    <cellStyle name="Comma 185" xfId="1041" xr:uid="{00000000-0005-0000-0000-0000F3020000}"/>
    <cellStyle name="Comma 186" xfId="1042" xr:uid="{00000000-0005-0000-0000-0000F4020000}"/>
    <cellStyle name="Comma 187" xfId="1043" xr:uid="{00000000-0005-0000-0000-0000F5020000}"/>
    <cellStyle name="Comma 188" xfId="1044" xr:uid="{00000000-0005-0000-0000-0000F6020000}"/>
    <cellStyle name="Comma 189" xfId="1045" xr:uid="{00000000-0005-0000-0000-0000F7020000}"/>
    <cellStyle name="Comma 19" xfId="1046" xr:uid="{00000000-0005-0000-0000-0000F8020000}"/>
    <cellStyle name="Comma 19 2" xfId="1047" xr:uid="{00000000-0005-0000-0000-0000F9020000}"/>
    <cellStyle name="Comma 19 3" xfId="1048" xr:uid="{00000000-0005-0000-0000-0000FA020000}"/>
    <cellStyle name="Comma 190" xfId="1049" xr:uid="{00000000-0005-0000-0000-0000FB020000}"/>
    <cellStyle name="Comma 191" xfId="1050" xr:uid="{00000000-0005-0000-0000-0000FC020000}"/>
    <cellStyle name="Comma 192" xfId="1051" xr:uid="{00000000-0005-0000-0000-0000FD020000}"/>
    <cellStyle name="Comma 193" xfId="1052" xr:uid="{00000000-0005-0000-0000-0000FE020000}"/>
    <cellStyle name="Comma 194" xfId="1053" xr:uid="{00000000-0005-0000-0000-0000FF020000}"/>
    <cellStyle name="Comma 195" xfId="1054" xr:uid="{00000000-0005-0000-0000-000000030000}"/>
    <cellStyle name="Comma 196" xfId="1055" xr:uid="{00000000-0005-0000-0000-000001030000}"/>
    <cellStyle name="Comma 197" xfId="1056" xr:uid="{00000000-0005-0000-0000-000002030000}"/>
    <cellStyle name="Comma 198" xfId="1057" xr:uid="{00000000-0005-0000-0000-000003030000}"/>
    <cellStyle name="Comma 199" xfId="1058" xr:uid="{00000000-0005-0000-0000-000004030000}"/>
    <cellStyle name="Comma 2" xfId="97" xr:uid="{00000000-0005-0000-0000-000005030000}"/>
    <cellStyle name="Comma 2 2" xfId="98" xr:uid="{00000000-0005-0000-0000-000006030000}"/>
    <cellStyle name="Comma 2 2 2" xfId="99" xr:uid="{00000000-0005-0000-0000-000007030000}"/>
    <cellStyle name="Comma 2 2 2 2" xfId="100" xr:uid="{00000000-0005-0000-0000-000008030000}"/>
    <cellStyle name="Comma 2 2 2 2 2" xfId="101" xr:uid="{00000000-0005-0000-0000-000009030000}"/>
    <cellStyle name="Comma 2 2 2 2 3" xfId="1059" xr:uid="{00000000-0005-0000-0000-00000A030000}"/>
    <cellStyle name="Comma 2 2 2 3" xfId="102" xr:uid="{00000000-0005-0000-0000-00000B030000}"/>
    <cellStyle name="Comma 2 2 2 3 2" xfId="1060" xr:uid="{00000000-0005-0000-0000-00000C030000}"/>
    <cellStyle name="Comma 2 2 2 4" xfId="1061" xr:uid="{00000000-0005-0000-0000-00000D030000}"/>
    <cellStyle name="Comma 2 2 2 5" xfId="1062" xr:uid="{00000000-0005-0000-0000-00000E030000}"/>
    <cellStyle name="Comma 2 2 3" xfId="103" xr:uid="{00000000-0005-0000-0000-00000F030000}"/>
    <cellStyle name="Comma 2 2 3 2" xfId="104" xr:uid="{00000000-0005-0000-0000-000010030000}"/>
    <cellStyle name="Comma 2 2 3 3" xfId="1063" xr:uid="{00000000-0005-0000-0000-000011030000}"/>
    <cellStyle name="Comma 2 2 4" xfId="105" xr:uid="{00000000-0005-0000-0000-000012030000}"/>
    <cellStyle name="Comma 2 2 4 2" xfId="1064" xr:uid="{00000000-0005-0000-0000-000013030000}"/>
    <cellStyle name="Comma 2 2 5" xfId="1065" xr:uid="{00000000-0005-0000-0000-000014030000}"/>
    <cellStyle name="Comma 2 2 6" xfId="1066" xr:uid="{00000000-0005-0000-0000-000015030000}"/>
    <cellStyle name="Comma 2 2 7" xfId="1067" xr:uid="{00000000-0005-0000-0000-000016030000}"/>
    <cellStyle name="Comma 2 3" xfId="106" xr:uid="{00000000-0005-0000-0000-000017030000}"/>
    <cellStyle name="Comma 2 3 2" xfId="107" xr:uid="{00000000-0005-0000-0000-000018030000}"/>
    <cellStyle name="Comma 2 3 2 2" xfId="1068" xr:uid="{00000000-0005-0000-0000-000019030000}"/>
    <cellStyle name="Comma 2 3 2 3" xfId="1069" xr:uid="{00000000-0005-0000-0000-00001A030000}"/>
    <cellStyle name="Comma 2 3 3" xfId="1070" xr:uid="{00000000-0005-0000-0000-00001B030000}"/>
    <cellStyle name="Comma 2 3 4" xfId="1071" xr:uid="{00000000-0005-0000-0000-00001C030000}"/>
    <cellStyle name="Comma 2 4" xfId="108" xr:uid="{00000000-0005-0000-0000-00001D030000}"/>
    <cellStyle name="Comma 2 4 2" xfId="1072" xr:uid="{00000000-0005-0000-0000-00001E030000}"/>
    <cellStyle name="Comma 2 4 3" xfId="1073" xr:uid="{00000000-0005-0000-0000-00001F030000}"/>
    <cellStyle name="Comma 2 4 4" xfId="1074" xr:uid="{00000000-0005-0000-0000-000020030000}"/>
    <cellStyle name="Comma 2 5" xfId="1075" xr:uid="{00000000-0005-0000-0000-000021030000}"/>
    <cellStyle name="Comma 2 5 2" xfId="1076" xr:uid="{00000000-0005-0000-0000-000022030000}"/>
    <cellStyle name="Comma 2 6" xfId="1077" xr:uid="{00000000-0005-0000-0000-000023030000}"/>
    <cellStyle name="Comma 2 7" xfId="1078" xr:uid="{00000000-0005-0000-0000-000024030000}"/>
    <cellStyle name="Comma 2 8" xfId="1079" xr:uid="{00000000-0005-0000-0000-000025030000}"/>
    <cellStyle name="Comma 2 9" xfId="1080" xr:uid="{00000000-0005-0000-0000-000026030000}"/>
    <cellStyle name="Comma 20" xfId="1081" xr:uid="{00000000-0005-0000-0000-000027030000}"/>
    <cellStyle name="Comma 20 2" xfId="1082" xr:uid="{00000000-0005-0000-0000-000028030000}"/>
    <cellStyle name="Comma 200" xfId="1083" xr:uid="{00000000-0005-0000-0000-000029030000}"/>
    <cellStyle name="Comma 201" xfId="1084" xr:uid="{00000000-0005-0000-0000-00002A030000}"/>
    <cellStyle name="Comma 202" xfId="1085" xr:uid="{00000000-0005-0000-0000-00002B030000}"/>
    <cellStyle name="Comma 203" xfId="1086" xr:uid="{00000000-0005-0000-0000-00002C030000}"/>
    <cellStyle name="Comma 204" xfId="1087" xr:uid="{00000000-0005-0000-0000-00002D030000}"/>
    <cellStyle name="Comma 205" xfId="1088" xr:uid="{00000000-0005-0000-0000-00002E030000}"/>
    <cellStyle name="Comma 206" xfId="1089" xr:uid="{00000000-0005-0000-0000-00002F030000}"/>
    <cellStyle name="Comma 207" xfId="1090" xr:uid="{00000000-0005-0000-0000-000030030000}"/>
    <cellStyle name="Comma 208" xfId="1091" xr:uid="{00000000-0005-0000-0000-000031030000}"/>
    <cellStyle name="Comma 209" xfId="1092" xr:uid="{00000000-0005-0000-0000-000032030000}"/>
    <cellStyle name="Comma 21" xfId="1093" xr:uid="{00000000-0005-0000-0000-000033030000}"/>
    <cellStyle name="Comma 21 2" xfId="1094" xr:uid="{00000000-0005-0000-0000-000034030000}"/>
    <cellStyle name="Comma 210" xfId="1095" xr:uid="{00000000-0005-0000-0000-000035030000}"/>
    <cellStyle name="Comma 211" xfId="1096" xr:uid="{00000000-0005-0000-0000-000036030000}"/>
    <cellStyle name="Comma 212" xfId="1097" xr:uid="{00000000-0005-0000-0000-000037030000}"/>
    <cellStyle name="Comma 213" xfId="1098" xr:uid="{00000000-0005-0000-0000-000038030000}"/>
    <cellStyle name="Comma 214" xfId="1099" xr:uid="{00000000-0005-0000-0000-000039030000}"/>
    <cellStyle name="Comma 215" xfId="1100" xr:uid="{00000000-0005-0000-0000-00003A030000}"/>
    <cellStyle name="Comma 216" xfId="1101" xr:uid="{00000000-0005-0000-0000-00003B030000}"/>
    <cellStyle name="Comma 217" xfId="1102" xr:uid="{00000000-0005-0000-0000-00003C030000}"/>
    <cellStyle name="Comma 218" xfId="1103" xr:uid="{00000000-0005-0000-0000-00003D030000}"/>
    <cellStyle name="Comma 219" xfId="1104" xr:uid="{00000000-0005-0000-0000-00003E030000}"/>
    <cellStyle name="Comma 22" xfId="1105" xr:uid="{00000000-0005-0000-0000-00003F030000}"/>
    <cellStyle name="Comma 22 2" xfId="1106" xr:uid="{00000000-0005-0000-0000-000040030000}"/>
    <cellStyle name="Comma 220" xfId="1107" xr:uid="{00000000-0005-0000-0000-000041030000}"/>
    <cellStyle name="Comma 221" xfId="1108" xr:uid="{00000000-0005-0000-0000-000042030000}"/>
    <cellStyle name="Comma 222" xfId="1109" xr:uid="{00000000-0005-0000-0000-000043030000}"/>
    <cellStyle name="Comma 223" xfId="1110" xr:uid="{00000000-0005-0000-0000-000044030000}"/>
    <cellStyle name="Comma 224" xfId="1111" xr:uid="{00000000-0005-0000-0000-000045030000}"/>
    <cellStyle name="Comma 225" xfId="1112" xr:uid="{00000000-0005-0000-0000-000046030000}"/>
    <cellStyle name="Comma 23" xfId="1113" xr:uid="{00000000-0005-0000-0000-000047030000}"/>
    <cellStyle name="Comma 23 2" xfId="1114" xr:uid="{00000000-0005-0000-0000-000048030000}"/>
    <cellStyle name="Comma 24" xfId="1115" xr:uid="{00000000-0005-0000-0000-000049030000}"/>
    <cellStyle name="Comma 24 2" xfId="1116" xr:uid="{00000000-0005-0000-0000-00004A030000}"/>
    <cellStyle name="Comma 25" xfId="1117" xr:uid="{00000000-0005-0000-0000-00004B030000}"/>
    <cellStyle name="Comma 25 2" xfId="1118" xr:uid="{00000000-0005-0000-0000-00004C030000}"/>
    <cellStyle name="Comma 25 3" xfId="1119" xr:uid="{00000000-0005-0000-0000-00004D030000}"/>
    <cellStyle name="Comma 26" xfId="1120" xr:uid="{00000000-0005-0000-0000-00004E030000}"/>
    <cellStyle name="Comma 27" xfId="1121" xr:uid="{00000000-0005-0000-0000-00004F030000}"/>
    <cellStyle name="Comma 28" xfId="1122" xr:uid="{00000000-0005-0000-0000-000050030000}"/>
    <cellStyle name="Comma 29" xfId="1123" xr:uid="{00000000-0005-0000-0000-000051030000}"/>
    <cellStyle name="Comma 3" xfId="109" xr:uid="{00000000-0005-0000-0000-000052030000}"/>
    <cellStyle name="Comma 3 2" xfId="110" xr:uid="{00000000-0005-0000-0000-000053030000}"/>
    <cellStyle name="Comma 3 2 2" xfId="111" xr:uid="{00000000-0005-0000-0000-000054030000}"/>
    <cellStyle name="Comma 3 2 2 2" xfId="112" xr:uid="{00000000-0005-0000-0000-000055030000}"/>
    <cellStyle name="Comma 3 2 2 3" xfId="1124" xr:uid="{00000000-0005-0000-0000-000056030000}"/>
    <cellStyle name="Comma 3 2 3" xfId="113" xr:uid="{00000000-0005-0000-0000-000057030000}"/>
    <cellStyle name="Comma 3 2 3 2" xfId="1125" xr:uid="{00000000-0005-0000-0000-000058030000}"/>
    <cellStyle name="Comma 3 2 4" xfId="1126" xr:uid="{00000000-0005-0000-0000-000059030000}"/>
    <cellStyle name="Comma 3 2 5" xfId="1127" xr:uid="{00000000-0005-0000-0000-00005A030000}"/>
    <cellStyle name="Comma 3 3" xfId="114" xr:uid="{00000000-0005-0000-0000-00005B030000}"/>
    <cellStyle name="Comma 3 3 2" xfId="1128" xr:uid="{00000000-0005-0000-0000-00005C030000}"/>
    <cellStyle name="Comma 3 3 3" xfId="1129" xr:uid="{00000000-0005-0000-0000-00005D030000}"/>
    <cellStyle name="Comma 3 4" xfId="1130" xr:uid="{00000000-0005-0000-0000-00005E030000}"/>
    <cellStyle name="Comma 3 5" xfId="1131" xr:uid="{00000000-0005-0000-0000-00005F030000}"/>
    <cellStyle name="Comma 3 6" xfId="1132" xr:uid="{00000000-0005-0000-0000-000060030000}"/>
    <cellStyle name="Comma 3 7" xfId="1133" xr:uid="{00000000-0005-0000-0000-000061030000}"/>
    <cellStyle name="Comma 3 8" xfId="1134" xr:uid="{00000000-0005-0000-0000-000062030000}"/>
    <cellStyle name="Comma 3 9" xfId="1135" xr:uid="{00000000-0005-0000-0000-000063030000}"/>
    <cellStyle name="Comma 30" xfId="1136" xr:uid="{00000000-0005-0000-0000-000064030000}"/>
    <cellStyle name="Comma 31" xfId="1137" xr:uid="{00000000-0005-0000-0000-000065030000}"/>
    <cellStyle name="Comma 32" xfId="1138" xr:uid="{00000000-0005-0000-0000-000066030000}"/>
    <cellStyle name="Comma 33" xfId="1139" xr:uid="{00000000-0005-0000-0000-000067030000}"/>
    <cellStyle name="Comma 34" xfId="1140" xr:uid="{00000000-0005-0000-0000-000068030000}"/>
    <cellStyle name="Comma 35" xfId="1141" xr:uid="{00000000-0005-0000-0000-000069030000}"/>
    <cellStyle name="Comma 36" xfId="1142" xr:uid="{00000000-0005-0000-0000-00006A030000}"/>
    <cellStyle name="Comma 37" xfId="1143" xr:uid="{00000000-0005-0000-0000-00006B030000}"/>
    <cellStyle name="Comma 38" xfId="1144" xr:uid="{00000000-0005-0000-0000-00006C030000}"/>
    <cellStyle name="Comma 39" xfId="1145" xr:uid="{00000000-0005-0000-0000-00006D030000}"/>
    <cellStyle name="Comma 4" xfId="115" xr:uid="{00000000-0005-0000-0000-00006E030000}"/>
    <cellStyle name="Comma 4 2" xfId="116" xr:uid="{00000000-0005-0000-0000-00006F030000}"/>
    <cellStyle name="Comma 4 2 2" xfId="1146" xr:uid="{00000000-0005-0000-0000-000070030000}"/>
    <cellStyle name="Comma 4 2 3" xfId="1147" xr:uid="{00000000-0005-0000-0000-000071030000}"/>
    <cellStyle name="Comma 4 3" xfId="1148" xr:uid="{00000000-0005-0000-0000-000072030000}"/>
    <cellStyle name="Comma 4 3 2" xfId="1149" xr:uid="{00000000-0005-0000-0000-000073030000}"/>
    <cellStyle name="Comma 4 4" xfId="1150" xr:uid="{00000000-0005-0000-0000-000074030000}"/>
    <cellStyle name="Comma 4 5" xfId="1151" xr:uid="{00000000-0005-0000-0000-000075030000}"/>
    <cellStyle name="Comma 4 6" xfId="1152" xr:uid="{00000000-0005-0000-0000-000076030000}"/>
    <cellStyle name="Comma 4 7" xfId="1153" xr:uid="{00000000-0005-0000-0000-000077030000}"/>
    <cellStyle name="Comma 4 8" xfId="1154" xr:uid="{00000000-0005-0000-0000-000078030000}"/>
    <cellStyle name="Comma 40" xfId="1155" xr:uid="{00000000-0005-0000-0000-000079030000}"/>
    <cellStyle name="Comma 41" xfId="1156" xr:uid="{00000000-0005-0000-0000-00007A030000}"/>
    <cellStyle name="Comma 42" xfId="1157" xr:uid="{00000000-0005-0000-0000-00007B030000}"/>
    <cellStyle name="Comma 43" xfId="1158" xr:uid="{00000000-0005-0000-0000-00007C030000}"/>
    <cellStyle name="Comma 44" xfId="1159" xr:uid="{00000000-0005-0000-0000-00007D030000}"/>
    <cellStyle name="Comma 45" xfId="1160" xr:uid="{00000000-0005-0000-0000-00007E030000}"/>
    <cellStyle name="Comma 46" xfId="1161" xr:uid="{00000000-0005-0000-0000-00007F030000}"/>
    <cellStyle name="Comma 47" xfId="1162" xr:uid="{00000000-0005-0000-0000-000080030000}"/>
    <cellStyle name="Comma 48" xfId="1163" xr:uid="{00000000-0005-0000-0000-000081030000}"/>
    <cellStyle name="Comma 49" xfId="1164" xr:uid="{00000000-0005-0000-0000-000082030000}"/>
    <cellStyle name="Comma 5" xfId="117" xr:uid="{00000000-0005-0000-0000-000083030000}"/>
    <cellStyle name="Comma 5 2" xfId="118" xr:uid="{00000000-0005-0000-0000-000084030000}"/>
    <cellStyle name="Comma 5 2 2" xfId="119" xr:uid="{00000000-0005-0000-0000-000085030000}"/>
    <cellStyle name="Comma 5 2 3" xfId="1165" xr:uid="{00000000-0005-0000-0000-000086030000}"/>
    <cellStyle name="Comma 5 2 4" xfId="1166" xr:uid="{00000000-0005-0000-0000-000087030000}"/>
    <cellStyle name="Comma 5 2 5" xfId="1167" xr:uid="{00000000-0005-0000-0000-000088030000}"/>
    <cellStyle name="Comma 5 3" xfId="120" xr:uid="{00000000-0005-0000-0000-000089030000}"/>
    <cellStyle name="Comma 5 3 2" xfId="1168" xr:uid="{00000000-0005-0000-0000-00008A030000}"/>
    <cellStyle name="Comma 5 3 3" xfId="1169" xr:uid="{00000000-0005-0000-0000-00008B030000}"/>
    <cellStyle name="Comma 5 4" xfId="1170" xr:uid="{00000000-0005-0000-0000-00008C030000}"/>
    <cellStyle name="Comma 5 4 2" xfId="1171" xr:uid="{00000000-0005-0000-0000-00008D030000}"/>
    <cellStyle name="Comma 5 5" xfId="1172" xr:uid="{00000000-0005-0000-0000-00008E030000}"/>
    <cellStyle name="Comma 5 5 2" xfId="1173" xr:uid="{00000000-0005-0000-0000-00008F030000}"/>
    <cellStyle name="Comma 5 6" xfId="1174" xr:uid="{00000000-0005-0000-0000-000090030000}"/>
    <cellStyle name="Comma 5 7" xfId="1175" xr:uid="{00000000-0005-0000-0000-000091030000}"/>
    <cellStyle name="Comma 5 8" xfId="1176" xr:uid="{00000000-0005-0000-0000-000092030000}"/>
    <cellStyle name="Comma 50" xfId="1177" xr:uid="{00000000-0005-0000-0000-000093030000}"/>
    <cellStyle name="Comma 51" xfId="1178" xr:uid="{00000000-0005-0000-0000-000094030000}"/>
    <cellStyle name="Comma 52" xfId="1179" xr:uid="{00000000-0005-0000-0000-000095030000}"/>
    <cellStyle name="Comma 53" xfId="1180" xr:uid="{00000000-0005-0000-0000-000096030000}"/>
    <cellStyle name="Comma 54" xfId="1181" xr:uid="{00000000-0005-0000-0000-000097030000}"/>
    <cellStyle name="Comma 55" xfId="1182" xr:uid="{00000000-0005-0000-0000-000098030000}"/>
    <cellStyle name="Comma 56" xfId="1183" xr:uid="{00000000-0005-0000-0000-000099030000}"/>
    <cellStyle name="Comma 57" xfId="1184" xr:uid="{00000000-0005-0000-0000-00009A030000}"/>
    <cellStyle name="Comma 58" xfId="1185" xr:uid="{00000000-0005-0000-0000-00009B030000}"/>
    <cellStyle name="Comma 59" xfId="1186" xr:uid="{00000000-0005-0000-0000-00009C030000}"/>
    <cellStyle name="Comma 6" xfId="121" xr:uid="{00000000-0005-0000-0000-00009D030000}"/>
    <cellStyle name="Comma 6 2" xfId="1187" xr:uid="{00000000-0005-0000-0000-00009E030000}"/>
    <cellStyle name="Comma 6 2 2" xfId="1188" xr:uid="{00000000-0005-0000-0000-00009F030000}"/>
    <cellStyle name="Comma 6 2 3" xfId="1189" xr:uid="{00000000-0005-0000-0000-0000A0030000}"/>
    <cellStyle name="Comma 6 3" xfId="1190" xr:uid="{00000000-0005-0000-0000-0000A1030000}"/>
    <cellStyle name="Comma 6 4" xfId="1191" xr:uid="{00000000-0005-0000-0000-0000A2030000}"/>
    <cellStyle name="Comma 60" xfId="1192" xr:uid="{00000000-0005-0000-0000-0000A3030000}"/>
    <cellStyle name="Comma 61" xfId="1193" xr:uid="{00000000-0005-0000-0000-0000A4030000}"/>
    <cellStyle name="Comma 62" xfId="1194" xr:uid="{00000000-0005-0000-0000-0000A5030000}"/>
    <cellStyle name="Comma 63" xfId="1195" xr:uid="{00000000-0005-0000-0000-0000A6030000}"/>
    <cellStyle name="Comma 64" xfId="1196" xr:uid="{00000000-0005-0000-0000-0000A7030000}"/>
    <cellStyle name="Comma 65" xfId="1197" xr:uid="{00000000-0005-0000-0000-0000A8030000}"/>
    <cellStyle name="Comma 66" xfId="1198" xr:uid="{00000000-0005-0000-0000-0000A9030000}"/>
    <cellStyle name="Comma 67" xfId="1199" xr:uid="{00000000-0005-0000-0000-0000AA030000}"/>
    <cellStyle name="Comma 68" xfId="1200" xr:uid="{00000000-0005-0000-0000-0000AB030000}"/>
    <cellStyle name="Comma 69" xfId="1201" xr:uid="{00000000-0005-0000-0000-0000AC030000}"/>
    <cellStyle name="Comma 7" xfId="122" xr:uid="{00000000-0005-0000-0000-0000AD030000}"/>
    <cellStyle name="Comma 7 10" xfId="1202" xr:uid="{00000000-0005-0000-0000-0000AE030000}"/>
    <cellStyle name="Comma 7 11" xfId="1203" xr:uid="{00000000-0005-0000-0000-0000AF030000}"/>
    <cellStyle name="Comma 7 12" xfId="1204" xr:uid="{00000000-0005-0000-0000-0000B0030000}"/>
    <cellStyle name="Comma 7 13" xfId="1205" xr:uid="{00000000-0005-0000-0000-0000B1030000}"/>
    <cellStyle name="Comma 7 14" xfId="1206" xr:uid="{00000000-0005-0000-0000-0000B2030000}"/>
    <cellStyle name="Comma 7 15" xfId="1207" xr:uid="{00000000-0005-0000-0000-0000B3030000}"/>
    <cellStyle name="Comma 7 16" xfId="1208" xr:uid="{00000000-0005-0000-0000-0000B4030000}"/>
    <cellStyle name="Comma 7 17" xfId="1209" xr:uid="{00000000-0005-0000-0000-0000B5030000}"/>
    <cellStyle name="Comma 7 18" xfId="1210" xr:uid="{00000000-0005-0000-0000-0000B6030000}"/>
    <cellStyle name="Comma 7 2" xfId="1211" xr:uid="{00000000-0005-0000-0000-0000B7030000}"/>
    <cellStyle name="Comma 7 2 2" xfId="1212" xr:uid="{00000000-0005-0000-0000-0000B8030000}"/>
    <cellStyle name="Comma 7 2 2 2" xfId="1213" xr:uid="{00000000-0005-0000-0000-0000B9030000}"/>
    <cellStyle name="Comma 7 2 3" xfId="1214" xr:uid="{00000000-0005-0000-0000-0000BA030000}"/>
    <cellStyle name="Comma 7 2 4" xfId="1215" xr:uid="{00000000-0005-0000-0000-0000BB030000}"/>
    <cellStyle name="Comma 7 2 5" xfId="1216" xr:uid="{00000000-0005-0000-0000-0000BC030000}"/>
    <cellStyle name="Comma 7 3" xfId="1217" xr:uid="{00000000-0005-0000-0000-0000BD030000}"/>
    <cellStyle name="Comma 7 3 2" xfId="1218" xr:uid="{00000000-0005-0000-0000-0000BE030000}"/>
    <cellStyle name="Comma 7 3 3" xfId="1219" xr:uid="{00000000-0005-0000-0000-0000BF030000}"/>
    <cellStyle name="Comma 7 4" xfId="1220" xr:uid="{00000000-0005-0000-0000-0000C0030000}"/>
    <cellStyle name="Comma 7 5" xfId="1221" xr:uid="{00000000-0005-0000-0000-0000C1030000}"/>
    <cellStyle name="Comma 7 6" xfId="1222" xr:uid="{00000000-0005-0000-0000-0000C2030000}"/>
    <cellStyle name="Comma 7 7" xfId="1223" xr:uid="{00000000-0005-0000-0000-0000C3030000}"/>
    <cellStyle name="Comma 7 8" xfId="1224" xr:uid="{00000000-0005-0000-0000-0000C4030000}"/>
    <cellStyle name="Comma 7 9" xfId="1225" xr:uid="{00000000-0005-0000-0000-0000C5030000}"/>
    <cellStyle name="Comma 70" xfId="1226" xr:uid="{00000000-0005-0000-0000-0000C6030000}"/>
    <cellStyle name="Comma 71" xfId="1227" xr:uid="{00000000-0005-0000-0000-0000C7030000}"/>
    <cellStyle name="Comma 72" xfId="1228" xr:uid="{00000000-0005-0000-0000-0000C8030000}"/>
    <cellStyle name="Comma 73" xfId="1229" xr:uid="{00000000-0005-0000-0000-0000C9030000}"/>
    <cellStyle name="Comma 74" xfId="1230" xr:uid="{00000000-0005-0000-0000-0000CA030000}"/>
    <cellStyle name="Comma 75" xfId="1231" xr:uid="{00000000-0005-0000-0000-0000CB030000}"/>
    <cellStyle name="Comma 76" xfId="1232" xr:uid="{00000000-0005-0000-0000-0000CC030000}"/>
    <cellStyle name="Comma 77" xfId="1233" xr:uid="{00000000-0005-0000-0000-0000CD030000}"/>
    <cellStyle name="Comma 78" xfId="1234" xr:uid="{00000000-0005-0000-0000-0000CE030000}"/>
    <cellStyle name="Comma 79" xfId="1235" xr:uid="{00000000-0005-0000-0000-0000CF030000}"/>
    <cellStyle name="Comma 8" xfId="123" xr:uid="{00000000-0005-0000-0000-0000D0030000}"/>
    <cellStyle name="Comma 8 2" xfId="1236" xr:uid="{00000000-0005-0000-0000-0000D1030000}"/>
    <cellStyle name="Comma 8 2 2" xfId="1237" xr:uid="{00000000-0005-0000-0000-0000D2030000}"/>
    <cellStyle name="Comma 8 2 3" xfId="1238" xr:uid="{00000000-0005-0000-0000-0000D3030000}"/>
    <cellStyle name="Comma 8 3" xfId="1239" xr:uid="{00000000-0005-0000-0000-0000D4030000}"/>
    <cellStyle name="Comma 8 3 2" xfId="1240" xr:uid="{00000000-0005-0000-0000-0000D5030000}"/>
    <cellStyle name="Comma 8 3 2 2" xfId="1241" xr:uid="{00000000-0005-0000-0000-0000D6030000}"/>
    <cellStyle name="Comma 8 3 2 3" xfId="1242" xr:uid="{00000000-0005-0000-0000-0000D7030000}"/>
    <cellStyle name="Comma 8 3 3" xfId="1243" xr:uid="{00000000-0005-0000-0000-0000D8030000}"/>
    <cellStyle name="Comma 8 4" xfId="1244" xr:uid="{00000000-0005-0000-0000-0000D9030000}"/>
    <cellStyle name="Comma 8 4 2" xfId="1245" xr:uid="{00000000-0005-0000-0000-0000DA030000}"/>
    <cellStyle name="Comma 8 4 2 2" xfId="1246" xr:uid="{00000000-0005-0000-0000-0000DB030000}"/>
    <cellStyle name="Comma 8 4 2 2 2" xfId="1247" xr:uid="{00000000-0005-0000-0000-0000DC030000}"/>
    <cellStyle name="Comma 8 4 2 2 2 2" xfId="1248" xr:uid="{00000000-0005-0000-0000-0000DD030000}"/>
    <cellStyle name="Comma 8 5" xfId="1249" xr:uid="{00000000-0005-0000-0000-0000DE030000}"/>
    <cellStyle name="Comma 8 6" xfId="1250" xr:uid="{00000000-0005-0000-0000-0000DF030000}"/>
    <cellStyle name="Comma 80" xfId="1251" xr:uid="{00000000-0005-0000-0000-0000E0030000}"/>
    <cellStyle name="Comma 81" xfId="1252" xr:uid="{00000000-0005-0000-0000-0000E1030000}"/>
    <cellStyle name="Comma 82" xfId="1253" xr:uid="{00000000-0005-0000-0000-0000E2030000}"/>
    <cellStyle name="Comma 83" xfId="1254" xr:uid="{00000000-0005-0000-0000-0000E3030000}"/>
    <cellStyle name="Comma 84" xfId="1255" xr:uid="{00000000-0005-0000-0000-0000E4030000}"/>
    <cellStyle name="Comma 85" xfId="1256" xr:uid="{00000000-0005-0000-0000-0000E5030000}"/>
    <cellStyle name="Comma 86" xfId="1257" xr:uid="{00000000-0005-0000-0000-0000E6030000}"/>
    <cellStyle name="Comma 87" xfId="1258" xr:uid="{00000000-0005-0000-0000-0000E7030000}"/>
    <cellStyle name="Comma 88" xfId="1259" xr:uid="{00000000-0005-0000-0000-0000E8030000}"/>
    <cellStyle name="Comma 89" xfId="1260" xr:uid="{00000000-0005-0000-0000-0000E9030000}"/>
    <cellStyle name="Comma 9" xfId="124" xr:uid="{00000000-0005-0000-0000-0000EA030000}"/>
    <cellStyle name="Comma 9 2" xfId="1261" xr:uid="{00000000-0005-0000-0000-0000EB030000}"/>
    <cellStyle name="Comma 9 2 2" xfId="1262" xr:uid="{00000000-0005-0000-0000-0000EC030000}"/>
    <cellStyle name="Comma 9 2 3" xfId="1263" xr:uid="{00000000-0005-0000-0000-0000ED030000}"/>
    <cellStyle name="Comma 9 3" xfId="1264" xr:uid="{00000000-0005-0000-0000-0000EE030000}"/>
    <cellStyle name="Comma 9 4" xfId="1265" xr:uid="{00000000-0005-0000-0000-0000EF030000}"/>
    <cellStyle name="Comma 9 5" xfId="1266" xr:uid="{00000000-0005-0000-0000-0000F0030000}"/>
    <cellStyle name="Comma 9 6" xfId="1267" xr:uid="{00000000-0005-0000-0000-0000F1030000}"/>
    <cellStyle name="Comma 90" xfId="1268" xr:uid="{00000000-0005-0000-0000-0000F2030000}"/>
    <cellStyle name="Comma 91" xfId="1269" xr:uid="{00000000-0005-0000-0000-0000F3030000}"/>
    <cellStyle name="Comma 92" xfId="1270" xr:uid="{00000000-0005-0000-0000-0000F4030000}"/>
    <cellStyle name="Comma 93" xfId="1271" xr:uid="{00000000-0005-0000-0000-0000F5030000}"/>
    <cellStyle name="Comma 94" xfId="1272" xr:uid="{00000000-0005-0000-0000-0000F6030000}"/>
    <cellStyle name="Comma 95" xfId="1273" xr:uid="{00000000-0005-0000-0000-0000F7030000}"/>
    <cellStyle name="Comma 96" xfId="1274" xr:uid="{00000000-0005-0000-0000-0000F8030000}"/>
    <cellStyle name="Comma 97" xfId="1275" xr:uid="{00000000-0005-0000-0000-0000F9030000}"/>
    <cellStyle name="Comma 98" xfId="1276" xr:uid="{00000000-0005-0000-0000-0000FA030000}"/>
    <cellStyle name="Comma 99" xfId="1277" xr:uid="{00000000-0005-0000-0000-0000FB030000}"/>
    <cellStyle name="Comma Cents" xfId="1278" xr:uid="{00000000-0005-0000-0000-0000FC030000}"/>
    <cellStyle name="comma[0]" xfId="125" xr:uid="{00000000-0005-0000-0000-0000FD030000}"/>
    <cellStyle name="comma[0] 2" xfId="1279" xr:uid="{00000000-0005-0000-0000-0000FE030000}"/>
    <cellStyle name="comma[1]" xfId="126" xr:uid="{00000000-0005-0000-0000-0000FF030000}"/>
    <cellStyle name="comma[1] 2" xfId="127" xr:uid="{00000000-0005-0000-0000-000000040000}"/>
    <cellStyle name="comma[1] 2 2" xfId="1280" xr:uid="{00000000-0005-0000-0000-000001040000}"/>
    <cellStyle name="comma[1] 3" xfId="128" xr:uid="{00000000-0005-0000-0000-000002040000}"/>
    <cellStyle name="comma[1] 3 2" xfId="1281" xr:uid="{00000000-0005-0000-0000-000003040000}"/>
    <cellStyle name="comma[1] 4" xfId="129" xr:uid="{00000000-0005-0000-0000-000004040000}"/>
    <cellStyle name="comma[1] 4 2" xfId="130" xr:uid="{00000000-0005-0000-0000-000005040000}"/>
    <cellStyle name="comma[1] 4 2 2" xfId="1282" xr:uid="{00000000-0005-0000-0000-000006040000}"/>
    <cellStyle name="comma[1] 4 3" xfId="1283" xr:uid="{00000000-0005-0000-0000-000007040000}"/>
    <cellStyle name="comma[2]" xfId="131" xr:uid="{00000000-0005-0000-0000-000008040000}"/>
    <cellStyle name="Comma_EMC072000" xfId="11025" xr:uid="{00000000-0005-0000-0000-000009040000}"/>
    <cellStyle name="Comma0" xfId="1284" xr:uid="{00000000-0005-0000-0000-00000A040000}"/>
    <cellStyle name="Company" xfId="1285" xr:uid="{00000000-0005-0000-0000-00000B040000}"/>
    <cellStyle name="Company Name" xfId="1286" xr:uid="{00000000-0005-0000-0000-00000C040000}"/>
    <cellStyle name="CompanyName" xfId="1287" xr:uid="{00000000-0005-0000-0000-00000D040000}"/>
    <cellStyle name="CompanyTitle" xfId="1288" xr:uid="{00000000-0005-0000-0000-00000E040000}"/>
    <cellStyle name="CR Comma" xfId="1289" xr:uid="{00000000-0005-0000-0000-00000F040000}"/>
    <cellStyle name="CR Currency" xfId="1290" xr:uid="{00000000-0005-0000-0000-000010040000}"/>
    <cellStyle name="CurRatio" xfId="1291" xr:uid="{00000000-0005-0000-0000-000011040000}"/>
    <cellStyle name="Currency" xfId="132" builtinId="4"/>
    <cellStyle name="Currency $" xfId="1292" xr:uid="{00000000-0005-0000-0000-000013040000}"/>
    <cellStyle name="Currency [1]" xfId="133" xr:uid="{00000000-0005-0000-0000-000014040000}"/>
    <cellStyle name="Currency [1] 2" xfId="1293" xr:uid="{00000000-0005-0000-0000-000015040000}"/>
    <cellStyle name="Currency [1] 3" xfId="1294" xr:uid="{00000000-0005-0000-0000-000016040000}"/>
    <cellStyle name="Currency [1] 3 2" xfId="1295" xr:uid="{00000000-0005-0000-0000-000017040000}"/>
    <cellStyle name="Currency [1] 3 3" xfId="1296" xr:uid="{00000000-0005-0000-0000-000018040000}"/>
    <cellStyle name="Currency [2]" xfId="134" xr:uid="{00000000-0005-0000-0000-000019040000}"/>
    <cellStyle name="Currency [2] 2" xfId="135" xr:uid="{00000000-0005-0000-0000-00001A040000}"/>
    <cellStyle name="Currency [2] 2 2" xfId="1297" xr:uid="{00000000-0005-0000-0000-00001B040000}"/>
    <cellStyle name="Currency [2] 3" xfId="136" xr:uid="{00000000-0005-0000-0000-00001C040000}"/>
    <cellStyle name="Currency [2] 3 2" xfId="1298" xr:uid="{00000000-0005-0000-0000-00001D040000}"/>
    <cellStyle name="Currency [2] 4" xfId="137" xr:uid="{00000000-0005-0000-0000-00001E040000}"/>
    <cellStyle name="Currency [2] 4 2" xfId="138" xr:uid="{00000000-0005-0000-0000-00001F040000}"/>
    <cellStyle name="Currency [2] 4 2 2" xfId="1299" xr:uid="{00000000-0005-0000-0000-000020040000}"/>
    <cellStyle name="Currency [2] 4 3" xfId="1300" xr:uid="{00000000-0005-0000-0000-000021040000}"/>
    <cellStyle name="Currency [2] 5" xfId="1301" xr:uid="{00000000-0005-0000-0000-000022040000}"/>
    <cellStyle name="Currency [2] 6" xfId="1302" xr:uid="{00000000-0005-0000-0000-000023040000}"/>
    <cellStyle name="Currency [2]_BBBB 2 4 09" xfId="139" xr:uid="{00000000-0005-0000-0000-000024040000}"/>
    <cellStyle name="Currency 0.00" xfId="1303" xr:uid="{00000000-0005-0000-0000-000025040000}"/>
    <cellStyle name="Currency 10" xfId="1304" xr:uid="{00000000-0005-0000-0000-000026040000}"/>
    <cellStyle name="Currency 10 2" xfId="1305" xr:uid="{00000000-0005-0000-0000-000027040000}"/>
    <cellStyle name="Currency 10 3" xfId="1306" xr:uid="{00000000-0005-0000-0000-000028040000}"/>
    <cellStyle name="Currency 11" xfId="1307" xr:uid="{00000000-0005-0000-0000-000029040000}"/>
    <cellStyle name="Currency 11 2" xfId="1308" xr:uid="{00000000-0005-0000-0000-00002A040000}"/>
    <cellStyle name="Currency 12" xfId="1309" xr:uid="{00000000-0005-0000-0000-00002B040000}"/>
    <cellStyle name="Currency 13" xfId="1310" xr:uid="{00000000-0005-0000-0000-00002C040000}"/>
    <cellStyle name="Currency 14" xfId="1311" xr:uid="{00000000-0005-0000-0000-00002D040000}"/>
    <cellStyle name="Currency 14 2" xfId="1312" xr:uid="{00000000-0005-0000-0000-00002E040000}"/>
    <cellStyle name="Currency 15" xfId="1313" xr:uid="{00000000-0005-0000-0000-00002F040000}"/>
    <cellStyle name="Currency 16" xfId="1314" xr:uid="{00000000-0005-0000-0000-000030040000}"/>
    <cellStyle name="Currency 17" xfId="1315" xr:uid="{00000000-0005-0000-0000-000031040000}"/>
    <cellStyle name="Currency 2" xfId="140" xr:uid="{00000000-0005-0000-0000-000032040000}"/>
    <cellStyle name="Currency 2 2" xfId="141" xr:uid="{00000000-0005-0000-0000-000033040000}"/>
    <cellStyle name="Currency 2 2 2" xfId="142" xr:uid="{00000000-0005-0000-0000-000034040000}"/>
    <cellStyle name="Currency 2 2 2 2" xfId="143" xr:uid="{00000000-0005-0000-0000-000035040000}"/>
    <cellStyle name="Currency 2 2 3" xfId="144" xr:uid="{00000000-0005-0000-0000-000036040000}"/>
    <cellStyle name="Currency 2 2 3 2" xfId="1316" xr:uid="{00000000-0005-0000-0000-000037040000}"/>
    <cellStyle name="Currency 2 3" xfId="145" xr:uid="{00000000-0005-0000-0000-000038040000}"/>
    <cellStyle name="Currency 2 3 2" xfId="146" xr:uid="{00000000-0005-0000-0000-000039040000}"/>
    <cellStyle name="Currency 2 3 3" xfId="1317" xr:uid="{00000000-0005-0000-0000-00003A040000}"/>
    <cellStyle name="Currency 2 4" xfId="147" xr:uid="{00000000-0005-0000-0000-00003B040000}"/>
    <cellStyle name="Currency 2 4 2" xfId="1318" xr:uid="{00000000-0005-0000-0000-00003C040000}"/>
    <cellStyle name="Currency 2 5" xfId="1319" xr:uid="{00000000-0005-0000-0000-00003D040000}"/>
    <cellStyle name="Currency 2 5 2" xfId="1320" xr:uid="{00000000-0005-0000-0000-00003E040000}"/>
    <cellStyle name="Currency 2 6" xfId="1321" xr:uid="{00000000-0005-0000-0000-00003F040000}"/>
    <cellStyle name="Currency 2 7" xfId="1322" xr:uid="{00000000-0005-0000-0000-000040040000}"/>
    <cellStyle name="Currency 2 8" xfId="1323" xr:uid="{00000000-0005-0000-0000-000041040000}"/>
    <cellStyle name="Currency 3" xfId="148" xr:uid="{00000000-0005-0000-0000-000042040000}"/>
    <cellStyle name="Currency 3 10" xfId="1324" xr:uid="{00000000-0005-0000-0000-000043040000}"/>
    <cellStyle name="Currency 3 2" xfId="149" xr:uid="{00000000-0005-0000-0000-000044040000}"/>
    <cellStyle name="Currency 3 2 2" xfId="150" xr:uid="{00000000-0005-0000-0000-000045040000}"/>
    <cellStyle name="Currency 3 2 2 2" xfId="1325" xr:uid="{00000000-0005-0000-0000-000046040000}"/>
    <cellStyle name="Currency 3 2 3" xfId="1326" xr:uid="{00000000-0005-0000-0000-000047040000}"/>
    <cellStyle name="Currency 3 2 4" xfId="1327" xr:uid="{00000000-0005-0000-0000-000048040000}"/>
    <cellStyle name="Currency 3 3" xfId="151" xr:uid="{00000000-0005-0000-0000-000049040000}"/>
    <cellStyle name="Currency 3 3 2" xfId="1328" xr:uid="{00000000-0005-0000-0000-00004A040000}"/>
    <cellStyle name="Currency 3 3 3" xfId="1329" xr:uid="{00000000-0005-0000-0000-00004B040000}"/>
    <cellStyle name="Currency 3 3 4" xfId="1330" xr:uid="{00000000-0005-0000-0000-00004C040000}"/>
    <cellStyle name="Currency 3 4" xfId="1331" xr:uid="{00000000-0005-0000-0000-00004D040000}"/>
    <cellStyle name="Currency 3 4 2" xfId="1332" xr:uid="{00000000-0005-0000-0000-00004E040000}"/>
    <cellStyle name="Currency 3 4 2 2" xfId="1333" xr:uid="{00000000-0005-0000-0000-00004F040000}"/>
    <cellStyle name="Currency 3 4 2 2 2" xfId="1334" xr:uid="{00000000-0005-0000-0000-000050040000}"/>
    <cellStyle name="Currency 3 4 2 3" xfId="1335" xr:uid="{00000000-0005-0000-0000-000051040000}"/>
    <cellStyle name="Currency 3 4 3" xfId="1336" xr:uid="{00000000-0005-0000-0000-000052040000}"/>
    <cellStyle name="Currency 3 4 3 2" xfId="1337" xr:uid="{00000000-0005-0000-0000-000053040000}"/>
    <cellStyle name="Currency 3 4 4" xfId="1338" xr:uid="{00000000-0005-0000-0000-000054040000}"/>
    <cellStyle name="Currency 3 5" xfId="1339" xr:uid="{00000000-0005-0000-0000-000055040000}"/>
    <cellStyle name="Currency 3 5 2" xfId="1340" xr:uid="{00000000-0005-0000-0000-000056040000}"/>
    <cellStyle name="Currency 3 5 2 2" xfId="1341" xr:uid="{00000000-0005-0000-0000-000057040000}"/>
    <cellStyle name="Currency 3 5 3" xfId="1342" xr:uid="{00000000-0005-0000-0000-000058040000}"/>
    <cellStyle name="Currency 3 6" xfId="1343" xr:uid="{00000000-0005-0000-0000-000059040000}"/>
    <cellStyle name="Currency 3 6 2" xfId="1344" xr:uid="{00000000-0005-0000-0000-00005A040000}"/>
    <cellStyle name="Currency 3 7" xfId="1345" xr:uid="{00000000-0005-0000-0000-00005B040000}"/>
    <cellStyle name="Currency 3 8" xfId="1346" xr:uid="{00000000-0005-0000-0000-00005C040000}"/>
    <cellStyle name="Currency 3 8 2" xfId="1347" xr:uid="{00000000-0005-0000-0000-00005D040000}"/>
    <cellStyle name="Currency 3 9" xfId="1348" xr:uid="{00000000-0005-0000-0000-00005E040000}"/>
    <cellStyle name="Currency 4" xfId="152" xr:uid="{00000000-0005-0000-0000-00005F040000}"/>
    <cellStyle name="Currency 4 2" xfId="153" xr:uid="{00000000-0005-0000-0000-000060040000}"/>
    <cellStyle name="Currency 4 2 2" xfId="1349" xr:uid="{00000000-0005-0000-0000-000061040000}"/>
    <cellStyle name="Currency 4 2 2 2" xfId="1350" xr:uid="{00000000-0005-0000-0000-000062040000}"/>
    <cellStyle name="Currency 4 2 2 2 2" xfId="1351" xr:uid="{00000000-0005-0000-0000-000063040000}"/>
    <cellStyle name="Currency 4 2 2 3" xfId="1352" xr:uid="{00000000-0005-0000-0000-000064040000}"/>
    <cellStyle name="Currency 4 2 3" xfId="1353" xr:uid="{00000000-0005-0000-0000-000065040000}"/>
    <cellStyle name="Currency 4 2 3 2" xfId="1354" xr:uid="{00000000-0005-0000-0000-000066040000}"/>
    <cellStyle name="Currency 4 2 4" xfId="1355" xr:uid="{00000000-0005-0000-0000-000067040000}"/>
    <cellStyle name="Currency 4 2 5" xfId="1356" xr:uid="{00000000-0005-0000-0000-000068040000}"/>
    <cellStyle name="Currency 4 3" xfId="154" xr:uid="{00000000-0005-0000-0000-000069040000}"/>
    <cellStyle name="Currency 4 3 2" xfId="1357" xr:uid="{00000000-0005-0000-0000-00006A040000}"/>
    <cellStyle name="Currency 4 3 2 2" xfId="1358" xr:uid="{00000000-0005-0000-0000-00006B040000}"/>
    <cellStyle name="Currency 4 3 3" xfId="1359" xr:uid="{00000000-0005-0000-0000-00006C040000}"/>
    <cellStyle name="Currency 4 3 4" xfId="1360" xr:uid="{00000000-0005-0000-0000-00006D040000}"/>
    <cellStyle name="Currency 4 4" xfId="1361" xr:uid="{00000000-0005-0000-0000-00006E040000}"/>
    <cellStyle name="Currency 4 4 2" xfId="1362" xr:uid="{00000000-0005-0000-0000-00006F040000}"/>
    <cellStyle name="Currency 4 5" xfId="1363" xr:uid="{00000000-0005-0000-0000-000070040000}"/>
    <cellStyle name="Currency 4 6" xfId="1364" xr:uid="{00000000-0005-0000-0000-000071040000}"/>
    <cellStyle name="Currency 4 6 2" xfId="1365" xr:uid="{00000000-0005-0000-0000-000072040000}"/>
    <cellStyle name="Currency 4 7" xfId="1366" xr:uid="{00000000-0005-0000-0000-000073040000}"/>
    <cellStyle name="Currency 4 8" xfId="1367" xr:uid="{00000000-0005-0000-0000-000074040000}"/>
    <cellStyle name="Currency 4 9" xfId="1368" xr:uid="{00000000-0005-0000-0000-000075040000}"/>
    <cellStyle name="Currency 5" xfId="155" xr:uid="{00000000-0005-0000-0000-000076040000}"/>
    <cellStyle name="Currency 5 2" xfId="156" xr:uid="{00000000-0005-0000-0000-000077040000}"/>
    <cellStyle name="Currency 5 2 2" xfId="1369" xr:uid="{00000000-0005-0000-0000-000078040000}"/>
    <cellStyle name="Currency 5 2 2 2" xfId="1370" xr:uid="{00000000-0005-0000-0000-000079040000}"/>
    <cellStyle name="Currency 5 2 2 2 2" xfId="1371" xr:uid="{00000000-0005-0000-0000-00007A040000}"/>
    <cellStyle name="Currency 5 2 2 3" xfId="1372" xr:uid="{00000000-0005-0000-0000-00007B040000}"/>
    <cellStyle name="Currency 5 2 3" xfId="1373" xr:uid="{00000000-0005-0000-0000-00007C040000}"/>
    <cellStyle name="Currency 5 2 3 2" xfId="1374" xr:uid="{00000000-0005-0000-0000-00007D040000}"/>
    <cellStyle name="Currency 5 2 4" xfId="1375" xr:uid="{00000000-0005-0000-0000-00007E040000}"/>
    <cellStyle name="Currency 5 3" xfId="1376" xr:uid="{00000000-0005-0000-0000-00007F040000}"/>
    <cellStyle name="Currency 5 3 2" xfId="1377" xr:uid="{00000000-0005-0000-0000-000080040000}"/>
    <cellStyle name="Currency 5 3 2 2" xfId="1378" xr:uid="{00000000-0005-0000-0000-000081040000}"/>
    <cellStyle name="Currency 5 3 3" xfId="1379" xr:uid="{00000000-0005-0000-0000-000082040000}"/>
    <cellStyle name="Currency 5 4" xfId="1380" xr:uid="{00000000-0005-0000-0000-000083040000}"/>
    <cellStyle name="Currency 5 4 2" xfId="1381" xr:uid="{00000000-0005-0000-0000-000084040000}"/>
    <cellStyle name="Currency 5 5" xfId="1382" xr:uid="{00000000-0005-0000-0000-000085040000}"/>
    <cellStyle name="Currency 6" xfId="157" xr:uid="{00000000-0005-0000-0000-000086040000}"/>
    <cellStyle name="Currency 6 2" xfId="1383" xr:uid="{00000000-0005-0000-0000-000087040000}"/>
    <cellStyle name="Currency 6 2 2" xfId="1384" xr:uid="{00000000-0005-0000-0000-000088040000}"/>
    <cellStyle name="Currency 6 2 2 2" xfId="1385" xr:uid="{00000000-0005-0000-0000-000089040000}"/>
    <cellStyle name="Currency 6 2 2 2 2" xfId="1386" xr:uid="{00000000-0005-0000-0000-00008A040000}"/>
    <cellStyle name="Currency 6 2 2 3" xfId="1387" xr:uid="{00000000-0005-0000-0000-00008B040000}"/>
    <cellStyle name="Currency 6 2 3" xfId="1388" xr:uid="{00000000-0005-0000-0000-00008C040000}"/>
    <cellStyle name="Currency 6 2 3 2" xfId="1389" xr:uid="{00000000-0005-0000-0000-00008D040000}"/>
    <cellStyle name="Currency 6 2 4" xfId="1390" xr:uid="{00000000-0005-0000-0000-00008E040000}"/>
    <cellStyle name="Currency 6 3" xfId="1391" xr:uid="{00000000-0005-0000-0000-00008F040000}"/>
    <cellStyle name="Currency 6 3 2" xfId="1392" xr:uid="{00000000-0005-0000-0000-000090040000}"/>
    <cellStyle name="Currency 6 3 2 2" xfId="1393" xr:uid="{00000000-0005-0000-0000-000091040000}"/>
    <cellStyle name="Currency 6 3 3" xfId="1394" xr:uid="{00000000-0005-0000-0000-000092040000}"/>
    <cellStyle name="Currency 6 4" xfId="1395" xr:uid="{00000000-0005-0000-0000-000093040000}"/>
    <cellStyle name="Currency 6 4 2" xfId="1396" xr:uid="{00000000-0005-0000-0000-000094040000}"/>
    <cellStyle name="Currency 6 5" xfId="1397" xr:uid="{00000000-0005-0000-0000-000095040000}"/>
    <cellStyle name="Currency 6 6" xfId="1398" xr:uid="{00000000-0005-0000-0000-000096040000}"/>
    <cellStyle name="Currency 7" xfId="158" xr:uid="{00000000-0005-0000-0000-000097040000}"/>
    <cellStyle name="Currency 7 2" xfId="1399" xr:uid="{00000000-0005-0000-0000-000098040000}"/>
    <cellStyle name="Currency 7 2 2" xfId="1400" xr:uid="{00000000-0005-0000-0000-000099040000}"/>
    <cellStyle name="Currency 7 3" xfId="1401" xr:uid="{00000000-0005-0000-0000-00009A040000}"/>
    <cellStyle name="Currency 7 4" xfId="1402" xr:uid="{00000000-0005-0000-0000-00009B040000}"/>
    <cellStyle name="Currency 8" xfId="1403" xr:uid="{00000000-0005-0000-0000-00009C040000}"/>
    <cellStyle name="Currency 8 2" xfId="1404" xr:uid="{00000000-0005-0000-0000-00009D040000}"/>
    <cellStyle name="Currency 9" xfId="1405" xr:uid="{00000000-0005-0000-0000-00009E040000}"/>
    <cellStyle name="Currency 9 2" xfId="1406" xr:uid="{00000000-0005-0000-0000-00009F040000}"/>
    <cellStyle name="Currency(1)" xfId="1407" xr:uid="{00000000-0005-0000-0000-0000A0040000}"/>
    <cellStyle name="Currency_Cognex 4.17.07" xfId="11026" xr:uid="{00000000-0005-0000-0000-0000A1040000}"/>
    <cellStyle name="Currency0" xfId="1408" xr:uid="{00000000-0005-0000-0000-0000A2040000}"/>
    <cellStyle name="CUS.Work.Area" xfId="1409" xr:uid="{00000000-0005-0000-0000-0000A3040000}"/>
    <cellStyle name="d_yield" xfId="1410" xr:uid="{00000000-0005-0000-0000-0000A4040000}"/>
    <cellStyle name="d_yield_1 FM_101_Examples_v7.31McIntire" xfId="1411" xr:uid="{00000000-0005-0000-0000-0000A5040000}"/>
    <cellStyle name="d_yield_1 FM_101_Examples_v7.31McIntire_1 FM_101_Examples_TWO-Day_v7.31" xfId="1412" xr:uid="{00000000-0005-0000-0000-0000A6040000}"/>
    <cellStyle name="d_yield_AVP" xfId="1413" xr:uid="{00000000-0005-0000-0000-0000A7040000}"/>
    <cellStyle name="d_yield_AVP_1 FM_101_Examples_v7.31McIntire" xfId="1414" xr:uid="{00000000-0005-0000-0000-0000A8040000}"/>
    <cellStyle name="d_yield_AVP_1 FM_101_Examples_v7.31McIntire_1 FM_101_Examples_TWO-Day_v7.31" xfId="1415" xr:uid="{00000000-0005-0000-0000-0000A9040000}"/>
    <cellStyle name="d_yield_AVP_Graphic Depiction - NO DEV" xfId="1416" xr:uid="{00000000-0005-0000-0000-0000AA040000}"/>
    <cellStyle name="d_yield_AVP_Graphic Depiction - NO DEV_1 FM_101_Examples_v7.31McIntire" xfId="1417" xr:uid="{00000000-0005-0000-0000-0000AB040000}"/>
    <cellStyle name="d_yield_AVP_Graphic Depiction - NO DEV_1 FM_101_Examples_v7.31McIntire_1 FM_101_Examples_TWO-Day_v7.31" xfId="1418" xr:uid="{00000000-0005-0000-0000-0000AC040000}"/>
    <cellStyle name="d_yield_AVP_Graphic Depiction - NO DEV_Val_1_Book_Lecture_Notes_v3.06" xfId="1419" xr:uid="{00000000-0005-0000-0000-0000AD040000}"/>
    <cellStyle name="d_yield_AVP_THEsumPage (2)" xfId="1420" xr:uid="{00000000-0005-0000-0000-0000AE040000}"/>
    <cellStyle name="d_yield_AVP_THEsumPage (2)_1 FM_101_Examples_v7.31McIntire" xfId="1421" xr:uid="{00000000-0005-0000-0000-0000AF040000}"/>
    <cellStyle name="d_yield_AVP_THEsumPage (2)_1 FM_101_Examples_v7.31McIntire_1 FM_101_Examples_TWO-Day_v7.31" xfId="1422" xr:uid="{00000000-0005-0000-0000-0000B0040000}"/>
    <cellStyle name="d_yield_AVP_THEsumPage (2)_Val_1_Book_Lecture_Notes_v3.06" xfId="1423" xr:uid="{00000000-0005-0000-0000-0000B1040000}"/>
    <cellStyle name="d_yield_AVP_Val_1_Book_Lecture_Notes_v3.06" xfId="1424" xr:uid="{00000000-0005-0000-0000-0000B2040000}"/>
    <cellStyle name="d_yield_CompSheet" xfId="1425" xr:uid="{00000000-0005-0000-0000-0000B3040000}"/>
    <cellStyle name="d_yield_CompSheet_LANCE_Model_v0.6.DCF.MASTER.Name" xfId="1426" xr:uid="{00000000-0005-0000-0000-0000B4040000}"/>
    <cellStyle name="d_yield_CompSheet_LANCE_Model_v0.6.DCF.MASTER.Name_DCF &amp; Raios to CLX Tootsie_v1.33.xls" xfId="1427" xr:uid="{00000000-0005-0000-0000-0000B5040000}"/>
    <cellStyle name="d_yield_CompSheet_LANCE_Model_v0.6.DCF.MASTER.Name_Tootsie_TWO_DAY_TTS_Solution_v1.34" xfId="1428" xr:uid="{00000000-0005-0000-0000-0000B6040000}"/>
    <cellStyle name="d_yield_CompSheet_LANCE_Model_v0.6.DCF.MASTER.Name_Val_1_Book_Lecture_Notes_v3.06" xfId="1429" xr:uid="{00000000-0005-0000-0000-0000B7040000}"/>
    <cellStyle name="d_yield_CompSheet_Val_1_Book_Lecture_Notes_v3.06" xfId="1430" xr:uid="{00000000-0005-0000-0000-0000B8040000}"/>
    <cellStyle name="d_yield_Disc Analysis" xfId="1431" xr:uid="{00000000-0005-0000-0000-0000B9040000}"/>
    <cellStyle name="d_yield_Disc Analysis_1 FM_101_Examples_v7.31McIntire" xfId="1432" xr:uid="{00000000-0005-0000-0000-0000BA040000}"/>
    <cellStyle name="d_yield_Disc Analysis_1 FM_101_Examples_v7.31McIntire_1 FM_101_Examples_TWO-Day_v7.31" xfId="1433" xr:uid="{00000000-0005-0000-0000-0000BB040000}"/>
    <cellStyle name="d_yield_Disc Analysis_CompSheet" xfId="1434" xr:uid="{00000000-0005-0000-0000-0000BC040000}"/>
    <cellStyle name="d_yield_Disc Analysis_CompSheet_1 FM_101_Examples_v7.31McIntire" xfId="1435" xr:uid="{00000000-0005-0000-0000-0000BD040000}"/>
    <cellStyle name="d_yield_Disc Analysis_CompSheet_1 FM_101_Examples_v7.31McIntire_1 FM_101_Examples_TWO-Day_v7.31" xfId="1436" xr:uid="{00000000-0005-0000-0000-0000BE040000}"/>
    <cellStyle name="d_yield_Disc Analysis_CompSheet_Val_1_Book_Lecture_Notes_v3.06" xfId="1437" xr:uid="{00000000-0005-0000-0000-0000BF040000}"/>
    <cellStyle name="d_yield_Disc Analysis_THEsumPage (2)" xfId="1438" xr:uid="{00000000-0005-0000-0000-0000C0040000}"/>
    <cellStyle name="d_yield_Disc Analysis_THEsumPage (2)_1 FM_101_Examples_v7.31McIntire" xfId="1439" xr:uid="{00000000-0005-0000-0000-0000C1040000}"/>
    <cellStyle name="d_yield_Disc Analysis_THEsumPage (2)_1 FM_101_Examples_v7.31McIntire_1 FM_101_Examples_TWO-Day_v7.31" xfId="1440" xr:uid="{00000000-0005-0000-0000-0000C2040000}"/>
    <cellStyle name="d_yield_Disc Analysis_THEsumPage (2)_Val_1_Book_Lecture_Notes_v3.06" xfId="1441" xr:uid="{00000000-0005-0000-0000-0000C3040000}"/>
    <cellStyle name="d_yield_Disc Analysis_Val_1_Book_Lecture_Notes_v3.06" xfId="1442" xr:uid="{00000000-0005-0000-0000-0000C4040000}"/>
    <cellStyle name="d_yield_Fairness Opinion Valuation 4-23a.xls Chart 1" xfId="1443" xr:uid="{00000000-0005-0000-0000-0000C5040000}"/>
    <cellStyle name="d_yield_Fairness Opinion Valuation 4-23a.xls Chart 1_LANCE_Model_v0.6.DCF.MASTER.Name" xfId="1444" xr:uid="{00000000-0005-0000-0000-0000C6040000}"/>
    <cellStyle name="d_yield_Fairness Opinion Valuation 4-23a.xls Chart 1_LANCE_Model_v0.6.DCF.MASTER.Name_DCF &amp; Raios to CLX Tootsie_v1.33.xls" xfId="1445" xr:uid="{00000000-0005-0000-0000-0000C7040000}"/>
    <cellStyle name="d_yield_Fairness Opinion Valuation 4-23a.xls Chart 1_LANCE_Model_v0.6.DCF.MASTER.Name_Tootsie_TWO_DAY_TTS_Solution_v1.34" xfId="1446" xr:uid="{00000000-0005-0000-0000-0000C8040000}"/>
    <cellStyle name="d_yield_Fairness Opinion Valuation 4-23a.xls Chart 1_LANCE_Model_v0.6.DCF.MASTER.Name_Val_1_Book_Lecture_Notes_v3.06" xfId="1447" xr:uid="{00000000-0005-0000-0000-0000C9040000}"/>
    <cellStyle name="d_yield_Fairness Opinion Valuation 4-23a.xls Chart 1_Val_1_Book_Lecture_Notes_v3.06" xfId="1448" xr:uid="{00000000-0005-0000-0000-0000CA040000}"/>
    <cellStyle name="d_yield_LP Chart" xfId="1449" xr:uid="{00000000-0005-0000-0000-0000CB040000}"/>
    <cellStyle name="d_yield_LP Chart_LANCE_Model_v0.6.DCF.MASTER.Name" xfId="1450" xr:uid="{00000000-0005-0000-0000-0000CC040000}"/>
    <cellStyle name="d_yield_LP Chart_LANCE_Model_v0.6.DCF.MASTER.Name_DCF &amp; Raios to CLX Tootsie_v1.33.xls" xfId="1451" xr:uid="{00000000-0005-0000-0000-0000CD040000}"/>
    <cellStyle name="d_yield_LP Chart_LANCE_Model_v0.6.DCF.MASTER.Name_Tootsie_TWO_DAY_TTS_Solution_v1.34" xfId="1452" xr:uid="{00000000-0005-0000-0000-0000CE040000}"/>
    <cellStyle name="d_yield_LP Chart_LANCE_Model_v0.6.DCF.MASTER.Name_Val_1_Book_Lecture_Notes_v3.06" xfId="1453" xr:uid="{00000000-0005-0000-0000-0000CF040000}"/>
    <cellStyle name="d_yield_LP Chart_THEsumPage (2)" xfId="1454" xr:uid="{00000000-0005-0000-0000-0000D0040000}"/>
    <cellStyle name="d_yield_LP Chart_THEsumPage (2)_LANCE_Model_v0.6.DCF.MASTER.Name" xfId="1455" xr:uid="{00000000-0005-0000-0000-0000D1040000}"/>
    <cellStyle name="d_yield_LP Chart_THEsumPage (2)_LANCE_Model_v0.6.DCF.MASTER.Name_DCF &amp; Raios to CLX Tootsie_v1.33.xls" xfId="1456" xr:uid="{00000000-0005-0000-0000-0000D2040000}"/>
    <cellStyle name="d_yield_LP Chart_THEsumPage (2)_LANCE_Model_v0.6.DCF.MASTER.Name_Tootsie_TWO_DAY_TTS_Solution_v1.34" xfId="1457" xr:uid="{00000000-0005-0000-0000-0000D3040000}"/>
    <cellStyle name="d_yield_LP Chart_THEsumPage (2)_LANCE_Model_v0.6.DCF.MASTER.Name_Val_1_Book_Lecture_Notes_v3.06" xfId="1458" xr:uid="{00000000-0005-0000-0000-0000D4040000}"/>
    <cellStyle name="d_yield_LP Chart_THEsumPage (2)_Val_1_Book_Lecture_Notes_v3.06" xfId="1459" xr:uid="{00000000-0005-0000-0000-0000D5040000}"/>
    <cellStyle name="d_yield_LP Chart_Val_1_Book_Lecture_Notes_v3.06" xfId="1460" xr:uid="{00000000-0005-0000-0000-0000D6040000}"/>
    <cellStyle name="d_yield_Merg Cons" xfId="1461" xr:uid="{00000000-0005-0000-0000-0000D7040000}"/>
    <cellStyle name="d_yield_Merg Cons_1 FM_101_Examples_v7.31McIntire" xfId="1462" xr:uid="{00000000-0005-0000-0000-0000D8040000}"/>
    <cellStyle name="d_yield_Merg Cons_1 FM_101_Examples_v7.31McIntire_1 FM_101_Examples_TWO-Day_v7.31" xfId="1463" xr:uid="{00000000-0005-0000-0000-0000D9040000}"/>
    <cellStyle name="d_yield_Merg Cons_CompSheet" xfId="1464" xr:uid="{00000000-0005-0000-0000-0000DA040000}"/>
    <cellStyle name="d_yield_Merg Cons_CompSheet_1 FM_101_Examples_v7.31McIntire" xfId="1465" xr:uid="{00000000-0005-0000-0000-0000DB040000}"/>
    <cellStyle name="d_yield_Merg Cons_CompSheet_1 FM_101_Examples_v7.31McIntire_1 FM_101_Examples_TWO-Day_v7.31" xfId="1466" xr:uid="{00000000-0005-0000-0000-0000DC040000}"/>
    <cellStyle name="d_yield_Merg Cons_CompSheet_Val_1_Book_Lecture_Notes_v3.06" xfId="1467" xr:uid="{00000000-0005-0000-0000-0000DD040000}"/>
    <cellStyle name="d_yield_Merg Cons_THEsumPage (2)" xfId="1468" xr:uid="{00000000-0005-0000-0000-0000DE040000}"/>
    <cellStyle name="d_yield_Merg Cons_THEsumPage (2)_1 FM_101_Examples_v7.31McIntire" xfId="1469" xr:uid="{00000000-0005-0000-0000-0000DF040000}"/>
    <cellStyle name="d_yield_Merg Cons_THEsumPage (2)_1 FM_101_Examples_v7.31McIntire_1 FM_101_Examples_TWO-Day_v7.31" xfId="1470" xr:uid="{00000000-0005-0000-0000-0000E0040000}"/>
    <cellStyle name="d_yield_Merg Cons_THEsumPage (2)_Val_1_Book_Lecture_Notes_v3.06" xfId="1471" xr:uid="{00000000-0005-0000-0000-0000E1040000}"/>
    <cellStyle name="d_yield_Merg Cons_Val_1_Book_Lecture_Notes_v3.06" xfId="1472" xr:uid="{00000000-0005-0000-0000-0000E2040000}"/>
    <cellStyle name="d_yield_PowerValuation.xls Chart 21" xfId="1473" xr:uid="{00000000-0005-0000-0000-0000E3040000}"/>
    <cellStyle name="d_yield_PowerValuation.xls Chart 21_LANCE_Model_v0.6.DCF.MASTER.Name" xfId="1474" xr:uid="{00000000-0005-0000-0000-0000E4040000}"/>
    <cellStyle name="d_yield_PowerValuation.xls Chart 21_LANCE_Model_v0.6.DCF.MASTER.Name_DCF &amp; Raios to CLX Tootsie_v1.33.xls" xfId="1475" xr:uid="{00000000-0005-0000-0000-0000E5040000}"/>
    <cellStyle name="d_yield_PowerValuation.xls Chart 21_LANCE_Model_v0.6.DCF.MASTER.Name_Tootsie_TWO_DAY_TTS_Solution_v1.34" xfId="1476" xr:uid="{00000000-0005-0000-0000-0000E6040000}"/>
    <cellStyle name="d_yield_PowerValuation.xls Chart 21_LANCE_Model_v0.6.DCF.MASTER.Name_Val_1_Book_Lecture_Notes_v3.06" xfId="1477" xr:uid="{00000000-0005-0000-0000-0000E7040000}"/>
    <cellStyle name="d_yield_PowerValuation.xls Chart 21_Val_1_Book_Lecture_Notes_v3.06" xfId="1478" xr:uid="{00000000-0005-0000-0000-0000E8040000}"/>
    <cellStyle name="d_yield_PowerValuation.xls Chart 28" xfId="1479" xr:uid="{00000000-0005-0000-0000-0000E9040000}"/>
    <cellStyle name="d_yield_PowerValuation.xls Chart 28_LANCE_Model_v0.6.DCF.MASTER.Name" xfId="1480" xr:uid="{00000000-0005-0000-0000-0000EA040000}"/>
    <cellStyle name="d_yield_PowerValuation.xls Chart 28_LANCE_Model_v0.6.DCF.MASTER.Name_DCF &amp; Raios to CLX Tootsie_v1.33.xls" xfId="1481" xr:uid="{00000000-0005-0000-0000-0000EB040000}"/>
    <cellStyle name="d_yield_PowerValuation.xls Chart 28_LANCE_Model_v0.6.DCF.MASTER.Name_Tootsie_TWO_DAY_TTS_Solution_v1.34" xfId="1482" xr:uid="{00000000-0005-0000-0000-0000EC040000}"/>
    <cellStyle name="d_yield_PowerValuation.xls Chart 28_LANCE_Model_v0.6.DCF.MASTER.Name_Val_1_Book_Lecture_Notes_v3.06" xfId="1483" xr:uid="{00000000-0005-0000-0000-0000ED040000}"/>
    <cellStyle name="d_yield_PowerValuation.xls Chart 28_Val_1_Book_Lecture_Notes_v3.06" xfId="1484" xr:uid="{00000000-0005-0000-0000-0000EE040000}"/>
    <cellStyle name="d_yield_Proj10" xfId="1485" xr:uid="{00000000-0005-0000-0000-0000EF040000}"/>
    <cellStyle name="d_yield_Proj10_1 FM_101_Examples_v7.31McIntire" xfId="1486" xr:uid="{00000000-0005-0000-0000-0000F0040000}"/>
    <cellStyle name="d_yield_Proj10_1 FM_101_Examples_v7.31McIntire_1 FM_101_Examples_TWO-Day_v7.31" xfId="1487" xr:uid="{00000000-0005-0000-0000-0000F1040000}"/>
    <cellStyle name="d_yield_Proj10_AVP" xfId="1488" xr:uid="{00000000-0005-0000-0000-0000F2040000}"/>
    <cellStyle name="d_yield_Proj10_AVP_1 FM_101_Examples_v7.31McIntire" xfId="1489" xr:uid="{00000000-0005-0000-0000-0000F3040000}"/>
    <cellStyle name="d_yield_Proj10_AVP_1 FM_101_Examples_v7.31McIntire_1 FM_101_Examples_TWO-Day_v7.31" xfId="1490" xr:uid="{00000000-0005-0000-0000-0000F4040000}"/>
    <cellStyle name="d_yield_Proj10_AVP_Graphic Depiction - NO DEV" xfId="1491" xr:uid="{00000000-0005-0000-0000-0000F5040000}"/>
    <cellStyle name="d_yield_Proj10_AVP_Graphic Depiction - NO DEV_1 FM_101_Examples_v7.31McIntire" xfId="1492" xr:uid="{00000000-0005-0000-0000-0000F6040000}"/>
    <cellStyle name="d_yield_Proj10_AVP_Graphic Depiction - NO DEV_1 FM_101_Examples_v7.31McIntire_1 FM_101_Examples_TWO-Day_v7.31" xfId="1493" xr:uid="{00000000-0005-0000-0000-0000F7040000}"/>
    <cellStyle name="d_yield_Proj10_AVP_Graphic Depiction - NO DEV_Val_1_Book_Lecture_Notes_v3.06" xfId="1494" xr:uid="{00000000-0005-0000-0000-0000F8040000}"/>
    <cellStyle name="d_yield_Proj10_AVP_THEsumPage (2)" xfId="1495" xr:uid="{00000000-0005-0000-0000-0000F9040000}"/>
    <cellStyle name="d_yield_Proj10_AVP_THEsumPage (2)_1 FM_101_Examples_v7.31McIntire" xfId="1496" xr:uid="{00000000-0005-0000-0000-0000FA040000}"/>
    <cellStyle name="d_yield_Proj10_AVP_THEsumPage (2)_1 FM_101_Examples_v7.31McIntire_1 FM_101_Examples_TWO-Day_v7.31" xfId="1497" xr:uid="{00000000-0005-0000-0000-0000FB040000}"/>
    <cellStyle name="d_yield_Proj10_AVP_THEsumPage (2)_Val_1_Book_Lecture_Notes_v3.06" xfId="1498" xr:uid="{00000000-0005-0000-0000-0000FC040000}"/>
    <cellStyle name="d_yield_Proj10_AVP_Val_1_Book_Lecture_Notes_v3.06" xfId="1499" xr:uid="{00000000-0005-0000-0000-0000FD040000}"/>
    <cellStyle name="d_yield_Proj10_CompSheet" xfId="1500" xr:uid="{00000000-0005-0000-0000-0000FE040000}"/>
    <cellStyle name="d_yield_Proj10_CompSheet_LANCE_Model_v0.6.DCF.MASTER.Name" xfId="1501" xr:uid="{00000000-0005-0000-0000-0000FF040000}"/>
    <cellStyle name="d_yield_Proj10_CompSheet_LANCE_Model_v0.6.DCF.MASTER.Name_DCF &amp; Raios to CLX Tootsie_v1.33.xls" xfId="1502" xr:uid="{00000000-0005-0000-0000-000000050000}"/>
    <cellStyle name="d_yield_Proj10_CompSheet_LANCE_Model_v0.6.DCF.MASTER.Name_Tootsie_TWO_DAY_TTS_Solution_v1.34" xfId="1503" xr:uid="{00000000-0005-0000-0000-000001050000}"/>
    <cellStyle name="d_yield_Proj10_CompSheet_LANCE_Model_v0.6.DCF.MASTER.Name_Val_1_Book_Lecture_Notes_v3.06" xfId="1504" xr:uid="{00000000-0005-0000-0000-000002050000}"/>
    <cellStyle name="d_yield_Proj10_CompSheet_Val_1_Book_Lecture_Notes_v3.06" xfId="1505" xr:uid="{00000000-0005-0000-0000-000003050000}"/>
    <cellStyle name="d_yield_Proj10_Disc Analysis" xfId="1506" xr:uid="{00000000-0005-0000-0000-000004050000}"/>
    <cellStyle name="d_yield_Proj10_Disc Analysis_1 FM_101_Examples_v7.31McIntire" xfId="1507" xr:uid="{00000000-0005-0000-0000-000005050000}"/>
    <cellStyle name="d_yield_Proj10_Disc Analysis_1 FM_101_Examples_v7.31McIntire_1 FM_101_Examples_TWO-Day_v7.31" xfId="1508" xr:uid="{00000000-0005-0000-0000-000006050000}"/>
    <cellStyle name="d_yield_Proj10_Disc Analysis_CompSheet" xfId="1509" xr:uid="{00000000-0005-0000-0000-000007050000}"/>
    <cellStyle name="d_yield_Proj10_Disc Analysis_CompSheet_1 FM_101_Examples_v7.31McIntire" xfId="1510" xr:uid="{00000000-0005-0000-0000-000008050000}"/>
    <cellStyle name="d_yield_Proj10_Disc Analysis_CompSheet_1 FM_101_Examples_v7.31McIntire_1 FM_101_Examples_TWO-Day_v7.31" xfId="1511" xr:uid="{00000000-0005-0000-0000-000009050000}"/>
    <cellStyle name="d_yield_Proj10_Disc Analysis_CompSheet_Val_1_Book_Lecture_Notes_v3.06" xfId="1512" xr:uid="{00000000-0005-0000-0000-00000A050000}"/>
    <cellStyle name="d_yield_Proj10_Disc Analysis_THEsumPage (2)" xfId="1513" xr:uid="{00000000-0005-0000-0000-00000B050000}"/>
    <cellStyle name="d_yield_Proj10_Disc Analysis_THEsumPage (2)_1 FM_101_Examples_v7.31McIntire" xfId="1514" xr:uid="{00000000-0005-0000-0000-00000C050000}"/>
    <cellStyle name="d_yield_Proj10_Disc Analysis_THEsumPage (2)_1 FM_101_Examples_v7.31McIntire_1 FM_101_Examples_TWO-Day_v7.31" xfId="1515" xr:uid="{00000000-0005-0000-0000-00000D050000}"/>
    <cellStyle name="d_yield_Proj10_Disc Analysis_THEsumPage (2)_Val_1_Book_Lecture_Notes_v3.06" xfId="1516" xr:uid="{00000000-0005-0000-0000-00000E050000}"/>
    <cellStyle name="d_yield_Proj10_Disc Analysis_Val_1_Book_Lecture_Notes_v3.06" xfId="1517" xr:uid="{00000000-0005-0000-0000-00000F050000}"/>
    <cellStyle name="d_yield_Proj10_Fairness Opinion Valuation 4-23a.xls Chart 1" xfId="1518" xr:uid="{00000000-0005-0000-0000-000010050000}"/>
    <cellStyle name="d_yield_Proj10_Fairness Opinion Valuation 4-23a.xls Chart 1_LANCE_Model_v0.6.DCF.MASTER.Name" xfId="1519" xr:uid="{00000000-0005-0000-0000-000011050000}"/>
    <cellStyle name="d_yield_Proj10_Fairness Opinion Valuation 4-23a.xls Chart 1_LANCE_Model_v0.6.DCF.MASTER.Name_DCF &amp; Raios to CLX Tootsie_v1.33.xls" xfId="1520" xr:uid="{00000000-0005-0000-0000-000012050000}"/>
    <cellStyle name="d_yield_Proj10_Fairness Opinion Valuation 4-23a.xls Chart 1_LANCE_Model_v0.6.DCF.MASTER.Name_Tootsie_TWO_DAY_TTS_Solution_v1.34" xfId="1521" xr:uid="{00000000-0005-0000-0000-000013050000}"/>
    <cellStyle name="d_yield_Proj10_Fairness Opinion Valuation 4-23a.xls Chart 1_LANCE_Model_v0.6.DCF.MASTER.Name_Val_1_Book_Lecture_Notes_v3.06" xfId="1522" xr:uid="{00000000-0005-0000-0000-000014050000}"/>
    <cellStyle name="d_yield_Proj10_Fairness Opinion Valuation 4-23a.xls Chart 1_Val_1_Book_Lecture_Notes_v3.06" xfId="1523" xr:uid="{00000000-0005-0000-0000-000015050000}"/>
    <cellStyle name="d_yield_Proj10_LP Chart" xfId="1524" xr:uid="{00000000-0005-0000-0000-000016050000}"/>
    <cellStyle name="d_yield_Proj10_LP Chart_LANCE_Model_v0.6.DCF.MASTER.Name" xfId="1525" xr:uid="{00000000-0005-0000-0000-000017050000}"/>
    <cellStyle name="d_yield_Proj10_LP Chart_LANCE_Model_v0.6.DCF.MASTER.Name_DCF &amp; Raios to CLX Tootsie_v1.33.xls" xfId="1526" xr:uid="{00000000-0005-0000-0000-000018050000}"/>
    <cellStyle name="d_yield_Proj10_LP Chart_LANCE_Model_v0.6.DCF.MASTER.Name_Tootsie_TWO_DAY_TTS_Solution_v1.34" xfId="1527" xr:uid="{00000000-0005-0000-0000-000019050000}"/>
    <cellStyle name="d_yield_Proj10_LP Chart_LANCE_Model_v0.6.DCF.MASTER.Name_Val_1_Book_Lecture_Notes_v3.06" xfId="1528" xr:uid="{00000000-0005-0000-0000-00001A050000}"/>
    <cellStyle name="d_yield_Proj10_LP Chart_THEsumPage (2)" xfId="1529" xr:uid="{00000000-0005-0000-0000-00001B050000}"/>
    <cellStyle name="d_yield_Proj10_LP Chart_THEsumPage (2)_LANCE_Model_v0.6.DCF.MASTER.Name" xfId="1530" xr:uid="{00000000-0005-0000-0000-00001C050000}"/>
    <cellStyle name="d_yield_Proj10_LP Chart_THEsumPage (2)_LANCE_Model_v0.6.DCF.MASTER.Name_DCF &amp; Raios to CLX Tootsie_v1.33.xls" xfId="1531" xr:uid="{00000000-0005-0000-0000-00001D050000}"/>
    <cellStyle name="d_yield_Proj10_LP Chart_THEsumPage (2)_LANCE_Model_v0.6.DCF.MASTER.Name_Tootsie_TWO_DAY_TTS_Solution_v1.34" xfId="1532" xr:uid="{00000000-0005-0000-0000-00001E050000}"/>
    <cellStyle name="d_yield_Proj10_LP Chart_THEsumPage (2)_LANCE_Model_v0.6.DCF.MASTER.Name_Val_1_Book_Lecture_Notes_v3.06" xfId="1533" xr:uid="{00000000-0005-0000-0000-00001F050000}"/>
    <cellStyle name="d_yield_Proj10_LP Chart_THEsumPage (2)_Val_1_Book_Lecture_Notes_v3.06" xfId="1534" xr:uid="{00000000-0005-0000-0000-000020050000}"/>
    <cellStyle name="d_yield_Proj10_LP Chart_Val_1_Book_Lecture_Notes_v3.06" xfId="1535" xr:uid="{00000000-0005-0000-0000-000021050000}"/>
    <cellStyle name="d_yield_Proj10_Merg Cons" xfId="1536" xr:uid="{00000000-0005-0000-0000-000022050000}"/>
    <cellStyle name="d_yield_Proj10_Merg Cons_1 FM_101_Examples_v7.31McIntire" xfId="1537" xr:uid="{00000000-0005-0000-0000-000023050000}"/>
    <cellStyle name="d_yield_Proj10_Merg Cons_1 FM_101_Examples_v7.31McIntire_1 FM_101_Examples_TWO-Day_v7.31" xfId="1538" xr:uid="{00000000-0005-0000-0000-000024050000}"/>
    <cellStyle name="d_yield_Proj10_Merg Cons_CompSheet" xfId="1539" xr:uid="{00000000-0005-0000-0000-000025050000}"/>
    <cellStyle name="d_yield_Proj10_Merg Cons_CompSheet_1 FM_101_Examples_v7.31McIntire" xfId="1540" xr:uid="{00000000-0005-0000-0000-000026050000}"/>
    <cellStyle name="d_yield_Proj10_Merg Cons_CompSheet_1 FM_101_Examples_v7.31McIntire_1 FM_101_Examples_TWO-Day_v7.31" xfId="1541" xr:uid="{00000000-0005-0000-0000-000027050000}"/>
    <cellStyle name="d_yield_Proj10_Merg Cons_CompSheet_Val_1_Book_Lecture_Notes_v3.06" xfId="1542" xr:uid="{00000000-0005-0000-0000-000028050000}"/>
    <cellStyle name="d_yield_Proj10_Merg Cons_THEsumPage (2)" xfId="1543" xr:uid="{00000000-0005-0000-0000-000029050000}"/>
    <cellStyle name="d_yield_Proj10_Merg Cons_THEsumPage (2)_1 FM_101_Examples_v7.31McIntire" xfId="1544" xr:uid="{00000000-0005-0000-0000-00002A050000}"/>
    <cellStyle name="d_yield_Proj10_Merg Cons_THEsumPage (2)_1 FM_101_Examples_v7.31McIntire_1 FM_101_Examples_TWO-Day_v7.31" xfId="1545" xr:uid="{00000000-0005-0000-0000-00002B050000}"/>
    <cellStyle name="d_yield_Proj10_Merg Cons_THEsumPage (2)_Val_1_Book_Lecture_Notes_v3.06" xfId="1546" xr:uid="{00000000-0005-0000-0000-00002C050000}"/>
    <cellStyle name="d_yield_Proj10_Merg Cons_Val_1_Book_Lecture_Notes_v3.06" xfId="1547" xr:uid="{00000000-0005-0000-0000-00002D050000}"/>
    <cellStyle name="d_yield_Proj10_PowerValuation.xls Chart 21" xfId="1548" xr:uid="{00000000-0005-0000-0000-00002E050000}"/>
    <cellStyle name="d_yield_Proj10_PowerValuation.xls Chart 21_LANCE_Model_v0.6.DCF.MASTER.Name" xfId="1549" xr:uid="{00000000-0005-0000-0000-00002F050000}"/>
    <cellStyle name="d_yield_Proj10_PowerValuation.xls Chart 21_LANCE_Model_v0.6.DCF.MASTER.Name_DCF &amp; Raios to CLX Tootsie_v1.33.xls" xfId="1550" xr:uid="{00000000-0005-0000-0000-000030050000}"/>
    <cellStyle name="d_yield_Proj10_PowerValuation.xls Chart 21_LANCE_Model_v0.6.DCF.MASTER.Name_Tootsie_TWO_DAY_TTS_Solution_v1.34" xfId="1551" xr:uid="{00000000-0005-0000-0000-000031050000}"/>
    <cellStyle name="d_yield_Proj10_PowerValuation.xls Chart 21_LANCE_Model_v0.6.DCF.MASTER.Name_Val_1_Book_Lecture_Notes_v3.06" xfId="1552" xr:uid="{00000000-0005-0000-0000-000032050000}"/>
    <cellStyle name="d_yield_Proj10_PowerValuation.xls Chart 21_Val_1_Book_Lecture_Notes_v3.06" xfId="1553" xr:uid="{00000000-0005-0000-0000-000033050000}"/>
    <cellStyle name="d_yield_Proj10_PowerValuation.xls Chart 28" xfId="1554" xr:uid="{00000000-0005-0000-0000-000034050000}"/>
    <cellStyle name="d_yield_Proj10_PowerValuation.xls Chart 28_LANCE_Model_v0.6.DCF.MASTER.Name" xfId="1555" xr:uid="{00000000-0005-0000-0000-000035050000}"/>
    <cellStyle name="d_yield_Proj10_PowerValuation.xls Chart 28_LANCE_Model_v0.6.DCF.MASTER.Name_DCF &amp; Raios to CLX Tootsie_v1.33.xls" xfId="1556" xr:uid="{00000000-0005-0000-0000-000036050000}"/>
    <cellStyle name="d_yield_Proj10_PowerValuation.xls Chart 28_LANCE_Model_v0.6.DCF.MASTER.Name_Tootsie_TWO_DAY_TTS_Solution_v1.34" xfId="1557" xr:uid="{00000000-0005-0000-0000-000037050000}"/>
    <cellStyle name="d_yield_Proj10_PowerValuation.xls Chart 28_LANCE_Model_v0.6.DCF.MASTER.Name_Val_1_Book_Lecture_Notes_v3.06" xfId="1558" xr:uid="{00000000-0005-0000-0000-000038050000}"/>
    <cellStyle name="d_yield_Proj10_PowerValuation.xls Chart 28_Val_1_Book_Lecture_Notes_v3.06" xfId="1559" xr:uid="{00000000-0005-0000-0000-000039050000}"/>
    <cellStyle name="d_yield_Proj10_Sensitivity" xfId="1560" xr:uid="{00000000-0005-0000-0000-00003A050000}"/>
    <cellStyle name="d_yield_Proj10_Sensitivity_1 FM_101_Examples_v7.31McIntire" xfId="1561" xr:uid="{00000000-0005-0000-0000-00003B050000}"/>
    <cellStyle name="d_yield_Proj10_Sensitivity_1 FM_101_Examples_v7.31McIntire_1 FM_101_Examples_TWO-Day_v7.31" xfId="1562" xr:uid="{00000000-0005-0000-0000-00003C050000}"/>
    <cellStyle name="d_yield_Proj10_Sensitivity_CompSheet" xfId="1563" xr:uid="{00000000-0005-0000-0000-00003D050000}"/>
    <cellStyle name="d_yield_Proj10_Sensitivity_CompSheet_1 FM_101_Examples_v7.31McIntire" xfId="1564" xr:uid="{00000000-0005-0000-0000-00003E050000}"/>
    <cellStyle name="d_yield_Proj10_Sensitivity_CompSheet_1 FM_101_Examples_v7.31McIntire_1 FM_101_Examples_TWO-Day_v7.31" xfId="1565" xr:uid="{00000000-0005-0000-0000-00003F050000}"/>
    <cellStyle name="d_yield_Proj10_Sensitivity_CompSheet_Val_1_Book_Lecture_Notes_v3.06" xfId="1566" xr:uid="{00000000-0005-0000-0000-000040050000}"/>
    <cellStyle name="d_yield_Proj10_Sensitivity_THEsumPage (2)" xfId="1567" xr:uid="{00000000-0005-0000-0000-000041050000}"/>
    <cellStyle name="d_yield_Proj10_Sensitivity_THEsumPage (2)_1 FM_101_Examples_v7.31McIntire" xfId="1568" xr:uid="{00000000-0005-0000-0000-000042050000}"/>
    <cellStyle name="d_yield_Proj10_Sensitivity_THEsumPage (2)_1 FM_101_Examples_v7.31McIntire_1 FM_101_Examples_TWO-Day_v7.31" xfId="1569" xr:uid="{00000000-0005-0000-0000-000043050000}"/>
    <cellStyle name="d_yield_Proj10_Sensitivity_THEsumPage (2)_Val_1_Book_Lecture_Notes_v3.06" xfId="1570" xr:uid="{00000000-0005-0000-0000-000044050000}"/>
    <cellStyle name="d_yield_Proj10_Sensitivity_Val_1_Book_Lecture_Notes_v3.06" xfId="1571" xr:uid="{00000000-0005-0000-0000-000045050000}"/>
    <cellStyle name="d_yield_Proj10_show-hold" xfId="1572" xr:uid="{00000000-0005-0000-0000-000046050000}"/>
    <cellStyle name="d_yield_Proj10_show-hold_1 FM_101_Examples_v7.31McIntire" xfId="1573" xr:uid="{00000000-0005-0000-0000-000047050000}"/>
    <cellStyle name="d_yield_Proj10_show-hold_1 FM_101_Examples_v7.31McIntire_1 FM_101_Examples_TWO-Day_v7.31" xfId="1574" xr:uid="{00000000-0005-0000-0000-000048050000}"/>
    <cellStyle name="d_yield_Proj10_show-hold_Graphic Depiction - NO DEV" xfId="1575" xr:uid="{00000000-0005-0000-0000-000049050000}"/>
    <cellStyle name="d_yield_Proj10_show-hold_Graphic Depiction - NO DEV_1 FM_101_Examples_v7.31McIntire" xfId="1576" xr:uid="{00000000-0005-0000-0000-00004A050000}"/>
    <cellStyle name="d_yield_Proj10_show-hold_Graphic Depiction - NO DEV_1 FM_101_Examples_v7.31McIntire_1 FM_101_Examples_TWO-Day_v7.31" xfId="1577" xr:uid="{00000000-0005-0000-0000-00004B050000}"/>
    <cellStyle name="d_yield_Proj10_show-hold_Graphic Depiction - NO DEV_Val_1_Book_Lecture_Notes_v3.06" xfId="1578" xr:uid="{00000000-0005-0000-0000-00004C050000}"/>
    <cellStyle name="d_yield_Proj10_show-hold_THEsumPage (2)" xfId="1579" xr:uid="{00000000-0005-0000-0000-00004D050000}"/>
    <cellStyle name="d_yield_Proj10_show-hold_THEsumPage (2)_1 FM_101_Examples_v7.31McIntire" xfId="1580" xr:uid="{00000000-0005-0000-0000-00004E050000}"/>
    <cellStyle name="d_yield_Proj10_show-hold_THEsumPage (2)_1 FM_101_Examples_v7.31McIntire_1 FM_101_Examples_TWO-Day_v7.31" xfId="1581" xr:uid="{00000000-0005-0000-0000-00004F050000}"/>
    <cellStyle name="d_yield_Proj10_show-hold_THEsumPage (2)_Val_1_Book_Lecture_Notes_v3.06" xfId="1582" xr:uid="{00000000-0005-0000-0000-000050050000}"/>
    <cellStyle name="d_yield_Proj10_show-hold_Val_1_Book_Lecture_Notes_v3.06" xfId="1583" xr:uid="{00000000-0005-0000-0000-000051050000}"/>
    <cellStyle name="d_yield_Proj10_THEsumPage (2)" xfId="1584" xr:uid="{00000000-0005-0000-0000-000052050000}"/>
    <cellStyle name="d_yield_Proj10_THEsumPage (2)_LANCE_Model_v0.6.DCF.MASTER.Name" xfId="1585" xr:uid="{00000000-0005-0000-0000-000053050000}"/>
    <cellStyle name="d_yield_Proj10_THEsumPage (2)_LANCE_Model_v0.6.DCF.MASTER.Name_DCF &amp; Raios to CLX Tootsie_v1.33.xls" xfId="1586" xr:uid="{00000000-0005-0000-0000-000054050000}"/>
    <cellStyle name="d_yield_Proj10_THEsumPage (2)_LANCE_Model_v0.6.DCF.MASTER.Name_Tootsie_TWO_DAY_TTS_Solution_v1.34" xfId="1587" xr:uid="{00000000-0005-0000-0000-000055050000}"/>
    <cellStyle name="d_yield_Proj10_THEsumPage (2)_LANCE_Model_v0.6.DCF.MASTER.Name_Val_1_Book_Lecture_Notes_v3.06" xfId="1588" xr:uid="{00000000-0005-0000-0000-000056050000}"/>
    <cellStyle name="d_yield_Proj10_THEsumPage (2)_Val_1_Book_Lecture_Notes_v3.06" xfId="1589" xr:uid="{00000000-0005-0000-0000-000057050000}"/>
    <cellStyle name="d_yield_Proj10_Val_1_Book_Lecture_Notes_v3.06" xfId="1590" xr:uid="{00000000-0005-0000-0000-000058050000}"/>
    <cellStyle name="d_yield_Proj10_Valuation summaries" xfId="1591" xr:uid="{00000000-0005-0000-0000-000059050000}"/>
    <cellStyle name="d_yield_Proj10_Valuation summaries_LANCE_Model_v0.6.DCF.MASTER.Name" xfId="1592" xr:uid="{00000000-0005-0000-0000-00005A050000}"/>
    <cellStyle name="d_yield_Proj10_Valuation summaries_LANCE_Model_v0.6.DCF.MASTER.Name_DCF &amp; Raios to CLX Tootsie_v1.33.xls" xfId="1593" xr:uid="{00000000-0005-0000-0000-00005B050000}"/>
    <cellStyle name="d_yield_Proj10_Valuation summaries_LANCE_Model_v0.6.DCF.MASTER.Name_Tootsie_TWO_DAY_TTS_Solution_v1.34" xfId="1594" xr:uid="{00000000-0005-0000-0000-00005C050000}"/>
    <cellStyle name="d_yield_Proj10_Valuation summaries_LANCE_Model_v0.6.DCF.MASTER.Name_Val_1_Book_Lecture_Notes_v3.06" xfId="1595" xr:uid="{00000000-0005-0000-0000-00005D050000}"/>
    <cellStyle name="d_yield_Proj10_Valuation summaries_Val_1_Book_Lecture_Notes_v3.06" xfId="1596" xr:uid="{00000000-0005-0000-0000-00005E050000}"/>
    <cellStyle name="d_yield_Proj10_WACC-CableCar" xfId="1597" xr:uid="{00000000-0005-0000-0000-00005F050000}"/>
    <cellStyle name="d_yield_Proj10_WACC-CableCar_LANCE_Model_v0.6.DCF.MASTER.Name" xfId="1598" xr:uid="{00000000-0005-0000-0000-000060050000}"/>
    <cellStyle name="d_yield_Proj10_WACC-CableCar_LANCE_Model_v0.6.DCF.MASTER.Name_DCF &amp; Raios to CLX Tootsie_v1.33.xls" xfId="1599" xr:uid="{00000000-0005-0000-0000-000061050000}"/>
    <cellStyle name="d_yield_Proj10_WACC-CableCar_LANCE_Model_v0.6.DCF.MASTER.Name_Tootsie_TWO_DAY_TTS_Solution_v1.34" xfId="1600" xr:uid="{00000000-0005-0000-0000-000062050000}"/>
    <cellStyle name="d_yield_Proj10_WACC-CableCar_LANCE_Model_v0.6.DCF.MASTER.Name_Val_1_Book_Lecture_Notes_v3.06" xfId="1601" xr:uid="{00000000-0005-0000-0000-000063050000}"/>
    <cellStyle name="d_yield_Proj10_WACC-CableCar_THEsumPage (2)" xfId="1602" xr:uid="{00000000-0005-0000-0000-000064050000}"/>
    <cellStyle name="d_yield_Proj10_WACC-CableCar_THEsumPage (2)_LANCE_Model_v0.6.DCF.MASTER.Name" xfId="1603" xr:uid="{00000000-0005-0000-0000-000065050000}"/>
    <cellStyle name="d_yield_Proj10_WACC-CableCar_THEsumPage (2)_LANCE_Model_v0.6.DCF.MASTER.Name_DCF &amp; Raios to CLX Tootsie_v1.33.xls" xfId="1604" xr:uid="{00000000-0005-0000-0000-000066050000}"/>
    <cellStyle name="d_yield_Proj10_WACC-CableCar_THEsumPage (2)_LANCE_Model_v0.6.DCF.MASTER.Name_Tootsie_TWO_DAY_TTS_Solution_v1.34" xfId="1605" xr:uid="{00000000-0005-0000-0000-000067050000}"/>
    <cellStyle name="d_yield_Proj10_WACC-CableCar_THEsumPage (2)_LANCE_Model_v0.6.DCF.MASTER.Name_Val_1_Book_Lecture_Notes_v3.06" xfId="1606" xr:uid="{00000000-0005-0000-0000-000068050000}"/>
    <cellStyle name="d_yield_Proj10_WACC-CableCar_THEsumPage (2)_Val_1_Book_Lecture_Notes_v3.06" xfId="1607" xr:uid="{00000000-0005-0000-0000-000069050000}"/>
    <cellStyle name="d_yield_Proj10_WACC-CableCar_Val_1_Book_Lecture_Notes_v3.06" xfId="1608" xr:uid="{00000000-0005-0000-0000-00006A050000}"/>
    <cellStyle name="d_yield_Proj10_WACC-RAD (2)" xfId="1609" xr:uid="{00000000-0005-0000-0000-00006B050000}"/>
    <cellStyle name="d_yield_Proj10_WACC-RAD (2)_LANCE_Model_v0.6.DCF.MASTER.Name" xfId="1610" xr:uid="{00000000-0005-0000-0000-00006C050000}"/>
    <cellStyle name="d_yield_Proj10_WACC-RAD (2)_LANCE_Model_v0.6.DCF.MASTER.Name_DCF &amp; Raios to CLX Tootsie_v1.33.xls" xfId="1611" xr:uid="{00000000-0005-0000-0000-00006D050000}"/>
    <cellStyle name="d_yield_Proj10_WACC-RAD (2)_LANCE_Model_v0.6.DCF.MASTER.Name_Tootsie_TWO_DAY_TTS_Solution_v1.34" xfId="1612" xr:uid="{00000000-0005-0000-0000-00006E050000}"/>
    <cellStyle name="d_yield_Proj10_WACC-RAD (2)_LANCE_Model_v0.6.DCF.MASTER.Name_Val_1_Book_Lecture_Notes_v3.06" xfId="1613" xr:uid="{00000000-0005-0000-0000-00006F050000}"/>
    <cellStyle name="d_yield_Proj10_WACC-RAD (2)_THEsumPage (2)" xfId="1614" xr:uid="{00000000-0005-0000-0000-000070050000}"/>
    <cellStyle name="d_yield_Proj10_WACC-RAD (2)_THEsumPage (2)_LANCE_Model_v0.6.DCF.MASTER.Name" xfId="1615" xr:uid="{00000000-0005-0000-0000-000071050000}"/>
    <cellStyle name="d_yield_Proj10_WACC-RAD (2)_THEsumPage (2)_LANCE_Model_v0.6.DCF.MASTER.Name_DCF &amp; Raios to CLX Tootsie_v1.33.xls" xfId="1616" xr:uid="{00000000-0005-0000-0000-000072050000}"/>
    <cellStyle name="d_yield_Proj10_WACC-RAD (2)_THEsumPage (2)_LANCE_Model_v0.6.DCF.MASTER.Name_Tootsie_TWO_DAY_TTS_Solution_v1.34" xfId="1617" xr:uid="{00000000-0005-0000-0000-000073050000}"/>
    <cellStyle name="d_yield_Proj10_WACC-RAD (2)_THEsumPage (2)_LANCE_Model_v0.6.DCF.MASTER.Name_Val_1_Book_Lecture_Notes_v3.06" xfId="1618" xr:uid="{00000000-0005-0000-0000-000074050000}"/>
    <cellStyle name="d_yield_Proj10_WACC-RAD (2)_THEsumPage (2)_Val_1_Book_Lecture_Notes_v3.06" xfId="1619" xr:uid="{00000000-0005-0000-0000-000075050000}"/>
    <cellStyle name="d_yield_Proj10_WACC-RAD (2)_Val_1_Book_Lecture_Notes_v3.06" xfId="1620" xr:uid="{00000000-0005-0000-0000-000076050000}"/>
    <cellStyle name="d_yield_Sensitivity" xfId="1621" xr:uid="{00000000-0005-0000-0000-000077050000}"/>
    <cellStyle name="d_yield_Sensitivity_1 FM_101_Examples_v7.31McIntire" xfId="1622" xr:uid="{00000000-0005-0000-0000-000078050000}"/>
    <cellStyle name="d_yield_Sensitivity_1 FM_101_Examples_v7.31McIntire_1 FM_101_Examples_TWO-Day_v7.31" xfId="1623" xr:uid="{00000000-0005-0000-0000-000079050000}"/>
    <cellStyle name="d_yield_Sensitivity_CompSheet" xfId="1624" xr:uid="{00000000-0005-0000-0000-00007A050000}"/>
    <cellStyle name="d_yield_Sensitivity_CompSheet_1 FM_101_Examples_v7.31McIntire" xfId="1625" xr:uid="{00000000-0005-0000-0000-00007B050000}"/>
    <cellStyle name="d_yield_Sensitivity_CompSheet_1 FM_101_Examples_v7.31McIntire_1 FM_101_Examples_TWO-Day_v7.31" xfId="1626" xr:uid="{00000000-0005-0000-0000-00007C050000}"/>
    <cellStyle name="d_yield_Sensitivity_CompSheet_Val_1_Book_Lecture_Notes_v3.06" xfId="1627" xr:uid="{00000000-0005-0000-0000-00007D050000}"/>
    <cellStyle name="d_yield_Sensitivity_THEsumPage (2)" xfId="1628" xr:uid="{00000000-0005-0000-0000-00007E050000}"/>
    <cellStyle name="d_yield_Sensitivity_THEsumPage (2)_1 FM_101_Examples_v7.31McIntire" xfId="1629" xr:uid="{00000000-0005-0000-0000-00007F050000}"/>
    <cellStyle name="d_yield_Sensitivity_THEsumPage (2)_1 FM_101_Examples_v7.31McIntire_1 FM_101_Examples_TWO-Day_v7.31" xfId="1630" xr:uid="{00000000-0005-0000-0000-000080050000}"/>
    <cellStyle name="d_yield_Sensitivity_THEsumPage (2)_Val_1_Book_Lecture_Notes_v3.06" xfId="1631" xr:uid="{00000000-0005-0000-0000-000081050000}"/>
    <cellStyle name="d_yield_Sensitivity_Val_1_Book_Lecture_Notes_v3.06" xfId="1632" xr:uid="{00000000-0005-0000-0000-000082050000}"/>
    <cellStyle name="d_yield_show-hold" xfId="1633" xr:uid="{00000000-0005-0000-0000-000083050000}"/>
    <cellStyle name="d_yield_show-hold_1 FM_101_Examples_v7.31McIntire" xfId="1634" xr:uid="{00000000-0005-0000-0000-000084050000}"/>
    <cellStyle name="d_yield_show-hold_1 FM_101_Examples_v7.31McIntire_1 FM_101_Examples_TWO-Day_v7.31" xfId="1635" xr:uid="{00000000-0005-0000-0000-000085050000}"/>
    <cellStyle name="d_yield_show-hold_CompSheet" xfId="1636" xr:uid="{00000000-0005-0000-0000-000086050000}"/>
    <cellStyle name="d_yield_show-hold_CompSheet_1 FM_101_Examples_v7.31McIntire" xfId="1637" xr:uid="{00000000-0005-0000-0000-000087050000}"/>
    <cellStyle name="d_yield_show-hold_CompSheet_1 FM_101_Examples_v7.31McIntire_1 FM_101_Examples_TWO-Day_v7.31" xfId="1638" xr:uid="{00000000-0005-0000-0000-000088050000}"/>
    <cellStyle name="d_yield_show-hold_CompSheet_Val_1_Book_Lecture_Notes_v3.06" xfId="1639" xr:uid="{00000000-0005-0000-0000-000089050000}"/>
    <cellStyle name="d_yield_show-hold_THEsumPage (2)" xfId="1640" xr:uid="{00000000-0005-0000-0000-00008A050000}"/>
    <cellStyle name="d_yield_show-hold_THEsumPage (2)_1 FM_101_Examples_v7.31McIntire" xfId="1641" xr:uid="{00000000-0005-0000-0000-00008B050000}"/>
    <cellStyle name="d_yield_show-hold_THEsumPage (2)_1 FM_101_Examples_v7.31McIntire_1 FM_101_Examples_TWO-Day_v7.31" xfId="1642" xr:uid="{00000000-0005-0000-0000-00008C050000}"/>
    <cellStyle name="d_yield_show-hold_THEsumPage (2)_Val_1_Book_Lecture_Notes_v3.06" xfId="1643" xr:uid="{00000000-0005-0000-0000-00008D050000}"/>
    <cellStyle name="d_yield_show-hold_Val_1_Book_Lecture_Notes_v3.06" xfId="1644" xr:uid="{00000000-0005-0000-0000-00008E050000}"/>
    <cellStyle name="d_yield_THEsumPage (2)" xfId="1645" xr:uid="{00000000-0005-0000-0000-00008F050000}"/>
    <cellStyle name="d_yield_THEsumPage (2)_LANCE_Model_v0.6.DCF.MASTER.Name" xfId="1646" xr:uid="{00000000-0005-0000-0000-000090050000}"/>
    <cellStyle name="d_yield_THEsumPage (2)_LANCE_Model_v0.6.DCF.MASTER.Name_DCF &amp; Raios to CLX Tootsie_v1.33.xls" xfId="1647" xr:uid="{00000000-0005-0000-0000-000091050000}"/>
    <cellStyle name="d_yield_THEsumPage (2)_LANCE_Model_v0.6.DCF.MASTER.Name_Tootsie_TWO_DAY_TTS_Solution_v1.34" xfId="1648" xr:uid="{00000000-0005-0000-0000-000092050000}"/>
    <cellStyle name="d_yield_THEsumPage (2)_LANCE_Model_v0.6.DCF.MASTER.Name_Val_1_Book_Lecture_Notes_v3.06" xfId="1649" xr:uid="{00000000-0005-0000-0000-000093050000}"/>
    <cellStyle name="d_yield_THEsumPage (2)_Val_1_Book_Lecture_Notes_v3.06" xfId="1650" xr:uid="{00000000-0005-0000-0000-000094050000}"/>
    <cellStyle name="d_yield_Val_1_Book_Lecture_Notes_v3.06" xfId="1651" xr:uid="{00000000-0005-0000-0000-000095050000}"/>
    <cellStyle name="d_yield_Valuation summaries" xfId="1652" xr:uid="{00000000-0005-0000-0000-000096050000}"/>
    <cellStyle name="d_yield_Valuation summaries_LANCE_Model_v0.6.DCF.MASTER.Name" xfId="1653" xr:uid="{00000000-0005-0000-0000-000097050000}"/>
    <cellStyle name="d_yield_Valuation summaries_LANCE_Model_v0.6.DCF.MASTER.Name_DCF &amp; Raios to CLX Tootsie_v1.33.xls" xfId="1654" xr:uid="{00000000-0005-0000-0000-000098050000}"/>
    <cellStyle name="d_yield_Valuation summaries_LANCE_Model_v0.6.DCF.MASTER.Name_Tootsie_TWO_DAY_TTS_Solution_v1.34" xfId="1655" xr:uid="{00000000-0005-0000-0000-000099050000}"/>
    <cellStyle name="d_yield_Valuation summaries_LANCE_Model_v0.6.DCF.MASTER.Name_Val_1_Book_Lecture_Notes_v3.06" xfId="1656" xr:uid="{00000000-0005-0000-0000-00009A050000}"/>
    <cellStyle name="d_yield_Valuation summaries_Val_1_Book_Lecture_Notes_v3.06" xfId="1657" xr:uid="{00000000-0005-0000-0000-00009B050000}"/>
    <cellStyle name="d_yield_WACC-CableCar" xfId="1658" xr:uid="{00000000-0005-0000-0000-00009C050000}"/>
    <cellStyle name="d_yield_WACC-CableCar_LANCE_Model_v0.6.DCF.MASTER.Name" xfId="1659" xr:uid="{00000000-0005-0000-0000-00009D050000}"/>
    <cellStyle name="d_yield_WACC-CableCar_LANCE_Model_v0.6.DCF.MASTER.Name_DCF &amp; Raios to CLX Tootsie_v1.33.xls" xfId="1660" xr:uid="{00000000-0005-0000-0000-00009E050000}"/>
    <cellStyle name="d_yield_WACC-CableCar_LANCE_Model_v0.6.DCF.MASTER.Name_Tootsie_TWO_DAY_TTS_Solution_v1.34" xfId="1661" xr:uid="{00000000-0005-0000-0000-00009F050000}"/>
    <cellStyle name="d_yield_WACC-CableCar_LANCE_Model_v0.6.DCF.MASTER.Name_Val_1_Book_Lecture_Notes_v3.06" xfId="1662" xr:uid="{00000000-0005-0000-0000-0000A0050000}"/>
    <cellStyle name="d_yield_WACC-CableCar_THEsumPage (2)" xfId="1663" xr:uid="{00000000-0005-0000-0000-0000A1050000}"/>
    <cellStyle name="d_yield_WACC-CableCar_THEsumPage (2)_LANCE_Model_v0.6.DCF.MASTER.Name" xfId="1664" xr:uid="{00000000-0005-0000-0000-0000A2050000}"/>
    <cellStyle name="d_yield_WACC-CableCar_THEsumPage (2)_LANCE_Model_v0.6.DCF.MASTER.Name_DCF &amp; Raios to CLX Tootsie_v1.33.xls" xfId="1665" xr:uid="{00000000-0005-0000-0000-0000A3050000}"/>
    <cellStyle name="d_yield_WACC-CableCar_THEsumPage (2)_LANCE_Model_v0.6.DCF.MASTER.Name_Tootsie_TWO_DAY_TTS_Solution_v1.34" xfId="1666" xr:uid="{00000000-0005-0000-0000-0000A4050000}"/>
    <cellStyle name="d_yield_WACC-CableCar_THEsumPage (2)_LANCE_Model_v0.6.DCF.MASTER.Name_Val_1_Book_Lecture_Notes_v3.06" xfId="1667" xr:uid="{00000000-0005-0000-0000-0000A5050000}"/>
    <cellStyle name="d_yield_WACC-CableCar_THEsumPage (2)_Val_1_Book_Lecture_Notes_v3.06" xfId="1668" xr:uid="{00000000-0005-0000-0000-0000A6050000}"/>
    <cellStyle name="d_yield_WACC-CableCar_Val_1_Book_Lecture_Notes_v3.06" xfId="1669" xr:uid="{00000000-0005-0000-0000-0000A7050000}"/>
    <cellStyle name="d_yield_WACC-RAD (2)" xfId="1670" xr:uid="{00000000-0005-0000-0000-0000A8050000}"/>
    <cellStyle name="d_yield_WACC-RAD (2)_LANCE_Model_v0.6.DCF.MASTER.Name" xfId="1671" xr:uid="{00000000-0005-0000-0000-0000A9050000}"/>
    <cellStyle name="d_yield_WACC-RAD (2)_LANCE_Model_v0.6.DCF.MASTER.Name_DCF &amp; Raios to CLX Tootsie_v1.33.xls" xfId="1672" xr:uid="{00000000-0005-0000-0000-0000AA050000}"/>
    <cellStyle name="d_yield_WACC-RAD (2)_LANCE_Model_v0.6.DCF.MASTER.Name_Tootsie_TWO_DAY_TTS_Solution_v1.34" xfId="1673" xr:uid="{00000000-0005-0000-0000-0000AB050000}"/>
    <cellStyle name="d_yield_WACC-RAD (2)_LANCE_Model_v0.6.DCF.MASTER.Name_Val_1_Book_Lecture_Notes_v3.06" xfId="1674" xr:uid="{00000000-0005-0000-0000-0000AC050000}"/>
    <cellStyle name="d_yield_WACC-RAD (2)_THEsumPage (2)" xfId="1675" xr:uid="{00000000-0005-0000-0000-0000AD050000}"/>
    <cellStyle name="d_yield_WACC-RAD (2)_THEsumPage (2)_LANCE_Model_v0.6.DCF.MASTER.Name" xfId="1676" xr:uid="{00000000-0005-0000-0000-0000AE050000}"/>
    <cellStyle name="d_yield_WACC-RAD (2)_THEsumPage (2)_LANCE_Model_v0.6.DCF.MASTER.Name_DCF &amp; Raios to CLX Tootsie_v1.33.xls" xfId="1677" xr:uid="{00000000-0005-0000-0000-0000AF050000}"/>
    <cellStyle name="d_yield_WACC-RAD (2)_THEsumPage (2)_LANCE_Model_v0.6.DCF.MASTER.Name_Tootsie_TWO_DAY_TTS_Solution_v1.34" xfId="1678" xr:uid="{00000000-0005-0000-0000-0000B0050000}"/>
    <cellStyle name="d_yield_WACC-RAD (2)_THEsumPage (2)_LANCE_Model_v0.6.DCF.MASTER.Name_Val_1_Book_Lecture_Notes_v3.06" xfId="1679" xr:uid="{00000000-0005-0000-0000-0000B1050000}"/>
    <cellStyle name="d_yield_WACC-RAD (2)_THEsumPage (2)_Val_1_Book_Lecture_Notes_v3.06" xfId="1680" xr:uid="{00000000-0005-0000-0000-0000B2050000}"/>
    <cellStyle name="d_yield_WACC-RAD (2)_Val_1_Book_Lecture_Notes_v3.06" xfId="1681" xr:uid="{00000000-0005-0000-0000-0000B3050000}"/>
    <cellStyle name="Dash" xfId="1682" xr:uid="{00000000-0005-0000-0000-0000B4050000}"/>
    <cellStyle name="Dash 2" xfId="1683" xr:uid="{00000000-0005-0000-0000-0000B5050000}"/>
    <cellStyle name="data" xfId="1684" xr:uid="{00000000-0005-0000-0000-0000B6050000}"/>
    <cellStyle name="Date" xfId="1685" xr:uid="{00000000-0005-0000-0000-0000B7050000}"/>
    <cellStyle name="Date 2" xfId="1686" xr:uid="{00000000-0005-0000-0000-0000B8050000}"/>
    <cellStyle name="Date, mmm-yy" xfId="1687" xr:uid="{00000000-0005-0000-0000-0000B9050000}"/>
    <cellStyle name="Date, mmm-yy 2" xfId="1688" xr:uid="{00000000-0005-0000-0000-0000BA050000}"/>
    <cellStyle name="D-No Decimal" xfId="1689" xr:uid="{00000000-0005-0000-0000-0000BB050000}"/>
    <cellStyle name="dollar" xfId="1690" xr:uid="{00000000-0005-0000-0000-0000BC050000}"/>
    <cellStyle name="dollar[0]" xfId="1691" xr:uid="{00000000-0005-0000-0000-0000BD050000}"/>
    <cellStyle name="dollar_MBA_Val_101_CAD_2009_BACKUP_v1.0_Draft_10" xfId="1692" xr:uid="{00000000-0005-0000-0000-0000BE050000}"/>
    <cellStyle name="Dollars" xfId="1693" xr:uid="{00000000-0005-0000-0000-0000BF050000}"/>
    <cellStyle name="Dollars []" xfId="1694" xr:uid="{00000000-0005-0000-0000-0000C0050000}"/>
    <cellStyle name="Dollars_Annotated_Templates_Hershey-2006_0.2" xfId="1695" xr:uid="{00000000-0005-0000-0000-0000C1050000}"/>
    <cellStyle name="En miles" xfId="1696" xr:uid="{00000000-0005-0000-0000-0000C2050000}"/>
    <cellStyle name="En millones" xfId="1697" xr:uid="{00000000-0005-0000-0000-0000C3050000}"/>
    <cellStyle name="Encabezado 4" xfId="1698" xr:uid="{00000000-0005-0000-0000-0000C4050000}"/>
    <cellStyle name="Ênfase1" xfId="1699" xr:uid="{00000000-0005-0000-0000-0000C5050000}"/>
    <cellStyle name="Ênfase2" xfId="1700" xr:uid="{00000000-0005-0000-0000-0000C6050000}"/>
    <cellStyle name="Ênfase3" xfId="1701" xr:uid="{00000000-0005-0000-0000-0000C7050000}"/>
    <cellStyle name="Ênfase4" xfId="1702" xr:uid="{00000000-0005-0000-0000-0000C8050000}"/>
    <cellStyle name="Ênfase5" xfId="1703" xr:uid="{00000000-0005-0000-0000-0000C9050000}"/>
    <cellStyle name="Ênfase6" xfId="1704" xr:uid="{00000000-0005-0000-0000-0000CA050000}"/>
    <cellStyle name="Énfasis1" xfId="1705" xr:uid="{00000000-0005-0000-0000-0000CB050000}"/>
    <cellStyle name="Énfasis2" xfId="1706" xr:uid="{00000000-0005-0000-0000-0000CC050000}"/>
    <cellStyle name="Énfasis3" xfId="1707" xr:uid="{00000000-0005-0000-0000-0000CD050000}"/>
    <cellStyle name="Énfasis4" xfId="1708" xr:uid="{00000000-0005-0000-0000-0000CE050000}"/>
    <cellStyle name="Énfasis5" xfId="1709" xr:uid="{00000000-0005-0000-0000-0000CF050000}"/>
    <cellStyle name="Énfasis6" xfId="1710" xr:uid="{00000000-0005-0000-0000-0000D0050000}"/>
    <cellStyle name="Entered" xfId="159" xr:uid="{00000000-0005-0000-0000-0000D1050000}"/>
    <cellStyle name="EnteredGrowth" xfId="160" xr:uid="{00000000-0005-0000-0000-0000D2050000}"/>
    <cellStyle name="Entrada" xfId="1711" xr:uid="{00000000-0005-0000-0000-0000D3050000}"/>
    <cellStyle name="Entrada 2" xfId="1712" xr:uid="{00000000-0005-0000-0000-0000D4050000}"/>
    <cellStyle name="eps" xfId="1713" xr:uid="{00000000-0005-0000-0000-0000D5050000}"/>
    <cellStyle name="eps$" xfId="1714" xr:uid="{00000000-0005-0000-0000-0000D6050000}"/>
    <cellStyle name="eps$A" xfId="1715" xr:uid="{00000000-0005-0000-0000-0000D7050000}"/>
    <cellStyle name="eps$E" xfId="1716" xr:uid="{00000000-0005-0000-0000-0000D8050000}"/>
    <cellStyle name="eps_1 FM_101_Examples_v7.31McIntire" xfId="1717" xr:uid="{00000000-0005-0000-0000-0000D9050000}"/>
    <cellStyle name="epsA" xfId="1718" xr:uid="{00000000-0005-0000-0000-0000DA050000}"/>
    <cellStyle name="epsE" xfId="1719" xr:uid="{00000000-0005-0000-0000-0000DB050000}"/>
    <cellStyle name="Euro" xfId="1720" xr:uid="{00000000-0005-0000-0000-0000DC050000}"/>
    <cellStyle name="Euro-" xfId="1721" xr:uid="{00000000-0005-0000-0000-0000DD050000}"/>
    <cellStyle name="Euro 2" xfId="1722" xr:uid="{00000000-0005-0000-0000-0000DE050000}"/>
    <cellStyle name="Euro 3" xfId="1723" xr:uid="{00000000-0005-0000-0000-0000DF050000}"/>
    <cellStyle name="Euro 4" xfId="1724" xr:uid="{00000000-0005-0000-0000-0000E0050000}"/>
    <cellStyle name="Explanatory Text 2" xfId="161" xr:uid="{00000000-0005-0000-0000-0000E1050000}"/>
    <cellStyle name="Explanatory Text 3" xfId="1725" xr:uid="{00000000-0005-0000-0000-0000E2050000}"/>
    <cellStyle name="ExternalFormula" xfId="1726" xr:uid="{00000000-0005-0000-0000-0000E3050000}"/>
    <cellStyle name="F2" xfId="1727" xr:uid="{00000000-0005-0000-0000-0000E4050000}"/>
    <cellStyle name="F3" xfId="1728" xr:uid="{00000000-0005-0000-0000-0000E5050000}"/>
    <cellStyle name="F4" xfId="1729" xr:uid="{00000000-0005-0000-0000-0000E6050000}"/>
    <cellStyle name="F5" xfId="1730" xr:uid="{00000000-0005-0000-0000-0000E7050000}"/>
    <cellStyle name="F6" xfId="1731" xr:uid="{00000000-0005-0000-0000-0000E8050000}"/>
    <cellStyle name="F7" xfId="1732" xr:uid="{00000000-0005-0000-0000-0000E9050000}"/>
    <cellStyle name="F8" xfId="1733" xr:uid="{00000000-0005-0000-0000-0000EA050000}"/>
    <cellStyle name="facha" xfId="1734" xr:uid="{00000000-0005-0000-0000-0000EB050000}"/>
    <cellStyle name="Fit" xfId="1735" xr:uid="{00000000-0005-0000-0000-0000EC050000}"/>
    <cellStyle name="Fixed" xfId="1736" xr:uid="{00000000-0005-0000-0000-0000ED050000}"/>
    <cellStyle name="FontanaPh#" xfId="162" xr:uid="{00000000-0005-0000-0000-0000EE050000}"/>
    <cellStyle name="Fraction Change" xfId="1737" xr:uid="{00000000-0005-0000-0000-0000EF050000}"/>
    <cellStyle name="Fractions" xfId="1738" xr:uid="{00000000-0005-0000-0000-0000F0050000}"/>
    <cellStyle name="fy_eps$" xfId="1739" xr:uid="{00000000-0005-0000-0000-0000F1050000}"/>
    <cellStyle name="g_rate" xfId="1740" xr:uid="{00000000-0005-0000-0000-0000F2050000}"/>
    <cellStyle name="g_rate_1 FM_101_Examples_v7.31McIntire" xfId="1741" xr:uid="{00000000-0005-0000-0000-0000F3050000}"/>
    <cellStyle name="g_rate_1 FM_101_Examples_v7.31McIntire_1 FM_101_Examples_TWO-Day_v7.31" xfId="1742" xr:uid="{00000000-0005-0000-0000-0000F4050000}"/>
    <cellStyle name="g_rate_AVP" xfId="1743" xr:uid="{00000000-0005-0000-0000-0000F5050000}"/>
    <cellStyle name="g_rate_AVP_1 FM_101_Examples_v7.31McIntire" xfId="1744" xr:uid="{00000000-0005-0000-0000-0000F6050000}"/>
    <cellStyle name="g_rate_AVP_1 FM_101_Examples_v7.31McIntire_1 FM_101_Examples_TWO-Day_v7.31" xfId="1745" xr:uid="{00000000-0005-0000-0000-0000F7050000}"/>
    <cellStyle name="g_rate_AVP_Graphic Depiction - NO DEV" xfId="1746" xr:uid="{00000000-0005-0000-0000-0000F8050000}"/>
    <cellStyle name="g_rate_AVP_Graphic Depiction - NO DEV_1 FM_101_Examples_v7.31McIntire" xfId="1747" xr:uid="{00000000-0005-0000-0000-0000F9050000}"/>
    <cellStyle name="g_rate_AVP_Graphic Depiction - NO DEV_1 FM_101_Examples_v7.31McIntire_1 FM_101_Examples_TWO-Day_v7.31" xfId="1748" xr:uid="{00000000-0005-0000-0000-0000FA050000}"/>
    <cellStyle name="g_rate_AVP_Graphic Depiction - NO DEV_Val_1_Book_Lecture_Notes_v3.06" xfId="1749" xr:uid="{00000000-0005-0000-0000-0000FB050000}"/>
    <cellStyle name="g_rate_AVP_THEsumPage (2)" xfId="1750" xr:uid="{00000000-0005-0000-0000-0000FC050000}"/>
    <cellStyle name="g_rate_AVP_THEsumPage (2)_1 FM_101_Examples_v7.31McIntire" xfId="1751" xr:uid="{00000000-0005-0000-0000-0000FD050000}"/>
    <cellStyle name="g_rate_AVP_THEsumPage (2)_1 FM_101_Examples_v7.31McIntire_1 FM_101_Examples_TWO-Day_v7.31" xfId="1752" xr:uid="{00000000-0005-0000-0000-0000FE050000}"/>
    <cellStyle name="g_rate_AVP_THEsumPage (2)_Val_1_Book_Lecture_Notes_v3.06" xfId="1753" xr:uid="{00000000-0005-0000-0000-0000FF050000}"/>
    <cellStyle name="g_rate_AVP_Val_1_Book_Lecture_Notes_v3.06" xfId="1754" xr:uid="{00000000-0005-0000-0000-000000060000}"/>
    <cellStyle name="g_rate_CompSheet" xfId="1755" xr:uid="{00000000-0005-0000-0000-000001060000}"/>
    <cellStyle name="g_rate_CompSheet_LANCE_Model_v0.6.DCF.MASTER.Name" xfId="1756" xr:uid="{00000000-0005-0000-0000-000002060000}"/>
    <cellStyle name="g_rate_CompSheet_LANCE_Model_v0.6.DCF.MASTER.Name_DCF &amp; Raios to CLX Tootsie_v1.33.xls" xfId="1757" xr:uid="{00000000-0005-0000-0000-000003060000}"/>
    <cellStyle name="g_rate_CompSheet_LANCE_Model_v0.6.DCF.MASTER.Name_Tootsie_TWO_DAY_TTS_Solution_v1.34" xfId="1758" xr:uid="{00000000-0005-0000-0000-000004060000}"/>
    <cellStyle name="g_rate_CompSheet_LANCE_Model_v0.6.DCF.MASTER.Name_Val_1_Book_Lecture_Notes_v3.06" xfId="1759" xr:uid="{00000000-0005-0000-0000-000005060000}"/>
    <cellStyle name="g_rate_CompSheet_Val_1_Book_Lecture_Notes_v3.06" xfId="1760" xr:uid="{00000000-0005-0000-0000-000006060000}"/>
    <cellStyle name="g_rate_Disc Analysis" xfId="1761" xr:uid="{00000000-0005-0000-0000-000007060000}"/>
    <cellStyle name="g_rate_Disc Analysis_1 FM_101_Examples_v7.31McIntire" xfId="1762" xr:uid="{00000000-0005-0000-0000-000008060000}"/>
    <cellStyle name="g_rate_Disc Analysis_1 FM_101_Examples_v7.31McIntire_1 FM_101_Examples_TWO-Day_v7.31" xfId="1763" xr:uid="{00000000-0005-0000-0000-000009060000}"/>
    <cellStyle name="g_rate_Disc Analysis_CompSheet" xfId="1764" xr:uid="{00000000-0005-0000-0000-00000A060000}"/>
    <cellStyle name="g_rate_Disc Analysis_CompSheet_1 FM_101_Examples_v7.31McIntire" xfId="1765" xr:uid="{00000000-0005-0000-0000-00000B060000}"/>
    <cellStyle name="g_rate_Disc Analysis_CompSheet_1 FM_101_Examples_v7.31McIntire_1 FM_101_Examples_TWO-Day_v7.31" xfId="1766" xr:uid="{00000000-0005-0000-0000-00000C060000}"/>
    <cellStyle name="g_rate_Disc Analysis_CompSheet_Val_1_Book_Lecture_Notes_v3.06" xfId="1767" xr:uid="{00000000-0005-0000-0000-00000D060000}"/>
    <cellStyle name="g_rate_Disc Analysis_THEsumPage (2)" xfId="1768" xr:uid="{00000000-0005-0000-0000-00000E060000}"/>
    <cellStyle name="g_rate_Disc Analysis_THEsumPage (2)_1 FM_101_Examples_v7.31McIntire" xfId="1769" xr:uid="{00000000-0005-0000-0000-00000F060000}"/>
    <cellStyle name="g_rate_Disc Analysis_THEsumPage (2)_1 FM_101_Examples_v7.31McIntire_1 FM_101_Examples_TWO-Day_v7.31" xfId="1770" xr:uid="{00000000-0005-0000-0000-000010060000}"/>
    <cellStyle name="g_rate_Disc Analysis_THEsumPage (2)_Val_1_Book_Lecture_Notes_v3.06" xfId="1771" xr:uid="{00000000-0005-0000-0000-000011060000}"/>
    <cellStyle name="g_rate_Disc Analysis_Val_1_Book_Lecture_Notes_v3.06" xfId="1772" xr:uid="{00000000-0005-0000-0000-000012060000}"/>
    <cellStyle name="g_rate_Fairness Opinion Valuation 4-23a.xls Chart 1" xfId="1773" xr:uid="{00000000-0005-0000-0000-000013060000}"/>
    <cellStyle name="g_rate_Fairness Opinion Valuation 4-23a.xls Chart 1_LANCE_Model_v0.6.DCF.MASTER.Name" xfId="1774" xr:uid="{00000000-0005-0000-0000-000014060000}"/>
    <cellStyle name="g_rate_Fairness Opinion Valuation 4-23a.xls Chart 1_LANCE_Model_v0.6.DCF.MASTER.Name_DCF &amp; Raios to CLX Tootsie_v1.33.xls" xfId="1775" xr:uid="{00000000-0005-0000-0000-000015060000}"/>
    <cellStyle name="g_rate_Fairness Opinion Valuation 4-23a.xls Chart 1_LANCE_Model_v0.6.DCF.MASTER.Name_Tootsie_TWO_DAY_TTS_Solution_v1.34" xfId="1776" xr:uid="{00000000-0005-0000-0000-000016060000}"/>
    <cellStyle name="g_rate_Fairness Opinion Valuation 4-23a.xls Chart 1_LANCE_Model_v0.6.DCF.MASTER.Name_Val_1_Book_Lecture_Notes_v3.06" xfId="1777" xr:uid="{00000000-0005-0000-0000-000017060000}"/>
    <cellStyle name="g_rate_Fairness Opinion Valuation 4-23a.xls Chart 1_Val_1_Book_Lecture_Notes_v3.06" xfId="1778" xr:uid="{00000000-0005-0000-0000-000018060000}"/>
    <cellStyle name="g_rate_LP Chart" xfId="1779" xr:uid="{00000000-0005-0000-0000-000019060000}"/>
    <cellStyle name="g_rate_LP Chart_THEsumPage (2)" xfId="1780" xr:uid="{00000000-0005-0000-0000-00001A060000}"/>
    <cellStyle name="g_rate_LP Chart_THEsumPage (2)_Val_1_Book_Lecture_Notes_v3.06" xfId="1781" xr:uid="{00000000-0005-0000-0000-00001B060000}"/>
    <cellStyle name="g_rate_LP Chart_Val_1_Book_Lecture_Notes_v3.06" xfId="1782" xr:uid="{00000000-0005-0000-0000-00001C060000}"/>
    <cellStyle name="g_rate_Merg Cons" xfId="1783" xr:uid="{00000000-0005-0000-0000-00001D060000}"/>
    <cellStyle name="g_rate_Merg Cons_1 FM_101_Examples_v7.31McIntire" xfId="1784" xr:uid="{00000000-0005-0000-0000-00001E060000}"/>
    <cellStyle name="g_rate_Merg Cons_1 FM_101_Examples_v7.31McIntire_1 FM_101_Examples_TWO-Day_v7.31" xfId="1785" xr:uid="{00000000-0005-0000-0000-00001F060000}"/>
    <cellStyle name="g_rate_Merg Cons_CompSheet" xfId="1786" xr:uid="{00000000-0005-0000-0000-000020060000}"/>
    <cellStyle name="g_rate_Merg Cons_CompSheet_1 FM_101_Examples_v7.31McIntire" xfId="1787" xr:uid="{00000000-0005-0000-0000-000021060000}"/>
    <cellStyle name="g_rate_Merg Cons_CompSheet_1 FM_101_Examples_v7.31McIntire_1 FM_101_Examples_TWO-Day_v7.31" xfId="1788" xr:uid="{00000000-0005-0000-0000-000022060000}"/>
    <cellStyle name="g_rate_Merg Cons_CompSheet_Val_1_Book_Lecture_Notes_v3.06" xfId="1789" xr:uid="{00000000-0005-0000-0000-000023060000}"/>
    <cellStyle name="g_rate_Merg Cons_THEsumPage (2)" xfId="1790" xr:uid="{00000000-0005-0000-0000-000024060000}"/>
    <cellStyle name="g_rate_Merg Cons_THEsumPage (2)_1 FM_101_Examples_v7.31McIntire" xfId="1791" xr:uid="{00000000-0005-0000-0000-000025060000}"/>
    <cellStyle name="g_rate_Merg Cons_THEsumPage (2)_1 FM_101_Examples_v7.31McIntire_1 FM_101_Examples_TWO-Day_v7.31" xfId="1792" xr:uid="{00000000-0005-0000-0000-000026060000}"/>
    <cellStyle name="g_rate_Merg Cons_THEsumPage (2)_Val_1_Book_Lecture_Notes_v3.06" xfId="1793" xr:uid="{00000000-0005-0000-0000-000027060000}"/>
    <cellStyle name="g_rate_Merg Cons_Val_1_Book_Lecture_Notes_v3.06" xfId="1794" xr:uid="{00000000-0005-0000-0000-000028060000}"/>
    <cellStyle name="g_rate_PowerValuation.xls Chart 21" xfId="1795" xr:uid="{00000000-0005-0000-0000-000029060000}"/>
    <cellStyle name="g_rate_PowerValuation.xls Chart 21_LANCE_Model_v0.6.DCF.MASTER.Name" xfId="1796" xr:uid="{00000000-0005-0000-0000-00002A060000}"/>
    <cellStyle name="g_rate_PowerValuation.xls Chart 21_LANCE_Model_v0.6.DCF.MASTER.Name_DCF &amp; Raios to CLX Tootsie_v1.33.xls" xfId="1797" xr:uid="{00000000-0005-0000-0000-00002B060000}"/>
    <cellStyle name="g_rate_PowerValuation.xls Chart 21_LANCE_Model_v0.6.DCF.MASTER.Name_Tootsie_TWO_DAY_TTS_Solution_v1.34" xfId="1798" xr:uid="{00000000-0005-0000-0000-00002C060000}"/>
    <cellStyle name="g_rate_PowerValuation.xls Chart 21_LANCE_Model_v0.6.DCF.MASTER.Name_Val_1_Book_Lecture_Notes_v3.06" xfId="1799" xr:uid="{00000000-0005-0000-0000-00002D060000}"/>
    <cellStyle name="g_rate_PowerValuation.xls Chart 21_Val_1_Book_Lecture_Notes_v3.06" xfId="1800" xr:uid="{00000000-0005-0000-0000-00002E060000}"/>
    <cellStyle name="g_rate_PowerValuation.xls Chart 28" xfId="1801" xr:uid="{00000000-0005-0000-0000-00002F060000}"/>
    <cellStyle name="g_rate_PowerValuation.xls Chart 28_LANCE_Model_v0.6.DCF.MASTER.Name" xfId="1802" xr:uid="{00000000-0005-0000-0000-000030060000}"/>
    <cellStyle name="g_rate_PowerValuation.xls Chart 28_LANCE_Model_v0.6.DCF.MASTER.Name_DCF &amp; Raios to CLX Tootsie_v1.33.xls" xfId="1803" xr:uid="{00000000-0005-0000-0000-000031060000}"/>
    <cellStyle name="g_rate_PowerValuation.xls Chart 28_LANCE_Model_v0.6.DCF.MASTER.Name_Tootsie_TWO_DAY_TTS_Solution_v1.34" xfId="1804" xr:uid="{00000000-0005-0000-0000-000032060000}"/>
    <cellStyle name="g_rate_PowerValuation.xls Chart 28_LANCE_Model_v0.6.DCF.MASTER.Name_Val_1_Book_Lecture_Notes_v3.06" xfId="1805" xr:uid="{00000000-0005-0000-0000-000033060000}"/>
    <cellStyle name="g_rate_PowerValuation.xls Chart 28_Val_1_Book_Lecture_Notes_v3.06" xfId="1806" xr:uid="{00000000-0005-0000-0000-000034060000}"/>
    <cellStyle name="g_rate_Proj10" xfId="1807" xr:uid="{00000000-0005-0000-0000-000035060000}"/>
    <cellStyle name="g_rate_Proj10_1 FM_101_Examples_v7.31McIntire" xfId="1808" xr:uid="{00000000-0005-0000-0000-000036060000}"/>
    <cellStyle name="g_rate_Proj10_1 FM_101_Examples_v7.31McIntire_1 FM_101_Examples_TWO-Day_v7.31" xfId="1809" xr:uid="{00000000-0005-0000-0000-000037060000}"/>
    <cellStyle name="g_rate_Proj10_AVP" xfId="1810" xr:uid="{00000000-0005-0000-0000-000038060000}"/>
    <cellStyle name="g_rate_Proj10_AVP_1 FM_101_Examples_v7.31McIntire" xfId="1811" xr:uid="{00000000-0005-0000-0000-000039060000}"/>
    <cellStyle name="g_rate_Proj10_AVP_1 FM_101_Examples_v7.31McIntire_1 FM_101_Examples_TWO-Day_v7.31" xfId="1812" xr:uid="{00000000-0005-0000-0000-00003A060000}"/>
    <cellStyle name="g_rate_Proj10_AVP_Graphic Depiction - NO DEV" xfId="1813" xr:uid="{00000000-0005-0000-0000-00003B060000}"/>
    <cellStyle name="g_rate_Proj10_AVP_Graphic Depiction - NO DEV_1 FM_101_Examples_v7.31McIntire" xfId="1814" xr:uid="{00000000-0005-0000-0000-00003C060000}"/>
    <cellStyle name="g_rate_Proj10_AVP_Graphic Depiction - NO DEV_1 FM_101_Examples_v7.31McIntire_1 FM_101_Examples_TWO-Day_v7.31" xfId="1815" xr:uid="{00000000-0005-0000-0000-00003D060000}"/>
    <cellStyle name="g_rate_Proj10_AVP_Graphic Depiction - NO DEV_Val_1_Book_Lecture_Notes_v3.06" xfId="1816" xr:uid="{00000000-0005-0000-0000-00003E060000}"/>
    <cellStyle name="g_rate_Proj10_AVP_THEsumPage (2)" xfId="1817" xr:uid="{00000000-0005-0000-0000-00003F060000}"/>
    <cellStyle name="g_rate_Proj10_AVP_THEsumPage (2)_1 FM_101_Examples_v7.31McIntire" xfId="1818" xr:uid="{00000000-0005-0000-0000-000040060000}"/>
    <cellStyle name="g_rate_Proj10_AVP_THEsumPage (2)_1 FM_101_Examples_v7.31McIntire_1 FM_101_Examples_TWO-Day_v7.31" xfId="1819" xr:uid="{00000000-0005-0000-0000-000041060000}"/>
    <cellStyle name="g_rate_Proj10_AVP_THEsumPage (2)_Val_1_Book_Lecture_Notes_v3.06" xfId="1820" xr:uid="{00000000-0005-0000-0000-000042060000}"/>
    <cellStyle name="g_rate_Proj10_AVP_Val_1_Book_Lecture_Notes_v3.06" xfId="1821" xr:uid="{00000000-0005-0000-0000-000043060000}"/>
    <cellStyle name="g_rate_Proj10_CompSheet" xfId="1822" xr:uid="{00000000-0005-0000-0000-000044060000}"/>
    <cellStyle name="g_rate_Proj10_CompSheet_LANCE_Model_v0.6.DCF.MASTER.Name" xfId="1823" xr:uid="{00000000-0005-0000-0000-000045060000}"/>
    <cellStyle name="g_rate_Proj10_CompSheet_LANCE_Model_v0.6.DCF.MASTER.Name_DCF &amp; Raios to CLX Tootsie_v1.33.xls" xfId="1824" xr:uid="{00000000-0005-0000-0000-000046060000}"/>
    <cellStyle name="g_rate_Proj10_CompSheet_LANCE_Model_v0.6.DCF.MASTER.Name_Tootsie_TWO_DAY_TTS_Solution_v1.34" xfId="1825" xr:uid="{00000000-0005-0000-0000-000047060000}"/>
    <cellStyle name="g_rate_Proj10_CompSheet_LANCE_Model_v0.6.DCF.MASTER.Name_Val_1_Book_Lecture_Notes_v3.06" xfId="1826" xr:uid="{00000000-0005-0000-0000-000048060000}"/>
    <cellStyle name="g_rate_Proj10_CompSheet_Val_1_Book_Lecture_Notes_v3.06" xfId="1827" xr:uid="{00000000-0005-0000-0000-000049060000}"/>
    <cellStyle name="g_rate_Proj10_Disc Analysis" xfId="1828" xr:uid="{00000000-0005-0000-0000-00004A060000}"/>
    <cellStyle name="g_rate_Proj10_Disc Analysis_1 FM_101_Examples_v7.31McIntire" xfId="1829" xr:uid="{00000000-0005-0000-0000-00004B060000}"/>
    <cellStyle name="g_rate_Proj10_Disc Analysis_1 FM_101_Examples_v7.31McIntire_1 FM_101_Examples_TWO-Day_v7.31" xfId="1830" xr:uid="{00000000-0005-0000-0000-00004C060000}"/>
    <cellStyle name="g_rate_Proj10_Disc Analysis_CompSheet" xfId="1831" xr:uid="{00000000-0005-0000-0000-00004D060000}"/>
    <cellStyle name="g_rate_Proj10_Disc Analysis_CompSheet_1 FM_101_Examples_v7.31McIntire" xfId="1832" xr:uid="{00000000-0005-0000-0000-00004E060000}"/>
    <cellStyle name="g_rate_Proj10_Disc Analysis_CompSheet_1 FM_101_Examples_v7.31McIntire_1 FM_101_Examples_TWO-Day_v7.31" xfId="1833" xr:uid="{00000000-0005-0000-0000-00004F060000}"/>
    <cellStyle name="g_rate_Proj10_Disc Analysis_CompSheet_Val_1_Book_Lecture_Notes_v3.06" xfId="1834" xr:uid="{00000000-0005-0000-0000-000050060000}"/>
    <cellStyle name="g_rate_Proj10_Disc Analysis_THEsumPage (2)" xfId="1835" xr:uid="{00000000-0005-0000-0000-000051060000}"/>
    <cellStyle name="g_rate_Proj10_Disc Analysis_THEsumPage (2)_1 FM_101_Examples_v7.31McIntire" xfId="1836" xr:uid="{00000000-0005-0000-0000-000052060000}"/>
    <cellStyle name="g_rate_Proj10_Disc Analysis_THEsumPage (2)_1 FM_101_Examples_v7.31McIntire_1 FM_101_Examples_TWO-Day_v7.31" xfId="1837" xr:uid="{00000000-0005-0000-0000-000053060000}"/>
    <cellStyle name="g_rate_Proj10_Disc Analysis_THEsumPage (2)_Val_1_Book_Lecture_Notes_v3.06" xfId="1838" xr:uid="{00000000-0005-0000-0000-000054060000}"/>
    <cellStyle name="g_rate_Proj10_Disc Analysis_Val_1_Book_Lecture_Notes_v3.06" xfId="1839" xr:uid="{00000000-0005-0000-0000-000055060000}"/>
    <cellStyle name="g_rate_Proj10_Fairness Opinion Valuation 4-23a.xls Chart 1" xfId="1840" xr:uid="{00000000-0005-0000-0000-000056060000}"/>
    <cellStyle name="g_rate_Proj10_Fairness Opinion Valuation 4-23a.xls Chart 1_LANCE_Model_v0.6.DCF.MASTER.Name" xfId="1841" xr:uid="{00000000-0005-0000-0000-000057060000}"/>
    <cellStyle name="g_rate_Proj10_Fairness Opinion Valuation 4-23a.xls Chart 1_LANCE_Model_v0.6.DCF.MASTER.Name_DCF &amp; Raios to CLX Tootsie_v1.33.xls" xfId="1842" xr:uid="{00000000-0005-0000-0000-000058060000}"/>
    <cellStyle name="g_rate_Proj10_Fairness Opinion Valuation 4-23a.xls Chart 1_LANCE_Model_v0.6.DCF.MASTER.Name_Tootsie_TWO_DAY_TTS_Solution_v1.34" xfId="1843" xr:uid="{00000000-0005-0000-0000-000059060000}"/>
    <cellStyle name="g_rate_Proj10_Fairness Opinion Valuation 4-23a.xls Chart 1_LANCE_Model_v0.6.DCF.MASTER.Name_Val_1_Book_Lecture_Notes_v3.06" xfId="1844" xr:uid="{00000000-0005-0000-0000-00005A060000}"/>
    <cellStyle name="g_rate_Proj10_Fairness Opinion Valuation 4-23a.xls Chart 1_Val_1_Book_Lecture_Notes_v3.06" xfId="1845" xr:uid="{00000000-0005-0000-0000-00005B060000}"/>
    <cellStyle name="g_rate_Proj10_LP Chart" xfId="1846" xr:uid="{00000000-0005-0000-0000-00005C060000}"/>
    <cellStyle name="g_rate_Proj10_LP Chart_THEsumPage (2)" xfId="1847" xr:uid="{00000000-0005-0000-0000-00005D060000}"/>
    <cellStyle name="g_rate_Proj10_LP Chart_THEsumPage (2)_Val_1_Book_Lecture_Notes_v3.06" xfId="1848" xr:uid="{00000000-0005-0000-0000-00005E060000}"/>
    <cellStyle name="g_rate_Proj10_LP Chart_Val_1_Book_Lecture_Notes_v3.06" xfId="1849" xr:uid="{00000000-0005-0000-0000-00005F060000}"/>
    <cellStyle name="g_rate_Proj10_Merg Cons" xfId="1850" xr:uid="{00000000-0005-0000-0000-000060060000}"/>
    <cellStyle name="g_rate_Proj10_Merg Cons_1 FM_101_Examples_v7.31McIntire" xfId="1851" xr:uid="{00000000-0005-0000-0000-000061060000}"/>
    <cellStyle name="g_rate_Proj10_Merg Cons_1 FM_101_Examples_v7.31McIntire_1 FM_101_Examples_TWO-Day_v7.31" xfId="1852" xr:uid="{00000000-0005-0000-0000-000062060000}"/>
    <cellStyle name="g_rate_Proj10_Merg Cons_CompSheet" xfId="1853" xr:uid="{00000000-0005-0000-0000-000063060000}"/>
    <cellStyle name="g_rate_Proj10_Merg Cons_CompSheet_1 FM_101_Examples_v7.31McIntire" xfId="1854" xr:uid="{00000000-0005-0000-0000-000064060000}"/>
    <cellStyle name="g_rate_Proj10_Merg Cons_CompSheet_1 FM_101_Examples_v7.31McIntire_1 FM_101_Examples_TWO-Day_v7.31" xfId="1855" xr:uid="{00000000-0005-0000-0000-000065060000}"/>
    <cellStyle name="g_rate_Proj10_Merg Cons_CompSheet_Val_1_Book_Lecture_Notes_v3.06" xfId="1856" xr:uid="{00000000-0005-0000-0000-000066060000}"/>
    <cellStyle name="g_rate_Proj10_Merg Cons_THEsumPage (2)" xfId="1857" xr:uid="{00000000-0005-0000-0000-000067060000}"/>
    <cellStyle name="g_rate_Proj10_Merg Cons_THEsumPage (2)_1 FM_101_Examples_v7.31McIntire" xfId="1858" xr:uid="{00000000-0005-0000-0000-000068060000}"/>
    <cellStyle name="g_rate_Proj10_Merg Cons_THEsumPage (2)_1 FM_101_Examples_v7.31McIntire_1 FM_101_Examples_TWO-Day_v7.31" xfId="1859" xr:uid="{00000000-0005-0000-0000-000069060000}"/>
    <cellStyle name="g_rate_Proj10_Merg Cons_THEsumPage (2)_Val_1_Book_Lecture_Notes_v3.06" xfId="1860" xr:uid="{00000000-0005-0000-0000-00006A060000}"/>
    <cellStyle name="g_rate_Proj10_Merg Cons_Val_1_Book_Lecture_Notes_v3.06" xfId="1861" xr:uid="{00000000-0005-0000-0000-00006B060000}"/>
    <cellStyle name="g_rate_Proj10_PowerValuation.xls Chart 21" xfId="1862" xr:uid="{00000000-0005-0000-0000-00006C060000}"/>
    <cellStyle name="g_rate_Proj10_PowerValuation.xls Chart 21_LANCE_Model_v0.6.DCF.MASTER.Name" xfId="1863" xr:uid="{00000000-0005-0000-0000-00006D060000}"/>
    <cellStyle name="g_rate_Proj10_PowerValuation.xls Chart 21_LANCE_Model_v0.6.DCF.MASTER.Name_DCF &amp; Raios to CLX Tootsie_v1.33.xls" xfId="1864" xr:uid="{00000000-0005-0000-0000-00006E060000}"/>
    <cellStyle name="g_rate_Proj10_PowerValuation.xls Chart 21_LANCE_Model_v0.6.DCF.MASTER.Name_Tootsie_TWO_DAY_TTS_Solution_v1.34" xfId="1865" xr:uid="{00000000-0005-0000-0000-00006F060000}"/>
    <cellStyle name="g_rate_Proj10_PowerValuation.xls Chart 21_LANCE_Model_v0.6.DCF.MASTER.Name_Val_1_Book_Lecture_Notes_v3.06" xfId="1866" xr:uid="{00000000-0005-0000-0000-000070060000}"/>
    <cellStyle name="g_rate_Proj10_PowerValuation.xls Chart 21_Val_1_Book_Lecture_Notes_v3.06" xfId="1867" xr:uid="{00000000-0005-0000-0000-000071060000}"/>
    <cellStyle name="g_rate_Proj10_PowerValuation.xls Chart 28" xfId="1868" xr:uid="{00000000-0005-0000-0000-000072060000}"/>
    <cellStyle name="g_rate_Proj10_PowerValuation.xls Chart 28_LANCE_Model_v0.6.DCF.MASTER.Name" xfId="1869" xr:uid="{00000000-0005-0000-0000-000073060000}"/>
    <cellStyle name="g_rate_Proj10_PowerValuation.xls Chart 28_LANCE_Model_v0.6.DCF.MASTER.Name_DCF &amp; Raios to CLX Tootsie_v1.33.xls" xfId="1870" xr:uid="{00000000-0005-0000-0000-000074060000}"/>
    <cellStyle name="g_rate_Proj10_PowerValuation.xls Chart 28_LANCE_Model_v0.6.DCF.MASTER.Name_Tootsie_TWO_DAY_TTS_Solution_v1.34" xfId="1871" xr:uid="{00000000-0005-0000-0000-000075060000}"/>
    <cellStyle name="g_rate_Proj10_PowerValuation.xls Chart 28_LANCE_Model_v0.6.DCF.MASTER.Name_Val_1_Book_Lecture_Notes_v3.06" xfId="1872" xr:uid="{00000000-0005-0000-0000-000076060000}"/>
    <cellStyle name="g_rate_Proj10_PowerValuation.xls Chart 28_Val_1_Book_Lecture_Notes_v3.06" xfId="1873" xr:uid="{00000000-0005-0000-0000-000077060000}"/>
    <cellStyle name="g_rate_Proj10_Sensitivity" xfId="1874" xr:uid="{00000000-0005-0000-0000-000078060000}"/>
    <cellStyle name="g_rate_Proj10_Sensitivity_1 FM_101_Examples_v7.31McIntire" xfId="1875" xr:uid="{00000000-0005-0000-0000-000079060000}"/>
    <cellStyle name="g_rate_Proj10_Sensitivity_1 FM_101_Examples_v7.31McIntire_1 FM_101_Examples_TWO-Day_v7.31" xfId="1876" xr:uid="{00000000-0005-0000-0000-00007A060000}"/>
    <cellStyle name="g_rate_Proj10_Sensitivity_CompSheet" xfId="1877" xr:uid="{00000000-0005-0000-0000-00007B060000}"/>
    <cellStyle name="g_rate_Proj10_Sensitivity_CompSheet_1 FM_101_Examples_v7.31McIntire" xfId="1878" xr:uid="{00000000-0005-0000-0000-00007C060000}"/>
    <cellStyle name="g_rate_Proj10_Sensitivity_CompSheet_1 FM_101_Examples_v7.31McIntire_1 FM_101_Examples_TWO-Day_v7.31" xfId="1879" xr:uid="{00000000-0005-0000-0000-00007D060000}"/>
    <cellStyle name="g_rate_Proj10_Sensitivity_CompSheet_Val_1_Book_Lecture_Notes_v3.06" xfId="1880" xr:uid="{00000000-0005-0000-0000-00007E060000}"/>
    <cellStyle name="g_rate_Proj10_Sensitivity_THEsumPage (2)" xfId="1881" xr:uid="{00000000-0005-0000-0000-00007F060000}"/>
    <cellStyle name="g_rate_Proj10_Sensitivity_THEsumPage (2)_1 FM_101_Examples_v7.31McIntire" xfId="1882" xr:uid="{00000000-0005-0000-0000-000080060000}"/>
    <cellStyle name="g_rate_Proj10_Sensitivity_THEsumPage (2)_1 FM_101_Examples_v7.31McIntire_1 FM_101_Examples_TWO-Day_v7.31" xfId="1883" xr:uid="{00000000-0005-0000-0000-000081060000}"/>
    <cellStyle name="g_rate_Proj10_Sensitivity_THEsumPage (2)_Val_1_Book_Lecture_Notes_v3.06" xfId="1884" xr:uid="{00000000-0005-0000-0000-000082060000}"/>
    <cellStyle name="g_rate_Proj10_Sensitivity_Val_1_Book_Lecture_Notes_v3.06" xfId="1885" xr:uid="{00000000-0005-0000-0000-000083060000}"/>
    <cellStyle name="g_rate_Proj10_show-hold" xfId="1886" xr:uid="{00000000-0005-0000-0000-000084060000}"/>
    <cellStyle name="g_rate_Proj10_show-hold_1 FM_101_Examples_v7.31McIntire" xfId="1887" xr:uid="{00000000-0005-0000-0000-000085060000}"/>
    <cellStyle name="g_rate_Proj10_show-hold_1 FM_101_Examples_v7.31McIntire_1 FM_101_Examples_TWO-Day_v7.31" xfId="1888" xr:uid="{00000000-0005-0000-0000-000086060000}"/>
    <cellStyle name="g_rate_Proj10_show-hold_Graphic Depiction - NO DEV" xfId="1889" xr:uid="{00000000-0005-0000-0000-000087060000}"/>
    <cellStyle name="g_rate_Proj10_show-hold_Graphic Depiction - NO DEV_1 FM_101_Examples_v7.31McIntire" xfId="1890" xr:uid="{00000000-0005-0000-0000-000088060000}"/>
    <cellStyle name="g_rate_Proj10_show-hold_Graphic Depiction - NO DEV_1 FM_101_Examples_v7.31McIntire_1 FM_101_Examples_TWO-Day_v7.31" xfId="1891" xr:uid="{00000000-0005-0000-0000-000089060000}"/>
    <cellStyle name="g_rate_Proj10_show-hold_Graphic Depiction - NO DEV_Val_1_Book_Lecture_Notes_v3.06" xfId="1892" xr:uid="{00000000-0005-0000-0000-00008A060000}"/>
    <cellStyle name="g_rate_Proj10_show-hold_THEsumPage (2)" xfId="1893" xr:uid="{00000000-0005-0000-0000-00008B060000}"/>
    <cellStyle name="g_rate_Proj10_show-hold_THEsumPage (2)_1 FM_101_Examples_v7.31McIntire" xfId="1894" xr:uid="{00000000-0005-0000-0000-00008C060000}"/>
    <cellStyle name="g_rate_Proj10_show-hold_THEsumPage (2)_1 FM_101_Examples_v7.31McIntire_1 FM_101_Examples_TWO-Day_v7.31" xfId="1895" xr:uid="{00000000-0005-0000-0000-00008D060000}"/>
    <cellStyle name="g_rate_Proj10_show-hold_THEsumPage (2)_Val_1_Book_Lecture_Notes_v3.06" xfId="1896" xr:uid="{00000000-0005-0000-0000-00008E060000}"/>
    <cellStyle name="g_rate_Proj10_show-hold_Val_1_Book_Lecture_Notes_v3.06" xfId="1897" xr:uid="{00000000-0005-0000-0000-00008F060000}"/>
    <cellStyle name="g_rate_Proj10_THEsumPage (2)" xfId="1898" xr:uid="{00000000-0005-0000-0000-000090060000}"/>
    <cellStyle name="g_rate_Proj10_THEsumPage (2)_LANCE_Model_v0.6.DCF.MASTER.Name" xfId="1899" xr:uid="{00000000-0005-0000-0000-000091060000}"/>
    <cellStyle name="g_rate_Proj10_THEsumPage (2)_LANCE_Model_v0.6.DCF.MASTER.Name_DCF &amp; Raios to CLX Tootsie_v1.33.xls" xfId="1900" xr:uid="{00000000-0005-0000-0000-000092060000}"/>
    <cellStyle name="g_rate_Proj10_THEsumPage (2)_LANCE_Model_v0.6.DCF.MASTER.Name_Tootsie_TWO_DAY_TTS_Solution_v1.34" xfId="1901" xr:uid="{00000000-0005-0000-0000-000093060000}"/>
    <cellStyle name="g_rate_Proj10_THEsumPage (2)_LANCE_Model_v0.6.DCF.MASTER.Name_Val_1_Book_Lecture_Notes_v3.06" xfId="1902" xr:uid="{00000000-0005-0000-0000-000094060000}"/>
    <cellStyle name="g_rate_Proj10_THEsumPage (2)_Val_1_Book_Lecture_Notes_v3.06" xfId="1903" xr:uid="{00000000-0005-0000-0000-000095060000}"/>
    <cellStyle name="g_rate_Proj10_Val_1_Book_Lecture_Notes_v3.06" xfId="1904" xr:uid="{00000000-0005-0000-0000-000096060000}"/>
    <cellStyle name="g_rate_Proj10_Valuation summaries" xfId="1905" xr:uid="{00000000-0005-0000-0000-000097060000}"/>
    <cellStyle name="g_rate_Proj10_Valuation summaries_LANCE_Model_v0.6.DCF.MASTER.Name" xfId="1906" xr:uid="{00000000-0005-0000-0000-000098060000}"/>
    <cellStyle name="g_rate_Proj10_Valuation summaries_LANCE_Model_v0.6.DCF.MASTER.Name_DCF &amp; Raios to CLX Tootsie_v1.33.xls" xfId="1907" xr:uid="{00000000-0005-0000-0000-000099060000}"/>
    <cellStyle name="g_rate_Proj10_Valuation summaries_LANCE_Model_v0.6.DCF.MASTER.Name_Tootsie_TWO_DAY_TTS_Solution_v1.34" xfId="1908" xr:uid="{00000000-0005-0000-0000-00009A060000}"/>
    <cellStyle name="g_rate_Proj10_Valuation summaries_LANCE_Model_v0.6.DCF.MASTER.Name_Val_1_Book_Lecture_Notes_v3.06" xfId="1909" xr:uid="{00000000-0005-0000-0000-00009B060000}"/>
    <cellStyle name="g_rate_Proj10_Valuation summaries_Val_1_Book_Lecture_Notes_v3.06" xfId="1910" xr:uid="{00000000-0005-0000-0000-00009C060000}"/>
    <cellStyle name="g_rate_Proj10_WACC-CableCar" xfId="1911" xr:uid="{00000000-0005-0000-0000-00009D060000}"/>
    <cellStyle name="g_rate_Proj10_WACC-CableCar_LANCE_Model_v0.6.DCF.MASTER.Name" xfId="1912" xr:uid="{00000000-0005-0000-0000-00009E060000}"/>
    <cellStyle name="g_rate_Proj10_WACC-CableCar_LANCE_Model_v0.6.DCF.MASTER.Name_DCF &amp; Raios to CLX Tootsie_v1.33.xls" xfId="1913" xr:uid="{00000000-0005-0000-0000-00009F060000}"/>
    <cellStyle name="g_rate_Proj10_WACC-CableCar_LANCE_Model_v0.6.DCF.MASTER.Name_Tootsie_TWO_DAY_TTS_Solution_v1.34" xfId="1914" xr:uid="{00000000-0005-0000-0000-0000A0060000}"/>
    <cellStyle name="g_rate_Proj10_WACC-CableCar_LANCE_Model_v0.6.DCF.MASTER.Name_Val_1_Book_Lecture_Notes_v3.06" xfId="1915" xr:uid="{00000000-0005-0000-0000-0000A1060000}"/>
    <cellStyle name="g_rate_Proj10_WACC-CableCar_THEsumPage (2)" xfId="1916" xr:uid="{00000000-0005-0000-0000-0000A2060000}"/>
    <cellStyle name="g_rate_Proj10_WACC-CableCar_THEsumPage (2)_LANCE_Model_v0.6.DCF.MASTER.Name" xfId="1917" xr:uid="{00000000-0005-0000-0000-0000A3060000}"/>
    <cellStyle name="g_rate_Proj10_WACC-CableCar_THEsumPage (2)_LANCE_Model_v0.6.DCF.MASTER.Name_DCF &amp; Raios to CLX Tootsie_v1.33.xls" xfId="1918" xr:uid="{00000000-0005-0000-0000-0000A4060000}"/>
    <cellStyle name="g_rate_Proj10_WACC-CableCar_THEsumPage (2)_LANCE_Model_v0.6.DCF.MASTER.Name_Tootsie_TWO_DAY_TTS_Solution_v1.34" xfId="1919" xr:uid="{00000000-0005-0000-0000-0000A5060000}"/>
    <cellStyle name="g_rate_Proj10_WACC-CableCar_THEsumPage (2)_LANCE_Model_v0.6.DCF.MASTER.Name_Val_1_Book_Lecture_Notes_v3.06" xfId="1920" xr:uid="{00000000-0005-0000-0000-0000A6060000}"/>
    <cellStyle name="g_rate_Proj10_WACC-CableCar_THEsumPage (2)_Val_1_Book_Lecture_Notes_v3.06" xfId="1921" xr:uid="{00000000-0005-0000-0000-0000A7060000}"/>
    <cellStyle name="g_rate_Proj10_WACC-CableCar_Val_1_Book_Lecture_Notes_v3.06" xfId="1922" xr:uid="{00000000-0005-0000-0000-0000A8060000}"/>
    <cellStyle name="g_rate_Proj10_WACC-RAD (2)" xfId="1923" xr:uid="{00000000-0005-0000-0000-0000A9060000}"/>
    <cellStyle name="g_rate_Proj10_WACC-RAD (2)_THEsumPage (2)" xfId="1924" xr:uid="{00000000-0005-0000-0000-0000AA060000}"/>
    <cellStyle name="g_rate_Proj10_WACC-RAD (2)_THEsumPage (2)_Val_1_Book_Lecture_Notes_v3.06" xfId="1925" xr:uid="{00000000-0005-0000-0000-0000AB060000}"/>
    <cellStyle name="g_rate_Proj10_WACC-RAD (2)_Val_1_Book_Lecture_Notes_v3.06" xfId="1926" xr:uid="{00000000-0005-0000-0000-0000AC060000}"/>
    <cellStyle name="g_rate_Sensitivity" xfId="1927" xr:uid="{00000000-0005-0000-0000-0000AD060000}"/>
    <cellStyle name="g_rate_Sensitivity_1 FM_101_Examples_v7.31McIntire" xfId="1928" xr:uid="{00000000-0005-0000-0000-0000AE060000}"/>
    <cellStyle name="g_rate_Sensitivity_1 FM_101_Examples_v7.31McIntire_1 FM_101_Examples_TWO-Day_v7.31" xfId="1929" xr:uid="{00000000-0005-0000-0000-0000AF060000}"/>
    <cellStyle name="g_rate_Sensitivity_CompSheet" xfId="1930" xr:uid="{00000000-0005-0000-0000-0000B0060000}"/>
    <cellStyle name="g_rate_Sensitivity_CompSheet_1 FM_101_Examples_v7.31McIntire" xfId="1931" xr:uid="{00000000-0005-0000-0000-0000B1060000}"/>
    <cellStyle name="g_rate_Sensitivity_CompSheet_1 FM_101_Examples_v7.31McIntire_1 FM_101_Examples_TWO-Day_v7.31" xfId="1932" xr:uid="{00000000-0005-0000-0000-0000B2060000}"/>
    <cellStyle name="g_rate_Sensitivity_CompSheet_Val_1_Book_Lecture_Notes_v3.06" xfId="1933" xr:uid="{00000000-0005-0000-0000-0000B3060000}"/>
    <cellStyle name="g_rate_Sensitivity_THEsumPage (2)" xfId="1934" xr:uid="{00000000-0005-0000-0000-0000B4060000}"/>
    <cellStyle name="g_rate_Sensitivity_THEsumPage (2)_1 FM_101_Examples_v7.31McIntire" xfId="1935" xr:uid="{00000000-0005-0000-0000-0000B5060000}"/>
    <cellStyle name="g_rate_Sensitivity_THEsumPage (2)_1 FM_101_Examples_v7.31McIntire_1 FM_101_Examples_TWO-Day_v7.31" xfId="1936" xr:uid="{00000000-0005-0000-0000-0000B6060000}"/>
    <cellStyle name="g_rate_Sensitivity_THEsumPage (2)_Val_1_Book_Lecture_Notes_v3.06" xfId="1937" xr:uid="{00000000-0005-0000-0000-0000B7060000}"/>
    <cellStyle name="g_rate_Sensitivity_Val_1_Book_Lecture_Notes_v3.06" xfId="1938" xr:uid="{00000000-0005-0000-0000-0000B8060000}"/>
    <cellStyle name="g_rate_show-hold" xfId="1939" xr:uid="{00000000-0005-0000-0000-0000B9060000}"/>
    <cellStyle name="g_rate_show-hold_1 FM_101_Examples_v7.31McIntire" xfId="1940" xr:uid="{00000000-0005-0000-0000-0000BA060000}"/>
    <cellStyle name="g_rate_show-hold_1 FM_101_Examples_v7.31McIntire_1 FM_101_Examples_TWO-Day_v7.31" xfId="1941" xr:uid="{00000000-0005-0000-0000-0000BB060000}"/>
    <cellStyle name="g_rate_show-hold_CompSheet" xfId="1942" xr:uid="{00000000-0005-0000-0000-0000BC060000}"/>
    <cellStyle name="g_rate_show-hold_CompSheet_1 FM_101_Examples_v7.31McIntire" xfId="1943" xr:uid="{00000000-0005-0000-0000-0000BD060000}"/>
    <cellStyle name="g_rate_show-hold_CompSheet_1 FM_101_Examples_v7.31McIntire_1 FM_101_Examples_TWO-Day_v7.31" xfId="1944" xr:uid="{00000000-0005-0000-0000-0000BE060000}"/>
    <cellStyle name="g_rate_show-hold_CompSheet_Val_1_Book_Lecture_Notes_v3.06" xfId="1945" xr:uid="{00000000-0005-0000-0000-0000BF060000}"/>
    <cellStyle name="g_rate_show-hold_THEsumPage (2)" xfId="1946" xr:uid="{00000000-0005-0000-0000-0000C0060000}"/>
    <cellStyle name="g_rate_show-hold_THEsumPage (2)_1 FM_101_Examples_v7.31McIntire" xfId="1947" xr:uid="{00000000-0005-0000-0000-0000C1060000}"/>
    <cellStyle name="g_rate_show-hold_THEsumPage (2)_1 FM_101_Examples_v7.31McIntire_1 FM_101_Examples_TWO-Day_v7.31" xfId="1948" xr:uid="{00000000-0005-0000-0000-0000C2060000}"/>
    <cellStyle name="g_rate_show-hold_THEsumPage (2)_Val_1_Book_Lecture_Notes_v3.06" xfId="1949" xr:uid="{00000000-0005-0000-0000-0000C3060000}"/>
    <cellStyle name="g_rate_show-hold_Val_1_Book_Lecture_Notes_v3.06" xfId="1950" xr:uid="{00000000-0005-0000-0000-0000C4060000}"/>
    <cellStyle name="g_rate_THEsumPage (2)" xfId="1951" xr:uid="{00000000-0005-0000-0000-0000C5060000}"/>
    <cellStyle name="g_rate_THEsumPage (2)_LANCE_Model_v0.6.DCF.MASTER.Name" xfId="1952" xr:uid="{00000000-0005-0000-0000-0000C6060000}"/>
    <cellStyle name="g_rate_THEsumPage (2)_LANCE_Model_v0.6.DCF.MASTER.Name_DCF &amp; Raios to CLX Tootsie_v1.33.xls" xfId="1953" xr:uid="{00000000-0005-0000-0000-0000C7060000}"/>
    <cellStyle name="g_rate_THEsumPage (2)_LANCE_Model_v0.6.DCF.MASTER.Name_Tootsie_TWO_DAY_TTS_Solution_v1.34" xfId="1954" xr:uid="{00000000-0005-0000-0000-0000C8060000}"/>
    <cellStyle name="g_rate_THEsumPage (2)_LANCE_Model_v0.6.DCF.MASTER.Name_Val_1_Book_Lecture_Notes_v3.06" xfId="1955" xr:uid="{00000000-0005-0000-0000-0000C9060000}"/>
    <cellStyle name="g_rate_THEsumPage (2)_Val_1_Book_Lecture_Notes_v3.06" xfId="1956" xr:uid="{00000000-0005-0000-0000-0000CA060000}"/>
    <cellStyle name="g_rate_Val_1_Book_Lecture_Notes_v3.06" xfId="1957" xr:uid="{00000000-0005-0000-0000-0000CB060000}"/>
    <cellStyle name="g_rate_Valuation summaries" xfId="1958" xr:uid="{00000000-0005-0000-0000-0000CC060000}"/>
    <cellStyle name="g_rate_Valuation summaries_LANCE_Model_v0.6.DCF.MASTER.Name" xfId="1959" xr:uid="{00000000-0005-0000-0000-0000CD060000}"/>
    <cellStyle name="g_rate_Valuation summaries_LANCE_Model_v0.6.DCF.MASTER.Name_DCF &amp; Raios to CLX Tootsie_v1.33.xls" xfId="1960" xr:uid="{00000000-0005-0000-0000-0000CE060000}"/>
    <cellStyle name="g_rate_Valuation summaries_LANCE_Model_v0.6.DCF.MASTER.Name_Tootsie_TWO_DAY_TTS_Solution_v1.34" xfId="1961" xr:uid="{00000000-0005-0000-0000-0000CF060000}"/>
    <cellStyle name="g_rate_Valuation summaries_LANCE_Model_v0.6.DCF.MASTER.Name_Val_1_Book_Lecture_Notes_v3.06" xfId="1962" xr:uid="{00000000-0005-0000-0000-0000D0060000}"/>
    <cellStyle name="g_rate_Valuation summaries_Val_1_Book_Lecture_Notes_v3.06" xfId="1963" xr:uid="{00000000-0005-0000-0000-0000D1060000}"/>
    <cellStyle name="g_rate_WACC-CableCar" xfId="1964" xr:uid="{00000000-0005-0000-0000-0000D2060000}"/>
    <cellStyle name="g_rate_WACC-CableCar_LANCE_Model_v0.6.DCF.MASTER.Name" xfId="1965" xr:uid="{00000000-0005-0000-0000-0000D3060000}"/>
    <cellStyle name="g_rate_WACC-CableCar_LANCE_Model_v0.6.DCF.MASTER.Name_DCF &amp; Raios to CLX Tootsie_v1.33.xls" xfId="1966" xr:uid="{00000000-0005-0000-0000-0000D4060000}"/>
    <cellStyle name="g_rate_WACC-CableCar_LANCE_Model_v0.6.DCF.MASTER.Name_Tootsie_TWO_DAY_TTS_Solution_v1.34" xfId="1967" xr:uid="{00000000-0005-0000-0000-0000D5060000}"/>
    <cellStyle name="g_rate_WACC-CableCar_LANCE_Model_v0.6.DCF.MASTER.Name_Val_1_Book_Lecture_Notes_v3.06" xfId="1968" xr:uid="{00000000-0005-0000-0000-0000D6060000}"/>
    <cellStyle name="g_rate_WACC-CableCar_THEsumPage (2)" xfId="1969" xr:uid="{00000000-0005-0000-0000-0000D7060000}"/>
    <cellStyle name="g_rate_WACC-CableCar_THEsumPage (2)_LANCE_Model_v0.6.DCF.MASTER.Name" xfId="1970" xr:uid="{00000000-0005-0000-0000-0000D8060000}"/>
    <cellStyle name="g_rate_WACC-CableCar_THEsumPage (2)_LANCE_Model_v0.6.DCF.MASTER.Name_DCF &amp; Raios to CLX Tootsie_v1.33.xls" xfId="1971" xr:uid="{00000000-0005-0000-0000-0000D9060000}"/>
    <cellStyle name="g_rate_WACC-CableCar_THEsumPage (2)_LANCE_Model_v0.6.DCF.MASTER.Name_Tootsie_TWO_DAY_TTS_Solution_v1.34" xfId="1972" xr:uid="{00000000-0005-0000-0000-0000DA060000}"/>
    <cellStyle name="g_rate_WACC-CableCar_THEsumPage (2)_LANCE_Model_v0.6.DCF.MASTER.Name_Val_1_Book_Lecture_Notes_v3.06" xfId="1973" xr:uid="{00000000-0005-0000-0000-0000DB060000}"/>
    <cellStyle name="g_rate_WACC-CableCar_THEsumPage (2)_Val_1_Book_Lecture_Notes_v3.06" xfId="1974" xr:uid="{00000000-0005-0000-0000-0000DC060000}"/>
    <cellStyle name="g_rate_WACC-CableCar_Val_1_Book_Lecture_Notes_v3.06" xfId="1975" xr:uid="{00000000-0005-0000-0000-0000DD060000}"/>
    <cellStyle name="g_rate_WACC-RAD (2)" xfId="1976" xr:uid="{00000000-0005-0000-0000-0000DE060000}"/>
    <cellStyle name="g_rate_WACC-RAD (2)_THEsumPage (2)" xfId="1977" xr:uid="{00000000-0005-0000-0000-0000DF060000}"/>
    <cellStyle name="g_rate_WACC-RAD (2)_THEsumPage (2)_Val_1_Book_Lecture_Notes_v3.06" xfId="1978" xr:uid="{00000000-0005-0000-0000-0000E0060000}"/>
    <cellStyle name="g_rate_WACC-RAD (2)_Val_1_Book_Lecture_Notes_v3.06" xfId="1979" xr:uid="{00000000-0005-0000-0000-0000E1060000}"/>
    <cellStyle name="Good 2" xfId="163" xr:uid="{00000000-0005-0000-0000-0000E2060000}"/>
    <cellStyle name="Good 3" xfId="1980" xr:uid="{00000000-0005-0000-0000-0000E3060000}"/>
    <cellStyle name="Grey" xfId="1981" xr:uid="{00000000-0005-0000-0000-0000E4060000}"/>
    <cellStyle name="Growth Rates/Margins" xfId="1982" xr:uid="{00000000-0005-0000-0000-0000E5060000}"/>
    <cellStyle name="Header1" xfId="164" xr:uid="{00000000-0005-0000-0000-0000E6060000}"/>
    <cellStyle name="Header1 2" xfId="1983" xr:uid="{00000000-0005-0000-0000-0000E7060000}"/>
    <cellStyle name="Header1 3" xfId="1984" xr:uid="{00000000-0005-0000-0000-0000E8060000}"/>
    <cellStyle name="Header2" xfId="165" xr:uid="{00000000-0005-0000-0000-0000E9060000}"/>
    <cellStyle name="Header2 2" xfId="1985" xr:uid="{00000000-0005-0000-0000-0000EA060000}"/>
    <cellStyle name="Header2 2 2" xfId="1986" xr:uid="{00000000-0005-0000-0000-0000EB060000}"/>
    <cellStyle name="Header2 2 3" xfId="1987" xr:uid="{00000000-0005-0000-0000-0000EC060000}"/>
    <cellStyle name="Header2 3" xfId="1988" xr:uid="{00000000-0005-0000-0000-0000ED060000}"/>
    <cellStyle name="headers" xfId="1989" xr:uid="{00000000-0005-0000-0000-0000EE060000}"/>
    <cellStyle name="Heading" xfId="1990" xr:uid="{00000000-0005-0000-0000-0000EF060000}"/>
    <cellStyle name="Heading 1 2" xfId="166" xr:uid="{00000000-0005-0000-0000-0000F0060000}"/>
    <cellStyle name="Heading 1 2 2" xfId="167" xr:uid="{00000000-0005-0000-0000-0000F1060000}"/>
    <cellStyle name="Heading 1 3" xfId="1991" xr:uid="{00000000-0005-0000-0000-0000F2060000}"/>
    <cellStyle name="Heading 2 2" xfId="168" xr:uid="{00000000-0005-0000-0000-0000F3060000}"/>
    <cellStyle name="Heading 2 2 2" xfId="169" xr:uid="{00000000-0005-0000-0000-0000F4060000}"/>
    <cellStyle name="Heading 2 3" xfId="1992" xr:uid="{00000000-0005-0000-0000-0000F5060000}"/>
    <cellStyle name="Heading 3 2" xfId="170" xr:uid="{00000000-0005-0000-0000-0000F6060000}"/>
    <cellStyle name="Heading 3 2 2" xfId="171" xr:uid="{00000000-0005-0000-0000-0000F7060000}"/>
    <cellStyle name="Heading 3 3" xfId="1993" xr:uid="{00000000-0005-0000-0000-0000F8060000}"/>
    <cellStyle name="Heading 4 2" xfId="172" xr:uid="{00000000-0005-0000-0000-0000F9060000}"/>
    <cellStyle name="Heading 4 2 2" xfId="173" xr:uid="{00000000-0005-0000-0000-0000FA060000}"/>
    <cellStyle name="Heading 4 3" xfId="1994" xr:uid="{00000000-0005-0000-0000-0000FB060000}"/>
    <cellStyle name="Heading No Underline" xfId="1995" xr:uid="{00000000-0005-0000-0000-0000FC060000}"/>
    <cellStyle name="Heading With Underline" xfId="1996" xr:uid="{00000000-0005-0000-0000-0000FD060000}"/>
    <cellStyle name="Hipervínculo" xfId="1997" xr:uid="{00000000-0005-0000-0000-0000FE060000}"/>
    <cellStyle name="HNU" xfId="1998" xr:uid="{00000000-0005-0000-0000-0000FF060000}"/>
    <cellStyle name="Hyperlink 2" xfId="174" xr:uid="{00000000-0005-0000-0000-000000070000}"/>
    <cellStyle name="Hyperlink 2 2" xfId="1999" xr:uid="{00000000-0005-0000-0000-000001070000}"/>
    <cellStyle name="Hyperlink 2 3" xfId="2000" xr:uid="{00000000-0005-0000-0000-000002070000}"/>
    <cellStyle name="Hyperlink 2 4" xfId="2001" xr:uid="{00000000-0005-0000-0000-000003070000}"/>
    <cellStyle name="Hyperlink 3" xfId="2002" xr:uid="{00000000-0005-0000-0000-000004070000}"/>
    <cellStyle name="Hyperlink seguido" xfId="2003" xr:uid="{00000000-0005-0000-0000-000005070000}"/>
    <cellStyle name="IDG&quot;5&quot;" xfId="175" xr:uid="{00000000-0005-0000-0000-000006070000}"/>
    <cellStyle name="IDG&quot;5&quot; 2" xfId="2004" xr:uid="{00000000-0005-0000-0000-000007070000}"/>
    <cellStyle name="IDG&quot;5&quot; 3" xfId="2005" xr:uid="{00000000-0005-0000-0000-000008070000}"/>
    <cellStyle name="IDG&quot;8&quot;" xfId="176" xr:uid="{00000000-0005-0000-0000-000009070000}"/>
    <cellStyle name="IDG&quot;8&quot; 2" xfId="2006" xr:uid="{00000000-0005-0000-0000-00000A070000}"/>
    <cellStyle name="IDG&quot;8&quot; 3" xfId="2007" xr:uid="{00000000-0005-0000-0000-00000B070000}"/>
    <cellStyle name="imput" xfId="2008" xr:uid="{00000000-0005-0000-0000-00000C070000}"/>
    <cellStyle name="Incorrecto" xfId="2009" xr:uid="{00000000-0005-0000-0000-00000D070000}"/>
    <cellStyle name="Incorreto" xfId="2010" xr:uid="{00000000-0005-0000-0000-00000E070000}"/>
    <cellStyle name="Information%" xfId="177" xr:uid="{00000000-0005-0000-0000-00000F070000}"/>
    <cellStyle name="Input [yellow]" xfId="2011" xr:uid="{00000000-0005-0000-0000-000010070000}"/>
    <cellStyle name="Input 2" xfId="178" xr:uid="{00000000-0005-0000-0000-000011070000}"/>
    <cellStyle name="Input 2 2" xfId="179" xr:uid="{00000000-0005-0000-0000-000012070000}"/>
    <cellStyle name="Input 2 2 2" xfId="2012" xr:uid="{00000000-0005-0000-0000-000013070000}"/>
    <cellStyle name="Input 2 2 2 2" xfId="2013" xr:uid="{00000000-0005-0000-0000-000014070000}"/>
    <cellStyle name="Input 2 2 2 3" xfId="2014" xr:uid="{00000000-0005-0000-0000-000015070000}"/>
    <cellStyle name="Input 2 2 3" xfId="2015" xr:uid="{00000000-0005-0000-0000-000016070000}"/>
    <cellStyle name="Input 2 2 4" xfId="2016" xr:uid="{00000000-0005-0000-0000-000017070000}"/>
    <cellStyle name="Input 2 3" xfId="2017" xr:uid="{00000000-0005-0000-0000-000018070000}"/>
    <cellStyle name="Input 2 3 2" xfId="2018" xr:uid="{00000000-0005-0000-0000-000019070000}"/>
    <cellStyle name="Input 2 3 3" xfId="2019" xr:uid="{00000000-0005-0000-0000-00001A070000}"/>
    <cellStyle name="Input 2 4" xfId="2020" xr:uid="{00000000-0005-0000-0000-00001B070000}"/>
    <cellStyle name="Input 2 5" xfId="2021" xr:uid="{00000000-0005-0000-0000-00001C070000}"/>
    <cellStyle name="Input 3" xfId="2022" xr:uid="{00000000-0005-0000-0000-00001D070000}"/>
    <cellStyle name="Input 3 2" xfId="2023" xr:uid="{00000000-0005-0000-0000-00001E070000}"/>
    <cellStyle name="Input 3 2 2" xfId="2024" xr:uid="{00000000-0005-0000-0000-00001F070000}"/>
    <cellStyle name="Input 3 2 3" xfId="2025" xr:uid="{00000000-0005-0000-0000-000020070000}"/>
    <cellStyle name="Input 3 3" xfId="2026" xr:uid="{00000000-0005-0000-0000-000021070000}"/>
    <cellStyle name="Input 3 4" xfId="2027" xr:uid="{00000000-0005-0000-0000-000022070000}"/>
    <cellStyle name="Input Box" xfId="2028" xr:uid="{00000000-0005-0000-0000-000023070000}"/>
    <cellStyle name="InputBlueFont" xfId="2029" xr:uid="{00000000-0005-0000-0000-000024070000}"/>
    <cellStyle name="Integer" xfId="2030" xr:uid="{00000000-0005-0000-0000-000025070000}"/>
    <cellStyle name="Invisible" xfId="180" xr:uid="{00000000-0005-0000-0000-000026070000}"/>
    <cellStyle name="Invisible 2" xfId="181" xr:uid="{00000000-0005-0000-0000-000027070000}"/>
    <cellStyle name="Invisible 3" xfId="2031" xr:uid="{00000000-0005-0000-0000-000028070000}"/>
    <cellStyle name="Italic" xfId="2032" xr:uid="{00000000-0005-0000-0000-000029070000}"/>
    <cellStyle name="Item" xfId="2033" xr:uid="{00000000-0005-0000-0000-00002A070000}"/>
    <cellStyle name="ItemTypeClass" xfId="2034" xr:uid="{00000000-0005-0000-0000-00002B070000}"/>
    <cellStyle name="jo[" xfId="2035" xr:uid="{00000000-0005-0000-0000-00002C070000}"/>
    <cellStyle name="Line" xfId="2036" xr:uid="{00000000-0005-0000-0000-00002D070000}"/>
    <cellStyle name="Linked Cell 2" xfId="182" xr:uid="{00000000-0005-0000-0000-00002E070000}"/>
    <cellStyle name="Linked Cell 2 2" xfId="183" xr:uid="{00000000-0005-0000-0000-00002F070000}"/>
    <cellStyle name="Linked Cell 3" xfId="2037" xr:uid="{00000000-0005-0000-0000-000030070000}"/>
    <cellStyle name="locked" xfId="2038" xr:uid="{00000000-0005-0000-0000-000031070000}"/>
    <cellStyle name="m" xfId="2039" xr:uid="{00000000-0005-0000-0000-000032070000}"/>
    <cellStyle name="m$" xfId="2040" xr:uid="{00000000-0005-0000-0000-000033070000}"/>
    <cellStyle name="m&amp;a" xfId="2041" xr:uid="{00000000-0005-0000-0000-000034070000}"/>
    <cellStyle name="M/D" xfId="184" xr:uid="{00000000-0005-0000-0000-000035070000}"/>
    <cellStyle name="M/D 2" xfId="185" xr:uid="{00000000-0005-0000-0000-000036070000}"/>
    <cellStyle name="M/D 2 2" xfId="186" xr:uid="{00000000-0005-0000-0000-000037070000}"/>
    <cellStyle name="M/D 3" xfId="187" xr:uid="{00000000-0005-0000-0000-000038070000}"/>
    <cellStyle name="m_AVP" xfId="2042" xr:uid="{00000000-0005-0000-0000-000039070000}"/>
    <cellStyle name="m_AVP_LANCE_Model_v0.6.DCF.MASTER.Name" xfId="2043" xr:uid="{00000000-0005-0000-0000-00003A070000}"/>
    <cellStyle name="m_AVP_LANCE_Model_v0.6.DCF.MASTER.Name_DCF &amp; Raios to CLX Tootsie_v1.33.xls" xfId="2044" xr:uid="{00000000-0005-0000-0000-00003B070000}"/>
    <cellStyle name="m_AVP_LANCE_Model_v0.6.DCF.MASTER.Name_Tootsie_TWO_DAY_TTS_Solution_v1.34" xfId="2045" xr:uid="{00000000-0005-0000-0000-00003C070000}"/>
    <cellStyle name="m_AVP_LANCE_Model_v0.6.DCF.MASTER.Name_Val_1_Book_Lecture_Notes_v3.06" xfId="2046" xr:uid="{00000000-0005-0000-0000-00003D070000}"/>
    <cellStyle name="m_Disc Analysis" xfId="2047" xr:uid="{00000000-0005-0000-0000-00003E070000}"/>
    <cellStyle name="m_Disc Analysis_LANCE_Model_v0.6.DCF.MASTER.Name" xfId="2048" xr:uid="{00000000-0005-0000-0000-00003F070000}"/>
    <cellStyle name="m_Disc Analysis_LANCE_Model_v0.6.DCF.MASTER.Name_DCF &amp; Raios to CLX Tootsie_v1.33.xls" xfId="2049" xr:uid="{00000000-0005-0000-0000-000040070000}"/>
    <cellStyle name="m_Disc Analysis_LANCE_Model_v0.6.DCF.MASTER.Name_Tootsie_TWO_DAY_TTS_Solution_v1.34" xfId="2050" xr:uid="{00000000-0005-0000-0000-000041070000}"/>
    <cellStyle name="m_Disc Analysis_LANCE_Model_v0.6.DCF.MASTER.Name_Val_1_Book_Lecture_Notes_v3.06" xfId="2051" xr:uid="{00000000-0005-0000-0000-000042070000}"/>
    <cellStyle name="m_LANCE_Model_v0.6.DCF.MASTER.Name" xfId="2052" xr:uid="{00000000-0005-0000-0000-000043070000}"/>
    <cellStyle name="m_LANCE_Model_v0.6.DCF.MASTER.Name_DCF &amp; Raios to CLX Tootsie_v1.33.xls" xfId="2053" xr:uid="{00000000-0005-0000-0000-000044070000}"/>
    <cellStyle name="m_LANCE_Model_v0.6.DCF.MASTER.Name_Tootsie_TWO_DAY_TTS_Solution_v1.34" xfId="2054" xr:uid="{00000000-0005-0000-0000-000045070000}"/>
    <cellStyle name="m_LANCE_Model_v0.6.DCF.MASTER.Name_Val_1_Book_Lecture_Notes_v3.06" xfId="2055" xr:uid="{00000000-0005-0000-0000-000046070000}"/>
    <cellStyle name="m_LP Chart" xfId="2056" xr:uid="{00000000-0005-0000-0000-000047070000}"/>
    <cellStyle name="m_LP Chart_LANCE_Model_v0.6.DCF.MASTER.Name" xfId="2057" xr:uid="{00000000-0005-0000-0000-000048070000}"/>
    <cellStyle name="m_LP Chart_LANCE_Model_v0.6.DCF.MASTER.Name_DCF &amp; Raios to CLX Tootsie_v1.33.xls" xfId="2058" xr:uid="{00000000-0005-0000-0000-000049070000}"/>
    <cellStyle name="m_LP Chart_LANCE_Model_v0.6.DCF.MASTER.Name_Tootsie_TWO_DAY_TTS_Solution_v1.34" xfId="2059" xr:uid="{00000000-0005-0000-0000-00004A070000}"/>
    <cellStyle name="m_LP Chart_LANCE_Model_v0.6.DCF.MASTER.Name_Val_1_Book_Lecture_Notes_v3.06" xfId="2060" xr:uid="{00000000-0005-0000-0000-00004B070000}"/>
    <cellStyle name="m_Merg Cons" xfId="2061" xr:uid="{00000000-0005-0000-0000-00004C070000}"/>
    <cellStyle name="m_Merg Cons_LANCE_Model_v0.6.DCF.MASTER.Name" xfId="2062" xr:uid="{00000000-0005-0000-0000-00004D070000}"/>
    <cellStyle name="m_Merg Cons_LANCE_Model_v0.6.DCF.MASTER.Name_DCF &amp; Raios to CLX Tootsie_v1.33.xls" xfId="2063" xr:uid="{00000000-0005-0000-0000-00004E070000}"/>
    <cellStyle name="m_Merg Cons_LANCE_Model_v0.6.DCF.MASTER.Name_Tootsie_TWO_DAY_TTS_Solution_v1.34" xfId="2064" xr:uid="{00000000-0005-0000-0000-00004F070000}"/>
    <cellStyle name="m_Merg Cons_LANCE_Model_v0.6.DCF.MASTER.Name_Val_1_Book_Lecture_Notes_v3.06" xfId="2065" xr:uid="{00000000-0005-0000-0000-000050070000}"/>
    <cellStyle name="m_Proj10" xfId="2066" xr:uid="{00000000-0005-0000-0000-000051070000}"/>
    <cellStyle name="m_Proj10_AVP" xfId="2067" xr:uid="{00000000-0005-0000-0000-000052070000}"/>
    <cellStyle name="m_Proj10_AVP_LANCE_Model_v0.6.DCF.MASTER.Name" xfId="2068" xr:uid="{00000000-0005-0000-0000-000053070000}"/>
    <cellStyle name="m_Proj10_AVP_LANCE_Model_v0.6.DCF.MASTER.Name_DCF &amp; Raios to CLX Tootsie_v1.33.xls" xfId="2069" xr:uid="{00000000-0005-0000-0000-000054070000}"/>
    <cellStyle name="m_Proj10_AVP_LANCE_Model_v0.6.DCF.MASTER.Name_Tootsie_TWO_DAY_TTS_Solution_v1.34" xfId="2070" xr:uid="{00000000-0005-0000-0000-000055070000}"/>
    <cellStyle name="m_Proj10_AVP_LANCE_Model_v0.6.DCF.MASTER.Name_Val_1_Book_Lecture_Notes_v3.06" xfId="2071" xr:uid="{00000000-0005-0000-0000-000056070000}"/>
    <cellStyle name="m_Proj10_Disc Analysis" xfId="2072" xr:uid="{00000000-0005-0000-0000-000057070000}"/>
    <cellStyle name="m_Proj10_Disc Analysis_LANCE_Model_v0.6.DCF.MASTER.Name" xfId="2073" xr:uid="{00000000-0005-0000-0000-000058070000}"/>
    <cellStyle name="m_Proj10_Disc Analysis_LANCE_Model_v0.6.DCF.MASTER.Name_DCF &amp; Raios to CLX Tootsie_v1.33.xls" xfId="2074" xr:uid="{00000000-0005-0000-0000-000059070000}"/>
    <cellStyle name="m_Proj10_Disc Analysis_LANCE_Model_v0.6.DCF.MASTER.Name_Tootsie_TWO_DAY_TTS_Solution_v1.34" xfId="2075" xr:uid="{00000000-0005-0000-0000-00005A070000}"/>
    <cellStyle name="m_Proj10_Disc Analysis_LANCE_Model_v0.6.DCF.MASTER.Name_Val_1_Book_Lecture_Notes_v3.06" xfId="2076" xr:uid="{00000000-0005-0000-0000-00005B070000}"/>
    <cellStyle name="m_Proj10_LANCE_Model_v0.6.DCF.MASTER.Name" xfId="2077" xr:uid="{00000000-0005-0000-0000-00005C070000}"/>
    <cellStyle name="m_Proj10_LANCE_Model_v0.6.DCF.MASTER.Name_DCF &amp; Raios to CLX Tootsie_v1.33.xls" xfId="2078" xr:uid="{00000000-0005-0000-0000-00005D070000}"/>
    <cellStyle name="m_Proj10_LANCE_Model_v0.6.DCF.MASTER.Name_Tootsie_TWO_DAY_TTS_Solution_v1.34" xfId="2079" xr:uid="{00000000-0005-0000-0000-00005E070000}"/>
    <cellStyle name="m_Proj10_LANCE_Model_v0.6.DCF.MASTER.Name_Val_1_Book_Lecture_Notes_v3.06" xfId="2080" xr:uid="{00000000-0005-0000-0000-00005F070000}"/>
    <cellStyle name="m_Proj10_LP Chart" xfId="2081" xr:uid="{00000000-0005-0000-0000-000060070000}"/>
    <cellStyle name="m_Proj10_LP Chart_LANCE_Model_v0.6.DCF.MASTER.Name" xfId="2082" xr:uid="{00000000-0005-0000-0000-000061070000}"/>
    <cellStyle name="m_Proj10_LP Chart_LANCE_Model_v0.6.DCF.MASTER.Name_DCF &amp; Raios to CLX Tootsie_v1.33.xls" xfId="2083" xr:uid="{00000000-0005-0000-0000-000062070000}"/>
    <cellStyle name="m_Proj10_LP Chart_LANCE_Model_v0.6.DCF.MASTER.Name_Tootsie_TWO_DAY_TTS_Solution_v1.34" xfId="2084" xr:uid="{00000000-0005-0000-0000-000063070000}"/>
    <cellStyle name="m_Proj10_LP Chart_LANCE_Model_v0.6.DCF.MASTER.Name_Val_1_Book_Lecture_Notes_v3.06" xfId="2085" xr:uid="{00000000-0005-0000-0000-000064070000}"/>
    <cellStyle name="m_Proj10_Merg Cons" xfId="2086" xr:uid="{00000000-0005-0000-0000-000065070000}"/>
    <cellStyle name="m_Proj10_Merg Cons_LANCE_Model_v0.6.DCF.MASTER.Name" xfId="2087" xr:uid="{00000000-0005-0000-0000-000066070000}"/>
    <cellStyle name="m_Proj10_Merg Cons_LANCE_Model_v0.6.DCF.MASTER.Name_DCF &amp; Raios to CLX Tootsie_v1.33.xls" xfId="2088" xr:uid="{00000000-0005-0000-0000-000067070000}"/>
    <cellStyle name="m_Proj10_Merg Cons_LANCE_Model_v0.6.DCF.MASTER.Name_Tootsie_TWO_DAY_TTS_Solution_v1.34" xfId="2089" xr:uid="{00000000-0005-0000-0000-000068070000}"/>
    <cellStyle name="m_Proj10_Merg Cons_LANCE_Model_v0.6.DCF.MASTER.Name_Val_1_Book_Lecture_Notes_v3.06" xfId="2090" xr:uid="{00000000-0005-0000-0000-000069070000}"/>
    <cellStyle name="m_Proj10_Sensitivity" xfId="2091" xr:uid="{00000000-0005-0000-0000-00006A070000}"/>
    <cellStyle name="m_Proj10_Sensitivity_LANCE_Model_v0.6.DCF.MASTER.Name" xfId="2092" xr:uid="{00000000-0005-0000-0000-00006B070000}"/>
    <cellStyle name="m_Proj10_Sensitivity_LANCE_Model_v0.6.DCF.MASTER.Name_DCF &amp; Raios to CLX Tootsie_v1.33.xls" xfId="2093" xr:uid="{00000000-0005-0000-0000-00006C070000}"/>
    <cellStyle name="m_Proj10_Sensitivity_LANCE_Model_v0.6.DCF.MASTER.Name_Tootsie_TWO_DAY_TTS_Solution_v1.34" xfId="2094" xr:uid="{00000000-0005-0000-0000-00006D070000}"/>
    <cellStyle name="m_Proj10_Sensitivity_LANCE_Model_v0.6.DCF.MASTER.Name_Val_1_Book_Lecture_Notes_v3.06" xfId="2095" xr:uid="{00000000-0005-0000-0000-00006E070000}"/>
    <cellStyle name="m_Proj10_show-hold" xfId="2096" xr:uid="{00000000-0005-0000-0000-00006F070000}"/>
    <cellStyle name="m_Proj10_show-hold_LANCE_Model_v0.6.DCF.MASTER.Name" xfId="2097" xr:uid="{00000000-0005-0000-0000-000070070000}"/>
    <cellStyle name="m_Proj10_show-hold_LANCE_Model_v0.6.DCF.MASTER.Name_DCF &amp; Raios to CLX Tootsie_v1.33.xls" xfId="2098" xr:uid="{00000000-0005-0000-0000-000071070000}"/>
    <cellStyle name="m_Proj10_show-hold_LANCE_Model_v0.6.DCF.MASTER.Name_Tootsie_TWO_DAY_TTS_Solution_v1.34" xfId="2099" xr:uid="{00000000-0005-0000-0000-000072070000}"/>
    <cellStyle name="m_Proj10_show-hold_LANCE_Model_v0.6.DCF.MASTER.Name_Val_1_Book_Lecture_Notes_v3.06" xfId="2100" xr:uid="{00000000-0005-0000-0000-000073070000}"/>
    <cellStyle name="m_Proj10_WACC-CableCar" xfId="2101" xr:uid="{00000000-0005-0000-0000-000074070000}"/>
    <cellStyle name="m_Proj10_WACC-CableCar_LANCE_Model_v0.6.DCF.MASTER.Name" xfId="2102" xr:uid="{00000000-0005-0000-0000-000075070000}"/>
    <cellStyle name="m_Proj10_WACC-CableCar_LANCE_Model_v0.6.DCF.MASTER.Name_DCF &amp; Raios to CLX Tootsie_v1.33.xls" xfId="2103" xr:uid="{00000000-0005-0000-0000-000076070000}"/>
    <cellStyle name="m_Proj10_WACC-CableCar_LANCE_Model_v0.6.DCF.MASTER.Name_Tootsie_TWO_DAY_TTS_Solution_v1.34" xfId="2104" xr:uid="{00000000-0005-0000-0000-000077070000}"/>
    <cellStyle name="m_Proj10_WACC-RAD (2)" xfId="2105" xr:uid="{00000000-0005-0000-0000-000078070000}"/>
    <cellStyle name="m_Proj10_WACC-RAD (2)_LANCE_Model_v0.6.DCF.MASTER.Name" xfId="2106" xr:uid="{00000000-0005-0000-0000-000079070000}"/>
    <cellStyle name="m_Proj10_WACC-RAD (2)_LANCE_Model_v0.6.DCF.MASTER.Name_DCF &amp; Raios to CLX Tootsie_v1.33.xls" xfId="2107" xr:uid="{00000000-0005-0000-0000-00007A070000}"/>
    <cellStyle name="m_Proj10_WACC-RAD (2)_LANCE_Model_v0.6.DCF.MASTER.Name_Tootsie_TWO_DAY_TTS_Solution_v1.34" xfId="2108" xr:uid="{00000000-0005-0000-0000-00007B070000}"/>
    <cellStyle name="m_Proj10_WACC-RAD (2)_LANCE_Model_v0.6.DCF.MASTER.Name_Val_1_Book_Lecture_Notes_v3.06" xfId="2109" xr:uid="{00000000-0005-0000-0000-00007C070000}"/>
    <cellStyle name="m_Sensitivity" xfId="2110" xr:uid="{00000000-0005-0000-0000-00007D070000}"/>
    <cellStyle name="m_Sensitivity_LANCE_Model_v0.6.DCF.MASTER.Name" xfId="2111" xr:uid="{00000000-0005-0000-0000-00007E070000}"/>
    <cellStyle name="m_Sensitivity_LANCE_Model_v0.6.DCF.MASTER.Name_DCF &amp; Raios to CLX Tootsie_v1.33.xls" xfId="2112" xr:uid="{00000000-0005-0000-0000-00007F070000}"/>
    <cellStyle name="m_Sensitivity_LANCE_Model_v0.6.DCF.MASTER.Name_Tootsie_TWO_DAY_TTS_Solution_v1.34" xfId="2113" xr:uid="{00000000-0005-0000-0000-000080070000}"/>
    <cellStyle name="m_Sensitivity_LANCE_Model_v0.6.DCF.MASTER.Name_Val_1_Book_Lecture_Notes_v3.06" xfId="2114" xr:uid="{00000000-0005-0000-0000-000081070000}"/>
    <cellStyle name="m_show-hold" xfId="2115" xr:uid="{00000000-0005-0000-0000-000082070000}"/>
    <cellStyle name="m_show-hold_LANCE_Model_v0.6.DCF.MASTER.Name" xfId="2116" xr:uid="{00000000-0005-0000-0000-000083070000}"/>
    <cellStyle name="m_show-hold_LANCE_Model_v0.6.DCF.MASTER.Name_DCF &amp; Raios to CLX Tootsie_v1.33.xls" xfId="2117" xr:uid="{00000000-0005-0000-0000-000084070000}"/>
    <cellStyle name="m_show-hold_LANCE_Model_v0.6.DCF.MASTER.Name_Tootsie_TWO_DAY_TTS_Solution_v1.34" xfId="2118" xr:uid="{00000000-0005-0000-0000-000085070000}"/>
    <cellStyle name="m_show-hold_LANCE_Model_v0.6.DCF.MASTER.Name_Val_1_Book_Lecture_Notes_v3.06" xfId="2119" xr:uid="{00000000-0005-0000-0000-000086070000}"/>
    <cellStyle name="m_WACC-CableCar" xfId="2120" xr:uid="{00000000-0005-0000-0000-000087070000}"/>
    <cellStyle name="m_WACC-CableCar_LANCE_Model_v0.6.DCF.MASTER.Name" xfId="2121" xr:uid="{00000000-0005-0000-0000-000088070000}"/>
    <cellStyle name="m_WACC-CableCar_LANCE_Model_v0.6.DCF.MASTER.Name_DCF &amp; Raios to CLX Tootsie_v1.33.xls" xfId="2122" xr:uid="{00000000-0005-0000-0000-000089070000}"/>
    <cellStyle name="m_WACC-CableCar_LANCE_Model_v0.6.DCF.MASTER.Name_Tootsie_TWO_DAY_TTS_Solution_v1.34" xfId="2123" xr:uid="{00000000-0005-0000-0000-00008A070000}"/>
    <cellStyle name="m_WACC-RAD (2)" xfId="2124" xr:uid="{00000000-0005-0000-0000-00008B070000}"/>
    <cellStyle name="m_WACC-RAD (2)_LANCE_Model_v0.6.DCF.MASTER.Name" xfId="2125" xr:uid="{00000000-0005-0000-0000-00008C070000}"/>
    <cellStyle name="m_WACC-RAD (2)_LANCE_Model_v0.6.DCF.MASTER.Name_DCF &amp; Raios to CLX Tootsie_v1.33.xls" xfId="2126" xr:uid="{00000000-0005-0000-0000-00008D070000}"/>
    <cellStyle name="m_WACC-RAD (2)_LANCE_Model_v0.6.DCF.MASTER.Name_Tootsie_TWO_DAY_TTS_Solution_v1.34" xfId="2127" xr:uid="{00000000-0005-0000-0000-00008E070000}"/>
    <cellStyle name="m_WACC-RAD (2)_LANCE_Model_v0.6.DCF.MASTER.Name_Val_1_Book_Lecture_Notes_v3.06" xfId="2128" xr:uid="{00000000-0005-0000-0000-00008F070000}"/>
    <cellStyle name="Map Labels" xfId="2129" xr:uid="{00000000-0005-0000-0000-000090070000}"/>
    <cellStyle name="Map Legend" xfId="2130" xr:uid="{00000000-0005-0000-0000-000091070000}"/>
    <cellStyle name="Merrill" xfId="2131" xr:uid="{00000000-0005-0000-0000-000092070000}"/>
    <cellStyle name="Millares [0]_19 02 01" xfId="2132" xr:uid="{00000000-0005-0000-0000-000093070000}"/>
    <cellStyle name="Millares [2]" xfId="2133" xr:uid="{00000000-0005-0000-0000-000094070000}"/>
    <cellStyle name="Millares_19 02 01" xfId="2134" xr:uid="{00000000-0005-0000-0000-000095070000}"/>
    <cellStyle name="Mix" xfId="2135" xr:uid="{00000000-0005-0000-0000-000096070000}"/>
    <cellStyle name="mm" xfId="2136" xr:uid="{00000000-0005-0000-0000-000097070000}"/>
    <cellStyle name="MM/DD" xfId="188" xr:uid="{00000000-0005-0000-0000-000098070000}"/>
    <cellStyle name="MM/DD 2" xfId="189" xr:uid="{00000000-0005-0000-0000-000099070000}"/>
    <cellStyle name="MM/DD 2 2" xfId="190" xr:uid="{00000000-0005-0000-0000-00009A070000}"/>
    <cellStyle name="MM/DD 3" xfId="191" xr:uid="{00000000-0005-0000-0000-00009B070000}"/>
    <cellStyle name="mm/dd/yy" xfId="2137" xr:uid="{00000000-0005-0000-0000-00009C070000}"/>
    <cellStyle name="mm/dd/yy 2" xfId="2138" xr:uid="{00000000-0005-0000-0000-00009D070000}"/>
    <cellStyle name="mm/dd/yy 3" xfId="2139" xr:uid="{00000000-0005-0000-0000-00009E070000}"/>
    <cellStyle name="MM/YY" xfId="192" xr:uid="{00000000-0005-0000-0000-00009F070000}"/>
    <cellStyle name="MM/YY 2" xfId="193" xr:uid="{00000000-0005-0000-0000-0000A0070000}"/>
    <cellStyle name="MM/YY 2 2" xfId="194" xr:uid="{00000000-0005-0000-0000-0000A1070000}"/>
    <cellStyle name="MM/YY 3" xfId="195" xr:uid="{00000000-0005-0000-0000-0000A2070000}"/>
    <cellStyle name="MMM 'YY" xfId="196" xr:uid="{00000000-0005-0000-0000-0000A3070000}"/>
    <cellStyle name="MMM 'YY 2" xfId="197" xr:uid="{00000000-0005-0000-0000-0000A4070000}"/>
    <cellStyle name="MMM 'YY 2 2" xfId="198" xr:uid="{00000000-0005-0000-0000-0000A5070000}"/>
    <cellStyle name="MMM 'YY 3" xfId="199" xr:uid="{00000000-0005-0000-0000-0000A6070000}"/>
    <cellStyle name="Moeda [0]_alocação por fontes" xfId="2140" xr:uid="{00000000-0005-0000-0000-0000A7070000}"/>
    <cellStyle name="Moeda_alocação por fontes" xfId="2141" xr:uid="{00000000-0005-0000-0000-0000A8070000}"/>
    <cellStyle name="Moneda [0]_19 02 01" xfId="2142" xr:uid="{00000000-0005-0000-0000-0000A9070000}"/>
    <cellStyle name="Moneda_19 02 01" xfId="2143" xr:uid="{00000000-0005-0000-0000-0000AA070000}"/>
    <cellStyle name="mult" xfId="2144" xr:uid="{00000000-0005-0000-0000-0000AB070000}"/>
    <cellStyle name="Multiple" xfId="2145" xr:uid="{00000000-0005-0000-0000-0000AC070000}"/>
    <cellStyle name="Multiple []" xfId="2146" xr:uid="{00000000-0005-0000-0000-0000AD070000}"/>
    <cellStyle name="Multiple [0]" xfId="2147" xr:uid="{00000000-0005-0000-0000-0000AE070000}"/>
    <cellStyle name="Multiple [0] []" xfId="2148" xr:uid="{00000000-0005-0000-0000-0000AF070000}"/>
    <cellStyle name="Multiple [0]_LANCE_Model_v0.6.DCF.MASTER.Name" xfId="2149" xr:uid="{00000000-0005-0000-0000-0000B0070000}"/>
    <cellStyle name="Multiple [1]" xfId="2150" xr:uid="{00000000-0005-0000-0000-0000B1070000}"/>
    <cellStyle name="Multiple [1] []" xfId="2151" xr:uid="{00000000-0005-0000-0000-0000B2070000}"/>
    <cellStyle name="Multiple [1]_LANCE_Model_v0.6.DCF.MASTER.Name" xfId="2152" xr:uid="{00000000-0005-0000-0000-0000B3070000}"/>
    <cellStyle name="Multiple_CapitalSum" xfId="2153" xr:uid="{00000000-0005-0000-0000-0000B4070000}"/>
    <cellStyle name="M-W" xfId="200" xr:uid="{00000000-0005-0000-0000-0000B5070000}"/>
    <cellStyle name="M-W 2" xfId="2154" xr:uid="{00000000-0005-0000-0000-0000B6070000}"/>
    <cellStyle name="M-W 3" xfId="2155" xr:uid="{00000000-0005-0000-0000-0000B7070000}"/>
    <cellStyle name="Neutra" xfId="2156" xr:uid="{00000000-0005-0000-0000-0000B8070000}"/>
    <cellStyle name="Neutral 2" xfId="201" xr:uid="{00000000-0005-0000-0000-0000B9070000}"/>
    <cellStyle name="Neutral 2 2" xfId="202" xr:uid="{00000000-0005-0000-0000-0000BA070000}"/>
    <cellStyle name="Neutral 3" xfId="2157" xr:uid="{00000000-0005-0000-0000-0000BB070000}"/>
    <cellStyle name="NewColumnHeaderNormal" xfId="203" xr:uid="{00000000-0005-0000-0000-0000BC070000}"/>
    <cellStyle name="NewColumnHeaderNormal 2" xfId="2158" xr:uid="{00000000-0005-0000-0000-0000BD070000}"/>
    <cellStyle name="NewSectionHeaderNormal" xfId="204" xr:uid="{00000000-0005-0000-0000-0000BE070000}"/>
    <cellStyle name="NewSectionHeaderNormal 2" xfId="2159" xr:uid="{00000000-0005-0000-0000-0000BF070000}"/>
    <cellStyle name="NewSectionHeaderNormal 3" xfId="2160" xr:uid="{00000000-0005-0000-0000-0000C0070000}"/>
    <cellStyle name="NewTitleNormal" xfId="205" xr:uid="{00000000-0005-0000-0000-0000C1070000}"/>
    <cellStyle name="NewTitleNormal 2" xfId="2161" xr:uid="{00000000-0005-0000-0000-0000C2070000}"/>
    <cellStyle name="No-definido" xfId="2162" xr:uid="{00000000-0005-0000-0000-0000C3070000}"/>
    <cellStyle name="Normal" xfId="0" builtinId="0"/>
    <cellStyle name="Normal - Style1" xfId="2163" xr:uid="{00000000-0005-0000-0000-0000C5070000}"/>
    <cellStyle name="Normal - Style1 2" xfId="2164" xr:uid="{00000000-0005-0000-0000-0000C6070000}"/>
    <cellStyle name="Normal 10" xfId="206" xr:uid="{00000000-0005-0000-0000-0000C7070000}"/>
    <cellStyle name="Normal 10 10 3" xfId="2165" xr:uid="{00000000-0005-0000-0000-0000C8070000}"/>
    <cellStyle name="Normal 10 2" xfId="207" xr:uid="{00000000-0005-0000-0000-0000C9070000}"/>
    <cellStyle name="Normal 10 2 2" xfId="208" xr:uid="{00000000-0005-0000-0000-0000CA070000}"/>
    <cellStyle name="Normal 10 2 2 2" xfId="2166" xr:uid="{00000000-0005-0000-0000-0000CB070000}"/>
    <cellStyle name="Normal 10 2 3" xfId="2167" xr:uid="{00000000-0005-0000-0000-0000CC070000}"/>
    <cellStyle name="Normal 10 2 4" xfId="2168" xr:uid="{00000000-0005-0000-0000-0000CD070000}"/>
    <cellStyle name="Normal 10 2 5" xfId="2169" xr:uid="{00000000-0005-0000-0000-0000CE070000}"/>
    <cellStyle name="Normal 10 3" xfId="209" xr:uid="{00000000-0005-0000-0000-0000CF070000}"/>
    <cellStyle name="Normal 10 3 2" xfId="2170" xr:uid="{00000000-0005-0000-0000-0000D0070000}"/>
    <cellStyle name="Normal 10 3 2 2" xfId="2171" xr:uid="{00000000-0005-0000-0000-0000D1070000}"/>
    <cellStyle name="Normal 10 3 2 2 2" xfId="2172" xr:uid="{00000000-0005-0000-0000-0000D2070000}"/>
    <cellStyle name="Normal 10 3 2 2 2 2" xfId="2173" xr:uid="{00000000-0005-0000-0000-0000D3070000}"/>
    <cellStyle name="Normal 10 3 2 2 3" xfId="2174" xr:uid="{00000000-0005-0000-0000-0000D4070000}"/>
    <cellStyle name="Normal 10 3 2 3" xfId="2175" xr:uid="{00000000-0005-0000-0000-0000D5070000}"/>
    <cellStyle name="Normal 10 3 2 3 2" xfId="2176" xr:uid="{00000000-0005-0000-0000-0000D6070000}"/>
    <cellStyle name="Normal 10 3 2 4" xfId="2177" xr:uid="{00000000-0005-0000-0000-0000D7070000}"/>
    <cellStyle name="Normal 10 3 3" xfId="2178" xr:uid="{00000000-0005-0000-0000-0000D8070000}"/>
    <cellStyle name="Normal 10 3 3 2" xfId="2179" xr:uid="{00000000-0005-0000-0000-0000D9070000}"/>
    <cellStyle name="Normal 10 3 3 2 2" xfId="2180" xr:uid="{00000000-0005-0000-0000-0000DA070000}"/>
    <cellStyle name="Normal 10 3 3 3" xfId="2181" xr:uid="{00000000-0005-0000-0000-0000DB070000}"/>
    <cellStyle name="Normal 10 3 4" xfId="2182" xr:uid="{00000000-0005-0000-0000-0000DC070000}"/>
    <cellStyle name="Normal 10 3 4 2" xfId="2183" xr:uid="{00000000-0005-0000-0000-0000DD070000}"/>
    <cellStyle name="Normal 10 3 5" xfId="2184" xr:uid="{00000000-0005-0000-0000-0000DE070000}"/>
    <cellStyle name="Normal 10 3 6" xfId="2185" xr:uid="{00000000-0005-0000-0000-0000DF070000}"/>
    <cellStyle name="Normal 10 4" xfId="2186" xr:uid="{00000000-0005-0000-0000-0000E0070000}"/>
    <cellStyle name="Normal 10 4 2" xfId="2187" xr:uid="{00000000-0005-0000-0000-0000E1070000}"/>
    <cellStyle name="Normal 10 4 2 2" xfId="2188" xr:uid="{00000000-0005-0000-0000-0000E2070000}"/>
    <cellStyle name="Normal 10 4 2 2 2" xfId="2189" xr:uid="{00000000-0005-0000-0000-0000E3070000}"/>
    <cellStyle name="Normal 10 4 2 2 2 2" xfId="2190" xr:uid="{00000000-0005-0000-0000-0000E4070000}"/>
    <cellStyle name="Normal 10 4 2 2 3" xfId="2191" xr:uid="{00000000-0005-0000-0000-0000E5070000}"/>
    <cellStyle name="Normal 10 4 2 3" xfId="2192" xr:uid="{00000000-0005-0000-0000-0000E6070000}"/>
    <cellStyle name="Normal 10 4 2 3 2" xfId="2193" xr:uid="{00000000-0005-0000-0000-0000E7070000}"/>
    <cellStyle name="Normal 10 4 2 4" xfId="2194" xr:uid="{00000000-0005-0000-0000-0000E8070000}"/>
    <cellStyle name="Normal 10 4 3" xfId="2195" xr:uid="{00000000-0005-0000-0000-0000E9070000}"/>
    <cellStyle name="Normal 10 4 3 2" xfId="2196" xr:uid="{00000000-0005-0000-0000-0000EA070000}"/>
    <cellStyle name="Normal 10 4 3 2 2" xfId="2197" xr:uid="{00000000-0005-0000-0000-0000EB070000}"/>
    <cellStyle name="Normal 10 4 3 3" xfId="2198" xr:uid="{00000000-0005-0000-0000-0000EC070000}"/>
    <cellStyle name="Normal 10 4 4" xfId="2199" xr:uid="{00000000-0005-0000-0000-0000ED070000}"/>
    <cellStyle name="Normal 10 4 4 2" xfId="2200" xr:uid="{00000000-0005-0000-0000-0000EE070000}"/>
    <cellStyle name="Normal 10 4 5" xfId="2201" xr:uid="{00000000-0005-0000-0000-0000EF070000}"/>
    <cellStyle name="Normal 10 5" xfId="2202" xr:uid="{00000000-0005-0000-0000-0000F0070000}"/>
    <cellStyle name="Normal 10 5 2" xfId="2203" xr:uid="{00000000-0005-0000-0000-0000F1070000}"/>
    <cellStyle name="Normal 10 5 2 2" xfId="2204" xr:uid="{00000000-0005-0000-0000-0000F2070000}"/>
    <cellStyle name="Normal 10 5 2 2 2" xfId="2205" xr:uid="{00000000-0005-0000-0000-0000F3070000}"/>
    <cellStyle name="Normal 10 5 2 2 2 2" xfId="2206" xr:uid="{00000000-0005-0000-0000-0000F4070000}"/>
    <cellStyle name="Normal 10 5 2 2 3" xfId="2207" xr:uid="{00000000-0005-0000-0000-0000F5070000}"/>
    <cellStyle name="Normal 10 5 2 3" xfId="2208" xr:uid="{00000000-0005-0000-0000-0000F6070000}"/>
    <cellStyle name="Normal 10 5 2 3 2" xfId="2209" xr:uid="{00000000-0005-0000-0000-0000F7070000}"/>
    <cellStyle name="Normal 10 5 2 4" xfId="2210" xr:uid="{00000000-0005-0000-0000-0000F8070000}"/>
    <cellStyle name="Normal 10 5 3" xfId="2211" xr:uid="{00000000-0005-0000-0000-0000F9070000}"/>
    <cellStyle name="Normal 10 5 3 2" xfId="2212" xr:uid="{00000000-0005-0000-0000-0000FA070000}"/>
    <cellStyle name="Normal 10 5 3 2 2" xfId="2213" xr:uid="{00000000-0005-0000-0000-0000FB070000}"/>
    <cellStyle name="Normal 10 5 3 3" xfId="2214" xr:uid="{00000000-0005-0000-0000-0000FC070000}"/>
    <cellStyle name="Normal 10 5 4" xfId="2215" xr:uid="{00000000-0005-0000-0000-0000FD070000}"/>
    <cellStyle name="Normal 10 5 4 2" xfId="2216" xr:uid="{00000000-0005-0000-0000-0000FE070000}"/>
    <cellStyle name="Normal 10 5 5" xfId="2217" xr:uid="{00000000-0005-0000-0000-0000FF070000}"/>
    <cellStyle name="Normal 10 5 6" xfId="2218" xr:uid="{00000000-0005-0000-0000-000000080000}"/>
    <cellStyle name="Normal 10 6" xfId="2219" xr:uid="{00000000-0005-0000-0000-000001080000}"/>
    <cellStyle name="Normal 10 6 2" xfId="2220" xr:uid="{00000000-0005-0000-0000-000002080000}"/>
    <cellStyle name="Normal 10 6 2 2" xfId="2221" xr:uid="{00000000-0005-0000-0000-000003080000}"/>
    <cellStyle name="Normal 10 6 2 2 2" xfId="2222" xr:uid="{00000000-0005-0000-0000-000004080000}"/>
    <cellStyle name="Normal 10 6 2 3" xfId="2223" xr:uid="{00000000-0005-0000-0000-000005080000}"/>
    <cellStyle name="Normal 10 6 3" xfId="2224" xr:uid="{00000000-0005-0000-0000-000006080000}"/>
    <cellStyle name="Normal 10 6 3 2" xfId="2225" xr:uid="{00000000-0005-0000-0000-000007080000}"/>
    <cellStyle name="Normal 10 6 4" xfId="2226" xr:uid="{00000000-0005-0000-0000-000008080000}"/>
    <cellStyle name="Normal 10 7" xfId="2227" xr:uid="{00000000-0005-0000-0000-000009080000}"/>
    <cellStyle name="Normal 10 7 2" xfId="2228" xr:uid="{00000000-0005-0000-0000-00000A080000}"/>
    <cellStyle name="Normal 10 7 2 2" xfId="2229" xr:uid="{00000000-0005-0000-0000-00000B080000}"/>
    <cellStyle name="Normal 10 7 3" xfId="2230" xr:uid="{00000000-0005-0000-0000-00000C080000}"/>
    <cellStyle name="Normal 10 8" xfId="2231" xr:uid="{00000000-0005-0000-0000-00000D080000}"/>
    <cellStyle name="Normal 10 8 2" xfId="2232" xr:uid="{00000000-0005-0000-0000-00000E080000}"/>
    <cellStyle name="Normal 10 9" xfId="2233" xr:uid="{00000000-0005-0000-0000-00000F080000}"/>
    <cellStyle name="Normal 100" xfId="2234" xr:uid="{00000000-0005-0000-0000-000010080000}"/>
    <cellStyle name="Normal 100 2" xfId="2235" xr:uid="{00000000-0005-0000-0000-000011080000}"/>
    <cellStyle name="Normal 100 2 2" xfId="2236" xr:uid="{00000000-0005-0000-0000-000012080000}"/>
    <cellStyle name="Normal 100 3" xfId="2237" xr:uid="{00000000-0005-0000-0000-000013080000}"/>
    <cellStyle name="Normal 100 3 2" xfId="2238" xr:uid="{00000000-0005-0000-0000-000014080000}"/>
    <cellStyle name="Normal 100 3 2 2" xfId="2239" xr:uid="{00000000-0005-0000-0000-000015080000}"/>
    <cellStyle name="Normal 100 3 2 2 2" xfId="2240" xr:uid="{00000000-0005-0000-0000-000016080000}"/>
    <cellStyle name="Normal 100 3 2 2 2 2" xfId="2241" xr:uid="{00000000-0005-0000-0000-000017080000}"/>
    <cellStyle name="Normal 100 3 2 2 3" xfId="2242" xr:uid="{00000000-0005-0000-0000-000018080000}"/>
    <cellStyle name="Normal 100 3 2 3" xfId="2243" xr:uid="{00000000-0005-0000-0000-000019080000}"/>
    <cellStyle name="Normal 100 3 2 3 2" xfId="2244" xr:uid="{00000000-0005-0000-0000-00001A080000}"/>
    <cellStyle name="Normal 100 3 2 4" xfId="2245" xr:uid="{00000000-0005-0000-0000-00001B080000}"/>
    <cellStyle name="Normal 100 3 3" xfId="2246" xr:uid="{00000000-0005-0000-0000-00001C080000}"/>
    <cellStyle name="Normal 100 3 3 2" xfId="2247" xr:uid="{00000000-0005-0000-0000-00001D080000}"/>
    <cellStyle name="Normal 100 3 3 2 2" xfId="2248" xr:uid="{00000000-0005-0000-0000-00001E080000}"/>
    <cellStyle name="Normal 100 3 3 3" xfId="2249" xr:uid="{00000000-0005-0000-0000-00001F080000}"/>
    <cellStyle name="Normal 100 3 4" xfId="2250" xr:uid="{00000000-0005-0000-0000-000020080000}"/>
    <cellStyle name="Normal 100 3 4 2" xfId="2251" xr:uid="{00000000-0005-0000-0000-000021080000}"/>
    <cellStyle name="Normal 100 3 5" xfId="2252" xr:uid="{00000000-0005-0000-0000-000022080000}"/>
    <cellStyle name="Normal 100 4" xfId="2253" xr:uid="{00000000-0005-0000-0000-000023080000}"/>
    <cellStyle name="Normal 100 4 2" xfId="2254" xr:uid="{00000000-0005-0000-0000-000024080000}"/>
    <cellStyle name="Normal 100 4 2 2" xfId="2255" xr:uid="{00000000-0005-0000-0000-000025080000}"/>
    <cellStyle name="Normal 100 4 2 2 2" xfId="2256" xr:uid="{00000000-0005-0000-0000-000026080000}"/>
    <cellStyle name="Normal 100 4 2 2 2 2" xfId="2257" xr:uid="{00000000-0005-0000-0000-000027080000}"/>
    <cellStyle name="Normal 100 4 2 2 3" xfId="2258" xr:uid="{00000000-0005-0000-0000-000028080000}"/>
    <cellStyle name="Normal 100 4 2 3" xfId="2259" xr:uid="{00000000-0005-0000-0000-000029080000}"/>
    <cellStyle name="Normal 100 4 2 3 2" xfId="2260" xr:uid="{00000000-0005-0000-0000-00002A080000}"/>
    <cellStyle name="Normal 100 4 2 4" xfId="2261" xr:uid="{00000000-0005-0000-0000-00002B080000}"/>
    <cellStyle name="Normal 100 4 3" xfId="2262" xr:uid="{00000000-0005-0000-0000-00002C080000}"/>
    <cellStyle name="Normal 100 4 3 2" xfId="2263" xr:uid="{00000000-0005-0000-0000-00002D080000}"/>
    <cellStyle name="Normal 100 4 3 2 2" xfId="2264" xr:uid="{00000000-0005-0000-0000-00002E080000}"/>
    <cellStyle name="Normal 100 4 3 3" xfId="2265" xr:uid="{00000000-0005-0000-0000-00002F080000}"/>
    <cellStyle name="Normal 100 4 4" xfId="2266" xr:uid="{00000000-0005-0000-0000-000030080000}"/>
    <cellStyle name="Normal 100 4 4 2" xfId="2267" xr:uid="{00000000-0005-0000-0000-000031080000}"/>
    <cellStyle name="Normal 100 4 5" xfId="2268" xr:uid="{00000000-0005-0000-0000-000032080000}"/>
    <cellStyle name="Normal 100 5" xfId="2269" xr:uid="{00000000-0005-0000-0000-000033080000}"/>
    <cellStyle name="Normal 100 5 2" xfId="2270" xr:uid="{00000000-0005-0000-0000-000034080000}"/>
    <cellStyle name="Normal 100 5 2 2" xfId="2271" xr:uid="{00000000-0005-0000-0000-000035080000}"/>
    <cellStyle name="Normal 100 5 2 2 2" xfId="2272" xr:uid="{00000000-0005-0000-0000-000036080000}"/>
    <cellStyle name="Normal 100 5 2 2 2 2" xfId="2273" xr:uid="{00000000-0005-0000-0000-000037080000}"/>
    <cellStyle name="Normal 100 5 2 2 3" xfId="2274" xr:uid="{00000000-0005-0000-0000-000038080000}"/>
    <cellStyle name="Normal 100 5 2 3" xfId="2275" xr:uid="{00000000-0005-0000-0000-000039080000}"/>
    <cellStyle name="Normal 100 5 2 3 2" xfId="2276" xr:uid="{00000000-0005-0000-0000-00003A080000}"/>
    <cellStyle name="Normal 100 5 2 4" xfId="2277" xr:uid="{00000000-0005-0000-0000-00003B080000}"/>
    <cellStyle name="Normal 100 5 3" xfId="2278" xr:uid="{00000000-0005-0000-0000-00003C080000}"/>
    <cellStyle name="Normal 100 5 3 2" xfId="2279" xr:uid="{00000000-0005-0000-0000-00003D080000}"/>
    <cellStyle name="Normal 100 5 3 2 2" xfId="2280" xr:uid="{00000000-0005-0000-0000-00003E080000}"/>
    <cellStyle name="Normal 100 5 3 3" xfId="2281" xr:uid="{00000000-0005-0000-0000-00003F080000}"/>
    <cellStyle name="Normal 100 5 4" xfId="2282" xr:uid="{00000000-0005-0000-0000-000040080000}"/>
    <cellStyle name="Normal 100 5 4 2" xfId="2283" xr:uid="{00000000-0005-0000-0000-000041080000}"/>
    <cellStyle name="Normal 100 5 5" xfId="2284" xr:uid="{00000000-0005-0000-0000-000042080000}"/>
    <cellStyle name="Normal 100 6" xfId="2285" xr:uid="{00000000-0005-0000-0000-000043080000}"/>
    <cellStyle name="Normal 100 6 2" xfId="2286" xr:uid="{00000000-0005-0000-0000-000044080000}"/>
    <cellStyle name="Normal 100 6 2 2" xfId="2287" xr:uid="{00000000-0005-0000-0000-000045080000}"/>
    <cellStyle name="Normal 100 6 2 2 2" xfId="2288" xr:uid="{00000000-0005-0000-0000-000046080000}"/>
    <cellStyle name="Normal 100 6 2 3" xfId="2289" xr:uid="{00000000-0005-0000-0000-000047080000}"/>
    <cellStyle name="Normal 100 6 3" xfId="2290" xr:uid="{00000000-0005-0000-0000-000048080000}"/>
    <cellStyle name="Normal 100 6 3 2" xfId="2291" xr:uid="{00000000-0005-0000-0000-000049080000}"/>
    <cellStyle name="Normal 100 6 4" xfId="2292" xr:uid="{00000000-0005-0000-0000-00004A080000}"/>
    <cellStyle name="Normal 100 7" xfId="2293" xr:uid="{00000000-0005-0000-0000-00004B080000}"/>
    <cellStyle name="Normal 100 7 2" xfId="2294" xr:uid="{00000000-0005-0000-0000-00004C080000}"/>
    <cellStyle name="Normal 100 7 2 2" xfId="2295" xr:uid="{00000000-0005-0000-0000-00004D080000}"/>
    <cellStyle name="Normal 100 7 3" xfId="2296" xr:uid="{00000000-0005-0000-0000-00004E080000}"/>
    <cellStyle name="Normal 100 8" xfId="2297" xr:uid="{00000000-0005-0000-0000-00004F080000}"/>
    <cellStyle name="Normal 100 8 2" xfId="2298" xr:uid="{00000000-0005-0000-0000-000050080000}"/>
    <cellStyle name="Normal 100 9" xfId="2299" xr:uid="{00000000-0005-0000-0000-000051080000}"/>
    <cellStyle name="Normal 101" xfId="2300" xr:uid="{00000000-0005-0000-0000-000052080000}"/>
    <cellStyle name="Normal 101 2" xfId="2301" xr:uid="{00000000-0005-0000-0000-000053080000}"/>
    <cellStyle name="Normal 101 2 2" xfId="2302" xr:uid="{00000000-0005-0000-0000-000054080000}"/>
    <cellStyle name="Normal 101 3" xfId="2303" xr:uid="{00000000-0005-0000-0000-000055080000}"/>
    <cellStyle name="Normal 101 3 2" xfId="2304" xr:uid="{00000000-0005-0000-0000-000056080000}"/>
    <cellStyle name="Normal 101 3 2 2" xfId="2305" xr:uid="{00000000-0005-0000-0000-000057080000}"/>
    <cellStyle name="Normal 101 3 2 2 2" xfId="2306" xr:uid="{00000000-0005-0000-0000-000058080000}"/>
    <cellStyle name="Normal 101 3 2 2 2 2" xfId="2307" xr:uid="{00000000-0005-0000-0000-000059080000}"/>
    <cellStyle name="Normal 101 3 2 2 3" xfId="2308" xr:uid="{00000000-0005-0000-0000-00005A080000}"/>
    <cellStyle name="Normal 101 3 2 3" xfId="2309" xr:uid="{00000000-0005-0000-0000-00005B080000}"/>
    <cellStyle name="Normal 101 3 2 3 2" xfId="2310" xr:uid="{00000000-0005-0000-0000-00005C080000}"/>
    <cellStyle name="Normal 101 3 2 4" xfId="2311" xr:uid="{00000000-0005-0000-0000-00005D080000}"/>
    <cellStyle name="Normal 101 3 3" xfId="2312" xr:uid="{00000000-0005-0000-0000-00005E080000}"/>
    <cellStyle name="Normal 101 3 3 2" xfId="2313" xr:uid="{00000000-0005-0000-0000-00005F080000}"/>
    <cellStyle name="Normal 101 3 3 2 2" xfId="2314" xr:uid="{00000000-0005-0000-0000-000060080000}"/>
    <cellStyle name="Normal 101 3 3 3" xfId="2315" xr:uid="{00000000-0005-0000-0000-000061080000}"/>
    <cellStyle name="Normal 101 3 4" xfId="2316" xr:uid="{00000000-0005-0000-0000-000062080000}"/>
    <cellStyle name="Normal 101 3 4 2" xfId="2317" xr:uid="{00000000-0005-0000-0000-000063080000}"/>
    <cellStyle name="Normal 101 3 5" xfId="2318" xr:uid="{00000000-0005-0000-0000-000064080000}"/>
    <cellStyle name="Normal 101 4" xfId="2319" xr:uid="{00000000-0005-0000-0000-000065080000}"/>
    <cellStyle name="Normal 101 4 2" xfId="2320" xr:uid="{00000000-0005-0000-0000-000066080000}"/>
    <cellStyle name="Normal 101 4 2 2" xfId="2321" xr:uid="{00000000-0005-0000-0000-000067080000}"/>
    <cellStyle name="Normal 101 4 2 2 2" xfId="2322" xr:uid="{00000000-0005-0000-0000-000068080000}"/>
    <cellStyle name="Normal 101 4 2 2 2 2" xfId="2323" xr:uid="{00000000-0005-0000-0000-000069080000}"/>
    <cellStyle name="Normal 101 4 2 2 3" xfId="2324" xr:uid="{00000000-0005-0000-0000-00006A080000}"/>
    <cellStyle name="Normal 101 4 2 3" xfId="2325" xr:uid="{00000000-0005-0000-0000-00006B080000}"/>
    <cellStyle name="Normal 101 4 2 3 2" xfId="2326" xr:uid="{00000000-0005-0000-0000-00006C080000}"/>
    <cellStyle name="Normal 101 4 2 4" xfId="2327" xr:uid="{00000000-0005-0000-0000-00006D080000}"/>
    <cellStyle name="Normal 101 4 3" xfId="2328" xr:uid="{00000000-0005-0000-0000-00006E080000}"/>
    <cellStyle name="Normal 101 4 3 2" xfId="2329" xr:uid="{00000000-0005-0000-0000-00006F080000}"/>
    <cellStyle name="Normal 101 4 3 2 2" xfId="2330" xr:uid="{00000000-0005-0000-0000-000070080000}"/>
    <cellStyle name="Normal 101 4 3 3" xfId="2331" xr:uid="{00000000-0005-0000-0000-000071080000}"/>
    <cellStyle name="Normal 101 4 4" xfId="2332" xr:uid="{00000000-0005-0000-0000-000072080000}"/>
    <cellStyle name="Normal 101 4 4 2" xfId="2333" xr:uid="{00000000-0005-0000-0000-000073080000}"/>
    <cellStyle name="Normal 101 4 5" xfId="2334" xr:uid="{00000000-0005-0000-0000-000074080000}"/>
    <cellStyle name="Normal 101 5" xfId="2335" xr:uid="{00000000-0005-0000-0000-000075080000}"/>
    <cellStyle name="Normal 101 5 2" xfId="2336" xr:uid="{00000000-0005-0000-0000-000076080000}"/>
    <cellStyle name="Normal 101 5 2 2" xfId="2337" xr:uid="{00000000-0005-0000-0000-000077080000}"/>
    <cellStyle name="Normal 101 5 2 2 2" xfId="2338" xr:uid="{00000000-0005-0000-0000-000078080000}"/>
    <cellStyle name="Normal 101 5 2 2 2 2" xfId="2339" xr:uid="{00000000-0005-0000-0000-000079080000}"/>
    <cellStyle name="Normal 101 5 2 2 3" xfId="2340" xr:uid="{00000000-0005-0000-0000-00007A080000}"/>
    <cellStyle name="Normal 101 5 2 3" xfId="2341" xr:uid="{00000000-0005-0000-0000-00007B080000}"/>
    <cellStyle name="Normal 101 5 2 3 2" xfId="2342" xr:uid="{00000000-0005-0000-0000-00007C080000}"/>
    <cellStyle name="Normal 101 5 2 4" xfId="2343" xr:uid="{00000000-0005-0000-0000-00007D080000}"/>
    <cellStyle name="Normal 101 5 3" xfId="2344" xr:uid="{00000000-0005-0000-0000-00007E080000}"/>
    <cellStyle name="Normal 101 5 3 2" xfId="2345" xr:uid="{00000000-0005-0000-0000-00007F080000}"/>
    <cellStyle name="Normal 101 5 3 2 2" xfId="2346" xr:uid="{00000000-0005-0000-0000-000080080000}"/>
    <cellStyle name="Normal 101 5 3 3" xfId="2347" xr:uid="{00000000-0005-0000-0000-000081080000}"/>
    <cellStyle name="Normal 101 5 4" xfId="2348" xr:uid="{00000000-0005-0000-0000-000082080000}"/>
    <cellStyle name="Normal 101 5 4 2" xfId="2349" xr:uid="{00000000-0005-0000-0000-000083080000}"/>
    <cellStyle name="Normal 101 5 5" xfId="2350" xr:uid="{00000000-0005-0000-0000-000084080000}"/>
    <cellStyle name="Normal 101 6" xfId="2351" xr:uid="{00000000-0005-0000-0000-000085080000}"/>
    <cellStyle name="Normal 101 6 2" xfId="2352" xr:uid="{00000000-0005-0000-0000-000086080000}"/>
    <cellStyle name="Normal 101 6 2 2" xfId="2353" xr:uid="{00000000-0005-0000-0000-000087080000}"/>
    <cellStyle name="Normal 101 6 2 2 2" xfId="2354" xr:uid="{00000000-0005-0000-0000-000088080000}"/>
    <cellStyle name="Normal 101 6 2 3" xfId="2355" xr:uid="{00000000-0005-0000-0000-000089080000}"/>
    <cellStyle name="Normal 101 6 3" xfId="2356" xr:uid="{00000000-0005-0000-0000-00008A080000}"/>
    <cellStyle name="Normal 101 6 3 2" xfId="2357" xr:uid="{00000000-0005-0000-0000-00008B080000}"/>
    <cellStyle name="Normal 101 6 4" xfId="2358" xr:uid="{00000000-0005-0000-0000-00008C080000}"/>
    <cellStyle name="Normal 101 7" xfId="2359" xr:uid="{00000000-0005-0000-0000-00008D080000}"/>
    <cellStyle name="Normal 101 7 2" xfId="2360" xr:uid="{00000000-0005-0000-0000-00008E080000}"/>
    <cellStyle name="Normal 101 7 2 2" xfId="2361" xr:uid="{00000000-0005-0000-0000-00008F080000}"/>
    <cellStyle name="Normal 101 7 3" xfId="2362" xr:uid="{00000000-0005-0000-0000-000090080000}"/>
    <cellStyle name="Normal 101 8" xfId="2363" xr:uid="{00000000-0005-0000-0000-000091080000}"/>
    <cellStyle name="Normal 101 8 2" xfId="2364" xr:uid="{00000000-0005-0000-0000-000092080000}"/>
    <cellStyle name="Normal 101 9" xfId="2365" xr:uid="{00000000-0005-0000-0000-000093080000}"/>
    <cellStyle name="Normal 102" xfId="2366" xr:uid="{00000000-0005-0000-0000-000094080000}"/>
    <cellStyle name="Normal 102 2" xfId="2367" xr:uid="{00000000-0005-0000-0000-000095080000}"/>
    <cellStyle name="Normal 102 2 2" xfId="2368" xr:uid="{00000000-0005-0000-0000-000096080000}"/>
    <cellStyle name="Normal 102 3" xfId="2369" xr:uid="{00000000-0005-0000-0000-000097080000}"/>
    <cellStyle name="Normal 102 3 2" xfId="2370" xr:uid="{00000000-0005-0000-0000-000098080000}"/>
    <cellStyle name="Normal 102 3 2 2" xfId="2371" xr:uid="{00000000-0005-0000-0000-000099080000}"/>
    <cellStyle name="Normal 102 3 2 2 2" xfId="2372" xr:uid="{00000000-0005-0000-0000-00009A080000}"/>
    <cellStyle name="Normal 102 3 2 2 2 2" xfId="2373" xr:uid="{00000000-0005-0000-0000-00009B080000}"/>
    <cellStyle name="Normal 102 3 2 2 3" xfId="2374" xr:uid="{00000000-0005-0000-0000-00009C080000}"/>
    <cellStyle name="Normal 102 3 2 3" xfId="2375" xr:uid="{00000000-0005-0000-0000-00009D080000}"/>
    <cellStyle name="Normal 102 3 2 3 2" xfId="2376" xr:uid="{00000000-0005-0000-0000-00009E080000}"/>
    <cellStyle name="Normal 102 3 2 4" xfId="2377" xr:uid="{00000000-0005-0000-0000-00009F080000}"/>
    <cellStyle name="Normal 102 3 3" xfId="2378" xr:uid="{00000000-0005-0000-0000-0000A0080000}"/>
    <cellStyle name="Normal 102 3 3 2" xfId="2379" xr:uid="{00000000-0005-0000-0000-0000A1080000}"/>
    <cellStyle name="Normal 102 3 3 2 2" xfId="2380" xr:uid="{00000000-0005-0000-0000-0000A2080000}"/>
    <cellStyle name="Normal 102 3 3 3" xfId="2381" xr:uid="{00000000-0005-0000-0000-0000A3080000}"/>
    <cellStyle name="Normal 102 3 4" xfId="2382" xr:uid="{00000000-0005-0000-0000-0000A4080000}"/>
    <cellStyle name="Normal 102 3 4 2" xfId="2383" xr:uid="{00000000-0005-0000-0000-0000A5080000}"/>
    <cellStyle name="Normal 102 3 5" xfId="2384" xr:uid="{00000000-0005-0000-0000-0000A6080000}"/>
    <cellStyle name="Normal 102 4" xfId="2385" xr:uid="{00000000-0005-0000-0000-0000A7080000}"/>
    <cellStyle name="Normal 102 4 2" xfId="2386" xr:uid="{00000000-0005-0000-0000-0000A8080000}"/>
    <cellStyle name="Normal 102 4 2 2" xfId="2387" xr:uid="{00000000-0005-0000-0000-0000A9080000}"/>
    <cellStyle name="Normal 102 4 2 2 2" xfId="2388" xr:uid="{00000000-0005-0000-0000-0000AA080000}"/>
    <cellStyle name="Normal 102 4 2 2 2 2" xfId="2389" xr:uid="{00000000-0005-0000-0000-0000AB080000}"/>
    <cellStyle name="Normal 102 4 2 2 3" xfId="2390" xr:uid="{00000000-0005-0000-0000-0000AC080000}"/>
    <cellStyle name="Normal 102 4 2 3" xfId="2391" xr:uid="{00000000-0005-0000-0000-0000AD080000}"/>
    <cellStyle name="Normal 102 4 2 3 2" xfId="2392" xr:uid="{00000000-0005-0000-0000-0000AE080000}"/>
    <cellStyle name="Normal 102 4 2 4" xfId="2393" xr:uid="{00000000-0005-0000-0000-0000AF080000}"/>
    <cellStyle name="Normal 102 4 3" xfId="2394" xr:uid="{00000000-0005-0000-0000-0000B0080000}"/>
    <cellStyle name="Normal 102 4 3 2" xfId="2395" xr:uid="{00000000-0005-0000-0000-0000B1080000}"/>
    <cellStyle name="Normal 102 4 3 2 2" xfId="2396" xr:uid="{00000000-0005-0000-0000-0000B2080000}"/>
    <cellStyle name="Normal 102 4 3 3" xfId="2397" xr:uid="{00000000-0005-0000-0000-0000B3080000}"/>
    <cellStyle name="Normal 102 4 4" xfId="2398" xr:uid="{00000000-0005-0000-0000-0000B4080000}"/>
    <cellStyle name="Normal 102 4 4 2" xfId="2399" xr:uid="{00000000-0005-0000-0000-0000B5080000}"/>
    <cellStyle name="Normal 102 4 5" xfId="2400" xr:uid="{00000000-0005-0000-0000-0000B6080000}"/>
    <cellStyle name="Normal 102 5" xfId="2401" xr:uid="{00000000-0005-0000-0000-0000B7080000}"/>
    <cellStyle name="Normal 102 5 2" xfId="2402" xr:uid="{00000000-0005-0000-0000-0000B8080000}"/>
    <cellStyle name="Normal 102 5 2 2" xfId="2403" xr:uid="{00000000-0005-0000-0000-0000B9080000}"/>
    <cellStyle name="Normal 102 5 2 2 2" xfId="2404" xr:uid="{00000000-0005-0000-0000-0000BA080000}"/>
    <cellStyle name="Normal 102 5 2 2 2 2" xfId="2405" xr:uid="{00000000-0005-0000-0000-0000BB080000}"/>
    <cellStyle name="Normal 102 5 2 2 3" xfId="2406" xr:uid="{00000000-0005-0000-0000-0000BC080000}"/>
    <cellStyle name="Normal 102 5 2 3" xfId="2407" xr:uid="{00000000-0005-0000-0000-0000BD080000}"/>
    <cellStyle name="Normal 102 5 2 3 2" xfId="2408" xr:uid="{00000000-0005-0000-0000-0000BE080000}"/>
    <cellStyle name="Normal 102 5 2 4" xfId="2409" xr:uid="{00000000-0005-0000-0000-0000BF080000}"/>
    <cellStyle name="Normal 102 5 3" xfId="2410" xr:uid="{00000000-0005-0000-0000-0000C0080000}"/>
    <cellStyle name="Normal 102 5 3 2" xfId="2411" xr:uid="{00000000-0005-0000-0000-0000C1080000}"/>
    <cellStyle name="Normal 102 5 3 2 2" xfId="2412" xr:uid="{00000000-0005-0000-0000-0000C2080000}"/>
    <cellStyle name="Normal 102 5 3 3" xfId="2413" xr:uid="{00000000-0005-0000-0000-0000C3080000}"/>
    <cellStyle name="Normal 102 5 4" xfId="2414" xr:uid="{00000000-0005-0000-0000-0000C4080000}"/>
    <cellStyle name="Normal 102 5 4 2" xfId="2415" xr:uid="{00000000-0005-0000-0000-0000C5080000}"/>
    <cellStyle name="Normal 102 5 5" xfId="2416" xr:uid="{00000000-0005-0000-0000-0000C6080000}"/>
    <cellStyle name="Normal 102 6" xfId="2417" xr:uid="{00000000-0005-0000-0000-0000C7080000}"/>
    <cellStyle name="Normal 102 6 2" xfId="2418" xr:uid="{00000000-0005-0000-0000-0000C8080000}"/>
    <cellStyle name="Normal 102 6 2 2" xfId="2419" xr:uid="{00000000-0005-0000-0000-0000C9080000}"/>
    <cellStyle name="Normal 102 6 2 2 2" xfId="2420" xr:uid="{00000000-0005-0000-0000-0000CA080000}"/>
    <cellStyle name="Normal 102 6 2 3" xfId="2421" xr:uid="{00000000-0005-0000-0000-0000CB080000}"/>
    <cellStyle name="Normal 102 6 3" xfId="2422" xr:uid="{00000000-0005-0000-0000-0000CC080000}"/>
    <cellStyle name="Normal 102 6 3 2" xfId="2423" xr:uid="{00000000-0005-0000-0000-0000CD080000}"/>
    <cellStyle name="Normal 102 6 4" xfId="2424" xr:uid="{00000000-0005-0000-0000-0000CE080000}"/>
    <cellStyle name="Normal 102 7" xfId="2425" xr:uid="{00000000-0005-0000-0000-0000CF080000}"/>
    <cellStyle name="Normal 102 7 2" xfId="2426" xr:uid="{00000000-0005-0000-0000-0000D0080000}"/>
    <cellStyle name="Normal 102 7 2 2" xfId="2427" xr:uid="{00000000-0005-0000-0000-0000D1080000}"/>
    <cellStyle name="Normal 102 7 3" xfId="2428" xr:uid="{00000000-0005-0000-0000-0000D2080000}"/>
    <cellStyle name="Normal 102 8" xfId="2429" xr:uid="{00000000-0005-0000-0000-0000D3080000}"/>
    <cellStyle name="Normal 102 8 2" xfId="2430" xr:uid="{00000000-0005-0000-0000-0000D4080000}"/>
    <cellStyle name="Normal 102 9" xfId="2431" xr:uid="{00000000-0005-0000-0000-0000D5080000}"/>
    <cellStyle name="Normal 103" xfId="2432" xr:uid="{00000000-0005-0000-0000-0000D6080000}"/>
    <cellStyle name="Normal 103 2" xfId="2433" xr:uid="{00000000-0005-0000-0000-0000D7080000}"/>
    <cellStyle name="Normal 103 2 2" xfId="2434" xr:uid="{00000000-0005-0000-0000-0000D8080000}"/>
    <cellStyle name="Normal 103 3" xfId="2435" xr:uid="{00000000-0005-0000-0000-0000D9080000}"/>
    <cellStyle name="Normal 103 3 2" xfId="2436" xr:uid="{00000000-0005-0000-0000-0000DA080000}"/>
    <cellStyle name="Normal 103 3 2 2" xfId="2437" xr:uid="{00000000-0005-0000-0000-0000DB080000}"/>
    <cellStyle name="Normal 103 3 2 2 2" xfId="2438" xr:uid="{00000000-0005-0000-0000-0000DC080000}"/>
    <cellStyle name="Normal 103 3 2 2 2 2" xfId="2439" xr:uid="{00000000-0005-0000-0000-0000DD080000}"/>
    <cellStyle name="Normal 103 3 2 2 3" xfId="2440" xr:uid="{00000000-0005-0000-0000-0000DE080000}"/>
    <cellStyle name="Normal 103 3 2 3" xfId="2441" xr:uid="{00000000-0005-0000-0000-0000DF080000}"/>
    <cellStyle name="Normal 103 3 2 3 2" xfId="2442" xr:uid="{00000000-0005-0000-0000-0000E0080000}"/>
    <cellStyle name="Normal 103 3 2 4" xfId="2443" xr:uid="{00000000-0005-0000-0000-0000E1080000}"/>
    <cellStyle name="Normal 103 3 3" xfId="2444" xr:uid="{00000000-0005-0000-0000-0000E2080000}"/>
    <cellStyle name="Normal 103 3 3 2" xfId="2445" xr:uid="{00000000-0005-0000-0000-0000E3080000}"/>
    <cellStyle name="Normal 103 3 3 2 2" xfId="2446" xr:uid="{00000000-0005-0000-0000-0000E4080000}"/>
    <cellStyle name="Normal 103 3 3 3" xfId="2447" xr:uid="{00000000-0005-0000-0000-0000E5080000}"/>
    <cellStyle name="Normal 103 3 4" xfId="2448" xr:uid="{00000000-0005-0000-0000-0000E6080000}"/>
    <cellStyle name="Normal 103 3 4 2" xfId="2449" xr:uid="{00000000-0005-0000-0000-0000E7080000}"/>
    <cellStyle name="Normal 103 3 5" xfId="2450" xr:uid="{00000000-0005-0000-0000-0000E8080000}"/>
    <cellStyle name="Normal 103 4" xfId="2451" xr:uid="{00000000-0005-0000-0000-0000E9080000}"/>
    <cellStyle name="Normal 103 4 2" xfId="2452" xr:uid="{00000000-0005-0000-0000-0000EA080000}"/>
    <cellStyle name="Normal 103 4 2 2" xfId="2453" xr:uid="{00000000-0005-0000-0000-0000EB080000}"/>
    <cellStyle name="Normal 103 4 2 2 2" xfId="2454" xr:uid="{00000000-0005-0000-0000-0000EC080000}"/>
    <cellStyle name="Normal 103 4 2 2 2 2" xfId="2455" xr:uid="{00000000-0005-0000-0000-0000ED080000}"/>
    <cellStyle name="Normal 103 4 2 2 3" xfId="2456" xr:uid="{00000000-0005-0000-0000-0000EE080000}"/>
    <cellStyle name="Normal 103 4 2 3" xfId="2457" xr:uid="{00000000-0005-0000-0000-0000EF080000}"/>
    <cellStyle name="Normal 103 4 2 3 2" xfId="2458" xr:uid="{00000000-0005-0000-0000-0000F0080000}"/>
    <cellStyle name="Normal 103 4 2 4" xfId="2459" xr:uid="{00000000-0005-0000-0000-0000F1080000}"/>
    <cellStyle name="Normal 103 4 3" xfId="2460" xr:uid="{00000000-0005-0000-0000-0000F2080000}"/>
    <cellStyle name="Normal 103 4 3 2" xfId="2461" xr:uid="{00000000-0005-0000-0000-0000F3080000}"/>
    <cellStyle name="Normal 103 4 3 2 2" xfId="2462" xr:uid="{00000000-0005-0000-0000-0000F4080000}"/>
    <cellStyle name="Normal 103 4 3 3" xfId="2463" xr:uid="{00000000-0005-0000-0000-0000F5080000}"/>
    <cellStyle name="Normal 103 4 4" xfId="2464" xr:uid="{00000000-0005-0000-0000-0000F6080000}"/>
    <cellStyle name="Normal 103 4 4 2" xfId="2465" xr:uid="{00000000-0005-0000-0000-0000F7080000}"/>
    <cellStyle name="Normal 103 4 5" xfId="2466" xr:uid="{00000000-0005-0000-0000-0000F8080000}"/>
    <cellStyle name="Normal 103 5" xfId="2467" xr:uid="{00000000-0005-0000-0000-0000F9080000}"/>
    <cellStyle name="Normal 103 5 2" xfId="2468" xr:uid="{00000000-0005-0000-0000-0000FA080000}"/>
    <cellStyle name="Normal 103 5 2 2" xfId="2469" xr:uid="{00000000-0005-0000-0000-0000FB080000}"/>
    <cellStyle name="Normal 103 5 2 2 2" xfId="2470" xr:uid="{00000000-0005-0000-0000-0000FC080000}"/>
    <cellStyle name="Normal 103 5 2 2 2 2" xfId="2471" xr:uid="{00000000-0005-0000-0000-0000FD080000}"/>
    <cellStyle name="Normal 103 5 2 2 3" xfId="2472" xr:uid="{00000000-0005-0000-0000-0000FE080000}"/>
    <cellStyle name="Normal 103 5 2 3" xfId="2473" xr:uid="{00000000-0005-0000-0000-0000FF080000}"/>
    <cellStyle name="Normal 103 5 2 3 2" xfId="2474" xr:uid="{00000000-0005-0000-0000-000000090000}"/>
    <cellStyle name="Normal 103 5 2 4" xfId="2475" xr:uid="{00000000-0005-0000-0000-000001090000}"/>
    <cellStyle name="Normal 103 5 3" xfId="2476" xr:uid="{00000000-0005-0000-0000-000002090000}"/>
    <cellStyle name="Normal 103 5 3 2" xfId="2477" xr:uid="{00000000-0005-0000-0000-000003090000}"/>
    <cellStyle name="Normal 103 5 3 2 2" xfId="2478" xr:uid="{00000000-0005-0000-0000-000004090000}"/>
    <cellStyle name="Normal 103 5 3 3" xfId="2479" xr:uid="{00000000-0005-0000-0000-000005090000}"/>
    <cellStyle name="Normal 103 5 4" xfId="2480" xr:uid="{00000000-0005-0000-0000-000006090000}"/>
    <cellStyle name="Normal 103 5 4 2" xfId="2481" xr:uid="{00000000-0005-0000-0000-000007090000}"/>
    <cellStyle name="Normal 103 5 5" xfId="2482" xr:uid="{00000000-0005-0000-0000-000008090000}"/>
    <cellStyle name="Normal 103 6" xfId="2483" xr:uid="{00000000-0005-0000-0000-000009090000}"/>
    <cellStyle name="Normal 103 6 2" xfId="2484" xr:uid="{00000000-0005-0000-0000-00000A090000}"/>
    <cellStyle name="Normal 103 6 2 2" xfId="2485" xr:uid="{00000000-0005-0000-0000-00000B090000}"/>
    <cellStyle name="Normal 103 6 2 2 2" xfId="2486" xr:uid="{00000000-0005-0000-0000-00000C090000}"/>
    <cellStyle name="Normal 103 6 2 3" xfId="2487" xr:uid="{00000000-0005-0000-0000-00000D090000}"/>
    <cellStyle name="Normal 103 6 3" xfId="2488" xr:uid="{00000000-0005-0000-0000-00000E090000}"/>
    <cellStyle name="Normal 103 6 3 2" xfId="2489" xr:uid="{00000000-0005-0000-0000-00000F090000}"/>
    <cellStyle name="Normal 103 6 4" xfId="2490" xr:uid="{00000000-0005-0000-0000-000010090000}"/>
    <cellStyle name="Normal 103 7" xfId="2491" xr:uid="{00000000-0005-0000-0000-000011090000}"/>
    <cellStyle name="Normal 103 7 2" xfId="2492" xr:uid="{00000000-0005-0000-0000-000012090000}"/>
    <cellStyle name="Normal 103 7 2 2" xfId="2493" xr:uid="{00000000-0005-0000-0000-000013090000}"/>
    <cellStyle name="Normal 103 7 3" xfId="2494" xr:uid="{00000000-0005-0000-0000-000014090000}"/>
    <cellStyle name="Normal 103 8" xfId="2495" xr:uid="{00000000-0005-0000-0000-000015090000}"/>
    <cellStyle name="Normal 103 8 2" xfId="2496" xr:uid="{00000000-0005-0000-0000-000016090000}"/>
    <cellStyle name="Normal 103 9" xfId="2497" xr:uid="{00000000-0005-0000-0000-000017090000}"/>
    <cellStyle name="Normal 104" xfId="2498" xr:uid="{00000000-0005-0000-0000-000018090000}"/>
    <cellStyle name="Normal 104 2" xfId="2499" xr:uid="{00000000-0005-0000-0000-000019090000}"/>
    <cellStyle name="Normal 105" xfId="2500" xr:uid="{00000000-0005-0000-0000-00001A090000}"/>
    <cellStyle name="Normal 105 2" xfId="2501" xr:uid="{00000000-0005-0000-0000-00001B090000}"/>
    <cellStyle name="Normal 105 2 2" xfId="2502" xr:uid="{00000000-0005-0000-0000-00001C090000}"/>
    <cellStyle name="Normal 105 3" xfId="2503" xr:uid="{00000000-0005-0000-0000-00001D090000}"/>
    <cellStyle name="Normal 105 3 2" xfId="2504" xr:uid="{00000000-0005-0000-0000-00001E090000}"/>
    <cellStyle name="Normal 105 3 2 2" xfId="2505" xr:uid="{00000000-0005-0000-0000-00001F090000}"/>
    <cellStyle name="Normal 105 3 2 2 2" xfId="2506" xr:uid="{00000000-0005-0000-0000-000020090000}"/>
    <cellStyle name="Normal 105 3 2 2 2 2" xfId="2507" xr:uid="{00000000-0005-0000-0000-000021090000}"/>
    <cellStyle name="Normal 105 3 2 2 3" xfId="2508" xr:uid="{00000000-0005-0000-0000-000022090000}"/>
    <cellStyle name="Normal 105 3 2 3" xfId="2509" xr:uid="{00000000-0005-0000-0000-000023090000}"/>
    <cellStyle name="Normal 105 3 2 3 2" xfId="2510" xr:uid="{00000000-0005-0000-0000-000024090000}"/>
    <cellStyle name="Normal 105 3 2 4" xfId="2511" xr:uid="{00000000-0005-0000-0000-000025090000}"/>
    <cellStyle name="Normal 105 3 3" xfId="2512" xr:uid="{00000000-0005-0000-0000-000026090000}"/>
    <cellStyle name="Normal 105 3 3 2" xfId="2513" xr:uid="{00000000-0005-0000-0000-000027090000}"/>
    <cellStyle name="Normal 105 3 3 2 2" xfId="2514" xr:uid="{00000000-0005-0000-0000-000028090000}"/>
    <cellStyle name="Normal 105 3 3 3" xfId="2515" xr:uid="{00000000-0005-0000-0000-000029090000}"/>
    <cellStyle name="Normal 105 3 4" xfId="2516" xr:uid="{00000000-0005-0000-0000-00002A090000}"/>
    <cellStyle name="Normal 105 3 4 2" xfId="2517" xr:uid="{00000000-0005-0000-0000-00002B090000}"/>
    <cellStyle name="Normal 105 3 5" xfId="2518" xr:uid="{00000000-0005-0000-0000-00002C090000}"/>
    <cellStyle name="Normal 105 4" xfId="2519" xr:uid="{00000000-0005-0000-0000-00002D090000}"/>
    <cellStyle name="Normal 105 4 2" xfId="2520" xr:uid="{00000000-0005-0000-0000-00002E090000}"/>
    <cellStyle name="Normal 105 4 2 2" xfId="2521" xr:uid="{00000000-0005-0000-0000-00002F090000}"/>
    <cellStyle name="Normal 105 4 2 2 2" xfId="2522" xr:uid="{00000000-0005-0000-0000-000030090000}"/>
    <cellStyle name="Normal 105 4 2 2 2 2" xfId="2523" xr:uid="{00000000-0005-0000-0000-000031090000}"/>
    <cellStyle name="Normal 105 4 2 2 3" xfId="2524" xr:uid="{00000000-0005-0000-0000-000032090000}"/>
    <cellStyle name="Normal 105 4 2 3" xfId="2525" xr:uid="{00000000-0005-0000-0000-000033090000}"/>
    <cellStyle name="Normal 105 4 2 3 2" xfId="2526" xr:uid="{00000000-0005-0000-0000-000034090000}"/>
    <cellStyle name="Normal 105 4 2 4" xfId="2527" xr:uid="{00000000-0005-0000-0000-000035090000}"/>
    <cellStyle name="Normal 105 4 3" xfId="2528" xr:uid="{00000000-0005-0000-0000-000036090000}"/>
    <cellStyle name="Normal 105 4 3 2" xfId="2529" xr:uid="{00000000-0005-0000-0000-000037090000}"/>
    <cellStyle name="Normal 105 4 3 2 2" xfId="2530" xr:uid="{00000000-0005-0000-0000-000038090000}"/>
    <cellStyle name="Normal 105 4 3 3" xfId="2531" xr:uid="{00000000-0005-0000-0000-000039090000}"/>
    <cellStyle name="Normal 105 4 4" xfId="2532" xr:uid="{00000000-0005-0000-0000-00003A090000}"/>
    <cellStyle name="Normal 105 4 4 2" xfId="2533" xr:uid="{00000000-0005-0000-0000-00003B090000}"/>
    <cellStyle name="Normal 105 4 5" xfId="2534" xr:uid="{00000000-0005-0000-0000-00003C090000}"/>
    <cellStyle name="Normal 105 5" xfId="2535" xr:uid="{00000000-0005-0000-0000-00003D090000}"/>
    <cellStyle name="Normal 105 5 2" xfId="2536" xr:uid="{00000000-0005-0000-0000-00003E090000}"/>
    <cellStyle name="Normal 105 5 2 2" xfId="2537" xr:uid="{00000000-0005-0000-0000-00003F090000}"/>
    <cellStyle name="Normal 105 5 2 2 2" xfId="2538" xr:uid="{00000000-0005-0000-0000-000040090000}"/>
    <cellStyle name="Normal 105 5 2 2 2 2" xfId="2539" xr:uid="{00000000-0005-0000-0000-000041090000}"/>
    <cellStyle name="Normal 105 5 2 2 3" xfId="2540" xr:uid="{00000000-0005-0000-0000-000042090000}"/>
    <cellStyle name="Normal 105 5 2 3" xfId="2541" xr:uid="{00000000-0005-0000-0000-000043090000}"/>
    <cellStyle name="Normal 105 5 2 3 2" xfId="2542" xr:uid="{00000000-0005-0000-0000-000044090000}"/>
    <cellStyle name="Normal 105 5 2 4" xfId="2543" xr:uid="{00000000-0005-0000-0000-000045090000}"/>
    <cellStyle name="Normal 105 5 3" xfId="2544" xr:uid="{00000000-0005-0000-0000-000046090000}"/>
    <cellStyle name="Normal 105 5 3 2" xfId="2545" xr:uid="{00000000-0005-0000-0000-000047090000}"/>
    <cellStyle name="Normal 105 5 3 2 2" xfId="2546" xr:uid="{00000000-0005-0000-0000-000048090000}"/>
    <cellStyle name="Normal 105 5 3 3" xfId="2547" xr:uid="{00000000-0005-0000-0000-000049090000}"/>
    <cellStyle name="Normal 105 5 4" xfId="2548" xr:uid="{00000000-0005-0000-0000-00004A090000}"/>
    <cellStyle name="Normal 105 5 4 2" xfId="2549" xr:uid="{00000000-0005-0000-0000-00004B090000}"/>
    <cellStyle name="Normal 105 5 5" xfId="2550" xr:uid="{00000000-0005-0000-0000-00004C090000}"/>
    <cellStyle name="Normal 105 6" xfId="2551" xr:uid="{00000000-0005-0000-0000-00004D090000}"/>
    <cellStyle name="Normal 105 6 2" xfId="2552" xr:uid="{00000000-0005-0000-0000-00004E090000}"/>
    <cellStyle name="Normal 105 6 2 2" xfId="2553" xr:uid="{00000000-0005-0000-0000-00004F090000}"/>
    <cellStyle name="Normal 105 6 2 2 2" xfId="2554" xr:uid="{00000000-0005-0000-0000-000050090000}"/>
    <cellStyle name="Normal 105 6 2 3" xfId="2555" xr:uid="{00000000-0005-0000-0000-000051090000}"/>
    <cellStyle name="Normal 105 6 3" xfId="2556" xr:uid="{00000000-0005-0000-0000-000052090000}"/>
    <cellStyle name="Normal 105 6 3 2" xfId="2557" xr:uid="{00000000-0005-0000-0000-000053090000}"/>
    <cellStyle name="Normal 105 6 4" xfId="2558" xr:uid="{00000000-0005-0000-0000-000054090000}"/>
    <cellStyle name="Normal 105 7" xfId="2559" xr:uid="{00000000-0005-0000-0000-000055090000}"/>
    <cellStyle name="Normal 105 7 2" xfId="2560" xr:uid="{00000000-0005-0000-0000-000056090000}"/>
    <cellStyle name="Normal 105 7 2 2" xfId="2561" xr:uid="{00000000-0005-0000-0000-000057090000}"/>
    <cellStyle name="Normal 105 7 3" xfId="2562" xr:uid="{00000000-0005-0000-0000-000058090000}"/>
    <cellStyle name="Normal 105 8" xfId="2563" xr:uid="{00000000-0005-0000-0000-000059090000}"/>
    <cellStyle name="Normal 105 8 2" xfId="2564" xr:uid="{00000000-0005-0000-0000-00005A090000}"/>
    <cellStyle name="Normal 105 9" xfId="2565" xr:uid="{00000000-0005-0000-0000-00005B090000}"/>
    <cellStyle name="Normal 106" xfId="2566" xr:uid="{00000000-0005-0000-0000-00005C090000}"/>
    <cellStyle name="Normal 106 2" xfId="2567" xr:uid="{00000000-0005-0000-0000-00005D090000}"/>
    <cellStyle name="Normal 106 2 2" xfId="2568" xr:uid="{00000000-0005-0000-0000-00005E090000}"/>
    <cellStyle name="Normal 106 3" xfId="2569" xr:uid="{00000000-0005-0000-0000-00005F090000}"/>
    <cellStyle name="Normal 106 3 2" xfId="2570" xr:uid="{00000000-0005-0000-0000-000060090000}"/>
    <cellStyle name="Normal 106 3 2 2" xfId="2571" xr:uid="{00000000-0005-0000-0000-000061090000}"/>
    <cellStyle name="Normal 106 3 2 2 2" xfId="2572" xr:uid="{00000000-0005-0000-0000-000062090000}"/>
    <cellStyle name="Normal 106 3 2 2 2 2" xfId="2573" xr:uid="{00000000-0005-0000-0000-000063090000}"/>
    <cellStyle name="Normal 106 3 2 2 3" xfId="2574" xr:uid="{00000000-0005-0000-0000-000064090000}"/>
    <cellStyle name="Normal 106 3 2 3" xfId="2575" xr:uid="{00000000-0005-0000-0000-000065090000}"/>
    <cellStyle name="Normal 106 3 2 3 2" xfId="2576" xr:uid="{00000000-0005-0000-0000-000066090000}"/>
    <cellStyle name="Normal 106 3 2 4" xfId="2577" xr:uid="{00000000-0005-0000-0000-000067090000}"/>
    <cellStyle name="Normal 106 3 3" xfId="2578" xr:uid="{00000000-0005-0000-0000-000068090000}"/>
    <cellStyle name="Normal 106 3 3 2" xfId="2579" xr:uid="{00000000-0005-0000-0000-000069090000}"/>
    <cellStyle name="Normal 106 3 3 2 2" xfId="2580" xr:uid="{00000000-0005-0000-0000-00006A090000}"/>
    <cellStyle name="Normal 106 3 3 3" xfId="2581" xr:uid="{00000000-0005-0000-0000-00006B090000}"/>
    <cellStyle name="Normal 106 3 4" xfId="2582" xr:uid="{00000000-0005-0000-0000-00006C090000}"/>
    <cellStyle name="Normal 106 3 4 2" xfId="2583" xr:uid="{00000000-0005-0000-0000-00006D090000}"/>
    <cellStyle name="Normal 106 3 5" xfId="2584" xr:uid="{00000000-0005-0000-0000-00006E090000}"/>
    <cellStyle name="Normal 106 4" xfId="2585" xr:uid="{00000000-0005-0000-0000-00006F090000}"/>
    <cellStyle name="Normal 106 4 2" xfId="2586" xr:uid="{00000000-0005-0000-0000-000070090000}"/>
    <cellStyle name="Normal 106 4 2 2" xfId="2587" xr:uid="{00000000-0005-0000-0000-000071090000}"/>
    <cellStyle name="Normal 106 4 2 2 2" xfId="2588" xr:uid="{00000000-0005-0000-0000-000072090000}"/>
    <cellStyle name="Normal 106 4 2 2 2 2" xfId="2589" xr:uid="{00000000-0005-0000-0000-000073090000}"/>
    <cellStyle name="Normal 106 4 2 2 3" xfId="2590" xr:uid="{00000000-0005-0000-0000-000074090000}"/>
    <cellStyle name="Normal 106 4 2 3" xfId="2591" xr:uid="{00000000-0005-0000-0000-000075090000}"/>
    <cellStyle name="Normal 106 4 2 3 2" xfId="2592" xr:uid="{00000000-0005-0000-0000-000076090000}"/>
    <cellStyle name="Normal 106 4 2 4" xfId="2593" xr:uid="{00000000-0005-0000-0000-000077090000}"/>
    <cellStyle name="Normal 106 4 3" xfId="2594" xr:uid="{00000000-0005-0000-0000-000078090000}"/>
    <cellStyle name="Normal 106 4 3 2" xfId="2595" xr:uid="{00000000-0005-0000-0000-000079090000}"/>
    <cellStyle name="Normal 106 4 3 2 2" xfId="2596" xr:uid="{00000000-0005-0000-0000-00007A090000}"/>
    <cellStyle name="Normal 106 4 3 3" xfId="2597" xr:uid="{00000000-0005-0000-0000-00007B090000}"/>
    <cellStyle name="Normal 106 4 4" xfId="2598" xr:uid="{00000000-0005-0000-0000-00007C090000}"/>
    <cellStyle name="Normal 106 4 4 2" xfId="2599" xr:uid="{00000000-0005-0000-0000-00007D090000}"/>
    <cellStyle name="Normal 106 4 5" xfId="2600" xr:uid="{00000000-0005-0000-0000-00007E090000}"/>
    <cellStyle name="Normal 106 5" xfId="2601" xr:uid="{00000000-0005-0000-0000-00007F090000}"/>
    <cellStyle name="Normal 106 5 2" xfId="2602" xr:uid="{00000000-0005-0000-0000-000080090000}"/>
    <cellStyle name="Normal 106 5 2 2" xfId="2603" xr:uid="{00000000-0005-0000-0000-000081090000}"/>
    <cellStyle name="Normal 106 5 2 2 2" xfId="2604" xr:uid="{00000000-0005-0000-0000-000082090000}"/>
    <cellStyle name="Normal 106 5 2 2 2 2" xfId="2605" xr:uid="{00000000-0005-0000-0000-000083090000}"/>
    <cellStyle name="Normal 106 5 2 2 3" xfId="2606" xr:uid="{00000000-0005-0000-0000-000084090000}"/>
    <cellStyle name="Normal 106 5 2 3" xfId="2607" xr:uid="{00000000-0005-0000-0000-000085090000}"/>
    <cellStyle name="Normal 106 5 2 3 2" xfId="2608" xr:uid="{00000000-0005-0000-0000-000086090000}"/>
    <cellStyle name="Normal 106 5 2 4" xfId="2609" xr:uid="{00000000-0005-0000-0000-000087090000}"/>
    <cellStyle name="Normal 106 5 3" xfId="2610" xr:uid="{00000000-0005-0000-0000-000088090000}"/>
    <cellStyle name="Normal 106 5 3 2" xfId="2611" xr:uid="{00000000-0005-0000-0000-000089090000}"/>
    <cellStyle name="Normal 106 5 3 2 2" xfId="2612" xr:uid="{00000000-0005-0000-0000-00008A090000}"/>
    <cellStyle name="Normal 106 5 3 3" xfId="2613" xr:uid="{00000000-0005-0000-0000-00008B090000}"/>
    <cellStyle name="Normal 106 5 4" xfId="2614" xr:uid="{00000000-0005-0000-0000-00008C090000}"/>
    <cellStyle name="Normal 106 5 4 2" xfId="2615" xr:uid="{00000000-0005-0000-0000-00008D090000}"/>
    <cellStyle name="Normal 106 5 5" xfId="2616" xr:uid="{00000000-0005-0000-0000-00008E090000}"/>
    <cellStyle name="Normal 106 6" xfId="2617" xr:uid="{00000000-0005-0000-0000-00008F090000}"/>
    <cellStyle name="Normal 106 6 2" xfId="2618" xr:uid="{00000000-0005-0000-0000-000090090000}"/>
    <cellStyle name="Normal 106 6 2 2" xfId="2619" xr:uid="{00000000-0005-0000-0000-000091090000}"/>
    <cellStyle name="Normal 106 6 2 2 2" xfId="2620" xr:uid="{00000000-0005-0000-0000-000092090000}"/>
    <cellStyle name="Normal 106 6 2 3" xfId="2621" xr:uid="{00000000-0005-0000-0000-000093090000}"/>
    <cellStyle name="Normal 106 6 3" xfId="2622" xr:uid="{00000000-0005-0000-0000-000094090000}"/>
    <cellStyle name="Normal 106 6 3 2" xfId="2623" xr:uid="{00000000-0005-0000-0000-000095090000}"/>
    <cellStyle name="Normal 106 6 4" xfId="2624" xr:uid="{00000000-0005-0000-0000-000096090000}"/>
    <cellStyle name="Normal 106 7" xfId="2625" xr:uid="{00000000-0005-0000-0000-000097090000}"/>
    <cellStyle name="Normal 106 7 2" xfId="2626" xr:uid="{00000000-0005-0000-0000-000098090000}"/>
    <cellStyle name="Normal 106 7 2 2" xfId="2627" xr:uid="{00000000-0005-0000-0000-000099090000}"/>
    <cellStyle name="Normal 106 7 3" xfId="2628" xr:uid="{00000000-0005-0000-0000-00009A090000}"/>
    <cellStyle name="Normal 106 8" xfId="2629" xr:uid="{00000000-0005-0000-0000-00009B090000}"/>
    <cellStyle name="Normal 106 8 2" xfId="2630" xr:uid="{00000000-0005-0000-0000-00009C090000}"/>
    <cellStyle name="Normal 106 9" xfId="2631" xr:uid="{00000000-0005-0000-0000-00009D090000}"/>
    <cellStyle name="Normal 107" xfId="2632" xr:uid="{00000000-0005-0000-0000-00009E090000}"/>
    <cellStyle name="Normal 107 2" xfId="2633" xr:uid="{00000000-0005-0000-0000-00009F090000}"/>
    <cellStyle name="Normal 107 2 2" xfId="2634" xr:uid="{00000000-0005-0000-0000-0000A0090000}"/>
    <cellStyle name="Normal 107 3" xfId="2635" xr:uid="{00000000-0005-0000-0000-0000A1090000}"/>
    <cellStyle name="Normal 107 3 2" xfId="2636" xr:uid="{00000000-0005-0000-0000-0000A2090000}"/>
    <cellStyle name="Normal 107 3 2 2" xfId="2637" xr:uid="{00000000-0005-0000-0000-0000A3090000}"/>
    <cellStyle name="Normal 107 3 2 2 2" xfId="2638" xr:uid="{00000000-0005-0000-0000-0000A4090000}"/>
    <cellStyle name="Normal 107 3 2 2 2 2" xfId="2639" xr:uid="{00000000-0005-0000-0000-0000A5090000}"/>
    <cellStyle name="Normal 107 3 2 2 3" xfId="2640" xr:uid="{00000000-0005-0000-0000-0000A6090000}"/>
    <cellStyle name="Normal 107 3 2 3" xfId="2641" xr:uid="{00000000-0005-0000-0000-0000A7090000}"/>
    <cellStyle name="Normal 107 3 2 3 2" xfId="2642" xr:uid="{00000000-0005-0000-0000-0000A8090000}"/>
    <cellStyle name="Normal 107 3 2 4" xfId="2643" xr:uid="{00000000-0005-0000-0000-0000A9090000}"/>
    <cellStyle name="Normal 107 3 3" xfId="2644" xr:uid="{00000000-0005-0000-0000-0000AA090000}"/>
    <cellStyle name="Normal 107 3 3 2" xfId="2645" xr:uid="{00000000-0005-0000-0000-0000AB090000}"/>
    <cellStyle name="Normal 107 3 3 2 2" xfId="2646" xr:uid="{00000000-0005-0000-0000-0000AC090000}"/>
    <cellStyle name="Normal 107 3 3 3" xfId="2647" xr:uid="{00000000-0005-0000-0000-0000AD090000}"/>
    <cellStyle name="Normal 107 3 4" xfId="2648" xr:uid="{00000000-0005-0000-0000-0000AE090000}"/>
    <cellStyle name="Normal 107 3 4 2" xfId="2649" xr:uid="{00000000-0005-0000-0000-0000AF090000}"/>
    <cellStyle name="Normal 107 3 5" xfId="2650" xr:uid="{00000000-0005-0000-0000-0000B0090000}"/>
    <cellStyle name="Normal 107 4" xfId="2651" xr:uid="{00000000-0005-0000-0000-0000B1090000}"/>
    <cellStyle name="Normal 107 4 2" xfId="2652" xr:uid="{00000000-0005-0000-0000-0000B2090000}"/>
    <cellStyle name="Normal 107 4 2 2" xfId="2653" xr:uid="{00000000-0005-0000-0000-0000B3090000}"/>
    <cellStyle name="Normal 107 4 2 2 2" xfId="2654" xr:uid="{00000000-0005-0000-0000-0000B4090000}"/>
    <cellStyle name="Normal 107 4 2 2 2 2" xfId="2655" xr:uid="{00000000-0005-0000-0000-0000B5090000}"/>
    <cellStyle name="Normal 107 4 2 2 3" xfId="2656" xr:uid="{00000000-0005-0000-0000-0000B6090000}"/>
    <cellStyle name="Normal 107 4 2 3" xfId="2657" xr:uid="{00000000-0005-0000-0000-0000B7090000}"/>
    <cellStyle name="Normal 107 4 2 3 2" xfId="2658" xr:uid="{00000000-0005-0000-0000-0000B8090000}"/>
    <cellStyle name="Normal 107 4 2 4" xfId="2659" xr:uid="{00000000-0005-0000-0000-0000B9090000}"/>
    <cellStyle name="Normal 107 4 3" xfId="2660" xr:uid="{00000000-0005-0000-0000-0000BA090000}"/>
    <cellStyle name="Normal 107 4 3 2" xfId="2661" xr:uid="{00000000-0005-0000-0000-0000BB090000}"/>
    <cellStyle name="Normal 107 4 3 2 2" xfId="2662" xr:uid="{00000000-0005-0000-0000-0000BC090000}"/>
    <cellStyle name="Normal 107 4 3 3" xfId="2663" xr:uid="{00000000-0005-0000-0000-0000BD090000}"/>
    <cellStyle name="Normal 107 4 4" xfId="2664" xr:uid="{00000000-0005-0000-0000-0000BE090000}"/>
    <cellStyle name="Normal 107 4 4 2" xfId="2665" xr:uid="{00000000-0005-0000-0000-0000BF090000}"/>
    <cellStyle name="Normal 107 4 5" xfId="2666" xr:uid="{00000000-0005-0000-0000-0000C0090000}"/>
    <cellStyle name="Normal 107 5" xfId="2667" xr:uid="{00000000-0005-0000-0000-0000C1090000}"/>
    <cellStyle name="Normal 107 5 2" xfId="2668" xr:uid="{00000000-0005-0000-0000-0000C2090000}"/>
    <cellStyle name="Normal 107 5 2 2" xfId="2669" xr:uid="{00000000-0005-0000-0000-0000C3090000}"/>
    <cellStyle name="Normal 107 5 2 2 2" xfId="2670" xr:uid="{00000000-0005-0000-0000-0000C4090000}"/>
    <cellStyle name="Normal 107 5 2 2 2 2" xfId="2671" xr:uid="{00000000-0005-0000-0000-0000C5090000}"/>
    <cellStyle name="Normal 107 5 2 2 3" xfId="2672" xr:uid="{00000000-0005-0000-0000-0000C6090000}"/>
    <cellStyle name="Normal 107 5 2 3" xfId="2673" xr:uid="{00000000-0005-0000-0000-0000C7090000}"/>
    <cellStyle name="Normal 107 5 2 3 2" xfId="2674" xr:uid="{00000000-0005-0000-0000-0000C8090000}"/>
    <cellStyle name="Normal 107 5 2 4" xfId="2675" xr:uid="{00000000-0005-0000-0000-0000C9090000}"/>
    <cellStyle name="Normal 107 5 3" xfId="2676" xr:uid="{00000000-0005-0000-0000-0000CA090000}"/>
    <cellStyle name="Normal 107 5 3 2" xfId="2677" xr:uid="{00000000-0005-0000-0000-0000CB090000}"/>
    <cellStyle name="Normal 107 5 3 2 2" xfId="2678" xr:uid="{00000000-0005-0000-0000-0000CC090000}"/>
    <cellStyle name="Normal 107 5 3 3" xfId="2679" xr:uid="{00000000-0005-0000-0000-0000CD090000}"/>
    <cellStyle name="Normal 107 5 4" xfId="2680" xr:uid="{00000000-0005-0000-0000-0000CE090000}"/>
    <cellStyle name="Normal 107 5 4 2" xfId="2681" xr:uid="{00000000-0005-0000-0000-0000CF090000}"/>
    <cellStyle name="Normal 107 5 5" xfId="2682" xr:uid="{00000000-0005-0000-0000-0000D0090000}"/>
    <cellStyle name="Normal 107 6" xfId="2683" xr:uid="{00000000-0005-0000-0000-0000D1090000}"/>
    <cellStyle name="Normal 107 6 2" xfId="2684" xr:uid="{00000000-0005-0000-0000-0000D2090000}"/>
    <cellStyle name="Normal 107 6 2 2" xfId="2685" xr:uid="{00000000-0005-0000-0000-0000D3090000}"/>
    <cellStyle name="Normal 107 6 2 2 2" xfId="2686" xr:uid="{00000000-0005-0000-0000-0000D4090000}"/>
    <cellStyle name="Normal 107 6 2 3" xfId="2687" xr:uid="{00000000-0005-0000-0000-0000D5090000}"/>
    <cellStyle name="Normal 107 6 3" xfId="2688" xr:uid="{00000000-0005-0000-0000-0000D6090000}"/>
    <cellStyle name="Normal 107 6 3 2" xfId="2689" xr:uid="{00000000-0005-0000-0000-0000D7090000}"/>
    <cellStyle name="Normal 107 6 4" xfId="2690" xr:uid="{00000000-0005-0000-0000-0000D8090000}"/>
    <cellStyle name="Normal 107 7" xfId="2691" xr:uid="{00000000-0005-0000-0000-0000D9090000}"/>
    <cellStyle name="Normal 107 7 2" xfId="2692" xr:uid="{00000000-0005-0000-0000-0000DA090000}"/>
    <cellStyle name="Normal 107 7 2 2" xfId="2693" xr:uid="{00000000-0005-0000-0000-0000DB090000}"/>
    <cellStyle name="Normal 107 7 3" xfId="2694" xr:uid="{00000000-0005-0000-0000-0000DC090000}"/>
    <cellStyle name="Normal 107 8" xfId="2695" xr:uid="{00000000-0005-0000-0000-0000DD090000}"/>
    <cellStyle name="Normal 107 8 2" xfId="2696" xr:uid="{00000000-0005-0000-0000-0000DE090000}"/>
    <cellStyle name="Normal 107 9" xfId="2697" xr:uid="{00000000-0005-0000-0000-0000DF090000}"/>
    <cellStyle name="Normal 108" xfId="2698" xr:uid="{00000000-0005-0000-0000-0000E0090000}"/>
    <cellStyle name="Normal 108 2" xfId="2699" xr:uid="{00000000-0005-0000-0000-0000E1090000}"/>
    <cellStyle name="Normal 108 2 2" xfId="2700" xr:uid="{00000000-0005-0000-0000-0000E2090000}"/>
    <cellStyle name="Normal 108 3" xfId="2701" xr:uid="{00000000-0005-0000-0000-0000E3090000}"/>
    <cellStyle name="Normal 108 3 2" xfId="2702" xr:uid="{00000000-0005-0000-0000-0000E4090000}"/>
    <cellStyle name="Normal 108 3 2 2" xfId="2703" xr:uid="{00000000-0005-0000-0000-0000E5090000}"/>
    <cellStyle name="Normal 108 3 2 2 2" xfId="2704" xr:uid="{00000000-0005-0000-0000-0000E6090000}"/>
    <cellStyle name="Normal 108 3 2 2 2 2" xfId="2705" xr:uid="{00000000-0005-0000-0000-0000E7090000}"/>
    <cellStyle name="Normal 108 3 2 2 3" xfId="2706" xr:uid="{00000000-0005-0000-0000-0000E8090000}"/>
    <cellStyle name="Normal 108 3 2 3" xfId="2707" xr:uid="{00000000-0005-0000-0000-0000E9090000}"/>
    <cellStyle name="Normal 108 3 2 3 2" xfId="2708" xr:uid="{00000000-0005-0000-0000-0000EA090000}"/>
    <cellStyle name="Normal 108 3 2 4" xfId="2709" xr:uid="{00000000-0005-0000-0000-0000EB090000}"/>
    <cellStyle name="Normal 108 3 3" xfId="2710" xr:uid="{00000000-0005-0000-0000-0000EC090000}"/>
    <cellStyle name="Normal 108 3 3 2" xfId="2711" xr:uid="{00000000-0005-0000-0000-0000ED090000}"/>
    <cellStyle name="Normal 108 3 3 2 2" xfId="2712" xr:uid="{00000000-0005-0000-0000-0000EE090000}"/>
    <cellStyle name="Normal 108 3 3 3" xfId="2713" xr:uid="{00000000-0005-0000-0000-0000EF090000}"/>
    <cellStyle name="Normal 108 3 4" xfId="2714" xr:uid="{00000000-0005-0000-0000-0000F0090000}"/>
    <cellStyle name="Normal 108 3 4 2" xfId="2715" xr:uid="{00000000-0005-0000-0000-0000F1090000}"/>
    <cellStyle name="Normal 108 3 5" xfId="2716" xr:uid="{00000000-0005-0000-0000-0000F2090000}"/>
    <cellStyle name="Normal 108 4" xfId="2717" xr:uid="{00000000-0005-0000-0000-0000F3090000}"/>
    <cellStyle name="Normal 108 4 2" xfId="2718" xr:uid="{00000000-0005-0000-0000-0000F4090000}"/>
    <cellStyle name="Normal 108 4 2 2" xfId="2719" xr:uid="{00000000-0005-0000-0000-0000F5090000}"/>
    <cellStyle name="Normal 108 4 2 2 2" xfId="2720" xr:uid="{00000000-0005-0000-0000-0000F6090000}"/>
    <cellStyle name="Normal 108 4 2 2 2 2" xfId="2721" xr:uid="{00000000-0005-0000-0000-0000F7090000}"/>
    <cellStyle name="Normal 108 4 2 2 3" xfId="2722" xr:uid="{00000000-0005-0000-0000-0000F8090000}"/>
    <cellStyle name="Normal 108 4 2 3" xfId="2723" xr:uid="{00000000-0005-0000-0000-0000F9090000}"/>
    <cellStyle name="Normal 108 4 2 3 2" xfId="2724" xr:uid="{00000000-0005-0000-0000-0000FA090000}"/>
    <cellStyle name="Normal 108 4 2 4" xfId="2725" xr:uid="{00000000-0005-0000-0000-0000FB090000}"/>
    <cellStyle name="Normal 108 4 3" xfId="2726" xr:uid="{00000000-0005-0000-0000-0000FC090000}"/>
    <cellStyle name="Normal 108 4 3 2" xfId="2727" xr:uid="{00000000-0005-0000-0000-0000FD090000}"/>
    <cellStyle name="Normal 108 4 3 2 2" xfId="2728" xr:uid="{00000000-0005-0000-0000-0000FE090000}"/>
    <cellStyle name="Normal 108 4 3 3" xfId="2729" xr:uid="{00000000-0005-0000-0000-0000FF090000}"/>
    <cellStyle name="Normal 108 4 4" xfId="2730" xr:uid="{00000000-0005-0000-0000-0000000A0000}"/>
    <cellStyle name="Normal 108 4 4 2" xfId="2731" xr:uid="{00000000-0005-0000-0000-0000010A0000}"/>
    <cellStyle name="Normal 108 4 5" xfId="2732" xr:uid="{00000000-0005-0000-0000-0000020A0000}"/>
    <cellStyle name="Normal 108 5" xfId="2733" xr:uid="{00000000-0005-0000-0000-0000030A0000}"/>
    <cellStyle name="Normal 108 5 2" xfId="2734" xr:uid="{00000000-0005-0000-0000-0000040A0000}"/>
    <cellStyle name="Normal 108 5 2 2" xfId="2735" xr:uid="{00000000-0005-0000-0000-0000050A0000}"/>
    <cellStyle name="Normal 108 5 2 2 2" xfId="2736" xr:uid="{00000000-0005-0000-0000-0000060A0000}"/>
    <cellStyle name="Normal 108 5 2 2 2 2" xfId="2737" xr:uid="{00000000-0005-0000-0000-0000070A0000}"/>
    <cellStyle name="Normal 108 5 2 2 3" xfId="2738" xr:uid="{00000000-0005-0000-0000-0000080A0000}"/>
    <cellStyle name="Normal 108 5 2 3" xfId="2739" xr:uid="{00000000-0005-0000-0000-0000090A0000}"/>
    <cellStyle name="Normal 108 5 2 3 2" xfId="2740" xr:uid="{00000000-0005-0000-0000-00000A0A0000}"/>
    <cellStyle name="Normal 108 5 2 4" xfId="2741" xr:uid="{00000000-0005-0000-0000-00000B0A0000}"/>
    <cellStyle name="Normal 108 5 3" xfId="2742" xr:uid="{00000000-0005-0000-0000-00000C0A0000}"/>
    <cellStyle name="Normal 108 5 3 2" xfId="2743" xr:uid="{00000000-0005-0000-0000-00000D0A0000}"/>
    <cellStyle name="Normal 108 5 3 2 2" xfId="2744" xr:uid="{00000000-0005-0000-0000-00000E0A0000}"/>
    <cellStyle name="Normal 108 5 3 3" xfId="2745" xr:uid="{00000000-0005-0000-0000-00000F0A0000}"/>
    <cellStyle name="Normal 108 5 4" xfId="2746" xr:uid="{00000000-0005-0000-0000-0000100A0000}"/>
    <cellStyle name="Normal 108 5 4 2" xfId="2747" xr:uid="{00000000-0005-0000-0000-0000110A0000}"/>
    <cellStyle name="Normal 108 5 5" xfId="2748" xr:uid="{00000000-0005-0000-0000-0000120A0000}"/>
    <cellStyle name="Normal 108 6" xfId="2749" xr:uid="{00000000-0005-0000-0000-0000130A0000}"/>
    <cellStyle name="Normal 108 6 2" xfId="2750" xr:uid="{00000000-0005-0000-0000-0000140A0000}"/>
    <cellStyle name="Normal 108 6 2 2" xfId="2751" xr:uid="{00000000-0005-0000-0000-0000150A0000}"/>
    <cellStyle name="Normal 108 6 2 2 2" xfId="2752" xr:uid="{00000000-0005-0000-0000-0000160A0000}"/>
    <cellStyle name="Normal 108 6 2 3" xfId="2753" xr:uid="{00000000-0005-0000-0000-0000170A0000}"/>
    <cellStyle name="Normal 108 6 3" xfId="2754" xr:uid="{00000000-0005-0000-0000-0000180A0000}"/>
    <cellStyle name="Normal 108 6 3 2" xfId="2755" xr:uid="{00000000-0005-0000-0000-0000190A0000}"/>
    <cellStyle name="Normal 108 6 4" xfId="2756" xr:uid="{00000000-0005-0000-0000-00001A0A0000}"/>
    <cellStyle name="Normal 108 7" xfId="2757" xr:uid="{00000000-0005-0000-0000-00001B0A0000}"/>
    <cellStyle name="Normal 108 7 2" xfId="2758" xr:uid="{00000000-0005-0000-0000-00001C0A0000}"/>
    <cellStyle name="Normal 108 7 2 2" xfId="2759" xr:uid="{00000000-0005-0000-0000-00001D0A0000}"/>
    <cellStyle name="Normal 108 7 3" xfId="2760" xr:uid="{00000000-0005-0000-0000-00001E0A0000}"/>
    <cellStyle name="Normal 108 8" xfId="2761" xr:uid="{00000000-0005-0000-0000-00001F0A0000}"/>
    <cellStyle name="Normal 108 8 2" xfId="2762" xr:uid="{00000000-0005-0000-0000-0000200A0000}"/>
    <cellStyle name="Normal 108 9" xfId="2763" xr:uid="{00000000-0005-0000-0000-0000210A0000}"/>
    <cellStyle name="Normal 109" xfId="2764" xr:uid="{00000000-0005-0000-0000-0000220A0000}"/>
    <cellStyle name="Normal 109 2" xfId="2765" xr:uid="{00000000-0005-0000-0000-0000230A0000}"/>
    <cellStyle name="Normal 109 2 2" xfId="2766" xr:uid="{00000000-0005-0000-0000-0000240A0000}"/>
    <cellStyle name="Normal 109 3" xfId="2767" xr:uid="{00000000-0005-0000-0000-0000250A0000}"/>
    <cellStyle name="Normal 109 3 2" xfId="2768" xr:uid="{00000000-0005-0000-0000-0000260A0000}"/>
    <cellStyle name="Normal 109 3 2 2" xfId="2769" xr:uid="{00000000-0005-0000-0000-0000270A0000}"/>
    <cellStyle name="Normal 109 3 2 2 2" xfId="2770" xr:uid="{00000000-0005-0000-0000-0000280A0000}"/>
    <cellStyle name="Normal 109 3 2 2 2 2" xfId="2771" xr:uid="{00000000-0005-0000-0000-0000290A0000}"/>
    <cellStyle name="Normal 109 3 2 2 3" xfId="2772" xr:uid="{00000000-0005-0000-0000-00002A0A0000}"/>
    <cellStyle name="Normal 109 3 2 3" xfId="2773" xr:uid="{00000000-0005-0000-0000-00002B0A0000}"/>
    <cellStyle name="Normal 109 3 2 3 2" xfId="2774" xr:uid="{00000000-0005-0000-0000-00002C0A0000}"/>
    <cellStyle name="Normal 109 3 2 4" xfId="2775" xr:uid="{00000000-0005-0000-0000-00002D0A0000}"/>
    <cellStyle name="Normal 109 3 3" xfId="2776" xr:uid="{00000000-0005-0000-0000-00002E0A0000}"/>
    <cellStyle name="Normal 109 3 3 2" xfId="2777" xr:uid="{00000000-0005-0000-0000-00002F0A0000}"/>
    <cellStyle name="Normal 109 3 3 2 2" xfId="2778" xr:uid="{00000000-0005-0000-0000-0000300A0000}"/>
    <cellStyle name="Normal 109 3 3 3" xfId="2779" xr:uid="{00000000-0005-0000-0000-0000310A0000}"/>
    <cellStyle name="Normal 109 3 4" xfId="2780" xr:uid="{00000000-0005-0000-0000-0000320A0000}"/>
    <cellStyle name="Normal 109 3 4 2" xfId="2781" xr:uid="{00000000-0005-0000-0000-0000330A0000}"/>
    <cellStyle name="Normal 109 3 5" xfId="2782" xr:uid="{00000000-0005-0000-0000-0000340A0000}"/>
    <cellStyle name="Normal 109 4" xfId="2783" xr:uid="{00000000-0005-0000-0000-0000350A0000}"/>
    <cellStyle name="Normal 109 4 2" xfId="2784" xr:uid="{00000000-0005-0000-0000-0000360A0000}"/>
    <cellStyle name="Normal 109 4 2 2" xfId="2785" xr:uid="{00000000-0005-0000-0000-0000370A0000}"/>
    <cellStyle name="Normal 109 4 2 2 2" xfId="2786" xr:uid="{00000000-0005-0000-0000-0000380A0000}"/>
    <cellStyle name="Normal 109 4 2 2 2 2" xfId="2787" xr:uid="{00000000-0005-0000-0000-0000390A0000}"/>
    <cellStyle name="Normal 109 4 2 2 3" xfId="2788" xr:uid="{00000000-0005-0000-0000-00003A0A0000}"/>
    <cellStyle name="Normal 109 4 2 3" xfId="2789" xr:uid="{00000000-0005-0000-0000-00003B0A0000}"/>
    <cellStyle name="Normal 109 4 2 3 2" xfId="2790" xr:uid="{00000000-0005-0000-0000-00003C0A0000}"/>
    <cellStyle name="Normal 109 4 2 4" xfId="2791" xr:uid="{00000000-0005-0000-0000-00003D0A0000}"/>
    <cellStyle name="Normal 109 4 3" xfId="2792" xr:uid="{00000000-0005-0000-0000-00003E0A0000}"/>
    <cellStyle name="Normal 109 4 3 2" xfId="2793" xr:uid="{00000000-0005-0000-0000-00003F0A0000}"/>
    <cellStyle name="Normal 109 4 3 2 2" xfId="2794" xr:uid="{00000000-0005-0000-0000-0000400A0000}"/>
    <cellStyle name="Normal 109 4 3 3" xfId="2795" xr:uid="{00000000-0005-0000-0000-0000410A0000}"/>
    <cellStyle name="Normal 109 4 4" xfId="2796" xr:uid="{00000000-0005-0000-0000-0000420A0000}"/>
    <cellStyle name="Normal 109 4 4 2" xfId="2797" xr:uid="{00000000-0005-0000-0000-0000430A0000}"/>
    <cellStyle name="Normal 109 4 5" xfId="2798" xr:uid="{00000000-0005-0000-0000-0000440A0000}"/>
    <cellStyle name="Normal 109 5" xfId="2799" xr:uid="{00000000-0005-0000-0000-0000450A0000}"/>
    <cellStyle name="Normal 109 5 2" xfId="2800" xr:uid="{00000000-0005-0000-0000-0000460A0000}"/>
    <cellStyle name="Normal 109 5 2 2" xfId="2801" xr:uid="{00000000-0005-0000-0000-0000470A0000}"/>
    <cellStyle name="Normal 109 5 2 2 2" xfId="2802" xr:uid="{00000000-0005-0000-0000-0000480A0000}"/>
    <cellStyle name="Normal 109 5 2 2 2 2" xfId="2803" xr:uid="{00000000-0005-0000-0000-0000490A0000}"/>
    <cellStyle name="Normal 109 5 2 2 3" xfId="2804" xr:uid="{00000000-0005-0000-0000-00004A0A0000}"/>
    <cellStyle name="Normal 109 5 2 3" xfId="2805" xr:uid="{00000000-0005-0000-0000-00004B0A0000}"/>
    <cellStyle name="Normal 109 5 2 3 2" xfId="2806" xr:uid="{00000000-0005-0000-0000-00004C0A0000}"/>
    <cellStyle name="Normal 109 5 2 4" xfId="2807" xr:uid="{00000000-0005-0000-0000-00004D0A0000}"/>
    <cellStyle name="Normal 109 5 3" xfId="2808" xr:uid="{00000000-0005-0000-0000-00004E0A0000}"/>
    <cellStyle name="Normal 109 5 3 2" xfId="2809" xr:uid="{00000000-0005-0000-0000-00004F0A0000}"/>
    <cellStyle name="Normal 109 5 3 2 2" xfId="2810" xr:uid="{00000000-0005-0000-0000-0000500A0000}"/>
    <cellStyle name="Normal 109 5 3 3" xfId="2811" xr:uid="{00000000-0005-0000-0000-0000510A0000}"/>
    <cellStyle name="Normal 109 5 4" xfId="2812" xr:uid="{00000000-0005-0000-0000-0000520A0000}"/>
    <cellStyle name="Normal 109 5 4 2" xfId="2813" xr:uid="{00000000-0005-0000-0000-0000530A0000}"/>
    <cellStyle name="Normal 109 5 5" xfId="2814" xr:uid="{00000000-0005-0000-0000-0000540A0000}"/>
    <cellStyle name="Normal 109 6" xfId="2815" xr:uid="{00000000-0005-0000-0000-0000550A0000}"/>
    <cellStyle name="Normal 109 6 2" xfId="2816" xr:uid="{00000000-0005-0000-0000-0000560A0000}"/>
    <cellStyle name="Normal 109 6 2 2" xfId="2817" xr:uid="{00000000-0005-0000-0000-0000570A0000}"/>
    <cellStyle name="Normal 109 6 2 2 2" xfId="2818" xr:uid="{00000000-0005-0000-0000-0000580A0000}"/>
    <cellStyle name="Normal 109 6 2 3" xfId="2819" xr:uid="{00000000-0005-0000-0000-0000590A0000}"/>
    <cellStyle name="Normal 109 6 3" xfId="2820" xr:uid="{00000000-0005-0000-0000-00005A0A0000}"/>
    <cellStyle name="Normal 109 6 3 2" xfId="2821" xr:uid="{00000000-0005-0000-0000-00005B0A0000}"/>
    <cellStyle name="Normal 109 6 4" xfId="2822" xr:uid="{00000000-0005-0000-0000-00005C0A0000}"/>
    <cellStyle name="Normal 109 7" xfId="2823" xr:uid="{00000000-0005-0000-0000-00005D0A0000}"/>
    <cellStyle name="Normal 109 7 2" xfId="2824" xr:uid="{00000000-0005-0000-0000-00005E0A0000}"/>
    <cellStyle name="Normal 109 7 2 2" xfId="2825" xr:uid="{00000000-0005-0000-0000-00005F0A0000}"/>
    <cellStyle name="Normal 109 7 3" xfId="2826" xr:uid="{00000000-0005-0000-0000-0000600A0000}"/>
    <cellStyle name="Normal 109 8" xfId="2827" xr:uid="{00000000-0005-0000-0000-0000610A0000}"/>
    <cellStyle name="Normal 109 8 2" xfId="2828" xr:uid="{00000000-0005-0000-0000-0000620A0000}"/>
    <cellStyle name="Normal 109 9" xfId="2829" xr:uid="{00000000-0005-0000-0000-0000630A0000}"/>
    <cellStyle name="Normal 11" xfId="210" xr:uid="{00000000-0005-0000-0000-0000640A0000}"/>
    <cellStyle name="Normal 11 2" xfId="2830" xr:uid="{00000000-0005-0000-0000-0000650A0000}"/>
    <cellStyle name="Normal 11 2 2" xfId="2831" xr:uid="{00000000-0005-0000-0000-0000660A0000}"/>
    <cellStyle name="Normal 11 2 3" xfId="2832" xr:uid="{00000000-0005-0000-0000-0000670A0000}"/>
    <cellStyle name="Normal 11 3" xfId="2833" xr:uid="{00000000-0005-0000-0000-0000680A0000}"/>
    <cellStyle name="Normal 11 3 2" xfId="2834" xr:uid="{00000000-0005-0000-0000-0000690A0000}"/>
    <cellStyle name="Normal 11 3 2 2" xfId="2835" xr:uid="{00000000-0005-0000-0000-00006A0A0000}"/>
    <cellStyle name="Normal 11 3 2 2 2" xfId="2836" xr:uid="{00000000-0005-0000-0000-00006B0A0000}"/>
    <cellStyle name="Normal 11 3 2 2 2 2" xfId="2837" xr:uid="{00000000-0005-0000-0000-00006C0A0000}"/>
    <cellStyle name="Normal 11 3 2 2 3" xfId="2838" xr:uid="{00000000-0005-0000-0000-00006D0A0000}"/>
    <cellStyle name="Normal 11 3 2 3" xfId="2839" xr:uid="{00000000-0005-0000-0000-00006E0A0000}"/>
    <cellStyle name="Normal 11 3 2 3 2" xfId="2840" xr:uid="{00000000-0005-0000-0000-00006F0A0000}"/>
    <cellStyle name="Normal 11 3 2 4" xfId="2841" xr:uid="{00000000-0005-0000-0000-0000700A0000}"/>
    <cellStyle name="Normal 11 3 3" xfId="2842" xr:uid="{00000000-0005-0000-0000-0000710A0000}"/>
    <cellStyle name="Normal 11 3 3 2" xfId="2843" xr:uid="{00000000-0005-0000-0000-0000720A0000}"/>
    <cellStyle name="Normal 11 3 3 2 2" xfId="2844" xr:uid="{00000000-0005-0000-0000-0000730A0000}"/>
    <cellStyle name="Normal 11 3 3 3" xfId="2845" xr:uid="{00000000-0005-0000-0000-0000740A0000}"/>
    <cellStyle name="Normal 11 3 4" xfId="2846" xr:uid="{00000000-0005-0000-0000-0000750A0000}"/>
    <cellStyle name="Normal 11 3 4 2" xfId="2847" xr:uid="{00000000-0005-0000-0000-0000760A0000}"/>
    <cellStyle name="Normal 11 3 5" xfId="2848" xr:uid="{00000000-0005-0000-0000-0000770A0000}"/>
    <cellStyle name="Normal 11 3 6" xfId="2849" xr:uid="{00000000-0005-0000-0000-0000780A0000}"/>
    <cellStyle name="Normal 11 4" xfId="2850" xr:uid="{00000000-0005-0000-0000-0000790A0000}"/>
    <cellStyle name="Normal 11 4 2" xfId="2851" xr:uid="{00000000-0005-0000-0000-00007A0A0000}"/>
    <cellStyle name="Normal 11 4 2 2" xfId="2852" xr:uid="{00000000-0005-0000-0000-00007B0A0000}"/>
    <cellStyle name="Normal 11 4 2 2 2" xfId="2853" xr:uid="{00000000-0005-0000-0000-00007C0A0000}"/>
    <cellStyle name="Normal 11 4 2 2 2 2" xfId="2854" xr:uid="{00000000-0005-0000-0000-00007D0A0000}"/>
    <cellStyle name="Normal 11 4 2 2 3" xfId="2855" xr:uid="{00000000-0005-0000-0000-00007E0A0000}"/>
    <cellStyle name="Normal 11 4 2 3" xfId="2856" xr:uid="{00000000-0005-0000-0000-00007F0A0000}"/>
    <cellStyle name="Normal 11 4 2 3 2" xfId="2857" xr:uid="{00000000-0005-0000-0000-0000800A0000}"/>
    <cellStyle name="Normal 11 4 2 4" xfId="2858" xr:uid="{00000000-0005-0000-0000-0000810A0000}"/>
    <cellStyle name="Normal 11 4 3" xfId="2859" xr:uid="{00000000-0005-0000-0000-0000820A0000}"/>
    <cellStyle name="Normal 11 4 3 2" xfId="2860" xr:uid="{00000000-0005-0000-0000-0000830A0000}"/>
    <cellStyle name="Normal 11 4 3 2 2" xfId="2861" xr:uid="{00000000-0005-0000-0000-0000840A0000}"/>
    <cellStyle name="Normal 11 4 3 3" xfId="2862" xr:uid="{00000000-0005-0000-0000-0000850A0000}"/>
    <cellStyle name="Normal 11 4 4" xfId="2863" xr:uid="{00000000-0005-0000-0000-0000860A0000}"/>
    <cellStyle name="Normal 11 4 4 2" xfId="2864" xr:uid="{00000000-0005-0000-0000-0000870A0000}"/>
    <cellStyle name="Normal 11 4 5" xfId="2865" xr:uid="{00000000-0005-0000-0000-0000880A0000}"/>
    <cellStyle name="Normal 11 5" xfId="2866" xr:uid="{00000000-0005-0000-0000-0000890A0000}"/>
    <cellStyle name="Normal 11 5 2" xfId="2867" xr:uid="{00000000-0005-0000-0000-00008A0A0000}"/>
    <cellStyle name="Normal 11 5 2 2" xfId="2868" xr:uid="{00000000-0005-0000-0000-00008B0A0000}"/>
    <cellStyle name="Normal 11 5 2 2 2" xfId="2869" xr:uid="{00000000-0005-0000-0000-00008C0A0000}"/>
    <cellStyle name="Normal 11 5 2 2 2 2" xfId="2870" xr:uid="{00000000-0005-0000-0000-00008D0A0000}"/>
    <cellStyle name="Normal 11 5 2 2 3" xfId="2871" xr:uid="{00000000-0005-0000-0000-00008E0A0000}"/>
    <cellStyle name="Normal 11 5 2 3" xfId="2872" xr:uid="{00000000-0005-0000-0000-00008F0A0000}"/>
    <cellStyle name="Normal 11 5 2 3 2" xfId="2873" xr:uid="{00000000-0005-0000-0000-0000900A0000}"/>
    <cellStyle name="Normal 11 5 2 4" xfId="2874" xr:uid="{00000000-0005-0000-0000-0000910A0000}"/>
    <cellStyle name="Normal 11 5 3" xfId="2875" xr:uid="{00000000-0005-0000-0000-0000920A0000}"/>
    <cellStyle name="Normal 11 5 3 2" xfId="2876" xr:uid="{00000000-0005-0000-0000-0000930A0000}"/>
    <cellStyle name="Normal 11 5 3 2 2" xfId="2877" xr:uid="{00000000-0005-0000-0000-0000940A0000}"/>
    <cellStyle name="Normal 11 5 3 3" xfId="2878" xr:uid="{00000000-0005-0000-0000-0000950A0000}"/>
    <cellStyle name="Normal 11 5 4" xfId="2879" xr:uid="{00000000-0005-0000-0000-0000960A0000}"/>
    <cellStyle name="Normal 11 5 4 2" xfId="2880" xr:uid="{00000000-0005-0000-0000-0000970A0000}"/>
    <cellStyle name="Normal 11 5 5" xfId="2881" xr:uid="{00000000-0005-0000-0000-0000980A0000}"/>
    <cellStyle name="Normal 11 6" xfId="2882" xr:uid="{00000000-0005-0000-0000-0000990A0000}"/>
    <cellStyle name="Normal 11 6 2" xfId="2883" xr:uid="{00000000-0005-0000-0000-00009A0A0000}"/>
    <cellStyle name="Normal 11 6 2 2" xfId="2884" xr:uid="{00000000-0005-0000-0000-00009B0A0000}"/>
    <cellStyle name="Normal 11 6 2 2 2" xfId="2885" xr:uid="{00000000-0005-0000-0000-00009C0A0000}"/>
    <cellStyle name="Normal 11 6 2 3" xfId="2886" xr:uid="{00000000-0005-0000-0000-00009D0A0000}"/>
    <cellStyle name="Normal 11 6 3" xfId="2887" xr:uid="{00000000-0005-0000-0000-00009E0A0000}"/>
    <cellStyle name="Normal 11 6 3 2" xfId="2888" xr:uid="{00000000-0005-0000-0000-00009F0A0000}"/>
    <cellStyle name="Normal 11 6 4" xfId="2889" xr:uid="{00000000-0005-0000-0000-0000A00A0000}"/>
    <cellStyle name="Normal 11 7" xfId="2890" xr:uid="{00000000-0005-0000-0000-0000A10A0000}"/>
    <cellStyle name="Normal 11 7 2" xfId="2891" xr:uid="{00000000-0005-0000-0000-0000A20A0000}"/>
    <cellStyle name="Normal 11 7 2 2" xfId="2892" xr:uid="{00000000-0005-0000-0000-0000A30A0000}"/>
    <cellStyle name="Normal 11 7 3" xfId="2893" xr:uid="{00000000-0005-0000-0000-0000A40A0000}"/>
    <cellStyle name="Normal 11 8" xfId="2894" xr:uid="{00000000-0005-0000-0000-0000A50A0000}"/>
    <cellStyle name="Normal 11 8 2" xfId="2895" xr:uid="{00000000-0005-0000-0000-0000A60A0000}"/>
    <cellStyle name="Normal 11 9" xfId="2896" xr:uid="{00000000-0005-0000-0000-0000A70A0000}"/>
    <cellStyle name="Normal 110" xfId="2897" xr:uid="{00000000-0005-0000-0000-0000A80A0000}"/>
    <cellStyle name="Normal 110 2" xfId="2898" xr:uid="{00000000-0005-0000-0000-0000A90A0000}"/>
    <cellStyle name="Normal 110 2 2" xfId="2899" xr:uid="{00000000-0005-0000-0000-0000AA0A0000}"/>
    <cellStyle name="Normal 110 3" xfId="2900" xr:uid="{00000000-0005-0000-0000-0000AB0A0000}"/>
    <cellStyle name="Normal 110 3 2" xfId="2901" xr:uid="{00000000-0005-0000-0000-0000AC0A0000}"/>
    <cellStyle name="Normal 110 3 2 2" xfId="2902" xr:uid="{00000000-0005-0000-0000-0000AD0A0000}"/>
    <cellStyle name="Normal 110 3 2 2 2" xfId="2903" xr:uid="{00000000-0005-0000-0000-0000AE0A0000}"/>
    <cellStyle name="Normal 110 3 2 2 2 2" xfId="2904" xr:uid="{00000000-0005-0000-0000-0000AF0A0000}"/>
    <cellStyle name="Normal 110 3 2 2 3" xfId="2905" xr:uid="{00000000-0005-0000-0000-0000B00A0000}"/>
    <cellStyle name="Normal 110 3 2 3" xfId="2906" xr:uid="{00000000-0005-0000-0000-0000B10A0000}"/>
    <cellStyle name="Normal 110 3 2 3 2" xfId="2907" xr:uid="{00000000-0005-0000-0000-0000B20A0000}"/>
    <cellStyle name="Normal 110 3 2 4" xfId="2908" xr:uid="{00000000-0005-0000-0000-0000B30A0000}"/>
    <cellStyle name="Normal 110 3 3" xfId="2909" xr:uid="{00000000-0005-0000-0000-0000B40A0000}"/>
    <cellStyle name="Normal 110 3 3 2" xfId="2910" xr:uid="{00000000-0005-0000-0000-0000B50A0000}"/>
    <cellStyle name="Normal 110 3 3 2 2" xfId="2911" xr:uid="{00000000-0005-0000-0000-0000B60A0000}"/>
    <cellStyle name="Normal 110 3 3 3" xfId="2912" xr:uid="{00000000-0005-0000-0000-0000B70A0000}"/>
    <cellStyle name="Normal 110 3 4" xfId="2913" xr:uid="{00000000-0005-0000-0000-0000B80A0000}"/>
    <cellStyle name="Normal 110 3 4 2" xfId="2914" xr:uid="{00000000-0005-0000-0000-0000B90A0000}"/>
    <cellStyle name="Normal 110 3 5" xfId="2915" xr:uid="{00000000-0005-0000-0000-0000BA0A0000}"/>
    <cellStyle name="Normal 110 4" xfId="2916" xr:uid="{00000000-0005-0000-0000-0000BB0A0000}"/>
    <cellStyle name="Normal 110 4 2" xfId="2917" xr:uid="{00000000-0005-0000-0000-0000BC0A0000}"/>
    <cellStyle name="Normal 110 4 2 2" xfId="2918" xr:uid="{00000000-0005-0000-0000-0000BD0A0000}"/>
    <cellStyle name="Normal 110 4 2 2 2" xfId="2919" xr:uid="{00000000-0005-0000-0000-0000BE0A0000}"/>
    <cellStyle name="Normal 110 4 2 2 2 2" xfId="2920" xr:uid="{00000000-0005-0000-0000-0000BF0A0000}"/>
    <cellStyle name="Normal 110 4 2 2 3" xfId="2921" xr:uid="{00000000-0005-0000-0000-0000C00A0000}"/>
    <cellStyle name="Normal 110 4 2 3" xfId="2922" xr:uid="{00000000-0005-0000-0000-0000C10A0000}"/>
    <cellStyle name="Normal 110 4 2 3 2" xfId="2923" xr:uid="{00000000-0005-0000-0000-0000C20A0000}"/>
    <cellStyle name="Normal 110 4 2 4" xfId="2924" xr:uid="{00000000-0005-0000-0000-0000C30A0000}"/>
    <cellStyle name="Normal 110 4 3" xfId="2925" xr:uid="{00000000-0005-0000-0000-0000C40A0000}"/>
    <cellStyle name="Normal 110 4 3 2" xfId="2926" xr:uid="{00000000-0005-0000-0000-0000C50A0000}"/>
    <cellStyle name="Normal 110 4 3 2 2" xfId="2927" xr:uid="{00000000-0005-0000-0000-0000C60A0000}"/>
    <cellStyle name="Normal 110 4 3 3" xfId="2928" xr:uid="{00000000-0005-0000-0000-0000C70A0000}"/>
    <cellStyle name="Normal 110 4 4" xfId="2929" xr:uid="{00000000-0005-0000-0000-0000C80A0000}"/>
    <cellStyle name="Normal 110 4 4 2" xfId="2930" xr:uid="{00000000-0005-0000-0000-0000C90A0000}"/>
    <cellStyle name="Normal 110 4 5" xfId="2931" xr:uid="{00000000-0005-0000-0000-0000CA0A0000}"/>
    <cellStyle name="Normal 110 5" xfId="2932" xr:uid="{00000000-0005-0000-0000-0000CB0A0000}"/>
    <cellStyle name="Normal 110 5 2" xfId="2933" xr:uid="{00000000-0005-0000-0000-0000CC0A0000}"/>
    <cellStyle name="Normal 110 5 2 2" xfId="2934" xr:uid="{00000000-0005-0000-0000-0000CD0A0000}"/>
    <cellStyle name="Normal 110 5 2 2 2" xfId="2935" xr:uid="{00000000-0005-0000-0000-0000CE0A0000}"/>
    <cellStyle name="Normal 110 5 2 2 2 2" xfId="2936" xr:uid="{00000000-0005-0000-0000-0000CF0A0000}"/>
    <cellStyle name="Normal 110 5 2 2 3" xfId="2937" xr:uid="{00000000-0005-0000-0000-0000D00A0000}"/>
    <cellStyle name="Normal 110 5 2 3" xfId="2938" xr:uid="{00000000-0005-0000-0000-0000D10A0000}"/>
    <cellStyle name="Normal 110 5 2 3 2" xfId="2939" xr:uid="{00000000-0005-0000-0000-0000D20A0000}"/>
    <cellStyle name="Normal 110 5 2 4" xfId="2940" xr:uid="{00000000-0005-0000-0000-0000D30A0000}"/>
    <cellStyle name="Normal 110 5 3" xfId="2941" xr:uid="{00000000-0005-0000-0000-0000D40A0000}"/>
    <cellStyle name="Normal 110 5 3 2" xfId="2942" xr:uid="{00000000-0005-0000-0000-0000D50A0000}"/>
    <cellStyle name="Normal 110 5 3 2 2" xfId="2943" xr:uid="{00000000-0005-0000-0000-0000D60A0000}"/>
    <cellStyle name="Normal 110 5 3 3" xfId="2944" xr:uid="{00000000-0005-0000-0000-0000D70A0000}"/>
    <cellStyle name="Normal 110 5 4" xfId="2945" xr:uid="{00000000-0005-0000-0000-0000D80A0000}"/>
    <cellStyle name="Normal 110 5 4 2" xfId="2946" xr:uid="{00000000-0005-0000-0000-0000D90A0000}"/>
    <cellStyle name="Normal 110 5 5" xfId="2947" xr:uid="{00000000-0005-0000-0000-0000DA0A0000}"/>
    <cellStyle name="Normal 110 6" xfId="2948" xr:uid="{00000000-0005-0000-0000-0000DB0A0000}"/>
    <cellStyle name="Normal 110 6 2" xfId="2949" xr:uid="{00000000-0005-0000-0000-0000DC0A0000}"/>
    <cellStyle name="Normal 110 6 2 2" xfId="2950" xr:uid="{00000000-0005-0000-0000-0000DD0A0000}"/>
    <cellStyle name="Normal 110 6 2 2 2" xfId="2951" xr:uid="{00000000-0005-0000-0000-0000DE0A0000}"/>
    <cellStyle name="Normal 110 6 2 3" xfId="2952" xr:uid="{00000000-0005-0000-0000-0000DF0A0000}"/>
    <cellStyle name="Normal 110 6 3" xfId="2953" xr:uid="{00000000-0005-0000-0000-0000E00A0000}"/>
    <cellStyle name="Normal 110 6 3 2" xfId="2954" xr:uid="{00000000-0005-0000-0000-0000E10A0000}"/>
    <cellStyle name="Normal 110 6 4" xfId="2955" xr:uid="{00000000-0005-0000-0000-0000E20A0000}"/>
    <cellStyle name="Normal 110 7" xfId="2956" xr:uid="{00000000-0005-0000-0000-0000E30A0000}"/>
    <cellStyle name="Normal 110 7 2" xfId="2957" xr:uid="{00000000-0005-0000-0000-0000E40A0000}"/>
    <cellStyle name="Normal 110 7 2 2" xfId="2958" xr:uid="{00000000-0005-0000-0000-0000E50A0000}"/>
    <cellStyle name="Normal 110 7 3" xfId="2959" xr:uid="{00000000-0005-0000-0000-0000E60A0000}"/>
    <cellStyle name="Normal 110 8" xfId="2960" xr:uid="{00000000-0005-0000-0000-0000E70A0000}"/>
    <cellStyle name="Normal 110 8 2" xfId="2961" xr:uid="{00000000-0005-0000-0000-0000E80A0000}"/>
    <cellStyle name="Normal 110 9" xfId="2962" xr:uid="{00000000-0005-0000-0000-0000E90A0000}"/>
    <cellStyle name="Normal 111" xfId="2963" xr:uid="{00000000-0005-0000-0000-0000EA0A0000}"/>
    <cellStyle name="Normal 111 2" xfId="2964" xr:uid="{00000000-0005-0000-0000-0000EB0A0000}"/>
    <cellStyle name="Normal 111 2 2" xfId="2965" xr:uid="{00000000-0005-0000-0000-0000EC0A0000}"/>
    <cellStyle name="Normal 111 3" xfId="2966" xr:uid="{00000000-0005-0000-0000-0000ED0A0000}"/>
    <cellStyle name="Normal 111 3 2" xfId="2967" xr:uid="{00000000-0005-0000-0000-0000EE0A0000}"/>
    <cellStyle name="Normal 111 3 2 2" xfId="2968" xr:uid="{00000000-0005-0000-0000-0000EF0A0000}"/>
    <cellStyle name="Normal 111 3 2 2 2" xfId="2969" xr:uid="{00000000-0005-0000-0000-0000F00A0000}"/>
    <cellStyle name="Normal 111 3 2 2 2 2" xfId="2970" xr:uid="{00000000-0005-0000-0000-0000F10A0000}"/>
    <cellStyle name="Normal 111 3 2 2 3" xfId="2971" xr:uid="{00000000-0005-0000-0000-0000F20A0000}"/>
    <cellStyle name="Normal 111 3 2 3" xfId="2972" xr:uid="{00000000-0005-0000-0000-0000F30A0000}"/>
    <cellStyle name="Normal 111 3 2 3 2" xfId="2973" xr:uid="{00000000-0005-0000-0000-0000F40A0000}"/>
    <cellStyle name="Normal 111 3 2 4" xfId="2974" xr:uid="{00000000-0005-0000-0000-0000F50A0000}"/>
    <cellStyle name="Normal 111 3 3" xfId="2975" xr:uid="{00000000-0005-0000-0000-0000F60A0000}"/>
    <cellStyle name="Normal 111 3 3 2" xfId="2976" xr:uid="{00000000-0005-0000-0000-0000F70A0000}"/>
    <cellStyle name="Normal 111 3 3 2 2" xfId="2977" xr:uid="{00000000-0005-0000-0000-0000F80A0000}"/>
    <cellStyle name="Normal 111 3 3 3" xfId="2978" xr:uid="{00000000-0005-0000-0000-0000F90A0000}"/>
    <cellStyle name="Normal 111 3 4" xfId="2979" xr:uid="{00000000-0005-0000-0000-0000FA0A0000}"/>
    <cellStyle name="Normal 111 3 4 2" xfId="2980" xr:uid="{00000000-0005-0000-0000-0000FB0A0000}"/>
    <cellStyle name="Normal 111 3 5" xfId="2981" xr:uid="{00000000-0005-0000-0000-0000FC0A0000}"/>
    <cellStyle name="Normal 111 4" xfId="2982" xr:uid="{00000000-0005-0000-0000-0000FD0A0000}"/>
    <cellStyle name="Normal 111 4 2" xfId="2983" xr:uid="{00000000-0005-0000-0000-0000FE0A0000}"/>
    <cellStyle name="Normal 111 4 2 2" xfId="2984" xr:uid="{00000000-0005-0000-0000-0000FF0A0000}"/>
    <cellStyle name="Normal 111 4 2 2 2" xfId="2985" xr:uid="{00000000-0005-0000-0000-0000000B0000}"/>
    <cellStyle name="Normal 111 4 2 2 2 2" xfId="2986" xr:uid="{00000000-0005-0000-0000-0000010B0000}"/>
    <cellStyle name="Normal 111 4 2 2 3" xfId="2987" xr:uid="{00000000-0005-0000-0000-0000020B0000}"/>
    <cellStyle name="Normal 111 4 2 3" xfId="2988" xr:uid="{00000000-0005-0000-0000-0000030B0000}"/>
    <cellStyle name="Normal 111 4 2 3 2" xfId="2989" xr:uid="{00000000-0005-0000-0000-0000040B0000}"/>
    <cellStyle name="Normal 111 4 2 4" xfId="2990" xr:uid="{00000000-0005-0000-0000-0000050B0000}"/>
    <cellStyle name="Normal 111 4 3" xfId="2991" xr:uid="{00000000-0005-0000-0000-0000060B0000}"/>
    <cellStyle name="Normal 111 4 3 2" xfId="2992" xr:uid="{00000000-0005-0000-0000-0000070B0000}"/>
    <cellStyle name="Normal 111 4 3 2 2" xfId="2993" xr:uid="{00000000-0005-0000-0000-0000080B0000}"/>
    <cellStyle name="Normal 111 4 3 3" xfId="2994" xr:uid="{00000000-0005-0000-0000-0000090B0000}"/>
    <cellStyle name="Normal 111 4 4" xfId="2995" xr:uid="{00000000-0005-0000-0000-00000A0B0000}"/>
    <cellStyle name="Normal 111 4 4 2" xfId="2996" xr:uid="{00000000-0005-0000-0000-00000B0B0000}"/>
    <cellStyle name="Normal 111 4 5" xfId="2997" xr:uid="{00000000-0005-0000-0000-00000C0B0000}"/>
    <cellStyle name="Normal 111 5" xfId="2998" xr:uid="{00000000-0005-0000-0000-00000D0B0000}"/>
    <cellStyle name="Normal 111 5 2" xfId="2999" xr:uid="{00000000-0005-0000-0000-00000E0B0000}"/>
    <cellStyle name="Normal 111 5 2 2" xfId="3000" xr:uid="{00000000-0005-0000-0000-00000F0B0000}"/>
    <cellStyle name="Normal 111 5 2 2 2" xfId="3001" xr:uid="{00000000-0005-0000-0000-0000100B0000}"/>
    <cellStyle name="Normal 111 5 2 2 2 2" xfId="3002" xr:uid="{00000000-0005-0000-0000-0000110B0000}"/>
    <cellStyle name="Normal 111 5 2 2 3" xfId="3003" xr:uid="{00000000-0005-0000-0000-0000120B0000}"/>
    <cellStyle name="Normal 111 5 2 3" xfId="3004" xr:uid="{00000000-0005-0000-0000-0000130B0000}"/>
    <cellStyle name="Normal 111 5 2 3 2" xfId="3005" xr:uid="{00000000-0005-0000-0000-0000140B0000}"/>
    <cellStyle name="Normal 111 5 2 4" xfId="3006" xr:uid="{00000000-0005-0000-0000-0000150B0000}"/>
    <cellStyle name="Normal 111 5 3" xfId="3007" xr:uid="{00000000-0005-0000-0000-0000160B0000}"/>
    <cellStyle name="Normal 111 5 3 2" xfId="3008" xr:uid="{00000000-0005-0000-0000-0000170B0000}"/>
    <cellStyle name="Normal 111 5 3 2 2" xfId="3009" xr:uid="{00000000-0005-0000-0000-0000180B0000}"/>
    <cellStyle name="Normal 111 5 3 3" xfId="3010" xr:uid="{00000000-0005-0000-0000-0000190B0000}"/>
    <cellStyle name="Normal 111 5 4" xfId="3011" xr:uid="{00000000-0005-0000-0000-00001A0B0000}"/>
    <cellStyle name="Normal 111 5 4 2" xfId="3012" xr:uid="{00000000-0005-0000-0000-00001B0B0000}"/>
    <cellStyle name="Normal 111 5 5" xfId="3013" xr:uid="{00000000-0005-0000-0000-00001C0B0000}"/>
    <cellStyle name="Normal 111 6" xfId="3014" xr:uid="{00000000-0005-0000-0000-00001D0B0000}"/>
    <cellStyle name="Normal 111 6 2" xfId="3015" xr:uid="{00000000-0005-0000-0000-00001E0B0000}"/>
    <cellStyle name="Normal 111 6 2 2" xfId="3016" xr:uid="{00000000-0005-0000-0000-00001F0B0000}"/>
    <cellStyle name="Normal 111 6 2 2 2" xfId="3017" xr:uid="{00000000-0005-0000-0000-0000200B0000}"/>
    <cellStyle name="Normal 111 6 2 3" xfId="3018" xr:uid="{00000000-0005-0000-0000-0000210B0000}"/>
    <cellStyle name="Normal 111 6 3" xfId="3019" xr:uid="{00000000-0005-0000-0000-0000220B0000}"/>
    <cellStyle name="Normal 111 6 3 2" xfId="3020" xr:uid="{00000000-0005-0000-0000-0000230B0000}"/>
    <cellStyle name="Normal 111 6 4" xfId="3021" xr:uid="{00000000-0005-0000-0000-0000240B0000}"/>
    <cellStyle name="Normal 111 7" xfId="3022" xr:uid="{00000000-0005-0000-0000-0000250B0000}"/>
    <cellStyle name="Normal 111 7 2" xfId="3023" xr:uid="{00000000-0005-0000-0000-0000260B0000}"/>
    <cellStyle name="Normal 111 7 2 2" xfId="3024" xr:uid="{00000000-0005-0000-0000-0000270B0000}"/>
    <cellStyle name="Normal 111 7 3" xfId="3025" xr:uid="{00000000-0005-0000-0000-0000280B0000}"/>
    <cellStyle name="Normal 111 8" xfId="3026" xr:uid="{00000000-0005-0000-0000-0000290B0000}"/>
    <cellStyle name="Normal 111 8 2" xfId="3027" xr:uid="{00000000-0005-0000-0000-00002A0B0000}"/>
    <cellStyle name="Normal 111 9" xfId="3028" xr:uid="{00000000-0005-0000-0000-00002B0B0000}"/>
    <cellStyle name="Normal 112" xfId="3029" xr:uid="{00000000-0005-0000-0000-00002C0B0000}"/>
    <cellStyle name="Normal 112 2" xfId="3030" xr:uid="{00000000-0005-0000-0000-00002D0B0000}"/>
    <cellStyle name="Normal 112 2 2" xfId="3031" xr:uid="{00000000-0005-0000-0000-00002E0B0000}"/>
    <cellStyle name="Normal 112 3" xfId="3032" xr:uid="{00000000-0005-0000-0000-00002F0B0000}"/>
    <cellStyle name="Normal 112 3 2" xfId="3033" xr:uid="{00000000-0005-0000-0000-0000300B0000}"/>
    <cellStyle name="Normal 112 3 2 2" xfId="3034" xr:uid="{00000000-0005-0000-0000-0000310B0000}"/>
    <cellStyle name="Normal 112 3 2 2 2" xfId="3035" xr:uid="{00000000-0005-0000-0000-0000320B0000}"/>
    <cellStyle name="Normal 112 3 2 2 2 2" xfId="3036" xr:uid="{00000000-0005-0000-0000-0000330B0000}"/>
    <cellStyle name="Normal 112 3 2 2 3" xfId="3037" xr:uid="{00000000-0005-0000-0000-0000340B0000}"/>
    <cellStyle name="Normal 112 3 2 3" xfId="3038" xr:uid="{00000000-0005-0000-0000-0000350B0000}"/>
    <cellStyle name="Normal 112 3 2 3 2" xfId="3039" xr:uid="{00000000-0005-0000-0000-0000360B0000}"/>
    <cellStyle name="Normal 112 3 2 4" xfId="3040" xr:uid="{00000000-0005-0000-0000-0000370B0000}"/>
    <cellStyle name="Normal 112 3 3" xfId="3041" xr:uid="{00000000-0005-0000-0000-0000380B0000}"/>
    <cellStyle name="Normal 112 3 3 2" xfId="3042" xr:uid="{00000000-0005-0000-0000-0000390B0000}"/>
    <cellStyle name="Normal 112 3 3 2 2" xfId="3043" xr:uid="{00000000-0005-0000-0000-00003A0B0000}"/>
    <cellStyle name="Normal 112 3 3 3" xfId="3044" xr:uid="{00000000-0005-0000-0000-00003B0B0000}"/>
    <cellStyle name="Normal 112 3 4" xfId="3045" xr:uid="{00000000-0005-0000-0000-00003C0B0000}"/>
    <cellStyle name="Normal 112 3 4 2" xfId="3046" xr:uid="{00000000-0005-0000-0000-00003D0B0000}"/>
    <cellStyle name="Normal 112 3 5" xfId="3047" xr:uid="{00000000-0005-0000-0000-00003E0B0000}"/>
    <cellStyle name="Normal 112 4" xfId="3048" xr:uid="{00000000-0005-0000-0000-00003F0B0000}"/>
    <cellStyle name="Normal 112 4 2" xfId="3049" xr:uid="{00000000-0005-0000-0000-0000400B0000}"/>
    <cellStyle name="Normal 112 4 2 2" xfId="3050" xr:uid="{00000000-0005-0000-0000-0000410B0000}"/>
    <cellStyle name="Normal 112 4 2 2 2" xfId="3051" xr:uid="{00000000-0005-0000-0000-0000420B0000}"/>
    <cellStyle name="Normal 112 4 2 2 2 2" xfId="3052" xr:uid="{00000000-0005-0000-0000-0000430B0000}"/>
    <cellStyle name="Normal 112 4 2 2 3" xfId="3053" xr:uid="{00000000-0005-0000-0000-0000440B0000}"/>
    <cellStyle name="Normal 112 4 2 3" xfId="3054" xr:uid="{00000000-0005-0000-0000-0000450B0000}"/>
    <cellStyle name="Normal 112 4 2 3 2" xfId="3055" xr:uid="{00000000-0005-0000-0000-0000460B0000}"/>
    <cellStyle name="Normal 112 4 2 4" xfId="3056" xr:uid="{00000000-0005-0000-0000-0000470B0000}"/>
    <cellStyle name="Normal 112 4 3" xfId="3057" xr:uid="{00000000-0005-0000-0000-0000480B0000}"/>
    <cellStyle name="Normal 112 4 3 2" xfId="3058" xr:uid="{00000000-0005-0000-0000-0000490B0000}"/>
    <cellStyle name="Normal 112 4 3 2 2" xfId="3059" xr:uid="{00000000-0005-0000-0000-00004A0B0000}"/>
    <cellStyle name="Normal 112 4 3 3" xfId="3060" xr:uid="{00000000-0005-0000-0000-00004B0B0000}"/>
    <cellStyle name="Normal 112 4 4" xfId="3061" xr:uid="{00000000-0005-0000-0000-00004C0B0000}"/>
    <cellStyle name="Normal 112 4 4 2" xfId="3062" xr:uid="{00000000-0005-0000-0000-00004D0B0000}"/>
    <cellStyle name="Normal 112 4 5" xfId="3063" xr:uid="{00000000-0005-0000-0000-00004E0B0000}"/>
    <cellStyle name="Normal 112 5" xfId="3064" xr:uid="{00000000-0005-0000-0000-00004F0B0000}"/>
    <cellStyle name="Normal 112 5 2" xfId="3065" xr:uid="{00000000-0005-0000-0000-0000500B0000}"/>
    <cellStyle name="Normal 112 5 2 2" xfId="3066" xr:uid="{00000000-0005-0000-0000-0000510B0000}"/>
    <cellStyle name="Normal 112 5 2 2 2" xfId="3067" xr:uid="{00000000-0005-0000-0000-0000520B0000}"/>
    <cellStyle name="Normal 112 5 2 2 2 2" xfId="3068" xr:uid="{00000000-0005-0000-0000-0000530B0000}"/>
    <cellStyle name="Normal 112 5 2 2 3" xfId="3069" xr:uid="{00000000-0005-0000-0000-0000540B0000}"/>
    <cellStyle name="Normal 112 5 2 3" xfId="3070" xr:uid="{00000000-0005-0000-0000-0000550B0000}"/>
    <cellStyle name="Normal 112 5 2 3 2" xfId="3071" xr:uid="{00000000-0005-0000-0000-0000560B0000}"/>
    <cellStyle name="Normal 112 5 2 4" xfId="3072" xr:uid="{00000000-0005-0000-0000-0000570B0000}"/>
    <cellStyle name="Normal 112 5 3" xfId="3073" xr:uid="{00000000-0005-0000-0000-0000580B0000}"/>
    <cellStyle name="Normal 112 5 3 2" xfId="3074" xr:uid="{00000000-0005-0000-0000-0000590B0000}"/>
    <cellStyle name="Normal 112 5 3 2 2" xfId="3075" xr:uid="{00000000-0005-0000-0000-00005A0B0000}"/>
    <cellStyle name="Normal 112 5 3 3" xfId="3076" xr:uid="{00000000-0005-0000-0000-00005B0B0000}"/>
    <cellStyle name="Normal 112 5 4" xfId="3077" xr:uid="{00000000-0005-0000-0000-00005C0B0000}"/>
    <cellStyle name="Normal 112 5 4 2" xfId="3078" xr:uid="{00000000-0005-0000-0000-00005D0B0000}"/>
    <cellStyle name="Normal 112 5 5" xfId="3079" xr:uid="{00000000-0005-0000-0000-00005E0B0000}"/>
    <cellStyle name="Normal 112 6" xfId="3080" xr:uid="{00000000-0005-0000-0000-00005F0B0000}"/>
    <cellStyle name="Normal 112 6 2" xfId="3081" xr:uid="{00000000-0005-0000-0000-0000600B0000}"/>
    <cellStyle name="Normal 112 6 2 2" xfId="3082" xr:uid="{00000000-0005-0000-0000-0000610B0000}"/>
    <cellStyle name="Normal 112 6 2 2 2" xfId="3083" xr:uid="{00000000-0005-0000-0000-0000620B0000}"/>
    <cellStyle name="Normal 112 6 2 3" xfId="3084" xr:uid="{00000000-0005-0000-0000-0000630B0000}"/>
    <cellStyle name="Normal 112 6 3" xfId="3085" xr:uid="{00000000-0005-0000-0000-0000640B0000}"/>
    <cellStyle name="Normal 112 6 3 2" xfId="3086" xr:uid="{00000000-0005-0000-0000-0000650B0000}"/>
    <cellStyle name="Normal 112 6 4" xfId="3087" xr:uid="{00000000-0005-0000-0000-0000660B0000}"/>
    <cellStyle name="Normal 112 7" xfId="3088" xr:uid="{00000000-0005-0000-0000-0000670B0000}"/>
    <cellStyle name="Normal 112 7 2" xfId="3089" xr:uid="{00000000-0005-0000-0000-0000680B0000}"/>
    <cellStyle name="Normal 112 7 2 2" xfId="3090" xr:uid="{00000000-0005-0000-0000-0000690B0000}"/>
    <cellStyle name="Normal 112 7 3" xfId="3091" xr:uid="{00000000-0005-0000-0000-00006A0B0000}"/>
    <cellStyle name="Normal 112 8" xfId="3092" xr:uid="{00000000-0005-0000-0000-00006B0B0000}"/>
    <cellStyle name="Normal 112 8 2" xfId="3093" xr:uid="{00000000-0005-0000-0000-00006C0B0000}"/>
    <cellStyle name="Normal 112 9" xfId="3094" xr:uid="{00000000-0005-0000-0000-00006D0B0000}"/>
    <cellStyle name="Normal 113" xfId="3095" xr:uid="{00000000-0005-0000-0000-00006E0B0000}"/>
    <cellStyle name="Normal 113 2" xfId="3096" xr:uid="{00000000-0005-0000-0000-00006F0B0000}"/>
    <cellStyle name="Normal 113 2 2" xfId="3097" xr:uid="{00000000-0005-0000-0000-0000700B0000}"/>
    <cellStyle name="Normal 113 3" xfId="3098" xr:uid="{00000000-0005-0000-0000-0000710B0000}"/>
    <cellStyle name="Normal 113 3 2" xfId="3099" xr:uid="{00000000-0005-0000-0000-0000720B0000}"/>
    <cellStyle name="Normal 113 3 2 2" xfId="3100" xr:uid="{00000000-0005-0000-0000-0000730B0000}"/>
    <cellStyle name="Normal 113 3 2 2 2" xfId="3101" xr:uid="{00000000-0005-0000-0000-0000740B0000}"/>
    <cellStyle name="Normal 113 3 2 2 2 2" xfId="3102" xr:uid="{00000000-0005-0000-0000-0000750B0000}"/>
    <cellStyle name="Normal 113 3 2 2 3" xfId="3103" xr:uid="{00000000-0005-0000-0000-0000760B0000}"/>
    <cellStyle name="Normal 113 3 2 3" xfId="3104" xr:uid="{00000000-0005-0000-0000-0000770B0000}"/>
    <cellStyle name="Normal 113 3 2 3 2" xfId="3105" xr:uid="{00000000-0005-0000-0000-0000780B0000}"/>
    <cellStyle name="Normal 113 3 2 4" xfId="3106" xr:uid="{00000000-0005-0000-0000-0000790B0000}"/>
    <cellStyle name="Normal 113 3 3" xfId="3107" xr:uid="{00000000-0005-0000-0000-00007A0B0000}"/>
    <cellStyle name="Normal 113 3 3 2" xfId="3108" xr:uid="{00000000-0005-0000-0000-00007B0B0000}"/>
    <cellStyle name="Normal 113 3 3 2 2" xfId="3109" xr:uid="{00000000-0005-0000-0000-00007C0B0000}"/>
    <cellStyle name="Normal 113 3 3 3" xfId="3110" xr:uid="{00000000-0005-0000-0000-00007D0B0000}"/>
    <cellStyle name="Normal 113 3 4" xfId="3111" xr:uid="{00000000-0005-0000-0000-00007E0B0000}"/>
    <cellStyle name="Normal 113 3 4 2" xfId="3112" xr:uid="{00000000-0005-0000-0000-00007F0B0000}"/>
    <cellStyle name="Normal 113 3 5" xfId="3113" xr:uid="{00000000-0005-0000-0000-0000800B0000}"/>
    <cellStyle name="Normal 113 4" xfId="3114" xr:uid="{00000000-0005-0000-0000-0000810B0000}"/>
    <cellStyle name="Normal 113 4 2" xfId="3115" xr:uid="{00000000-0005-0000-0000-0000820B0000}"/>
    <cellStyle name="Normal 113 4 2 2" xfId="3116" xr:uid="{00000000-0005-0000-0000-0000830B0000}"/>
    <cellStyle name="Normal 113 4 2 2 2" xfId="3117" xr:uid="{00000000-0005-0000-0000-0000840B0000}"/>
    <cellStyle name="Normal 113 4 2 2 2 2" xfId="3118" xr:uid="{00000000-0005-0000-0000-0000850B0000}"/>
    <cellStyle name="Normal 113 4 2 2 3" xfId="3119" xr:uid="{00000000-0005-0000-0000-0000860B0000}"/>
    <cellStyle name="Normal 113 4 2 3" xfId="3120" xr:uid="{00000000-0005-0000-0000-0000870B0000}"/>
    <cellStyle name="Normal 113 4 2 3 2" xfId="3121" xr:uid="{00000000-0005-0000-0000-0000880B0000}"/>
    <cellStyle name="Normal 113 4 2 4" xfId="3122" xr:uid="{00000000-0005-0000-0000-0000890B0000}"/>
    <cellStyle name="Normal 113 4 3" xfId="3123" xr:uid="{00000000-0005-0000-0000-00008A0B0000}"/>
    <cellStyle name="Normal 113 4 3 2" xfId="3124" xr:uid="{00000000-0005-0000-0000-00008B0B0000}"/>
    <cellStyle name="Normal 113 4 3 2 2" xfId="3125" xr:uid="{00000000-0005-0000-0000-00008C0B0000}"/>
    <cellStyle name="Normal 113 4 3 3" xfId="3126" xr:uid="{00000000-0005-0000-0000-00008D0B0000}"/>
    <cellStyle name="Normal 113 4 4" xfId="3127" xr:uid="{00000000-0005-0000-0000-00008E0B0000}"/>
    <cellStyle name="Normal 113 4 4 2" xfId="3128" xr:uid="{00000000-0005-0000-0000-00008F0B0000}"/>
    <cellStyle name="Normal 113 4 5" xfId="3129" xr:uid="{00000000-0005-0000-0000-0000900B0000}"/>
    <cellStyle name="Normal 113 5" xfId="3130" xr:uid="{00000000-0005-0000-0000-0000910B0000}"/>
    <cellStyle name="Normal 113 5 2" xfId="3131" xr:uid="{00000000-0005-0000-0000-0000920B0000}"/>
    <cellStyle name="Normal 113 5 2 2" xfId="3132" xr:uid="{00000000-0005-0000-0000-0000930B0000}"/>
    <cellStyle name="Normal 113 5 2 2 2" xfId="3133" xr:uid="{00000000-0005-0000-0000-0000940B0000}"/>
    <cellStyle name="Normal 113 5 2 2 2 2" xfId="3134" xr:uid="{00000000-0005-0000-0000-0000950B0000}"/>
    <cellStyle name="Normal 113 5 2 2 3" xfId="3135" xr:uid="{00000000-0005-0000-0000-0000960B0000}"/>
    <cellStyle name="Normal 113 5 2 3" xfId="3136" xr:uid="{00000000-0005-0000-0000-0000970B0000}"/>
    <cellStyle name="Normal 113 5 2 3 2" xfId="3137" xr:uid="{00000000-0005-0000-0000-0000980B0000}"/>
    <cellStyle name="Normal 113 5 2 4" xfId="3138" xr:uid="{00000000-0005-0000-0000-0000990B0000}"/>
    <cellStyle name="Normal 113 5 3" xfId="3139" xr:uid="{00000000-0005-0000-0000-00009A0B0000}"/>
    <cellStyle name="Normal 113 5 3 2" xfId="3140" xr:uid="{00000000-0005-0000-0000-00009B0B0000}"/>
    <cellStyle name="Normal 113 5 3 2 2" xfId="3141" xr:uid="{00000000-0005-0000-0000-00009C0B0000}"/>
    <cellStyle name="Normal 113 5 3 3" xfId="3142" xr:uid="{00000000-0005-0000-0000-00009D0B0000}"/>
    <cellStyle name="Normal 113 5 4" xfId="3143" xr:uid="{00000000-0005-0000-0000-00009E0B0000}"/>
    <cellStyle name="Normal 113 5 4 2" xfId="3144" xr:uid="{00000000-0005-0000-0000-00009F0B0000}"/>
    <cellStyle name="Normal 113 5 5" xfId="3145" xr:uid="{00000000-0005-0000-0000-0000A00B0000}"/>
    <cellStyle name="Normal 113 6" xfId="3146" xr:uid="{00000000-0005-0000-0000-0000A10B0000}"/>
    <cellStyle name="Normal 113 6 2" xfId="3147" xr:uid="{00000000-0005-0000-0000-0000A20B0000}"/>
    <cellStyle name="Normal 113 6 2 2" xfId="3148" xr:uid="{00000000-0005-0000-0000-0000A30B0000}"/>
    <cellStyle name="Normal 113 6 2 2 2" xfId="3149" xr:uid="{00000000-0005-0000-0000-0000A40B0000}"/>
    <cellStyle name="Normal 113 6 2 3" xfId="3150" xr:uid="{00000000-0005-0000-0000-0000A50B0000}"/>
    <cellStyle name="Normal 113 6 3" xfId="3151" xr:uid="{00000000-0005-0000-0000-0000A60B0000}"/>
    <cellStyle name="Normal 113 6 3 2" xfId="3152" xr:uid="{00000000-0005-0000-0000-0000A70B0000}"/>
    <cellStyle name="Normal 113 6 4" xfId="3153" xr:uid="{00000000-0005-0000-0000-0000A80B0000}"/>
    <cellStyle name="Normal 113 7" xfId="3154" xr:uid="{00000000-0005-0000-0000-0000A90B0000}"/>
    <cellStyle name="Normal 113 7 2" xfId="3155" xr:uid="{00000000-0005-0000-0000-0000AA0B0000}"/>
    <cellStyle name="Normal 113 7 2 2" xfId="3156" xr:uid="{00000000-0005-0000-0000-0000AB0B0000}"/>
    <cellStyle name="Normal 113 7 3" xfId="3157" xr:uid="{00000000-0005-0000-0000-0000AC0B0000}"/>
    <cellStyle name="Normal 113 8" xfId="3158" xr:uid="{00000000-0005-0000-0000-0000AD0B0000}"/>
    <cellStyle name="Normal 113 8 2" xfId="3159" xr:uid="{00000000-0005-0000-0000-0000AE0B0000}"/>
    <cellStyle name="Normal 113 9" xfId="3160" xr:uid="{00000000-0005-0000-0000-0000AF0B0000}"/>
    <cellStyle name="Normal 114" xfId="3161" xr:uid="{00000000-0005-0000-0000-0000B00B0000}"/>
    <cellStyle name="Normal 114 2" xfId="3162" xr:uid="{00000000-0005-0000-0000-0000B10B0000}"/>
    <cellStyle name="Normal 114 2 2" xfId="3163" xr:uid="{00000000-0005-0000-0000-0000B20B0000}"/>
    <cellStyle name="Normal 114 2 2 2" xfId="3164" xr:uid="{00000000-0005-0000-0000-0000B30B0000}"/>
    <cellStyle name="Normal 114 2 2 2 2" xfId="3165" xr:uid="{00000000-0005-0000-0000-0000B40B0000}"/>
    <cellStyle name="Normal 114 2 2 3" xfId="3166" xr:uid="{00000000-0005-0000-0000-0000B50B0000}"/>
    <cellStyle name="Normal 114 2 3" xfId="3167" xr:uid="{00000000-0005-0000-0000-0000B60B0000}"/>
    <cellStyle name="Normal 114 2 3 2" xfId="3168" xr:uid="{00000000-0005-0000-0000-0000B70B0000}"/>
    <cellStyle name="Normal 114 2 4" xfId="3169" xr:uid="{00000000-0005-0000-0000-0000B80B0000}"/>
    <cellStyle name="Normal 114 3" xfId="3170" xr:uid="{00000000-0005-0000-0000-0000B90B0000}"/>
    <cellStyle name="Normal 114 3 2" xfId="3171" xr:uid="{00000000-0005-0000-0000-0000BA0B0000}"/>
    <cellStyle name="Normal 114 3 2 2" xfId="3172" xr:uid="{00000000-0005-0000-0000-0000BB0B0000}"/>
    <cellStyle name="Normal 114 3 3" xfId="3173" xr:uid="{00000000-0005-0000-0000-0000BC0B0000}"/>
    <cellStyle name="Normal 114 4" xfId="3174" xr:uid="{00000000-0005-0000-0000-0000BD0B0000}"/>
    <cellStyle name="Normal 114 4 2" xfId="3175" xr:uid="{00000000-0005-0000-0000-0000BE0B0000}"/>
    <cellStyle name="Normal 114 5" xfId="3176" xr:uid="{00000000-0005-0000-0000-0000BF0B0000}"/>
    <cellStyle name="Normal 114 6" xfId="3177" xr:uid="{00000000-0005-0000-0000-0000C00B0000}"/>
    <cellStyle name="Normal 115" xfId="3178" xr:uid="{00000000-0005-0000-0000-0000C10B0000}"/>
    <cellStyle name="Normal 115 2" xfId="3179" xr:uid="{00000000-0005-0000-0000-0000C20B0000}"/>
    <cellStyle name="Normal 115 2 2" xfId="3180" xr:uid="{00000000-0005-0000-0000-0000C30B0000}"/>
    <cellStyle name="Normal 115 3" xfId="3181" xr:uid="{00000000-0005-0000-0000-0000C40B0000}"/>
    <cellStyle name="Normal 115 3 2" xfId="3182" xr:uid="{00000000-0005-0000-0000-0000C50B0000}"/>
    <cellStyle name="Normal 115 3 2 2" xfId="3183" xr:uid="{00000000-0005-0000-0000-0000C60B0000}"/>
    <cellStyle name="Normal 115 3 2 2 2" xfId="3184" xr:uid="{00000000-0005-0000-0000-0000C70B0000}"/>
    <cellStyle name="Normal 115 3 2 2 2 2" xfId="3185" xr:uid="{00000000-0005-0000-0000-0000C80B0000}"/>
    <cellStyle name="Normal 115 3 2 2 3" xfId="3186" xr:uid="{00000000-0005-0000-0000-0000C90B0000}"/>
    <cellStyle name="Normal 115 3 2 3" xfId="3187" xr:uid="{00000000-0005-0000-0000-0000CA0B0000}"/>
    <cellStyle name="Normal 115 3 2 3 2" xfId="3188" xr:uid="{00000000-0005-0000-0000-0000CB0B0000}"/>
    <cellStyle name="Normal 115 3 2 4" xfId="3189" xr:uid="{00000000-0005-0000-0000-0000CC0B0000}"/>
    <cellStyle name="Normal 115 3 3" xfId="3190" xr:uid="{00000000-0005-0000-0000-0000CD0B0000}"/>
    <cellStyle name="Normal 115 3 3 2" xfId="3191" xr:uid="{00000000-0005-0000-0000-0000CE0B0000}"/>
    <cellStyle name="Normal 115 3 3 2 2" xfId="3192" xr:uid="{00000000-0005-0000-0000-0000CF0B0000}"/>
    <cellStyle name="Normal 115 3 3 3" xfId="3193" xr:uid="{00000000-0005-0000-0000-0000D00B0000}"/>
    <cellStyle name="Normal 115 3 4" xfId="3194" xr:uid="{00000000-0005-0000-0000-0000D10B0000}"/>
    <cellStyle name="Normal 115 3 4 2" xfId="3195" xr:uid="{00000000-0005-0000-0000-0000D20B0000}"/>
    <cellStyle name="Normal 115 3 5" xfId="3196" xr:uid="{00000000-0005-0000-0000-0000D30B0000}"/>
    <cellStyle name="Normal 115 4" xfId="3197" xr:uid="{00000000-0005-0000-0000-0000D40B0000}"/>
    <cellStyle name="Normal 115 4 2" xfId="3198" xr:uid="{00000000-0005-0000-0000-0000D50B0000}"/>
    <cellStyle name="Normal 115 4 2 2" xfId="3199" xr:uid="{00000000-0005-0000-0000-0000D60B0000}"/>
    <cellStyle name="Normal 115 4 2 2 2" xfId="3200" xr:uid="{00000000-0005-0000-0000-0000D70B0000}"/>
    <cellStyle name="Normal 115 4 2 2 2 2" xfId="3201" xr:uid="{00000000-0005-0000-0000-0000D80B0000}"/>
    <cellStyle name="Normal 115 4 2 2 3" xfId="3202" xr:uid="{00000000-0005-0000-0000-0000D90B0000}"/>
    <cellStyle name="Normal 115 4 2 3" xfId="3203" xr:uid="{00000000-0005-0000-0000-0000DA0B0000}"/>
    <cellStyle name="Normal 115 4 2 3 2" xfId="3204" xr:uid="{00000000-0005-0000-0000-0000DB0B0000}"/>
    <cellStyle name="Normal 115 4 2 4" xfId="3205" xr:uid="{00000000-0005-0000-0000-0000DC0B0000}"/>
    <cellStyle name="Normal 115 4 3" xfId="3206" xr:uid="{00000000-0005-0000-0000-0000DD0B0000}"/>
    <cellStyle name="Normal 115 4 3 2" xfId="3207" xr:uid="{00000000-0005-0000-0000-0000DE0B0000}"/>
    <cellStyle name="Normal 115 4 3 2 2" xfId="3208" xr:uid="{00000000-0005-0000-0000-0000DF0B0000}"/>
    <cellStyle name="Normal 115 4 3 3" xfId="3209" xr:uid="{00000000-0005-0000-0000-0000E00B0000}"/>
    <cellStyle name="Normal 115 4 4" xfId="3210" xr:uid="{00000000-0005-0000-0000-0000E10B0000}"/>
    <cellStyle name="Normal 115 4 4 2" xfId="3211" xr:uid="{00000000-0005-0000-0000-0000E20B0000}"/>
    <cellStyle name="Normal 115 4 5" xfId="3212" xr:uid="{00000000-0005-0000-0000-0000E30B0000}"/>
    <cellStyle name="Normal 115 5" xfId="3213" xr:uid="{00000000-0005-0000-0000-0000E40B0000}"/>
    <cellStyle name="Normal 115 5 2" xfId="3214" xr:uid="{00000000-0005-0000-0000-0000E50B0000}"/>
    <cellStyle name="Normal 115 5 2 2" xfId="3215" xr:uid="{00000000-0005-0000-0000-0000E60B0000}"/>
    <cellStyle name="Normal 115 5 2 2 2" xfId="3216" xr:uid="{00000000-0005-0000-0000-0000E70B0000}"/>
    <cellStyle name="Normal 115 5 2 2 2 2" xfId="3217" xr:uid="{00000000-0005-0000-0000-0000E80B0000}"/>
    <cellStyle name="Normal 115 5 2 2 3" xfId="3218" xr:uid="{00000000-0005-0000-0000-0000E90B0000}"/>
    <cellStyle name="Normal 115 5 2 3" xfId="3219" xr:uid="{00000000-0005-0000-0000-0000EA0B0000}"/>
    <cellStyle name="Normal 115 5 2 3 2" xfId="3220" xr:uid="{00000000-0005-0000-0000-0000EB0B0000}"/>
    <cellStyle name="Normal 115 5 2 4" xfId="3221" xr:uid="{00000000-0005-0000-0000-0000EC0B0000}"/>
    <cellStyle name="Normal 115 5 3" xfId="3222" xr:uid="{00000000-0005-0000-0000-0000ED0B0000}"/>
    <cellStyle name="Normal 115 5 3 2" xfId="3223" xr:uid="{00000000-0005-0000-0000-0000EE0B0000}"/>
    <cellStyle name="Normal 115 5 3 2 2" xfId="3224" xr:uid="{00000000-0005-0000-0000-0000EF0B0000}"/>
    <cellStyle name="Normal 115 5 3 3" xfId="3225" xr:uid="{00000000-0005-0000-0000-0000F00B0000}"/>
    <cellStyle name="Normal 115 5 4" xfId="3226" xr:uid="{00000000-0005-0000-0000-0000F10B0000}"/>
    <cellStyle name="Normal 115 5 4 2" xfId="3227" xr:uid="{00000000-0005-0000-0000-0000F20B0000}"/>
    <cellStyle name="Normal 115 5 5" xfId="3228" xr:uid="{00000000-0005-0000-0000-0000F30B0000}"/>
    <cellStyle name="Normal 115 6" xfId="3229" xr:uid="{00000000-0005-0000-0000-0000F40B0000}"/>
    <cellStyle name="Normal 115 6 2" xfId="3230" xr:uid="{00000000-0005-0000-0000-0000F50B0000}"/>
    <cellStyle name="Normal 115 6 2 2" xfId="3231" xr:uid="{00000000-0005-0000-0000-0000F60B0000}"/>
    <cellStyle name="Normal 115 6 2 2 2" xfId="3232" xr:uid="{00000000-0005-0000-0000-0000F70B0000}"/>
    <cellStyle name="Normal 115 6 2 3" xfId="3233" xr:uid="{00000000-0005-0000-0000-0000F80B0000}"/>
    <cellStyle name="Normal 115 6 3" xfId="3234" xr:uid="{00000000-0005-0000-0000-0000F90B0000}"/>
    <cellStyle name="Normal 115 6 3 2" xfId="3235" xr:uid="{00000000-0005-0000-0000-0000FA0B0000}"/>
    <cellStyle name="Normal 115 6 4" xfId="3236" xr:uid="{00000000-0005-0000-0000-0000FB0B0000}"/>
    <cellStyle name="Normal 115 7" xfId="3237" xr:uid="{00000000-0005-0000-0000-0000FC0B0000}"/>
    <cellStyle name="Normal 115 7 2" xfId="3238" xr:uid="{00000000-0005-0000-0000-0000FD0B0000}"/>
    <cellStyle name="Normal 115 7 2 2" xfId="3239" xr:uid="{00000000-0005-0000-0000-0000FE0B0000}"/>
    <cellStyle name="Normal 115 7 3" xfId="3240" xr:uid="{00000000-0005-0000-0000-0000FF0B0000}"/>
    <cellStyle name="Normal 115 8" xfId="3241" xr:uid="{00000000-0005-0000-0000-0000000C0000}"/>
    <cellStyle name="Normal 115 8 2" xfId="3242" xr:uid="{00000000-0005-0000-0000-0000010C0000}"/>
    <cellStyle name="Normal 115 9" xfId="3243" xr:uid="{00000000-0005-0000-0000-0000020C0000}"/>
    <cellStyle name="Normal 116" xfId="3244" xr:uid="{00000000-0005-0000-0000-0000030C0000}"/>
    <cellStyle name="Normal 116 2" xfId="3245" xr:uid="{00000000-0005-0000-0000-0000040C0000}"/>
    <cellStyle name="Normal 116 2 2" xfId="3246" xr:uid="{00000000-0005-0000-0000-0000050C0000}"/>
    <cellStyle name="Normal 116 3" xfId="3247" xr:uid="{00000000-0005-0000-0000-0000060C0000}"/>
    <cellStyle name="Normal 116 3 2" xfId="3248" xr:uid="{00000000-0005-0000-0000-0000070C0000}"/>
    <cellStyle name="Normal 116 3 2 2" xfId="3249" xr:uid="{00000000-0005-0000-0000-0000080C0000}"/>
    <cellStyle name="Normal 116 3 2 2 2" xfId="3250" xr:uid="{00000000-0005-0000-0000-0000090C0000}"/>
    <cellStyle name="Normal 116 3 2 2 2 2" xfId="3251" xr:uid="{00000000-0005-0000-0000-00000A0C0000}"/>
    <cellStyle name="Normal 116 3 2 2 3" xfId="3252" xr:uid="{00000000-0005-0000-0000-00000B0C0000}"/>
    <cellStyle name="Normal 116 3 2 3" xfId="3253" xr:uid="{00000000-0005-0000-0000-00000C0C0000}"/>
    <cellStyle name="Normal 116 3 2 3 2" xfId="3254" xr:uid="{00000000-0005-0000-0000-00000D0C0000}"/>
    <cellStyle name="Normal 116 3 2 4" xfId="3255" xr:uid="{00000000-0005-0000-0000-00000E0C0000}"/>
    <cellStyle name="Normal 116 3 3" xfId="3256" xr:uid="{00000000-0005-0000-0000-00000F0C0000}"/>
    <cellStyle name="Normal 116 3 3 2" xfId="3257" xr:uid="{00000000-0005-0000-0000-0000100C0000}"/>
    <cellStyle name="Normal 116 3 3 2 2" xfId="3258" xr:uid="{00000000-0005-0000-0000-0000110C0000}"/>
    <cellStyle name="Normal 116 3 3 3" xfId="3259" xr:uid="{00000000-0005-0000-0000-0000120C0000}"/>
    <cellStyle name="Normal 116 3 4" xfId="3260" xr:uid="{00000000-0005-0000-0000-0000130C0000}"/>
    <cellStyle name="Normal 116 3 4 2" xfId="3261" xr:uid="{00000000-0005-0000-0000-0000140C0000}"/>
    <cellStyle name="Normal 116 3 5" xfId="3262" xr:uid="{00000000-0005-0000-0000-0000150C0000}"/>
    <cellStyle name="Normal 116 4" xfId="3263" xr:uid="{00000000-0005-0000-0000-0000160C0000}"/>
    <cellStyle name="Normal 116 4 2" xfId="3264" xr:uid="{00000000-0005-0000-0000-0000170C0000}"/>
    <cellStyle name="Normal 116 4 2 2" xfId="3265" xr:uid="{00000000-0005-0000-0000-0000180C0000}"/>
    <cellStyle name="Normal 116 4 2 2 2" xfId="3266" xr:uid="{00000000-0005-0000-0000-0000190C0000}"/>
    <cellStyle name="Normal 116 4 2 2 2 2" xfId="3267" xr:uid="{00000000-0005-0000-0000-00001A0C0000}"/>
    <cellStyle name="Normal 116 4 2 2 3" xfId="3268" xr:uid="{00000000-0005-0000-0000-00001B0C0000}"/>
    <cellStyle name="Normal 116 4 2 3" xfId="3269" xr:uid="{00000000-0005-0000-0000-00001C0C0000}"/>
    <cellStyle name="Normal 116 4 2 3 2" xfId="3270" xr:uid="{00000000-0005-0000-0000-00001D0C0000}"/>
    <cellStyle name="Normal 116 4 2 4" xfId="3271" xr:uid="{00000000-0005-0000-0000-00001E0C0000}"/>
    <cellStyle name="Normal 116 4 3" xfId="3272" xr:uid="{00000000-0005-0000-0000-00001F0C0000}"/>
    <cellStyle name="Normal 116 4 3 2" xfId="3273" xr:uid="{00000000-0005-0000-0000-0000200C0000}"/>
    <cellStyle name="Normal 116 4 3 2 2" xfId="3274" xr:uid="{00000000-0005-0000-0000-0000210C0000}"/>
    <cellStyle name="Normal 116 4 3 3" xfId="3275" xr:uid="{00000000-0005-0000-0000-0000220C0000}"/>
    <cellStyle name="Normal 116 4 4" xfId="3276" xr:uid="{00000000-0005-0000-0000-0000230C0000}"/>
    <cellStyle name="Normal 116 4 4 2" xfId="3277" xr:uid="{00000000-0005-0000-0000-0000240C0000}"/>
    <cellStyle name="Normal 116 4 5" xfId="3278" xr:uid="{00000000-0005-0000-0000-0000250C0000}"/>
    <cellStyle name="Normal 116 5" xfId="3279" xr:uid="{00000000-0005-0000-0000-0000260C0000}"/>
    <cellStyle name="Normal 116 5 2" xfId="3280" xr:uid="{00000000-0005-0000-0000-0000270C0000}"/>
    <cellStyle name="Normal 116 5 2 2" xfId="3281" xr:uid="{00000000-0005-0000-0000-0000280C0000}"/>
    <cellStyle name="Normal 116 5 2 2 2" xfId="3282" xr:uid="{00000000-0005-0000-0000-0000290C0000}"/>
    <cellStyle name="Normal 116 5 2 2 2 2" xfId="3283" xr:uid="{00000000-0005-0000-0000-00002A0C0000}"/>
    <cellStyle name="Normal 116 5 2 2 3" xfId="3284" xr:uid="{00000000-0005-0000-0000-00002B0C0000}"/>
    <cellStyle name="Normal 116 5 2 3" xfId="3285" xr:uid="{00000000-0005-0000-0000-00002C0C0000}"/>
    <cellStyle name="Normal 116 5 2 3 2" xfId="3286" xr:uid="{00000000-0005-0000-0000-00002D0C0000}"/>
    <cellStyle name="Normal 116 5 2 4" xfId="3287" xr:uid="{00000000-0005-0000-0000-00002E0C0000}"/>
    <cellStyle name="Normal 116 5 3" xfId="3288" xr:uid="{00000000-0005-0000-0000-00002F0C0000}"/>
    <cellStyle name="Normal 116 5 3 2" xfId="3289" xr:uid="{00000000-0005-0000-0000-0000300C0000}"/>
    <cellStyle name="Normal 116 5 3 2 2" xfId="3290" xr:uid="{00000000-0005-0000-0000-0000310C0000}"/>
    <cellStyle name="Normal 116 5 3 3" xfId="3291" xr:uid="{00000000-0005-0000-0000-0000320C0000}"/>
    <cellStyle name="Normal 116 5 4" xfId="3292" xr:uid="{00000000-0005-0000-0000-0000330C0000}"/>
    <cellStyle name="Normal 116 5 4 2" xfId="3293" xr:uid="{00000000-0005-0000-0000-0000340C0000}"/>
    <cellStyle name="Normal 116 5 5" xfId="3294" xr:uid="{00000000-0005-0000-0000-0000350C0000}"/>
    <cellStyle name="Normal 116 6" xfId="3295" xr:uid="{00000000-0005-0000-0000-0000360C0000}"/>
    <cellStyle name="Normal 116 6 2" xfId="3296" xr:uid="{00000000-0005-0000-0000-0000370C0000}"/>
    <cellStyle name="Normal 116 6 2 2" xfId="3297" xr:uid="{00000000-0005-0000-0000-0000380C0000}"/>
    <cellStyle name="Normal 116 6 2 2 2" xfId="3298" xr:uid="{00000000-0005-0000-0000-0000390C0000}"/>
    <cellStyle name="Normal 116 6 2 3" xfId="3299" xr:uid="{00000000-0005-0000-0000-00003A0C0000}"/>
    <cellStyle name="Normal 116 6 3" xfId="3300" xr:uid="{00000000-0005-0000-0000-00003B0C0000}"/>
    <cellStyle name="Normal 116 6 3 2" xfId="3301" xr:uid="{00000000-0005-0000-0000-00003C0C0000}"/>
    <cellStyle name="Normal 116 6 4" xfId="3302" xr:uid="{00000000-0005-0000-0000-00003D0C0000}"/>
    <cellStyle name="Normal 116 7" xfId="3303" xr:uid="{00000000-0005-0000-0000-00003E0C0000}"/>
    <cellStyle name="Normal 116 7 2" xfId="3304" xr:uid="{00000000-0005-0000-0000-00003F0C0000}"/>
    <cellStyle name="Normal 116 7 2 2" xfId="3305" xr:uid="{00000000-0005-0000-0000-0000400C0000}"/>
    <cellStyle name="Normal 116 7 3" xfId="3306" xr:uid="{00000000-0005-0000-0000-0000410C0000}"/>
    <cellStyle name="Normal 116 8" xfId="3307" xr:uid="{00000000-0005-0000-0000-0000420C0000}"/>
    <cellStyle name="Normal 116 8 2" xfId="3308" xr:uid="{00000000-0005-0000-0000-0000430C0000}"/>
    <cellStyle name="Normal 116 9" xfId="3309" xr:uid="{00000000-0005-0000-0000-0000440C0000}"/>
    <cellStyle name="Normal 117" xfId="3310" xr:uid="{00000000-0005-0000-0000-0000450C0000}"/>
    <cellStyle name="Normal 117 2" xfId="3311" xr:uid="{00000000-0005-0000-0000-0000460C0000}"/>
    <cellStyle name="Normal 117 2 2" xfId="3312" xr:uid="{00000000-0005-0000-0000-0000470C0000}"/>
    <cellStyle name="Normal 117 3" xfId="3313" xr:uid="{00000000-0005-0000-0000-0000480C0000}"/>
    <cellStyle name="Normal 117 3 2" xfId="3314" xr:uid="{00000000-0005-0000-0000-0000490C0000}"/>
    <cellStyle name="Normal 117 3 2 2" xfId="3315" xr:uid="{00000000-0005-0000-0000-00004A0C0000}"/>
    <cellStyle name="Normal 117 3 2 2 2" xfId="3316" xr:uid="{00000000-0005-0000-0000-00004B0C0000}"/>
    <cellStyle name="Normal 117 3 2 2 2 2" xfId="3317" xr:uid="{00000000-0005-0000-0000-00004C0C0000}"/>
    <cellStyle name="Normal 117 3 2 2 3" xfId="3318" xr:uid="{00000000-0005-0000-0000-00004D0C0000}"/>
    <cellStyle name="Normal 117 3 2 3" xfId="3319" xr:uid="{00000000-0005-0000-0000-00004E0C0000}"/>
    <cellStyle name="Normal 117 3 2 3 2" xfId="3320" xr:uid="{00000000-0005-0000-0000-00004F0C0000}"/>
    <cellStyle name="Normal 117 3 2 4" xfId="3321" xr:uid="{00000000-0005-0000-0000-0000500C0000}"/>
    <cellStyle name="Normal 117 3 3" xfId="3322" xr:uid="{00000000-0005-0000-0000-0000510C0000}"/>
    <cellStyle name="Normal 117 3 3 2" xfId="3323" xr:uid="{00000000-0005-0000-0000-0000520C0000}"/>
    <cellStyle name="Normal 117 3 3 2 2" xfId="3324" xr:uid="{00000000-0005-0000-0000-0000530C0000}"/>
    <cellStyle name="Normal 117 3 3 3" xfId="3325" xr:uid="{00000000-0005-0000-0000-0000540C0000}"/>
    <cellStyle name="Normal 117 3 4" xfId="3326" xr:uid="{00000000-0005-0000-0000-0000550C0000}"/>
    <cellStyle name="Normal 117 3 4 2" xfId="3327" xr:uid="{00000000-0005-0000-0000-0000560C0000}"/>
    <cellStyle name="Normal 117 3 5" xfId="3328" xr:uid="{00000000-0005-0000-0000-0000570C0000}"/>
    <cellStyle name="Normal 117 4" xfId="3329" xr:uid="{00000000-0005-0000-0000-0000580C0000}"/>
    <cellStyle name="Normal 117 4 2" xfId="3330" xr:uid="{00000000-0005-0000-0000-0000590C0000}"/>
    <cellStyle name="Normal 117 4 2 2" xfId="3331" xr:uid="{00000000-0005-0000-0000-00005A0C0000}"/>
    <cellStyle name="Normal 117 4 2 2 2" xfId="3332" xr:uid="{00000000-0005-0000-0000-00005B0C0000}"/>
    <cellStyle name="Normal 117 4 2 2 2 2" xfId="3333" xr:uid="{00000000-0005-0000-0000-00005C0C0000}"/>
    <cellStyle name="Normal 117 4 2 2 3" xfId="3334" xr:uid="{00000000-0005-0000-0000-00005D0C0000}"/>
    <cellStyle name="Normal 117 4 2 3" xfId="3335" xr:uid="{00000000-0005-0000-0000-00005E0C0000}"/>
    <cellStyle name="Normal 117 4 2 3 2" xfId="3336" xr:uid="{00000000-0005-0000-0000-00005F0C0000}"/>
    <cellStyle name="Normal 117 4 2 4" xfId="3337" xr:uid="{00000000-0005-0000-0000-0000600C0000}"/>
    <cellStyle name="Normal 117 4 3" xfId="3338" xr:uid="{00000000-0005-0000-0000-0000610C0000}"/>
    <cellStyle name="Normal 117 4 3 2" xfId="3339" xr:uid="{00000000-0005-0000-0000-0000620C0000}"/>
    <cellStyle name="Normal 117 4 3 2 2" xfId="3340" xr:uid="{00000000-0005-0000-0000-0000630C0000}"/>
    <cellStyle name="Normal 117 4 3 3" xfId="3341" xr:uid="{00000000-0005-0000-0000-0000640C0000}"/>
    <cellStyle name="Normal 117 4 4" xfId="3342" xr:uid="{00000000-0005-0000-0000-0000650C0000}"/>
    <cellStyle name="Normal 117 4 4 2" xfId="3343" xr:uid="{00000000-0005-0000-0000-0000660C0000}"/>
    <cellStyle name="Normal 117 4 5" xfId="3344" xr:uid="{00000000-0005-0000-0000-0000670C0000}"/>
    <cellStyle name="Normal 117 5" xfId="3345" xr:uid="{00000000-0005-0000-0000-0000680C0000}"/>
    <cellStyle name="Normal 117 5 2" xfId="3346" xr:uid="{00000000-0005-0000-0000-0000690C0000}"/>
    <cellStyle name="Normal 117 5 2 2" xfId="3347" xr:uid="{00000000-0005-0000-0000-00006A0C0000}"/>
    <cellStyle name="Normal 117 5 2 2 2" xfId="3348" xr:uid="{00000000-0005-0000-0000-00006B0C0000}"/>
    <cellStyle name="Normal 117 5 2 2 2 2" xfId="3349" xr:uid="{00000000-0005-0000-0000-00006C0C0000}"/>
    <cellStyle name="Normal 117 5 2 2 3" xfId="3350" xr:uid="{00000000-0005-0000-0000-00006D0C0000}"/>
    <cellStyle name="Normal 117 5 2 3" xfId="3351" xr:uid="{00000000-0005-0000-0000-00006E0C0000}"/>
    <cellStyle name="Normal 117 5 2 3 2" xfId="3352" xr:uid="{00000000-0005-0000-0000-00006F0C0000}"/>
    <cellStyle name="Normal 117 5 2 4" xfId="3353" xr:uid="{00000000-0005-0000-0000-0000700C0000}"/>
    <cellStyle name="Normal 117 5 3" xfId="3354" xr:uid="{00000000-0005-0000-0000-0000710C0000}"/>
    <cellStyle name="Normal 117 5 3 2" xfId="3355" xr:uid="{00000000-0005-0000-0000-0000720C0000}"/>
    <cellStyle name="Normal 117 5 3 2 2" xfId="3356" xr:uid="{00000000-0005-0000-0000-0000730C0000}"/>
    <cellStyle name="Normal 117 5 3 3" xfId="3357" xr:uid="{00000000-0005-0000-0000-0000740C0000}"/>
    <cellStyle name="Normal 117 5 4" xfId="3358" xr:uid="{00000000-0005-0000-0000-0000750C0000}"/>
    <cellStyle name="Normal 117 5 4 2" xfId="3359" xr:uid="{00000000-0005-0000-0000-0000760C0000}"/>
    <cellStyle name="Normal 117 5 5" xfId="3360" xr:uid="{00000000-0005-0000-0000-0000770C0000}"/>
    <cellStyle name="Normal 117 6" xfId="3361" xr:uid="{00000000-0005-0000-0000-0000780C0000}"/>
    <cellStyle name="Normal 117 6 2" xfId="3362" xr:uid="{00000000-0005-0000-0000-0000790C0000}"/>
    <cellStyle name="Normal 117 6 2 2" xfId="3363" xr:uid="{00000000-0005-0000-0000-00007A0C0000}"/>
    <cellStyle name="Normal 117 6 2 2 2" xfId="3364" xr:uid="{00000000-0005-0000-0000-00007B0C0000}"/>
    <cellStyle name="Normal 117 6 2 3" xfId="3365" xr:uid="{00000000-0005-0000-0000-00007C0C0000}"/>
    <cellStyle name="Normal 117 6 3" xfId="3366" xr:uid="{00000000-0005-0000-0000-00007D0C0000}"/>
    <cellStyle name="Normal 117 6 3 2" xfId="3367" xr:uid="{00000000-0005-0000-0000-00007E0C0000}"/>
    <cellStyle name="Normal 117 6 4" xfId="3368" xr:uid="{00000000-0005-0000-0000-00007F0C0000}"/>
    <cellStyle name="Normal 117 7" xfId="3369" xr:uid="{00000000-0005-0000-0000-0000800C0000}"/>
    <cellStyle name="Normal 117 7 2" xfId="3370" xr:uid="{00000000-0005-0000-0000-0000810C0000}"/>
    <cellStyle name="Normal 117 7 2 2" xfId="3371" xr:uid="{00000000-0005-0000-0000-0000820C0000}"/>
    <cellStyle name="Normal 117 7 3" xfId="3372" xr:uid="{00000000-0005-0000-0000-0000830C0000}"/>
    <cellStyle name="Normal 117 8" xfId="3373" xr:uid="{00000000-0005-0000-0000-0000840C0000}"/>
    <cellStyle name="Normal 117 8 2" xfId="3374" xr:uid="{00000000-0005-0000-0000-0000850C0000}"/>
    <cellStyle name="Normal 117 9" xfId="3375" xr:uid="{00000000-0005-0000-0000-0000860C0000}"/>
    <cellStyle name="Normal 118" xfId="3376" xr:uid="{00000000-0005-0000-0000-0000870C0000}"/>
    <cellStyle name="Normal 118 2" xfId="3377" xr:uid="{00000000-0005-0000-0000-0000880C0000}"/>
    <cellStyle name="Normal 118 2 2" xfId="3378" xr:uid="{00000000-0005-0000-0000-0000890C0000}"/>
    <cellStyle name="Normal 118 3" xfId="3379" xr:uid="{00000000-0005-0000-0000-00008A0C0000}"/>
    <cellStyle name="Normal 118 3 2" xfId="3380" xr:uid="{00000000-0005-0000-0000-00008B0C0000}"/>
    <cellStyle name="Normal 118 3 2 2" xfId="3381" xr:uid="{00000000-0005-0000-0000-00008C0C0000}"/>
    <cellStyle name="Normal 118 3 2 2 2" xfId="3382" xr:uid="{00000000-0005-0000-0000-00008D0C0000}"/>
    <cellStyle name="Normal 118 3 2 2 2 2" xfId="3383" xr:uid="{00000000-0005-0000-0000-00008E0C0000}"/>
    <cellStyle name="Normal 118 3 2 2 3" xfId="3384" xr:uid="{00000000-0005-0000-0000-00008F0C0000}"/>
    <cellStyle name="Normal 118 3 2 3" xfId="3385" xr:uid="{00000000-0005-0000-0000-0000900C0000}"/>
    <cellStyle name="Normal 118 3 2 3 2" xfId="3386" xr:uid="{00000000-0005-0000-0000-0000910C0000}"/>
    <cellStyle name="Normal 118 3 2 4" xfId="3387" xr:uid="{00000000-0005-0000-0000-0000920C0000}"/>
    <cellStyle name="Normal 118 3 3" xfId="3388" xr:uid="{00000000-0005-0000-0000-0000930C0000}"/>
    <cellStyle name="Normal 118 3 3 2" xfId="3389" xr:uid="{00000000-0005-0000-0000-0000940C0000}"/>
    <cellStyle name="Normal 118 3 3 2 2" xfId="3390" xr:uid="{00000000-0005-0000-0000-0000950C0000}"/>
    <cellStyle name="Normal 118 3 3 3" xfId="3391" xr:uid="{00000000-0005-0000-0000-0000960C0000}"/>
    <cellStyle name="Normal 118 3 4" xfId="3392" xr:uid="{00000000-0005-0000-0000-0000970C0000}"/>
    <cellStyle name="Normal 118 3 4 2" xfId="3393" xr:uid="{00000000-0005-0000-0000-0000980C0000}"/>
    <cellStyle name="Normal 118 3 5" xfId="3394" xr:uid="{00000000-0005-0000-0000-0000990C0000}"/>
    <cellStyle name="Normal 118 4" xfId="3395" xr:uid="{00000000-0005-0000-0000-00009A0C0000}"/>
    <cellStyle name="Normal 118 4 2" xfId="3396" xr:uid="{00000000-0005-0000-0000-00009B0C0000}"/>
    <cellStyle name="Normal 118 4 2 2" xfId="3397" xr:uid="{00000000-0005-0000-0000-00009C0C0000}"/>
    <cellStyle name="Normal 118 4 2 2 2" xfId="3398" xr:uid="{00000000-0005-0000-0000-00009D0C0000}"/>
    <cellStyle name="Normal 118 4 2 2 2 2" xfId="3399" xr:uid="{00000000-0005-0000-0000-00009E0C0000}"/>
    <cellStyle name="Normal 118 4 2 2 3" xfId="3400" xr:uid="{00000000-0005-0000-0000-00009F0C0000}"/>
    <cellStyle name="Normal 118 4 2 3" xfId="3401" xr:uid="{00000000-0005-0000-0000-0000A00C0000}"/>
    <cellStyle name="Normal 118 4 2 3 2" xfId="3402" xr:uid="{00000000-0005-0000-0000-0000A10C0000}"/>
    <cellStyle name="Normal 118 4 2 4" xfId="3403" xr:uid="{00000000-0005-0000-0000-0000A20C0000}"/>
    <cellStyle name="Normal 118 4 3" xfId="3404" xr:uid="{00000000-0005-0000-0000-0000A30C0000}"/>
    <cellStyle name="Normal 118 4 3 2" xfId="3405" xr:uid="{00000000-0005-0000-0000-0000A40C0000}"/>
    <cellStyle name="Normal 118 4 3 2 2" xfId="3406" xr:uid="{00000000-0005-0000-0000-0000A50C0000}"/>
    <cellStyle name="Normal 118 4 3 3" xfId="3407" xr:uid="{00000000-0005-0000-0000-0000A60C0000}"/>
    <cellStyle name="Normal 118 4 4" xfId="3408" xr:uid="{00000000-0005-0000-0000-0000A70C0000}"/>
    <cellStyle name="Normal 118 4 4 2" xfId="3409" xr:uid="{00000000-0005-0000-0000-0000A80C0000}"/>
    <cellStyle name="Normal 118 4 5" xfId="3410" xr:uid="{00000000-0005-0000-0000-0000A90C0000}"/>
    <cellStyle name="Normal 118 5" xfId="3411" xr:uid="{00000000-0005-0000-0000-0000AA0C0000}"/>
    <cellStyle name="Normal 118 5 2" xfId="3412" xr:uid="{00000000-0005-0000-0000-0000AB0C0000}"/>
    <cellStyle name="Normal 118 5 2 2" xfId="3413" xr:uid="{00000000-0005-0000-0000-0000AC0C0000}"/>
    <cellStyle name="Normal 118 5 2 2 2" xfId="3414" xr:uid="{00000000-0005-0000-0000-0000AD0C0000}"/>
    <cellStyle name="Normal 118 5 2 2 2 2" xfId="3415" xr:uid="{00000000-0005-0000-0000-0000AE0C0000}"/>
    <cellStyle name="Normal 118 5 2 2 3" xfId="3416" xr:uid="{00000000-0005-0000-0000-0000AF0C0000}"/>
    <cellStyle name="Normal 118 5 2 3" xfId="3417" xr:uid="{00000000-0005-0000-0000-0000B00C0000}"/>
    <cellStyle name="Normal 118 5 2 3 2" xfId="3418" xr:uid="{00000000-0005-0000-0000-0000B10C0000}"/>
    <cellStyle name="Normal 118 5 2 4" xfId="3419" xr:uid="{00000000-0005-0000-0000-0000B20C0000}"/>
    <cellStyle name="Normal 118 5 3" xfId="3420" xr:uid="{00000000-0005-0000-0000-0000B30C0000}"/>
    <cellStyle name="Normal 118 5 3 2" xfId="3421" xr:uid="{00000000-0005-0000-0000-0000B40C0000}"/>
    <cellStyle name="Normal 118 5 3 2 2" xfId="3422" xr:uid="{00000000-0005-0000-0000-0000B50C0000}"/>
    <cellStyle name="Normal 118 5 3 3" xfId="3423" xr:uid="{00000000-0005-0000-0000-0000B60C0000}"/>
    <cellStyle name="Normal 118 5 4" xfId="3424" xr:uid="{00000000-0005-0000-0000-0000B70C0000}"/>
    <cellStyle name="Normal 118 5 4 2" xfId="3425" xr:uid="{00000000-0005-0000-0000-0000B80C0000}"/>
    <cellStyle name="Normal 118 5 5" xfId="3426" xr:uid="{00000000-0005-0000-0000-0000B90C0000}"/>
    <cellStyle name="Normal 118 6" xfId="3427" xr:uid="{00000000-0005-0000-0000-0000BA0C0000}"/>
    <cellStyle name="Normal 118 6 2" xfId="3428" xr:uid="{00000000-0005-0000-0000-0000BB0C0000}"/>
    <cellStyle name="Normal 118 6 2 2" xfId="3429" xr:uid="{00000000-0005-0000-0000-0000BC0C0000}"/>
    <cellStyle name="Normal 118 6 2 2 2" xfId="3430" xr:uid="{00000000-0005-0000-0000-0000BD0C0000}"/>
    <cellStyle name="Normal 118 6 2 3" xfId="3431" xr:uid="{00000000-0005-0000-0000-0000BE0C0000}"/>
    <cellStyle name="Normal 118 6 3" xfId="3432" xr:uid="{00000000-0005-0000-0000-0000BF0C0000}"/>
    <cellStyle name="Normal 118 6 3 2" xfId="3433" xr:uid="{00000000-0005-0000-0000-0000C00C0000}"/>
    <cellStyle name="Normal 118 6 4" xfId="3434" xr:uid="{00000000-0005-0000-0000-0000C10C0000}"/>
    <cellStyle name="Normal 118 7" xfId="3435" xr:uid="{00000000-0005-0000-0000-0000C20C0000}"/>
    <cellStyle name="Normal 118 7 2" xfId="3436" xr:uid="{00000000-0005-0000-0000-0000C30C0000}"/>
    <cellStyle name="Normal 118 7 2 2" xfId="3437" xr:uid="{00000000-0005-0000-0000-0000C40C0000}"/>
    <cellStyle name="Normal 118 7 3" xfId="3438" xr:uid="{00000000-0005-0000-0000-0000C50C0000}"/>
    <cellStyle name="Normal 118 8" xfId="3439" xr:uid="{00000000-0005-0000-0000-0000C60C0000}"/>
    <cellStyle name="Normal 118 8 2" xfId="3440" xr:uid="{00000000-0005-0000-0000-0000C70C0000}"/>
    <cellStyle name="Normal 118 9" xfId="3441" xr:uid="{00000000-0005-0000-0000-0000C80C0000}"/>
    <cellStyle name="Normal 119" xfId="3442" xr:uid="{00000000-0005-0000-0000-0000C90C0000}"/>
    <cellStyle name="Normal 119 2" xfId="3443" xr:uid="{00000000-0005-0000-0000-0000CA0C0000}"/>
    <cellStyle name="Normal 119 2 2" xfId="3444" xr:uid="{00000000-0005-0000-0000-0000CB0C0000}"/>
    <cellStyle name="Normal 119 3" xfId="3445" xr:uid="{00000000-0005-0000-0000-0000CC0C0000}"/>
    <cellStyle name="Normal 119 3 2" xfId="3446" xr:uid="{00000000-0005-0000-0000-0000CD0C0000}"/>
    <cellStyle name="Normal 119 3 2 2" xfId="3447" xr:uid="{00000000-0005-0000-0000-0000CE0C0000}"/>
    <cellStyle name="Normal 119 3 2 2 2" xfId="3448" xr:uid="{00000000-0005-0000-0000-0000CF0C0000}"/>
    <cellStyle name="Normal 119 3 2 2 2 2" xfId="3449" xr:uid="{00000000-0005-0000-0000-0000D00C0000}"/>
    <cellStyle name="Normal 119 3 2 2 3" xfId="3450" xr:uid="{00000000-0005-0000-0000-0000D10C0000}"/>
    <cellStyle name="Normal 119 3 2 3" xfId="3451" xr:uid="{00000000-0005-0000-0000-0000D20C0000}"/>
    <cellStyle name="Normal 119 3 2 3 2" xfId="3452" xr:uid="{00000000-0005-0000-0000-0000D30C0000}"/>
    <cellStyle name="Normal 119 3 2 4" xfId="3453" xr:uid="{00000000-0005-0000-0000-0000D40C0000}"/>
    <cellStyle name="Normal 119 3 3" xfId="3454" xr:uid="{00000000-0005-0000-0000-0000D50C0000}"/>
    <cellStyle name="Normal 119 3 3 2" xfId="3455" xr:uid="{00000000-0005-0000-0000-0000D60C0000}"/>
    <cellStyle name="Normal 119 3 3 2 2" xfId="3456" xr:uid="{00000000-0005-0000-0000-0000D70C0000}"/>
    <cellStyle name="Normal 119 3 3 3" xfId="3457" xr:uid="{00000000-0005-0000-0000-0000D80C0000}"/>
    <cellStyle name="Normal 119 3 4" xfId="3458" xr:uid="{00000000-0005-0000-0000-0000D90C0000}"/>
    <cellStyle name="Normal 119 3 4 2" xfId="3459" xr:uid="{00000000-0005-0000-0000-0000DA0C0000}"/>
    <cellStyle name="Normal 119 3 5" xfId="3460" xr:uid="{00000000-0005-0000-0000-0000DB0C0000}"/>
    <cellStyle name="Normal 119 4" xfId="3461" xr:uid="{00000000-0005-0000-0000-0000DC0C0000}"/>
    <cellStyle name="Normal 119 4 2" xfId="3462" xr:uid="{00000000-0005-0000-0000-0000DD0C0000}"/>
    <cellStyle name="Normal 119 4 2 2" xfId="3463" xr:uid="{00000000-0005-0000-0000-0000DE0C0000}"/>
    <cellStyle name="Normal 119 4 2 2 2" xfId="3464" xr:uid="{00000000-0005-0000-0000-0000DF0C0000}"/>
    <cellStyle name="Normal 119 4 2 2 2 2" xfId="3465" xr:uid="{00000000-0005-0000-0000-0000E00C0000}"/>
    <cellStyle name="Normal 119 4 2 2 3" xfId="3466" xr:uid="{00000000-0005-0000-0000-0000E10C0000}"/>
    <cellStyle name="Normal 119 4 2 3" xfId="3467" xr:uid="{00000000-0005-0000-0000-0000E20C0000}"/>
    <cellStyle name="Normal 119 4 2 3 2" xfId="3468" xr:uid="{00000000-0005-0000-0000-0000E30C0000}"/>
    <cellStyle name="Normal 119 4 2 4" xfId="3469" xr:uid="{00000000-0005-0000-0000-0000E40C0000}"/>
    <cellStyle name="Normal 119 4 3" xfId="3470" xr:uid="{00000000-0005-0000-0000-0000E50C0000}"/>
    <cellStyle name="Normal 119 4 3 2" xfId="3471" xr:uid="{00000000-0005-0000-0000-0000E60C0000}"/>
    <cellStyle name="Normal 119 4 3 2 2" xfId="3472" xr:uid="{00000000-0005-0000-0000-0000E70C0000}"/>
    <cellStyle name="Normal 119 4 3 3" xfId="3473" xr:uid="{00000000-0005-0000-0000-0000E80C0000}"/>
    <cellStyle name="Normal 119 4 4" xfId="3474" xr:uid="{00000000-0005-0000-0000-0000E90C0000}"/>
    <cellStyle name="Normal 119 4 4 2" xfId="3475" xr:uid="{00000000-0005-0000-0000-0000EA0C0000}"/>
    <cellStyle name="Normal 119 4 5" xfId="3476" xr:uid="{00000000-0005-0000-0000-0000EB0C0000}"/>
    <cellStyle name="Normal 119 5" xfId="3477" xr:uid="{00000000-0005-0000-0000-0000EC0C0000}"/>
    <cellStyle name="Normal 119 5 2" xfId="3478" xr:uid="{00000000-0005-0000-0000-0000ED0C0000}"/>
    <cellStyle name="Normal 119 5 2 2" xfId="3479" xr:uid="{00000000-0005-0000-0000-0000EE0C0000}"/>
    <cellStyle name="Normal 119 5 2 2 2" xfId="3480" xr:uid="{00000000-0005-0000-0000-0000EF0C0000}"/>
    <cellStyle name="Normal 119 5 2 2 2 2" xfId="3481" xr:uid="{00000000-0005-0000-0000-0000F00C0000}"/>
    <cellStyle name="Normal 119 5 2 2 3" xfId="3482" xr:uid="{00000000-0005-0000-0000-0000F10C0000}"/>
    <cellStyle name="Normal 119 5 2 3" xfId="3483" xr:uid="{00000000-0005-0000-0000-0000F20C0000}"/>
    <cellStyle name="Normal 119 5 2 3 2" xfId="3484" xr:uid="{00000000-0005-0000-0000-0000F30C0000}"/>
    <cellStyle name="Normal 119 5 2 4" xfId="3485" xr:uid="{00000000-0005-0000-0000-0000F40C0000}"/>
    <cellStyle name="Normal 119 5 3" xfId="3486" xr:uid="{00000000-0005-0000-0000-0000F50C0000}"/>
    <cellStyle name="Normal 119 5 3 2" xfId="3487" xr:uid="{00000000-0005-0000-0000-0000F60C0000}"/>
    <cellStyle name="Normal 119 5 3 2 2" xfId="3488" xr:uid="{00000000-0005-0000-0000-0000F70C0000}"/>
    <cellStyle name="Normal 119 5 3 3" xfId="3489" xr:uid="{00000000-0005-0000-0000-0000F80C0000}"/>
    <cellStyle name="Normal 119 5 4" xfId="3490" xr:uid="{00000000-0005-0000-0000-0000F90C0000}"/>
    <cellStyle name="Normal 119 5 4 2" xfId="3491" xr:uid="{00000000-0005-0000-0000-0000FA0C0000}"/>
    <cellStyle name="Normal 119 5 5" xfId="3492" xr:uid="{00000000-0005-0000-0000-0000FB0C0000}"/>
    <cellStyle name="Normal 119 6" xfId="3493" xr:uid="{00000000-0005-0000-0000-0000FC0C0000}"/>
    <cellStyle name="Normal 119 6 2" xfId="3494" xr:uid="{00000000-0005-0000-0000-0000FD0C0000}"/>
    <cellStyle name="Normal 119 6 2 2" xfId="3495" xr:uid="{00000000-0005-0000-0000-0000FE0C0000}"/>
    <cellStyle name="Normal 119 6 2 2 2" xfId="3496" xr:uid="{00000000-0005-0000-0000-0000FF0C0000}"/>
    <cellStyle name="Normal 119 6 2 3" xfId="3497" xr:uid="{00000000-0005-0000-0000-0000000D0000}"/>
    <cellStyle name="Normal 119 6 3" xfId="3498" xr:uid="{00000000-0005-0000-0000-0000010D0000}"/>
    <cellStyle name="Normal 119 6 3 2" xfId="3499" xr:uid="{00000000-0005-0000-0000-0000020D0000}"/>
    <cellStyle name="Normal 119 6 4" xfId="3500" xr:uid="{00000000-0005-0000-0000-0000030D0000}"/>
    <cellStyle name="Normal 119 7" xfId="3501" xr:uid="{00000000-0005-0000-0000-0000040D0000}"/>
    <cellStyle name="Normal 119 7 2" xfId="3502" xr:uid="{00000000-0005-0000-0000-0000050D0000}"/>
    <cellStyle name="Normal 119 7 2 2" xfId="3503" xr:uid="{00000000-0005-0000-0000-0000060D0000}"/>
    <cellStyle name="Normal 119 7 3" xfId="3504" xr:uid="{00000000-0005-0000-0000-0000070D0000}"/>
    <cellStyle name="Normal 119 8" xfId="3505" xr:uid="{00000000-0005-0000-0000-0000080D0000}"/>
    <cellStyle name="Normal 119 8 2" xfId="3506" xr:uid="{00000000-0005-0000-0000-0000090D0000}"/>
    <cellStyle name="Normal 119 9" xfId="3507" xr:uid="{00000000-0005-0000-0000-00000A0D0000}"/>
    <cellStyle name="Normal 12" xfId="380" xr:uid="{00000000-0005-0000-0000-00000B0D0000}"/>
    <cellStyle name="Normal 12 10" xfId="3508" xr:uid="{00000000-0005-0000-0000-00000C0D0000}"/>
    <cellStyle name="Normal 12 11" xfId="11023" xr:uid="{00000000-0005-0000-0000-00000D0D0000}"/>
    <cellStyle name="Normal 12 2" xfId="3509" xr:uid="{00000000-0005-0000-0000-00000E0D0000}"/>
    <cellStyle name="Normal 12 2 2" xfId="3510" xr:uid="{00000000-0005-0000-0000-00000F0D0000}"/>
    <cellStyle name="Normal 12 2 3" xfId="3511" xr:uid="{00000000-0005-0000-0000-0000100D0000}"/>
    <cellStyle name="Normal 12 3" xfId="3512" xr:uid="{00000000-0005-0000-0000-0000110D0000}"/>
    <cellStyle name="Normal 12 3 2" xfId="3513" xr:uid="{00000000-0005-0000-0000-0000120D0000}"/>
    <cellStyle name="Normal 12 3 2 2" xfId="3514" xr:uid="{00000000-0005-0000-0000-0000130D0000}"/>
    <cellStyle name="Normal 12 3 2 2 2" xfId="3515" xr:uid="{00000000-0005-0000-0000-0000140D0000}"/>
    <cellStyle name="Normal 12 3 2 2 2 2" xfId="3516" xr:uid="{00000000-0005-0000-0000-0000150D0000}"/>
    <cellStyle name="Normal 12 3 2 2 3" xfId="3517" xr:uid="{00000000-0005-0000-0000-0000160D0000}"/>
    <cellStyle name="Normal 12 3 2 3" xfId="3518" xr:uid="{00000000-0005-0000-0000-0000170D0000}"/>
    <cellStyle name="Normal 12 3 2 3 2" xfId="3519" xr:uid="{00000000-0005-0000-0000-0000180D0000}"/>
    <cellStyle name="Normal 12 3 2 4" xfId="3520" xr:uid="{00000000-0005-0000-0000-0000190D0000}"/>
    <cellStyle name="Normal 12 3 3" xfId="3521" xr:uid="{00000000-0005-0000-0000-00001A0D0000}"/>
    <cellStyle name="Normal 12 3 3 2" xfId="3522" xr:uid="{00000000-0005-0000-0000-00001B0D0000}"/>
    <cellStyle name="Normal 12 3 3 2 2" xfId="3523" xr:uid="{00000000-0005-0000-0000-00001C0D0000}"/>
    <cellStyle name="Normal 12 3 3 3" xfId="3524" xr:uid="{00000000-0005-0000-0000-00001D0D0000}"/>
    <cellStyle name="Normal 12 3 4" xfId="3525" xr:uid="{00000000-0005-0000-0000-00001E0D0000}"/>
    <cellStyle name="Normal 12 3 4 2" xfId="3526" xr:uid="{00000000-0005-0000-0000-00001F0D0000}"/>
    <cellStyle name="Normal 12 3 5" xfId="3527" xr:uid="{00000000-0005-0000-0000-0000200D0000}"/>
    <cellStyle name="Normal 12 4" xfId="3528" xr:uid="{00000000-0005-0000-0000-0000210D0000}"/>
    <cellStyle name="Normal 12 4 2" xfId="3529" xr:uid="{00000000-0005-0000-0000-0000220D0000}"/>
    <cellStyle name="Normal 12 4 2 2" xfId="3530" xr:uid="{00000000-0005-0000-0000-0000230D0000}"/>
    <cellStyle name="Normal 12 4 2 2 2" xfId="3531" xr:uid="{00000000-0005-0000-0000-0000240D0000}"/>
    <cellStyle name="Normal 12 4 2 2 2 2" xfId="3532" xr:uid="{00000000-0005-0000-0000-0000250D0000}"/>
    <cellStyle name="Normal 12 4 2 2 3" xfId="3533" xr:uid="{00000000-0005-0000-0000-0000260D0000}"/>
    <cellStyle name="Normal 12 4 2 3" xfId="3534" xr:uid="{00000000-0005-0000-0000-0000270D0000}"/>
    <cellStyle name="Normal 12 4 2 3 2" xfId="3535" xr:uid="{00000000-0005-0000-0000-0000280D0000}"/>
    <cellStyle name="Normal 12 4 2 4" xfId="3536" xr:uid="{00000000-0005-0000-0000-0000290D0000}"/>
    <cellStyle name="Normal 12 4 3" xfId="3537" xr:uid="{00000000-0005-0000-0000-00002A0D0000}"/>
    <cellStyle name="Normal 12 4 3 2" xfId="3538" xr:uid="{00000000-0005-0000-0000-00002B0D0000}"/>
    <cellStyle name="Normal 12 4 3 2 2" xfId="3539" xr:uid="{00000000-0005-0000-0000-00002C0D0000}"/>
    <cellStyle name="Normal 12 4 3 3" xfId="3540" xr:uid="{00000000-0005-0000-0000-00002D0D0000}"/>
    <cellStyle name="Normal 12 4 4" xfId="3541" xr:uid="{00000000-0005-0000-0000-00002E0D0000}"/>
    <cellStyle name="Normal 12 4 4 2" xfId="3542" xr:uid="{00000000-0005-0000-0000-00002F0D0000}"/>
    <cellStyle name="Normal 12 4 5" xfId="3543" xr:uid="{00000000-0005-0000-0000-0000300D0000}"/>
    <cellStyle name="Normal 12 5" xfId="3544" xr:uid="{00000000-0005-0000-0000-0000310D0000}"/>
    <cellStyle name="Normal 12 5 2" xfId="3545" xr:uid="{00000000-0005-0000-0000-0000320D0000}"/>
    <cellStyle name="Normal 12 5 2 2" xfId="3546" xr:uid="{00000000-0005-0000-0000-0000330D0000}"/>
    <cellStyle name="Normal 12 5 2 2 2" xfId="3547" xr:uid="{00000000-0005-0000-0000-0000340D0000}"/>
    <cellStyle name="Normal 12 5 2 2 2 2" xfId="3548" xr:uid="{00000000-0005-0000-0000-0000350D0000}"/>
    <cellStyle name="Normal 12 5 2 2 3" xfId="3549" xr:uid="{00000000-0005-0000-0000-0000360D0000}"/>
    <cellStyle name="Normal 12 5 2 3" xfId="3550" xr:uid="{00000000-0005-0000-0000-0000370D0000}"/>
    <cellStyle name="Normal 12 5 2 3 2" xfId="3551" xr:uid="{00000000-0005-0000-0000-0000380D0000}"/>
    <cellStyle name="Normal 12 5 2 4" xfId="3552" xr:uid="{00000000-0005-0000-0000-0000390D0000}"/>
    <cellStyle name="Normal 12 5 3" xfId="3553" xr:uid="{00000000-0005-0000-0000-00003A0D0000}"/>
    <cellStyle name="Normal 12 5 3 2" xfId="3554" xr:uid="{00000000-0005-0000-0000-00003B0D0000}"/>
    <cellStyle name="Normal 12 5 3 2 2" xfId="3555" xr:uid="{00000000-0005-0000-0000-00003C0D0000}"/>
    <cellStyle name="Normal 12 5 3 3" xfId="3556" xr:uid="{00000000-0005-0000-0000-00003D0D0000}"/>
    <cellStyle name="Normal 12 5 4" xfId="3557" xr:uid="{00000000-0005-0000-0000-00003E0D0000}"/>
    <cellStyle name="Normal 12 5 4 2" xfId="3558" xr:uid="{00000000-0005-0000-0000-00003F0D0000}"/>
    <cellStyle name="Normal 12 5 5" xfId="3559" xr:uid="{00000000-0005-0000-0000-0000400D0000}"/>
    <cellStyle name="Normal 12 6" xfId="3560" xr:uid="{00000000-0005-0000-0000-0000410D0000}"/>
    <cellStyle name="Normal 12 6 2" xfId="3561" xr:uid="{00000000-0005-0000-0000-0000420D0000}"/>
    <cellStyle name="Normal 12 6 2 2" xfId="3562" xr:uid="{00000000-0005-0000-0000-0000430D0000}"/>
    <cellStyle name="Normal 12 6 2 2 2" xfId="3563" xr:uid="{00000000-0005-0000-0000-0000440D0000}"/>
    <cellStyle name="Normal 12 6 2 3" xfId="3564" xr:uid="{00000000-0005-0000-0000-0000450D0000}"/>
    <cellStyle name="Normal 12 6 3" xfId="3565" xr:uid="{00000000-0005-0000-0000-0000460D0000}"/>
    <cellStyle name="Normal 12 6 3 2" xfId="3566" xr:uid="{00000000-0005-0000-0000-0000470D0000}"/>
    <cellStyle name="Normal 12 6 4" xfId="3567" xr:uid="{00000000-0005-0000-0000-0000480D0000}"/>
    <cellStyle name="Normal 12 7" xfId="3568" xr:uid="{00000000-0005-0000-0000-0000490D0000}"/>
    <cellStyle name="Normal 12 7 2" xfId="3569" xr:uid="{00000000-0005-0000-0000-00004A0D0000}"/>
    <cellStyle name="Normal 12 7 2 2" xfId="3570" xr:uid="{00000000-0005-0000-0000-00004B0D0000}"/>
    <cellStyle name="Normal 12 7 3" xfId="3571" xr:uid="{00000000-0005-0000-0000-00004C0D0000}"/>
    <cellStyle name="Normal 12 8" xfId="3572" xr:uid="{00000000-0005-0000-0000-00004D0D0000}"/>
    <cellStyle name="Normal 12 8 2" xfId="3573" xr:uid="{00000000-0005-0000-0000-00004E0D0000}"/>
    <cellStyle name="Normal 12 9" xfId="3574" xr:uid="{00000000-0005-0000-0000-00004F0D0000}"/>
    <cellStyle name="Normal 120" xfId="3575" xr:uid="{00000000-0005-0000-0000-0000500D0000}"/>
    <cellStyle name="Normal 120 2" xfId="3576" xr:uid="{00000000-0005-0000-0000-0000510D0000}"/>
    <cellStyle name="Normal 120 2 2" xfId="3577" xr:uid="{00000000-0005-0000-0000-0000520D0000}"/>
    <cellStyle name="Normal 120 3" xfId="3578" xr:uid="{00000000-0005-0000-0000-0000530D0000}"/>
    <cellStyle name="Normal 120 3 2" xfId="3579" xr:uid="{00000000-0005-0000-0000-0000540D0000}"/>
    <cellStyle name="Normal 120 3 2 2" xfId="3580" xr:uid="{00000000-0005-0000-0000-0000550D0000}"/>
    <cellStyle name="Normal 120 3 2 2 2" xfId="3581" xr:uid="{00000000-0005-0000-0000-0000560D0000}"/>
    <cellStyle name="Normal 120 3 2 2 2 2" xfId="3582" xr:uid="{00000000-0005-0000-0000-0000570D0000}"/>
    <cellStyle name="Normal 120 3 2 2 3" xfId="3583" xr:uid="{00000000-0005-0000-0000-0000580D0000}"/>
    <cellStyle name="Normal 120 3 2 3" xfId="3584" xr:uid="{00000000-0005-0000-0000-0000590D0000}"/>
    <cellStyle name="Normal 120 3 2 3 2" xfId="3585" xr:uid="{00000000-0005-0000-0000-00005A0D0000}"/>
    <cellStyle name="Normal 120 3 2 4" xfId="3586" xr:uid="{00000000-0005-0000-0000-00005B0D0000}"/>
    <cellStyle name="Normal 120 3 3" xfId="3587" xr:uid="{00000000-0005-0000-0000-00005C0D0000}"/>
    <cellStyle name="Normal 120 3 3 2" xfId="3588" xr:uid="{00000000-0005-0000-0000-00005D0D0000}"/>
    <cellStyle name="Normal 120 3 3 2 2" xfId="3589" xr:uid="{00000000-0005-0000-0000-00005E0D0000}"/>
    <cellStyle name="Normal 120 3 3 3" xfId="3590" xr:uid="{00000000-0005-0000-0000-00005F0D0000}"/>
    <cellStyle name="Normal 120 3 4" xfId="3591" xr:uid="{00000000-0005-0000-0000-0000600D0000}"/>
    <cellStyle name="Normal 120 3 4 2" xfId="3592" xr:uid="{00000000-0005-0000-0000-0000610D0000}"/>
    <cellStyle name="Normal 120 3 5" xfId="3593" xr:uid="{00000000-0005-0000-0000-0000620D0000}"/>
    <cellStyle name="Normal 120 4" xfId="3594" xr:uid="{00000000-0005-0000-0000-0000630D0000}"/>
    <cellStyle name="Normal 120 4 2" xfId="3595" xr:uid="{00000000-0005-0000-0000-0000640D0000}"/>
    <cellStyle name="Normal 120 4 2 2" xfId="3596" xr:uid="{00000000-0005-0000-0000-0000650D0000}"/>
    <cellStyle name="Normal 120 4 2 2 2" xfId="3597" xr:uid="{00000000-0005-0000-0000-0000660D0000}"/>
    <cellStyle name="Normal 120 4 2 2 2 2" xfId="3598" xr:uid="{00000000-0005-0000-0000-0000670D0000}"/>
    <cellStyle name="Normal 120 4 2 2 3" xfId="3599" xr:uid="{00000000-0005-0000-0000-0000680D0000}"/>
    <cellStyle name="Normal 120 4 2 3" xfId="3600" xr:uid="{00000000-0005-0000-0000-0000690D0000}"/>
    <cellStyle name="Normal 120 4 2 3 2" xfId="3601" xr:uid="{00000000-0005-0000-0000-00006A0D0000}"/>
    <cellStyle name="Normal 120 4 2 4" xfId="3602" xr:uid="{00000000-0005-0000-0000-00006B0D0000}"/>
    <cellStyle name="Normal 120 4 3" xfId="3603" xr:uid="{00000000-0005-0000-0000-00006C0D0000}"/>
    <cellStyle name="Normal 120 4 3 2" xfId="3604" xr:uid="{00000000-0005-0000-0000-00006D0D0000}"/>
    <cellStyle name="Normal 120 4 3 2 2" xfId="3605" xr:uid="{00000000-0005-0000-0000-00006E0D0000}"/>
    <cellStyle name="Normal 120 4 3 3" xfId="3606" xr:uid="{00000000-0005-0000-0000-00006F0D0000}"/>
    <cellStyle name="Normal 120 4 4" xfId="3607" xr:uid="{00000000-0005-0000-0000-0000700D0000}"/>
    <cellStyle name="Normal 120 4 4 2" xfId="3608" xr:uid="{00000000-0005-0000-0000-0000710D0000}"/>
    <cellStyle name="Normal 120 4 5" xfId="3609" xr:uid="{00000000-0005-0000-0000-0000720D0000}"/>
    <cellStyle name="Normal 120 5" xfId="3610" xr:uid="{00000000-0005-0000-0000-0000730D0000}"/>
    <cellStyle name="Normal 120 5 2" xfId="3611" xr:uid="{00000000-0005-0000-0000-0000740D0000}"/>
    <cellStyle name="Normal 120 5 2 2" xfId="3612" xr:uid="{00000000-0005-0000-0000-0000750D0000}"/>
    <cellStyle name="Normal 120 5 2 2 2" xfId="3613" xr:uid="{00000000-0005-0000-0000-0000760D0000}"/>
    <cellStyle name="Normal 120 5 2 2 2 2" xfId="3614" xr:uid="{00000000-0005-0000-0000-0000770D0000}"/>
    <cellStyle name="Normal 120 5 2 2 3" xfId="3615" xr:uid="{00000000-0005-0000-0000-0000780D0000}"/>
    <cellStyle name="Normal 120 5 2 3" xfId="3616" xr:uid="{00000000-0005-0000-0000-0000790D0000}"/>
    <cellStyle name="Normal 120 5 2 3 2" xfId="3617" xr:uid="{00000000-0005-0000-0000-00007A0D0000}"/>
    <cellStyle name="Normal 120 5 2 4" xfId="3618" xr:uid="{00000000-0005-0000-0000-00007B0D0000}"/>
    <cellStyle name="Normal 120 5 3" xfId="3619" xr:uid="{00000000-0005-0000-0000-00007C0D0000}"/>
    <cellStyle name="Normal 120 5 3 2" xfId="3620" xr:uid="{00000000-0005-0000-0000-00007D0D0000}"/>
    <cellStyle name="Normal 120 5 3 2 2" xfId="3621" xr:uid="{00000000-0005-0000-0000-00007E0D0000}"/>
    <cellStyle name="Normal 120 5 3 3" xfId="3622" xr:uid="{00000000-0005-0000-0000-00007F0D0000}"/>
    <cellStyle name="Normal 120 5 4" xfId="3623" xr:uid="{00000000-0005-0000-0000-0000800D0000}"/>
    <cellStyle name="Normal 120 5 4 2" xfId="3624" xr:uid="{00000000-0005-0000-0000-0000810D0000}"/>
    <cellStyle name="Normal 120 5 5" xfId="3625" xr:uid="{00000000-0005-0000-0000-0000820D0000}"/>
    <cellStyle name="Normal 120 6" xfId="3626" xr:uid="{00000000-0005-0000-0000-0000830D0000}"/>
    <cellStyle name="Normal 120 6 2" xfId="3627" xr:uid="{00000000-0005-0000-0000-0000840D0000}"/>
    <cellStyle name="Normal 120 6 2 2" xfId="3628" xr:uid="{00000000-0005-0000-0000-0000850D0000}"/>
    <cellStyle name="Normal 120 6 2 2 2" xfId="3629" xr:uid="{00000000-0005-0000-0000-0000860D0000}"/>
    <cellStyle name="Normal 120 6 2 3" xfId="3630" xr:uid="{00000000-0005-0000-0000-0000870D0000}"/>
    <cellStyle name="Normal 120 6 3" xfId="3631" xr:uid="{00000000-0005-0000-0000-0000880D0000}"/>
    <cellStyle name="Normal 120 6 3 2" xfId="3632" xr:uid="{00000000-0005-0000-0000-0000890D0000}"/>
    <cellStyle name="Normal 120 6 4" xfId="3633" xr:uid="{00000000-0005-0000-0000-00008A0D0000}"/>
    <cellStyle name="Normal 120 7" xfId="3634" xr:uid="{00000000-0005-0000-0000-00008B0D0000}"/>
    <cellStyle name="Normal 120 7 2" xfId="3635" xr:uid="{00000000-0005-0000-0000-00008C0D0000}"/>
    <cellStyle name="Normal 120 7 2 2" xfId="3636" xr:uid="{00000000-0005-0000-0000-00008D0D0000}"/>
    <cellStyle name="Normal 120 7 3" xfId="3637" xr:uid="{00000000-0005-0000-0000-00008E0D0000}"/>
    <cellStyle name="Normal 120 8" xfId="3638" xr:uid="{00000000-0005-0000-0000-00008F0D0000}"/>
    <cellStyle name="Normal 120 8 2" xfId="3639" xr:uid="{00000000-0005-0000-0000-0000900D0000}"/>
    <cellStyle name="Normal 120 9" xfId="3640" xr:uid="{00000000-0005-0000-0000-0000910D0000}"/>
    <cellStyle name="Normal 121" xfId="3641" xr:uid="{00000000-0005-0000-0000-0000920D0000}"/>
    <cellStyle name="Normal 121 2" xfId="3642" xr:uid="{00000000-0005-0000-0000-0000930D0000}"/>
    <cellStyle name="Normal 121 2 2" xfId="3643" xr:uid="{00000000-0005-0000-0000-0000940D0000}"/>
    <cellStyle name="Normal 121 2 2 2" xfId="3644" xr:uid="{00000000-0005-0000-0000-0000950D0000}"/>
    <cellStyle name="Normal 121 2 2 2 2" xfId="3645" xr:uid="{00000000-0005-0000-0000-0000960D0000}"/>
    <cellStyle name="Normal 121 2 2 3" xfId="3646" xr:uid="{00000000-0005-0000-0000-0000970D0000}"/>
    <cellStyle name="Normal 121 2 3" xfId="3647" xr:uid="{00000000-0005-0000-0000-0000980D0000}"/>
    <cellStyle name="Normal 121 2 3 2" xfId="3648" xr:uid="{00000000-0005-0000-0000-0000990D0000}"/>
    <cellStyle name="Normal 121 2 4" xfId="3649" xr:uid="{00000000-0005-0000-0000-00009A0D0000}"/>
    <cellStyle name="Normal 121 3" xfId="3650" xr:uid="{00000000-0005-0000-0000-00009B0D0000}"/>
    <cellStyle name="Normal 121 3 2" xfId="3651" xr:uid="{00000000-0005-0000-0000-00009C0D0000}"/>
    <cellStyle name="Normal 121 3 2 2" xfId="3652" xr:uid="{00000000-0005-0000-0000-00009D0D0000}"/>
    <cellStyle name="Normal 121 3 3" xfId="3653" xr:uid="{00000000-0005-0000-0000-00009E0D0000}"/>
    <cellStyle name="Normal 121 4" xfId="3654" xr:uid="{00000000-0005-0000-0000-00009F0D0000}"/>
    <cellStyle name="Normal 121 4 2" xfId="3655" xr:uid="{00000000-0005-0000-0000-0000A00D0000}"/>
    <cellStyle name="Normal 121 5" xfId="3656" xr:uid="{00000000-0005-0000-0000-0000A10D0000}"/>
    <cellStyle name="Normal 122" xfId="3657" xr:uid="{00000000-0005-0000-0000-0000A20D0000}"/>
    <cellStyle name="Normal 122 2" xfId="3658" xr:uid="{00000000-0005-0000-0000-0000A30D0000}"/>
    <cellStyle name="Normal 122 2 2" xfId="3659" xr:uid="{00000000-0005-0000-0000-0000A40D0000}"/>
    <cellStyle name="Normal 122 2 2 2" xfId="3660" xr:uid="{00000000-0005-0000-0000-0000A50D0000}"/>
    <cellStyle name="Normal 122 2 2 2 2" xfId="3661" xr:uid="{00000000-0005-0000-0000-0000A60D0000}"/>
    <cellStyle name="Normal 122 2 2 3" xfId="3662" xr:uid="{00000000-0005-0000-0000-0000A70D0000}"/>
    <cellStyle name="Normal 122 2 3" xfId="3663" xr:uid="{00000000-0005-0000-0000-0000A80D0000}"/>
    <cellStyle name="Normal 122 2 3 2" xfId="3664" xr:uid="{00000000-0005-0000-0000-0000A90D0000}"/>
    <cellStyle name="Normal 122 2 4" xfId="3665" xr:uid="{00000000-0005-0000-0000-0000AA0D0000}"/>
    <cellStyle name="Normal 122 3" xfId="3666" xr:uid="{00000000-0005-0000-0000-0000AB0D0000}"/>
    <cellStyle name="Normal 122 3 2" xfId="3667" xr:uid="{00000000-0005-0000-0000-0000AC0D0000}"/>
    <cellStyle name="Normal 122 3 2 2" xfId="3668" xr:uid="{00000000-0005-0000-0000-0000AD0D0000}"/>
    <cellStyle name="Normal 122 3 3" xfId="3669" xr:uid="{00000000-0005-0000-0000-0000AE0D0000}"/>
    <cellStyle name="Normal 122 4" xfId="3670" xr:uid="{00000000-0005-0000-0000-0000AF0D0000}"/>
    <cellStyle name="Normal 122 4 2" xfId="3671" xr:uid="{00000000-0005-0000-0000-0000B00D0000}"/>
    <cellStyle name="Normal 122 5" xfId="3672" xr:uid="{00000000-0005-0000-0000-0000B10D0000}"/>
    <cellStyle name="Normal 123" xfId="3673" xr:uid="{00000000-0005-0000-0000-0000B20D0000}"/>
    <cellStyle name="Normal 123 2" xfId="3674" xr:uid="{00000000-0005-0000-0000-0000B30D0000}"/>
    <cellStyle name="Normal 123 2 2" xfId="3675" xr:uid="{00000000-0005-0000-0000-0000B40D0000}"/>
    <cellStyle name="Normal 123 3" xfId="3676" xr:uid="{00000000-0005-0000-0000-0000B50D0000}"/>
    <cellStyle name="Normal 124" xfId="3677" xr:uid="{00000000-0005-0000-0000-0000B60D0000}"/>
    <cellStyle name="Normal 124 2" xfId="3678" xr:uid="{00000000-0005-0000-0000-0000B70D0000}"/>
    <cellStyle name="Normal 125" xfId="3679" xr:uid="{00000000-0005-0000-0000-0000B80D0000}"/>
    <cellStyle name="Normal 125 2" xfId="3680" xr:uid="{00000000-0005-0000-0000-0000B90D0000}"/>
    <cellStyle name="Normal 126" xfId="3681" xr:uid="{00000000-0005-0000-0000-0000BA0D0000}"/>
    <cellStyle name="Normal 126 2" xfId="3682" xr:uid="{00000000-0005-0000-0000-0000BB0D0000}"/>
    <cellStyle name="Normal 127" xfId="3683" xr:uid="{00000000-0005-0000-0000-0000BC0D0000}"/>
    <cellStyle name="Normal 128" xfId="3684" xr:uid="{00000000-0005-0000-0000-0000BD0D0000}"/>
    <cellStyle name="Normal 129" xfId="3685" xr:uid="{00000000-0005-0000-0000-0000BE0D0000}"/>
    <cellStyle name="Normal 129 2" xfId="3686" xr:uid="{00000000-0005-0000-0000-0000BF0D0000}"/>
    <cellStyle name="Normal 129 3" xfId="3687" xr:uid="{00000000-0005-0000-0000-0000C00D0000}"/>
    <cellStyle name="Normal 13" xfId="3688" xr:uid="{00000000-0005-0000-0000-0000C10D0000}"/>
    <cellStyle name="Normal 13 10" xfId="3689" xr:uid="{00000000-0005-0000-0000-0000C20D0000}"/>
    <cellStyle name="Normal 13 2" xfId="3690" xr:uid="{00000000-0005-0000-0000-0000C30D0000}"/>
    <cellStyle name="Normal 13 2 2" xfId="3691" xr:uid="{00000000-0005-0000-0000-0000C40D0000}"/>
    <cellStyle name="Normal 13 2 3" xfId="3692" xr:uid="{00000000-0005-0000-0000-0000C50D0000}"/>
    <cellStyle name="Normal 13 3" xfId="3693" xr:uid="{00000000-0005-0000-0000-0000C60D0000}"/>
    <cellStyle name="Normal 13 3 2" xfId="3694" xr:uid="{00000000-0005-0000-0000-0000C70D0000}"/>
    <cellStyle name="Normal 13 3 2 2" xfId="3695" xr:uid="{00000000-0005-0000-0000-0000C80D0000}"/>
    <cellStyle name="Normal 13 3 2 2 2" xfId="3696" xr:uid="{00000000-0005-0000-0000-0000C90D0000}"/>
    <cellStyle name="Normal 13 3 2 2 2 2" xfId="3697" xr:uid="{00000000-0005-0000-0000-0000CA0D0000}"/>
    <cellStyle name="Normal 13 3 2 2 3" xfId="3698" xr:uid="{00000000-0005-0000-0000-0000CB0D0000}"/>
    <cellStyle name="Normal 13 3 2 3" xfId="3699" xr:uid="{00000000-0005-0000-0000-0000CC0D0000}"/>
    <cellStyle name="Normal 13 3 2 3 2" xfId="3700" xr:uid="{00000000-0005-0000-0000-0000CD0D0000}"/>
    <cellStyle name="Normal 13 3 2 4" xfId="3701" xr:uid="{00000000-0005-0000-0000-0000CE0D0000}"/>
    <cellStyle name="Normal 13 3 3" xfId="3702" xr:uid="{00000000-0005-0000-0000-0000CF0D0000}"/>
    <cellStyle name="Normal 13 3 3 2" xfId="3703" xr:uid="{00000000-0005-0000-0000-0000D00D0000}"/>
    <cellStyle name="Normal 13 3 3 2 2" xfId="3704" xr:uid="{00000000-0005-0000-0000-0000D10D0000}"/>
    <cellStyle name="Normal 13 3 3 3" xfId="3705" xr:uid="{00000000-0005-0000-0000-0000D20D0000}"/>
    <cellStyle name="Normal 13 3 4" xfId="3706" xr:uid="{00000000-0005-0000-0000-0000D30D0000}"/>
    <cellStyle name="Normal 13 3 4 2" xfId="3707" xr:uid="{00000000-0005-0000-0000-0000D40D0000}"/>
    <cellStyle name="Normal 13 3 5" xfId="3708" xr:uid="{00000000-0005-0000-0000-0000D50D0000}"/>
    <cellStyle name="Normal 13 4" xfId="3709" xr:uid="{00000000-0005-0000-0000-0000D60D0000}"/>
    <cellStyle name="Normal 13 4 2" xfId="3710" xr:uid="{00000000-0005-0000-0000-0000D70D0000}"/>
    <cellStyle name="Normal 13 4 2 2" xfId="3711" xr:uid="{00000000-0005-0000-0000-0000D80D0000}"/>
    <cellStyle name="Normal 13 4 2 2 2" xfId="3712" xr:uid="{00000000-0005-0000-0000-0000D90D0000}"/>
    <cellStyle name="Normal 13 4 2 2 2 2" xfId="3713" xr:uid="{00000000-0005-0000-0000-0000DA0D0000}"/>
    <cellStyle name="Normal 13 4 2 2 3" xfId="3714" xr:uid="{00000000-0005-0000-0000-0000DB0D0000}"/>
    <cellStyle name="Normal 13 4 2 3" xfId="3715" xr:uid="{00000000-0005-0000-0000-0000DC0D0000}"/>
    <cellStyle name="Normal 13 4 2 3 2" xfId="3716" xr:uid="{00000000-0005-0000-0000-0000DD0D0000}"/>
    <cellStyle name="Normal 13 4 2 4" xfId="3717" xr:uid="{00000000-0005-0000-0000-0000DE0D0000}"/>
    <cellStyle name="Normal 13 4 3" xfId="3718" xr:uid="{00000000-0005-0000-0000-0000DF0D0000}"/>
    <cellStyle name="Normal 13 4 3 2" xfId="3719" xr:uid="{00000000-0005-0000-0000-0000E00D0000}"/>
    <cellStyle name="Normal 13 4 3 2 2" xfId="3720" xr:uid="{00000000-0005-0000-0000-0000E10D0000}"/>
    <cellStyle name="Normal 13 4 3 3" xfId="3721" xr:uid="{00000000-0005-0000-0000-0000E20D0000}"/>
    <cellStyle name="Normal 13 4 4" xfId="3722" xr:uid="{00000000-0005-0000-0000-0000E30D0000}"/>
    <cellStyle name="Normal 13 4 4 2" xfId="3723" xr:uid="{00000000-0005-0000-0000-0000E40D0000}"/>
    <cellStyle name="Normal 13 4 5" xfId="3724" xr:uid="{00000000-0005-0000-0000-0000E50D0000}"/>
    <cellStyle name="Normal 13 5" xfId="3725" xr:uid="{00000000-0005-0000-0000-0000E60D0000}"/>
    <cellStyle name="Normal 13 5 2" xfId="3726" xr:uid="{00000000-0005-0000-0000-0000E70D0000}"/>
    <cellStyle name="Normal 13 5 2 2" xfId="3727" xr:uid="{00000000-0005-0000-0000-0000E80D0000}"/>
    <cellStyle name="Normal 13 5 2 2 2" xfId="3728" xr:uid="{00000000-0005-0000-0000-0000E90D0000}"/>
    <cellStyle name="Normal 13 5 2 2 2 2" xfId="3729" xr:uid="{00000000-0005-0000-0000-0000EA0D0000}"/>
    <cellStyle name="Normal 13 5 2 2 3" xfId="3730" xr:uid="{00000000-0005-0000-0000-0000EB0D0000}"/>
    <cellStyle name="Normal 13 5 2 3" xfId="3731" xr:uid="{00000000-0005-0000-0000-0000EC0D0000}"/>
    <cellStyle name="Normal 13 5 2 3 2" xfId="3732" xr:uid="{00000000-0005-0000-0000-0000ED0D0000}"/>
    <cellStyle name="Normal 13 5 2 4" xfId="3733" xr:uid="{00000000-0005-0000-0000-0000EE0D0000}"/>
    <cellStyle name="Normal 13 5 3" xfId="3734" xr:uid="{00000000-0005-0000-0000-0000EF0D0000}"/>
    <cellStyle name="Normal 13 5 3 2" xfId="3735" xr:uid="{00000000-0005-0000-0000-0000F00D0000}"/>
    <cellStyle name="Normal 13 5 3 2 2" xfId="3736" xr:uid="{00000000-0005-0000-0000-0000F10D0000}"/>
    <cellStyle name="Normal 13 5 3 3" xfId="3737" xr:uid="{00000000-0005-0000-0000-0000F20D0000}"/>
    <cellStyle name="Normal 13 5 4" xfId="3738" xr:uid="{00000000-0005-0000-0000-0000F30D0000}"/>
    <cellStyle name="Normal 13 5 4 2" xfId="3739" xr:uid="{00000000-0005-0000-0000-0000F40D0000}"/>
    <cellStyle name="Normal 13 5 5" xfId="3740" xr:uid="{00000000-0005-0000-0000-0000F50D0000}"/>
    <cellStyle name="Normal 13 6" xfId="3741" xr:uid="{00000000-0005-0000-0000-0000F60D0000}"/>
    <cellStyle name="Normal 13 6 2" xfId="3742" xr:uid="{00000000-0005-0000-0000-0000F70D0000}"/>
    <cellStyle name="Normal 13 6 2 2" xfId="3743" xr:uid="{00000000-0005-0000-0000-0000F80D0000}"/>
    <cellStyle name="Normal 13 6 2 2 2" xfId="3744" xr:uid="{00000000-0005-0000-0000-0000F90D0000}"/>
    <cellStyle name="Normal 13 6 2 3" xfId="3745" xr:uid="{00000000-0005-0000-0000-0000FA0D0000}"/>
    <cellStyle name="Normal 13 6 3" xfId="3746" xr:uid="{00000000-0005-0000-0000-0000FB0D0000}"/>
    <cellStyle name="Normal 13 6 3 2" xfId="3747" xr:uid="{00000000-0005-0000-0000-0000FC0D0000}"/>
    <cellStyle name="Normal 13 6 4" xfId="3748" xr:uid="{00000000-0005-0000-0000-0000FD0D0000}"/>
    <cellStyle name="Normal 13 7" xfId="3749" xr:uid="{00000000-0005-0000-0000-0000FE0D0000}"/>
    <cellStyle name="Normal 13 7 2" xfId="3750" xr:uid="{00000000-0005-0000-0000-0000FF0D0000}"/>
    <cellStyle name="Normal 13 7 2 2" xfId="3751" xr:uid="{00000000-0005-0000-0000-0000000E0000}"/>
    <cellStyle name="Normal 13 7 3" xfId="3752" xr:uid="{00000000-0005-0000-0000-0000010E0000}"/>
    <cellStyle name="Normal 13 8" xfId="3753" xr:uid="{00000000-0005-0000-0000-0000020E0000}"/>
    <cellStyle name="Normal 13 8 2" xfId="3754" xr:uid="{00000000-0005-0000-0000-0000030E0000}"/>
    <cellStyle name="Normal 13 9" xfId="3755" xr:uid="{00000000-0005-0000-0000-0000040E0000}"/>
    <cellStyle name="Normal 130" xfId="3756" xr:uid="{00000000-0005-0000-0000-0000050E0000}"/>
    <cellStyle name="Normal 131" xfId="3757" xr:uid="{00000000-0005-0000-0000-0000060E0000}"/>
    <cellStyle name="Normal 132" xfId="3758" xr:uid="{00000000-0005-0000-0000-0000070E0000}"/>
    <cellStyle name="Normal 132 2" xfId="3759" xr:uid="{00000000-0005-0000-0000-0000080E0000}"/>
    <cellStyle name="Normal 133" xfId="3760" xr:uid="{00000000-0005-0000-0000-0000090E0000}"/>
    <cellStyle name="Normal 134" xfId="3761" xr:uid="{00000000-0005-0000-0000-00000A0E0000}"/>
    <cellStyle name="Normal 135" xfId="3762" xr:uid="{00000000-0005-0000-0000-00000B0E0000}"/>
    <cellStyle name="Normal 136" xfId="3763" xr:uid="{00000000-0005-0000-0000-00000C0E0000}"/>
    <cellStyle name="Normal 137" xfId="3764" xr:uid="{00000000-0005-0000-0000-00000D0E0000}"/>
    <cellStyle name="Normal 138" xfId="3765" xr:uid="{00000000-0005-0000-0000-00000E0E0000}"/>
    <cellStyle name="Normal 139" xfId="3766" xr:uid="{00000000-0005-0000-0000-00000F0E0000}"/>
    <cellStyle name="Normal 14" xfId="3767" xr:uid="{00000000-0005-0000-0000-0000100E0000}"/>
    <cellStyle name="Normal 14 10" xfId="3768" xr:uid="{00000000-0005-0000-0000-0000110E0000}"/>
    <cellStyle name="Normal 14 2" xfId="3769" xr:uid="{00000000-0005-0000-0000-0000120E0000}"/>
    <cellStyle name="Normal 14 2 2" xfId="3770" xr:uid="{00000000-0005-0000-0000-0000130E0000}"/>
    <cellStyle name="Normal 14 2 3" xfId="3771" xr:uid="{00000000-0005-0000-0000-0000140E0000}"/>
    <cellStyle name="Normal 14 3" xfId="3772" xr:uid="{00000000-0005-0000-0000-0000150E0000}"/>
    <cellStyle name="Normal 14 3 2" xfId="3773" xr:uid="{00000000-0005-0000-0000-0000160E0000}"/>
    <cellStyle name="Normal 14 3 2 2" xfId="3774" xr:uid="{00000000-0005-0000-0000-0000170E0000}"/>
    <cellStyle name="Normal 14 3 2 2 2" xfId="3775" xr:uid="{00000000-0005-0000-0000-0000180E0000}"/>
    <cellStyle name="Normal 14 3 2 2 2 2" xfId="3776" xr:uid="{00000000-0005-0000-0000-0000190E0000}"/>
    <cellStyle name="Normal 14 3 2 2 3" xfId="3777" xr:uid="{00000000-0005-0000-0000-00001A0E0000}"/>
    <cellStyle name="Normal 14 3 2 3" xfId="3778" xr:uid="{00000000-0005-0000-0000-00001B0E0000}"/>
    <cellStyle name="Normal 14 3 2 3 2" xfId="3779" xr:uid="{00000000-0005-0000-0000-00001C0E0000}"/>
    <cellStyle name="Normal 14 3 2 4" xfId="3780" xr:uid="{00000000-0005-0000-0000-00001D0E0000}"/>
    <cellStyle name="Normal 14 3 3" xfId="3781" xr:uid="{00000000-0005-0000-0000-00001E0E0000}"/>
    <cellStyle name="Normal 14 3 3 2" xfId="3782" xr:uid="{00000000-0005-0000-0000-00001F0E0000}"/>
    <cellStyle name="Normal 14 3 3 2 2" xfId="3783" xr:uid="{00000000-0005-0000-0000-0000200E0000}"/>
    <cellStyle name="Normal 14 3 3 3" xfId="3784" xr:uid="{00000000-0005-0000-0000-0000210E0000}"/>
    <cellStyle name="Normal 14 3 4" xfId="3785" xr:uid="{00000000-0005-0000-0000-0000220E0000}"/>
    <cellStyle name="Normal 14 3 4 2" xfId="3786" xr:uid="{00000000-0005-0000-0000-0000230E0000}"/>
    <cellStyle name="Normal 14 3 5" xfId="3787" xr:uid="{00000000-0005-0000-0000-0000240E0000}"/>
    <cellStyle name="Normal 14 4" xfId="3788" xr:uid="{00000000-0005-0000-0000-0000250E0000}"/>
    <cellStyle name="Normal 14 4 2" xfId="3789" xr:uid="{00000000-0005-0000-0000-0000260E0000}"/>
    <cellStyle name="Normal 14 4 2 2" xfId="3790" xr:uid="{00000000-0005-0000-0000-0000270E0000}"/>
    <cellStyle name="Normal 14 4 2 2 2" xfId="3791" xr:uid="{00000000-0005-0000-0000-0000280E0000}"/>
    <cellStyle name="Normal 14 4 2 2 2 2" xfId="3792" xr:uid="{00000000-0005-0000-0000-0000290E0000}"/>
    <cellStyle name="Normal 14 4 2 2 3" xfId="3793" xr:uid="{00000000-0005-0000-0000-00002A0E0000}"/>
    <cellStyle name="Normal 14 4 2 3" xfId="3794" xr:uid="{00000000-0005-0000-0000-00002B0E0000}"/>
    <cellStyle name="Normal 14 4 2 3 2" xfId="3795" xr:uid="{00000000-0005-0000-0000-00002C0E0000}"/>
    <cellStyle name="Normal 14 4 2 4" xfId="3796" xr:uid="{00000000-0005-0000-0000-00002D0E0000}"/>
    <cellStyle name="Normal 14 4 3" xfId="3797" xr:uid="{00000000-0005-0000-0000-00002E0E0000}"/>
    <cellStyle name="Normal 14 4 3 2" xfId="3798" xr:uid="{00000000-0005-0000-0000-00002F0E0000}"/>
    <cellStyle name="Normal 14 4 3 2 2" xfId="3799" xr:uid="{00000000-0005-0000-0000-0000300E0000}"/>
    <cellStyle name="Normal 14 4 3 3" xfId="3800" xr:uid="{00000000-0005-0000-0000-0000310E0000}"/>
    <cellStyle name="Normal 14 4 4" xfId="3801" xr:uid="{00000000-0005-0000-0000-0000320E0000}"/>
    <cellStyle name="Normal 14 4 4 2" xfId="3802" xr:uid="{00000000-0005-0000-0000-0000330E0000}"/>
    <cellStyle name="Normal 14 4 5" xfId="3803" xr:uid="{00000000-0005-0000-0000-0000340E0000}"/>
    <cellStyle name="Normal 14 5" xfId="3804" xr:uid="{00000000-0005-0000-0000-0000350E0000}"/>
    <cellStyle name="Normal 14 5 2" xfId="3805" xr:uid="{00000000-0005-0000-0000-0000360E0000}"/>
    <cellStyle name="Normal 14 5 2 2" xfId="3806" xr:uid="{00000000-0005-0000-0000-0000370E0000}"/>
    <cellStyle name="Normal 14 5 2 2 2" xfId="3807" xr:uid="{00000000-0005-0000-0000-0000380E0000}"/>
    <cellStyle name="Normal 14 5 2 2 2 2" xfId="3808" xr:uid="{00000000-0005-0000-0000-0000390E0000}"/>
    <cellStyle name="Normal 14 5 2 2 3" xfId="3809" xr:uid="{00000000-0005-0000-0000-00003A0E0000}"/>
    <cellStyle name="Normal 14 5 2 3" xfId="3810" xr:uid="{00000000-0005-0000-0000-00003B0E0000}"/>
    <cellStyle name="Normal 14 5 2 3 2" xfId="3811" xr:uid="{00000000-0005-0000-0000-00003C0E0000}"/>
    <cellStyle name="Normal 14 5 2 4" xfId="3812" xr:uid="{00000000-0005-0000-0000-00003D0E0000}"/>
    <cellStyle name="Normal 14 5 3" xfId="3813" xr:uid="{00000000-0005-0000-0000-00003E0E0000}"/>
    <cellStyle name="Normal 14 5 3 2" xfId="3814" xr:uid="{00000000-0005-0000-0000-00003F0E0000}"/>
    <cellStyle name="Normal 14 5 3 2 2" xfId="3815" xr:uid="{00000000-0005-0000-0000-0000400E0000}"/>
    <cellStyle name="Normal 14 5 3 3" xfId="3816" xr:uid="{00000000-0005-0000-0000-0000410E0000}"/>
    <cellStyle name="Normal 14 5 4" xfId="3817" xr:uid="{00000000-0005-0000-0000-0000420E0000}"/>
    <cellStyle name="Normal 14 5 4 2" xfId="3818" xr:uid="{00000000-0005-0000-0000-0000430E0000}"/>
    <cellStyle name="Normal 14 5 5" xfId="3819" xr:uid="{00000000-0005-0000-0000-0000440E0000}"/>
    <cellStyle name="Normal 14 6" xfId="3820" xr:uid="{00000000-0005-0000-0000-0000450E0000}"/>
    <cellStyle name="Normal 14 6 2" xfId="3821" xr:uid="{00000000-0005-0000-0000-0000460E0000}"/>
    <cellStyle name="Normal 14 6 2 2" xfId="3822" xr:uid="{00000000-0005-0000-0000-0000470E0000}"/>
    <cellStyle name="Normal 14 6 2 2 2" xfId="3823" xr:uid="{00000000-0005-0000-0000-0000480E0000}"/>
    <cellStyle name="Normal 14 6 2 3" xfId="3824" xr:uid="{00000000-0005-0000-0000-0000490E0000}"/>
    <cellStyle name="Normal 14 6 3" xfId="3825" xr:uid="{00000000-0005-0000-0000-00004A0E0000}"/>
    <cellStyle name="Normal 14 6 3 2" xfId="3826" xr:uid="{00000000-0005-0000-0000-00004B0E0000}"/>
    <cellStyle name="Normal 14 6 4" xfId="3827" xr:uid="{00000000-0005-0000-0000-00004C0E0000}"/>
    <cellStyle name="Normal 14 7" xfId="3828" xr:uid="{00000000-0005-0000-0000-00004D0E0000}"/>
    <cellStyle name="Normal 14 7 2" xfId="3829" xr:uid="{00000000-0005-0000-0000-00004E0E0000}"/>
    <cellStyle name="Normal 14 7 2 2" xfId="3830" xr:uid="{00000000-0005-0000-0000-00004F0E0000}"/>
    <cellStyle name="Normal 14 7 3" xfId="3831" xr:uid="{00000000-0005-0000-0000-0000500E0000}"/>
    <cellStyle name="Normal 14 8" xfId="3832" xr:uid="{00000000-0005-0000-0000-0000510E0000}"/>
    <cellStyle name="Normal 14 8 2" xfId="3833" xr:uid="{00000000-0005-0000-0000-0000520E0000}"/>
    <cellStyle name="Normal 14 9" xfId="3834" xr:uid="{00000000-0005-0000-0000-0000530E0000}"/>
    <cellStyle name="Normal 140" xfId="3835" xr:uid="{00000000-0005-0000-0000-0000540E0000}"/>
    <cellStyle name="Normal 141" xfId="3836" xr:uid="{00000000-0005-0000-0000-0000550E0000}"/>
    <cellStyle name="Normal 142" xfId="3837" xr:uid="{00000000-0005-0000-0000-0000560E0000}"/>
    <cellStyle name="Normal 143" xfId="3838" xr:uid="{00000000-0005-0000-0000-0000570E0000}"/>
    <cellStyle name="Normal 144" xfId="3839" xr:uid="{00000000-0005-0000-0000-0000580E0000}"/>
    <cellStyle name="Normal 145" xfId="3840" xr:uid="{00000000-0005-0000-0000-0000590E0000}"/>
    <cellStyle name="Normal 146" xfId="3841" xr:uid="{00000000-0005-0000-0000-00005A0E0000}"/>
    <cellStyle name="Normal 147" xfId="3842" xr:uid="{00000000-0005-0000-0000-00005B0E0000}"/>
    <cellStyle name="Normal 148" xfId="3843" xr:uid="{00000000-0005-0000-0000-00005C0E0000}"/>
    <cellStyle name="Normal 149" xfId="3844" xr:uid="{00000000-0005-0000-0000-00005D0E0000}"/>
    <cellStyle name="Normal 15" xfId="3845" xr:uid="{00000000-0005-0000-0000-00005E0E0000}"/>
    <cellStyle name="Normal 15 10" xfId="3846" xr:uid="{00000000-0005-0000-0000-00005F0E0000}"/>
    <cellStyle name="Normal 15 2" xfId="3847" xr:uid="{00000000-0005-0000-0000-0000600E0000}"/>
    <cellStyle name="Normal 15 2 2" xfId="3848" xr:uid="{00000000-0005-0000-0000-0000610E0000}"/>
    <cellStyle name="Normal 15 2 3" xfId="3849" xr:uid="{00000000-0005-0000-0000-0000620E0000}"/>
    <cellStyle name="Normal 15 3" xfId="3850" xr:uid="{00000000-0005-0000-0000-0000630E0000}"/>
    <cellStyle name="Normal 15 3 2" xfId="3851" xr:uid="{00000000-0005-0000-0000-0000640E0000}"/>
    <cellStyle name="Normal 15 3 2 2" xfId="3852" xr:uid="{00000000-0005-0000-0000-0000650E0000}"/>
    <cellStyle name="Normal 15 3 2 2 2" xfId="3853" xr:uid="{00000000-0005-0000-0000-0000660E0000}"/>
    <cellStyle name="Normal 15 3 2 2 2 2" xfId="3854" xr:uid="{00000000-0005-0000-0000-0000670E0000}"/>
    <cellStyle name="Normal 15 3 2 2 3" xfId="3855" xr:uid="{00000000-0005-0000-0000-0000680E0000}"/>
    <cellStyle name="Normal 15 3 2 3" xfId="3856" xr:uid="{00000000-0005-0000-0000-0000690E0000}"/>
    <cellStyle name="Normal 15 3 2 3 2" xfId="3857" xr:uid="{00000000-0005-0000-0000-00006A0E0000}"/>
    <cellStyle name="Normal 15 3 2 4" xfId="3858" xr:uid="{00000000-0005-0000-0000-00006B0E0000}"/>
    <cellStyle name="Normal 15 3 3" xfId="3859" xr:uid="{00000000-0005-0000-0000-00006C0E0000}"/>
    <cellStyle name="Normal 15 3 3 2" xfId="3860" xr:uid="{00000000-0005-0000-0000-00006D0E0000}"/>
    <cellStyle name="Normal 15 3 3 2 2" xfId="3861" xr:uid="{00000000-0005-0000-0000-00006E0E0000}"/>
    <cellStyle name="Normal 15 3 3 3" xfId="3862" xr:uid="{00000000-0005-0000-0000-00006F0E0000}"/>
    <cellStyle name="Normal 15 3 4" xfId="3863" xr:uid="{00000000-0005-0000-0000-0000700E0000}"/>
    <cellStyle name="Normal 15 3 4 2" xfId="3864" xr:uid="{00000000-0005-0000-0000-0000710E0000}"/>
    <cellStyle name="Normal 15 3 5" xfId="3865" xr:uid="{00000000-0005-0000-0000-0000720E0000}"/>
    <cellStyle name="Normal 15 4" xfId="3866" xr:uid="{00000000-0005-0000-0000-0000730E0000}"/>
    <cellStyle name="Normal 15 4 2" xfId="3867" xr:uid="{00000000-0005-0000-0000-0000740E0000}"/>
    <cellStyle name="Normal 15 4 2 2" xfId="3868" xr:uid="{00000000-0005-0000-0000-0000750E0000}"/>
    <cellStyle name="Normal 15 4 2 2 2" xfId="3869" xr:uid="{00000000-0005-0000-0000-0000760E0000}"/>
    <cellStyle name="Normal 15 4 2 2 2 2" xfId="3870" xr:uid="{00000000-0005-0000-0000-0000770E0000}"/>
    <cellStyle name="Normal 15 4 2 2 3" xfId="3871" xr:uid="{00000000-0005-0000-0000-0000780E0000}"/>
    <cellStyle name="Normal 15 4 2 3" xfId="3872" xr:uid="{00000000-0005-0000-0000-0000790E0000}"/>
    <cellStyle name="Normal 15 4 2 3 2" xfId="3873" xr:uid="{00000000-0005-0000-0000-00007A0E0000}"/>
    <cellStyle name="Normal 15 4 2 4" xfId="3874" xr:uid="{00000000-0005-0000-0000-00007B0E0000}"/>
    <cellStyle name="Normal 15 4 3" xfId="3875" xr:uid="{00000000-0005-0000-0000-00007C0E0000}"/>
    <cellStyle name="Normal 15 4 3 2" xfId="3876" xr:uid="{00000000-0005-0000-0000-00007D0E0000}"/>
    <cellStyle name="Normal 15 4 3 2 2" xfId="3877" xr:uid="{00000000-0005-0000-0000-00007E0E0000}"/>
    <cellStyle name="Normal 15 4 3 3" xfId="3878" xr:uid="{00000000-0005-0000-0000-00007F0E0000}"/>
    <cellStyle name="Normal 15 4 4" xfId="3879" xr:uid="{00000000-0005-0000-0000-0000800E0000}"/>
    <cellStyle name="Normal 15 4 4 2" xfId="3880" xr:uid="{00000000-0005-0000-0000-0000810E0000}"/>
    <cellStyle name="Normal 15 4 5" xfId="3881" xr:uid="{00000000-0005-0000-0000-0000820E0000}"/>
    <cellStyle name="Normal 15 5" xfId="3882" xr:uid="{00000000-0005-0000-0000-0000830E0000}"/>
    <cellStyle name="Normal 15 5 2" xfId="3883" xr:uid="{00000000-0005-0000-0000-0000840E0000}"/>
    <cellStyle name="Normal 15 5 2 2" xfId="3884" xr:uid="{00000000-0005-0000-0000-0000850E0000}"/>
    <cellStyle name="Normal 15 5 2 2 2" xfId="3885" xr:uid="{00000000-0005-0000-0000-0000860E0000}"/>
    <cellStyle name="Normal 15 5 2 2 2 2" xfId="3886" xr:uid="{00000000-0005-0000-0000-0000870E0000}"/>
    <cellStyle name="Normal 15 5 2 2 3" xfId="3887" xr:uid="{00000000-0005-0000-0000-0000880E0000}"/>
    <cellStyle name="Normal 15 5 2 3" xfId="3888" xr:uid="{00000000-0005-0000-0000-0000890E0000}"/>
    <cellStyle name="Normal 15 5 2 3 2" xfId="3889" xr:uid="{00000000-0005-0000-0000-00008A0E0000}"/>
    <cellStyle name="Normal 15 5 2 4" xfId="3890" xr:uid="{00000000-0005-0000-0000-00008B0E0000}"/>
    <cellStyle name="Normal 15 5 3" xfId="3891" xr:uid="{00000000-0005-0000-0000-00008C0E0000}"/>
    <cellStyle name="Normal 15 5 3 2" xfId="3892" xr:uid="{00000000-0005-0000-0000-00008D0E0000}"/>
    <cellStyle name="Normal 15 5 3 2 2" xfId="3893" xr:uid="{00000000-0005-0000-0000-00008E0E0000}"/>
    <cellStyle name="Normal 15 5 3 3" xfId="3894" xr:uid="{00000000-0005-0000-0000-00008F0E0000}"/>
    <cellStyle name="Normal 15 5 4" xfId="3895" xr:uid="{00000000-0005-0000-0000-0000900E0000}"/>
    <cellStyle name="Normal 15 5 4 2" xfId="3896" xr:uid="{00000000-0005-0000-0000-0000910E0000}"/>
    <cellStyle name="Normal 15 5 5" xfId="3897" xr:uid="{00000000-0005-0000-0000-0000920E0000}"/>
    <cellStyle name="Normal 15 6" xfId="3898" xr:uid="{00000000-0005-0000-0000-0000930E0000}"/>
    <cellStyle name="Normal 15 6 2" xfId="3899" xr:uid="{00000000-0005-0000-0000-0000940E0000}"/>
    <cellStyle name="Normal 15 6 2 2" xfId="3900" xr:uid="{00000000-0005-0000-0000-0000950E0000}"/>
    <cellStyle name="Normal 15 6 2 2 2" xfId="3901" xr:uid="{00000000-0005-0000-0000-0000960E0000}"/>
    <cellStyle name="Normal 15 6 2 3" xfId="3902" xr:uid="{00000000-0005-0000-0000-0000970E0000}"/>
    <cellStyle name="Normal 15 6 3" xfId="3903" xr:uid="{00000000-0005-0000-0000-0000980E0000}"/>
    <cellStyle name="Normal 15 6 3 2" xfId="3904" xr:uid="{00000000-0005-0000-0000-0000990E0000}"/>
    <cellStyle name="Normal 15 6 4" xfId="3905" xr:uid="{00000000-0005-0000-0000-00009A0E0000}"/>
    <cellStyle name="Normal 15 7" xfId="3906" xr:uid="{00000000-0005-0000-0000-00009B0E0000}"/>
    <cellStyle name="Normal 15 7 2" xfId="3907" xr:uid="{00000000-0005-0000-0000-00009C0E0000}"/>
    <cellStyle name="Normal 15 7 2 2" xfId="3908" xr:uid="{00000000-0005-0000-0000-00009D0E0000}"/>
    <cellStyle name="Normal 15 7 3" xfId="3909" xr:uid="{00000000-0005-0000-0000-00009E0E0000}"/>
    <cellStyle name="Normal 15 8" xfId="3910" xr:uid="{00000000-0005-0000-0000-00009F0E0000}"/>
    <cellStyle name="Normal 15 8 2" xfId="3911" xr:uid="{00000000-0005-0000-0000-0000A00E0000}"/>
    <cellStyle name="Normal 15 9" xfId="3912" xr:uid="{00000000-0005-0000-0000-0000A10E0000}"/>
    <cellStyle name="Normal 150" xfId="3913" xr:uid="{00000000-0005-0000-0000-0000A20E0000}"/>
    <cellStyle name="Normal 151" xfId="3914" xr:uid="{00000000-0005-0000-0000-0000A30E0000}"/>
    <cellStyle name="Normal 152" xfId="3915" xr:uid="{00000000-0005-0000-0000-0000A40E0000}"/>
    <cellStyle name="Normal 153" xfId="3916" xr:uid="{00000000-0005-0000-0000-0000A50E0000}"/>
    <cellStyle name="Normal 154" xfId="3917" xr:uid="{00000000-0005-0000-0000-0000A60E0000}"/>
    <cellStyle name="Normal 155" xfId="3918" xr:uid="{00000000-0005-0000-0000-0000A70E0000}"/>
    <cellStyle name="Normal 156" xfId="3919" xr:uid="{00000000-0005-0000-0000-0000A80E0000}"/>
    <cellStyle name="Normal 157" xfId="3920" xr:uid="{00000000-0005-0000-0000-0000A90E0000}"/>
    <cellStyle name="Normal 158" xfId="3921" xr:uid="{00000000-0005-0000-0000-0000AA0E0000}"/>
    <cellStyle name="Normal 159" xfId="3922" xr:uid="{00000000-0005-0000-0000-0000AB0E0000}"/>
    <cellStyle name="Normal 16" xfId="3923" xr:uid="{00000000-0005-0000-0000-0000AC0E0000}"/>
    <cellStyle name="Normal 16 10" xfId="3924" xr:uid="{00000000-0005-0000-0000-0000AD0E0000}"/>
    <cellStyle name="Normal 16 2" xfId="3925" xr:uid="{00000000-0005-0000-0000-0000AE0E0000}"/>
    <cellStyle name="Normal 16 2 2" xfId="3926" xr:uid="{00000000-0005-0000-0000-0000AF0E0000}"/>
    <cellStyle name="Normal 16 3" xfId="3927" xr:uid="{00000000-0005-0000-0000-0000B00E0000}"/>
    <cellStyle name="Normal 16 3 2" xfId="3928" xr:uid="{00000000-0005-0000-0000-0000B10E0000}"/>
    <cellStyle name="Normal 16 3 2 2" xfId="3929" xr:uid="{00000000-0005-0000-0000-0000B20E0000}"/>
    <cellStyle name="Normal 16 3 2 2 2" xfId="3930" xr:uid="{00000000-0005-0000-0000-0000B30E0000}"/>
    <cellStyle name="Normal 16 3 2 2 2 2" xfId="3931" xr:uid="{00000000-0005-0000-0000-0000B40E0000}"/>
    <cellStyle name="Normal 16 3 2 2 3" xfId="3932" xr:uid="{00000000-0005-0000-0000-0000B50E0000}"/>
    <cellStyle name="Normal 16 3 2 3" xfId="3933" xr:uid="{00000000-0005-0000-0000-0000B60E0000}"/>
    <cellStyle name="Normal 16 3 2 3 2" xfId="3934" xr:uid="{00000000-0005-0000-0000-0000B70E0000}"/>
    <cellStyle name="Normal 16 3 2 4" xfId="3935" xr:uid="{00000000-0005-0000-0000-0000B80E0000}"/>
    <cellStyle name="Normal 16 3 3" xfId="3936" xr:uid="{00000000-0005-0000-0000-0000B90E0000}"/>
    <cellStyle name="Normal 16 3 3 2" xfId="3937" xr:uid="{00000000-0005-0000-0000-0000BA0E0000}"/>
    <cellStyle name="Normal 16 3 3 2 2" xfId="3938" xr:uid="{00000000-0005-0000-0000-0000BB0E0000}"/>
    <cellStyle name="Normal 16 3 3 3" xfId="3939" xr:uid="{00000000-0005-0000-0000-0000BC0E0000}"/>
    <cellStyle name="Normal 16 3 4" xfId="3940" xr:uid="{00000000-0005-0000-0000-0000BD0E0000}"/>
    <cellStyle name="Normal 16 3 4 2" xfId="3941" xr:uid="{00000000-0005-0000-0000-0000BE0E0000}"/>
    <cellStyle name="Normal 16 3 5" xfId="3942" xr:uid="{00000000-0005-0000-0000-0000BF0E0000}"/>
    <cellStyle name="Normal 16 4" xfId="3943" xr:uid="{00000000-0005-0000-0000-0000C00E0000}"/>
    <cellStyle name="Normal 16 4 2" xfId="3944" xr:uid="{00000000-0005-0000-0000-0000C10E0000}"/>
    <cellStyle name="Normal 16 4 2 2" xfId="3945" xr:uid="{00000000-0005-0000-0000-0000C20E0000}"/>
    <cellStyle name="Normal 16 4 2 2 2" xfId="3946" xr:uid="{00000000-0005-0000-0000-0000C30E0000}"/>
    <cellStyle name="Normal 16 4 2 2 2 2" xfId="3947" xr:uid="{00000000-0005-0000-0000-0000C40E0000}"/>
    <cellStyle name="Normal 16 4 2 2 3" xfId="3948" xr:uid="{00000000-0005-0000-0000-0000C50E0000}"/>
    <cellStyle name="Normal 16 4 2 3" xfId="3949" xr:uid="{00000000-0005-0000-0000-0000C60E0000}"/>
    <cellStyle name="Normal 16 4 2 3 2" xfId="3950" xr:uid="{00000000-0005-0000-0000-0000C70E0000}"/>
    <cellStyle name="Normal 16 4 2 4" xfId="3951" xr:uid="{00000000-0005-0000-0000-0000C80E0000}"/>
    <cellStyle name="Normal 16 4 3" xfId="3952" xr:uid="{00000000-0005-0000-0000-0000C90E0000}"/>
    <cellStyle name="Normal 16 4 3 2" xfId="3953" xr:uid="{00000000-0005-0000-0000-0000CA0E0000}"/>
    <cellStyle name="Normal 16 4 3 2 2" xfId="3954" xr:uid="{00000000-0005-0000-0000-0000CB0E0000}"/>
    <cellStyle name="Normal 16 4 3 3" xfId="3955" xr:uid="{00000000-0005-0000-0000-0000CC0E0000}"/>
    <cellStyle name="Normal 16 4 4" xfId="3956" xr:uid="{00000000-0005-0000-0000-0000CD0E0000}"/>
    <cellStyle name="Normal 16 4 4 2" xfId="3957" xr:uid="{00000000-0005-0000-0000-0000CE0E0000}"/>
    <cellStyle name="Normal 16 4 5" xfId="3958" xr:uid="{00000000-0005-0000-0000-0000CF0E0000}"/>
    <cellStyle name="Normal 16 5" xfId="3959" xr:uid="{00000000-0005-0000-0000-0000D00E0000}"/>
    <cellStyle name="Normal 16 5 2" xfId="3960" xr:uid="{00000000-0005-0000-0000-0000D10E0000}"/>
    <cellStyle name="Normal 16 5 2 2" xfId="3961" xr:uid="{00000000-0005-0000-0000-0000D20E0000}"/>
    <cellStyle name="Normal 16 5 2 2 2" xfId="3962" xr:uid="{00000000-0005-0000-0000-0000D30E0000}"/>
    <cellStyle name="Normal 16 5 2 2 2 2" xfId="3963" xr:uid="{00000000-0005-0000-0000-0000D40E0000}"/>
    <cellStyle name="Normal 16 5 2 2 3" xfId="3964" xr:uid="{00000000-0005-0000-0000-0000D50E0000}"/>
    <cellStyle name="Normal 16 5 2 3" xfId="3965" xr:uid="{00000000-0005-0000-0000-0000D60E0000}"/>
    <cellStyle name="Normal 16 5 2 3 2" xfId="3966" xr:uid="{00000000-0005-0000-0000-0000D70E0000}"/>
    <cellStyle name="Normal 16 5 2 4" xfId="3967" xr:uid="{00000000-0005-0000-0000-0000D80E0000}"/>
    <cellStyle name="Normal 16 5 3" xfId="3968" xr:uid="{00000000-0005-0000-0000-0000D90E0000}"/>
    <cellStyle name="Normal 16 5 3 2" xfId="3969" xr:uid="{00000000-0005-0000-0000-0000DA0E0000}"/>
    <cellStyle name="Normal 16 5 3 2 2" xfId="3970" xr:uid="{00000000-0005-0000-0000-0000DB0E0000}"/>
    <cellStyle name="Normal 16 5 3 3" xfId="3971" xr:uid="{00000000-0005-0000-0000-0000DC0E0000}"/>
    <cellStyle name="Normal 16 5 4" xfId="3972" xr:uid="{00000000-0005-0000-0000-0000DD0E0000}"/>
    <cellStyle name="Normal 16 5 4 2" xfId="3973" xr:uid="{00000000-0005-0000-0000-0000DE0E0000}"/>
    <cellStyle name="Normal 16 5 5" xfId="3974" xr:uid="{00000000-0005-0000-0000-0000DF0E0000}"/>
    <cellStyle name="Normal 16 6" xfId="3975" xr:uid="{00000000-0005-0000-0000-0000E00E0000}"/>
    <cellStyle name="Normal 16 6 2" xfId="3976" xr:uid="{00000000-0005-0000-0000-0000E10E0000}"/>
    <cellStyle name="Normal 16 6 2 2" xfId="3977" xr:uid="{00000000-0005-0000-0000-0000E20E0000}"/>
    <cellStyle name="Normal 16 6 2 2 2" xfId="3978" xr:uid="{00000000-0005-0000-0000-0000E30E0000}"/>
    <cellStyle name="Normal 16 6 2 3" xfId="3979" xr:uid="{00000000-0005-0000-0000-0000E40E0000}"/>
    <cellStyle name="Normal 16 6 3" xfId="3980" xr:uid="{00000000-0005-0000-0000-0000E50E0000}"/>
    <cellStyle name="Normal 16 6 3 2" xfId="3981" xr:uid="{00000000-0005-0000-0000-0000E60E0000}"/>
    <cellStyle name="Normal 16 6 4" xfId="3982" xr:uid="{00000000-0005-0000-0000-0000E70E0000}"/>
    <cellStyle name="Normal 16 7" xfId="3983" xr:uid="{00000000-0005-0000-0000-0000E80E0000}"/>
    <cellStyle name="Normal 16 7 2" xfId="3984" xr:uid="{00000000-0005-0000-0000-0000E90E0000}"/>
    <cellStyle name="Normal 16 7 2 2" xfId="3985" xr:uid="{00000000-0005-0000-0000-0000EA0E0000}"/>
    <cellStyle name="Normal 16 7 3" xfId="3986" xr:uid="{00000000-0005-0000-0000-0000EB0E0000}"/>
    <cellStyle name="Normal 16 8" xfId="3987" xr:uid="{00000000-0005-0000-0000-0000EC0E0000}"/>
    <cellStyle name="Normal 16 8 2" xfId="3988" xr:uid="{00000000-0005-0000-0000-0000ED0E0000}"/>
    <cellStyle name="Normal 16 9" xfId="3989" xr:uid="{00000000-0005-0000-0000-0000EE0E0000}"/>
    <cellStyle name="Normal 160" xfId="3990" xr:uid="{00000000-0005-0000-0000-0000EF0E0000}"/>
    <cellStyle name="Normal 161" xfId="3991" xr:uid="{00000000-0005-0000-0000-0000F00E0000}"/>
    <cellStyle name="Normal 162" xfId="3992" xr:uid="{00000000-0005-0000-0000-0000F10E0000}"/>
    <cellStyle name="Normal 163" xfId="3993" xr:uid="{00000000-0005-0000-0000-0000F20E0000}"/>
    <cellStyle name="Normal 164" xfId="3994" xr:uid="{00000000-0005-0000-0000-0000F30E0000}"/>
    <cellStyle name="Normal 165" xfId="3995" xr:uid="{00000000-0005-0000-0000-0000F40E0000}"/>
    <cellStyle name="Normal 166" xfId="3996" xr:uid="{00000000-0005-0000-0000-0000F50E0000}"/>
    <cellStyle name="Normal 167" xfId="3997" xr:uid="{00000000-0005-0000-0000-0000F60E0000}"/>
    <cellStyle name="Normal 168" xfId="3998" xr:uid="{00000000-0005-0000-0000-0000F70E0000}"/>
    <cellStyle name="Normal 169" xfId="3999" xr:uid="{00000000-0005-0000-0000-0000F80E0000}"/>
    <cellStyle name="Normal 17" xfId="4000" xr:uid="{00000000-0005-0000-0000-0000F90E0000}"/>
    <cellStyle name="Normal 17 10" xfId="4001" xr:uid="{00000000-0005-0000-0000-0000FA0E0000}"/>
    <cellStyle name="Normal 17 2" xfId="4002" xr:uid="{00000000-0005-0000-0000-0000FB0E0000}"/>
    <cellStyle name="Normal 17 2 2" xfId="4003" xr:uid="{00000000-0005-0000-0000-0000FC0E0000}"/>
    <cellStyle name="Normal 17 3" xfId="4004" xr:uid="{00000000-0005-0000-0000-0000FD0E0000}"/>
    <cellStyle name="Normal 17 3 2" xfId="4005" xr:uid="{00000000-0005-0000-0000-0000FE0E0000}"/>
    <cellStyle name="Normal 17 3 2 2" xfId="4006" xr:uid="{00000000-0005-0000-0000-0000FF0E0000}"/>
    <cellStyle name="Normal 17 3 2 2 2" xfId="4007" xr:uid="{00000000-0005-0000-0000-0000000F0000}"/>
    <cellStyle name="Normal 17 3 2 2 2 2" xfId="4008" xr:uid="{00000000-0005-0000-0000-0000010F0000}"/>
    <cellStyle name="Normal 17 3 2 2 3" xfId="4009" xr:uid="{00000000-0005-0000-0000-0000020F0000}"/>
    <cellStyle name="Normal 17 3 2 3" xfId="4010" xr:uid="{00000000-0005-0000-0000-0000030F0000}"/>
    <cellStyle name="Normal 17 3 2 3 2" xfId="4011" xr:uid="{00000000-0005-0000-0000-0000040F0000}"/>
    <cellStyle name="Normal 17 3 2 4" xfId="4012" xr:uid="{00000000-0005-0000-0000-0000050F0000}"/>
    <cellStyle name="Normal 17 3 3" xfId="4013" xr:uid="{00000000-0005-0000-0000-0000060F0000}"/>
    <cellStyle name="Normal 17 3 3 2" xfId="4014" xr:uid="{00000000-0005-0000-0000-0000070F0000}"/>
    <cellStyle name="Normal 17 3 3 2 2" xfId="4015" xr:uid="{00000000-0005-0000-0000-0000080F0000}"/>
    <cellStyle name="Normal 17 3 3 3" xfId="4016" xr:uid="{00000000-0005-0000-0000-0000090F0000}"/>
    <cellStyle name="Normal 17 3 4" xfId="4017" xr:uid="{00000000-0005-0000-0000-00000A0F0000}"/>
    <cellStyle name="Normal 17 3 4 2" xfId="4018" xr:uid="{00000000-0005-0000-0000-00000B0F0000}"/>
    <cellStyle name="Normal 17 3 5" xfId="4019" xr:uid="{00000000-0005-0000-0000-00000C0F0000}"/>
    <cellStyle name="Normal 17 4" xfId="4020" xr:uid="{00000000-0005-0000-0000-00000D0F0000}"/>
    <cellStyle name="Normal 17 4 2" xfId="4021" xr:uid="{00000000-0005-0000-0000-00000E0F0000}"/>
    <cellStyle name="Normal 17 4 2 2" xfId="4022" xr:uid="{00000000-0005-0000-0000-00000F0F0000}"/>
    <cellStyle name="Normal 17 4 2 2 2" xfId="4023" xr:uid="{00000000-0005-0000-0000-0000100F0000}"/>
    <cellStyle name="Normal 17 4 2 2 2 2" xfId="4024" xr:uid="{00000000-0005-0000-0000-0000110F0000}"/>
    <cellStyle name="Normal 17 4 2 2 3" xfId="4025" xr:uid="{00000000-0005-0000-0000-0000120F0000}"/>
    <cellStyle name="Normal 17 4 2 3" xfId="4026" xr:uid="{00000000-0005-0000-0000-0000130F0000}"/>
    <cellStyle name="Normal 17 4 2 3 2" xfId="4027" xr:uid="{00000000-0005-0000-0000-0000140F0000}"/>
    <cellStyle name="Normal 17 4 2 4" xfId="4028" xr:uid="{00000000-0005-0000-0000-0000150F0000}"/>
    <cellStyle name="Normal 17 4 3" xfId="4029" xr:uid="{00000000-0005-0000-0000-0000160F0000}"/>
    <cellStyle name="Normal 17 4 3 2" xfId="4030" xr:uid="{00000000-0005-0000-0000-0000170F0000}"/>
    <cellStyle name="Normal 17 4 3 2 2" xfId="4031" xr:uid="{00000000-0005-0000-0000-0000180F0000}"/>
    <cellStyle name="Normal 17 4 3 3" xfId="4032" xr:uid="{00000000-0005-0000-0000-0000190F0000}"/>
    <cellStyle name="Normal 17 4 4" xfId="4033" xr:uid="{00000000-0005-0000-0000-00001A0F0000}"/>
    <cellStyle name="Normal 17 4 4 2" xfId="4034" xr:uid="{00000000-0005-0000-0000-00001B0F0000}"/>
    <cellStyle name="Normal 17 4 5" xfId="4035" xr:uid="{00000000-0005-0000-0000-00001C0F0000}"/>
    <cellStyle name="Normal 17 5" xfId="4036" xr:uid="{00000000-0005-0000-0000-00001D0F0000}"/>
    <cellStyle name="Normal 17 5 2" xfId="4037" xr:uid="{00000000-0005-0000-0000-00001E0F0000}"/>
    <cellStyle name="Normal 17 5 2 2" xfId="4038" xr:uid="{00000000-0005-0000-0000-00001F0F0000}"/>
    <cellStyle name="Normal 17 5 2 2 2" xfId="4039" xr:uid="{00000000-0005-0000-0000-0000200F0000}"/>
    <cellStyle name="Normal 17 5 2 2 2 2" xfId="4040" xr:uid="{00000000-0005-0000-0000-0000210F0000}"/>
    <cellStyle name="Normal 17 5 2 2 3" xfId="4041" xr:uid="{00000000-0005-0000-0000-0000220F0000}"/>
    <cellStyle name="Normal 17 5 2 3" xfId="4042" xr:uid="{00000000-0005-0000-0000-0000230F0000}"/>
    <cellStyle name="Normal 17 5 2 3 2" xfId="4043" xr:uid="{00000000-0005-0000-0000-0000240F0000}"/>
    <cellStyle name="Normal 17 5 2 4" xfId="4044" xr:uid="{00000000-0005-0000-0000-0000250F0000}"/>
    <cellStyle name="Normal 17 5 3" xfId="4045" xr:uid="{00000000-0005-0000-0000-0000260F0000}"/>
    <cellStyle name="Normal 17 5 3 2" xfId="4046" xr:uid="{00000000-0005-0000-0000-0000270F0000}"/>
    <cellStyle name="Normal 17 5 3 2 2" xfId="4047" xr:uid="{00000000-0005-0000-0000-0000280F0000}"/>
    <cellStyle name="Normal 17 5 3 3" xfId="4048" xr:uid="{00000000-0005-0000-0000-0000290F0000}"/>
    <cellStyle name="Normal 17 5 4" xfId="4049" xr:uid="{00000000-0005-0000-0000-00002A0F0000}"/>
    <cellStyle name="Normal 17 5 4 2" xfId="4050" xr:uid="{00000000-0005-0000-0000-00002B0F0000}"/>
    <cellStyle name="Normal 17 5 5" xfId="4051" xr:uid="{00000000-0005-0000-0000-00002C0F0000}"/>
    <cellStyle name="Normal 17 6" xfId="4052" xr:uid="{00000000-0005-0000-0000-00002D0F0000}"/>
    <cellStyle name="Normal 17 6 2" xfId="4053" xr:uid="{00000000-0005-0000-0000-00002E0F0000}"/>
    <cellStyle name="Normal 17 6 2 2" xfId="4054" xr:uid="{00000000-0005-0000-0000-00002F0F0000}"/>
    <cellStyle name="Normal 17 6 2 2 2" xfId="4055" xr:uid="{00000000-0005-0000-0000-0000300F0000}"/>
    <cellStyle name="Normal 17 6 2 3" xfId="4056" xr:uid="{00000000-0005-0000-0000-0000310F0000}"/>
    <cellStyle name="Normal 17 6 3" xfId="4057" xr:uid="{00000000-0005-0000-0000-0000320F0000}"/>
    <cellStyle name="Normal 17 6 3 2" xfId="4058" xr:uid="{00000000-0005-0000-0000-0000330F0000}"/>
    <cellStyle name="Normal 17 6 4" xfId="4059" xr:uid="{00000000-0005-0000-0000-0000340F0000}"/>
    <cellStyle name="Normal 17 7" xfId="4060" xr:uid="{00000000-0005-0000-0000-0000350F0000}"/>
    <cellStyle name="Normal 17 7 2" xfId="4061" xr:uid="{00000000-0005-0000-0000-0000360F0000}"/>
    <cellStyle name="Normal 17 7 2 2" xfId="4062" xr:uid="{00000000-0005-0000-0000-0000370F0000}"/>
    <cellStyle name="Normal 17 7 3" xfId="4063" xr:uid="{00000000-0005-0000-0000-0000380F0000}"/>
    <cellStyle name="Normal 17 8" xfId="4064" xr:uid="{00000000-0005-0000-0000-0000390F0000}"/>
    <cellStyle name="Normal 17 8 2" xfId="4065" xr:uid="{00000000-0005-0000-0000-00003A0F0000}"/>
    <cellStyle name="Normal 17 9" xfId="4066" xr:uid="{00000000-0005-0000-0000-00003B0F0000}"/>
    <cellStyle name="Normal 170" xfId="4067" xr:uid="{00000000-0005-0000-0000-00003C0F0000}"/>
    <cellStyle name="Normal 171" xfId="4068" xr:uid="{00000000-0005-0000-0000-00003D0F0000}"/>
    <cellStyle name="Normal 172" xfId="4069" xr:uid="{00000000-0005-0000-0000-00003E0F0000}"/>
    <cellStyle name="Normal 173" xfId="4070" xr:uid="{00000000-0005-0000-0000-00003F0F0000}"/>
    <cellStyle name="Normal 174" xfId="4071" xr:uid="{00000000-0005-0000-0000-0000400F0000}"/>
    <cellStyle name="Normal 175" xfId="4072" xr:uid="{00000000-0005-0000-0000-0000410F0000}"/>
    <cellStyle name="Normal 176" xfId="4073" xr:uid="{00000000-0005-0000-0000-0000420F0000}"/>
    <cellStyle name="Normal 177" xfId="4074" xr:uid="{00000000-0005-0000-0000-0000430F0000}"/>
    <cellStyle name="Normal 178" xfId="4075" xr:uid="{00000000-0005-0000-0000-0000440F0000}"/>
    <cellStyle name="Normal 179" xfId="4076" xr:uid="{00000000-0005-0000-0000-0000450F0000}"/>
    <cellStyle name="Normal 18" xfId="4077" xr:uid="{00000000-0005-0000-0000-0000460F0000}"/>
    <cellStyle name="Normal 18 10" xfId="4078" xr:uid="{00000000-0005-0000-0000-0000470F0000}"/>
    <cellStyle name="Normal 18 2" xfId="4079" xr:uid="{00000000-0005-0000-0000-0000480F0000}"/>
    <cellStyle name="Normal 18 2 2" xfId="4080" xr:uid="{00000000-0005-0000-0000-0000490F0000}"/>
    <cellStyle name="Normal 18 3" xfId="4081" xr:uid="{00000000-0005-0000-0000-00004A0F0000}"/>
    <cellStyle name="Normal 18 3 2" xfId="4082" xr:uid="{00000000-0005-0000-0000-00004B0F0000}"/>
    <cellStyle name="Normal 18 3 2 2" xfId="4083" xr:uid="{00000000-0005-0000-0000-00004C0F0000}"/>
    <cellStyle name="Normal 18 3 2 2 2" xfId="4084" xr:uid="{00000000-0005-0000-0000-00004D0F0000}"/>
    <cellStyle name="Normal 18 3 2 2 2 2" xfId="4085" xr:uid="{00000000-0005-0000-0000-00004E0F0000}"/>
    <cellStyle name="Normal 18 3 2 2 3" xfId="4086" xr:uid="{00000000-0005-0000-0000-00004F0F0000}"/>
    <cellStyle name="Normal 18 3 2 3" xfId="4087" xr:uid="{00000000-0005-0000-0000-0000500F0000}"/>
    <cellStyle name="Normal 18 3 2 3 2" xfId="4088" xr:uid="{00000000-0005-0000-0000-0000510F0000}"/>
    <cellStyle name="Normal 18 3 2 4" xfId="4089" xr:uid="{00000000-0005-0000-0000-0000520F0000}"/>
    <cellStyle name="Normal 18 3 3" xfId="4090" xr:uid="{00000000-0005-0000-0000-0000530F0000}"/>
    <cellStyle name="Normal 18 3 3 2" xfId="4091" xr:uid="{00000000-0005-0000-0000-0000540F0000}"/>
    <cellStyle name="Normal 18 3 3 2 2" xfId="4092" xr:uid="{00000000-0005-0000-0000-0000550F0000}"/>
    <cellStyle name="Normal 18 3 3 3" xfId="4093" xr:uid="{00000000-0005-0000-0000-0000560F0000}"/>
    <cellStyle name="Normal 18 3 4" xfId="4094" xr:uid="{00000000-0005-0000-0000-0000570F0000}"/>
    <cellStyle name="Normal 18 3 4 2" xfId="4095" xr:uid="{00000000-0005-0000-0000-0000580F0000}"/>
    <cellStyle name="Normal 18 3 5" xfId="4096" xr:uid="{00000000-0005-0000-0000-0000590F0000}"/>
    <cellStyle name="Normal 18 4" xfId="4097" xr:uid="{00000000-0005-0000-0000-00005A0F0000}"/>
    <cellStyle name="Normal 18 4 2" xfId="4098" xr:uid="{00000000-0005-0000-0000-00005B0F0000}"/>
    <cellStyle name="Normal 18 4 2 2" xfId="4099" xr:uid="{00000000-0005-0000-0000-00005C0F0000}"/>
    <cellStyle name="Normal 18 4 2 2 2" xfId="4100" xr:uid="{00000000-0005-0000-0000-00005D0F0000}"/>
    <cellStyle name="Normal 18 4 2 2 2 2" xfId="4101" xr:uid="{00000000-0005-0000-0000-00005E0F0000}"/>
    <cellStyle name="Normal 18 4 2 2 3" xfId="4102" xr:uid="{00000000-0005-0000-0000-00005F0F0000}"/>
    <cellStyle name="Normal 18 4 2 3" xfId="4103" xr:uid="{00000000-0005-0000-0000-0000600F0000}"/>
    <cellStyle name="Normal 18 4 2 3 2" xfId="4104" xr:uid="{00000000-0005-0000-0000-0000610F0000}"/>
    <cellStyle name="Normal 18 4 2 4" xfId="4105" xr:uid="{00000000-0005-0000-0000-0000620F0000}"/>
    <cellStyle name="Normal 18 4 3" xfId="4106" xr:uid="{00000000-0005-0000-0000-0000630F0000}"/>
    <cellStyle name="Normal 18 4 3 2" xfId="4107" xr:uid="{00000000-0005-0000-0000-0000640F0000}"/>
    <cellStyle name="Normal 18 4 3 2 2" xfId="4108" xr:uid="{00000000-0005-0000-0000-0000650F0000}"/>
    <cellStyle name="Normal 18 4 3 3" xfId="4109" xr:uid="{00000000-0005-0000-0000-0000660F0000}"/>
    <cellStyle name="Normal 18 4 4" xfId="4110" xr:uid="{00000000-0005-0000-0000-0000670F0000}"/>
    <cellStyle name="Normal 18 4 4 2" xfId="4111" xr:uid="{00000000-0005-0000-0000-0000680F0000}"/>
    <cellStyle name="Normal 18 4 5" xfId="4112" xr:uid="{00000000-0005-0000-0000-0000690F0000}"/>
    <cellStyle name="Normal 18 5" xfId="4113" xr:uid="{00000000-0005-0000-0000-00006A0F0000}"/>
    <cellStyle name="Normal 18 5 2" xfId="4114" xr:uid="{00000000-0005-0000-0000-00006B0F0000}"/>
    <cellStyle name="Normal 18 5 2 2" xfId="4115" xr:uid="{00000000-0005-0000-0000-00006C0F0000}"/>
    <cellStyle name="Normal 18 5 2 2 2" xfId="4116" xr:uid="{00000000-0005-0000-0000-00006D0F0000}"/>
    <cellStyle name="Normal 18 5 2 2 2 2" xfId="4117" xr:uid="{00000000-0005-0000-0000-00006E0F0000}"/>
    <cellStyle name="Normal 18 5 2 2 3" xfId="4118" xr:uid="{00000000-0005-0000-0000-00006F0F0000}"/>
    <cellStyle name="Normal 18 5 2 3" xfId="4119" xr:uid="{00000000-0005-0000-0000-0000700F0000}"/>
    <cellStyle name="Normal 18 5 2 3 2" xfId="4120" xr:uid="{00000000-0005-0000-0000-0000710F0000}"/>
    <cellStyle name="Normal 18 5 2 4" xfId="4121" xr:uid="{00000000-0005-0000-0000-0000720F0000}"/>
    <cellStyle name="Normal 18 5 3" xfId="4122" xr:uid="{00000000-0005-0000-0000-0000730F0000}"/>
    <cellStyle name="Normal 18 5 3 2" xfId="4123" xr:uid="{00000000-0005-0000-0000-0000740F0000}"/>
    <cellStyle name="Normal 18 5 3 2 2" xfId="4124" xr:uid="{00000000-0005-0000-0000-0000750F0000}"/>
    <cellStyle name="Normal 18 5 3 3" xfId="4125" xr:uid="{00000000-0005-0000-0000-0000760F0000}"/>
    <cellStyle name="Normal 18 5 4" xfId="4126" xr:uid="{00000000-0005-0000-0000-0000770F0000}"/>
    <cellStyle name="Normal 18 5 4 2" xfId="4127" xr:uid="{00000000-0005-0000-0000-0000780F0000}"/>
    <cellStyle name="Normal 18 5 5" xfId="4128" xr:uid="{00000000-0005-0000-0000-0000790F0000}"/>
    <cellStyle name="Normal 18 6" xfId="4129" xr:uid="{00000000-0005-0000-0000-00007A0F0000}"/>
    <cellStyle name="Normal 18 6 2" xfId="4130" xr:uid="{00000000-0005-0000-0000-00007B0F0000}"/>
    <cellStyle name="Normal 18 6 2 2" xfId="4131" xr:uid="{00000000-0005-0000-0000-00007C0F0000}"/>
    <cellStyle name="Normal 18 6 2 2 2" xfId="4132" xr:uid="{00000000-0005-0000-0000-00007D0F0000}"/>
    <cellStyle name="Normal 18 6 2 3" xfId="4133" xr:uid="{00000000-0005-0000-0000-00007E0F0000}"/>
    <cellStyle name="Normal 18 6 3" xfId="4134" xr:uid="{00000000-0005-0000-0000-00007F0F0000}"/>
    <cellStyle name="Normal 18 6 3 2" xfId="4135" xr:uid="{00000000-0005-0000-0000-0000800F0000}"/>
    <cellStyle name="Normal 18 6 4" xfId="4136" xr:uid="{00000000-0005-0000-0000-0000810F0000}"/>
    <cellStyle name="Normal 18 7" xfId="4137" xr:uid="{00000000-0005-0000-0000-0000820F0000}"/>
    <cellStyle name="Normal 18 7 2" xfId="4138" xr:uid="{00000000-0005-0000-0000-0000830F0000}"/>
    <cellStyle name="Normal 18 7 2 2" xfId="4139" xr:uid="{00000000-0005-0000-0000-0000840F0000}"/>
    <cellStyle name="Normal 18 7 3" xfId="4140" xr:uid="{00000000-0005-0000-0000-0000850F0000}"/>
    <cellStyle name="Normal 18 8" xfId="4141" xr:uid="{00000000-0005-0000-0000-0000860F0000}"/>
    <cellStyle name="Normal 18 8 2" xfId="4142" xr:uid="{00000000-0005-0000-0000-0000870F0000}"/>
    <cellStyle name="Normal 18 9" xfId="4143" xr:uid="{00000000-0005-0000-0000-0000880F0000}"/>
    <cellStyle name="Normal 180" xfId="4144" xr:uid="{00000000-0005-0000-0000-0000890F0000}"/>
    <cellStyle name="Normal 181" xfId="4145" xr:uid="{00000000-0005-0000-0000-00008A0F0000}"/>
    <cellStyle name="Normal 182" xfId="4146" xr:uid="{00000000-0005-0000-0000-00008B0F0000}"/>
    <cellStyle name="Normal 183" xfId="4147" xr:uid="{00000000-0005-0000-0000-00008C0F0000}"/>
    <cellStyle name="Normal 184" xfId="4148" xr:uid="{00000000-0005-0000-0000-00008D0F0000}"/>
    <cellStyle name="Normal 185" xfId="4149" xr:uid="{00000000-0005-0000-0000-00008E0F0000}"/>
    <cellStyle name="Normal 186" xfId="4150" xr:uid="{00000000-0005-0000-0000-00008F0F0000}"/>
    <cellStyle name="Normal 187" xfId="4151" xr:uid="{00000000-0005-0000-0000-0000900F0000}"/>
    <cellStyle name="Normal 188" xfId="4152" xr:uid="{00000000-0005-0000-0000-0000910F0000}"/>
    <cellStyle name="Normal 189" xfId="4153" xr:uid="{00000000-0005-0000-0000-0000920F0000}"/>
    <cellStyle name="Normal 19" xfId="4154" xr:uid="{00000000-0005-0000-0000-0000930F0000}"/>
    <cellStyle name="Normal 19 2" xfId="4155" xr:uid="{00000000-0005-0000-0000-0000940F0000}"/>
    <cellStyle name="Normal 19 2 2" xfId="4156" xr:uid="{00000000-0005-0000-0000-0000950F0000}"/>
    <cellStyle name="Normal 19 3" xfId="4157" xr:uid="{00000000-0005-0000-0000-0000960F0000}"/>
    <cellStyle name="Normal 19 3 2" xfId="4158" xr:uid="{00000000-0005-0000-0000-0000970F0000}"/>
    <cellStyle name="Normal 19 3 2 2" xfId="4159" xr:uid="{00000000-0005-0000-0000-0000980F0000}"/>
    <cellStyle name="Normal 19 3 2 2 2" xfId="4160" xr:uid="{00000000-0005-0000-0000-0000990F0000}"/>
    <cellStyle name="Normal 19 3 2 2 2 2" xfId="4161" xr:uid="{00000000-0005-0000-0000-00009A0F0000}"/>
    <cellStyle name="Normal 19 3 2 2 3" xfId="4162" xr:uid="{00000000-0005-0000-0000-00009B0F0000}"/>
    <cellStyle name="Normal 19 3 2 3" xfId="4163" xr:uid="{00000000-0005-0000-0000-00009C0F0000}"/>
    <cellStyle name="Normal 19 3 2 3 2" xfId="4164" xr:uid="{00000000-0005-0000-0000-00009D0F0000}"/>
    <cellStyle name="Normal 19 3 2 4" xfId="4165" xr:uid="{00000000-0005-0000-0000-00009E0F0000}"/>
    <cellStyle name="Normal 19 3 3" xfId="4166" xr:uid="{00000000-0005-0000-0000-00009F0F0000}"/>
    <cellStyle name="Normal 19 3 3 2" xfId="4167" xr:uid="{00000000-0005-0000-0000-0000A00F0000}"/>
    <cellStyle name="Normal 19 3 3 2 2" xfId="4168" xr:uid="{00000000-0005-0000-0000-0000A10F0000}"/>
    <cellStyle name="Normal 19 3 3 3" xfId="4169" xr:uid="{00000000-0005-0000-0000-0000A20F0000}"/>
    <cellStyle name="Normal 19 3 4" xfId="4170" xr:uid="{00000000-0005-0000-0000-0000A30F0000}"/>
    <cellStyle name="Normal 19 3 4 2" xfId="4171" xr:uid="{00000000-0005-0000-0000-0000A40F0000}"/>
    <cellStyle name="Normal 19 3 5" xfId="4172" xr:uid="{00000000-0005-0000-0000-0000A50F0000}"/>
    <cellStyle name="Normal 19 4" xfId="4173" xr:uid="{00000000-0005-0000-0000-0000A60F0000}"/>
    <cellStyle name="Normal 19 4 2" xfId="4174" xr:uid="{00000000-0005-0000-0000-0000A70F0000}"/>
    <cellStyle name="Normal 19 4 2 2" xfId="4175" xr:uid="{00000000-0005-0000-0000-0000A80F0000}"/>
    <cellStyle name="Normal 19 4 2 2 2" xfId="4176" xr:uid="{00000000-0005-0000-0000-0000A90F0000}"/>
    <cellStyle name="Normal 19 4 2 2 2 2" xfId="4177" xr:uid="{00000000-0005-0000-0000-0000AA0F0000}"/>
    <cellStyle name="Normal 19 4 2 2 3" xfId="4178" xr:uid="{00000000-0005-0000-0000-0000AB0F0000}"/>
    <cellStyle name="Normal 19 4 2 3" xfId="4179" xr:uid="{00000000-0005-0000-0000-0000AC0F0000}"/>
    <cellStyle name="Normal 19 4 2 3 2" xfId="4180" xr:uid="{00000000-0005-0000-0000-0000AD0F0000}"/>
    <cellStyle name="Normal 19 4 2 4" xfId="4181" xr:uid="{00000000-0005-0000-0000-0000AE0F0000}"/>
    <cellStyle name="Normal 19 4 3" xfId="4182" xr:uid="{00000000-0005-0000-0000-0000AF0F0000}"/>
    <cellStyle name="Normal 19 4 3 2" xfId="4183" xr:uid="{00000000-0005-0000-0000-0000B00F0000}"/>
    <cellStyle name="Normal 19 4 3 2 2" xfId="4184" xr:uid="{00000000-0005-0000-0000-0000B10F0000}"/>
    <cellStyle name="Normal 19 4 3 3" xfId="4185" xr:uid="{00000000-0005-0000-0000-0000B20F0000}"/>
    <cellStyle name="Normal 19 4 4" xfId="4186" xr:uid="{00000000-0005-0000-0000-0000B30F0000}"/>
    <cellStyle name="Normal 19 4 4 2" xfId="4187" xr:uid="{00000000-0005-0000-0000-0000B40F0000}"/>
    <cellStyle name="Normal 19 4 5" xfId="4188" xr:uid="{00000000-0005-0000-0000-0000B50F0000}"/>
    <cellStyle name="Normal 19 5" xfId="4189" xr:uid="{00000000-0005-0000-0000-0000B60F0000}"/>
    <cellStyle name="Normal 19 5 2" xfId="4190" xr:uid="{00000000-0005-0000-0000-0000B70F0000}"/>
    <cellStyle name="Normal 19 5 2 2" xfId="4191" xr:uid="{00000000-0005-0000-0000-0000B80F0000}"/>
    <cellStyle name="Normal 19 5 2 2 2" xfId="4192" xr:uid="{00000000-0005-0000-0000-0000B90F0000}"/>
    <cellStyle name="Normal 19 5 2 2 2 2" xfId="4193" xr:uid="{00000000-0005-0000-0000-0000BA0F0000}"/>
    <cellStyle name="Normal 19 5 2 2 3" xfId="4194" xr:uid="{00000000-0005-0000-0000-0000BB0F0000}"/>
    <cellStyle name="Normal 19 5 2 3" xfId="4195" xr:uid="{00000000-0005-0000-0000-0000BC0F0000}"/>
    <cellStyle name="Normal 19 5 2 3 2" xfId="4196" xr:uid="{00000000-0005-0000-0000-0000BD0F0000}"/>
    <cellStyle name="Normal 19 5 2 4" xfId="4197" xr:uid="{00000000-0005-0000-0000-0000BE0F0000}"/>
    <cellStyle name="Normal 19 5 3" xfId="4198" xr:uid="{00000000-0005-0000-0000-0000BF0F0000}"/>
    <cellStyle name="Normal 19 5 3 2" xfId="4199" xr:uid="{00000000-0005-0000-0000-0000C00F0000}"/>
    <cellStyle name="Normal 19 5 3 2 2" xfId="4200" xr:uid="{00000000-0005-0000-0000-0000C10F0000}"/>
    <cellStyle name="Normal 19 5 3 3" xfId="4201" xr:uid="{00000000-0005-0000-0000-0000C20F0000}"/>
    <cellStyle name="Normal 19 5 4" xfId="4202" xr:uid="{00000000-0005-0000-0000-0000C30F0000}"/>
    <cellStyle name="Normal 19 5 4 2" xfId="4203" xr:uid="{00000000-0005-0000-0000-0000C40F0000}"/>
    <cellStyle name="Normal 19 5 5" xfId="4204" xr:uid="{00000000-0005-0000-0000-0000C50F0000}"/>
    <cellStyle name="Normal 19 6" xfId="4205" xr:uid="{00000000-0005-0000-0000-0000C60F0000}"/>
    <cellStyle name="Normal 19 6 2" xfId="4206" xr:uid="{00000000-0005-0000-0000-0000C70F0000}"/>
    <cellStyle name="Normal 19 6 2 2" xfId="4207" xr:uid="{00000000-0005-0000-0000-0000C80F0000}"/>
    <cellStyle name="Normal 19 6 2 2 2" xfId="4208" xr:uid="{00000000-0005-0000-0000-0000C90F0000}"/>
    <cellStyle name="Normal 19 6 2 3" xfId="4209" xr:uid="{00000000-0005-0000-0000-0000CA0F0000}"/>
    <cellStyle name="Normal 19 6 3" xfId="4210" xr:uid="{00000000-0005-0000-0000-0000CB0F0000}"/>
    <cellStyle name="Normal 19 6 3 2" xfId="4211" xr:uid="{00000000-0005-0000-0000-0000CC0F0000}"/>
    <cellStyle name="Normal 19 6 4" xfId="4212" xr:uid="{00000000-0005-0000-0000-0000CD0F0000}"/>
    <cellStyle name="Normal 19 7" xfId="4213" xr:uid="{00000000-0005-0000-0000-0000CE0F0000}"/>
    <cellStyle name="Normal 19 7 2" xfId="4214" xr:uid="{00000000-0005-0000-0000-0000CF0F0000}"/>
    <cellStyle name="Normal 19 7 2 2" xfId="4215" xr:uid="{00000000-0005-0000-0000-0000D00F0000}"/>
    <cellStyle name="Normal 19 7 3" xfId="4216" xr:uid="{00000000-0005-0000-0000-0000D10F0000}"/>
    <cellStyle name="Normal 19 8" xfId="4217" xr:uid="{00000000-0005-0000-0000-0000D20F0000}"/>
    <cellStyle name="Normal 19 8 2" xfId="4218" xr:uid="{00000000-0005-0000-0000-0000D30F0000}"/>
    <cellStyle name="Normal 19 9" xfId="4219" xr:uid="{00000000-0005-0000-0000-0000D40F0000}"/>
    <cellStyle name="Normal 190" xfId="4220" xr:uid="{00000000-0005-0000-0000-0000D50F0000}"/>
    <cellStyle name="Normal 191" xfId="4221" xr:uid="{00000000-0005-0000-0000-0000D60F0000}"/>
    <cellStyle name="Normal 192" xfId="4222" xr:uid="{00000000-0005-0000-0000-0000D70F0000}"/>
    <cellStyle name="Normal 193" xfId="4223" xr:uid="{00000000-0005-0000-0000-0000D80F0000}"/>
    <cellStyle name="Normal 194" xfId="4224" xr:uid="{00000000-0005-0000-0000-0000D90F0000}"/>
    <cellStyle name="Normal 195" xfId="4225" xr:uid="{00000000-0005-0000-0000-0000DA0F0000}"/>
    <cellStyle name="Normal 196" xfId="4226" xr:uid="{00000000-0005-0000-0000-0000DB0F0000}"/>
    <cellStyle name="Normal 197" xfId="4227" xr:uid="{00000000-0005-0000-0000-0000DC0F0000}"/>
    <cellStyle name="Normal 198" xfId="4228" xr:uid="{00000000-0005-0000-0000-0000DD0F0000}"/>
    <cellStyle name="Normal 199" xfId="4229" xr:uid="{00000000-0005-0000-0000-0000DE0F0000}"/>
    <cellStyle name="Normal 2" xfId="211" xr:uid="{00000000-0005-0000-0000-0000DF0F0000}"/>
    <cellStyle name="Normal 2 10" xfId="4230" xr:uid="{00000000-0005-0000-0000-0000E00F0000}"/>
    <cellStyle name="Normal 2 10 2" xfId="4231" xr:uid="{00000000-0005-0000-0000-0000E10F0000}"/>
    <cellStyle name="Normal 2 11" xfId="4232" xr:uid="{00000000-0005-0000-0000-0000E20F0000}"/>
    <cellStyle name="Normal 2 12" xfId="4233" xr:uid="{00000000-0005-0000-0000-0000E30F0000}"/>
    <cellStyle name="Normal 2 13" xfId="4234" xr:uid="{00000000-0005-0000-0000-0000E40F0000}"/>
    <cellStyle name="Normal 2 14" xfId="4235" xr:uid="{00000000-0005-0000-0000-0000E50F0000}"/>
    <cellStyle name="Normal 2 2" xfId="212" xr:uid="{00000000-0005-0000-0000-0000E60F0000}"/>
    <cellStyle name="Normal 2 2 10" xfId="4236" xr:uid="{00000000-0005-0000-0000-0000E70F0000}"/>
    <cellStyle name="Normal 2 2 10 2" xfId="4237" xr:uid="{00000000-0005-0000-0000-0000E80F0000}"/>
    <cellStyle name="Normal 2 2 11" xfId="4238" xr:uid="{00000000-0005-0000-0000-0000E90F0000}"/>
    <cellStyle name="Normal 2 2 12" xfId="4239" xr:uid="{00000000-0005-0000-0000-0000EA0F0000}"/>
    <cellStyle name="Normal 2 2 13" xfId="4240" xr:uid="{00000000-0005-0000-0000-0000EB0F0000}"/>
    <cellStyle name="Normal 2 2 14" xfId="4241" xr:uid="{00000000-0005-0000-0000-0000EC0F0000}"/>
    <cellStyle name="Normal 2 2 2" xfId="213" xr:uid="{00000000-0005-0000-0000-0000ED0F0000}"/>
    <cellStyle name="Normal 2 2 2 10" xfId="4242" xr:uid="{00000000-0005-0000-0000-0000EE0F0000}"/>
    <cellStyle name="Normal 2 2 2 2" xfId="214" xr:uid="{00000000-0005-0000-0000-0000EF0F0000}"/>
    <cellStyle name="Normal 2 2 2 2 2" xfId="4243" xr:uid="{00000000-0005-0000-0000-0000F00F0000}"/>
    <cellStyle name="Normal 2 2 2 2 2 2" xfId="4244" xr:uid="{00000000-0005-0000-0000-0000F10F0000}"/>
    <cellStyle name="Normal 2 2 2 2 3" xfId="4245" xr:uid="{00000000-0005-0000-0000-0000F20F0000}"/>
    <cellStyle name="Normal 2 2 2 2 3 2" xfId="4246" xr:uid="{00000000-0005-0000-0000-0000F30F0000}"/>
    <cellStyle name="Normal 2 2 2 2 4" xfId="4247" xr:uid="{00000000-0005-0000-0000-0000F40F0000}"/>
    <cellStyle name="Normal 2 2 2 2 5" xfId="4248" xr:uid="{00000000-0005-0000-0000-0000F50F0000}"/>
    <cellStyle name="Normal 2 2 2 3" xfId="4249" xr:uid="{00000000-0005-0000-0000-0000F60F0000}"/>
    <cellStyle name="Normal 2 2 2 3 2" xfId="4250" xr:uid="{00000000-0005-0000-0000-0000F70F0000}"/>
    <cellStyle name="Normal 2 2 2 3 2 2" xfId="4251" xr:uid="{00000000-0005-0000-0000-0000F80F0000}"/>
    <cellStyle name="Normal 2 2 2 3 2 2 2" xfId="4252" xr:uid="{00000000-0005-0000-0000-0000F90F0000}"/>
    <cellStyle name="Normal 2 2 2 3 2 2 2 2" xfId="4253" xr:uid="{00000000-0005-0000-0000-0000FA0F0000}"/>
    <cellStyle name="Normal 2 2 2 3 2 2 3" xfId="4254" xr:uid="{00000000-0005-0000-0000-0000FB0F0000}"/>
    <cellStyle name="Normal 2 2 2 3 2 3" xfId="4255" xr:uid="{00000000-0005-0000-0000-0000FC0F0000}"/>
    <cellStyle name="Normal 2 2 2 3 2 3 2" xfId="4256" xr:uid="{00000000-0005-0000-0000-0000FD0F0000}"/>
    <cellStyle name="Normal 2 2 2 3 2 4" xfId="4257" xr:uid="{00000000-0005-0000-0000-0000FE0F0000}"/>
    <cellStyle name="Normal 2 2 2 3 3" xfId="4258" xr:uid="{00000000-0005-0000-0000-0000FF0F0000}"/>
    <cellStyle name="Normal 2 2 2 3 3 2" xfId="4259" xr:uid="{00000000-0005-0000-0000-000000100000}"/>
    <cellStyle name="Normal 2 2 2 3 3 2 2" xfId="4260" xr:uid="{00000000-0005-0000-0000-000001100000}"/>
    <cellStyle name="Normal 2 2 2 3 3 3" xfId="4261" xr:uid="{00000000-0005-0000-0000-000002100000}"/>
    <cellStyle name="Normal 2 2 2 3 4" xfId="4262" xr:uid="{00000000-0005-0000-0000-000003100000}"/>
    <cellStyle name="Normal 2 2 2 3 4 2" xfId="4263" xr:uid="{00000000-0005-0000-0000-000004100000}"/>
    <cellStyle name="Normal 2 2 2 3 5" xfId="4264" xr:uid="{00000000-0005-0000-0000-000005100000}"/>
    <cellStyle name="Normal 2 2 2 4" xfId="4265" xr:uid="{00000000-0005-0000-0000-000006100000}"/>
    <cellStyle name="Normal 2 2 2 4 2" xfId="4266" xr:uid="{00000000-0005-0000-0000-000007100000}"/>
    <cellStyle name="Normal 2 2 2 4 2 2" xfId="4267" xr:uid="{00000000-0005-0000-0000-000008100000}"/>
    <cellStyle name="Normal 2 2 2 4 2 2 2" xfId="4268" xr:uid="{00000000-0005-0000-0000-000009100000}"/>
    <cellStyle name="Normal 2 2 2 4 2 2 2 2" xfId="4269" xr:uid="{00000000-0005-0000-0000-00000A100000}"/>
    <cellStyle name="Normal 2 2 2 4 2 2 3" xfId="4270" xr:uid="{00000000-0005-0000-0000-00000B100000}"/>
    <cellStyle name="Normal 2 2 2 4 2 3" xfId="4271" xr:uid="{00000000-0005-0000-0000-00000C100000}"/>
    <cellStyle name="Normal 2 2 2 4 2 3 2" xfId="4272" xr:uid="{00000000-0005-0000-0000-00000D100000}"/>
    <cellStyle name="Normal 2 2 2 4 2 4" xfId="4273" xr:uid="{00000000-0005-0000-0000-00000E100000}"/>
    <cellStyle name="Normal 2 2 2 4 3" xfId="4274" xr:uid="{00000000-0005-0000-0000-00000F100000}"/>
    <cellStyle name="Normal 2 2 2 4 3 2" xfId="4275" xr:uid="{00000000-0005-0000-0000-000010100000}"/>
    <cellStyle name="Normal 2 2 2 4 3 2 2" xfId="4276" xr:uid="{00000000-0005-0000-0000-000011100000}"/>
    <cellStyle name="Normal 2 2 2 4 3 3" xfId="4277" xr:uid="{00000000-0005-0000-0000-000012100000}"/>
    <cellStyle name="Normal 2 2 2 4 4" xfId="4278" xr:uid="{00000000-0005-0000-0000-000013100000}"/>
    <cellStyle name="Normal 2 2 2 4 4 2" xfId="4279" xr:uid="{00000000-0005-0000-0000-000014100000}"/>
    <cellStyle name="Normal 2 2 2 4 5" xfId="4280" xr:uid="{00000000-0005-0000-0000-000015100000}"/>
    <cellStyle name="Normal 2 2 2 5" xfId="4281" xr:uid="{00000000-0005-0000-0000-000016100000}"/>
    <cellStyle name="Normal 2 2 2 5 2" xfId="4282" xr:uid="{00000000-0005-0000-0000-000017100000}"/>
    <cellStyle name="Normal 2 2 2 5 2 2" xfId="4283" xr:uid="{00000000-0005-0000-0000-000018100000}"/>
    <cellStyle name="Normal 2 2 2 5 2 2 2" xfId="4284" xr:uid="{00000000-0005-0000-0000-000019100000}"/>
    <cellStyle name="Normal 2 2 2 5 2 2 2 2" xfId="4285" xr:uid="{00000000-0005-0000-0000-00001A100000}"/>
    <cellStyle name="Normal 2 2 2 5 2 2 3" xfId="4286" xr:uid="{00000000-0005-0000-0000-00001B100000}"/>
    <cellStyle name="Normal 2 2 2 5 2 3" xfId="4287" xr:uid="{00000000-0005-0000-0000-00001C100000}"/>
    <cellStyle name="Normal 2 2 2 5 2 3 2" xfId="4288" xr:uid="{00000000-0005-0000-0000-00001D100000}"/>
    <cellStyle name="Normal 2 2 2 5 2 4" xfId="4289" xr:uid="{00000000-0005-0000-0000-00001E100000}"/>
    <cellStyle name="Normal 2 2 2 5 3" xfId="4290" xr:uid="{00000000-0005-0000-0000-00001F100000}"/>
    <cellStyle name="Normal 2 2 2 5 3 2" xfId="4291" xr:uid="{00000000-0005-0000-0000-000020100000}"/>
    <cellStyle name="Normal 2 2 2 5 3 2 2" xfId="4292" xr:uid="{00000000-0005-0000-0000-000021100000}"/>
    <cellStyle name="Normal 2 2 2 5 3 3" xfId="4293" xr:uid="{00000000-0005-0000-0000-000022100000}"/>
    <cellStyle name="Normal 2 2 2 5 4" xfId="4294" xr:uid="{00000000-0005-0000-0000-000023100000}"/>
    <cellStyle name="Normal 2 2 2 5 4 2" xfId="4295" xr:uid="{00000000-0005-0000-0000-000024100000}"/>
    <cellStyle name="Normal 2 2 2 5 5" xfId="4296" xr:uid="{00000000-0005-0000-0000-000025100000}"/>
    <cellStyle name="Normal 2 2 2 6" xfId="4297" xr:uid="{00000000-0005-0000-0000-000026100000}"/>
    <cellStyle name="Normal 2 2 2 6 2" xfId="4298" xr:uid="{00000000-0005-0000-0000-000027100000}"/>
    <cellStyle name="Normal 2 2 2 6 2 2" xfId="4299" xr:uid="{00000000-0005-0000-0000-000028100000}"/>
    <cellStyle name="Normal 2 2 2 6 2 2 2" xfId="4300" xr:uid="{00000000-0005-0000-0000-000029100000}"/>
    <cellStyle name="Normal 2 2 2 6 2 3" xfId="4301" xr:uid="{00000000-0005-0000-0000-00002A100000}"/>
    <cellStyle name="Normal 2 2 2 6 3" xfId="4302" xr:uid="{00000000-0005-0000-0000-00002B100000}"/>
    <cellStyle name="Normal 2 2 2 6 3 2" xfId="4303" xr:uid="{00000000-0005-0000-0000-00002C100000}"/>
    <cellStyle name="Normal 2 2 2 6 4" xfId="4304" xr:uid="{00000000-0005-0000-0000-00002D100000}"/>
    <cellStyle name="Normal 2 2 2 7" xfId="4305" xr:uid="{00000000-0005-0000-0000-00002E100000}"/>
    <cellStyle name="Normal 2 2 2 7 2" xfId="4306" xr:uid="{00000000-0005-0000-0000-00002F100000}"/>
    <cellStyle name="Normal 2 2 2 7 2 2" xfId="4307" xr:uid="{00000000-0005-0000-0000-000030100000}"/>
    <cellStyle name="Normal 2 2 2 7 3" xfId="4308" xr:uid="{00000000-0005-0000-0000-000031100000}"/>
    <cellStyle name="Normal 2 2 2 8" xfId="4309" xr:uid="{00000000-0005-0000-0000-000032100000}"/>
    <cellStyle name="Normal 2 2 2 8 2" xfId="4310" xr:uid="{00000000-0005-0000-0000-000033100000}"/>
    <cellStyle name="Normal 2 2 2 9" xfId="4311" xr:uid="{00000000-0005-0000-0000-000034100000}"/>
    <cellStyle name="Normal 2 2 3" xfId="215" xr:uid="{00000000-0005-0000-0000-000035100000}"/>
    <cellStyle name="Normal 2 2 3 10" xfId="4312" xr:uid="{00000000-0005-0000-0000-000036100000}"/>
    <cellStyle name="Normal 2 2 3 11" xfId="4313" xr:uid="{00000000-0005-0000-0000-000037100000}"/>
    <cellStyle name="Normal 2 2 3 2" xfId="216" xr:uid="{00000000-0005-0000-0000-000038100000}"/>
    <cellStyle name="Normal 2 2 3 2 2" xfId="4314" xr:uid="{00000000-0005-0000-0000-000039100000}"/>
    <cellStyle name="Normal 2 2 3 2 3" xfId="4315" xr:uid="{00000000-0005-0000-0000-00003A100000}"/>
    <cellStyle name="Normal 2 2 3 3" xfId="381" xr:uid="{00000000-0005-0000-0000-00003B100000}"/>
    <cellStyle name="Normal 2 2 3 3 2" xfId="4316" xr:uid="{00000000-0005-0000-0000-00003C100000}"/>
    <cellStyle name="Normal 2 2 3 3 2 2" xfId="4317" xr:uid="{00000000-0005-0000-0000-00003D100000}"/>
    <cellStyle name="Normal 2 2 3 3 2 2 2" xfId="4318" xr:uid="{00000000-0005-0000-0000-00003E100000}"/>
    <cellStyle name="Normal 2 2 3 3 2 2 2 2" xfId="4319" xr:uid="{00000000-0005-0000-0000-00003F100000}"/>
    <cellStyle name="Normal 2 2 3 3 2 2 3" xfId="4320" xr:uid="{00000000-0005-0000-0000-000040100000}"/>
    <cellStyle name="Normal 2 2 3 3 2 3" xfId="4321" xr:uid="{00000000-0005-0000-0000-000041100000}"/>
    <cellStyle name="Normal 2 2 3 3 2 3 2" xfId="4322" xr:uid="{00000000-0005-0000-0000-000042100000}"/>
    <cellStyle name="Normal 2 2 3 3 2 4" xfId="4323" xr:uid="{00000000-0005-0000-0000-000043100000}"/>
    <cellStyle name="Normal 2 2 3 3 3" xfId="4324" xr:uid="{00000000-0005-0000-0000-000044100000}"/>
    <cellStyle name="Normal 2 2 3 3 3 2" xfId="4325" xr:uid="{00000000-0005-0000-0000-000045100000}"/>
    <cellStyle name="Normal 2 2 3 3 3 2 2" xfId="4326" xr:uid="{00000000-0005-0000-0000-000046100000}"/>
    <cellStyle name="Normal 2 2 3 3 3 3" xfId="4327" xr:uid="{00000000-0005-0000-0000-000047100000}"/>
    <cellStyle name="Normal 2 2 3 3 4" xfId="4328" xr:uid="{00000000-0005-0000-0000-000048100000}"/>
    <cellStyle name="Normal 2 2 3 3 4 2" xfId="4329" xr:uid="{00000000-0005-0000-0000-000049100000}"/>
    <cellStyle name="Normal 2 2 3 3 5" xfId="4330" xr:uid="{00000000-0005-0000-0000-00004A100000}"/>
    <cellStyle name="Normal 2 2 3 4" xfId="4331" xr:uid="{00000000-0005-0000-0000-00004B100000}"/>
    <cellStyle name="Normal 2 2 3 4 2" xfId="4332" xr:uid="{00000000-0005-0000-0000-00004C100000}"/>
    <cellStyle name="Normal 2 2 3 4 2 2" xfId="4333" xr:uid="{00000000-0005-0000-0000-00004D100000}"/>
    <cellStyle name="Normal 2 2 3 4 2 2 2" xfId="4334" xr:uid="{00000000-0005-0000-0000-00004E100000}"/>
    <cellStyle name="Normal 2 2 3 4 2 2 2 2" xfId="4335" xr:uid="{00000000-0005-0000-0000-00004F100000}"/>
    <cellStyle name="Normal 2 2 3 4 2 2 3" xfId="4336" xr:uid="{00000000-0005-0000-0000-000050100000}"/>
    <cellStyle name="Normal 2 2 3 4 2 3" xfId="4337" xr:uid="{00000000-0005-0000-0000-000051100000}"/>
    <cellStyle name="Normal 2 2 3 4 2 3 2" xfId="4338" xr:uid="{00000000-0005-0000-0000-000052100000}"/>
    <cellStyle name="Normal 2 2 3 4 2 4" xfId="4339" xr:uid="{00000000-0005-0000-0000-000053100000}"/>
    <cellStyle name="Normal 2 2 3 4 3" xfId="4340" xr:uid="{00000000-0005-0000-0000-000054100000}"/>
    <cellStyle name="Normal 2 2 3 4 3 2" xfId="4341" xr:uid="{00000000-0005-0000-0000-000055100000}"/>
    <cellStyle name="Normal 2 2 3 4 3 2 2" xfId="4342" xr:uid="{00000000-0005-0000-0000-000056100000}"/>
    <cellStyle name="Normal 2 2 3 4 3 3" xfId="4343" xr:uid="{00000000-0005-0000-0000-000057100000}"/>
    <cellStyle name="Normal 2 2 3 4 4" xfId="4344" xr:uid="{00000000-0005-0000-0000-000058100000}"/>
    <cellStyle name="Normal 2 2 3 4 4 2" xfId="4345" xr:uid="{00000000-0005-0000-0000-000059100000}"/>
    <cellStyle name="Normal 2 2 3 4 5" xfId="4346" xr:uid="{00000000-0005-0000-0000-00005A100000}"/>
    <cellStyle name="Normal 2 2 3 5" xfId="4347" xr:uid="{00000000-0005-0000-0000-00005B100000}"/>
    <cellStyle name="Normal 2 2 3 5 2" xfId="4348" xr:uid="{00000000-0005-0000-0000-00005C100000}"/>
    <cellStyle name="Normal 2 2 3 5 2 2" xfId="4349" xr:uid="{00000000-0005-0000-0000-00005D100000}"/>
    <cellStyle name="Normal 2 2 3 5 2 2 2" xfId="4350" xr:uid="{00000000-0005-0000-0000-00005E100000}"/>
    <cellStyle name="Normal 2 2 3 5 2 2 2 2" xfId="4351" xr:uid="{00000000-0005-0000-0000-00005F100000}"/>
    <cellStyle name="Normal 2 2 3 5 2 2 3" xfId="4352" xr:uid="{00000000-0005-0000-0000-000060100000}"/>
    <cellStyle name="Normal 2 2 3 5 2 3" xfId="4353" xr:uid="{00000000-0005-0000-0000-000061100000}"/>
    <cellStyle name="Normal 2 2 3 5 2 3 2" xfId="4354" xr:uid="{00000000-0005-0000-0000-000062100000}"/>
    <cellStyle name="Normal 2 2 3 5 2 4" xfId="4355" xr:uid="{00000000-0005-0000-0000-000063100000}"/>
    <cellStyle name="Normal 2 2 3 5 3" xfId="4356" xr:uid="{00000000-0005-0000-0000-000064100000}"/>
    <cellStyle name="Normal 2 2 3 5 3 2" xfId="4357" xr:uid="{00000000-0005-0000-0000-000065100000}"/>
    <cellStyle name="Normal 2 2 3 5 3 2 2" xfId="4358" xr:uid="{00000000-0005-0000-0000-000066100000}"/>
    <cellStyle name="Normal 2 2 3 5 3 3" xfId="4359" xr:uid="{00000000-0005-0000-0000-000067100000}"/>
    <cellStyle name="Normal 2 2 3 5 4" xfId="4360" xr:uid="{00000000-0005-0000-0000-000068100000}"/>
    <cellStyle name="Normal 2 2 3 5 4 2" xfId="4361" xr:uid="{00000000-0005-0000-0000-000069100000}"/>
    <cellStyle name="Normal 2 2 3 5 5" xfId="4362" xr:uid="{00000000-0005-0000-0000-00006A100000}"/>
    <cellStyle name="Normal 2 2 3 6" xfId="4363" xr:uid="{00000000-0005-0000-0000-00006B100000}"/>
    <cellStyle name="Normal 2 2 3 6 2" xfId="4364" xr:uid="{00000000-0005-0000-0000-00006C100000}"/>
    <cellStyle name="Normal 2 2 3 6 2 2" xfId="4365" xr:uid="{00000000-0005-0000-0000-00006D100000}"/>
    <cellStyle name="Normal 2 2 3 6 2 2 2" xfId="4366" xr:uid="{00000000-0005-0000-0000-00006E100000}"/>
    <cellStyle name="Normal 2 2 3 6 2 3" xfId="4367" xr:uid="{00000000-0005-0000-0000-00006F100000}"/>
    <cellStyle name="Normal 2 2 3 6 3" xfId="4368" xr:uid="{00000000-0005-0000-0000-000070100000}"/>
    <cellStyle name="Normal 2 2 3 6 3 2" xfId="4369" xr:uid="{00000000-0005-0000-0000-000071100000}"/>
    <cellStyle name="Normal 2 2 3 6 4" xfId="4370" xr:uid="{00000000-0005-0000-0000-000072100000}"/>
    <cellStyle name="Normal 2 2 3 7" xfId="4371" xr:uid="{00000000-0005-0000-0000-000073100000}"/>
    <cellStyle name="Normal 2 2 3 7 2" xfId="4372" xr:uid="{00000000-0005-0000-0000-000074100000}"/>
    <cellStyle name="Normal 2 2 3 7 2 2" xfId="4373" xr:uid="{00000000-0005-0000-0000-000075100000}"/>
    <cellStyle name="Normal 2 2 3 7 3" xfId="4374" xr:uid="{00000000-0005-0000-0000-000076100000}"/>
    <cellStyle name="Normal 2 2 3 8" xfId="4375" xr:uid="{00000000-0005-0000-0000-000077100000}"/>
    <cellStyle name="Normal 2 2 3 8 2" xfId="4376" xr:uid="{00000000-0005-0000-0000-000078100000}"/>
    <cellStyle name="Normal 2 2 3 9" xfId="4377" xr:uid="{00000000-0005-0000-0000-000079100000}"/>
    <cellStyle name="Normal 2 2 4" xfId="217" xr:uid="{00000000-0005-0000-0000-00007A100000}"/>
    <cellStyle name="Normal 2 2 4 2" xfId="218" xr:uid="{00000000-0005-0000-0000-00007B100000}"/>
    <cellStyle name="Normal 2 2 4 2 2" xfId="4378" xr:uid="{00000000-0005-0000-0000-00007C100000}"/>
    <cellStyle name="Normal 2 2 5" xfId="219" xr:uid="{00000000-0005-0000-0000-00007D100000}"/>
    <cellStyle name="Normal 2 2 5 2" xfId="4379" xr:uid="{00000000-0005-0000-0000-00007E100000}"/>
    <cellStyle name="Normal 2 2 5 2 2" xfId="4380" xr:uid="{00000000-0005-0000-0000-00007F100000}"/>
    <cellStyle name="Normal 2 2 5 2 2 2" xfId="4381" xr:uid="{00000000-0005-0000-0000-000080100000}"/>
    <cellStyle name="Normal 2 2 5 2 2 2 2" xfId="4382" xr:uid="{00000000-0005-0000-0000-000081100000}"/>
    <cellStyle name="Normal 2 2 5 2 2 3" xfId="4383" xr:uid="{00000000-0005-0000-0000-000082100000}"/>
    <cellStyle name="Normal 2 2 5 2 3" xfId="4384" xr:uid="{00000000-0005-0000-0000-000083100000}"/>
    <cellStyle name="Normal 2 2 5 2 3 2" xfId="4385" xr:uid="{00000000-0005-0000-0000-000084100000}"/>
    <cellStyle name="Normal 2 2 5 2 4" xfId="4386" xr:uid="{00000000-0005-0000-0000-000085100000}"/>
    <cellStyle name="Normal 2 2 5 3" xfId="4387" xr:uid="{00000000-0005-0000-0000-000086100000}"/>
    <cellStyle name="Normal 2 2 5 3 2" xfId="4388" xr:uid="{00000000-0005-0000-0000-000087100000}"/>
    <cellStyle name="Normal 2 2 5 3 2 2" xfId="4389" xr:uid="{00000000-0005-0000-0000-000088100000}"/>
    <cellStyle name="Normal 2 2 5 3 3" xfId="4390" xr:uid="{00000000-0005-0000-0000-000089100000}"/>
    <cellStyle name="Normal 2 2 5 4" xfId="4391" xr:uid="{00000000-0005-0000-0000-00008A100000}"/>
    <cellStyle name="Normal 2 2 5 4 2" xfId="4392" xr:uid="{00000000-0005-0000-0000-00008B100000}"/>
    <cellStyle name="Normal 2 2 5 5" xfId="4393" xr:uid="{00000000-0005-0000-0000-00008C100000}"/>
    <cellStyle name="Normal 2 2 5 6" xfId="4394" xr:uid="{00000000-0005-0000-0000-00008D100000}"/>
    <cellStyle name="Normal 2 2 6" xfId="4395" xr:uid="{00000000-0005-0000-0000-00008E100000}"/>
    <cellStyle name="Normal 2 2 6 2" xfId="4396" xr:uid="{00000000-0005-0000-0000-00008F100000}"/>
    <cellStyle name="Normal 2 2 6 2 2" xfId="4397" xr:uid="{00000000-0005-0000-0000-000090100000}"/>
    <cellStyle name="Normal 2 2 6 2 2 2" xfId="4398" xr:uid="{00000000-0005-0000-0000-000091100000}"/>
    <cellStyle name="Normal 2 2 6 2 2 2 2" xfId="4399" xr:uid="{00000000-0005-0000-0000-000092100000}"/>
    <cellStyle name="Normal 2 2 6 2 2 3" xfId="4400" xr:uid="{00000000-0005-0000-0000-000093100000}"/>
    <cellStyle name="Normal 2 2 6 2 3" xfId="4401" xr:uid="{00000000-0005-0000-0000-000094100000}"/>
    <cellStyle name="Normal 2 2 6 2 3 2" xfId="4402" xr:uid="{00000000-0005-0000-0000-000095100000}"/>
    <cellStyle name="Normal 2 2 6 2 4" xfId="4403" xr:uid="{00000000-0005-0000-0000-000096100000}"/>
    <cellStyle name="Normal 2 2 6 3" xfId="4404" xr:uid="{00000000-0005-0000-0000-000097100000}"/>
    <cellStyle name="Normal 2 2 6 3 2" xfId="4405" xr:uid="{00000000-0005-0000-0000-000098100000}"/>
    <cellStyle name="Normal 2 2 6 3 2 2" xfId="4406" xr:uid="{00000000-0005-0000-0000-000099100000}"/>
    <cellStyle name="Normal 2 2 6 3 3" xfId="4407" xr:uid="{00000000-0005-0000-0000-00009A100000}"/>
    <cellStyle name="Normal 2 2 6 4" xfId="4408" xr:uid="{00000000-0005-0000-0000-00009B100000}"/>
    <cellStyle name="Normal 2 2 6 4 2" xfId="4409" xr:uid="{00000000-0005-0000-0000-00009C100000}"/>
    <cellStyle name="Normal 2 2 6 5" xfId="4410" xr:uid="{00000000-0005-0000-0000-00009D100000}"/>
    <cellStyle name="Normal 2 2 6 6" xfId="4411" xr:uid="{00000000-0005-0000-0000-00009E100000}"/>
    <cellStyle name="Normal 2 2 7" xfId="4412" xr:uid="{00000000-0005-0000-0000-00009F100000}"/>
    <cellStyle name="Normal 2 2 7 2" xfId="4413" xr:uid="{00000000-0005-0000-0000-0000A0100000}"/>
    <cellStyle name="Normal 2 2 7 2 2" xfId="4414" xr:uid="{00000000-0005-0000-0000-0000A1100000}"/>
    <cellStyle name="Normal 2 2 7 2 2 2" xfId="4415" xr:uid="{00000000-0005-0000-0000-0000A2100000}"/>
    <cellStyle name="Normal 2 2 7 2 2 2 2" xfId="4416" xr:uid="{00000000-0005-0000-0000-0000A3100000}"/>
    <cellStyle name="Normal 2 2 7 2 2 3" xfId="4417" xr:uid="{00000000-0005-0000-0000-0000A4100000}"/>
    <cellStyle name="Normal 2 2 7 2 3" xfId="4418" xr:uid="{00000000-0005-0000-0000-0000A5100000}"/>
    <cellStyle name="Normal 2 2 7 2 3 2" xfId="4419" xr:uid="{00000000-0005-0000-0000-0000A6100000}"/>
    <cellStyle name="Normal 2 2 7 2 4" xfId="4420" xr:uid="{00000000-0005-0000-0000-0000A7100000}"/>
    <cellStyle name="Normal 2 2 7 3" xfId="4421" xr:uid="{00000000-0005-0000-0000-0000A8100000}"/>
    <cellStyle name="Normal 2 2 7 3 2" xfId="4422" xr:uid="{00000000-0005-0000-0000-0000A9100000}"/>
    <cellStyle name="Normal 2 2 7 3 2 2" xfId="4423" xr:uid="{00000000-0005-0000-0000-0000AA100000}"/>
    <cellStyle name="Normal 2 2 7 3 3" xfId="4424" xr:uid="{00000000-0005-0000-0000-0000AB100000}"/>
    <cellStyle name="Normal 2 2 7 4" xfId="4425" xr:uid="{00000000-0005-0000-0000-0000AC100000}"/>
    <cellStyle name="Normal 2 2 7 4 2" xfId="4426" xr:uid="{00000000-0005-0000-0000-0000AD100000}"/>
    <cellStyle name="Normal 2 2 7 5" xfId="4427" xr:uid="{00000000-0005-0000-0000-0000AE100000}"/>
    <cellStyle name="Normal 2 2 7 6" xfId="4428" xr:uid="{00000000-0005-0000-0000-0000AF100000}"/>
    <cellStyle name="Normal 2 2 8" xfId="4429" xr:uid="{00000000-0005-0000-0000-0000B0100000}"/>
    <cellStyle name="Normal 2 2 8 2" xfId="4430" xr:uid="{00000000-0005-0000-0000-0000B1100000}"/>
    <cellStyle name="Normal 2 2 8 2 2" xfId="4431" xr:uid="{00000000-0005-0000-0000-0000B2100000}"/>
    <cellStyle name="Normal 2 2 8 2 2 2" xfId="4432" xr:uid="{00000000-0005-0000-0000-0000B3100000}"/>
    <cellStyle name="Normal 2 2 8 2 3" xfId="4433" xr:uid="{00000000-0005-0000-0000-0000B4100000}"/>
    <cellStyle name="Normal 2 2 8 3" xfId="4434" xr:uid="{00000000-0005-0000-0000-0000B5100000}"/>
    <cellStyle name="Normal 2 2 8 3 2" xfId="4435" xr:uid="{00000000-0005-0000-0000-0000B6100000}"/>
    <cellStyle name="Normal 2 2 8 4" xfId="4436" xr:uid="{00000000-0005-0000-0000-0000B7100000}"/>
    <cellStyle name="Normal 2 2 8 5" xfId="4437" xr:uid="{00000000-0005-0000-0000-0000B8100000}"/>
    <cellStyle name="Normal 2 2 9" xfId="4438" xr:uid="{00000000-0005-0000-0000-0000B9100000}"/>
    <cellStyle name="Normal 2 2 9 2" xfId="4439" xr:uid="{00000000-0005-0000-0000-0000BA100000}"/>
    <cellStyle name="Normal 2 2 9 2 2" xfId="4440" xr:uid="{00000000-0005-0000-0000-0000BB100000}"/>
    <cellStyle name="Normal 2 2 9 3" xfId="4441" xr:uid="{00000000-0005-0000-0000-0000BC100000}"/>
    <cellStyle name="Normal 2 2_Consultant and Outside Services - Nov 2011" xfId="220" xr:uid="{00000000-0005-0000-0000-0000BD100000}"/>
    <cellStyle name="Normal 2 3" xfId="221" xr:uid="{00000000-0005-0000-0000-0000BE100000}"/>
    <cellStyle name="Normal 2 3 2" xfId="222" xr:uid="{00000000-0005-0000-0000-0000BF100000}"/>
    <cellStyle name="Normal 2 3 2 2" xfId="4442" xr:uid="{00000000-0005-0000-0000-0000C0100000}"/>
    <cellStyle name="Normal 2 3 3" xfId="4443" xr:uid="{00000000-0005-0000-0000-0000C1100000}"/>
    <cellStyle name="Normal 2 3 3 2" xfId="4444" xr:uid="{00000000-0005-0000-0000-0000C2100000}"/>
    <cellStyle name="Normal 2 3 4" xfId="4445" xr:uid="{00000000-0005-0000-0000-0000C3100000}"/>
    <cellStyle name="Normal 2 3 5" xfId="4446" xr:uid="{00000000-0005-0000-0000-0000C4100000}"/>
    <cellStyle name="Normal 2 3 6" xfId="4447" xr:uid="{00000000-0005-0000-0000-0000C5100000}"/>
    <cellStyle name="Normal 2 3 7" xfId="4448" xr:uid="{00000000-0005-0000-0000-0000C6100000}"/>
    <cellStyle name="Normal 2 4" xfId="223" xr:uid="{00000000-0005-0000-0000-0000C7100000}"/>
    <cellStyle name="Normal 2 4 2" xfId="224" xr:uid="{00000000-0005-0000-0000-0000C8100000}"/>
    <cellStyle name="Normal 2 4 2 2" xfId="4449" xr:uid="{00000000-0005-0000-0000-0000C9100000}"/>
    <cellStyle name="Normal 2 4 3" xfId="4450" xr:uid="{00000000-0005-0000-0000-0000CA100000}"/>
    <cellStyle name="Normal 2 5" xfId="225" xr:uid="{00000000-0005-0000-0000-0000CB100000}"/>
    <cellStyle name="Normal 2 5 2" xfId="4451" xr:uid="{00000000-0005-0000-0000-0000CC100000}"/>
    <cellStyle name="Normal 2 5 3" xfId="4452" xr:uid="{00000000-0005-0000-0000-0000CD100000}"/>
    <cellStyle name="Normal 2 5 4" xfId="4453" xr:uid="{00000000-0005-0000-0000-0000CE100000}"/>
    <cellStyle name="Normal 2 6" xfId="226" xr:uid="{00000000-0005-0000-0000-0000CF100000}"/>
    <cellStyle name="Normal 2 6 2" xfId="4454" xr:uid="{00000000-0005-0000-0000-0000D0100000}"/>
    <cellStyle name="Normal 2 6 3" xfId="4455" xr:uid="{00000000-0005-0000-0000-0000D1100000}"/>
    <cellStyle name="Normal 2 6 4" xfId="4456" xr:uid="{00000000-0005-0000-0000-0000D2100000}"/>
    <cellStyle name="Normal 2 7" xfId="227" xr:uid="{00000000-0005-0000-0000-0000D3100000}"/>
    <cellStyle name="Normal 2 7 2" xfId="4457" xr:uid="{00000000-0005-0000-0000-0000D4100000}"/>
    <cellStyle name="Normal 2 7 3" xfId="4458" xr:uid="{00000000-0005-0000-0000-0000D5100000}"/>
    <cellStyle name="Normal 2 8" xfId="4459" xr:uid="{00000000-0005-0000-0000-0000D6100000}"/>
    <cellStyle name="Normal 2 8 2" xfId="4460" xr:uid="{00000000-0005-0000-0000-0000D7100000}"/>
    <cellStyle name="Normal 2 9" xfId="4461" xr:uid="{00000000-0005-0000-0000-0000D8100000}"/>
    <cellStyle name="Normal 2 9 2" xfId="4462" xr:uid="{00000000-0005-0000-0000-0000D9100000}"/>
    <cellStyle name="Normal 2_BOD Financials_11.15.11" xfId="228" xr:uid="{00000000-0005-0000-0000-0000DA100000}"/>
    <cellStyle name="Normal 20" xfId="4463" xr:uid="{00000000-0005-0000-0000-0000DB100000}"/>
    <cellStyle name="Normal 20 2" xfId="4464" xr:uid="{00000000-0005-0000-0000-0000DC100000}"/>
    <cellStyle name="Normal 20 2 2" xfId="4465" xr:uid="{00000000-0005-0000-0000-0000DD100000}"/>
    <cellStyle name="Normal 20 3" xfId="4466" xr:uid="{00000000-0005-0000-0000-0000DE100000}"/>
    <cellStyle name="Normal 20 3 2" xfId="4467" xr:uid="{00000000-0005-0000-0000-0000DF100000}"/>
    <cellStyle name="Normal 20 3 2 2" xfId="4468" xr:uid="{00000000-0005-0000-0000-0000E0100000}"/>
    <cellStyle name="Normal 20 3 2 2 2" xfId="4469" xr:uid="{00000000-0005-0000-0000-0000E1100000}"/>
    <cellStyle name="Normal 20 3 2 2 2 2" xfId="4470" xr:uid="{00000000-0005-0000-0000-0000E2100000}"/>
    <cellStyle name="Normal 20 3 2 2 3" xfId="4471" xr:uid="{00000000-0005-0000-0000-0000E3100000}"/>
    <cellStyle name="Normal 20 3 2 3" xfId="4472" xr:uid="{00000000-0005-0000-0000-0000E4100000}"/>
    <cellStyle name="Normal 20 3 2 3 2" xfId="4473" xr:uid="{00000000-0005-0000-0000-0000E5100000}"/>
    <cellStyle name="Normal 20 3 2 4" xfId="4474" xr:uid="{00000000-0005-0000-0000-0000E6100000}"/>
    <cellStyle name="Normal 20 3 3" xfId="4475" xr:uid="{00000000-0005-0000-0000-0000E7100000}"/>
    <cellStyle name="Normal 20 3 3 2" xfId="4476" xr:uid="{00000000-0005-0000-0000-0000E8100000}"/>
    <cellStyle name="Normal 20 3 3 2 2" xfId="4477" xr:uid="{00000000-0005-0000-0000-0000E9100000}"/>
    <cellStyle name="Normal 20 3 3 3" xfId="4478" xr:uid="{00000000-0005-0000-0000-0000EA100000}"/>
    <cellStyle name="Normal 20 3 4" xfId="4479" xr:uid="{00000000-0005-0000-0000-0000EB100000}"/>
    <cellStyle name="Normal 20 3 4 2" xfId="4480" xr:uid="{00000000-0005-0000-0000-0000EC100000}"/>
    <cellStyle name="Normal 20 3 5" xfId="4481" xr:uid="{00000000-0005-0000-0000-0000ED100000}"/>
    <cellStyle name="Normal 20 4" xfId="4482" xr:uid="{00000000-0005-0000-0000-0000EE100000}"/>
    <cellStyle name="Normal 20 4 2" xfId="4483" xr:uid="{00000000-0005-0000-0000-0000EF100000}"/>
    <cellStyle name="Normal 20 4 2 2" xfId="4484" xr:uid="{00000000-0005-0000-0000-0000F0100000}"/>
    <cellStyle name="Normal 20 4 2 2 2" xfId="4485" xr:uid="{00000000-0005-0000-0000-0000F1100000}"/>
    <cellStyle name="Normal 20 4 2 2 2 2" xfId="4486" xr:uid="{00000000-0005-0000-0000-0000F2100000}"/>
    <cellStyle name="Normal 20 4 2 2 3" xfId="4487" xr:uid="{00000000-0005-0000-0000-0000F3100000}"/>
    <cellStyle name="Normal 20 4 2 3" xfId="4488" xr:uid="{00000000-0005-0000-0000-0000F4100000}"/>
    <cellStyle name="Normal 20 4 2 3 2" xfId="4489" xr:uid="{00000000-0005-0000-0000-0000F5100000}"/>
    <cellStyle name="Normal 20 4 2 4" xfId="4490" xr:uid="{00000000-0005-0000-0000-0000F6100000}"/>
    <cellStyle name="Normal 20 4 3" xfId="4491" xr:uid="{00000000-0005-0000-0000-0000F7100000}"/>
    <cellStyle name="Normal 20 4 3 2" xfId="4492" xr:uid="{00000000-0005-0000-0000-0000F8100000}"/>
    <cellStyle name="Normal 20 4 3 2 2" xfId="4493" xr:uid="{00000000-0005-0000-0000-0000F9100000}"/>
    <cellStyle name="Normal 20 4 3 3" xfId="4494" xr:uid="{00000000-0005-0000-0000-0000FA100000}"/>
    <cellStyle name="Normal 20 4 4" xfId="4495" xr:uid="{00000000-0005-0000-0000-0000FB100000}"/>
    <cellStyle name="Normal 20 4 4 2" xfId="4496" xr:uid="{00000000-0005-0000-0000-0000FC100000}"/>
    <cellStyle name="Normal 20 4 5" xfId="4497" xr:uid="{00000000-0005-0000-0000-0000FD100000}"/>
    <cellStyle name="Normal 20 5" xfId="4498" xr:uid="{00000000-0005-0000-0000-0000FE100000}"/>
    <cellStyle name="Normal 20 5 2" xfId="4499" xr:uid="{00000000-0005-0000-0000-0000FF100000}"/>
    <cellStyle name="Normal 20 5 2 2" xfId="4500" xr:uid="{00000000-0005-0000-0000-000000110000}"/>
    <cellStyle name="Normal 20 5 2 2 2" xfId="4501" xr:uid="{00000000-0005-0000-0000-000001110000}"/>
    <cellStyle name="Normal 20 5 2 2 2 2" xfId="4502" xr:uid="{00000000-0005-0000-0000-000002110000}"/>
    <cellStyle name="Normal 20 5 2 2 3" xfId="4503" xr:uid="{00000000-0005-0000-0000-000003110000}"/>
    <cellStyle name="Normal 20 5 2 3" xfId="4504" xr:uid="{00000000-0005-0000-0000-000004110000}"/>
    <cellStyle name="Normal 20 5 2 3 2" xfId="4505" xr:uid="{00000000-0005-0000-0000-000005110000}"/>
    <cellStyle name="Normal 20 5 2 4" xfId="4506" xr:uid="{00000000-0005-0000-0000-000006110000}"/>
    <cellStyle name="Normal 20 5 3" xfId="4507" xr:uid="{00000000-0005-0000-0000-000007110000}"/>
    <cellStyle name="Normal 20 5 3 2" xfId="4508" xr:uid="{00000000-0005-0000-0000-000008110000}"/>
    <cellStyle name="Normal 20 5 3 2 2" xfId="4509" xr:uid="{00000000-0005-0000-0000-000009110000}"/>
    <cellStyle name="Normal 20 5 3 3" xfId="4510" xr:uid="{00000000-0005-0000-0000-00000A110000}"/>
    <cellStyle name="Normal 20 5 4" xfId="4511" xr:uid="{00000000-0005-0000-0000-00000B110000}"/>
    <cellStyle name="Normal 20 5 4 2" xfId="4512" xr:uid="{00000000-0005-0000-0000-00000C110000}"/>
    <cellStyle name="Normal 20 5 5" xfId="4513" xr:uid="{00000000-0005-0000-0000-00000D110000}"/>
    <cellStyle name="Normal 20 6" xfId="4514" xr:uid="{00000000-0005-0000-0000-00000E110000}"/>
    <cellStyle name="Normal 20 6 2" xfId="4515" xr:uid="{00000000-0005-0000-0000-00000F110000}"/>
    <cellStyle name="Normal 20 6 2 2" xfId="4516" xr:uid="{00000000-0005-0000-0000-000010110000}"/>
    <cellStyle name="Normal 20 6 2 2 2" xfId="4517" xr:uid="{00000000-0005-0000-0000-000011110000}"/>
    <cellStyle name="Normal 20 6 2 3" xfId="4518" xr:uid="{00000000-0005-0000-0000-000012110000}"/>
    <cellStyle name="Normal 20 6 3" xfId="4519" xr:uid="{00000000-0005-0000-0000-000013110000}"/>
    <cellStyle name="Normal 20 6 3 2" xfId="4520" xr:uid="{00000000-0005-0000-0000-000014110000}"/>
    <cellStyle name="Normal 20 6 4" xfId="4521" xr:uid="{00000000-0005-0000-0000-000015110000}"/>
    <cellStyle name="Normal 20 7" xfId="4522" xr:uid="{00000000-0005-0000-0000-000016110000}"/>
    <cellStyle name="Normal 20 7 2" xfId="4523" xr:uid="{00000000-0005-0000-0000-000017110000}"/>
    <cellStyle name="Normal 20 7 2 2" xfId="4524" xr:uid="{00000000-0005-0000-0000-000018110000}"/>
    <cellStyle name="Normal 20 7 3" xfId="4525" xr:uid="{00000000-0005-0000-0000-000019110000}"/>
    <cellStyle name="Normal 20 8" xfId="4526" xr:uid="{00000000-0005-0000-0000-00001A110000}"/>
    <cellStyle name="Normal 20 8 2" xfId="4527" xr:uid="{00000000-0005-0000-0000-00001B110000}"/>
    <cellStyle name="Normal 20 9" xfId="4528" xr:uid="{00000000-0005-0000-0000-00001C110000}"/>
    <cellStyle name="Normal 200" xfId="4529" xr:uid="{00000000-0005-0000-0000-00001D110000}"/>
    <cellStyle name="Normal 201" xfId="4530" xr:uid="{00000000-0005-0000-0000-00001E110000}"/>
    <cellStyle name="Normal 202" xfId="4531" xr:uid="{00000000-0005-0000-0000-00001F110000}"/>
    <cellStyle name="Normal 203" xfId="4532" xr:uid="{00000000-0005-0000-0000-000020110000}"/>
    <cellStyle name="Normal 204" xfId="4533" xr:uid="{00000000-0005-0000-0000-000021110000}"/>
    <cellStyle name="Normal 205" xfId="4534" xr:uid="{00000000-0005-0000-0000-000022110000}"/>
    <cellStyle name="Normal 206" xfId="4535" xr:uid="{00000000-0005-0000-0000-000023110000}"/>
    <cellStyle name="Normal 207" xfId="4536" xr:uid="{00000000-0005-0000-0000-000024110000}"/>
    <cellStyle name="Normal 208" xfId="4537" xr:uid="{00000000-0005-0000-0000-000025110000}"/>
    <cellStyle name="Normal 209" xfId="4538" xr:uid="{00000000-0005-0000-0000-000026110000}"/>
    <cellStyle name="Normal 21" xfId="4539" xr:uid="{00000000-0005-0000-0000-000027110000}"/>
    <cellStyle name="Normal 21 2" xfId="4540" xr:uid="{00000000-0005-0000-0000-000028110000}"/>
    <cellStyle name="Normal 21 2 2" xfId="4541" xr:uid="{00000000-0005-0000-0000-000029110000}"/>
    <cellStyle name="Normal 21 3" xfId="4542" xr:uid="{00000000-0005-0000-0000-00002A110000}"/>
    <cellStyle name="Normal 21 3 2" xfId="4543" xr:uid="{00000000-0005-0000-0000-00002B110000}"/>
    <cellStyle name="Normal 21 3 2 2" xfId="4544" xr:uid="{00000000-0005-0000-0000-00002C110000}"/>
    <cellStyle name="Normal 21 3 2 2 2" xfId="4545" xr:uid="{00000000-0005-0000-0000-00002D110000}"/>
    <cellStyle name="Normal 21 3 2 2 2 2" xfId="4546" xr:uid="{00000000-0005-0000-0000-00002E110000}"/>
    <cellStyle name="Normal 21 3 2 2 3" xfId="4547" xr:uid="{00000000-0005-0000-0000-00002F110000}"/>
    <cellStyle name="Normal 21 3 2 3" xfId="4548" xr:uid="{00000000-0005-0000-0000-000030110000}"/>
    <cellStyle name="Normal 21 3 2 3 2" xfId="4549" xr:uid="{00000000-0005-0000-0000-000031110000}"/>
    <cellStyle name="Normal 21 3 2 4" xfId="4550" xr:uid="{00000000-0005-0000-0000-000032110000}"/>
    <cellStyle name="Normal 21 3 3" xfId="4551" xr:uid="{00000000-0005-0000-0000-000033110000}"/>
    <cellStyle name="Normal 21 3 3 2" xfId="4552" xr:uid="{00000000-0005-0000-0000-000034110000}"/>
    <cellStyle name="Normal 21 3 3 2 2" xfId="4553" xr:uid="{00000000-0005-0000-0000-000035110000}"/>
    <cellStyle name="Normal 21 3 3 3" xfId="4554" xr:uid="{00000000-0005-0000-0000-000036110000}"/>
    <cellStyle name="Normal 21 3 4" xfId="4555" xr:uid="{00000000-0005-0000-0000-000037110000}"/>
    <cellStyle name="Normal 21 3 4 2" xfId="4556" xr:uid="{00000000-0005-0000-0000-000038110000}"/>
    <cellStyle name="Normal 21 3 5" xfId="4557" xr:uid="{00000000-0005-0000-0000-000039110000}"/>
    <cellStyle name="Normal 21 4" xfId="4558" xr:uid="{00000000-0005-0000-0000-00003A110000}"/>
    <cellStyle name="Normal 21 4 2" xfId="4559" xr:uid="{00000000-0005-0000-0000-00003B110000}"/>
    <cellStyle name="Normal 21 4 2 2" xfId="4560" xr:uid="{00000000-0005-0000-0000-00003C110000}"/>
    <cellStyle name="Normal 21 4 2 2 2" xfId="4561" xr:uid="{00000000-0005-0000-0000-00003D110000}"/>
    <cellStyle name="Normal 21 4 2 2 2 2" xfId="4562" xr:uid="{00000000-0005-0000-0000-00003E110000}"/>
    <cellStyle name="Normal 21 4 2 2 3" xfId="4563" xr:uid="{00000000-0005-0000-0000-00003F110000}"/>
    <cellStyle name="Normal 21 4 2 3" xfId="4564" xr:uid="{00000000-0005-0000-0000-000040110000}"/>
    <cellStyle name="Normal 21 4 2 3 2" xfId="4565" xr:uid="{00000000-0005-0000-0000-000041110000}"/>
    <cellStyle name="Normal 21 4 2 4" xfId="4566" xr:uid="{00000000-0005-0000-0000-000042110000}"/>
    <cellStyle name="Normal 21 4 3" xfId="4567" xr:uid="{00000000-0005-0000-0000-000043110000}"/>
    <cellStyle name="Normal 21 4 3 2" xfId="4568" xr:uid="{00000000-0005-0000-0000-000044110000}"/>
    <cellStyle name="Normal 21 4 3 2 2" xfId="4569" xr:uid="{00000000-0005-0000-0000-000045110000}"/>
    <cellStyle name="Normal 21 4 3 3" xfId="4570" xr:uid="{00000000-0005-0000-0000-000046110000}"/>
    <cellStyle name="Normal 21 4 4" xfId="4571" xr:uid="{00000000-0005-0000-0000-000047110000}"/>
    <cellStyle name="Normal 21 4 4 2" xfId="4572" xr:uid="{00000000-0005-0000-0000-000048110000}"/>
    <cellStyle name="Normal 21 4 5" xfId="4573" xr:uid="{00000000-0005-0000-0000-000049110000}"/>
    <cellStyle name="Normal 21 5" xfId="4574" xr:uid="{00000000-0005-0000-0000-00004A110000}"/>
    <cellStyle name="Normal 21 5 2" xfId="4575" xr:uid="{00000000-0005-0000-0000-00004B110000}"/>
    <cellStyle name="Normal 21 5 2 2" xfId="4576" xr:uid="{00000000-0005-0000-0000-00004C110000}"/>
    <cellStyle name="Normal 21 5 2 2 2" xfId="4577" xr:uid="{00000000-0005-0000-0000-00004D110000}"/>
    <cellStyle name="Normal 21 5 2 2 2 2" xfId="4578" xr:uid="{00000000-0005-0000-0000-00004E110000}"/>
    <cellStyle name="Normal 21 5 2 2 3" xfId="4579" xr:uid="{00000000-0005-0000-0000-00004F110000}"/>
    <cellStyle name="Normal 21 5 2 3" xfId="4580" xr:uid="{00000000-0005-0000-0000-000050110000}"/>
    <cellStyle name="Normal 21 5 2 3 2" xfId="4581" xr:uid="{00000000-0005-0000-0000-000051110000}"/>
    <cellStyle name="Normal 21 5 2 4" xfId="4582" xr:uid="{00000000-0005-0000-0000-000052110000}"/>
    <cellStyle name="Normal 21 5 3" xfId="4583" xr:uid="{00000000-0005-0000-0000-000053110000}"/>
    <cellStyle name="Normal 21 5 3 2" xfId="4584" xr:uid="{00000000-0005-0000-0000-000054110000}"/>
    <cellStyle name="Normal 21 5 3 2 2" xfId="4585" xr:uid="{00000000-0005-0000-0000-000055110000}"/>
    <cellStyle name="Normal 21 5 3 3" xfId="4586" xr:uid="{00000000-0005-0000-0000-000056110000}"/>
    <cellStyle name="Normal 21 5 4" xfId="4587" xr:uid="{00000000-0005-0000-0000-000057110000}"/>
    <cellStyle name="Normal 21 5 4 2" xfId="4588" xr:uid="{00000000-0005-0000-0000-000058110000}"/>
    <cellStyle name="Normal 21 5 5" xfId="4589" xr:uid="{00000000-0005-0000-0000-000059110000}"/>
    <cellStyle name="Normal 21 6" xfId="4590" xr:uid="{00000000-0005-0000-0000-00005A110000}"/>
    <cellStyle name="Normal 21 6 2" xfId="4591" xr:uid="{00000000-0005-0000-0000-00005B110000}"/>
    <cellStyle name="Normal 21 6 2 2" xfId="4592" xr:uid="{00000000-0005-0000-0000-00005C110000}"/>
    <cellStyle name="Normal 21 6 2 2 2" xfId="4593" xr:uid="{00000000-0005-0000-0000-00005D110000}"/>
    <cellStyle name="Normal 21 6 2 3" xfId="4594" xr:uid="{00000000-0005-0000-0000-00005E110000}"/>
    <cellStyle name="Normal 21 6 3" xfId="4595" xr:uid="{00000000-0005-0000-0000-00005F110000}"/>
    <cellStyle name="Normal 21 6 3 2" xfId="4596" xr:uid="{00000000-0005-0000-0000-000060110000}"/>
    <cellStyle name="Normal 21 6 4" xfId="4597" xr:uid="{00000000-0005-0000-0000-000061110000}"/>
    <cellStyle name="Normal 21 7" xfId="4598" xr:uid="{00000000-0005-0000-0000-000062110000}"/>
    <cellStyle name="Normal 21 7 2" xfId="4599" xr:uid="{00000000-0005-0000-0000-000063110000}"/>
    <cellStyle name="Normal 21 7 2 2" xfId="4600" xr:uid="{00000000-0005-0000-0000-000064110000}"/>
    <cellStyle name="Normal 21 7 3" xfId="4601" xr:uid="{00000000-0005-0000-0000-000065110000}"/>
    <cellStyle name="Normal 21 8" xfId="4602" xr:uid="{00000000-0005-0000-0000-000066110000}"/>
    <cellStyle name="Normal 21 8 2" xfId="4603" xr:uid="{00000000-0005-0000-0000-000067110000}"/>
    <cellStyle name="Normal 21 9" xfId="4604" xr:uid="{00000000-0005-0000-0000-000068110000}"/>
    <cellStyle name="Normal 210" xfId="4605" xr:uid="{00000000-0005-0000-0000-000069110000}"/>
    <cellStyle name="Normal 211" xfId="4606" xr:uid="{00000000-0005-0000-0000-00006A110000}"/>
    <cellStyle name="Normal 212" xfId="4607" xr:uid="{00000000-0005-0000-0000-00006B110000}"/>
    <cellStyle name="Normal 213" xfId="4608" xr:uid="{00000000-0005-0000-0000-00006C110000}"/>
    <cellStyle name="Normal 214" xfId="4609" xr:uid="{00000000-0005-0000-0000-00006D110000}"/>
    <cellStyle name="Normal 215" xfId="4610" xr:uid="{00000000-0005-0000-0000-00006E110000}"/>
    <cellStyle name="Normal 216" xfId="4611" xr:uid="{00000000-0005-0000-0000-00006F110000}"/>
    <cellStyle name="Normal 217" xfId="4612" xr:uid="{00000000-0005-0000-0000-000070110000}"/>
    <cellStyle name="Normal 218" xfId="4613" xr:uid="{00000000-0005-0000-0000-000071110000}"/>
    <cellStyle name="Normal 219" xfId="4614" xr:uid="{00000000-0005-0000-0000-000072110000}"/>
    <cellStyle name="Normal 22" xfId="4615" xr:uid="{00000000-0005-0000-0000-000073110000}"/>
    <cellStyle name="Normal 22 2" xfId="4616" xr:uid="{00000000-0005-0000-0000-000074110000}"/>
    <cellStyle name="Normal 22 2 2" xfId="4617" xr:uid="{00000000-0005-0000-0000-000075110000}"/>
    <cellStyle name="Normal 22 3" xfId="4618" xr:uid="{00000000-0005-0000-0000-000076110000}"/>
    <cellStyle name="Normal 22 3 2" xfId="4619" xr:uid="{00000000-0005-0000-0000-000077110000}"/>
    <cellStyle name="Normal 22 3 2 2" xfId="4620" xr:uid="{00000000-0005-0000-0000-000078110000}"/>
    <cellStyle name="Normal 22 3 2 2 2" xfId="4621" xr:uid="{00000000-0005-0000-0000-000079110000}"/>
    <cellStyle name="Normal 22 3 2 2 2 2" xfId="4622" xr:uid="{00000000-0005-0000-0000-00007A110000}"/>
    <cellStyle name="Normal 22 3 2 2 3" xfId="4623" xr:uid="{00000000-0005-0000-0000-00007B110000}"/>
    <cellStyle name="Normal 22 3 2 3" xfId="4624" xr:uid="{00000000-0005-0000-0000-00007C110000}"/>
    <cellStyle name="Normal 22 3 2 3 2" xfId="4625" xr:uid="{00000000-0005-0000-0000-00007D110000}"/>
    <cellStyle name="Normal 22 3 2 4" xfId="4626" xr:uid="{00000000-0005-0000-0000-00007E110000}"/>
    <cellStyle name="Normal 22 3 3" xfId="4627" xr:uid="{00000000-0005-0000-0000-00007F110000}"/>
    <cellStyle name="Normal 22 3 3 2" xfId="4628" xr:uid="{00000000-0005-0000-0000-000080110000}"/>
    <cellStyle name="Normal 22 3 3 2 2" xfId="4629" xr:uid="{00000000-0005-0000-0000-000081110000}"/>
    <cellStyle name="Normal 22 3 3 3" xfId="4630" xr:uid="{00000000-0005-0000-0000-000082110000}"/>
    <cellStyle name="Normal 22 3 4" xfId="4631" xr:uid="{00000000-0005-0000-0000-000083110000}"/>
    <cellStyle name="Normal 22 3 4 2" xfId="4632" xr:uid="{00000000-0005-0000-0000-000084110000}"/>
    <cellStyle name="Normal 22 3 5" xfId="4633" xr:uid="{00000000-0005-0000-0000-000085110000}"/>
    <cellStyle name="Normal 22 4" xfId="4634" xr:uid="{00000000-0005-0000-0000-000086110000}"/>
    <cellStyle name="Normal 22 4 2" xfId="4635" xr:uid="{00000000-0005-0000-0000-000087110000}"/>
    <cellStyle name="Normal 22 4 2 2" xfId="4636" xr:uid="{00000000-0005-0000-0000-000088110000}"/>
    <cellStyle name="Normal 22 4 2 2 2" xfId="4637" xr:uid="{00000000-0005-0000-0000-000089110000}"/>
    <cellStyle name="Normal 22 4 2 2 2 2" xfId="4638" xr:uid="{00000000-0005-0000-0000-00008A110000}"/>
    <cellStyle name="Normal 22 4 2 2 3" xfId="4639" xr:uid="{00000000-0005-0000-0000-00008B110000}"/>
    <cellStyle name="Normal 22 4 2 3" xfId="4640" xr:uid="{00000000-0005-0000-0000-00008C110000}"/>
    <cellStyle name="Normal 22 4 2 3 2" xfId="4641" xr:uid="{00000000-0005-0000-0000-00008D110000}"/>
    <cellStyle name="Normal 22 4 2 4" xfId="4642" xr:uid="{00000000-0005-0000-0000-00008E110000}"/>
    <cellStyle name="Normal 22 4 3" xfId="4643" xr:uid="{00000000-0005-0000-0000-00008F110000}"/>
    <cellStyle name="Normal 22 4 3 2" xfId="4644" xr:uid="{00000000-0005-0000-0000-000090110000}"/>
    <cellStyle name="Normal 22 4 3 2 2" xfId="4645" xr:uid="{00000000-0005-0000-0000-000091110000}"/>
    <cellStyle name="Normal 22 4 3 3" xfId="4646" xr:uid="{00000000-0005-0000-0000-000092110000}"/>
    <cellStyle name="Normal 22 4 4" xfId="4647" xr:uid="{00000000-0005-0000-0000-000093110000}"/>
    <cellStyle name="Normal 22 4 4 2" xfId="4648" xr:uid="{00000000-0005-0000-0000-000094110000}"/>
    <cellStyle name="Normal 22 4 5" xfId="4649" xr:uid="{00000000-0005-0000-0000-000095110000}"/>
    <cellStyle name="Normal 22 5" xfId="4650" xr:uid="{00000000-0005-0000-0000-000096110000}"/>
    <cellStyle name="Normal 22 5 2" xfId="4651" xr:uid="{00000000-0005-0000-0000-000097110000}"/>
    <cellStyle name="Normal 22 5 2 2" xfId="4652" xr:uid="{00000000-0005-0000-0000-000098110000}"/>
    <cellStyle name="Normal 22 5 2 2 2" xfId="4653" xr:uid="{00000000-0005-0000-0000-000099110000}"/>
    <cellStyle name="Normal 22 5 2 2 2 2" xfId="4654" xr:uid="{00000000-0005-0000-0000-00009A110000}"/>
    <cellStyle name="Normal 22 5 2 2 3" xfId="4655" xr:uid="{00000000-0005-0000-0000-00009B110000}"/>
    <cellStyle name="Normal 22 5 2 3" xfId="4656" xr:uid="{00000000-0005-0000-0000-00009C110000}"/>
    <cellStyle name="Normal 22 5 2 3 2" xfId="4657" xr:uid="{00000000-0005-0000-0000-00009D110000}"/>
    <cellStyle name="Normal 22 5 2 4" xfId="4658" xr:uid="{00000000-0005-0000-0000-00009E110000}"/>
    <cellStyle name="Normal 22 5 3" xfId="4659" xr:uid="{00000000-0005-0000-0000-00009F110000}"/>
    <cellStyle name="Normal 22 5 3 2" xfId="4660" xr:uid="{00000000-0005-0000-0000-0000A0110000}"/>
    <cellStyle name="Normal 22 5 3 2 2" xfId="4661" xr:uid="{00000000-0005-0000-0000-0000A1110000}"/>
    <cellStyle name="Normal 22 5 3 3" xfId="4662" xr:uid="{00000000-0005-0000-0000-0000A2110000}"/>
    <cellStyle name="Normal 22 5 4" xfId="4663" xr:uid="{00000000-0005-0000-0000-0000A3110000}"/>
    <cellStyle name="Normal 22 5 4 2" xfId="4664" xr:uid="{00000000-0005-0000-0000-0000A4110000}"/>
    <cellStyle name="Normal 22 5 5" xfId="4665" xr:uid="{00000000-0005-0000-0000-0000A5110000}"/>
    <cellStyle name="Normal 22 6" xfId="4666" xr:uid="{00000000-0005-0000-0000-0000A6110000}"/>
    <cellStyle name="Normal 22 6 2" xfId="4667" xr:uid="{00000000-0005-0000-0000-0000A7110000}"/>
    <cellStyle name="Normal 22 6 2 2" xfId="4668" xr:uid="{00000000-0005-0000-0000-0000A8110000}"/>
    <cellStyle name="Normal 22 6 2 2 2" xfId="4669" xr:uid="{00000000-0005-0000-0000-0000A9110000}"/>
    <cellStyle name="Normal 22 6 2 3" xfId="4670" xr:uid="{00000000-0005-0000-0000-0000AA110000}"/>
    <cellStyle name="Normal 22 6 3" xfId="4671" xr:uid="{00000000-0005-0000-0000-0000AB110000}"/>
    <cellStyle name="Normal 22 6 3 2" xfId="4672" xr:uid="{00000000-0005-0000-0000-0000AC110000}"/>
    <cellStyle name="Normal 22 6 4" xfId="4673" xr:uid="{00000000-0005-0000-0000-0000AD110000}"/>
    <cellStyle name="Normal 22 7" xfId="4674" xr:uid="{00000000-0005-0000-0000-0000AE110000}"/>
    <cellStyle name="Normal 22 7 2" xfId="4675" xr:uid="{00000000-0005-0000-0000-0000AF110000}"/>
    <cellStyle name="Normal 22 7 2 2" xfId="4676" xr:uid="{00000000-0005-0000-0000-0000B0110000}"/>
    <cellStyle name="Normal 22 7 3" xfId="4677" xr:uid="{00000000-0005-0000-0000-0000B1110000}"/>
    <cellStyle name="Normal 22 8" xfId="4678" xr:uid="{00000000-0005-0000-0000-0000B2110000}"/>
    <cellStyle name="Normal 22 8 2" xfId="4679" xr:uid="{00000000-0005-0000-0000-0000B3110000}"/>
    <cellStyle name="Normal 22 9" xfId="4680" xr:uid="{00000000-0005-0000-0000-0000B4110000}"/>
    <cellStyle name="Normal 220" xfId="4681" xr:uid="{00000000-0005-0000-0000-0000B5110000}"/>
    <cellStyle name="Normal 221" xfId="4682" xr:uid="{00000000-0005-0000-0000-0000B6110000}"/>
    <cellStyle name="Normal 222" xfId="4683" xr:uid="{00000000-0005-0000-0000-0000B7110000}"/>
    <cellStyle name="Normal 223" xfId="4684" xr:uid="{00000000-0005-0000-0000-0000B8110000}"/>
    <cellStyle name="Normal 224" xfId="4685" xr:uid="{00000000-0005-0000-0000-0000B9110000}"/>
    <cellStyle name="Normal 225" xfId="4686" xr:uid="{00000000-0005-0000-0000-0000BA110000}"/>
    <cellStyle name="Normal 226" xfId="4687" xr:uid="{00000000-0005-0000-0000-0000BB110000}"/>
    <cellStyle name="Normal 227" xfId="4688" xr:uid="{00000000-0005-0000-0000-0000BC110000}"/>
    <cellStyle name="Normal 228" xfId="4689" xr:uid="{00000000-0005-0000-0000-0000BD110000}"/>
    <cellStyle name="Normal 229" xfId="4690" xr:uid="{00000000-0005-0000-0000-0000BE110000}"/>
    <cellStyle name="Normal 23" xfId="4691" xr:uid="{00000000-0005-0000-0000-0000BF110000}"/>
    <cellStyle name="Normal 23 2" xfId="4692" xr:uid="{00000000-0005-0000-0000-0000C0110000}"/>
    <cellStyle name="Normal 23 2 2" xfId="4693" xr:uid="{00000000-0005-0000-0000-0000C1110000}"/>
    <cellStyle name="Normal 23 3" xfId="4694" xr:uid="{00000000-0005-0000-0000-0000C2110000}"/>
    <cellStyle name="Normal 23 3 2" xfId="4695" xr:uid="{00000000-0005-0000-0000-0000C3110000}"/>
    <cellStyle name="Normal 23 3 2 2" xfId="4696" xr:uid="{00000000-0005-0000-0000-0000C4110000}"/>
    <cellStyle name="Normal 23 3 2 2 2" xfId="4697" xr:uid="{00000000-0005-0000-0000-0000C5110000}"/>
    <cellStyle name="Normal 23 3 2 2 2 2" xfId="4698" xr:uid="{00000000-0005-0000-0000-0000C6110000}"/>
    <cellStyle name="Normal 23 3 2 2 3" xfId="4699" xr:uid="{00000000-0005-0000-0000-0000C7110000}"/>
    <cellStyle name="Normal 23 3 2 3" xfId="4700" xr:uid="{00000000-0005-0000-0000-0000C8110000}"/>
    <cellStyle name="Normal 23 3 2 3 2" xfId="4701" xr:uid="{00000000-0005-0000-0000-0000C9110000}"/>
    <cellStyle name="Normal 23 3 2 4" xfId="4702" xr:uid="{00000000-0005-0000-0000-0000CA110000}"/>
    <cellStyle name="Normal 23 3 3" xfId="4703" xr:uid="{00000000-0005-0000-0000-0000CB110000}"/>
    <cellStyle name="Normal 23 3 3 2" xfId="4704" xr:uid="{00000000-0005-0000-0000-0000CC110000}"/>
    <cellStyle name="Normal 23 3 3 2 2" xfId="4705" xr:uid="{00000000-0005-0000-0000-0000CD110000}"/>
    <cellStyle name="Normal 23 3 3 3" xfId="4706" xr:uid="{00000000-0005-0000-0000-0000CE110000}"/>
    <cellStyle name="Normal 23 3 4" xfId="4707" xr:uid="{00000000-0005-0000-0000-0000CF110000}"/>
    <cellStyle name="Normal 23 3 4 2" xfId="4708" xr:uid="{00000000-0005-0000-0000-0000D0110000}"/>
    <cellStyle name="Normal 23 3 5" xfId="4709" xr:uid="{00000000-0005-0000-0000-0000D1110000}"/>
    <cellStyle name="Normal 23 4" xfId="4710" xr:uid="{00000000-0005-0000-0000-0000D2110000}"/>
    <cellStyle name="Normal 23 4 2" xfId="4711" xr:uid="{00000000-0005-0000-0000-0000D3110000}"/>
    <cellStyle name="Normal 23 4 2 2" xfId="4712" xr:uid="{00000000-0005-0000-0000-0000D4110000}"/>
    <cellStyle name="Normal 23 4 2 2 2" xfId="4713" xr:uid="{00000000-0005-0000-0000-0000D5110000}"/>
    <cellStyle name="Normal 23 4 2 2 2 2" xfId="4714" xr:uid="{00000000-0005-0000-0000-0000D6110000}"/>
    <cellStyle name="Normal 23 4 2 2 3" xfId="4715" xr:uid="{00000000-0005-0000-0000-0000D7110000}"/>
    <cellStyle name="Normal 23 4 2 3" xfId="4716" xr:uid="{00000000-0005-0000-0000-0000D8110000}"/>
    <cellStyle name="Normal 23 4 2 3 2" xfId="4717" xr:uid="{00000000-0005-0000-0000-0000D9110000}"/>
    <cellStyle name="Normal 23 4 2 4" xfId="4718" xr:uid="{00000000-0005-0000-0000-0000DA110000}"/>
    <cellStyle name="Normal 23 4 3" xfId="4719" xr:uid="{00000000-0005-0000-0000-0000DB110000}"/>
    <cellStyle name="Normal 23 4 3 2" xfId="4720" xr:uid="{00000000-0005-0000-0000-0000DC110000}"/>
    <cellStyle name="Normal 23 4 3 2 2" xfId="4721" xr:uid="{00000000-0005-0000-0000-0000DD110000}"/>
    <cellStyle name="Normal 23 4 3 3" xfId="4722" xr:uid="{00000000-0005-0000-0000-0000DE110000}"/>
    <cellStyle name="Normal 23 4 4" xfId="4723" xr:uid="{00000000-0005-0000-0000-0000DF110000}"/>
    <cellStyle name="Normal 23 4 4 2" xfId="4724" xr:uid="{00000000-0005-0000-0000-0000E0110000}"/>
    <cellStyle name="Normal 23 4 5" xfId="4725" xr:uid="{00000000-0005-0000-0000-0000E1110000}"/>
    <cellStyle name="Normal 23 5" xfId="4726" xr:uid="{00000000-0005-0000-0000-0000E2110000}"/>
    <cellStyle name="Normal 23 5 2" xfId="4727" xr:uid="{00000000-0005-0000-0000-0000E3110000}"/>
    <cellStyle name="Normal 23 5 2 2" xfId="4728" xr:uid="{00000000-0005-0000-0000-0000E4110000}"/>
    <cellStyle name="Normal 23 5 2 2 2" xfId="4729" xr:uid="{00000000-0005-0000-0000-0000E5110000}"/>
    <cellStyle name="Normal 23 5 2 2 2 2" xfId="4730" xr:uid="{00000000-0005-0000-0000-0000E6110000}"/>
    <cellStyle name="Normal 23 5 2 2 3" xfId="4731" xr:uid="{00000000-0005-0000-0000-0000E7110000}"/>
    <cellStyle name="Normal 23 5 2 3" xfId="4732" xr:uid="{00000000-0005-0000-0000-0000E8110000}"/>
    <cellStyle name="Normal 23 5 2 3 2" xfId="4733" xr:uid="{00000000-0005-0000-0000-0000E9110000}"/>
    <cellStyle name="Normal 23 5 2 4" xfId="4734" xr:uid="{00000000-0005-0000-0000-0000EA110000}"/>
    <cellStyle name="Normal 23 5 3" xfId="4735" xr:uid="{00000000-0005-0000-0000-0000EB110000}"/>
    <cellStyle name="Normal 23 5 3 2" xfId="4736" xr:uid="{00000000-0005-0000-0000-0000EC110000}"/>
    <cellStyle name="Normal 23 5 3 2 2" xfId="4737" xr:uid="{00000000-0005-0000-0000-0000ED110000}"/>
    <cellStyle name="Normal 23 5 3 3" xfId="4738" xr:uid="{00000000-0005-0000-0000-0000EE110000}"/>
    <cellStyle name="Normal 23 5 4" xfId="4739" xr:uid="{00000000-0005-0000-0000-0000EF110000}"/>
    <cellStyle name="Normal 23 5 4 2" xfId="4740" xr:uid="{00000000-0005-0000-0000-0000F0110000}"/>
    <cellStyle name="Normal 23 5 5" xfId="4741" xr:uid="{00000000-0005-0000-0000-0000F1110000}"/>
    <cellStyle name="Normal 23 6" xfId="4742" xr:uid="{00000000-0005-0000-0000-0000F2110000}"/>
    <cellStyle name="Normal 23 6 2" xfId="4743" xr:uid="{00000000-0005-0000-0000-0000F3110000}"/>
    <cellStyle name="Normal 23 6 2 2" xfId="4744" xr:uid="{00000000-0005-0000-0000-0000F4110000}"/>
    <cellStyle name="Normal 23 6 2 2 2" xfId="4745" xr:uid="{00000000-0005-0000-0000-0000F5110000}"/>
    <cellStyle name="Normal 23 6 2 3" xfId="4746" xr:uid="{00000000-0005-0000-0000-0000F6110000}"/>
    <cellStyle name="Normal 23 6 3" xfId="4747" xr:uid="{00000000-0005-0000-0000-0000F7110000}"/>
    <cellStyle name="Normal 23 6 3 2" xfId="4748" xr:uid="{00000000-0005-0000-0000-0000F8110000}"/>
    <cellStyle name="Normal 23 6 4" xfId="4749" xr:uid="{00000000-0005-0000-0000-0000F9110000}"/>
    <cellStyle name="Normal 23 7" xfId="4750" xr:uid="{00000000-0005-0000-0000-0000FA110000}"/>
    <cellStyle name="Normal 23 7 2" xfId="4751" xr:uid="{00000000-0005-0000-0000-0000FB110000}"/>
    <cellStyle name="Normal 23 7 2 2" xfId="4752" xr:uid="{00000000-0005-0000-0000-0000FC110000}"/>
    <cellStyle name="Normal 23 7 3" xfId="4753" xr:uid="{00000000-0005-0000-0000-0000FD110000}"/>
    <cellStyle name="Normal 23 8" xfId="4754" xr:uid="{00000000-0005-0000-0000-0000FE110000}"/>
    <cellStyle name="Normal 23 8 2" xfId="4755" xr:uid="{00000000-0005-0000-0000-0000FF110000}"/>
    <cellStyle name="Normal 23 9" xfId="4756" xr:uid="{00000000-0005-0000-0000-000000120000}"/>
    <cellStyle name="Normal 230" xfId="4757" xr:uid="{00000000-0005-0000-0000-000001120000}"/>
    <cellStyle name="Normal 231" xfId="4758" xr:uid="{00000000-0005-0000-0000-000002120000}"/>
    <cellStyle name="Normal 232" xfId="4759" xr:uid="{00000000-0005-0000-0000-000003120000}"/>
    <cellStyle name="Normal 233" xfId="4760" xr:uid="{00000000-0005-0000-0000-000004120000}"/>
    <cellStyle name="Normal 234" xfId="4761" xr:uid="{00000000-0005-0000-0000-000005120000}"/>
    <cellStyle name="Normal 235" xfId="4762" xr:uid="{00000000-0005-0000-0000-000006120000}"/>
    <cellStyle name="Normal 236" xfId="4763" xr:uid="{00000000-0005-0000-0000-000007120000}"/>
    <cellStyle name="Normal 237" xfId="4764" xr:uid="{00000000-0005-0000-0000-000008120000}"/>
    <cellStyle name="Normal 238" xfId="4765" xr:uid="{00000000-0005-0000-0000-000009120000}"/>
    <cellStyle name="Normal 239" xfId="4766" xr:uid="{00000000-0005-0000-0000-00000A120000}"/>
    <cellStyle name="Normal 24" xfId="4767" xr:uid="{00000000-0005-0000-0000-00000B120000}"/>
    <cellStyle name="Normal 24 2" xfId="4768" xr:uid="{00000000-0005-0000-0000-00000C120000}"/>
    <cellStyle name="Normal 24 2 2" xfId="4769" xr:uid="{00000000-0005-0000-0000-00000D120000}"/>
    <cellStyle name="Normal 24 3" xfId="4770" xr:uid="{00000000-0005-0000-0000-00000E120000}"/>
    <cellStyle name="Normal 24 3 2" xfId="4771" xr:uid="{00000000-0005-0000-0000-00000F120000}"/>
    <cellStyle name="Normal 24 3 2 2" xfId="4772" xr:uid="{00000000-0005-0000-0000-000010120000}"/>
    <cellStyle name="Normal 24 3 2 2 2" xfId="4773" xr:uid="{00000000-0005-0000-0000-000011120000}"/>
    <cellStyle name="Normal 24 3 2 2 2 2" xfId="4774" xr:uid="{00000000-0005-0000-0000-000012120000}"/>
    <cellStyle name="Normal 24 3 2 2 3" xfId="4775" xr:uid="{00000000-0005-0000-0000-000013120000}"/>
    <cellStyle name="Normal 24 3 2 3" xfId="4776" xr:uid="{00000000-0005-0000-0000-000014120000}"/>
    <cellStyle name="Normal 24 3 2 3 2" xfId="4777" xr:uid="{00000000-0005-0000-0000-000015120000}"/>
    <cellStyle name="Normal 24 3 2 4" xfId="4778" xr:uid="{00000000-0005-0000-0000-000016120000}"/>
    <cellStyle name="Normal 24 3 3" xfId="4779" xr:uid="{00000000-0005-0000-0000-000017120000}"/>
    <cellStyle name="Normal 24 3 3 2" xfId="4780" xr:uid="{00000000-0005-0000-0000-000018120000}"/>
    <cellStyle name="Normal 24 3 3 2 2" xfId="4781" xr:uid="{00000000-0005-0000-0000-000019120000}"/>
    <cellStyle name="Normal 24 3 3 3" xfId="4782" xr:uid="{00000000-0005-0000-0000-00001A120000}"/>
    <cellStyle name="Normal 24 3 4" xfId="4783" xr:uid="{00000000-0005-0000-0000-00001B120000}"/>
    <cellStyle name="Normal 24 3 4 2" xfId="4784" xr:uid="{00000000-0005-0000-0000-00001C120000}"/>
    <cellStyle name="Normal 24 3 5" xfId="4785" xr:uid="{00000000-0005-0000-0000-00001D120000}"/>
    <cellStyle name="Normal 24 4" xfId="4786" xr:uid="{00000000-0005-0000-0000-00001E120000}"/>
    <cellStyle name="Normal 24 4 2" xfId="4787" xr:uid="{00000000-0005-0000-0000-00001F120000}"/>
    <cellStyle name="Normal 24 4 2 2" xfId="4788" xr:uid="{00000000-0005-0000-0000-000020120000}"/>
    <cellStyle name="Normal 24 4 2 2 2" xfId="4789" xr:uid="{00000000-0005-0000-0000-000021120000}"/>
    <cellStyle name="Normal 24 4 2 2 2 2" xfId="4790" xr:uid="{00000000-0005-0000-0000-000022120000}"/>
    <cellStyle name="Normal 24 4 2 2 3" xfId="4791" xr:uid="{00000000-0005-0000-0000-000023120000}"/>
    <cellStyle name="Normal 24 4 2 3" xfId="4792" xr:uid="{00000000-0005-0000-0000-000024120000}"/>
    <cellStyle name="Normal 24 4 2 3 2" xfId="4793" xr:uid="{00000000-0005-0000-0000-000025120000}"/>
    <cellStyle name="Normal 24 4 2 4" xfId="4794" xr:uid="{00000000-0005-0000-0000-000026120000}"/>
    <cellStyle name="Normal 24 4 3" xfId="4795" xr:uid="{00000000-0005-0000-0000-000027120000}"/>
    <cellStyle name="Normal 24 4 3 2" xfId="4796" xr:uid="{00000000-0005-0000-0000-000028120000}"/>
    <cellStyle name="Normal 24 4 3 2 2" xfId="4797" xr:uid="{00000000-0005-0000-0000-000029120000}"/>
    <cellStyle name="Normal 24 4 3 3" xfId="4798" xr:uid="{00000000-0005-0000-0000-00002A120000}"/>
    <cellStyle name="Normal 24 4 4" xfId="4799" xr:uid="{00000000-0005-0000-0000-00002B120000}"/>
    <cellStyle name="Normal 24 4 4 2" xfId="4800" xr:uid="{00000000-0005-0000-0000-00002C120000}"/>
    <cellStyle name="Normal 24 4 5" xfId="4801" xr:uid="{00000000-0005-0000-0000-00002D120000}"/>
    <cellStyle name="Normal 24 5" xfId="4802" xr:uid="{00000000-0005-0000-0000-00002E120000}"/>
    <cellStyle name="Normal 24 5 2" xfId="4803" xr:uid="{00000000-0005-0000-0000-00002F120000}"/>
    <cellStyle name="Normal 24 5 2 2" xfId="4804" xr:uid="{00000000-0005-0000-0000-000030120000}"/>
    <cellStyle name="Normal 24 5 2 2 2" xfId="4805" xr:uid="{00000000-0005-0000-0000-000031120000}"/>
    <cellStyle name="Normal 24 5 2 2 2 2" xfId="4806" xr:uid="{00000000-0005-0000-0000-000032120000}"/>
    <cellStyle name="Normal 24 5 2 2 3" xfId="4807" xr:uid="{00000000-0005-0000-0000-000033120000}"/>
    <cellStyle name="Normal 24 5 2 3" xfId="4808" xr:uid="{00000000-0005-0000-0000-000034120000}"/>
    <cellStyle name="Normal 24 5 2 3 2" xfId="4809" xr:uid="{00000000-0005-0000-0000-000035120000}"/>
    <cellStyle name="Normal 24 5 2 4" xfId="4810" xr:uid="{00000000-0005-0000-0000-000036120000}"/>
    <cellStyle name="Normal 24 5 3" xfId="4811" xr:uid="{00000000-0005-0000-0000-000037120000}"/>
    <cellStyle name="Normal 24 5 3 2" xfId="4812" xr:uid="{00000000-0005-0000-0000-000038120000}"/>
    <cellStyle name="Normal 24 5 3 2 2" xfId="4813" xr:uid="{00000000-0005-0000-0000-000039120000}"/>
    <cellStyle name="Normal 24 5 3 3" xfId="4814" xr:uid="{00000000-0005-0000-0000-00003A120000}"/>
    <cellStyle name="Normal 24 5 4" xfId="4815" xr:uid="{00000000-0005-0000-0000-00003B120000}"/>
    <cellStyle name="Normal 24 5 4 2" xfId="4816" xr:uid="{00000000-0005-0000-0000-00003C120000}"/>
    <cellStyle name="Normal 24 5 5" xfId="4817" xr:uid="{00000000-0005-0000-0000-00003D120000}"/>
    <cellStyle name="Normal 24 6" xfId="4818" xr:uid="{00000000-0005-0000-0000-00003E120000}"/>
    <cellStyle name="Normal 24 6 2" xfId="4819" xr:uid="{00000000-0005-0000-0000-00003F120000}"/>
    <cellStyle name="Normal 24 6 2 2" xfId="4820" xr:uid="{00000000-0005-0000-0000-000040120000}"/>
    <cellStyle name="Normal 24 6 2 2 2" xfId="4821" xr:uid="{00000000-0005-0000-0000-000041120000}"/>
    <cellStyle name="Normal 24 6 2 3" xfId="4822" xr:uid="{00000000-0005-0000-0000-000042120000}"/>
    <cellStyle name="Normal 24 6 3" xfId="4823" xr:uid="{00000000-0005-0000-0000-000043120000}"/>
    <cellStyle name="Normal 24 6 3 2" xfId="4824" xr:uid="{00000000-0005-0000-0000-000044120000}"/>
    <cellStyle name="Normal 24 6 4" xfId="4825" xr:uid="{00000000-0005-0000-0000-000045120000}"/>
    <cellStyle name="Normal 24 7" xfId="4826" xr:uid="{00000000-0005-0000-0000-000046120000}"/>
    <cellStyle name="Normal 24 7 2" xfId="4827" xr:uid="{00000000-0005-0000-0000-000047120000}"/>
    <cellStyle name="Normal 24 7 2 2" xfId="4828" xr:uid="{00000000-0005-0000-0000-000048120000}"/>
    <cellStyle name="Normal 24 7 3" xfId="4829" xr:uid="{00000000-0005-0000-0000-000049120000}"/>
    <cellStyle name="Normal 24 8" xfId="4830" xr:uid="{00000000-0005-0000-0000-00004A120000}"/>
    <cellStyle name="Normal 24 8 2" xfId="4831" xr:uid="{00000000-0005-0000-0000-00004B120000}"/>
    <cellStyle name="Normal 24 9" xfId="4832" xr:uid="{00000000-0005-0000-0000-00004C120000}"/>
    <cellStyle name="Normal 240" xfId="4833" xr:uid="{00000000-0005-0000-0000-00004D120000}"/>
    <cellStyle name="Normal 241" xfId="4834" xr:uid="{00000000-0005-0000-0000-00004E120000}"/>
    <cellStyle name="Normal 242" xfId="4835" xr:uid="{00000000-0005-0000-0000-00004F120000}"/>
    <cellStyle name="Normal 243" xfId="4836" xr:uid="{00000000-0005-0000-0000-000050120000}"/>
    <cellStyle name="Normal 244" xfId="4837" xr:uid="{00000000-0005-0000-0000-000051120000}"/>
    <cellStyle name="Normal 245" xfId="4838" xr:uid="{00000000-0005-0000-0000-000052120000}"/>
    <cellStyle name="Normal 246" xfId="4839" xr:uid="{00000000-0005-0000-0000-000053120000}"/>
    <cellStyle name="Normal 247" xfId="4840" xr:uid="{00000000-0005-0000-0000-000054120000}"/>
    <cellStyle name="Normal 248" xfId="4841" xr:uid="{00000000-0005-0000-0000-000055120000}"/>
    <cellStyle name="Normal 249" xfId="4842" xr:uid="{00000000-0005-0000-0000-000056120000}"/>
    <cellStyle name="Normal 25" xfId="4843" xr:uid="{00000000-0005-0000-0000-000057120000}"/>
    <cellStyle name="Normal 25 2" xfId="4844" xr:uid="{00000000-0005-0000-0000-000058120000}"/>
    <cellStyle name="Normal 25 2 2" xfId="4845" xr:uid="{00000000-0005-0000-0000-000059120000}"/>
    <cellStyle name="Normal 25 3" xfId="4846" xr:uid="{00000000-0005-0000-0000-00005A120000}"/>
    <cellStyle name="Normal 25 3 2" xfId="4847" xr:uid="{00000000-0005-0000-0000-00005B120000}"/>
    <cellStyle name="Normal 25 3 2 2" xfId="4848" xr:uid="{00000000-0005-0000-0000-00005C120000}"/>
    <cellStyle name="Normal 25 3 2 2 2" xfId="4849" xr:uid="{00000000-0005-0000-0000-00005D120000}"/>
    <cellStyle name="Normal 25 3 2 2 2 2" xfId="4850" xr:uid="{00000000-0005-0000-0000-00005E120000}"/>
    <cellStyle name="Normal 25 3 2 2 3" xfId="4851" xr:uid="{00000000-0005-0000-0000-00005F120000}"/>
    <cellStyle name="Normal 25 3 2 3" xfId="4852" xr:uid="{00000000-0005-0000-0000-000060120000}"/>
    <cellStyle name="Normal 25 3 2 3 2" xfId="4853" xr:uid="{00000000-0005-0000-0000-000061120000}"/>
    <cellStyle name="Normal 25 3 2 4" xfId="4854" xr:uid="{00000000-0005-0000-0000-000062120000}"/>
    <cellStyle name="Normal 25 3 3" xfId="4855" xr:uid="{00000000-0005-0000-0000-000063120000}"/>
    <cellStyle name="Normal 25 3 3 2" xfId="4856" xr:uid="{00000000-0005-0000-0000-000064120000}"/>
    <cellStyle name="Normal 25 3 3 2 2" xfId="4857" xr:uid="{00000000-0005-0000-0000-000065120000}"/>
    <cellStyle name="Normal 25 3 3 3" xfId="4858" xr:uid="{00000000-0005-0000-0000-000066120000}"/>
    <cellStyle name="Normal 25 3 4" xfId="4859" xr:uid="{00000000-0005-0000-0000-000067120000}"/>
    <cellStyle name="Normal 25 3 4 2" xfId="4860" xr:uid="{00000000-0005-0000-0000-000068120000}"/>
    <cellStyle name="Normal 25 3 5" xfId="4861" xr:uid="{00000000-0005-0000-0000-000069120000}"/>
    <cellStyle name="Normal 25 4" xfId="4862" xr:uid="{00000000-0005-0000-0000-00006A120000}"/>
    <cellStyle name="Normal 25 4 2" xfId="4863" xr:uid="{00000000-0005-0000-0000-00006B120000}"/>
    <cellStyle name="Normal 25 4 2 2" xfId="4864" xr:uid="{00000000-0005-0000-0000-00006C120000}"/>
    <cellStyle name="Normal 25 4 2 2 2" xfId="4865" xr:uid="{00000000-0005-0000-0000-00006D120000}"/>
    <cellStyle name="Normal 25 4 2 2 2 2" xfId="4866" xr:uid="{00000000-0005-0000-0000-00006E120000}"/>
    <cellStyle name="Normal 25 4 2 2 3" xfId="4867" xr:uid="{00000000-0005-0000-0000-00006F120000}"/>
    <cellStyle name="Normal 25 4 2 3" xfId="4868" xr:uid="{00000000-0005-0000-0000-000070120000}"/>
    <cellStyle name="Normal 25 4 2 3 2" xfId="4869" xr:uid="{00000000-0005-0000-0000-000071120000}"/>
    <cellStyle name="Normal 25 4 2 4" xfId="4870" xr:uid="{00000000-0005-0000-0000-000072120000}"/>
    <cellStyle name="Normal 25 4 3" xfId="4871" xr:uid="{00000000-0005-0000-0000-000073120000}"/>
    <cellStyle name="Normal 25 4 3 2" xfId="4872" xr:uid="{00000000-0005-0000-0000-000074120000}"/>
    <cellStyle name="Normal 25 4 3 2 2" xfId="4873" xr:uid="{00000000-0005-0000-0000-000075120000}"/>
    <cellStyle name="Normal 25 4 3 3" xfId="4874" xr:uid="{00000000-0005-0000-0000-000076120000}"/>
    <cellStyle name="Normal 25 4 4" xfId="4875" xr:uid="{00000000-0005-0000-0000-000077120000}"/>
    <cellStyle name="Normal 25 4 4 2" xfId="4876" xr:uid="{00000000-0005-0000-0000-000078120000}"/>
    <cellStyle name="Normal 25 4 5" xfId="4877" xr:uid="{00000000-0005-0000-0000-000079120000}"/>
    <cellStyle name="Normal 25 5" xfId="4878" xr:uid="{00000000-0005-0000-0000-00007A120000}"/>
    <cellStyle name="Normal 25 5 2" xfId="4879" xr:uid="{00000000-0005-0000-0000-00007B120000}"/>
    <cellStyle name="Normal 25 5 2 2" xfId="4880" xr:uid="{00000000-0005-0000-0000-00007C120000}"/>
    <cellStyle name="Normal 25 5 2 2 2" xfId="4881" xr:uid="{00000000-0005-0000-0000-00007D120000}"/>
    <cellStyle name="Normal 25 5 2 2 2 2" xfId="4882" xr:uid="{00000000-0005-0000-0000-00007E120000}"/>
    <cellStyle name="Normal 25 5 2 2 3" xfId="4883" xr:uid="{00000000-0005-0000-0000-00007F120000}"/>
    <cellStyle name="Normal 25 5 2 3" xfId="4884" xr:uid="{00000000-0005-0000-0000-000080120000}"/>
    <cellStyle name="Normal 25 5 2 3 2" xfId="4885" xr:uid="{00000000-0005-0000-0000-000081120000}"/>
    <cellStyle name="Normal 25 5 2 4" xfId="4886" xr:uid="{00000000-0005-0000-0000-000082120000}"/>
    <cellStyle name="Normal 25 5 3" xfId="4887" xr:uid="{00000000-0005-0000-0000-000083120000}"/>
    <cellStyle name="Normal 25 5 3 2" xfId="4888" xr:uid="{00000000-0005-0000-0000-000084120000}"/>
    <cellStyle name="Normal 25 5 3 2 2" xfId="4889" xr:uid="{00000000-0005-0000-0000-000085120000}"/>
    <cellStyle name="Normal 25 5 3 3" xfId="4890" xr:uid="{00000000-0005-0000-0000-000086120000}"/>
    <cellStyle name="Normal 25 5 4" xfId="4891" xr:uid="{00000000-0005-0000-0000-000087120000}"/>
    <cellStyle name="Normal 25 5 4 2" xfId="4892" xr:uid="{00000000-0005-0000-0000-000088120000}"/>
    <cellStyle name="Normal 25 5 5" xfId="4893" xr:uid="{00000000-0005-0000-0000-000089120000}"/>
    <cellStyle name="Normal 25 6" xfId="4894" xr:uid="{00000000-0005-0000-0000-00008A120000}"/>
    <cellStyle name="Normal 25 6 2" xfId="4895" xr:uid="{00000000-0005-0000-0000-00008B120000}"/>
    <cellStyle name="Normal 25 6 2 2" xfId="4896" xr:uid="{00000000-0005-0000-0000-00008C120000}"/>
    <cellStyle name="Normal 25 6 2 2 2" xfId="4897" xr:uid="{00000000-0005-0000-0000-00008D120000}"/>
    <cellStyle name="Normal 25 6 2 3" xfId="4898" xr:uid="{00000000-0005-0000-0000-00008E120000}"/>
    <cellStyle name="Normal 25 6 3" xfId="4899" xr:uid="{00000000-0005-0000-0000-00008F120000}"/>
    <cellStyle name="Normal 25 6 3 2" xfId="4900" xr:uid="{00000000-0005-0000-0000-000090120000}"/>
    <cellStyle name="Normal 25 6 4" xfId="4901" xr:uid="{00000000-0005-0000-0000-000091120000}"/>
    <cellStyle name="Normal 25 7" xfId="4902" xr:uid="{00000000-0005-0000-0000-000092120000}"/>
    <cellStyle name="Normal 25 7 2" xfId="4903" xr:uid="{00000000-0005-0000-0000-000093120000}"/>
    <cellStyle name="Normal 25 7 2 2" xfId="4904" xr:uid="{00000000-0005-0000-0000-000094120000}"/>
    <cellStyle name="Normal 25 7 3" xfId="4905" xr:uid="{00000000-0005-0000-0000-000095120000}"/>
    <cellStyle name="Normal 25 8" xfId="4906" xr:uid="{00000000-0005-0000-0000-000096120000}"/>
    <cellStyle name="Normal 25 8 2" xfId="4907" xr:uid="{00000000-0005-0000-0000-000097120000}"/>
    <cellStyle name="Normal 25 9" xfId="4908" xr:uid="{00000000-0005-0000-0000-000098120000}"/>
    <cellStyle name="Normal 250" xfId="4909" xr:uid="{00000000-0005-0000-0000-000099120000}"/>
    <cellStyle name="Normal 251" xfId="4910" xr:uid="{00000000-0005-0000-0000-00009A120000}"/>
    <cellStyle name="Normal 252" xfId="4911" xr:uid="{00000000-0005-0000-0000-00009B120000}"/>
    <cellStyle name="Normal 253" xfId="4912" xr:uid="{00000000-0005-0000-0000-00009C120000}"/>
    <cellStyle name="Normal 254" xfId="4913" xr:uid="{00000000-0005-0000-0000-00009D120000}"/>
    <cellStyle name="Normal 255" xfId="4914" xr:uid="{00000000-0005-0000-0000-00009E120000}"/>
    <cellStyle name="Normal 256" xfId="4915" xr:uid="{00000000-0005-0000-0000-00009F120000}"/>
    <cellStyle name="Normal 257" xfId="4916" xr:uid="{00000000-0005-0000-0000-0000A0120000}"/>
    <cellStyle name="Normal 258" xfId="4917" xr:uid="{00000000-0005-0000-0000-0000A1120000}"/>
    <cellStyle name="Normal 259" xfId="4918" xr:uid="{00000000-0005-0000-0000-0000A2120000}"/>
    <cellStyle name="Normal 26" xfId="4919" xr:uid="{00000000-0005-0000-0000-0000A3120000}"/>
    <cellStyle name="Normal 26 2" xfId="4920" xr:uid="{00000000-0005-0000-0000-0000A4120000}"/>
    <cellStyle name="Normal 26 2 2" xfId="4921" xr:uid="{00000000-0005-0000-0000-0000A5120000}"/>
    <cellStyle name="Normal 26 3" xfId="4922" xr:uid="{00000000-0005-0000-0000-0000A6120000}"/>
    <cellStyle name="Normal 26 3 2" xfId="4923" xr:uid="{00000000-0005-0000-0000-0000A7120000}"/>
    <cellStyle name="Normal 26 3 2 2" xfId="4924" xr:uid="{00000000-0005-0000-0000-0000A8120000}"/>
    <cellStyle name="Normal 26 3 2 2 2" xfId="4925" xr:uid="{00000000-0005-0000-0000-0000A9120000}"/>
    <cellStyle name="Normal 26 3 2 2 2 2" xfId="4926" xr:uid="{00000000-0005-0000-0000-0000AA120000}"/>
    <cellStyle name="Normal 26 3 2 2 3" xfId="4927" xr:uid="{00000000-0005-0000-0000-0000AB120000}"/>
    <cellStyle name="Normal 26 3 2 3" xfId="4928" xr:uid="{00000000-0005-0000-0000-0000AC120000}"/>
    <cellStyle name="Normal 26 3 2 3 2" xfId="4929" xr:uid="{00000000-0005-0000-0000-0000AD120000}"/>
    <cellStyle name="Normal 26 3 2 4" xfId="4930" xr:uid="{00000000-0005-0000-0000-0000AE120000}"/>
    <cellStyle name="Normal 26 3 3" xfId="4931" xr:uid="{00000000-0005-0000-0000-0000AF120000}"/>
    <cellStyle name="Normal 26 3 3 2" xfId="4932" xr:uid="{00000000-0005-0000-0000-0000B0120000}"/>
    <cellStyle name="Normal 26 3 3 2 2" xfId="4933" xr:uid="{00000000-0005-0000-0000-0000B1120000}"/>
    <cellStyle name="Normal 26 3 3 3" xfId="4934" xr:uid="{00000000-0005-0000-0000-0000B2120000}"/>
    <cellStyle name="Normal 26 3 4" xfId="4935" xr:uid="{00000000-0005-0000-0000-0000B3120000}"/>
    <cellStyle name="Normal 26 3 4 2" xfId="4936" xr:uid="{00000000-0005-0000-0000-0000B4120000}"/>
    <cellStyle name="Normal 26 3 5" xfId="4937" xr:uid="{00000000-0005-0000-0000-0000B5120000}"/>
    <cellStyle name="Normal 26 4" xfId="4938" xr:uid="{00000000-0005-0000-0000-0000B6120000}"/>
    <cellStyle name="Normal 26 4 2" xfId="4939" xr:uid="{00000000-0005-0000-0000-0000B7120000}"/>
    <cellStyle name="Normal 26 4 2 2" xfId="4940" xr:uid="{00000000-0005-0000-0000-0000B8120000}"/>
    <cellStyle name="Normal 26 4 2 2 2" xfId="4941" xr:uid="{00000000-0005-0000-0000-0000B9120000}"/>
    <cellStyle name="Normal 26 4 2 2 2 2" xfId="4942" xr:uid="{00000000-0005-0000-0000-0000BA120000}"/>
    <cellStyle name="Normal 26 4 2 2 3" xfId="4943" xr:uid="{00000000-0005-0000-0000-0000BB120000}"/>
    <cellStyle name="Normal 26 4 2 3" xfId="4944" xr:uid="{00000000-0005-0000-0000-0000BC120000}"/>
    <cellStyle name="Normal 26 4 2 3 2" xfId="4945" xr:uid="{00000000-0005-0000-0000-0000BD120000}"/>
    <cellStyle name="Normal 26 4 2 4" xfId="4946" xr:uid="{00000000-0005-0000-0000-0000BE120000}"/>
    <cellStyle name="Normal 26 4 3" xfId="4947" xr:uid="{00000000-0005-0000-0000-0000BF120000}"/>
    <cellStyle name="Normal 26 4 3 2" xfId="4948" xr:uid="{00000000-0005-0000-0000-0000C0120000}"/>
    <cellStyle name="Normal 26 4 3 2 2" xfId="4949" xr:uid="{00000000-0005-0000-0000-0000C1120000}"/>
    <cellStyle name="Normal 26 4 3 3" xfId="4950" xr:uid="{00000000-0005-0000-0000-0000C2120000}"/>
    <cellStyle name="Normal 26 4 4" xfId="4951" xr:uid="{00000000-0005-0000-0000-0000C3120000}"/>
    <cellStyle name="Normal 26 4 4 2" xfId="4952" xr:uid="{00000000-0005-0000-0000-0000C4120000}"/>
    <cellStyle name="Normal 26 4 5" xfId="4953" xr:uid="{00000000-0005-0000-0000-0000C5120000}"/>
    <cellStyle name="Normal 26 5" xfId="4954" xr:uid="{00000000-0005-0000-0000-0000C6120000}"/>
    <cellStyle name="Normal 26 5 2" xfId="4955" xr:uid="{00000000-0005-0000-0000-0000C7120000}"/>
    <cellStyle name="Normal 26 5 2 2" xfId="4956" xr:uid="{00000000-0005-0000-0000-0000C8120000}"/>
    <cellStyle name="Normal 26 5 2 2 2" xfId="4957" xr:uid="{00000000-0005-0000-0000-0000C9120000}"/>
    <cellStyle name="Normal 26 5 2 2 2 2" xfId="4958" xr:uid="{00000000-0005-0000-0000-0000CA120000}"/>
    <cellStyle name="Normal 26 5 2 2 3" xfId="4959" xr:uid="{00000000-0005-0000-0000-0000CB120000}"/>
    <cellStyle name="Normal 26 5 2 3" xfId="4960" xr:uid="{00000000-0005-0000-0000-0000CC120000}"/>
    <cellStyle name="Normal 26 5 2 3 2" xfId="4961" xr:uid="{00000000-0005-0000-0000-0000CD120000}"/>
    <cellStyle name="Normal 26 5 2 4" xfId="4962" xr:uid="{00000000-0005-0000-0000-0000CE120000}"/>
    <cellStyle name="Normal 26 5 3" xfId="4963" xr:uid="{00000000-0005-0000-0000-0000CF120000}"/>
    <cellStyle name="Normal 26 5 3 2" xfId="4964" xr:uid="{00000000-0005-0000-0000-0000D0120000}"/>
    <cellStyle name="Normal 26 5 3 2 2" xfId="4965" xr:uid="{00000000-0005-0000-0000-0000D1120000}"/>
    <cellStyle name="Normal 26 5 3 3" xfId="4966" xr:uid="{00000000-0005-0000-0000-0000D2120000}"/>
    <cellStyle name="Normal 26 5 4" xfId="4967" xr:uid="{00000000-0005-0000-0000-0000D3120000}"/>
    <cellStyle name="Normal 26 5 4 2" xfId="4968" xr:uid="{00000000-0005-0000-0000-0000D4120000}"/>
    <cellStyle name="Normal 26 5 5" xfId="4969" xr:uid="{00000000-0005-0000-0000-0000D5120000}"/>
    <cellStyle name="Normal 26 6" xfId="4970" xr:uid="{00000000-0005-0000-0000-0000D6120000}"/>
    <cellStyle name="Normal 26 6 2" xfId="4971" xr:uid="{00000000-0005-0000-0000-0000D7120000}"/>
    <cellStyle name="Normal 26 6 2 2" xfId="4972" xr:uid="{00000000-0005-0000-0000-0000D8120000}"/>
    <cellStyle name="Normal 26 6 2 2 2" xfId="4973" xr:uid="{00000000-0005-0000-0000-0000D9120000}"/>
    <cellStyle name="Normal 26 6 2 3" xfId="4974" xr:uid="{00000000-0005-0000-0000-0000DA120000}"/>
    <cellStyle name="Normal 26 6 3" xfId="4975" xr:uid="{00000000-0005-0000-0000-0000DB120000}"/>
    <cellStyle name="Normal 26 6 3 2" xfId="4976" xr:uid="{00000000-0005-0000-0000-0000DC120000}"/>
    <cellStyle name="Normal 26 6 4" xfId="4977" xr:uid="{00000000-0005-0000-0000-0000DD120000}"/>
    <cellStyle name="Normal 26 7" xfId="4978" xr:uid="{00000000-0005-0000-0000-0000DE120000}"/>
    <cellStyle name="Normal 26 7 2" xfId="4979" xr:uid="{00000000-0005-0000-0000-0000DF120000}"/>
    <cellStyle name="Normal 26 7 2 2" xfId="4980" xr:uid="{00000000-0005-0000-0000-0000E0120000}"/>
    <cellStyle name="Normal 26 7 3" xfId="4981" xr:uid="{00000000-0005-0000-0000-0000E1120000}"/>
    <cellStyle name="Normal 26 8" xfId="4982" xr:uid="{00000000-0005-0000-0000-0000E2120000}"/>
    <cellStyle name="Normal 26 8 2" xfId="4983" xr:uid="{00000000-0005-0000-0000-0000E3120000}"/>
    <cellStyle name="Normal 26 9" xfId="4984" xr:uid="{00000000-0005-0000-0000-0000E4120000}"/>
    <cellStyle name="Normal 260" xfId="4985" xr:uid="{00000000-0005-0000-0000-0000E5120000}"/>
    <cellStyle name="Normal 261" xfId="4986" xr:uid="{00000000-0005-0000-0000-0000E6120000}"/>
    <cellStyle name="Normal 262" xfId="4987" xr:uid="{00000000-0005-0000-0000-0000E7120000}"/>
    <cellStyle name="Normal 263" xfId="4988" xr:uid="{00000000-0005-0000-0000-0000E8120000}"/>
    <cellStyle name="Normal 264" xfId="4989" xr:uid="{00000000-0005-0000-0000-0000E9120000}"/>
    <cellStyle name="Normal 265" xfId="4990" xr:uid="{00000000-0005-0000-0000-0000EA120000}"/>
    <cellStyle name="Normal 266" xfId="4991" xr:uid="{00000000-0005-0000-0000-0000EB120000}"/>
    <cellStyle name="Normal 267" xfId="4992" xr:uid="{00000000-0005-0000-0000-0000EC120000}"/>
    <cellStyle name="Normal 268" xfId="4993" xr:uid="{00000000-0005-0000-0000-0000ED120000}"/>
    <cellStyle name="Normal 269" xfId="4994" xr:uid="{00000000-0005-0000-0000-0000EE120000}"/>
    <cellStyle name="Normal 27" xfId="4995" xr:uid="{00000000-0005-0000-0000-0000EF120000}"/>
    <cellStyle name="Normal 27 2" xfId="4996" xr:uid="{00000000-0005-0000-0000-0000F0120000}"/>
    <cellStyle name="Normal 27 2 2" xfId="4997" xr:uid="{00000000-0005-0000-0000-0000F1120000}"/>
    <cellStyle name="Normal 27 3" xfId="4998" xr:uid="{00000000-0005-0000-0000-0000F2120000}"/>
    <cellStyle name="Normal 27 3 2" xfId="4999" xr:uid="{00000000-0005-0000-0000-0000F3120000}"/>
    <cellStyle name="Normal 27 3 2 2" xfId="5000" xr:uid="{00000000-0005-0000-0000-0000F4120000}"/>
    <cellStyle name="Normal 27 3 2 2 2" xfId="5001" xr:uid="{00000000-0005-0000-0000-0000F5120000}"/>
    <cellStyle name="Normal 27 3 2 2 2 2" xfId="5002" xr:uid="{00000000-0005-0000-0000-0000F6120000}"/>
    <cellStyle name="Normal 27 3 2 2 3" xfId="5003" xr:uid="{00000000-0005-0000-0000-0000F7120000}"/>
    <cellStyle name="Normal 27 3 2 3" xfId="5004" xr:uid="{00000000-0005-0000-0000-0000F8120000}"/>
    <cellStyle name="Normal 27 3 2 3 2" xfId="5005" xr:uid="{00000000-0005-0000-0000-0000F9120000}"/>
    <cellStyle name="Normal 27 3 2 4" xfId="5006" xr:uid="{00000000-0005-0000-0000-0000FA120000}"/>
    <cellStyle name="Normal 27 3 3" xfId="5007" xr:uid="{00000000-0005-0000-0000-0000FB120000}"/>
    <cellStyle name="Normal 27 3 3 2" xfId="5008" xr:uid="{00000000-0005-0000-0000-0000FC120000}"/>
    <cellStyle name="Normal 27 3 3 2 2" xfId="5009" xr:uid="{00000000-0005-0000-0000-0000FD120000}"/>
    <cellStyle name="Normal 27 3 3 3" xfId="5010" xr:uid="{00000000-0005-0000-0000-0000FE120000}"/>
    <cellStyle name="Normal 27 3 4" xfId="5011" xr:uid="{00000000-0005-0000-0000-0000FF120000}"/>
    <cellStyle name="Normal 27 3 4 2" xfId="5012" xr:uid="{00000000-0005-0000-0000-000000130000}"/>
    <cellStyle name="Normal 27 3 5" xfId="5013" xr:uid="{00000000-0005-0000-0000-000001130000}"/>
    <cellStyle name="Normal 27 4" xfId="5014" xr:uid="{00000000-0005-0000-0000-000002130000}"/>
    <cellStyle name="Normal 27 4 2" xfId="5015" xr:uid="{00000000-0005-0000-0000-000003130000}"/>
    <cellStyle name="Normal 27 4 2 2" xfId="5016" xr:uid="{00000000-0005-0000-0000-000004130000}"/>
    <cellStyle name="Normal 27 4 2 2 2" xfId="5017" xr:uid="{00000000-0005-0000-0000-000005130000}"/>
    <cellStyle name="Normal 27 4 2 2 2 2" xfId="5018" xr:uid="{00000000-0005-0000-0000-000006130000}"/>
    <cellStyle name="Normal 27 4 2 2 3" xfId="5019" xr:uid="{00000000-0005-0000-0000-000007130000}"/>
    <cellStyle name="Normal 27 4 2 3" xfId="5020" xr:uid="{00000000-0005-0000-0000-000008130000}"/>
    <cellStyle name="Normal 27 4 2 3 2" xfId="5021" xr:uid="{00000000-0005-0000-0000-000009130000}"/>
    <cellStyle name="Normal 27 4 2 4" xfId="5022" xr:uid="{00000000-0005-0000-0000-00000A130000}"/>
    <cellStyle name="Normal 27 4 3" xfId="5023" xr:uid="{00000000-0005-0000-0000-00000B130000}"/>
    <cellStyle name="Normal 27 4 3 2" xfId="5024" xr:uid="{00000000-0005-0000-0000-00000C130000}"/>
    <cellStyle name="Normal 27 4 3 2 2" xfId="5025" xr:uid="{00000000-0005-0000-0000-00000D130000}"/>
    <cellStyle name="Normal 27 4 3 3" xfId="5026" xr:uid="{00000000-0005-0000-0000-00000E130000}"/>
    <cellStyle name="Normal 27 4 4" xfId="5027" xr:uid="{00000000-0005-0000-0000-00000F130000}"/>
    <cellStyle name="Normal 27 4 4 2" xfId="5028" xr:uid="{00000000-0005-0000-0000-000010130000}"/>
    <cellStyle name="Normal 27 4 5" xfId="5029" xr:uid="{00000000-0005-0000-0000-000011130000}"/>
    <cellStyle name="Normal 27 5" xfId="5030" xr:uid="{00000000-0005-0000-0000-000012130000}"/>
    <cellStyle name="Normal 27 5 2" xfId="5031" xr:uid="{00000000-0005-0000-0000-000013130000}"/>
    <cellStyle name="Normal 27 5 2 2" xfId="5032" xr:uid="{00000000-0005-0000-0000-000014130000}"/>
    <cellStyle name="Normal 27 5 2 2 2" xfId="5033" xr:uid="{00000000-0005-0000-0000-000015130000}"/>
    <cellStyle name="Normal 27 5 2 2 2 2" xfId="5034" xr:uid="{00000000-0005-0000-0000-000016130000}"/>
    <cellStyle name="Normal 27 5 2 2 3" xfId="5035" xr:uid="{00000000-0005-0000-0000-000017130000}"/>
    <cellStyle name="Normal 27 5 2 3" xfId="5036" xr:uid="{00000000-0005-0000-0000-000018130000}"/>
    <cellStyle name="Normal 27 5 2 3 2" xfId="5037" xr:uid="{00000000-0005-0000-0000-000019130000}"/>
    <cellStyle name="Normal 27 5 2 4" xfId="5038" xr:uid="{00000000-0005-0000-0000-00001A130000}"/>
    <cellStyle name="Normal 27 5 3" xfId="5039" xr:uid="{00000000-0005-0000-0000-00001B130000}"/>
    <cellStyle name="Normal 27 5 3 2" xfId="5040" xr:uid="{00000000-0005-0000-0000-00001C130000}"/>
    <cellStyle name="Normal 27 5 3 2 2" xfId="5041" xr:uid="{00000000-0005-0000-0000-00001D130000}"/>
    <cellStyle name="Normal 27 5 3 3" xfId="5042" xr:uid="{00000000-0005-0000-0000-00001E130000}"/>
    <cellStyle name="Normal 27 5 4" xfId="5043" xr:uid="{00000000-0005-0000-0000-00001F130000}"/>
    <cellStyle name="Normal 27 5 4 2" xfId="5044" xr:uid="{00000000-0005-0000-0000-000020130000}"/>
    <cellStyle name="Normal 27 5 5" xfId="5045" xr:uid="{00000000-0005-0000-0000-000021130000}"/>
    <cellStyle name="Normal 27 6" xfId="5046" xr:uid="{00000000-0005-0000-0000-000022130000}"/>
    <cellStyle name="Normal 27 6 2" xfId="5047" xr:uid="{00000000-0005-0000-0000-000023130000}"/>
    <cellStyle name="Normal 27 6 2 2" xfId="5048" xr:uid="{00000000-0005-0000-0000-000024130000}"/>
    <cellStyle name="Normal 27 6 2 2 2" xfId="5049" xr:uid="{00000000-0005-0000-0000-000025130000}"/>
    <cellStyle name="Normal 27 6 2 3" xfId="5050" xr:uid="{00000000-0005-0000-0000-000026130000}"/>
    <cellStyle name="Normal 27 6 3" xfId="5051" xr:uid="{00000000-0005-0000-0000-000027130000}"/>
    <cellStyle name="Normal 27 6 3 2" xfId="5052" xr:uid="{00000000-0005-0000-0000-000028130000}"/>
    <cellStyle name="Normal 27 6 4" xfId="5053" xr:uid="{00000000-0005-0000-0000-000029130000}"/>
    <cellStyle name="Normal 27 7" xfId="5054" xr:uid="{00000000-0005-0000-0000-00002A130000}"/>
    <cellStyle name="Normal 27 7 2" xfId="5055" xr:uid="{00000000-0005-0000-0000-00002B130000}"/>
    <cellStyle name="Normal 27 7 2 2" xfId="5056" xr:uid="{00000000-0005-0000-0000-00002C130000}"/>
    <cellStyle name="Normal 27 7 3" xfId="5057" xr:uid="{00000000-0005-0000-0000-00002D130000}"/>
    <cellStyle name="Normal 27 8" xfId="5058" xr:uid="{00000000-0005-0000-0000-00002E130000}"/>
    <cellStyle name="Normal 27 8 2" xfId="5059" xr:uid="{00000000-0005-0000-0000-00002F130000}"/>
    <cellStyle name="Normal 27 9" xfId="5060" xr:uid="{00000000-0005-0000-0000-000030130000}"/>
    <cellStyle name="Normal 270" xfId="5061" xr:uid="{00000000-0005-0000-0000-000031130000}"/>
    <cellStyle name="Normal 271" xfId="5062" xr:uid="{00000000-0005-0000-0000-000032130000}"/>
    <cellStyle name="Normal 272" xfId="5063" xr:uid="{00000000-0005-0000-0000-000033130000}"/>
    <cellStyle name="Normal 273" xfId="5064" xr:uid="{00000000-0005-0000-0000-000034130000}"/>
    <cellStyle name="Normal 274" xfId="5065" xr:uid="{00000000-0005-0000-0000-000035130000}"/>
    <cellStyle name="Normal 275" xfId="5066" xr:uid="{00000000-0005-0000-0000-000036130000}"/>
    <cellStyle name="Normal 276" xfId="5067" xr:uid="{00000000-0005-0000-0000-000037130000}"/>
    <cellStyle name="Normal 277" xfId="5068" xr:uid="{00000000-0005-0000-0000-000038130000}"/>
    <cellStyle name="Normal 278" xfId="5069" xr:uid="{00000000-0005-0000-0000-000039130000}"/>
    <cellStyle name="Normal 279" xfId="5070" xr:uid="{00000000-0005-0000-0000-00003A130000}"/>
    <cellStyle name="Normal 28" xfId="5071" xr:uid="{00000000-0005-0000-0000-00003B130000}"/>
    <cellStyle name="Normal 28 2" xfId="5072" xr:uid="{00000000-0005-0000-0000-00003C130000}"/>
    <cellStyle name="Normal 28 2 2" xfId="5073" xr:uid="{00000000-0005-0000-0000-00003D130000}"/>
    <cellStyle name="Normal 28 3" xfId="5074" xr:uid="{00000000-0005-0000-0000-00003E130000}"/>
    <cellStyle name="Normal 28 3 2" xfId="5075" xr:uid="{00000000-0005-0000-0000-00003F130000}"/>
    <cellStyle name="Normal 28 3 2 2" xfId="5076" xr:uid="{00000000-0005-0000-0000-000040130000}"/>
    <cellStyle name="Normal 28 3 2 2 2" xfId="5077" xr:uid="{00000000-0005-0000-0000-000041130000}"/>
    <cellStyle name="Normal 28 3 2 2 2 2" xfId="5078" xr:uid="{00000000-0005-0000-0000-000042130000}"/>
    <cellStyle name="Normal 28 3 2 2 3" xfId="5079" xr:uid="{00000000-0005-0000-0000-000043130000}"/>
    <cellStyle name="Normal 28 3 2 3" xfId="5080" xr:uid="{00000000-0005-0000-0000-000044130000}"/>
    <cellStyle name="Normal 28 3 2 3 2" xfId="5081" xr:uid="{00000000-0005-0000-0000-000045130000}"/>
    <cellStyle name="Normal 28 3 2 4" xfId="5082" xr:uid="{00000000-0005-0000-0000-000046130000}"/>
    <cellStyle name="Normal 28 3 3" xfId="5083" xr:uid="{00000000-0005-0000-0000-000047130000}"/>
    <cellStyle name="Normal 28 3 3 2" xfId="5084" xr:uid="{00000000-0005-0000-0000-000048130000}"/>
    <cellStyle name="Normal 28 3 3 2 2" xfId="5085" xr:uid="{00000000-0005-0000-0000-000049130000}"/>
    <cellStyle name="Normal 28 3 3 3" xfId="5086" xr:uid="{00000000-0005-0000-0000-00004A130000}"/>
    <cellStyle name="Normal 28 3 4" xfId="5087" xr:uid="{00000000-0005-0000-0000-00004B130000}"/>
    <cellStyle name="Normal 28 3 4 2" xfId="5088" xr:uid="{00000000-0005-0000-0000-00004C130000}"/>
    <cellStyle name="Normal 28 3 5" xfId="5089" xr:uid="{00000000-0005-0000-0000-00004D130000}"/>
    <cellStyle name="Normal 28 4" xfId="5090" xr:uid="{00000000-0005-0000-0000-00004E130000}"/>
    <cellStyle name="Normal 28 4 2" xfId="5091" xr:uid="{00000000-0005-0000-0000-00004F130000}"/>
    <cellStyle name="Normal 28 4 2 2" xfId="5092" xr:uid="{00000000-0005-0000-0000-000050130000}"/>
    <cellStyle name="Normal 28 4 2 2 2" xfId="5093" xr:uid="{00000000-0005-0000-0000-000051130000}"/>
    <cellStyle name="Normal 28 4 2 2 2 2" xfId="5094" xr:uid="{00000000-0005-0000-0000-000052130000}"/>
    <cellStyle name="Normal 28 4 2 2 3" xfId="5095" xr:uid="{00000000-0005-0000-0000-000053130000}"/>
    <cellStyle name="Normal 28 4 2 3" xfId="5096" xr:uid="{00000000-0005-0000-0000-000054130000}"/>
    <cellStyle name="Normal 28 4 2 3 2" xfId="5097" xr:uid="{00000000-0005-0000-0000-000055130000}"/>
    <cellStyle name="Normal 28 4 2 4" xfId="5098" xr:uid="{00000000-0005-0000-0000-000056130000}"/>
    <cellStyle name="Normal 28 4 3" xfId="5099" xr:uid="{00000000-0005-0000-0000-000057130000}"/>
    <cellStyle name="Normal 28 4 3 2" xfId="5100" xr:uid="{00000000-0005-0000-0000-000058130000}"/>
    <cellStyle name="Normal 28 4 3 2 2" xfId="5101" xr:uid="{00000000-0005-0000-0000-000059130000}"/>
    <cellStyle name="Normal 28 4 3 3" xfId="5102" xr:uid="{00000000-0005-0000-0000-00005A130000}"/>
    <cellStyle name="Normal 28 4 4" xfId="5103" xr:uid="{00000000-0005-0000-0000-00005B130000}"/>
    <cellStyle name="Normal 28 4 4 2" xfId="5104" xr:uid="{00000000-0005-0000-0000-00005C130000}"/>
    <cellStyle name="Normal 28 4 5" xfId="5105" xr:uid="{00000000-0005-0000-0000-00005D130000}"/>
    <cellStyle name="Normal 28 5" xfId="5106" xr:uid="{00000000-0005-0000-0000-00005E130000}"/>
    <cellStyle name="Normal 28 5 2" xfId="5107" xr:uid="{00000000-0005-0000-0000-00005F130000}"/>
    <cellStyle name="Normal 28 5 2 2" xfId="5108" xr:uid="{00000000-0005-0000-0000-000060130000}"/>
    <cellStyle name="Normal 28 5 2 2 2" xfId="5109" xr:uid="{00000000-0005-0000-0000-000061130000}"/>
    <cellStyle name="Normal 28 5 2 2 2 2" xfId="5110" xr:uid="{00000000-0005-0000-0000-000062130000}"/>
    <cellStyle name="Normal 28 5 2 2 3" xfId="5111" xr:uid="{00000000-0005-0000-0000-000063130000}"/>
    <cellStyle name="Normal 28 5 2 3" xfId="5112" xr:uid="{00000000-0005-0000-0000-000064130000}"/>
    <cellStyle name="Normal 28 5 2 3 2" xfId="5113" xr:uid="{00000000-0005-0000-0000-000065130000}"/>
    <cellStyle name="Normal 28 5 2 4" xfId="5114" xr:uid="{00000000-0005-0000-0000-000066130000}"/>
    <cellStyle name="Normal 28 5 3" xfId="5115" xr:uid="{00000000-0005-0000-0000-000067130000}"/>
    <cellStyle name="Normal 28 5 3 2" xfId="5116" xr:uid="{00000000-0005-0000-0000-000068130000}"/>
    <cellStyle name="Normal 28 5 3 2 2" xfId="5117" xr:uid="{00000000-0005-0000-0000-000069130000}"/>
    <cellStyle name="Normal 28 5 3 3" xfId="5118" xr:uid="{00000000-0005-0000-0000-00006A130000}"/>
    <cellStyle name="Normal 28 5 4" xfId="5119" xr:uid="{00000000-0005-0000-0000-00006B130000}"/>
    <cellStyle name="Normal 28 5 4 2" xfId="5120" xr:uid="{00000000-0005-0000-0000-00006C130000}"/>
    <cellStyle name="Normal 28 5 5" xfId="5121" xr:uid="{00000000-0005-0000-0000-00006D130000}"/>
    <cellStyle name="Normal 28 6" xfId="5122" xr:uid="{00000000-0005-0000-0000-00006E130000}"/>
    <cellStyle name="Normal 28 6 2" xfId="5123" xr:uid="{00000000-0005-0000-0000-00006F130000}"/>
    <cellStyle name="Normal 28 6 2 2" xfId="5124" xr:uid="{00000000-0005-0000-0000-000070130000}"/>
    <cellStyle name="Normal 28 6 2 2 2" xfId="5125" xr:uid="{00000000-0005-0000-0000-000071130000}"/>
    <cellStyle name="Normal 28 6 2 3" xfId="5126" xr:uid="{00000000-0005-0000-0000-000072130000}"/>
    <cellStyle name="Normal 28 6 3" xfId="5127" xr:uid="{00000000-0005-0000-0000-000073130000}"/>
    <cellStyle name="Normal 28 6 3 2" xfId="5128" xr:uid="{00000000-0005-0000-0000-000074130000}"/>
    <cellStyle name="Normal 28 6 4" xfId="5129" xr:uid="{00000000-0005-0000-0000-000075130000}"/>
    <cellStyle name="Normal 28 7" xfId="5130" xr:uid="{00000000-0005-0000-0000-000076130000}"/>
    <cellStyle name="Normal 28 7 2" xfId="5131" xr:uid="{00000000-0005-0000-0000-000077130000}"/>
    <cellStyle name="Normal 28 7 2 2" xfId="5132" xr:uid="{00000000-0005-0000-0000-000078130000}"/>
    <cellStyle name="Normal 28 7 3" xfId="5133" xr:uid="{00000000-0005-0000-0000-000079130000}"/>
    <cellStyle name="Normal 28 8" xfId="5134" xr:uid="{00000000-0005-0000-0000-00007A130000}"/>
    <cellStyle name="Normal 28 8 2" xfId="5135" xr:uid="{00000000-0005-0000-0000-00007B130000}"/>
    <cellStyle name="Normal 28 9" xfId="5136" xr:uid="{00000000-0005-0000-0000-00007C130000}"/>
    <cellStyle name="Normal 280" xfId="5137" xr:uid="{00000000-0005-0000-0000-00007D130000}"/>
    <cellStyle name="Normal 281" xfId="5138" xr:uid="{00000000-0005-0000-0000-00007E130000}"/>
    <cellStyle name="Normal 282" xfId="5139" xr:uid="{00000000-0005-0000-0000-00007F130000}"/>
    <cellStyle name="Normal 283" xfId="5140" xr:uid="{00000000-0005-0000-0000-000080130000}"/>
    <cellStyle name="Normal 284" xfId="5141" xr:uid="{00000000-0005-0000-0000-000081130000}"/>
    <cellStyle name="Normal 285" xfId="5142" xr:uid="{00000000-0005-0000-0000-000082130000}"/>
    <cellStyle name="Normal 286" xfId="5143" xr:uid="{00000000-0005-0000-0000-000083130000}"/>
    <cellStyle name="Normal 287" xfId="5144" xr:uid="{00000000-0005-0000-0000-000084130000}"/>
    <cellStyle name="Normal 288" xfId="5145" xr:uid="{00000000-0005-0000-0000-000085130000}"/>
    <cellStyle name="Normal 289" xfId="5146" xr:uid="{00000000-0005-0000-0000-000086130000}"/>
    <cellStyle name="Normal 29" xfId="5147" xr:uid="{00000000-0005-0000-0000-000087130000}"/>
    <cellStyle name="Normal 29 2" xfId="5148" xr:uid="{00000000-0005-0000-0000-000088130000}"/>
    <cellStyle name="Normal 29 2 2" xfId="5149" xr:uid="{00000000-0005-0000-0000-000089130000}"/>
    <cellStyle name="Normal 29 3" xfId="5150" xr:uid="{00000000-0005-0000-0000-00008A130000}"/>
    <cellStyle name="Normal 29 3 2" xfId="5151" xr:uid="{00000000-0005-0000-0000-00008B130000}"/>
    <cellStyle name="Normal 29 3 2 2" xfId="5152" xr:uid="{00000000-0005-0000-0000-00008C130000}"/>
    <cellStyle name="Normal 29 3 2 2 2" xfId="5153" xr:uid="{00000000-0005-0000-0000-00008D130000}"/>
    <cellStyle name="Normal 29 3 2 2 2 2" xfId="5154" xr:uid="{00000000-0005-0000-0000-00008E130000}"/>
    <cellStyle name="Normal 29 3 2 2 3" xfId="5155" xr:uid="{00000000-0005-0000-0000-00008F130000}"/>
    <cellStyle name="Normal 29 3 2 3" xfId="5156" xr:uid="{00000000-0005-0000-0000-000090130000}"/>
    <cellStyle name="Normal 29 3 2 3 2" xfId="5157" xr:uid="{00000000-0005-0000-0000-000091130000}"/>
    <cellStyle name="Normal 29 3 2 4" xfId="5158" xr:uid="{00000000-0005-0000-0000-000092130000}"/>
    <cellStyle name="Normal 29 3 3" xfId="5159" xr:uid="{00000000-0005-0000-0000-000093130000}"/>
    <cellStyle name="Normal 29 3 3 2" xfId="5160" xr:uid="{00000000-0005-0000-0000-000094130000}"/>
    <cellStyle name="Normal 29 3 3 2 2" xfId="5161" xr:uid="{00000000-0005-0000-0000-000095130000}"/>
    <cellStyle name="Normal 29 3 3 3" xfId="5162" xr:uid="{00000000-0005-0000-0000-000096130000}"/>
    <cellStyle name="Normal 29 3 4" xfId="5163" xr:uid="{00000000-0005-0000-0000-000097130000}"/>
    <cellStyle name="Normal 29 3 4 2" xfId="5164" xr:uid="{00000000-0005-0000-0000-000098130000}"/>
    <cellStyle name="Normal 29 3 5" xfId="5165" xr:uid="{00000000-0005-0000-0000-000099130000}"/>
    <cellStyle name="Normal 29 4" xfId="5166" xr:uid="{00000000-0005-0000-0000-00009A130000}"/>
    <cellStyle name="Normal 29 4 2" xfId="5167" xr:uid="{00000000-0005-0000-0000-00009B130000}"/>
    <cellStyle name="Normal 29 4 2 2" xfId="5168" xr:uid="{00000000-0005-0000-0000-00009C130000}"/>
    <cellStyle name="Normal 29 4 2 2 2" xfId="5169" xr:uid="{00000000-0005-0000-0000-00009D130000}"/>
    <cellStyle name="Normal 29 4 2 2 2 2" xfId="5170" xr:uid="{00000000-0005-0000-0000-00009E130000}"/>
    <cellStyle name="Normal 29 4 2 2 3" xfId="5171" xr:uid="{00000000-0005-0000-0000-00009F130000}"/>
    <cellStyle name="Normal 29 4 2 3" xfId="5172" xr:uid="{00000000-0005-0000-0000-0000A0130000}"/>
    <cellStyle name="Normal 29 4 2 3 2" xfId="5173" xr:uid="{00000000-0005-0000-0000-0000A1130000}"/>
    <cellStyle name="Normal 29 4 2 4" xfId="5174" xr:uid="{00000000-0005-0000-0000-0000A2130000}"/>
    <cellStyle name="Normal 29 4 3" xfId="5175" xr:uid="{00000000-0005-0000-0000-0000A3130000}"/>
    <cellStyle name="Normal 29 4 3 2" xfId="5176" xr:uid="{00000000-0005-0000-0000-0000A4130000}"/>
    <cellStyle name="Normal 29 4 3 2 2" xfId="5177" xr:uid="{00000000-0005-0000-0000-0000A5130000}"/>
    <cellStyle name="Normal 29 4 3 3" xfId="5178" xr:uid="{00000000-0005-0000-0000-0000A6130000}"/>
    <cellStyle name="Normal 29 4 4" xfId="5179" xr:uid="{00000000-0005-0000-0000-0000A7130000}"/>
    <cellStyle name="Normal 29 4 4 2" xfId="5180" xr:uid="{00000000-0005-0000-0000-0000A8130000}"/>
    <cellStyle name="Normal 29 4 5" xfId="5181" xr:uid="{00000000-0005-0000-0000-0000A9130000}"/>
    <cellStyle name="Normal 29 5" xfId="5182" xr:uid="{00000000-0005-0000-0000-0000AA130000}"/>
    <cellStyle name="Normal 29 5 2" xfId="5183" xr:uid="{00000000-0005-0000-0000-0000AB130000}"/>
    <cellStyle name="Normal 29 5 2 2" xfId="5184" xr:uid="{00000000-0005-0000-0000-0000AC130000}"/>
    <cellStyle name="Normal 29 5 2 2 2" xfId="5185" xr:uid="{00000000-0005-0000-0000-0000AD130000}"/>
    <cellStyle name="Normal 29 5 2 2 2 2" xfId="5186" xr:uid="{00000000-0005-0000-0000-0000AE130000}"/>
    <cellStyle name="Normal 29 5 2 2 3" xfId="5187" xr:uid="{00000000-0005-0000-0000-0000AF130000}"/>
    <cellStyle name="Normal 29 5 2 3" xfId="5188" xr:uid="{00000000-0005-0000-0000-0000B0130000}"/>
    <cellStyle name="Normal 29 5 2 3 2" xfId="5189" xr:uid="{00000000-0005-0000-0000-0000B1130000}"/>
    <cellStyle name="Normal 29 5 2 4" xfId="5190" xr:uid="{00000000-0005-0000-0000-0000B2130000}"/>
    <cellStyle name="Normal 29 5 3" xfId="5191" xr:uid="{00000000-0005-0000-0000-0000B3130000}"/>
    <cellStyle name="Normal 29 5 3 2" xfId="5192" xr:uid="{00000000-0005-0000-0000-0000B4130000}"/>
    <cellStyle name="Normal 29 5 3 2 2" xfId="5193" xr:uid="{00000000-0005-0000-0000-0000B5130000}"/>
    <cellStyle name="Normal 29 5 3 3" xfId="5194" xr:uid="{00000000-0005-0000-0000-0000B6130000}"/>
    <cellStyle name="Normal 29 5 4" xfId="5195" xr:uid="{00000000-0005-0000-0000-0000B7130000}"/>
    <cellStyle name="Normal 29 5 4 2" xfId="5196" xr:uid="{00000000-0005-0000-0000-0000B8130000}"/>
    <cellStyle name="Normal 29 5 5" xfId="5197" xr:uid="{00000000-0005-0000-0000-0000B9130000}"/>
    <cellStyle name="Normal 29 6" xfId="5198" xr:uid="{00000000-0005-0000-0000-0000BA130000}"/>
    <cellStyle name="Normal 29 6 2" xfId="5199" xr:uid="{00000000-0005-0000-0000-0000BB130000}"/>
    <cellStyle name="Normal 29 6 2 2" xfId="5200" xr:uid="{00000000-0005-0000-0000-0000BC130000}"/>
    <cellStyle name="Normal 29 6 2 2 2" xfId="5201" xr:uid="{00000000-0005-0000-0000-0000BD130000}"/>
    <cellStyle name="Normal 29 6 2 3" xfId="5202" xr:uid="{00000000-0005-0000-0000-0000BE130000}"/>
    <cellStyle name="Normal 29 6 3" xfId="5203" xr:uid="{00000000-0005-0000-0000-0000BF130000}"/>
    <cellStyle name="Normal 29 6 3 2" xfId="5204" xr:uid="{00000000-0005-0000-0000-0000C0130000}"/>
    <cellStyle name="Normal 29 6 4" xfId="5205" xr:uid="{00000000-0005-0000-0000-0000C1130000}"/>
    <cellStyle name="Normal 29 7" xfId="5206" xr:uid="{00000000-0005-0000-0000-0000C2130000}"/>
    <cellStyle name="Normal 29 7 2" xfId="5207" xr:uid="{00000000-0005-0000-0000-0000C3130000}"/>
    <cellStyle name="Normal 29 7 2 2" xfId="5208" xr:uid="{00000000-0005-0000-0000-0000C4130000}"/>
    <cellStyle name="Normal 29 7 3" xfId="5209" xr:uid="{00000000-0005-0000-0000-0000C5130000}"/>
    <cellStyle name="Normal 29 8" xfId="5210" xr:uid="{00000000-0005-0000-0000-0000C6130000}"/>
    <cellStyle name="Normal 29 8 2" xfId="5211" xr:uid="{00000000-0005-0000-0000-0000C7130000}"/>
    <cellStyle name="Normal 29 9" xfId="5212" xr:uid="{00000000-0005-0000-0000-0000C8130000}"/>
    <cellStyle name="Normal 290" xfId="5213" xr:uid="{00000000-0005-0000-0000-0000C9130000}"/>
    <cellStyle name="Normal 291" xfId="5214" xr:uid="{00000000-0005-0000-0000-0000CA130000}"/>
    <cellStyle name="Normal 292" xfId="5215" xr:uid="{00000000-0005-0000-0000-0000CB130000}"/>
    <cellStyle name="Normal 293" xfId="5216" xr:uid="{00000000-0005-0000-0000-0000CC130000}"/>
    <cellStyle name="Normal 294" xfId="5217" xr:uid="{00000000-0005-0000-0000-0000CD130000}"/>
    <cellStyle name="Normal 295" xfId="5218" xr:uid="{00000000-0005-0000-0000-0000CE130000}"/>
    <cellStyle name="Normal 296" xfId="5219" xr:uid="{00000000-0005-0000-0000-0000CF130000}"/>
    <cellStyle name="Normal 297" xfId="5220" xr:uid="{00000000-0005-0000-0000-0000D0130000}"/>
    <cellStyle name="Normal 298" xfId="5221" xr:uid="{00000000-0005-0000-0000-0000D1130000}"/>
    <cellStyle name="Normal 299" xfId="5222" xr:uid="{00000000-0005-0000-0000-0000D2130000}"/>
    <cellStyle name="Normal 3" xfId="229" xr:uid="{00000000-0005-0000-0000-0000D3130000}"/>
    <cellStyle name="Normal 3 2" xfId="230" xr:uid="{00000000-0005-0000-0000-0000D4130000}"/>
    <cellStyle name="Normal 3 2 2" xfId="231" xr:uid="{00000000-0005-0000-0000-0000D5130000}"/>
    <cellStyle name="Normal 3 2 2 2" xfId="5223" xr:uid="{00000000-0005-0000-0000-0000D6130000}"/>
    <cellStyle name="Normal 3 2 2 3" xfId="5224" xr:uid="{00000000-0005-0000-0000-0000D7130000}"/>
    <cellStyle name="Normal 3 2 3" xfId="232" xr:uid="{00000000-0005-0000-0000-0000D8130000}"/>
    <cellStyle name="Normal 3 2 3 2" xfId="5225" xr:uid="{00000000-0005-0000-0000-0000D9130000}"/>
    <cellStyle name="Normal 3 3" xfId="233" xr:uid="{00000000-0005-0000-0000-0000DA130000}"/>
    <cellStyle name="Normal 3 3 2" xfId="234" xr:uid="{00000000-0005-0000-0000-0000DB130000}"/>
    <cellStyle name="Normal 3 3 2 2" xfId="5226" xr:uid="{00000000-0005-0000-0000-0000DC130000}"/>
    <cellStyle name="Normal 3 3 3" xfId="5227" xr:uid="{00000000-0005-0000-0000-0000DD130000}"/>
    <cellStyle name="Normal 3 3 4" xfId="5228" xr:uid="{00000000-0005-0000-0000-0000DE130000}"/>
    <cellStyle name="Normal 3 4" xfId="235" xr:uid="{00000000-0005-0000-0000-0000DF130000}"/>
    <cellStyle name="Normal 3 4 2" xfId="236" xr:uid="{00000000-0005-0000-0000-0000E0130000}"/>
    <cellStyle name="Normal 3 4 3" xfId="5229" xr:uid="{00000000-0005-0000-0000-0000E1130000}"/>
    <cellStyle name="Normal 3 5" xfId="237" xr:uid="{00000000-0005-0000-0000-0000E2130000}"/>
    <cellStyle name="Normal 3 6" xfId="5230" xr:uid="{00000000-0005-0000-0000-0000E3130000}"/>
    <cellStyle name="Normal 3 6 2" xfId="5231" xr:uid="{00000000-0005-0000-0000-0000E4130000}"/>
    <cellStyle name="Normal 3 7" xfId="5232" xr:uid="{00000000-0005-0000-0000-0000E5130000}"/>
    <cellStyle name="Normal 3 8" xfId="5233" xr:uid="{00000000-0005-0000-0000-0000E6130000}"/>
    <cellStyle name="Normal 30" xfId="5234" xr:uid="{00000000-0005-0000-0000-0000E7130000}"/>
    <cellStyle name="Normal 30 2" xfId="5235" xr:uid="{00000000-0005-0000-0000-0000E8130000}"/>
    <cellStyle name="Normal 30 2 2" xfId="5236" xr:uid="{00000000-0005-0000-0000-0000E9130000}"/>
    <cellStyle name="Normal 30 3" xfId="5237" xr:uid="{00000000-0005-0000-0000-0000EA130000}"/>
    <cellStyle name="Normal 30 3 2" xfId="5238" xr:uid="{00000000-0005-0000-0000-0000EB130000}"/>
    <cellStyle name="Normal 30 3 2 2" xfId="5239" xr:uid="{00000000-0005-0000-0000-0000EC130000}"/>
    <cellStyle name="Normal 30 3 2 2 2" xfId="5240" xr:uid="{00000000-0005-0000-0000-0000ED130000}"/>
    <cellStyle name="Normal 30 3 2 2 2 2" xfId="5241" xr:uid="{00000000-0005-0000-0000-0000EE130000}"/>
    <cellStyle name="Normal 30 3 2 2 3" xfId="5242" xr:uid="{00000000-0005-0000-0000-0000EF130000}"/>
    <cellStyle name="Normal 30 3 2 3" xfId="5243" xr:uid="{00000000-0005-0000-0000-0000F0130000}"/>
    <cellStyle name="Normal 30 3 2 3 2" xfId="5244" xr:uid="{00000000-0005-0000-0000-0000F1130000}"/>
    <cellStyle name="Normal 30 3 2 4" xfId="5245" xr:uid="{00000000-0005-0000-0000-0000F2130000}"/>
    <cellStyle name="Normal 30 3 3" xfId="5246" xr:uid="{00000000-0005-0000-0000-0000F3130000}"/>
    <cellStyle name="Normal 30 3 3 2" xfId="5247" xr:uid="{00000000-0005-0000-0000-0000F4130000}"/>
    <cellStyle name="Normal 30 3 3 2 2" xfId="5248" xr:uid="{00000000-0005-0000-0000-0000F5130000}"/>
    <cellStyle name="Normal 30 3 3 3" xfId="5249" xr:uid="{00000000-0005-0000-0000-0000F6130000}"/>
    <cellStyle name="Normal 30 3 4" xfId="5250" xr:uid="{00000000-0005-0000-0000-0000F7130000}"/>
    <cellStyle name="Normal 30 3 4 2" xfId="5251" xr:uid="{00000000-0005-0000-0000-0000F8130000}"/>
    <cellStyle name="Normal 30 3 5" xfId="5252" xr:uid="{00000000-0005-0000-0000-0000F9130000}"/>
    <cellStyle name="Normal 30 4" xfId="5253" xr:uid="{00000000-0005-0000-0000-0000FA130000}"/>
    <cellStyle name="Normal 30 4 2" xfId="5254" xr:uid="{00000000-0005-0000-0000-0000FB130000}"/>
    <cellStyle name="Normal 30 4 2 2" xfId="5255" xr:uid="{00000000-0005-0000-0000-0000FC130000}"/>
    <cellStyle name="Normal 30 4 2 2 2" xfId="5256" xr:uid="{00000000-0005-0000-0000-0000FD130000}"/>
    <cellStyle name="Normal 30 4 2 2 2 2" xfId="5257" xr:uid="{00000000-0005-0000-0000-0000FE130000}"/>
    <cellStyle name="Normal 30 4 2 2 3" xfId="5258" xr:uid="{00000000-0005-0000-0000-0000FF130000}"/>
    <cellStyle name="Normal 30 4 2 3" xfId="5259" xr:uid="{00000000-0005-0000-0000-000000140000}"/>
    <cellStyle name="Normal 30 4 2 3 2" xfId="5260" xr:uid="{00000000-0005-0000-0000-000001140000}"/>
    <cellStyle name="Normal 30 4 2 4" xfId="5261" xr:uid="{00000000-0005-0000-0000-000002140000}"/>
    <cellStyle name="Normal 30 4 3" xfId="5262" xr:uid="{00000000-0005-0000-0000-000003140000}"/>
    <cellStyle name="Normal 30 4 3 2" xfId="5263" xr:uid="{00000000-0005-0000-0000-000004140000}"/>
    <cellStyle name="Normal 30 4 3 2 2" xfId="5264" xr:uid="{00000000-0005-0000-0000-000005140000}"/>
    <cellStyle name="Normal 30 4 3 3" xfId="5265" xr:uid="{00000000-0005-0000-0000-000006140000}"/>
    <cellStyle name="Normal 30 4 4" xfId="5266" xr:uid="{00000000-0005-0000-0000-000007140000}"/>
    <cellStyle name="Normal 30 4 4 2" xfId="5267" xr:uid="{00000000-0005-0000-0000-000008140000}"/>
    <cellStyle name="Normal 30 4 5" xfId="5268" xr:uid="{00000000-0005-0000-0000-000009140000}"/>
    <cellStyle name="Normal 30 5" xfId="5269" xr:uid="{00000000-0005-0000-0000-00000A140000}"/>
    <cellStyle name="Normal 30 5 2" xfId="5270" xr:uid="{00000000-0005-0000-0000-00000B140000}"/>
    <cellStyle name="Normal 30 5 2 2" xfId="5271" xr:uid="{00000000-0005-0000-0000-00000C140000}"/>
    <cellStyle name="Normal 30 5 2 2 2" xfId="5272" xr:uid="{00000000-0005-0000-0000-00000D140000}"/>
    <cellStyle name="Normal 30 5 2 2 2 2" xfId="5273" xr:uid="{00000000-0005-0000-0000-00000E140000}"/>
    <cellStyle name="Normal 30 5 2 2 3" xfId="5274" xr:uid="{00000000-0005-0000-0000-00000F140000}"/>
    <cellStyle name="Normal 30 5 2 3" xfId="5275" xr:uid="{00000000-0005-0000-0000-000010140000}"/>
    <cellStyle name="Normal 30 5 2 3 2" xfId="5276" xr:uid="{00000000-0005-0000-0000-000011140000}"/>
    <cellStyle name="Normal 30 5 2 4" xfId="5277" xr:uid="{00000000-0005-0000-0000-000012140000}"/>
    <cellStyle name="Normal 30 5 3" xfId="5278" xr:uid="{00000000-0005-0000-0000-000013140000}"/>
    <cellStyle name="Normal 30 5 3 2" xfId="5279" xr:uid="{00000000-0005-0000-0000-000014140000}"/>
    <cellStyle name="Normal 30 5 3 2 2" xfId="5280" xr:uid="{00000000-0005-0000-0000-000015140000}"/>
    <cellStyle name="Normal 30 5 3 3" xfId="5281" xr:uid="{00000000-0005-0000-0000-000016140000}"/>
    <cellStyle name="Normal 30 5 4" xfId="5282" xr:uid="{00000000-0005-0000-0000-000017140000}"/>
    <cellStyle name="Normal 30 5 4 2" xfId="5283" xr:uid="{00000000-0005-0000-0000-000018140000}"/>
    <cellStyle name="Normal 30 5 5" xfId="5284" xr:uid="{00000000-0005-0000-0000-000019140000}"/>
    <cellStyle name="Normal 30 6" xfId="5285" xr:uid="{00000000-0005-0000-0000-00001A140000}"/>
    <cellStyle name="Normal 30 6 2" xfId="5286" xr:uid="{00000000-0005-0000-0000-00001B140000}"/>
    <cellStyle name="Normal 30 6 2 2" xfId="5287" xr:uid="{00000000-0005-0000-0000-00001C140000}"/>
    <cellStyle name="Normal 30 6 2 2 2" xfId="5288" xr:uid="{00000000-0005-0000-0000-00001D140000}"/>
    <cellStyle name="Normal 30 6 2 3" xfId="5289" xr:uid="{00000000-0005-0000-0000-00001E140000}"/>
    <cellStyle name="Normal 30 6 3" xfId="5290" xr:uid="{00000000-0005-0000-0000-00001F140000}"/>
    <cellStyle name="Normal 30 6 3 2" xfId="5291" xr:uid="{00000000-0005-0000-0000-000020140000}"/>
    <cellStyle name="Normal 30 6 4" xfId="5292" xr:uid="{00000000-0005-0000-0000-000021140000}"/>
    <cellStyle name="Normal 30 7" xfId="5293" xr:uid="{00000000-0005-0000-0000-000022140000}"/>
    <cellStyle name="Normal 30 7 2" xfId="5294" xr:uid="{00000000-0005-0000-0000-000023140000}"/>
    <cellStyle name="Normal 30 7 2 2" xfId="5295" xr:uid="{00000000-0005-0000-0000-000024140000}"/>
    <cellStyle name="Normal 30 7 3" xfId="5296" xr:uid="{00000000-0005-0000-0000-000025140000}"/>
    <cellStyle name="Normal 30 8" xfId="5297" xr:uid="{00000000-0005-0000-0000-000026140000}"/>
    <cellStyle name="Normal 30 8 2" xfId="5298" xr:uid="{00000000-0005-0000-0000-000027140000}"/>
    <cellStyle name="Normal 30 9" xfId="5299" xr:uid="{00000000-0005-0000-0000-000028140000}"/>
    <cellStyle name="Normal 300" xfId="5300" xr:uid="{00000000-0005-0000-0000-000029140000}"/>
    <cellStyle name="Normal 301" xfId="5301" xr:uid="{00000000-0005-0000-0000-00002A140000}"/>
    <cellStyle name="Normal 302" xfId="5302" xr:uid="{00000000-0005-0000-0000-00002B140000}"/>
    <cellStyle name="Normal 303" xfId="5303" xr:uid="{00000000-0005-0000-0000-00002C140000}"/>
    <cellStyle name="Normal 304" xfId="5304" xr:uid="{00000000-0005-0000-0000-00002D140000}"/>
    <cellStyle name="Normal 305" xfId="5305" xr:uid="{00000000-0005-0000-0000-00002E140000}"/>
    <cellStyle name="Normal 306" xfId="5306" xr:uid="{00000000-0005-0000-0000-00002F140000}"/>
    <cellStyle name="Normal 307" xfId="5307" xr:uid="{00000000-0005-0000-0000-000030140000}"/>
    <cellStyle name="Normal 308" xfId="5308" xr:uid="{00000000-0005-0000-0000-000031140000}"/>
    <cellStyle name="Normal 309" xfId="5309" xr:uid="{00000000-0005-0000-0000-000032140000}"/>
    <cellStyle name="Normal 31" xfId="5310" xr:uid="{00000000-0005-0000-0000-000033140000}"/>
    <cellStyle name="Normal 31 2" xfId="5311" xr:uid="{00000000-0005-0000-0000-000034140000}"/>
    <cellStyle name="Normal 31 2 2" xfId="5312" xr:uid="{00000000-0005-0000-0000-000035140000}"/>
    <cellStyle name="Normal 31 3" xfId="5313" xr:uid="{00000000-0005-0000-0000-000036140000}"/>
    <cellStyle name="Normal 31 3 2" xfId="5314" xr:uid="{00000000-0005-0000-0000-000037140000}"/>
    <cellStyle name="Normal 31 3 2 2" xfId="5315" xr:uid="{00000000-0005-0000-0000-000038140000}"/>
    <cellStyle name="Normal 31 3 2 2 2" xfId="5316" xr:uid="{00000000-0005-0000-0000-000039140000}"/>
    <cellStyle name="Normal 31 3 2 2 2 2" xfId="5317" xr:uid="{00000000-0005-0000-0000-00003A140000}"/>
    <cellStyle name="Normal 31 3 2 2 3" xfId="5318" xr:uid="{00000000-0005-0000-0000-00003B140000}"/>
    <cellStyle name="Normal 31 3 2 3" xfId="5319" xr:uid="{00000000-0005-0000-0000-00003C140000}"/>
    <cellStyle name="Normal 31 3 2 3 2" xfId="5320" xr:uid="{00000000-0005-0000-0000-00003D140000}"/>
    <cellStyle name="Normal 31 3 2 4" xfId="5321" xr:uid="{00000000-0005-0000-0000-00003E140000}"/>
    <cellStyle name="Normal 31 3 3" xfId="5322" xr:uid="{00000000-0005-0000-0000-00003F140000}"/>
    <cellStyle name="Normal 31 3 3 2" xfId="5323" xr:uid="{00000000-0005-0000-0000-000040140000}"/>
    <cellStyle name="Normal 31 3 3 2 2" xfId="5324" xr:uid="{00000000-0005-0000-0000-000041140000}"/>
    <cellStyle name="Normal 31 3 3 3" xfId="5325" xr:uid="{00000000-0005-0000-0000-000042140000}"/>
    <cellStyle name="Normal 31 3 4" xfId="5326" xr:uid="{00000000-0005-0000-0000-000043140000}"/>
    <cellStyle name="Normal 31 3 4 2" xfId="5327" xr:uid="{00000000-0005-0000-0000-000044140000}"/>
    <cellStyle name="Normal 31 3 5" xfId="5328" xr:uid="{00000000-0005-0000-0000-000045140000}"/>
    <cellStyle name="Normal 31 4" xfId="5329" xr:uid="{00000000-0005-0000-0000-000046140000}"/>
    <cellStyle name="Normal 31 4 2" xfId="5330" xr:uid="{00000000-0005-0000-0000-000047140000}"/>
    <cellStyle name="Normal 31 4 2 2" xfId="5331" xr:uid="{00000000-0005-0000-0000-000048140000}"/>
    <cellStyle name="Normal 31 4 2 2 2" xfId="5332" xr:uid="{00000000-0005-0000-0000-000049140000}"/>
    <cellStyle name="Normal 31 4 2 2 2 2" xfId="5333" xr:uid="{00000000-0005-0000-0000-00004A140000}"/>
    <cellStyle name="Normal 31 4 2 2 3" xfId="5334" xr:uid="{00000000-0005-0000-0000-00004B140000}"/>
    <cellStyle name="Normal 31 4 2 3" xfId="5335" xr:uid="{00000000-0005-0000-0000-00004C140000}"/>
    <cellStyle name="Normal 31 4 2 3 2" xfId="5336" xr:uid="{00000000-0005-0000-0000-00004D140000}"/>
    <cellStyle name="Normal 31 4 2 4" xfId="5337" xr:uid="{00000000-0005-0000-0000-00004E140000}"/>
    <cellStyle name="Normal 31 4 3" xfId="5338" xr:uid="{00000000-0005-0000-0000-00004F140000}"/>
    <cellStyle name="Normal 31 4 3 2" xfId="5339" xr:uid="{00000000-0005-0000-0000-000050140000}"/>
    <cellStyle name="Normal 31 4 3 2 2" xfId="5340" xr:uid="{00000000-0005-0000-0000-000051140000}"/>
    <cellStyle name="Normal 31 4 3 3" xfId="5341" xr:uid="{00000000-0005-0000-0000-000052140000}"/>
    <cellStyle name="Normal 31 4 4" xfId="5342" xr:uid="{00000000-0005-0000-0000-000053140000}"/>
    <cellStyle name="Normal 31 4 4 2" xfId="5343" xr:uid="{00000000-0005-0000-0000-000054140000}"/>
    <cellStyle name="Normal 31 4 5" xfId="5344" xr:uid="{00000000-0005-0000-0000-000055140000}"/>
    <cellStyle name="Normal 31 5" xfId="5345" xr:uid="{00000000-0005-0000-0000-000056140000}"/>
    <cellStyle name="Normal 31 5 2" xfId="5346" xr:uid="{00000000-0005-0000-0000-000057140000}"/>
    <cellStyle name="Normal 31 5 2 2" xfId="5347" xr:uid="{00000000-0005-0000-0000-000058140000}"/>
    <cellStyle name="Normal 31 5 2 2 2" xfId="5348" xr:uid="{00000000-0005-0000-0000-000059140000}"/>
    <cellStyle name="Normal 31 5 2 2 2 2" xfId="5349" xr:uid="{00000000-0005-0000-0000-00005A140000}"/>
    <cellStyle name="Normal 31 5 2 2 3" xfId="5350" xr:uid="{00000000-0005-0000-0000-00005B140000}"/>
    <cellStyle name="Normal 31 5 2 3" xfId="5351" xr:uid="{00000000-0005-0000-0000-00005C140000}"/>
    <cellStyle name="Normal 31 5 2 3 2" xfId="5352" xr:uid="{00000000-0005-0000-0000-00005D140000}"/>
    <cellStyle name="Normal 31 5 2 4" xfId="5353" xr:uid="{00000000-0005-0000-0000-00005E140000}"/>
    <cellStyle name="Normal 31 5 3" xfId="5354" xr:uid="{00000000-0005-0000-0000-00005F140000}"/>
    <cellStyle name="Normal 31 5 3 2" xfId="5355" xr:uid="{00000000-0005-0000-0000-000060140000}"/>
    <cellStyle name="Normal 31 5 3 2 2" xfId="5356" xr:uid="{00000000-0005-0000-0000-000061140000}"/>
    <cellStyle name="Normal 31 5 3 3" xfId="5357" xr:uid="{00000000-0005-0000-0000-000062140000}"/>
    <cellStyle name="Normal 31 5 4" xfId="5358" xr:uid="{00000000-0005-0000-0000-000063140000}"/>
    <cellStyle name="Normal 31 5 4 2" xfId="5359" xr:uid="{00000000-0005-0000-0000-000064140000}"/>
    <cellStyle name="Normal 31 5 5" xfId="5360" xr:uid="{00000000-0005-0000-0000-000065140000}"/>
    <cellStyle name="Normal 31 6" xfId="5361" xr:uid="{00000000-0005-0000-0000-000066140000}"/>
    <cellStyle name="Normal 31 6 2" xfId="5362" xr:uid="{00000000-0005-0000-0000-000067140000}"/>
    <cellStyle name="Normal 31 6 2 2" xfId="5363" xr:uid="{00000000-0005-0000-0000-000068140000}"/>
    <cellStyle name="Normal 31 6 2 2 2" xfId="5364" xr:uid="{00000000-0005-0000-0000-000069140000}"/>
    <cellStyle name="Normal 31 6 2 3" xfId="5365" xr:uid="{00000000-0005-0000-0000-00006A140000}"/>
    <cellStyle name="Normal 31 6 3" xfId="5366" xr:uid="{00000000-0005-0000-0000-00006B140000}"/>
    <cellStyle name="Normal 31 6 3 2" xfId="5367" xr:uid="{00000000-0005-0000-0000-00006C140000}"/>
    <cellStyle name="Normal 31 6 4" xfId="5368" xr:uid="{00000000-0005-0000-0000-00006D140000}"/>
    <cellStyle name="Normal 31 7" xfId="5369" xr:uid="{00000000-0005-0000-0000-00006E140000}"/>
    <cellStyle name="Normal 31 7 2" xfId="5370" xr:uid="{00000000-0005-0000-0000-00006F140000}"/>
    <cellStyle name="Normal 31 7 2 2" xfId="5371" xr:uid="{00000000-0005-0000-0000-000070140000}"/>
    <cellStyle name="Normal 31 7 3" xfId="5372" xr:uid="{00000000-0005-0000-0000-000071140000}"/>
    <cellStyle name="Normal 31 8" xfId="5373" xr:uid="{00000000-0005-0000-0000-000072140000}"/>
    <cellStyle name="Normal 31 8 2" xfId="5374" xr:uid="{00000000-0005-0000-0000-000073140000}"/>
    <cellStyle name="Normal 31 9" xfId="5375" xr:uid="{00000000-0005-0000-0000-000074140000}"/>
    <cellStyle name="Normal 310" xfId="5376" xr:uid="{00000000-0005-0000-0000-000075140000}"/>
    <cellStyle name="Normal 311" xfId="5377" xr:uid="{00000000-0005-0000-0000-000076140000}"/>
    <cellStyle name="Normal 312" xfId="5378" xr:uid="{00000000-0005-0000-0000-000077140000}"/>
    <cellStyle name="Normal 313" xfId="5379" xr:uid="{00000000-0005-0000-0000-000078140000}"/>
    <cellStyle name="Normal 314" xfId="5380" xr:uid="{00000000-0005-0000-0000-000079140000}"/>
    <cellStyle name="Normal 315" xfId="5381" xr:uid="{00000000-0005-0000-0000-00007A140000}"/>
    <cellStyle name="Normal 316" xfId="5382" xr:uid="{00000000-0005-0000-0000-00007B140000}"/>
    <cellStyle name="Normal 317" xfId="5383" xr:uid="{00000000-0005-0000-0000-00007C140000}"/>
    <cellStyle name="Normal 318" xfId="5384" xr:uid="{00000000-0005-0000-0000-00007D140000}"/>
    <cellStyle name="Normal 319" xfId="5385" xr:uid="{00000000-0005-0000-0000-00007E140000}"/>
    <cellStyle name="Normal 32" xfId="5386" xr:uid="{00000000-0005-0000-0000-00007F140000}"/>
    <cellStyle name="Normal 32 2" xfId="5387" xr:uid="{00000000-0005-0000-0000-000080140000}"/>
    <cellStyle name="Normal 32 2 2" xfId="5388" xr:uid="{00000000-0005-0000-0000-000081140000}"/>
    <cellStyle name="Normal 32 3" xfId="5389" xr:uid="{00000000-0005-0000-0000-000082140000}"/>
    <cellStyle name="Normal 32 3 2" xfId="5390" xr:uid="{00000000-0005-0000-0000-000083140000}"/>
    <cellStyle name="Normal 32 3 2 2" xfId="5391" xr:uid="{00000000-0005-0000-0000-000084140000}"/>
    <cellStyle name="Normal 32 3 2 2 2" xfId="5392" xr:uid="{00000000-0005-0000-0000-000085140000}"/>
    <cellStyle name="Normal 32 3 2 2 2 2" xfId="5393" xr:uid="{00000000-0005-0000-0000-000086140000}"/>
    <cellStyle name="Normal 32 3 2 2 3" xfId="5394" xr:uid="{00000000-0005-0000-0000-000087140000}"/>
    <cellStyle name="Normal 32 3 2 3" xfId="5395" xr:uid="{00000000-0005-0000-0000-000088140000}"/>
    <cellStyle name="Normal 32 3 2 3 2" xfId="5396" xr:uid="{00000000-0005-0000-0000-000089140000}"/>
    <cellStyle name="Normal 32 3 2 4" xfId="5397" xr:uid="{00000000-0005-0000-0000-00008A140000}"/>
    <cellStyle name="Normal 32 3 3" xfId="5398" xr:uid="{00000000-0005-0000-0000-00008B140000}"/>
    <cellStyle name="Normal 32 3 3 2" xfId="5399" xr:uid="{00000000-0005-0000-0000-00008C140000}"/>
    <cellStyle name="Normal 32 3 3 2 2" xfId="5400" xr:uid="{00000000-0005-0000-0000-00008D140000}"/>
    <cellStyle name="Normal 32 3 3 3" xfId="5401" xr:uid="{00000000-0005-0000-0000-00008E140000}"/>
    <cellStyle name="Normal 32 3 4" xfId="5402" xr:uid="{00000000-0005-0000-0000-00008F140000}"/>
    <cellStyle name="Normal 32 3 4 2" xfId="5403" xr:uid="{00000000-0005-0000-0000-000090140000}"/>
    <cellStyle name="Normal 32 3 5" xfId="5404" xr:uid="{00000000-0005-0000-0000-000091140000}"/>
    <cellStyle name="Normal 32 4" xfId="5405" xr:uid="{00000000-0005-0000-0000-000092140000}"/>
    <cellStyle name="Normal 32 4 2" xfId="5406" xr:uid="{00000000-0005-0000-0000-000093140000}"/>
    <cellStyle name="Normal 32 4 2 2" xfId="5407" xr:uid="{00000000-0005-0000-0000-000094140000}"/>
    <cellStyle name="Normal 32 4 2 2 2" xfId="5408" xr:uid="{00000000-0005-0000-0000-000095140000}"/>
    <cellStyle name="Normal 32 4 2 2 2 2" xfId="5409" xr:uid="{00000000-0005-0000-0000-000096140000}"/>
    <cellStyle name="Normal 32 4 2 2 3" xfId="5410" xr:uid="{00000000-0005-0000-0000-000097140000}"/>
    <cellStyle name="Normal 32 4 2 3" xfId="5411" xr:uid="{00000000-0005-0000-0000-000098140000}"/>
    <cellStyle name="Normal 32 4 2 3 2" xfId="5412" xr:uid="{00000000-0005-0000-0000-000099140000}"/>
    <cellStyle name="Normal 32 4 2 4" xfId="5413" xr:uid="{00000000-0005-0000-0000-00009A140000}"/>
    <cellStyle name="Normal 32 4 3" xfId="5414" xr:uid="{00000000-0005-0000-0000-00009B140000}"/>
    <cellStyle name="Normal 32 4 3 2" xfId="5415" xr:uid="{00000000-0005-0000-0000-00009C140000}"/>
    <cellStyle name="Normal 32 4 3 2 2" xfId="5416" xr:uid="{00000000-0005-0000-0000-00009D140000}"/>
    <cellStyle name="Normal 32 4 3 3" xfId="5417" xr:uid="{00000000-0005-0000-0000-00009E140000}"/>
    <cellStyle name="Normal 32 4 4" xfId="5418" xr:uid="{00000000-0005-0000-0000-00009F140000}"/>
    <cellStyle name="Normal 32 4 4 2" xfId="5419" xr:uid="{00000000-0005-0000-0000-0000A0140000}"/>
    <cellStyle name="Normal 32 4 5" xfId="5420" xr:uid="{00000000-0005-0000-0000-0000A1140000}"/>
    <cellStyle name="Normal 32 5" xfId="5421" xr:uid="{00000000-0005-0000-0000-0000A2140000}"/>
    <cellStyle name="Normal 32 5 2" xfId="5422" xr:uid="{00000000-0005-0000-0000-0000A3140000}"/>
    <cellStyle name="Normal 32 5 2 2" xfId="5423" xr:uid="{00000000-0005-0000-0000-0000A4140000}"/>
    <cellStyle name="Normal 32 5 2 2 2" xfId="5424" xr:uid="{00000000-0005-0000-0000-0000A5140000}"/>
    <cellStyle name="Normal 32 5 2 2 2 2" xfId="5425" xr:uid="{00000000-0005-0000-0000-0000A6140000}"/>
    <cellStyle name="Normal 32 5 2 2 3" xfId="5426" xr:uid="{00000000-0005-0000-0000-0000A7140000}"/>
    <cellStyle name="Normal 32 5 2 3" xfId="5427" xr:uid="{00000000-0005-0000-0000-0000A8140000}"/>
    <cellStyle name="Normal 32 5 2 3 2" xfId="5428" xr:uid="{00000000-0005-0000-0000-0000A9140000}"/>
    <cellStyle name="Normal 32 5 2 4" xfId="5429" xr:uid="{00000000-0005-0000-0000-0000AA140000}"/>
    <cellStyle name="Normal 32 5 3" xfId="5430" xr:uid="{00000000-0005-0000-0000-0000AB140000}"/>
    <cellStyle name="Normal 32 5 3 2" xfId="5431" xr:uid="{00000000-0005-0000-0000-0000AC140000}"/>
    <cellStyle name="Normal 32 5 3 2 2" xfId="5432" xr:uid="{00000000-0005-0000-0000-0000AD140000}"/>
    <cellStyle name="Normal 32 5 3 3" xfId="5433" xr:uid="{00000000-0005-0000-0000-0000AE140000}"/>
    <cellStyle name="Normal 32 5 4" xfId="5434" xr:uid="{00000000-0005-0000-0000-0000AF140000}"/>
    <cellStyle name="Normal 32 5 4 2" xfId="5435" xr:uid="{00000000-0005-0000-0000-0000B0140000}"/>
    <cellStyle name="Normal 32 5 5" xfId="5436" xr:uid="{00000000-0005-0000-0000-0000B1140000}"/>
    <cellStyle name="Normal 32 6" xfId="5437" xr:uid="{00000000-0005-0000-0000-0000B2140000}"/>
    <cellStyle name="Normal 32 6 2" xfId="5438" xr:uid="{00000000-0005-0000-0000-0000B3140000}"/>
    <cellStyle name="Normal 32 6 2 2" xfId="5439" xr:uid="{00000000-0005-0000-0000-0000B4140000}"/>
    <cellStyle name="Normal 32 6 2 2 2" xfId="5440" xr:uid="{00000000-0005-0000-0000-0000B5140000}"/>
    <cellStyle name="Normal 32 6 2 3" xfId="5441" xr:uid="{00000000-0005-0000-0000-0000B6140000}"/>
    <cellStyle name="Normal 32 6 3" xfId="5442" xr:uid="{00000000-0005-0000-0000-0000B7140000}"/>
    <cellStyle name="Normal 32 6 3 2" xfId="5443" xr:uid="{00000000-0005-0000-0000-0000B8140000}"/>
    <cellStyle name="Normal 32 6 4" xfId="5444" xr:uid="{00000000-0005-0000-0000-0000B9140000}"/>
    <cellStyle name="Normal 32 7" xfId="5445" xr:uid="{00000000-0005-0000-0000-0000BA140000}"/>
    <cellStyle name="Normal 32 7 2" xfId="5446" xr:uid="{00000000-0005-0000-0000-0000BB140000}"/>
    <cellStyle name="Normal 32 7 2 2" xfId="5447" xr:uid="{00000000-0005-0000-0000-0000BC140000}"/>
    <cellStyle name="Normal 32 7 3" xfId="5448" xr:uid="{00000000-0005-0000-0000-0000BD140000}"/>
    <cellStyle name="Normal 32 8" xfId="5449" xr:uid="{00000000-0005-0000-0000-0000BE140000}"/>
    <cellStyle name="Normal 32 8 2" xfId="5450" xr:uid="{00000000-0005-0000-0000-0000BF140000}"/>
    <cellStyle name="Normal 32 9" xfId="5451" xr:uid="{00000000-0005-0000-0000-0000C0140000}"/>
    <cellStyle name="Normal 320" xfId="5452" xr:uid="{00000000-0005-0000-0000-0000C1140000}"/>
    <cellStyle name="Normal 321" xfId="5453" xr:uid="{00000000-0005-0000-0000-0000C2140000}"/>
    <cellStyle name="Normal 322" xfId="5454" xr:uid="{00000000-0005-0000-0000-0000C3140000}"/>
    <cellStyle name="Normal 323" xfId="5455" xr:uid="{00000000-0005-0000-0000-0000C4140000}"/>
    <cellStyle name="Normal 324" xfId="5456" xr:uid="{00000000-0005-0000-0000-0000C5140000}"/>
    <cellStyle name="Normal 325" xfId="5457" xr:uid="{00000000-0005-0000-0000-0000C6140000}"/>
    <cellStyle name="Normal 326" xfId="5458" xr:uid="{00000000-0005-0000-0000-0000C7140000}"/>
    <cellStyle name="Normal 327" xfId="5459" xr:uid="{00000000-0005-0000-0000-0000C8140000}"/>
    <cellStyle name="Normal 328" xfId="5460" xr:uid="{00000000-0005-0000-0000-0000C9140000}"/>
    <cellStyle name="Normal 329" xfId="5461" xr:uid="{00000000-0005-0000-0000-0000CA140000}"/>
    <cellStyle name="Normal 33" xfId="5462" xr:uid="{00000000-0005-0000-0000-0000CB140000}"/>
    <cellStyle name="Normal 33 2" xfId="5463" xr:uid="{00000000-0005-0000-0000-0000CC140000}"/>
    <cellStyle name="Normal 33 2 2" xfId="5464" xr:uid="{00000000-0005-0000-0000-0000CD140000}"/>
    <cellStyle name="Normal 33 3" xfId="5465" xr:uid="{00000000-0005-0000-0000-0000CE140000}"/>
    <cellStyle name="Normal 33 3 2" xfId="5466" xr:uid="{00000000-0005-0000-0000-0000CF140000}"/>
    <cellStyle name="Normal 33 3 2 2" xfId="5467" xr:uid="{00000000-0005-0000-0000-0000D0140000}"/>
    <cellStyle name="Normal 33 3 2 2 2" xfId="5468" xr:uid="{00000000-0005-0000-0000-0000D1140000}"/>
    <cellStyle name="Normal 33 3 2 2 2 2" xfId="5469" xr:uid="{00000000-0005-0000-0000-0000D2140000}"/>
    <cellStyle name="Normal 33 3 2 2 3" xfId="5470" xr:uid="{00000000-0005-0000-0000-0000D3140000}"/>
    <cellStyle name="Normal 33 3 2 3" xfId="5471" xr:uid="{00000000-0005-0000-0000-0000D4140000}"/>
    <cellStyle name="Normal 33 3 2 3 2" xfId="5472" xr:uid="{00000000-0005-0000-0000-0000D5140000}"/>
    <cellStyle name="Normal 33 3 2 4" xfId="5473" xr:uid="{00000000-0005-0000-0000-0000D6140000}"/>
    <cellStyle name="Normal 33 3 3" xfId="5474" xr:uid="{00000000-0005-0000-0000-0000D7140000}"/>
    <cellStyle name="Normal 33 3 3 2" xfId="5475" xr:uid="{00000000-0005-0000-0000-0000D8140000}"/>
    <cellStyle name="Normal 33 3 3 2 2" xfId="5476" xr:uid="{00000000-0005-0000-0000-0000D9140000}"/>
    <cellStyle name="Normal 33 3 3 3" xfId="5477" xr:uid="{00000000-0005-0000-0000-0000DA140000}"/>
    <cellStyle name="Normal 33 3 4" xfId="5478" xr:uid="{00000000-0005-0000-0000-0000DB140000}"/>
    <cellStyle name="Normal 33 3 4 2" xfId="5479" xr:uid="{00000000-0005-0000-0000-0000DC140000}"/>
    <cellStyle name="Normal 33 3 5" xfId="5480" xr:uid="{00000000-0005-0000-0000-0000DD140000}"/>
    <cellStyle name="Normal 33 4" xfId="5481" xr:uid="{00000000-0005-0000-0000-0000DE140000}"/>
    <cellStyle name="Normal 33 4 2" xfId="5482" xr:uid="{00000000-0005-0000-0000-0000DF140000}"/>
    <cellStyle name="Normal 33 4 2 2" xfId="5483" xr:uid="{00000000-0005-0000-0000-0000E0140000}"/>
    <cellStyle name="Normal 33 4 2 2 2" xfId="5484" xr:uid="{00000000-0005-0000-0000-0000E1140000}"/>
    <cellStyle name="Normal 33 4 2 2 2 2" xfId="5485" xr:uid="{00000000-0005-0000-0000-0000E2140000}"/>
    <cellStyle name="Normal 33 4 2 2 3" xfId="5486" xr:uid="{00000000-0005-0000-0000-0000E3140000}"/>
    <cellStyle name="Normal 33 4 2 3" xfId="5487" xr:uid="{00000000-0005-0000-0000-0000E4140000}"/>
    <cellStyle name="Normal 33 4 2 3 2" xfId="5488" xr:uid="{00000000-0005-0000-0000-0000E5140000}"/>
    <cellStyle name="Normal 33 4 2 4" xfId="5489" xr:uid="{00000000-0005-0000-0000-0000E6140000}"/>
    <cellStyle name="Normal 33 4 3" xfId="5490" xr:uid="{00000000-0005-0000-0000-0000E7140000}"/>
    <cellStyle name="Normal 33 4 3 2" xfId="5491" xr:uid="{00000000-0005-0000-0000-0000E8140000}"/>
    <cellStyle name="Normal 33 4 3 2 2" xfId="5492" xr:uid="{00000000-0005-0000-0000-0000E9140000}"/>
    <cellStyle name="Normal 33 4 3 3" xfId="5493" xr:uid="{00000000-0005-0000-0000-0000EA140000}"/>
    <cellStyle name="Normal 33 4 4" xfId="5494" xr:uid="{00000000-0005-0000-0000-0000EB140000}"/>
    <cellStyle name="Normal 33 4 4 2" xfId="5495" xr:uid="{00000000-0005-0000-0000-0000EC140000}"/>
    <cellStyle name="Normal 33 4 5" xfId="5496" xr:uid="{00000000-0005-0000-0000-0000ED140000}"/>
    <cellStyle name="Normal 33 5" xfId="5497" xr:uid="{00000000-0005-0000-0000-0000EE140000}"/>
    <cellStyle name="Normal 33 5 2" xfId="5498" xr:uid="{00000000-0005-0000-0000-0000EF140000}"/>
    <cellStyle name="Normal 33 5 2 2" xfId="5499" xr:uid="{00000000-0005-0000-0000-0000F0140000}"/>
    <cellStyle name="Normal 33 5 2 2 2" xfId="5500" xr:uid="{00000000-0005-0000-0000-0000F1140000}"/>
    <cellStyle name="Normal 33 5 2 2 2 2" xfId="5501" xr:uid="{00000000-0005-0000-0000-0000F2140000}"/>
    <cellStyle name="Normal 33 5 2 2 3" xfId="5502" xr:uid="{00000000-0005-0000-0000-0000F3140000}"/>
    <cellStyle name="Normal 33 5 2 3" xfId="5503" xr:uid="{00000000-0005-0000-0000-0000F4140000}"/>
    <cellStyle name="Normal 33 5 2 3 2" xfId="5504" xr:uid="{00000000-0005-0000-0000-0000F5140000}"/>
    <cellStyle name="Normal 33 5 2 4" xfId="5505" xr:uid="{00000000-0005-0000-0000-0000F6140000}"/>
    <cellStyle name="Normal 33 5 3" xfId="5506" xr:uid="{00000000-0005-0000-0000-0000F7140000}"/>
    <cellStyle name="Normal 33 5 3 2" xfId="5507" xr:uid="{00000000-0005-0000-0000-0000F8140000}"/>
    <cellStyle name="Normal 33 5 3 2 2" xfId="5508" xr:uid="{00000000-0005-0000-0000-0000F9140000}"/>
    <cellStyle name="Normal 33 5 3 3" xfId="5509" xr:uid="{00000000-0005-0000-0000-0000FA140000}"/>
    <cellStyle name="Normal 33 5 4" xfId="5510" xr:uid="{00000000-0005-0000-0000-0000FB140000}"/>
    <cellStyle name="Normal 33 5 4 2" xfId="5511" xr:uid="{00000000-0005-0000-0000-0000FC140000}"/>
    <cellStyle name="Normal 33 5 5" xfId="5512" xr:uid="{00000000-0005-0000-0000-0000FD140000}"/>
    <cellStyle name="Normal 33 6" xfId="5513" xr:uid="{00000000-0005-0000-0000-0000FE140000}"/>
    <cellStyle name="Normal 33 6 2" xfId="5514" xr:uid="{00000000-0005-0000-0000-0000FF140000}"/>
    <cellStyle name="Normal 33 6 2 2" xfId="5515" xr:uid="{00000000-0005-0000-0000-000000150000}"/>
    <cellStyle name="Normal 33 6 2 2 2" xfId="5516" xr:uid="{00000000-0005-0000-0000-000001150000}"/>
    <cellStyle name="Normal 33 6 2 3" xfId="5517" xr:uid="{00000000-0005-0000-0000-000002150000}"/>
    <cellStyle name="Normal 33 6 3" xfId="5518" xr:uid="{00000000-0005-0000-0000-000003150000}"/>
    <cellStyle name="Normal 33 6 3 2" xfId="5519" xr:uid="{00000000-0005-0000-0000-000004150000}"/>
    <cellStyle name="Normal 33 6 4" xfId="5520" xr:uid="{00000000-0005-0000-0000-000005150000}"/>
    <cellStyle name="Normal 33 7" xfId="5521" xr:uid="{00000000-0005-0000-0000-000006150000}"/>
    <cellStyle name="Normal 33 7 2" xfId="5522" xr:uid="{00000000-0005-0000-0000-000007150000}"/>
    <cellStyle name="Normal 33 7 2 2" xfId="5523" xr:uid="{00000000-0005-0000-0000-000008150000}"/>
    <cellStyle name="Normal 33 7 3" xfId="5524" xr:uid="{00000000-0005-0000-0000-000009150000}"/>
    <cellStyle name="Normal 33 8" xfId="5525" xr:uid="{00000000-0005-0000-0000-00000A150000}"/>
    <cellStyle name="Normal 33 8 2" xfId="5526" xr:uid="{00000000-0005-0000-0000-00000B150000}"/>
    <cellStyle name="Normal 33 9" xfId="5527" xr:uid="{00000000-0005-0000-0000-00000C150000}"/>
    <cellStyle name="Normal 330" xfId="5528" xr:uid="{00000000-0005-0000-0000-00000D150000}"/>
    <cellStyle name="Normal 331" xfId="5529" xr:uid="{00000000-0005-0000-0000-00000E150000}"/>
    <cellStyle name="Normal 332" xfId="5530" xr:uid="{00000000-0005-0000-0000-00000F150000}"/>
    <cellStyle name="Normal 333" xfId="5531" xr:uid="{00000000-0005-0000-0000-000010150000}"/>
    <cellStyle name="Normal 334" xfId="5532" xr:uid="{00000000-0005-0000-0000-000011150000}"/>
    <cellStyle name="Normal 335" xfId="5533" xr:uid="{00000000-0005-0000-0000-000012150000}"/>
    <cellStyle name="Normal 336" xfId="5534" xr:uid="{00000000-0005-0000-0000-000013150000}"/>
    <cellStyle name="Normal 337" xfId="5535" xr:uid="{00000000-0005-0000-0000-000014150000}"/>
    <cellStyle name="Normal 338" xfId="5536" xr:uid="{00000000-0005-0000-0000-000015150000}"/>
    <cellStyle name="Normal 339" xfId="5537" xr:uid="{00000000-0005-0000-0000-000016150000}"/>
    <cellStyle name="Normal 34" xfId="5538" xr:uid="{00000000-0005-0000-0000-000017150000}"/>
    <cellStyle name="Normal 34 2" xfId="5539" xr:uid="{00000000-0005-0000-0000-000018150000}"/>
    <cellStyle name="Normal 34 2 2" xfId="5540" xr:uid="{00000000-0005-0000-0000-000019150000}"/>
    <cellStyle name="Normal 34 3" xfId="5541" xr:uid="{00000000-0005-0000-0000-00001A150000}"/>
    <cellStyle name="Normal 34 3 2" xfId="5542" xr:uid="{00000000-0005-0000-0000-00001B150000}"/>
    <cellStyle name="Normal 34 3 2 2" xfId="5543" xr:uid="{00000000-0005-0000-0000-00001C150000}"/>
    <cellStyle name="Normal 34 3 2 2 2" xfId="5544" xr:uid="{00000000-0005-0000-0000-00001D150000}"/>
    <cellStyle name="Normal 34 3 2 2 2 2" xfId="5545" xr:uid="{00000000-0005-0000-0000-00001E150000}"/>
    <cellStyle name="Normal 34 3 2 2 3" xfId="5546" xr:uid="{00000000-0005-0000-0000-00001F150000}"/>
    <cellStyle name="Normal 34 3 2 3" xfId="5547" xr:uid="{00000000-0005-0000-0000-000020150000}"/>
    <cellStyle name="Normal 34 3 2 3 2" xfId="5548" xr:uid="{00000000-0005-0000-0000-000021150000}"/>
    <cellStyle name="Normal 34 3 2 4" xfId="5549" xr:uid="{00000000-0005-0000-0000-000022150000}"/>
    <cellStyle name="Normal 34 3 3" xfId="5550" xr:uid="{00000000-0005-0000-0000-000023150000}"/>
    <cellStyle name="Normal 34 3 3 2" xfId="5551" xr:uid="{00000000-0005-0000-0000-000024150000}"/>
    <cellStyle name="Normal 34 3 3 2 2" xfId="5552" xr:uid="{00000000-0005-0000-0000-000025150000}"/>
    <cellStyle name="Normal 34 3 3 3" xfId="5553" xr:uid="{00000000-0005-0000-0000-000026150000}"/>
    <cellStyle name="Normal 34 3 4" xfId="5554" xr:uid="{00000000-0005-0000-0000-000027150000}"/>
    <cellStyle name="Normal 34 3 4 2" xfId="5555" xr:uid="{00000000-0005-0000-0000-000028150000}"/>
    <cellStyle name="Normal 34 3 5" xfId="5556" xr:uid="{00000000-0005-0000-0000-000029150000}"/>
    <cellStyle name="Normal 34 4" xfId="5557" xr:uid="{00000000-0005-0000-0000-00002A150000}"/>
    <cellStyle name="Normal 34 4 2" xfId="5558" xr:uid="{00000000-0005-0000-0000-00002B150000}"/>
    <cellStyle name="Normal 34 4 2 2" xfId="5559" xr:uid="{00000000-0005-0000-0000-00002C150000}"/>
    <cellStyle name="Normal 34 4 2 2 2" xfId="5560" xr:uid="{00000000-0005-0000-0000-00002D150000}"/>
    <cellStyle name="Normal 34 4 2 2 2 2" xfId="5561" xr:uid="{00000000-0005-0000-0000-00002E150000}"/>
    <cellStyle name="Normal 34 4 2 2 3" xfId="5562" xr:uid="{00000000-0005-0000-0000-00002F150000}"/>
    <cellStyle name="Normal 34 4 2 3" xfId="5563" xr:uid="{00000000-0005-0000-0000-000030150000}"/>
    <cellStyle name="Normal 34 4 2 3 2" xfId="5564" xr:uid="{00000000-0005-0000-0000-000031150000}"/>
    <cellStyle name="Normal 34 4 2 4" xfId="5565" xr:uid="{00000000-0005-0000-0000-000032150000}"/>
    <cellStyle name="Normal 34 4 3" xfId="5566" xr:uid="{00000000-0005-0000-0000-000033150000}"/>
    <cellStyle name="Normal 34 4 3 2" xfId="5567" xr:uid="{00000000-0005-0000-0000-000034150000}"/>
    <cellStyle name="Normal 34 4 3 2 2" xfId="5568" xr:uid="{00000000-0005-0000-0000-000035150000}"/>
    <cellStyle name="Normal 34 4 3 3" xfId="5569" xr:uid="{00000000-0005-0000-0000-000036150000}"/>
    <cellStyle name="Normal 34 4 4" xfId="5570" xr:uid="{00000000-0005-0000-0000-000037150000}"/>
    <cellStyle name="Normal 34 4 4 2" xfId="5571" xr:uid="{00000000-0005-0000-0000-000038150000}"/>
    <cellStyle name="Normal 34 4 5" xfId="5572" xr:uid="{00000000-0005-0000-0000-000039150000}"/>
    <cellStyle name="Normal 34 5" xfId="5573" xr:uid="{00000000-0005-0000-0000-00003A150000}"/>
    <cellStyle name="Normal 34 5 2" xfId="5574" xr:uid="{00000000-0005-0000-0000-00003B150000}"/>
    <cellStyle name="Normal 34 5 2 2" xfId="5575" xr:uid="{00000000-0005-0000-0000-00003C150000}"/>
    <cellStyle name="Normal 34 5 2 2 2" xfId="5576" xr:uid="{00000000-0005-0000-0000-00003D150000}"/>
    <cellStyle name="Normal 34 5 2 2 2 2" xfId="5577" xr:uid="{00000000-0005-0000-0000-00003E150000}"/>
    <cellStyle name="Normal 34 5 2 2 3" xfId="5578" xr:uid="{00000000-0005-0000-0000-00003F150000}"/>
    <cellStyle name="Normal 34 5 2 3" xfId="5579" xr:uid="{00000000-0005-0000-0000-000040150000}"/>
    <cellStyle name="Normal 34 5 2 3 2" xfId="5580" xr:uid="{00000000-0005-0000-0000-000041150000}"/>
    <cellStyle name="Normal 34 5 2 4" xfId="5581" xr:uid="{00000000-0005-0000-0000-000042150000}"/>
    <cellStyle name="Normal 34 5 3" xfId="5582" xr:uid="{00000000-0005-0000-0000-000043150000}"/>
    <cellStyle name="Normal 34 5 3 2" xfId="5583" xr:uid="{00000000-0005-0000-0000-000044150000}"/>
    <cellStyle name="Normal 34 5 3 2 2" xfId="5584" xr:uid="{00000000-0005-0000-0000-000045150000}"/>
    <cellStyle name="Normal 34 5 3 3" xfId="5585" xr:uid="{00000000-0005-0000-0000-000046150000}"/>
    <cellStyle name="Normal 34 5 4" xfId="5586" xr:uid="{00000000-0005-0000-0000-000047150000}"/>
    <cellStyle name="Normal 34 5 4 2" xfId="5587" xr:uid="{00000000-0005-0000-0000-000048150000}"/>
    <cellStyle name="Normal 34 5 5" xfId="5588" xr:uid="{00000000-0005-0000-0000-000049150000}"/>
    <cellStyle name="Normal 34 6" xfId="5589" xr:uid="{00000000-0005-0000-0000-00004A150000}"/>
    <cellStyle name="Normal 34 6 2" xfId="5590" xr:uid="{00000000-0005-0000-0000-00004B150000}"/>
    <cellStyle name="Normal 34 6 2 2" xfId="5591" xr:uid="{00000000-0005-0000-0000-00004C150000}"/>
    <cellStyle name="Normal 34 6 2 2 2" xfId="5592" xr:uid="{00000000-0005-0000-0000-00004D150000}"/>
    <cellStyle name="Normal 34 6 2 3" xfId="5593" xr:uid="{00000000-0005-0000-0000-00004E150000}"/>
    <cellStyle name="Normal 34 6 3" xfId="5594" xr:uid="{00000000-0005-0000-0000-00004F150000}"/>
    <cellStyle name="Normal 34 6 3 2" xfId="5595" xr:uid="{00000000-0005-0000-0000-000050150000}"/>
    <cellStyle name="Normal 34 6 4" xfId="5596" xr:uid="{00000000-0005-0000-0000-000051150000}"/>
    <cellStyle name="Normal 34 7" xfId="5597" xr:uid="{00000000-0005-0000-0000-000052150000}"/>
    <cellStyle name="Normal 34 7 2" xfId="5598" xr:uid="{00000000-0005-0000-0000-000053150000}"/>
    <cellStyle name="Normal 34 7 2 2" xfId="5599" xr:uid="{00000000-0005-0000-0000-000054150000}"/>
    <cellStyle name="Normal 34 7 3" xfId="5600" xr:uid="{00000000-0005-0000-0000-000055150000}"/>
    <cellStyle name="Normal 34 8" xfId="5601" xr:uid="{00000000-0005-0000-0000-000056150000}"/>
    <cellStyle name="Normal 34 8 2" xfId="5602" xr:uid="{00000000-0005-0000-0000-000057150000}"/>
    <cellStyle name="Normal 34 9" xfId="5603" xr:uid="{00000000-0005-0000-0000-000058150000}"/>
    <cellStyle name="Normal 340" xfId="5604" xr:uid="{00000000-0005-0000-0000-000059150000}"/>
    <cellStyle name="Normal 341" xfId="11029" xr:uid="{FA5FD6DD-5EE5-4708-9DC7-DF391123B67B}"/>
    <cellStyle name="Normal 342" xfId="11030" xr:uid="{603C6BC4-529B-438D-8C1A-46E25EC7043C}"/>
    <cellStyle name="Normal 35" xfId="5605" xr:uid="{00000000-0005-0000-0000-00005A150000}"/>
    <cellStyle name="Normal 35 2" xfId="5606" xr:uid="{00000000-0005-0000-0000-00005B150000}"/>
    <cellStyle name="Normal 35 2 2" xfId="5607" xr:uid="{00000000-0005-0000-0000-00005C150000}"/>
    <cellStyle name="Normal 35 3" xfId="5608" xr:uid="{00000000-0005-0000-0000-00005D150000}"/>
    <cellStyle name="Normal 35 3 2" xfId="5609" xr:uid="{00000000-0005-0000-0000-00005E150000}"/>
    <cellStyle name="Normal 35 3 2 2" xfId="5610" xr:uid="{00000000-0005-0000-0000-00005F150000}"/>
    <cellStyle name="Normal 35 3 2 2 2" xfId="5611" xr:uid="{00000000-0005-0000-0000-000060150000}"/>
    <cellStyle name="Normal 35 3 2 2 2 2" xfId="5612" xr:uid="{00000000-0005-0000-0000-000061150000}"/>
    <cellStyle name="Normal 35 3 2 2 3" xfId="5613" xr:uid="{00000000-0005-0000-0000-000062150000}"/>
    <cellStyle name="Normal 35 3 2 3" xfId="5614" xr:uid="{00000000-0005-0000-0000-000063150000}"/>
    <cellStyle name="Normal 35 3 2 3 2" xfId="5615" xr:uid="{00000000-0005-0000-0000-000064150000}"/>
    <cellStyle name="Normal 35 3 2 4" xfId="5616" xr:uid="{00000000-0005-0000-0000-000065150000}"/>
    <cellStyle name="Normal 35 3 3" xfId="5617" xr:uid="{00000000-0005-0000-0000-000066150000}"/>
    <cellStyle name="Normal 35 3 3 2" xfId="5618" xr:uid="{00000000-0005-0000-0000-000067150000}"/>
    <cellStyle name="Normal 35 3 3 2 2" xfId="5619" xr:uid="{00000000-0005-0000-0000-000068150000}"/>
    <cellStyle name="Normal 35 3 3 3" xfId="5620" xr:uid="{00000000-0005-0000-0000-000069150000}"/>
    <cellStyle name="Normal 35 3 4" xfId="5621" xr:uid="{00000000-0005-0000-0000-00006A150000}"/>
    <cellStyle name="Normal 35 3 4 2" xfId="5622" xr:uid="{00000000-0005-0000-0000-00006B150000}"/>
    <cellStyle name="Normal 35 3 5" xfId="5623" xr:uid="{00000000-0005-0000-0000-00006C150000}"/>
    <cellStyle name="Normal 35 4" xfId="5624" xr:uid="{00000000-0005-0000-0000-00006D150000}"/>
    <cellStyle name="Normal 35 4 2" xfId="5625" xr:uid="{00000000-0005-0000-0000-00006E150000}"/>
    <cellStyle name="Normal 35 4 2 2" xfId="5626" xr:uid="{00000000-0005-0000-0000-00006F150000}"/>
    <cellStyle name="Normal 35 4 2 2 2" xfId="5627" xr:uid="{00000000-0005-0000-0000-000070150000}"/>
    <cellStyle name="Normal 35 4 2 2 2 2" xfId="5628" xr:uid="{00000000-0005-0000-0000-000071150000}"/>
    <cellStyle name="Normal 35 4 2 2 3" xfId="5629" xr:uid="{00000000-0005-0000-0000-000072150000}"/>
    <cellStyle name="Normal 35 4 2 3" xfId="5630" xr:uid="{00000000-0005-0000-0000-000073150000}"/>
    <cellStyle name="Normal 35 4 2 3 2" xfId="5631" xr:uid="{00000000-0005-0000-0000-000074150000}"/>
    <cellStyle name="Normal 35 4 2 4" xfId="5632" xr:uid="{00000000-0005-0000-0000-000075150000}"/>
    <cellStyle name="Normal 35 4 3" xfId="5633" xr:uid="{00000000-0005-0000-0000-000076150000}"/>
    <cellStyle name="Normal 35 4 3 2" xfId="5634" xr:uid="{00000000-0005-0000-0000-000077150000}"/>
    <cellStyle name="Normal 35 4 3 2 2" xfId="5635" xr:uid="{00000000-0005-0000-0000-000078150000}"/>
    <cellStyle name="Normal 35 4 3 3" xfId="5636" xr:uid="{00000000-0005-0000-0000-000079150000}"/>
    <cellStyle name="Normal 35 4 4" xfId="5637" xr:uid="{00000000-0005-0000-0000-00007A150000}"/>
    <cellStyle name="Normal 35 4 4 2" xfId="5638" xr:uid="{00000000-0005-0000-0000-00007B150000}"/>
    <cellStyle name="Normal 35 4 5" xfId="5639" xr:uid="{00000000-0005-0000-0000-00007C150000}"/>
    <cellStyle name="Normal 35 5" xfId="5640" xr:uid="{00000000-0005-0000-0000-00007D150000}"/>
    <cellStyle name="Normal 35 5 2" xfId="5641" xr:uid="{00000000-0005-0000-0000-00007E150000}"/>
    <cellStyle name="Normal 35 5 2 2" xfId="5642" xr:uid="{00000000-0005-0000-0000-00007F150000}"/>
    <cellStyle name="Normal 35 5 2 2 2" xfId="5643" xr:uid="{00000000-0005-0000-0000-000080150000}"/>
    <cellStyle name="Normal 35 5 2 2 2 2" xfId="5644" xr:uid="{00000000-0005-0000-0000-000081150000}"/>
    <cellStyle name="Normal 35 5 2 2 3" xfId="5645" xr:uid="{00000000-0005-0000-0000-000082150000}"/>
    <cellStyle name="Normal 35 5 2 3" xfId="5646" xr:uid="{00000000-0005-0000-0000-000083150000}"/>
    <cellStyle name="Normal 35 5 2 3 2" xfId="5647" xr:uid="{00000000-0005-0000-0000-000084150000}"/>
    <cellStyle name="Normal 35 5 2 4" xfId="5648" xr:uid="{00000000-0005-0000-0000-000085150000}"/>
    <cellStyle name="Normal 35 5 3" xfId="5649" xr:uid="{00000000-0005-0000-0000-000086150000}"/>
    <cellStyle name="Normal 35 5 3 2" xfId="5650" xr:uid="{00000000-0005-0000-0000-000087150000}"/>
    <cellStyle name="Normal 35 5 3 2 2" xfId="5651" xr:uid="{00000000-0005-0000-0000-000088150000}"/>
    <cellStyle name="Normal 35 5 3 3" xfId="5652" xr:uid="{00000000-0005-0000-0000-000089150000}"/>
    <cellStyle name="Normal 35 5 4" xfId="5653" xr:uid="{00000000-0005-0000-0000-00008A150000}"/>
    <cellStyle name="Normal 35 5 4 2" xfId="5654" xr:uid="{00000000-0005-0000-0000-00008B150000}"/>
    <cellStyle name="Normal 35 5 5" xfId="5655" xr:uid="{00000000-0005-0000-0000-00008C150000}"/>
    <cellStyle name="Normal 35 6" xfId="5656" xr:uid="{00000000-0005-0000-0000-00008D150000}"/>
    <cellStyle name="Normal 35 6 2" xfId="5657" xr:uid="{00000000-0005-0000-0000-00008E150000}"/>
    <cellStyle name="Normal 35 6 2 2" xfId="5658" xr:uid="{00000000-0005-0000-0000-00008F150000}"/>
    <cellStyle name="Normal 35 6 2 2 2" xfId="5659" xr:uid="{00000000-0005-0000-0000-000090150000}"/>
    <cellStyle name="Normal 35 6 2 3" xfId="5660" xr:uid="{00000000-0005-0000-0000-000091150000}"/>
    <cellStyle name="Normal 35 6 3" xfId="5661" xr:uid="{00000000-0005-0000-0000-000092150000}"/>
    <cellStyle name="Normal 35 6 3 2" xfId="5662" xr:uid="{00000000-0005-0000-0000-000093150000}"/>
    <cellStyle name="Normal 35 6 4" xfId="5663" xr:uid="{00000000-0005-0000-0000-000094150000}"/>
    <cellStyle name="Normal 35 7" xfId="5664" xr:uid="{00000000-0005-0000-0000-000095150000}"/>
    <cellStyle name="Normal 35 7 2" xfId="5665" xr:uid="{00000000-0005-0000-0000-000096150000}"/>
    <cellStyle name="Normal 35 7 2 2" xfId="5666" xr:uid="{00000000-0005-0000-0000-000097150000}"/>
    <cellStyle name="Normal 35 7 3" xfId="5667" xr:uid="{00000000-0005-0000-0000-000098150000}"/>
    <cellStyle name="Normal 35 8" xfId="5668" xr:uid="{00000000-0005-0000-0000-000099150000}"/>
    <cellStyle name="Normal 35 8 2" xfId="5669" xr:uid="{00000000-0005-0000-0000-00009A150000}"/>
    <cellStyle name="Normal 35 9" xfId="5670" xr:uid="{00000000-0005-0000-0000-00009B150000}"/>
    <cellStyle name="Normal 36" xfId="5671" xr:uid="{00000000-0005-0000-0000-00009C150000}"/>
    <cellStyle name="Normal 36 2" xfId="5672" xr:uid="{00000000-0005-0000-0000-00009D150000}"/>
    <cellStyle name="Normal 36 2 2" xfId="5673" xr:uid="{00000000-0005-0000-0000-00009E150000}"/>
    <cellStyle name="Normal 36 3" xfId="5674" xr:uid="{00000000-0005-0000-0000-00009F150000}"/>
    <cellStyle name="Normal 36 3 2" xfId="5675" xr:uid="{00000000-0005-0000-0000-0000A0150000}"/>
    <cellStyle name="Normal 36 3 2 2" xfId="5676" xr:uid="{00000000-0005-0000-0000-0000A1150000}"/>
    <cellStyle name="Normal 36 3 2 2 2" xfId="5677" xr:uid="{00000000-0005-0000-0000-0000A2150000}"/>
    <cellStyle name="Normal 36 3 2 2 2 2" xfId="5678" xr:uid="{00000000-0005-0000-0000-0000A3150000}"/>
    <cellStyle name="Normal 36 3 2 2 3" xfId="5679" xr:uid="{00000000-0005-0000-0000-0000A4150000}"/>
    <cellStyle name="Normal 36 3 2 3" xfId="5680" xr:uid="{00000000-0005-0000-0000-0000A5150000}"/>
    <cellStyle name="Normal 36 3 2 3 2" xfId="5681" xr:uid="{00000000-0005-0000-0000-0000A6150000}"/>
    <cellStyle name="Normal 36 3 2 4" xfId="5682" xr:uid="{00000000-0005-0000-0000-0000A7150000}"/>
    <cellStyle name="Normal 36 3 3" xfId="5683" xr:uid="{00000000-0005-0000-0000-0000A8150000}"/>
    <cellStyle name="Normal 36 3 3 2" xfId="5684" xr:uid="{00000000-0005-0000-0000-0000A9150000}"/>
    <cellStyle name="Normal 36 3 3 2 2" xfId="5685" xr:uid="{00000000-0005-0000-0000-0000AA150000}"/>
    <cellStyle name="Normal 36 3 3 3" xfId="5686" xr:uid="{00000000-0005-0000-0000-0000AB150000}"/>
    <cellStyle name="Normal 36 3 4" xfId="5687" xr:uid="{00000000-0005-0000-0000-0000AC150000}"/>
    <cellStyle name="Normal 36 3 4 2" xfId="5688" xr:uid="{00000000-0005-0000-0000-0000AD150000}"/>
    <cellStyle name="Normal 36 3 5" xfId="5689" xr:uid="{00000000-0005-0000-0000-0000AE150000}"/>
    <cellStyle name="Normal 36 4" xfId="5690" xr:uid="{00000000-0005-0000-0000-0000AF150000}"/>
    <cellStyle name="Normal 36 4 2" xfId="5691" xr:uid="{00000000-0005-0000-0000-0000B0150000}"/>
    <cellStyle name="Normal 36 4 2 2" xfId="5692" xr:uid="{00000000-0005-0000-0000-0000B1150000}"/>
    <cellStyle name="Normal 36 4 2 2 2" xfId="5693" xr:uid="{00000000-0005-0000-0000-0000B2150000}"/>
    <cellStyle name="Normal 36 4 2 2 2 2" xfId="5694" xr:uid="{00000000-0005-0000-0000-0000B3150000}"/>
    <cellStyle name="Normal 36 4 2 2 3" xfId="5695" xr:uid="{00000000-0005-0000-0000-0000B4150000}"/>
    <cellStyle name="Normal 36 4 2 3" xfId="5696" xr:uid="{00000000-0005-0000-0000-0000B5150000}"/>
    <cellStyle name="Normal 36 4 2 3 2" xfId="5697" xr:uid="{00000000-0005-0000-0000-0000B6150000}"/>
    <cellStyle name="Normal 36 4 2 4" xfId="5698" xr:uid="{00000000-0005-0000-0000-0000B7150000}"/>
    <cellStyle name="Normal 36 4 3" xfId="5699" xr:uid="{00000000-0005-0000-0000-0000B8150000}"/>
    <cellStyle name="Normal 36 4 3 2" xfId="5700" xr:uid="{00000000-0005-0000-0000-0000B9150000}"/>
    <cellStyle name="Normal 36 4 3 2 2" xfId="5701" xr:uid="{00000000-0005-0000-0000-0000BA150000}"/>
    <cellStyle name="Normal 36 4 3 3" xfId="5702" xr:uid="{00000000-0005-0000-0000-0000BB150000}"/>
    <cellStyle name="Normal 36 4 4" xfId="5703" xr:uid="{00000000-0005-0000-0000-0000BC150000}"/>
    <cellStyle name="Normal 36 4 4 2" xfId="5704" xr:uid="{00000000-0005-0000-0000-0000BD150000}"/>
    <cellStyle name="Normal 36 4 5" xfId="5705" xr:uid="{00000000-0005-0000-0000-0000BE150000}"/>
    <cellStyle name="Normal 36 5" xfId="5706" xr:uid="{00000000-0005-0000-0000-0000BF150000}"/>
    <cellStyle name="Normal 36 5 2" xfId="5707" xr:uid="{00000000-0005-0000-0000-0000C0150000}"/>
    <cellStyle name="Normal 36 5 2 2" xfId="5708" xr:uid="{00000000-0005-0000-0000-0000C1150000}"/>
    <cellStyle name="Normal 36 5 2 2 2" xfId="5709" xr:uid="{00000000-0005-0000-0000-0000C2150000}"/>
    <cellStyle name="Normal 36 5 2 2 2 2" xfId="5710" xr:uid="{00000000-0005-0000-0000-0000C3150000}"/>
    <cellStyle name="Normal 36 5 2 2 3" xfId="5711" xr:uid="{00000000-0005-0000-0000-0000C4150000}"/>
    <cellStyle name="Normal 36 5 2 3" xfId="5712" xr:uid="{00000000-0005-0000-0000-0000C5150000}"/>
    <cellStyle name="Normal 36 5 2 3 2" xfId="5713" xr:uid="{00000000-0005-0000-0000-0000C6150000}"/>
    <cellStyle name="Normal 36 5 2 4" xfId="5714" xr:uid="{00000000-0005-0000-0000-0000C7150000}"/>
    <cellStyle name="Normal 36 5 3" xfId="5715" xr:uid="{00000000-0005-0000-0000-0000C8150000}"/>
    <cellStyle name="Normal 36 5 3 2" xfId="5716" xr:uid="{00000000-0005-0000-0000-0000C9150000}"/>
    <cellStyle name="Normal 36 5 3 2 2" xfId="5717" xr:uid="{00000000-0005-0000-0000-0000CA150000}"/>
    <cellStyle name="Normal 36 5 3 3" xfId="5718" xr:uid="{00000000-0005-0000-0000-0000CB150000}"/>
    <cellStyle name="Normal 36 5 4" xfId="5719" xr:uid="{00000000-0005-0000-0000-0000CC150000}"/>
    <cellStyle name="Normal 36 5 4 2" xfId="5720" xr:uid="{00000000-0005-0000-0000-0000CD150000}"/>
    <cellStyle name="Normal 36 5 5" xfId="5721" xr:uid="{00000000-0005-0000-0000-0000CE150000}"/>
    <cellStyle name="Normal 36 6" xfId="5722" xr:uid="{00000000-0005-0000-0000-0000CF150000}"/>
    <cellStyle name="Normal 36 6 2" xfId="5723" xr:uid="{00000000-0005-0000-0000-0000D0150000}"/>
    <cellStyle name="Normal 36 6 2 2" xfId="5724" xr:uid="{00000000-0005-0000-0000-0000D1150000}"/>
    <cellStyle name="Normal 36 6 2 2 2" xfId="5725" xr:uid="{00000000-0005-0000-0000-0000D2150000}"/>
    <cellStyle name="Normal 36 6 2 3" xfId="5726" xr:uid="{00000000-0005-0000-0000-0000D3150000}"/>
    <cellStyle name="Normal 36 6 3" xfId="5727" xr:uid="{00000000-0005-0000-0000-0000D4150000}"/>
    <cellStyle name="Normal 36 6 3 2" xfId="5728" xr:uid="{00000000-0005-0000-0000-0000D5150000}"/>
    <cellStyle name="Normal 36 6 4" xfId="5729" xr:uid="{00000000-0005-0000-0000-0000D6150000}"/>
    <cellStyle name="Normal 36 7" xfId="5730" xr:uid="{00000000-0005-0000-0000-0000D7150000}"/>
    <cellStyle name="Normal 36 7 2" xfId="5731" xr:uid="{00000000-0005-0000-0000-0000D8150000}"/>
    <cellStyle name="Normal 36 7 2 2" xfId="5732" xr:uid="{00000000-0005-0000-0000-0000D9150000}"/>
    <cellStyle name="Normal 36 7 3" xfId="5733" xr:uid="{00000000-0005-0000-0000-0000DA150000}"/>
    <cellStyle name="Normal 36 8" xfId="5734" xr:uid="{00000000-0005-0000-0000-0000DB150000}"/>
    <cellStyle name="Normal 36 8 2" xfId="5735" xr:uid="{00000000-0005-0000-0000-0000DC150000}"/>
    <cellStyle name="Normal 36 9" xfId="5736" xr:uid="{00000000-0005-0000-0000-0000DD150000}"/>
    <cellStyle name="Normal 37" xfId="5737" xr:uid="{00000000-0005-0000-0000-0000DE150000}"/>
    <cellStyle name="Normal 37 2" xfId="5738" xr:uid="{00000000-0005-0000-0000-0000DF150000}"/>
    <cellStyle name="Normal 37 2 2" xfId="5739" xr:uid="{00000000-0005-0000-0000-0000E0150000}"/>
    <cellStyle name="Normal 37 3" xfId="5740" xr:uid="{00000000-0005-0000-0000-0000E1150000}"/>
    <cellStyle name="Normal 37 3 2" xfId="5741" xr:uid="{00000000-0005-0000-0000-0000E2150000}"/>
    <cellStyle name="Normal 37 3 2 2" xfId="5742" xr:uid="{00000000-0005-0000-0000-0000E3150000}"/>
    <cellStyle name="Normal 37 3 2 2 2" xfId="5743" xr:uid="{00000000-0005-0000-0000-0000E4150000}"/>
    <cellStyle name="Normal 37 3 2 2 2 2" xfId="5744" xr:uid="{00000000-0005-0000-0000-0000E5150000}"/>
    <cellStyle name="Normal 37 3 2 2 3" xfId="5745" xr:uid="{00000000-0005-0000-0000-0000E6150000}"/>
    <cellStyle name="Normal 37 3 2 3" xfId="5746" xr:uid="{00000000-0005-0000-0000-0000E7150000}"/>
    <cellStyle name="Normal 37 3 2 3 2" xfId="5747" xr:uid="{00000000-0005-0000-0000-0000E8150000}"/>
    <cellStyle name="Normal 37 3 2 4" xfId="5748" xr:uid="{00000000-0005-0000-0000-0000E9150000}"/>
    <cellStyle name="Normal 37 3 3" xfId="5749" xr:uid="{00000000-0005-0000-0000-0000EA150000}"/>
    <cellStyle name="Normal 37 3 3 2" xfId="5750" xr:uid="{00000000-0005-0000-0000-0000EB150000}"/>
    <cellStyle name="Normal 37 3 3 2 2" xfId="5751" xr:uid="{00000000-0005-0000-0000-0000EC150000}"/>
    <cellStyle name="Normal 37 3 3 3" xfId="5752" xr:uid="{00000000-0005-0000-0000-0000ED150000}"/>
    <cellStyle name="Normal 37 3 4" xfId="5753" xr:uid="{00000000-0005-0000-0000-0000EE150000}"/>
    <cellStyle name="Normal 37 3 4 2" xfId="5754" xr:uid="{00000000-0005-0000-0000-0000EF150000}"/>
    <cellStyle name="Normal 37 3 5" xfId="5755" xr:uid="{00000000-0005-0000-0000-0000F0150000}"/>
    <cellStyle name="Normal 37 4" xfId="5756" xr:uid="{00000000-0005-0000-0000-0000F1150000}"/>
    <cellStyle name="Normal 37 4 2" xfId="5757" xr:uid="{00000000-0005-0000-0000-0000F2150000}"/>
    <cellStyle name="Normal 37 4 2 2" xfId="5758" xr:uid="{00000000-0005-0000-0000-0000F3150000}"/>
    <cellStyle name="Normal 37 4 2 2 2" xfId="5759" xr:uid="{00000000-0005-0000-0000-0000F4150000}"/>
    <cellStyle name="Normal 37 4 2 2 2 2" xfId="5760" xr:uid="{00000000-0005-0000-0000-0000F5150000}"/>
    <cellStyle name="Normal 37 4 2 2 3" xfId="5761" xr:uid="{00000000-0005-0000-0000-0000F6150000}"/>
    <cellStyle name="Normal 37 4 2 3" xfId="5762" xr:uid="{00000000-0005-0000-0000-0000F7150000}"/>
    <cellStyle name="Normal 37 4 2 3 2" xfId="5763" xr:uid="{00000000-0005-0000-0000-0000F8150000}"/>
    <cellStyle name="Normal 37 4 2 4" xfId="5764" xr:uid="{00000000-0005-0000-0000-0000F9150000}"/>
    <cellStyle name="Normal 37 4 3" xfId="5765" xr:uid="{00000000-0005-0000-0000-0000FA150000}"/>
    <cellStyle name="Normal 37 4 3 2" xfId="5766" xr:uid="{00000000-0005-0000-0000-0000FB150000}"/>
    <cellStyle name="Normal 37 4 3 2 2" xfId="5767" xr:uid="{00000000-0005-0000-0000-0000FC150000}"/>
    <cellStyle name="Normal 37 4 3 3" xfId="5768" xr:uid="{00000000-0005-0000-0000-0000FD150000}"/>
    <cellStyle name="Normal 37 4 4" xfId="5769" xr:uid="{00000000-0005-0000-0000-0000FE150000}"/>
    <cellStyle name="Normal 37 4 4 2" xfId="5770" xr:uid="{00000000-0005-0000-0000-0000FF150000}"/>
    <cellStyle name="Normal 37 4 5" xfId="5771" xr:uid="{00000000-0005-0000-0000-000000160000}"/>
    <cellStyle name="Normal 37 5" xfId="5772" xr:uid="{00000000-0005-0000-0000-000001160000}"/>
    <cellStyle name="Normal 37 5 2" xfId="5773" xr:uid="{00000000-0005-0000-0000-000002160000}"/>
    <cellStyle name="Normal 37 5 2 2" xfId="5774" xr:uid="{00000000-0005-0000-0000-000003160000}"/>
    <cellStyle name="Normal 37 5 2 2 2" xfId="5775" xr:uid="{00000000-0005-0000-0000-000004160000}"/>
    <cellStyle name="Normal 37 5 2 2 2 2" xfId="5776" xr:uid="{00000000-0005-0000-0000-000005160000}"/>
    <cellStyle name="Normal 37 5 2 2 3" xfId="5777" xr:uid="{00000000-0005-0000-0000-000006160000}"/>
    <cellStyle name="Normal 37 5 2 3" xfId="5778" xr:uid="{00000000-0005-0000-0000-000007160000}"/>
    <cellStyle name="Normal 37 5 2 3 2" xfId="5779" xr:uid="{00000000-0005-0000-0000-000008160000}"/>
    <cellStyle name="Normal 37 5 2 4" xfId="5780" xr:uid="{00000000-0005-0000-0000-000009160000}"/>
    <cellStyle name="Normal 37 5 3" xfId="5781" xr:uid="{00000000-0005-0000-0000-00000A160000}"/>
    <cellStyle name="Normal 37 5 3 2" xfId="5782" xr:uid="{00000000-0005-0000-0000-00000B160000}"/>
    <cellStyle name="Normal 37 5 3 2 2" xfId="5783" xr:uid="{00000000-0005-0000-0000-00000C160000}"/>
    <cellStyle name="Normal 37 5 3 3" xfId="5784" xr:uid="{00000000-0005-0000-0000-00000D160000}"/>
    <cellStyle name="Normal 37 5 4" xfId="5785" xr:uid="{00000000-0005-0000-0000-00000E160000}"/>
    <cellStyle name="Normal 37 5 4 2" xfId="5786" xr:uid="{00000000-0005-0000-0000-00000F160000}"/>
    <cellStyle name="Normal 37 5 5" xfId="5787" xr:uid="{00000000-0005-0000-0000-000010160000}"/>
    <cellStyle name="Normal 37 6" xfId="5788" xr:uid="{00000000-0005-0000-0000-000011160000}"/>
    <cellStyle name="Normal 37 6 2" xfId="5789" xr:uid="{00000000-0005-0000-0000-000012160000}"/>
    <cellStyle name="Normal 37 6 2 2" xfId="5790" xr:uid="{00000000-0005-0000-0000-000013160000}"/>
    <cellStyle name="Normal 37 6 2 2 2" xfId="5791" xr:uid="{00000000-0005-0000-0000-000014160000}"/>
    <cellStyle name="Normal 37 6 2 3" xfId="5792" xr:uid="{00000000-0005-0000-0000-000015160000}"/>
    <cellStyle name="Normal 37 6 3" xfId="5793" xr:uid="{00000000-0005-0000-0000-000016160000}"/>
    <cellStyle name="Normal 37 6 3 2" xfId="5794" xr:uid="{00000000-0005-0000-0000-000017160000}"/>
    <cellStyle name="Normal 37 6 4" xfId="5795" xr:uid="{00000000-0005-0000-0000-000018160000}"/>
    <cellStyle name="Normal 37 7" xfId="5796" xr:uid="{00000000-0005-0000-0000-000019160000}"/>
    <cellStyle name="Normal 37 7 2" xfId="5797" xr:uid="{00000000-0005-0000-0000-00001A160000}"/>
    <cellStyle name="Normal 37 7 2 2" xfId="5798" xr:uid="{00000000-0005-0000-0000-00001B160000}"/>
    <cellStyle name="Normal 37 7 3" xfId="5799" xr:uid="{00000000-0005-0000-0000-00001C160000}"/>
    <cellStyle name="Normal 37 8" xfId="5800" xr:uid="{00000000-0005-0000-0000-00001D160000}"/>
    <cellStyle name="Normal 37 8 2" xfId="5801" xr:uid="{00000000-0005-0000-0000-00001E160000}"/>
    <cellStyle name="Normal 37 9" xfId="5802" xr:uid="{00000000-0005-0000-0000-00001F160000}"/>
    <cellStyle name="Normal 38" xfId="5803" xr:uid="{00000000-0005-0000-0000-000020160000}"/>
    <cellStyle name="Normal 38 2" xfId="5804" xr:uid="{00000000-0005-0000-0000-000021160000}"/>
    <cellStyle name="Normal 38 2 2" xfId="5805" xr:uid="{00000000-0005-0000-0000-000022160000}"/>
    <cellStyle name="Normal 38 3" xfId="5806" xr:uid="{00000000-0005-0000-0000-000023160000}"/>
    <cellStyle name="Normal 38 3 2" xfId="5807" xr:uid="{00000000-0005-0000-0000-000024160000}"/>
    <cellStyle name="Normal 38 3 2 2" xfId="5808" xr:uid="{00000000-0005-0000-0000-000025160000}"/>
    <cellStyle name="Normal 38 3 2 2 2" xfId="5809" xr:uid="{00000000-0005-0000-0000-000026160000}"/>
    <cellStyle name="Normal 38 3 2 2 2 2" xfId="5810" xr:uid="{00000000-0005-0000-0000-000027160000}"/>
    <cellStyle name="Normal 38 3 2 2 3" xfId="5811" xr:uid="{00000000-0005-0000-0000-000028160000}"/>
    <cellStyle name="Normal 38 3 2 3" xfId="5812" xr:uid="{00000000-0005-0000-0000-000029160000}"/>
    <cellStyle name="Normal 38 3 2 3 2" xfId="5813" xr:uid="{00000000-0005-0000-0000-00002A160000}"/>
    <cellStyle name="Normal 38 3 2 4" xfId="5814" xr:uid="{00000000-0005-0000-0000-00002B160000}"/>
    <cellStyle name="Normal 38 3 3" xfId="5815" xr:uid="{00000000-0005-0000-0000-00002C160000}"/>
    <cellStyle name="Normal 38 3 3 2" xfId="5816" xr:uid="{00000000-0005-0000-0000-00002D160000}"/>
    <cellStyle name="Normal 38 3 3 2 2" xfId="5817" xr:uid="{00000000-0005-0000-0000-00002E160000}"/>
    <cellStyle name="Normal 38 3 3 3" xfId="5818" xr:uid="{00000000-0005-0000-0000-00002F160000}"/>
    <cellStyle name="Normal 38 3 4" xfId="5819" xr:uid="{00000000-0005-0000-0000-000030160000}"/>
    <cellStyle name="Normal 38 3 4 2" xfId="5820" xr:uid="{00000000-0005-0000-0000-000031160000}"/>
    <cellStyle name="Normal 38 3 5" xfId="5821" xr:uid="{00000000-0005-0000-0000-000032160000}"/>
    <cellStyle name="Normal 38 4" xfId="5822" xr:uid="{00000000-0005-0000-0000-000033160000}"/>
    <cellStyle name="Normal 38 4 2" xfId="5823" xr:uid="{00000000-0005-0000-0000-000034160000}"/>
    <cellStyle name="Normal 38 4 2 2" xfId="5824" xr:uid="{00000000-0005-0000-0000-000035160000}"/>
    <cellStyle name="Normal 38 4 2 2 2" xfId="5825" xr:uid="{00000000-0005-0000-0000-000036160000}"/>
    <cellStyle name="Normal 38 4 2 2 2 2" xfId="5826" xr:uid="{00000000-0005-0000-0000-000037160000}"/>
    <cellStyle name="Normal 38 4 2 2 3" xfId="5827" xr:uid="{00000000-0005-0000-0000-000038160000}"/>
    <cellStyle name="Normal 38 4 2 3" xfId="5828" xr:uid="{00000000-0005-0000-0000-000039160000}"/>
    <cellStyle name="Normal 38 4 2 3 2" xfId="5829" xr:uid="{00000000-0005-0000-0000-00003A160000}"/>
    <cellStyle name="Normal 38 4 2 4" xfId="5830" xr:uid="{00000000-0005-0000-0000-00003B160000}"/>
    <cellStyle name="Normal 38 4 3" xfId="5831" xr:uid="{00000000-0005-0000-0000-00003C160000}"/>
    <cellStyle name="Normal 38 4 3 2" xfId="5832" xr:uid="{00000000-0005-0000-0000-00003D160000}"/>
    <cellStyle name="Normal 38 4 3 2 2" xfId="5833" xr:uid="{00000000-0005-0000-0000-00003E160000}"/>
    <cellStyle name="Normal 38 4 3 3" xfId="5834" xr:uid="{00000000-0005-0000-0000-00003F160000}"/>
    <cellStyle name="Normal 38 4 4" xfId="5835" xr:uid="{00000000-0005-0000-0000-000040160000}"/>
    <cellStyle name="Normal 38 4 4 2" xfId="5836" xr:uid="{00000000-0005-0000-0000-000041160000}"/>
    <cellStyle name="Normal 38 4 5" xfId="5837" xr:uid="{00000000-0005-0000-0000-000042160000}"/>
    <cellStyle name="Normal 38 5" xfId="5838" xr:uid="{00000000-0005-0000-0000-000043160000}"/>
    <cellStyle name="Normal 38 5 2" xfId="5839" xr:uid="{00000000-0005-0000-0000-000044160000}"/>
    <cellStyle name="Normal 38 5 2 2" xfId="5840" xr:uid="{00000000-0005-0000-0000-000045160000}"/>
    <cellStyle name="Normal 38 5 2 2 2" xfId="5841" xr:uid="{00000000-0005-0000-0000-000046160000}"/>
    <cellStyle name="Normal 38 5 2 2 2 2" xfId="5842" xr:uid="{00000000-0005-0000-0000-000047160000}"/>
    <cellStyle name="Normal 38 5 2 2 3" xfId="5843" xr:uid="{00000000-0005-0000-0000-000048160000}"/>
    <cellStyle name="Normal 38 5 2 3" xfId="5844" xr:uid="{00000000-0005-0000-0000-000049160000}"/>
    <cellStyle name="Normal 38 5 2 3 2" xfId="5845" xr:uid="{00000000-0005-0000-0000-00004A160000}"/>
    <cellStyle name="Normal 38 5 2 4" xfId="5846" xr:uid="{00000000-0005-0000-0000-00004B160000}"/>
    <cellStyle name="Normal 38 5 3" xfId="5847" xr:uid="{00000000-0005-0000-0000-00004C160000}"/>
    <cellStyle name="Normal 38 5 3 2" xfId="5848" xr:uid="{00000000-0005-0000-0000-00004D160000}"/>
    <cellStyle name="Normal 38 5 3 2 2" xfId="5849" xr:uid="{00000000-0005-0000-0000-00004E160000}"/>
    <cellStyle name="Normal 38 5 3 3" xfId="5850" xr:uid="{00000000-0005-0000-0000-00004F160000}"/>
    <cellStyle name="Normal 38 5 4" xfId="5851" xr:uid="{00000000-0005-0000-0000-000050160000}"/>
    <cellStyle name="Normal 38 5 4 2" xfId="5852" xr:uid="{00000000-0005-0000-0000-000051160000}"/>
    <cellStyle name="Normal 38 5 5" xfId="5853" xr:uid="{00000000-0005-0000-0000-000052160000}"/>
    <cellStyle name="Normal 38 6" xfId="5854" xr:uid="{00000000-0005-0000-0000-000053160000}"/>
    <cellStyle name="Normal 38 6 2" xfId="5855" xr:uid="{00000000-0005-0000-0000-000054160000}"/>
    <cellStyle name="Normal 38 6 2 2" xfId="5856" xr:uid="{00000000-0005-0000-0000-000055160000}"/>
    <cellStyle name="Normal 38 6 2 2 2" xfId="5857" xr:uid="{00000000-0005-0000-0000-000056160000}"/>
    <cellStyle name="Normal 38 6 2 3" xfId="5858" xr:uid="{00000000-0005-0000-0000-000057160000}"/>
    <cellStyle name="Normal 38 6 3" xfId="5859" xr:uid="{00000000-0005-0000-0000-000058160000}"/>
    <cellStyle name="Normal 38 6 3 2" xfId="5860" xr:uid="{00000000-0005-0000-0000-000059160000}"/>
    <cellStyle name="Normal 38 6 4" xfId="5861" xr:uid="{00000000-0005-0000-0000-00005A160000}"/>
    <cellStyle name="Normal 38 7" xfId="5862" xr:uid="{00000000-0005-0000-0000-00005B160000}"/>
    <cellStyle name="Normal 38 7 2" xfId="5863" xr:uid="{00000000-0005-0000-0000-00005C160000}"/>
    <cellStyle name="Normal 38 7 2 2" xfId="5864" xr:uid="{00000000-0005-0000-0000-00005D160000}"/>
    <cellStyle name="Normal 38 7 3" xfId="5865" xr:uid="{00000000-0005-0000-0000-00005E160000}"/>
    <cellStyle name="Normal 38 8" xfId="5866" xr:uid="{00000000-0005-0000-0000-00005F160000}"/>
    <cellStyle name="Normal 38 8 2" xfId="5867" xr:uid="{00000000-0005-0000-0000-000060160000}"/>
    <cellStyle name="Normal 38 9" xfId="5868" xr:uid="{00000000-0005-0000-0000-000061160000}"/>
    <cellStyle name="Normal 39" xfId="5869" xr:uid="{00000000-0005-0000-0000-000062160000}"/>
    <cellStyle name="Normal 39 2" xfId="5870" xr:uid="{00000000-0005-0000-0000-000063160000}"/>
    <cellStyle name="Normal 39 2 2" xfId="5871" xr:uid="{00000000-0005-0000-0000-000064160000}"/>
    <cellStyle name="Normal 39 3" xfId="5872" xr:uid="{00000000-0005-0000-0000-000065160000}"/>
    <cellStyle name="Normal 39 3 2" xfId="5873" xr:uid="{00000000-0005-0000-0000-000066160000}"/>
    <cellStyle name="Normal 39 3 2 2" xfId="5874" xr:uid="{00000000-0005-0000-0000-000067160000}"/>
    <cellStyle name="Normal 39 3 2 2 2" xfId="5875" xr:uid="{00000000-0005-0000-0000-000068160000}"/>
    <cellStyle name="Normal 39 3 2 2 2 2" xfId="5876" xr:uid="{00000000-0005-0000-0000-000069160000}"/>
    <cellStyle name="Normal 39 3 2 2 3" xfId="5877" xr:uid="{00000000-0005-0000-0000-00006A160000}"/>
    <cellStyle name="Normal 39 3 2 3" xfId="5878" xr:uid="{00000000-0005-0000-0000-00006B160000}"/>
    <cellStyle name="Normal 39 3 2 3 2" xfId="5879" xr:uid="{00000000-0005-0000-0000-00006C160000}"/>
    <cellStyle name="Normal 39 3 2 4" xfId="5880" xr:uid="{00000000-0005-0000-0000-00006D160000}"/>
    <cellStyle name="Normal 39 3 3" xfId="5881" xr:uid="{00000000-0005-0000-0000-00006E160000}"/>
    <cellStyle name="Normal 39 3 3 2" xfId="5882" xr:uid="{00000000-0005-0000-0000-00006F160000}"/>
    <cellStyle name="Normal 39 3 3 2 2" xfId="5883" xr:uid="{00000000-0005-0000-0000-000070160000}"/>
    <cellStyle name="Normal 39 3 3 3" xfId="5884" xr:uid="{00000000-0005-0000-0000-000071160000}"/>
    <cellStyle name="Normal 39 3 4" xfId="5885" xr:uid="{00000000-0005-0000-0000-000072160000}"/>
    <cellStyle name="Normal 39 3 4 2" xfId="5886" xr:uid="{00000000-0005-0000-0000-000073160000}"/>
    <cellStyle name="Normal 39 3 5" xfId="5887" xr:uid="{00000000-0005-0000-0000-000074160000}"/>
    <cellStyle name="Normal 39 4" xfId="5888" xr:uid="{00000000-0005-0000-0000-000075160000}"/>
    <cellStyle name="Normal 39 4 2" xfId="5889" xr:uid="{00000000-0005-0000-0000-000076160000}"/>
    <cellStyle name="Normal 39 4 2 2" xfId="5890" xr:uid="{00000000-0005-0000-0000-000077160000}"/>
    <cellStyle name="Normal 39 4 2 2 2" xfId="5891" xr:uid="{00000000-0005-0000-0000-000078160000}"/>
    <cellStyle name="Normal 39 4 2 2 2 2" xfId="5892" xr:uid="{00000000-0005-0000-0000-000079160000}"/>
    <cellStyle name="Normal 39 4 2 2 3" xfId="5893" xr:uid="{00000000-0005-0000-0000-00007A160000}"/>
    <cellStyle name="Normal 39 4 2 3" xfId="5894" xr:uid="{00000000-0005-0000-0000-00007B160000}"/>
    <cellStyle name="Normal 39 4 2 3 2" xfId="5895" xr:uid="{00000000-0005-0000-0000-00007C160000}"/>
    <cellStyle name="Normal 39 4 2 4" xfId="5896" xr:uid="{00000000-0005-0000-0000-00007D160000}"/>
    <cellStyle name="Normal 39 4 3" xfId="5897" xr:uid="{00000000-0005-0000-0000-00007E160000}"/>
    <cellStyle name="Normal 39 4 3 2" xfId="5898" xr:uid="{00000000-0005-0000-0000-00007F160000}"/>
    <cellStyle name="Normal 39 4 3 2 2" xfId="5899" xr:uid="{00000000-0005-0000-0000-000080160000}"/>
    <cellStyle name="Normal 39 4 3 3" xfId="5900" xr:uid="{00000000-0005-0000-0000-000081160000}"/>
    <cellStyle name="Normal 39 4 4" xfId="5901" xr:uid="{00000000-0005-0000-0000-000082160000}"/>
    <cellStyle name="Normal 39 4 4 2" xfId="5902" xr:uid="{00000000-0005-0000-0000-000083160000}"/>
    <cellStyle name="Normal 39 4 5" xfId="5903" xr:uid="{00000000-0005-0000-0000-000084160000}"/>
    <cellStyle name="Normal 39 5" xfId="5904" xr:uid="{00000000-0005-0000-0000-000085160000}"/>
    <cellStyle name="Normal 39 5 2" xfId="5905" xr:uid="{00000000-0005-0000-0000-000086160000}"/>
    <cellStyle name="Normal 39 5 2 2" xfId="5906" xr:uid="{00000000-0005-0000-0000-000087160000}"/>
    <cellStyle name="Normal 39 5 2 2 2" xfId="5907" xr:uid="{00000000-0005-0000-0000-000088160000}"/>
    <cellStyle name="Normal 39 5 2 2 2 2" xfId="5908" xr:uid="{00000000-0005-0000-0000-000089160000}"/>
    <cellStyle name="Normal 39 5 2 2 3" xfId="5909" xr:uid="{00000000-0005-0000-0000-00008A160000}"/>
    <cellStyle name="Normal 39 5 2 3" xfId="5910" xr:uid="{00000000-0005-0000-0000-00008B160000}"/>
    <cellStyle name="Normal 39 5 2 3 2" xfId="5911" xr:uid="{00000000-0005-0000-0000-00008C160000}"/>
    <cellStyle name="Normal 39 5 2 4" xfId="5912" xr:uid="{00000000-0005-0000-0000-00008D160000}"/>
    <cellStyle name="Normal 39 5 3" xfId="5913" xr:uid="{00000000-0005-0000-0000-00008E160000}"/>
    <cellStyle name="Normal 39 5 3 2" xfId="5914" xr:uid="{00000000-0005-0000-0000-00008F160000}"/>
    <cellStyle name="Normal 39 5 3 2 2" xfId="5915" xr:uid="{00000000-0005-0000-0000-000090160000}"/>
    <cellStyle name="Normal 39 5 3 3" xfId="5916" xr:uid="{00000000-0005-0000-0000-000091160000}"/>
    <cellStyle name="Normal 39 5 4" xfId="5917" xr:uid="{00000000-0005-0000-0000-000092160000}"/>
    <cellStyle name="Normal 39 5 4 2" xfId="5918" xr:uid="{00000000-0005-0000-0000-000093160000}"/>
    <cellStyle name="Normal 39 5 5" xfId="5919" xr:uid="{00000000-0005-0000-0000-000094160000}"/>
    <cellStyle name="Normal 39 6" xfId="5920" xr:uid="{00000000-0005-0000-0000-000095160000}"/>
    <cellStyle name="Normal 39 6 2" xfId="5921" xr:uid="{00000000-0005-0000-0000-000096160000}"/>
    <cellStyle name="Normal 39 6 2 2" xfId="5922" xr:uid="{00000000-0005-0000-0000-000097160000}"/>
    <cellStyle name="Normal 39 6 2 2 2" xfId="5923" xr:uid="{00000000-0005-0000-0000-000098160000}"/>
    <cellStyle name="Normal 39 6 2 3" xfId="5924" xr:uid="{00000000-0005-0000-0000-000099160000}"/>
    <cellStyle name="Normal 39 6 3" xfId="5925" xr:uid="{00000000-0005-0000-0000-00009A160000}"/>
    <cellStyle name="Normal 39 6 3 2" xfId="5926" xr:uid="{00000000-0005-0000-0000-00009B160000}"/>
    <cellStyle name="Normal 39 6 4" xfId="5927" xr:uid="{00000000-0005-0000-0000-00009C160000}"/>
    <cellStyle name="Normal 39 7" xfId="5928" xr:uid="{00000000-0005-0000-0000-00009D160000}"/>
    <cellStyle name="Normal 39 7 2" xfId="5929" xr:uid="{00000000-0005-0000-0000-00009E160000}"/>
    <cellStyle name="Normal 39 7 2 2" xfId="5930" xr:uid="{00000000-0005-0000-0000-00009F160000}"/>
    <cellStyle name="Normal 39 7 3" xfId="5931" xr:uid="{00000000-0005-0000-0000-0000A0160000}"/>
    <cellStyle name="Normal 39 8" xfId="5932" xr:uid="{00000000-0005-0000-0000-0000A1160000}"/>
    <cellStyle name="Normal 39 8 2" xfId="5933" xr:uid="{00000000-0005-0000-0000-0000A2160000}"/>
    <cellStyle name="Normal 39 9" xfId="5934" xr:uid="{00000000-0005-0000-0000-0000A3160000}"/>
    <cellStyle name="Normal 4" xfId="238" xr:uid="{00000000-0005-0000-0000-0000A4160000}"/>
    <cellStyle name="Normal 4 10" xfId="5935" xr:uid="{00000000-0005-0000-0000-0000A5160000}"/>
    <cellStyle name="Normal 4 11" xfId="5936" xr:uid="{00000000-0005-0000-0000-0000A6160000}"/>
    <cellStyle name="Normal 4 2" xfId="239" xr:uid="{00000000-0005-0000-0000-0000A7160000}"/>
    <cellStyle name="Normal 4 2 10" xfId="5937" xr:uid="{00000000-0005-0000-0000-0000A8160000}"/>
    <cellStyle name="Normal 4 2 2" xfId="240" xr:uid="{00000000-0005-0000-0000-0000A9160000}"/>
    <cellStyle name="Normal 4 2 2 2" xfId="241" xr:uid="{00000000-0005-0000-0000-0000AA160000}"/>
    <cellStyle name="Normal 4 2 2 2 2" xfId="242" xr:uid="{00000000-0005-0000-0000-0000AB160000}"/>
    <cellStyle name="Normal 4 2 2 2 2 2" xfId="243" xr:uid="{00000000-0005-0000-0000-0000AC160000}"/>
    <cellStyle name="Normal 4 2 2 2 3" xfId="244" xr:uid="{00000000-0005-0000-0000-0000AD160000}"/>
    <cellStyle name="Normal 4 2 2 2 3 2" xfId="245" xr:uid="{00000000-0005-0000-0000-0000AE160000}"/>
    <cellStyle name="Normal 4 2 2 2 4" xfId="246" xr:uid="{00000000-0005-0000-0000-0000AF160000}"/>
    <cellStyle name="Normal 4 2 2 3" xfId="247" xr:uid="{00000000-0005-0000-0000-0000B0160000}"/>
    <cellStyle name="Normal 4 2 2 3 2" xfId="248" xr:uid="{00000000-0005-0000-0000-0000B1160000}"/>
    <cellStyle name="Normal 4 2 2 4" xfId="249" xr:uid="{00000000-0005-0000-0000-0000B2160000}"/>
    <cellStyle name="Normal 4 2 2 4 2" xfId="250" xr:uid="{00000000-0005-0000-0000-0000B3160000}"/>
    <cellStyle name="Normal 4 2 2 5" xfId="251" xr:uid="{00000000-0005-0000-0000-0000B4160000}"/>
    <cellStyle name="Normal 4 2 2 5 2" xfId="252" xr:uid="{00000000-0005-0000-0000-0000B5160000}"/>
    <cellStyle name="Normal 4 2 2 6" xfId="253" xr:uid="{00000000-0005-0000-0000-0000B6160000}"/>
    <cellStyle name="Normal 4 2 3" xfId="254" xr:uid="{00000000-0005-0000-0000-0000B7160000}"/>
    <cellStyle name="Normal 4 2 3 2" xfId="255" xr:uid="{00000000-0005-0000-0000-0000B8160000}"/>
    <cellStyle name="Normal 4 2 3 2 2" xfId="256" xr:uid="{00000000-0005-0000-0000-0000B9160000}"/>
    <cellStyle name="Normal 4 2 3 3" xfId="257" xr:uid="{00000000-0005-0000-0000-0000BA160000}"/>
    <cellStyle name="Normal 4 2 3 3 2" xfId="258" xr:uid="{00000000-0005-0000-0000-0000BB160000}"/>
    <cellStyle name="Normal 4 2 3 4" xfId="259" xr:uid="{00000000-0005-0000-0000-0000BC160000}"/>
    <cellStyle name="Normal 4 2 3 5" xfId="5938" xr:uid="{00000000-0005-0000-0000-0000BD160000}"/>
    <cellStyle name="Normal 4 2 4" xfId="260" xr:uid="{00000000-0005-0000-0000-0000BE160000}"/>
    <cellStyle name="Normal 4 2 4 2" xfId="261" xr:uid="{00000000-0005-0000-0000-0000BF160000}"/>
    <cellStyle name="Normal 4 2 4 3" xfId="5939" xr:uid="{00000000-0005-0000-0000-0000C0160000}"/>
    <cellStyle name="Normal 4 2 5" xfId="262" xr:uid="{00000000-0005-0000-0000-0000C1160000}"/>
    <cellStyle name="Normal 4 2 5 2" xfId="263" xr:uid="{00000000-0005-0000-0000-0000C2160000}"/>
    <cellStyle name="Normal 4 2 6" xfId="264" xr:uid="{00000000-0005-0000-0000-0000C3160000}"/>
    <cellStyle name="Normal 4 2 6 2" xfId="265" xr:uid="{00000000-0005-0000-0000-0000C4160000}"/>
    <cellStyle name="Normal 4 2 7" xfId="266" xr:uid="{00000000-0005-0000-0000-0000C5160000}"/>
    <cellStyle name="Normal 4 2 8" xfId="5940" xr:uid="{00000000-0005-0000-0000-0000C6160000}"/>
    <cellStyle name="Normal 4 2 9" xfId="5941" xr:uid="{00000000-0005-0000-0000-0000C7160000}"/>
    <cellStyle name="Normal 4 3" xfId="267" xr:uid="{00000000-0005-0000-0000-0000C8160000}"/>
    <cellStyle name="Normal 4 3 2" xfId="268" xr:uid="{00000000-0005-0000-0000-0000C9160000}"/>
    <cellStyle name="Normal 4 3 2 2" xfId="269" xr:uid="{00000000-0005-0000-0000-0000CA160000}"/>
    <cellStyle name="Normal 4 3 2 2 2" xfId="270" xr:uid="{00000000-0005-0000-0000-0000CB160000}"/>
    <cellStyle name="Normal 4 3 2 3" xfId="271" xr:uid="{00000000-0005-0000-0000-0000CC160000}"/>
    <cellStyle name="Normal 4 3 2 3 2" xfId="272" xr:uid="{00000000-0005-0000-0000-0000CD160000}"/>
    <cellStyle name="Normal 4 3 2 4" xfId="273" xr:uid="{00000000-0005-0000-0000-0000CE160000}"/>
    <cellStyle name="Normal 4 3 2 5" xfId="5942" xr:uid="{00000000-0005-0000-0000-0000CF160000}"/>
    <cellStyle name="Normal 4 3 3" xfId="274" xr:uid="{00000000-0005-0000-0000-0000D0160000}"/>
    <cellStyle name="Normal 4 3 3 2" xfId="275" xr:uid="{00000000-0005-0000-0000-0000D1160000}"/>
    <cellStyle name="Normal 4 3 4" xfId="276" xr:uid="{00000000-0005-0000-0000-0000D2160000}"/>
    <cellStyle name="Normal 4 3 4 2" xfId="277" xr:uid="{00000000-0005-0000-0000-0000D3160000}"/>
    <cellStyle name="Normal 4 3 5" xfId="278" xr:uid="{00000000-0005-0000-0000-0000D4160000}"/>
    <cellStyle name="Normal 4 3 5 2" xfId="279" xr:uid="{00000000-0005-0000-0000-0000D5160000}"/>
    <cellStyle name="Normal 4 3 6" xfId="280" xr:uid="{00000000-0005-0000-0000-0000D6160000}"/>
    <cellStyle name="Normal 4 3 7" xfId="5943" xr:uid="{00000000-0005-0000-0000-0000D7160000}"/>
    <cellStyle name="Normal 4 4" xfId="281" xr:uid="{00000000-0005-0000-0000-0000D8160000}"/>
    <cellStyle name="Normal 4 4 2" xfId="282" xr:uid="{00000000-0005-0000-0000-0000D9160000}"/>
    <cellStyle name="Normal 4 4 2 2" xfId="283" xr:uid="{00000000-0005-0000-0000-0000DA160000}"/>
    <cellStyle name="Normal 4 4 2 3" xfId="5944" xr:uid="{00000000-0005-0000-0000-0000DB160000}"/>
    <cellStyle name="Normal 4 4 3" xfId="284" xr:uid="{00000000-0005-0000-0000-0000DC160000}"/>
    <cellStyle name="Normal 4 4 3 2" xfId="285" xr:uid="{00000000-0005-0000-0000-0000DD160000}"/>
    <cellStyle name="Normal 4 4 4" xfId="286" xr:uid="{00000000-0005-0000-0000-0000DE160000}"/>
    <cellStyle name="Normal 4 4 5" xfId="5945" xr:uid="{00000000-0005-0000-0000-0000DF160000}"/>
    <cellStyle name="Normal 4 5" xfId="287" xr:uid="{00000000-0005-0000-0000-0000E0160000}"/>
    <cellStyle name="Normal 4 5 2" xfId="288" xr:uid="{00000000-0005-0000-0000-0000E1160000}"/>
    <cellStyle name="Normal 4 5 3" xfId="5946" xr:uid="{00000000-0005-0000-0000-0000E2160000}"/>
    <cellStyle name="Normal 4 6" xfId="289" xr:uid="{00000000-0005-0000-0000-0000E3160000}"/>
    <cellStyle name="Normal 4 6 2" xfId="290" xr:uid="{00000000-0005-0000-0000-0000E4160000}"/>
    <cellStyle name="Normal 4 7" xfId="291" xr:uid="{00000000-0005-0000-0000-0000E5160000}"/>
    <cellStyle name="Normal 4 7 2" xfId="292" xr:uid="{00000000-0005-0000-0000-0000E6160000}"/>
    <cellStyle name="Normal 4 8" xfId="293" xr:uid="{00000000-0005-0000-0000-0000E7160000}"/>
    <cellStyle name="Normal 4 9" xfId="294" xr:uid="{00000000-0005-0000-0000-0000E8160000}"/>
    <cellStyle name="Normal 40" xfId="5947" xr:uid="{00000000-0005-0000-0000-0000E9160000}"/>
    <cellStyle name="Normal 40 2" xfId="5948" xr:uid="{00000000-0005-0000-0000-0000EA160000}"/>
    <cellStyle name="Normal 40 2 2" xfId="5949" xr:uid="{00000000-0005-0000-0000-0000EB160000}"/>
    <cellStyle name="Normal 40 3" xfId="5950" xr:uid="{00000000-0005-0000-0000-0000EC160000}"/>
    <cellStyle name="Normal 40 3 2" xfId="5951" xr:uid="{00000000-0005-0000-0000-0000ED160000}"/>
    <cellStyle name="Normal 40 3 2 2" xfId="5952" xr:uid="{00000000-0005-0000-0000-0000EE160000}"/>
    <cellStyle name="Normal 40 3 2 2 2" xfId="5953" xr:uid="{00000000-0005-0000-0000-0000EF160000}"/>
    <cellStyle name="Normal 40 3 2 2 2 2" xfId="5954" xr:uid="{00000000-0005-0000-0000-0000F0160000}"/>
    <cellStyle name="Normal 40 3 2 2 3" xfId="5955" xr:uid="{00000000-0005-0000-0000-0000F1160000}"/>
    <cellStyle name="Normal 40 3 2 3" xfId="5956" xr:uid="{00000000-0005-0000-0000-0000F2160000}"/>
    <cellStyle name="Normal 40 3 2 3 2" xfId="5957" xr:uid="{00000000-0005-0000-0000-0000F3160000}"/>
    <cellStyle name="Normal 40 3 2 4" xfId="5958" xr:uid="{00000000-0005-0000-0000-0000F4160000}"/>
    <cellStyle name="Normal 40 3 3" xfId="5959" xr:uid="{00000000-0005-0000-0000-0000F5160000}"/>
    <cellStyle name="Normal 40 3 3 2" xfId="5960" xr:uid="{00000000-0005-0000-0000-0000F6160000}"/>
    <cellStyle name="Normal 40 3 3 2 2" xfId="5961" xr:uid="{00000000-0005-0000-0000-0000F7160000}"/>
    <cellStyle name="Normal 40 3 3 3" xfId="5962" xr:uid="{00000000-0005-0000-0000-0000F8160000}"/>
    <cellStyle name="Normal 40 3 4" xfId="5963" xr:uid="{00000000-0005-0000-0000-0000F9160000}"/>
    <cellStyle name="Normal 40 3 4 2" xfId="5964" xr:uid="{00000000-0005-0000-0000-0000FA160000}"/>
    <cellStyle name="Normal 40 3 5" xfId="5965" xr:uid="{00000000-0005-0000-0000-0000FB160000}"/>
    <cellStyle name="Normal 40 4" xfId="5966" xr:uid="{00000000-0005-0000-0000-0000FC160000}"/>
    <cellStyle name="Normal 40 4 2" xfId="5967" xr:uid="{00000000-0005-0000-0000-0000FD160000}"/>
    <cellStyle name="Normal 40 4 2 2" xfId="5968" xr:uid="{00000000-0005-0000-0000-0000FE160000}"/>
    <cellStyle name="Normal 40 4 2 2 2" xfId="5969" xr:uid="{00000000-0005-0000-0000-0000FF160000}"/>
    <cellStyle name="Normal 40 4 2 2 2 2" xfId="5970" xr:uid="{00000000-0005-0000-0000-000000170000}"/>
    <cellStyle name="Normal 40 4 2 2 3" xfId="5971" xr:uid="{00000000-0005-0000-0000-000001170000}"/>
    <cellStyle name="Normal 40 4 2 3" xfId="5972" xr:uid="{00000000-0005-0000-0000-000002170000}"/>
    <cellStyle name="Normal 40 4 2 3 2" xfId="5973" xr:uid="{00000000-0005-0000-0000-000003170000}"/>
    <cellStyle name="Normal 40 4 2 4" xfId="5974" xr:uid="{00000000-0005-0000-0000-000004170000}"/>
    <cellStyle name="Normal 40 4 3" xfId="5975" xr:uid="{00000000-0005-0000-0000-000005170000}"/>
    <cellStyle name="Normal 40 4 3 2" xfId="5976" xr:uid="{00000000-0005-0000-0000-000006170000}"/>
    <cellStyle name="Normal 40 4 3 2 2" xfId="5977" xr:uid="{00000000-0005-0000-0000-000007170000}"/>
    <cellStyle name="Normal 40 4 3 3" xfId="5978" xr:uid="{00000000-0005-0000-0000-000008170000}"/>
    <cellStyle name="Normal 40 4 4" xfId="5979" xr:uid="{00000000-0005-0000-0000-000009170000}"/>
    <cellStyle name="Normal 40 4 4 2" xfId="5980" xr:uid="{00000000-0005-0000-0000-00000A170000}"/>
    <cellStyle name="Normal 40 4 5" xfId="5981" xr:uid="{00000000-0005-0000-0000-00000B170000}"/>
    <cellStyle name="Normal 40 5" xfId="5982" xr:uid="{00000000-0005-0000-0000-00000C170000}"/>
    <cellStyle name="Normal 40 5 2" xfId="5983" xr:uid="{00000000-0005-0000-0000-00000D170000}"/>
    <cellStyle name="Normal 40 5 2 2" xfId="5984" xr:uid="{00000000-0005-0000-0000-00000E170000}"/>
    <cellStyle name="Normal 40 5 2 2 2" xfId="5985" xr:uid="{00000000-0005-0000-0000-00000F170000}"/>
    <cellStyle name="Normal 40 5 2 2 2 2" xfId="5986" xr:uid="{00000000-0005-0000-0000-000010170000}"/>
    <cellStyle name="Normal 40 5 2 2 3" xfId="5987" xr:uid="{00000000-0005-0000-0000-000011170000}"/>
    <cellStyle name="Normal 40 5 2 3" xfId="5988" xr:uid="{00000000-0005-0000-0000-000012170000}"/>
    <cellStyle name="Normal 40 5 2 3 2" xfId="5989" xr:uid="{00000000-0005-0000-0000-000013170000}"/>
    <cellStyle name="Normal 40 5 2 4" xfId="5990" xr:uid="{00000000-0005-0000-0000-000014170000}"/>
    <cellStyle name="Normal 40 5 3" xfId="5991" xr:uid="{00000000-0005-0000-0000-000015170000}"/>
    <cellStyle name="Normal 40 5 3 2" xfId="5992" xr:uid="{00000000-0005-0000-0000-000016170000}"/>
    <cellStyle name="Normal 40 5 3 2 2" xfId="5993" xr:uid="{00000000-0005-0000-0000-000017170000}"/>
    <cellStyle name="Normal 40 5 3 3" xfId="5994" xr:uid="{00000000-0005-0000-0000-000018170000}"/>
    <cellStyle name="Normal 40 5 4" xfId="5995" xr:uid="{00000000-0005-0000-0000-000019170000}"/>
    <cellStyle name="Normal 40 5 4 2" xfId="5996" xr:uid="{00000000-0005-0000-0000-00001A170000}"/>
    <cellStyle name="Normal 40 5 5" xfId="5997" xr:uid="{00000000-0005-0000-0000-00001B170000}"/>
    <cellStyle name="Normal 40 6" xfId="5998" xr:uid="{00000000-0005-0000-0000-00001C170000}"/>
    <cellStyle name="Normal 40 6 2" xfId="5999" xr:uid="{00000000-0005-0000-0000-00001D170000}"/>
    <cellStyle name="Normal 40 6 2 2" xfId="6000" xr:uid="{00000000-0005-0000-0000-00001E170000}"/>
    <cellStyle name="Normal 40 6 2 2 2" xfId="6001" xr:uid="{00000000-0005-0000-0000-00001F170000}"/>
    <cellStyle name="Normal 40 6 2 3" xfId="6002" xr:uid="{00000000-0005-0000-0000-000020170000}"/>
    <cellStyle name="Normal 40 6 3" xfId="6003" xr:uid="{00000000-0005-0000-0000-000021170000}"/>
    <cellStyle name="Normal 40 6 3 2" xfId="6004" xr:uid="{00000000-0005-0000-0000-000022170000}"/>
    <cellStyle name="Normal 40 6 4" xfId="6005" xr:uid="{00000000-0005-0000-0000-000023170000}"/>
    <cellStyle name="Normal 40 7" xfId="6006" xr:uid="{00000000-0005-0000-0000-000024170000}"/>
    <cellStyle name="Normal 40 7 2" xfId="6007" xr:uid="{00000000-0005-0000-0000-000025170000}"/>
    <cellStyle name="Normal 40 7 2 2" xfId="6008" xr:uid="{00000000-0005-0000-0000-000026170000}"/>
    <cellStyle name="Normal 40 7 3" xfId="6009" xr:uid="{00000000-0005-0000-0000-000027170000}"/>
    <cellStyle name="Normal 40 8" xfId="6010" xr:uid="{00000000-0005-0000-0000-000028170000}"/>
    <cellStyle name="Normal 40 8 2" xfId="6011" xr:uid="{00000000-0005-0000-0000-000029170000}"/>
    <cellStyle name="Normal 40 9" xfId="6012" xr:uid="{00000000-0005-0000-0000-00002A170000}"/>
    <cellStyle name="Normal 41" xfId="6013" xr:uid="{00000000-0005-0000-0000-00002B170000}"/>
    <cellStyle name="Normal 41 2" xfId="6014" xr:uid="{00000000-0005-0000-0000-00002C170000}"/>
    <cellStyle name="Normal 41 2 2" xfId="6015" xr:uid="{00000000-0005-0000-0000-00002D170000}"/>
    <cellStyle name="Normal 41 3" xfId="6016" xr:uid="{00000000-0005-0000-0000-00002E170000}"/>
    <cellStyle name="Normal 41 3 2" xfId="6017" xr:uid="{00000000-0005-0000-0000-00002F170000}"/>
    <cellStyle name="Normal 41 3 2 2" xfId="6018" xr:uid="{00000000-0005-0000-0000-000030170000}"/>
    <cellStyle name="Normal 41 3 2 2 2" xfId="6019" xr:uid="{00000000-0005-0000-0000-000031170000}"/>
    <cellStyle name="Normal 41 3 2 2 2 2" xfId="6020" xr:uid="{00000000-0005-0000-0000-000032170000}"/>
    <cellStyle name="Normal 41 3 2 2 3" xfId="6021" xr:uid="{00000000-0005-0000-0000-000033170000}"/>
    <cellStyle name="Normal 41 3 2 3" xfId="6022" xr:uid="{00000000-0005-0000-0000-000034170000}"/>
    <cellStyle name="Normal 41 3 2 3 2" xfId="6023" xr:uid="{00000000-0005-0000-0000-000035170000}"/>
    <cellStyle name="Normal 41 3 2 4" xfId="6024" xr:uid="{00000000-0005-0000-0000-000036170000}"/>
    <cellStyle name="Normal 41 3 3" xfId="6025" xr:uid="{00000000-0005-0000-0000-000037170000}"/>
    <cellStyle name="Normal 41 3 3 2" xfId="6026" xr:uid="{00000000-0005-0000-0000-000038170000}"/>
    <cellStyle name="Normal 41 3 3 2 2" xfId="6027" xr:uid="{00000000-0005-0000-0000-000039170000}"/>
    <cellStyle name="Normal 41 3 3 3" xfId="6028" xr:uid="{00000000-0005-0000-0000-00003A170000}"/>
    <cellStyle name="Normal 41 3 4" xfId="6029" xr:uid="{00000000-0005-0000-0000-00003B170000}"/>
    <cellStyle name="Normal 41 3 4 2" xfId="6030" xr:uid="{00000000-0005-0000-0000-00003C170000}"/>
    <cellStyle name="Normal 41 3 5" xfId="6031" xr:uid="{00000000-0005-0000-0000-00003D170000}"/>
    <cellStyle name="Normal 41 4" xfId="6032" xr:uid="{00000000-0005-0000-0000-00003E170000}"/>
    <cellStyle name="Normal 41 4 2" xfId="6033" xr:uid="{00000000-0005-0000-0000-00003F170000}"/>
    <cellStyle name="Normal 41 4 2 2" xfId="6034" xr:uid="{00000000-0005-0000-0000-000040170000}"/>
    <cellStyle name="Normal 41 4 2 2 2" xfId="6035" xr:uid="{00000000-0005-0000-0000-000041170000}"/>
    <cellStyle name="Normal 41 4 2 2 2 2" xfId="6036" xr:uid="{00000000-0005-0000-0000-000042170000}"/>
    <cellStyle name="Normal 41 4 2 2 3" xfId="6037" xr:uid="{00000000-0005-0000-0000-000043170000}"/>
    <cellStyle name="Normal 41 4 2 3" xfId="6038" xr:uid="{00000000-0005-0000-0000-000044170000}"/>
    <cellStyle name="Normal 41 4 2 3 2" xfId="6039" xr:uid="{00000000-0005-0000-0000-000045170000}"/>
    <cellStyle name="Normal 41 4 2 4" xfId="6040" xr:uid="{00000000-0005-0000-0000-000046170000}"/>
    <cellStyle name="Normal 41 4 3" xfId="6041" xr:uid="{00000000-0005-0000-0000-000047170000}"/>
    <cellStyle name="Normal 41 4 3 2" xfId="6042" xr:uid="{00000000-0005-0000-0000-000048170000}"/>
    <cellStyle name="Normal 41 4 3 2 2" xfId="6043" xr:uid="{00000000-0005-0000-0000-000049170000}"/>
    <cellStyle name="Normal 41 4 3 3" xfId="6044" xr:uid="{00000000-0005-0000-0000-00004A170000}"/>
    <cellStyle name="Normal 41 4 4" xfId="6045" xr:uid="{00000000-0005-0000-0000-00004B170000}"/>
    <cellStyle name="Normal 41 4 4 2" xfId="6046" xr:uid="{00000000-0005-0000-0000-00004C170000}"/>
    <cellStyle name="Normal 41 4 5" xfId="6047" xr:uid="{00000000-0005-0000-0000-00004D170000}"/>
    <cellStyle name="Normal 41 5" xfId="6048" xr:uid="{00000000-0005-0000-0000-00004E170000}"/>
    <cellStyle name="Normal 41 5 2" xfId="6049" xr:uid="{00000000-0005-0000-0000-00004F170000}"/>
    <cellStyle name="Normal 41 5 2 2" xfId="6050" xr:uid="{00000000-0005-0000-0000-000050170000}"/>
    <cellStyle name="Normal 41 5 2 2 2" xfId="6051" xr:uid="{00000000-0005-0000-0000-000051170000}"/>
    <cellStyle name="Normal 41 5 2 2 2 2" xfId="6052" xr:uid="{00000000-0005-0000-0000-000052170000}"/>
    <cellStyle name="Normal 41 5 2 2 3" xfId="6053" xr:uid="{00000000-0005-0000-0000-000053170000}"/>
    <cellStyle name="Normal 41 5 2 3" xfId="6054" xr:uid="{00000000-0005-0000-0000-000054170000}"/>
    <cellStyle name="Normal 41 5 2 3 2" xfId="6055" xr:uid="{00000000-0005-0000-0000-000055170000}"/>
    <cellStyle name="Normal 41 5 2 4" xfId="6056" xr:uid="{00000000-0005-0000-0000-000056170000}"/>
    <cellStyle name="Normal 41 5 3" xfId="6057" xr:uid="{00000000-0005-0000-0000-000057170000}"/>
    <cellStyle name="Normal 41 5 3 2" xfId="6058" xr:uid="{00000000-0005-0000-0000-000058170000}"/>
    <cellStyle name="Normal 41 5 3 2 2" xfId="6059" xr:uid="{00000000-0005-0000-0000-000059170000}"/>
    <cellStyle name="Normal 41 5 3 3" xfId="6060" xr:uid="{00000000-0005-0000-0000-00005A170000}"/>
    <cellStyle name="Normal 41 5 4" xfId="6061" xr:uid="{00000000-0005-0000-0000-00005B170000}"/>
    <cellStyle name="Normal 41 5 4 2" xfId="6062" xr:uid="{00000000-0005-0000-0000-00005C170000}"/>
    <cellStyle name="Normal 41 5 5" xfId="6063" xr:uid="{00000000-0005-0000-0000-00005D170000}"/>
    <cellStyle name="Normal 41 6" xfId="6064" xr:uid="{00000000-0005-0000-0000-00005E170000}"/>
    <cellStyle name="Normal 41 6 2" xfId="6065" xr:uid="{00000000-0005-0000-0000-00005F170000}"/>
    <cellStyle name="Normal 41 6 2 2" xfId="6066" xr:uid="{00000000-0005-0000-0000-000060170000}"/>
    <cellStyle name="Normal 41 6 2 2 2" xfId="6067" xr:uid="{00000000-0005-0000-0000-000061170000}"/>
    <cellStyle name="Normal 41 6 2 3" xfId="6068" xr:uid="{00000000-0005-0000-0000-000062170000}"/>
    <cellStyle name="Normal 41 6 3" xfId="6069" xr:uid="{00000000-0005-0000-0000-000063170000}"/>
    <cellStyle name="Normal 41 6 3 2" xfId="6070" xr:uid="{00000000-0005-0000-0000-000064170000}"/>
    <cellStyle name="Normal 41 6 4" xfId="6071" xr:uid="{00000000-0005-0000-0000-000065170000}"/>
    <cellStyle name="Normal 41 7" xfId="6072" xr:uid="{00000000-0005-0000-0000-000066170000}"/>
    <cellStyle name="Normal 41 7 2" xfId="6073" xr:uid="{00000000-0005-0000-0000-000067170000}"/>
    <cellStyle name="Normal 41 7 2 2" xfId="6074" xr:uid="{00000000-0005-0000-0000-000068170000}"/>
    <cellStyle name="Normal 41 7 3" xfId="6075" xr:uid="{00000000-0005-0000-0000-000069170000}"/>
    <cellStyle name="Normal 41 8" xfId="6076" xr:uid="{00000000-0005-0000-0000-00006A170000}"/>
    <cellStyle name="Normal 41 8 2" xfId="6077" xr:uid="{00000000-0005-0000-0000-00006B170000}"/>
    <cellStyle name="Normal 41 9" xfId="6078" xr:uid="{00000000-0005-0000-0000-00006C170000}"/>
    <cellStyle name="Normal 42" xfId="6079" xr:uid="{00000000-0005-0000-0000-00006D170000}"/>
    <cellStyle name="Normal 42 2" xfId="6080" xr:uid="{00000000-0005-0000-0000-00006E170000}"/>
    <cellStyle name="Normal 42 2 2" xfId="6081" xr:uid="{00000000-0005-0000-0000-00006F170000}"/>
    <cellStyle name="Normal 42 3" xfId="6082" xr:uid="{00000000-0005-0000-0000-000070170000}"/>
    <cellStyle name="Normal 42 3 2" xfId="6083" xr:uid="{00000000-0005-0000-0000-000071170000}"/>
    <cellStyle name="Normal 42 3 2 2" xfId="6084" xr:uid="{00000000-0005-0000-0000-000072170000}"/>
    <cellStyle name="Normal 42 3 2 2 2" xfId="6085" xr:uid="{00000000-0005-0000-0000-000073170000}"/>
    <cellStyle name="Normal 42 3 2 2 2 2" xfId="6086" xr:uid="{00000000-0005-0000-0000-000074170000}"/>
    <cellStyle name="Normal 42 3 2 2 3" xfId="6087" xr:uid="{00000000-0005-0000-0000-000075170000}"/>
    <cellStyle name="Normal 42 3 2 3" xfId="6088" xr:uid="{00000000-0005-0000-0000-000076170000}"/>
    <cellStyle name="Normal 42 3 2 3 2" xfId="6089" xr:uid="{00000000-0005-0000-0000-000077170000}"/>
    <cellStyle name="Normal 42 3 2 4" xfId="6090" xr:uid="{00000000-0005-0000-0000-000078170000}"/>
    <cellStyle name="Normal 42 3 3" xfId="6091" xr:uid="{00000000-0005-0000-0000-000079170000}"/>
    <cellStyle name="Normal 42 3 3 2" xfId="6092" xr:uid="{00000000-0005-0000-0000-00007A170000}"/>
    <cellStyle name="Normal 42 3 3 2 2" xfId="6093" xr:uid="{00000000-0005-0000-0000-00007B170000}"/>
    <cellStyle name="Normal 42 3 3 3" xfId="6094" xr:uid="{00000000-0005-0000-0000-00007C170000}"/>
    <cellStyle name="Normal 42 3 4" xfId="6095" xr:uid="{00000000-0005-0000-0000-00007D170000}"/>
    <cellStyle name="Normal 42 3 4 2" xfId="6096" xr:uid="{00000000-0005-0000-0000-00007E170000}"/>
    <cellStyle name="Normal 42 3 5" xfId="6097" xr:uid="{00000000-0005-0000-0000-00007F170000}"/>
    <cellStyle name="Normal 42 4" xfId="6098" xr:uid="{00000000-0005-0000-0000-000080170000}"/>
    <cellStyle name="Normal 42 4 2" xfId="6099" xr:uid="{00000000-0005-0000-0000-000081170000}"/>
    <cellStyle name="Normal 42 4 2 2" xfId="6100" xr:uid="{00000000-0005-0000-0000-000082170000}"/>
    <cellStyle name="Normal 42 4 2 2 2" xfId="6101" xr:uid="{00000000-0005-0000-0000-000083170000}"/>
    <cellStyle name="Normal 42 4 2 2 2 2" xfId="6102" xr:uid="{00000000-0005-0000-0000-000084170000}"/>
    <cellStyle name="Normal 42 4 2 2 3" xfId="6103" xr:uid="{00000000-0005-0000-0000-000085170000}"/>
    <cellStyle name="Normal 42 4 2 3" xfId="6104" xr:uid="{00000000-0005-0000-0000-000086170000}"/>
    <cellStyle name="Normal 42 4 2 3 2" xfId="6105" xr:uid="{00000000-0005-0000-0000-000087170000}"/>
    <cellStyle name="Normal 42 4 2 4" xfId="6106" xr:uid="{00000000-0005-0000-0000-000088170000}"/>
    <cellStyle name="Normal 42 4 3" xfId="6107" xr:uid="{00000000-0005-0000-0000-000089170000}"/>
    <cellStyle name="Normal 42 4 3 2" xfId="6108" xr:uid="{00000000-0005-0000-0000-00008A170000}"/>
    <cellStyle name="Normal 42 4 3 2 2" xfId="6109" xr:uid="{00000000-0005-0000-0000-00008B170000}"/>
    <cellStyle name="Normal 42 4 3 3" xfId="6110" xr:uid="{00000000-0005-0000-0000-00008C170000}"/>
    <cellStyle name="Normal 42 4 4" xfId="6111" xr:uid="{00000000-0005-0000-0000-00008D170000}"/>
    <cellStyle name="Normal 42 4 4 2" xfId="6112" xr:uid="{00000000-0005-0000-0000-00008E170000}"/>
    <cellStyle name="Normal 42 4 5" xfId="6113" xr:uid="{00000000-0005-0000-0000-00008F170000}"/>
    <cellStyle name="Normal 42 5" xfId="6114" xr:uid="{00000000-0005-0000-0000-000090170000}"/>
    <cellStyle name="Normal 42 5 2" xfId="6115" xr:uid="{00000000-0005-0000-0000-000091170000}"/>
    <cellStyle name="Normal 42 5 2 2" xfId="6116" xr:uid="{00000000-0005-0000-0000-000092170000}"/>
    <cellStyle name="Normal 42 5 2 2 2" xfId="6117" xr:uid="{00000000-0005-0000-0000-000093170000}"/>
    <cellStyle name="Normal 42 5 2 2 2 2" xfId="6118" xr:uid="{00000000-0005-0000-0000-000094170000}"/>
    <cellStyle name="Normal 42 5 2 2 3" xfId="6119" xr:uid="{00000000-0005-0000-0000-000095170000}"/>
    <cellStyle name="Normal 42 5 2 3" xfId="6120" xr:uid="{00000000-0005-0000-0000-000096170000}"/>
    <cellStyle name="Normal 42 5 2 3 2" xfId="6121" xr:uid="{00000000-0005-0000-0000-000097170000}"/>
    <cellStyle name="Normal 42 5 2 4" xfId="6122" xr:uid="{00000000-0005-0000-0000-000098170000}"/>
    <cellStyle name="Normal 42 5 3" xfId="6123" xr:uid="{00000000-0005-0000-0000-000099170000}"/>
    <cellStyle name="Normal 42 5 3 2" xfId="6124" xr:uid="{00000000-0005-0000-0000-00009A170000}"/>
    <cellStyle name="Normal 42 5 3 2 2" xfId="6125" xr:uid="{00000000-0005-0000-0000-00009B170000}"/>
    <cellStyle name="Normal 42 5 3 3" xfId="6126" xr:uid="{00000000-0005-0000-0000-00009C170000}"/>
    <cellStyle name="Normal 42 5 4" xfId="6127" xr:uid="{00000000-0005-0000-0000-00009D170000}"/>
    <cellStyle name="Normal 42 5 4 2" xfId="6128" xr:uid="{00000000-0005-0000-0000-00009E170000}"/>
    <cellStyle name="Normal 42 5 5" xfId="6129" xr:uid="{00000000-0005-0000-0000-00009F170000}"/>
    <cellStyle name="Normal 42 6" xfId="6130" xr:uid="{00000000-0005-0000-0000-0000A0170000}"/>
    <cellStyle name="Normal 42 6 2" xfId="6131" xr:uid="{00000000-0005-0000-0000-0000A1170000}"/>
    <cellStyle name="Normal 42 6 2 2" xfId="6132" xr:uid="{00000000-0005-0000-0000-0000A2170000}"/>
    <cellStyle name="Normal 42 6 2 2 2" xfId="6133" xr:uid="{00000000-0005-0000-0000-0000A3170000}"/>
    <cellStyle name="Normal 42 6 2 3" xfId="6134" xr:uid="{00000000-0005-0000-0000-0000A4170000}"/>
    <cellStyle name="Normal 42 6 3" xfId="6135" xr:uid="{00000000-0005-0000-0000-0000A5170000}"/>
    <cellStyle name="Normal 42 6 3 2" xfId="6136" xr:uid="{00000000-0005-0000-0000-0000A6170000}"/>
    <cellStyle name="Normal 42 6 4" xfId="6137" xr:uid="{00000000-0005-0000-0000-0000A7170000}"/>
    <cellStyle name="Normal 42 7" xfId="6138" xr:uid="{00000000-0005-0000-0000-0000A8170000}"/>
    <cellStyle name="Normal 42 7 2" xfId="6139" xr:uid="{00000000-0005-0000-0000-0000A9170000}"/>
    <cellStyle name="Normal 42 7 2 2" xfId="6140" xr:uid="{00000000-0005-0000-0000-0000AA170000}"/>
    <cellStyle name="Normal 42 7 3" xfId="6141" xr:uid="{00000000-0005-0000-0000-0000AB170000}"/>
    <cellStyle name="Normal 42 8" xfId="6142" xr:uid="{00000000-0005-0000-0000-0000AC170000}"/>
    <cellStyle name="Normal 42 8 2" xfId="6143" xr:uid="{00000000-0005-0000-0000-0000AD170000}"/>
    <cellStyle name="Normal 42 9" xfId="6144" xr:uid="{00000000-0005-0000-0000-0000AE170000}"/>
    <cellStyle name="Normal 43" xfId="6145" xr:uid="{00000000-0005-0000-0000-0000AF170000}"/>
    <cellStyle name="Normal 43 2" xfId="6146" xr:uid="{00000000-0005-0000-0000-0000B0170000}"/>
    <cellStyle name="Normal 43 2 2" xfId="6147" xr:uid="{00000000-0005-0000-0000-0000B1170000}"/>
    <cellStyle name="Normal 43 3" xfId="6148" xr:uid="{00000000-0005-0000-0000-0000B2170000}"/>
    <cellStyle name="Normal 43 3 2" xfId="6149" xr:uid="{00000000-0005-0000-0000-0000B3170000}"/>
    <cellStyle name="Normal 43 3 2 2" xfId="6150" xr:uid="{00000000-0005-0000-0000-0000B4170000}"/>
    <cellStyle name="Normal 43 3 2 2 2" xfId="6151" xr:uid="{00000000-0005-0000-0000-0000B5170000}"/>
    <cellStyle name="Normal 43 3 2 2 2 2" xfId="6152" xr:uid="{00000000-0005-0000-0000-0000B6170000}"/>
    <cellStyle name="Normal 43 3 2 2 3" xfId="6153" xr:uid="{00000000-0005-0000-0000-0000B7170000}"/>
    <cellStyle name="Normal 43 3 2 3" xfId="6154" xr:uid="{00000000-0005-0000-0000-0000B8170000}"/>
    <cellStyle name="Normal 43 3 2 3 2" xfId="6155" xr:uid="{00000000-0005-0000-0000-0000B9170000}"/>
    <cellStyle name="Normal 43 3 2 4" xfId="6156" xr:uid="{00000000-0005-0000-0000-0000BA170000}"/>
    <cellStyle name="Normal 43 3 3" xfId="6157" xr:uid="{00000000-0005-0000-0000-0000BB170000}"/>
    <cellStyle name="Normal 43 3 3 2" xfId="6158" xr:uid="{00000000-0005-0000-0000-0000BC170000}"/>
    <cellStyle name="Normal 43 3 3 2 2" xfId="6159" xr:uid="{00000000-0005-0000-0000-0000BD170000}"/>
    <cellStyle name="Normal 43 3 3 3" xfId="6160" xr:uid="{00000000-0005-0000-0000-0000BE170000}"/>
    <cellStyle name="Normal 43 3 4" xfId="6161" xr:uid="{00000000-0005-0000-0000-0000BF170000}"/>
    <cellStyle name="Normal 43 3 4 2" xfId="6162" xr:uid="{00000000-0005-0000-0000-0000C0170000}"/>
    <cellStyle name="Normal 43 3 5" xfId="6163" xr:uid="{00000000-0005-0000-0000-0000C1170000}"/>
    <cellStyle name="Normal 43 4" xfId="6164" xr:uid="{00000000-0005-0000-0000-0000C2170000}"/>
    <cellStyle name="Normal 43 4 2" xfId="6165" xr:uid="{00000000-0005-0000-0000-0000C3170000}"/>
    <cellStyle name="Normal 43 4 2 2" xfId="6166" xr:uid="{00000000-0005-0000-0000-0000C4170000}"/>
    <cellStyle name="Normal 43 4 2 2 2" xfId="6167" xr:uid="{00000000-0005-0000-0000-0000C5170000}"/>
    <cellStyle name="Normal 43 4 2 2 2 2" xfId="6168" xr:uid="{00000000-0005-0000-0000-0000C6170000}"/>
    <cellStyle name="Normal 43 4 2 2 3" xfId="6169" xr:uid="{00000000-0005-0000-0000-0000C7170000}"/>
    <cellStyle name="Normal 43 4 2 3" xfId="6170" xr:uid="{00000000-0005-0000-0000-0000C8170000}"/>
    <cellStyle name="Normal 43 4 2 3 2" xfId="6171" xr:uid="{00000000-0005-0000-0000-0000C9170000}"/>
    <cellStyle name="Normal 43 4 2 4" xfId="6172" xr:uid="{00000000-0005-0000-0000-0000CA170000}"/>
    <cellStyle name="Normal 43 4 3" xfId="6173" xr:uid="{00000000-0005-0000-0000-0000CB170000}"/>
    <cellStyle name="Normal 43 4 3 2" xfId="6174" xr:uid="{00000000-0005-0000-0000-0000CC170000}"/>
    <cellStyle name="Normal 43 4 3 2 2" xfId="6175" xr:uid="{00000000-0005-0000-0000-0000CD170000}"/>
    <cellStyle name="Normal 43 4 3 3" xfId="6176" xr:uid="{00000000-0005-0000-0000-0000CE170000}"/>
    <cellStyle name="Normal 43 4 4" xfId="6177" xr:uid="{00000000-0005-0000-0000-0000CF170000}"/>
    <cellStyle name="Normal 43 4 4 2" xfId="6178" xr:uid="{00000000-0005-0000-0000-0000D0170000}"/>
    <cellStyle name="Normal 43 4 5" xfId="6179" xr:uid="{00000000-0005-0000-0000-0000D1170000}"/>
    <cellStyle name="Normal 43 5" xfId="6180" xr:uid="{00000000-0005-0000-0000-0000D2170000}"/>
    <cellStyle name="Normal 43 5 2" xfId="6181" xr:uid="{00000000-0005-0000-0000-0000D3170000}"/>
    <cellStyle name="Normal 43 5 2 2" xfId="6182" xr:uid="{00000000-0005-0000-0000-0000D4170000}"/>
    <cellStyle name="Normal 43 5 2 2 2" xfId="6183" xr:uid="{00000000-0005-0000-0000-0000D5170000}"/>
    <cellStyle name="Normal 43 5 2 2 2 2" xfId="6184" xr:uid="{00000000-0005-0000-0000-0000D6170000}"/>
    <cellStyle name="Normal 43 5 2 2 3" xfId="6185" xr:uid="{00000000-0005-0000-0000-0000D7170000}"/>
    <cellStyle name="Normal 43 5 2 3" xfId="6186" xr:uid="{00000000-0005-0000-0000-0000D8170000}"/>
    <cellStyle name="Normal 43 5 2 3 2" xfId="6187" xr:uid="{00000000-0005-0000-0000-0000D9170000}"/>
    <cellStyle name="Normal 43 5 2 4" xfId="6188" xr:uid="{00000000-0005-0000-0000-0000DA170000}"/>
    <cellStyle name="Normal 43 5 3" xfId="6189" xr:uid="{00000000-0005-0000-0000-0000DB170000}"/>
    <cellStyle name="Normal 43 5 3 2" xfId="6190" xr:uid="{00000000-0005-0000-0000-0000DC170000}"/>
    <cellStyle name="Normal 43 5 3 2 2" xfId="6191" xr:uid="{00000000-0005-0000-0000-0000DD170000}"/>
    <cellStyle name="Normal 43 5 3 3" xfId="6192" xr:uid="{00000000-0005-0000-0000-0000DE170000}"/>
    <cellStyle name="Normal 43 5 4" xfId="6193" xr:uid="{00000000-0005-0000-0000-0000DF170000}"/>
    <cellStyle name="Normal 43 5 4 2" xfId="6194" xr:uid="{00000000-0005-0000-0000-0000E0170000}"/>
    <cellStyle name="Normal 43 5 5" xfId="6195" xr:uid="{00000000-0005-0000-0000-0000E1170000}"/>
    <cellStyle name="Normal 43 6" xfId="6196" xr:uid="{00000000-0005-0000-0000-0000E2170000}"/>
    <cellStyle name="Normal 43 6 2" xfId="6197" xr:uid="{00000000-0005-0000-0000-0000E3170000}"/>
    <cellStyle name="Normal 43 6 2 2" xfId="6198" xr:uid="{00000000-0005-0000-0000-0000E4170000}"/>
    <cellStyle name="Normal 43 6 2 2 2" xfId="6199" xr:uid="{00000000-0005-0000-0000-0000E5170000}"/>
    <cellStyle name="Normal 43 6 2 3" xfId="6200" xr:uid="{00000000-0005-0000-0000-0000E6170000}"/>
    <cellStyle name="Normal 43 6 3" xfId="6201" xr:uid="{00000000-0005-0000-0000-0000E7170000}"/>
    <cellStyle name="Normal 43 6 3 2" xfId="6202" xr:uid="{00000000-0005-0000-0000-0000E8170000}"/>
    <cellStyle name="Normal 43 6 4" xfId="6203" xr:uid="{00000000-0005-0000-0000-0000E9170000}"/>
    <cellStyle name="Normal 43 7" xfId="6204" xr:uid="{00000000-0005-0000-0000-0000EA170000}"/>
    <cellStyle name="Normal 43 7 2" xfId="6205" xr:uid="{00000000-0005-0000-0000-0000EB170000}"/>
    <cellStyle name="Normal 43 7 2 2" xfId="6206" xr:uid="{00000000-0005-0000-0000-0000EC170000}"/>
    <cellStyle name="Normal 43 7 3" xfId="6207" xr:uid="{00000000-0005-0000-0000-0000ED170000}"/>
    <cellStyle name="Normal 43 8" xfId="6208" xr:uid="{00000000-0005-0000-0000-0000EE170000}"/>
    <cellStyle name="Normal 43 8 2" xfId="6209" xr:uid="{00000000-0005-0000-0000-0000EF170000}"/>
    <cellStyle name="Normal 43 9" xfId="6210" xr:uid="{00000000-0005-0000-0000-0000F0170000}"/>
    <cellStyle name="Normal 44" xfId="6211" xr:uid="{00000000-0005-0000-0000-0000F1170000}"/>
    <cellStyle name="Normal 44 2" xfId="6212" xr:uid="{00000000-0005-0000-0000-0000F2170000}"/>
    <cellStyle name="Normal 44 2 2" xfId="6213" xr:uid="{00000000-0005-0000-0000-0000F3170000}"/>
    <cellStyle name="Normal 44 3" xfId="6214" xr:uid="{00000000-0005-0000-0000-0000F4170000}"/>
    <cellStyle name="Normal 44 3 2" xfId="6215" xr:uid="{00000000-0005-0000-0000-0000F5170000}"/>
    <cellStyle name="Normal 44 3 2 2" xfId="6216" xr:uid="{00000000-0005-0000-0000-0000F6170000}"/>
    <cellStyle name="Normal 44 3 2 2 2" xfId="6217" xr:uid="{00000000-0005-0000-0000-0000F7170000}"/>
    <cellStyle name="Normal 44 3 2 2 2 2" xfId="6218" xr:uid="{00000000-0005-0000-0000-0000F8170000}"/>
    <cellStyle name="Normal 44 3 2 2 3" xfId="6219" xr:uid="{00000000-0005-0000-0000-0000F9170000}"/>
    <cellStyle name="Normal 44 3 2 3" xfId="6220" xr:uid="{00000000-0005-0000-0000-0000FA170000}"/>
    <cellStyle name="Normal 44 3 2 3 2" xfId="6221" xr:uid="{00000000-0005-0000-0000-0000FB170000}"/>
    <cellStyle name="Normal 44 3 2 4" xfId="6222" xr:uid="{00000000-0005-0000-0000-0000FC170000}"/>
    <cellStyle name="Normal 44 3 3" xfId="6223" xr:uid="{00000000-0005-0000-0000-0000FD170000}"/>
    <cellStyle name="Normal 44 3 3 2" xfId="6224" xr:uid="{00000000-0005-0000-0000-0000FE170000}"/>
    <cellStyle name="Normal 44 3 3 2 2" xfId="6225" xr:uid="{00000000-0005-0000-0000-0000FF170000}"/>
    <cellStyle name="Normal 44 3 3 3" xfId="6226" xr:uid="{00000000-0005-0000-0000-000000180000}"/>
    <cellStyle name="Normal 44 3 4" xfId="6227" xr:uid="{00000000-0005-0000-0000-000001180000}"/>
    <cellStyle name="Normal 44 3 4 2" xfId="6228" xr:uid="{00000000-0005-0000-0000-000002180000}"/>
    <cellStyle name="Normal 44 3 5" xfId="6229" xr:uid="{00000000-0005-0000-0000-000003180000}"/>
    <cellStyle name="Normal 44 4" xfId="6230" xr:uid="{00000000-0005-0000-0000-000004180000}"/>
    <cellStyle name="Normal 44 4 2" xfId="6231" xr:uid="{00000000-0005-0000-0000-000005180000}"/>
    <cellStyle name="Normal 44 4 2 2" xfId="6232" xr:uid="{00000000-0005-0000-0000-000006180000}"/>
    <cellStyle name="Normal 44 4 2 2 2" xfId="6233" xr:uid="{00000000-0005-0000-0000-000007180000}"/>
    <cellStyle name="Normal 44 4 2 2 2 2" xfId="6234" xr:uid="{00000000-0005-0000-0000-000008180000}"/>
    <cellStyle name="Normal 44 4 2 2 3" xfId="6235" xr:uid="{00000000-0005-0000-0000-000009180000}"/>
    <cellStyle name="Normal 44 4 2 3" xfId="6236" xr:uid="{00000000-0005-0000-0000-00000A180000}"/>
    <cellStyle name="Normal 44 4 2 3 2" xfId="6237" xr:uid="{00000000-0005-0000-0000-00000B180000}"/>
    <cellStyle name="Normal 44 4 2 4" xfId="6238" xr:uid="{00000000-0005-0000-0000-00000C180000}"/>
    <cellStyle name="Normal 44 4 3" xfId="6239" xr:uid="{00000000-0005-0000-0000-00000D180000}"/>
    <cellStyle name="Normal 44 4 3 2" xfId="6240" xr:uid="{00000000-0005-0000-0000-00000E180000}"/>
    <cellStyle name="Normal 44 4 3 2 2" xfId="6241" xr:uid="{00000000-0005-0000-0000-00000F180000}"/>
    <cellStyle name="Normal 44 4 3 3" xfId="6242" xr:uid="{00000000-0005-0000-0000-000010180000}"/>
    <cellStyle name="Normal 44 4 4" xfId="6243" xr:uid="{00000000-0005-0000-0000-000011180000}"/>
    <cellStyle name="Normal 44 4 4 2" xfId="6244" xr:uid="{00000000-0005-0000-0000-000012180000}"/>
    <cellStyle name="Normal 44 4 5" xfId="6245" xr:uid="{00000000-0005-0000-0000-000013180000}"/>
    <cellStyle name="Normal 44 5" xfId="6246" xr:uid="{00000000-0005-0000-0000-000014180000}"/>
    <cellStyle name="Normal 44 5 2" xfId="6247" xr:uid="{00000000-0005-0000-0000-000015180000}"/>
    <cellStyle name="Normal 44 5 2 2" xfId="6248" xr:uid="{00000000-0005-0000-0000-000016180000}"/>
    <cellStyle name="Normal 44 5 2 2 2" xfId="6249" xr:uid="{00000000-0005-0000-0000-000017180000}"/>
    <cellStyle name="Normal 44 5 2 2 2 2" xfId="6250" xr:uid="{00000000-0005-0000-0000-000018180000}"/>
    <cellStyle name="Normal 44 5 2 2 3" xfId="6251" xr:uid="{00000000-0005-0000-0000-000019180000}"/>
    <cellStyle name="Normal 44 5 2 3" xfId="6252" xr:uid="{00000000-0005-0000-0000-00001A180000}"/>
    <cellStyle name="Normal 44 5 2 3 2" xfId="6253" xr:uid="{00000000-0005-0000-0000-00001B180000}"/>
    <cellStyle name="Normal 44 5 2 4" xfId="6254" xr:uid="{00000000-0005-0000-0000-00001C180000}"/>
    <cellStyle name="Normal 44 5 3" xfId="6255" xr:uid="{00000000-0005-0000-0000-00001D180000}"/>
    <cellStyle name="Normal 44 5 3 2" xfId="6256" xr:uid="{00000000-0005-0000-0000-00001E180000}"/>
    <cellStyle name="Normal 44 5 3 2 2" xfId="6257" xr:uid="{00000000-0005-0000-0000-00001F180000}"/>
    <cellStyle name="Normal 44 5 3 3" xfId="6258" xr:uid="{00000000-0005-0000-0000-000020180000}"/>
    <cellStyle name="Normal 44 5 4" xfId="6259" xr:uid="{00000000-0005-0000-0000-000021180000}"/>
    <cellStyle name="Normal 44 5 4 2" xfId="6260" xr:uid="{00000000-0005-0000-0000-000022180000}"/>
    <cellStyle name="Normal 44 5 5" xfId="6261" xr:uid="{00000000-0005-0000-0000-000023180000}"/>
    <cellStyle name="Normal 44 6" xfId="6262" xr:uid="{00000000-0005-0000-0000-000024180000}"/>
    <cellStyle name="Normal 44 6 2" xfId="6263" xr:uid="{00000000-0005-0000-0000-000025180000}"/>
    <cellStyle name="Normal 44 6 2 2" xfId="6264" xr:uid="{00000000-0005-0000-0000-000026180000}"/>
    <cellStyle name="Normal 44 6 2 2 2" xfId="6265" xr:uid="{00000000-0005-0000-0000-000027180000}"/>
    <cellStyle name="Normal 44 6 2 3" xfId="6266" xr:uid="{00000000-0005-0000-0000-000028180000}"/>
    <cellStyle name="Normal 44 6 3" xfId="6267" xr:uid="{00000000-0005-0000-0000-000029180000}"/>
    <cellStyle name="Normal 44 6 3 2" xfId="6268" xr:uid="{00000000-0005-0000-0000-00002A180000}"/>
    <cellStyle name="Normal 44 6 4" xfId="6269" xr:uid="{00000000-0005-0000-0000-00002B180000}"/>
    <cellStyle name="Normal 44 7" xfId="6270" xr:uid="{00000000-0005-0000-0000-00002C180000}"/>
    <cellStyle name="Normal 44 7 2" xfId="6271" xr:uid="{00000000-0005-0000-0000-00002D180000}"/>
    <cellStyle name="Normal 44 7 2 2" xfId="6272" xr:uid="{00000000-0005-0000-0000-00002E180000}"/>
    <cellStyle name="Normal 44 7 3" xfId="6273" xr:uid="{00000000-0005-0000-0000-00002F180000}"/>
    <cellStyle name="Normal 44 8" xfId="6274" xr:uid="{00000000-0005-0000-0000-000030180000}"/>
    <cellStyle name="Normal 44 8 2" xfId="6275" xr:uid="{00000000-0005-0000-0000-000031180000}"/>
    <cellStyle name="Normal 44 9" xfId="6276" xr:uid="{00000000-0005-0000-0000-000032180000}"/>
    <cellStyle name="Normal 45" xfId="6277" xr:uid="{00000000-0005-0000-0000-000033180000}"/>
    <cellStyle name="Normal 45 2" xfId="6278" xr:uid="{00000000-0005-0000-0000-000034180000}"/>
    <cellStyle name="Normal 45 2 2" xfId="6279" xr:uid="{00000000-0005-0000-0000-000035180000}"/>
    <cellStyle name="Normal 45 3" xfId="6280" xr:uid="{00000000-0005-0000-0000-000036180000}"/>
    <cellStyle name="Normal 45 3 2" xfId="6281" xr:uid="{00000000-0005-0000-0000-000037180000}"/>
    <cellStyle name="Normal 45 3 2 2" xfId="6282" xr:uid="{00000000-0005-0000-0000-000038180000}"/>
    <cellStyle name="Normal 45 3 2 2 2" xfId="6283" xr:uid="{00000000-0005-0000-0000-000039180000}"/>
    <cellStyle name="Normal 45 3 2 2 2 2" xfId="6284" xr:uid="{00000000-0005-0000-0000-00003A180000}"/>
    <cellStyle name="Normal 45 3 2 2 3" xfId="6285" xr:uid="{00000000-0005-0000-0000-00003B180000}"/>
    <cellStyle name="Normal 45 3 2 3" xfId="6286" xr:uid="{00000000-0005-0000-0000-00003C180000}"/>
    <cellStyle name="Normal 45 3 2 3 2" xfId="6287" xr:uid="{00000000-0005-0000-0000-00003D180000}"/>
    <cellStyle name="Normal 45 3 2 4" xfId="6288" xr:uid="{00000000-0005-0000-0000-00003E180000}"/>
    <cellStyle name="Normal 45 3 3" xfId="6289" xr:uid="{00000000-0005-0000-0000-00003F180000}"/>
    <cellStyle name="Normal 45 3 3 2" xfId="6290" xr:uid="{00000000-0005-0000-0000-000040180000}"/>
    <cellStyle name="Normal 45 3 3 2 2" xfId="6291" xr:uid="{00000000-0005-0000-0000-000041180000}"/>
    <cellStyle name="Normal 45 3 3 3" xfId="6292" xr:uid="{00000000-0005-0000-0000-000042180000}"/>
    <cellStyle name="Normal 45 3 4" xfId="6293" xr:uid="{00000000-0005-0000-0000-000043180000}"/>
    <cellStyle name="Normal 45 3 4 2" xfId="6294" xr:uid="{00000000-0005-0000-0000-000044180000}"/>
    <cellStyle name="Normal 45 3 5" xfId="6295" xr:uid="{00000000-0005-0000-0000-000045180000}"/>
    <cellStyle name="Normal 45 4" xfId="6296" xr:uid="{00000000-0005-0000-0000-000046180000}"/>
    <cellStyle name="Normal 45 4 2" xfId="6297" xr:uid="{00000000-0005-0000-0000-000047180000}"/>
    <cellStyle name="Normal 45 4 2 2" xfId="6298" xr:uid="{00000000-0005-0000-0000-000048180000}"/>
    <cellStyle name="Normal 45 4 2 2 2" xfId="6299" xr:uid="{00000000-0005-0000-0000-000049180000}"/>
    <cellStyle name="Normal 45 4 2 2 2 2" xfId="6300" xr:uid="{00000000-0005-0000-0000-00004A180000}"/>
    <cellStyle name="Normal 45 4 2 2 3" xfId="6301" xr:uid="{00000000-0005-0000-0000-00004B180000}"/>
    <cellStyle name="Normal 45 4 2 3" xfId="6302" xr:uid="{00000000-0005-0000-0000-00004C180000}"/>
    <cellStyle name="Normal 45 4 2 3 2" xfId="6303" xr:uid="{00000000-0005-0000-0000-00004D180000}"/>
    <cellStyle name="Normal 45 4 2 4" xfId="6304" xr:uid="{00000000-0005-0000-0000-00004E180000}"/>
    <cellStyle name="Normal 45 4 3" xfId="6305" xr:uid="{00000000-0005-0000-0000-00004F180000}"/>
    <cellStyle name="Normal 45 4 3 2" xfId="6306" xr:uid="{00000000-0005-0000-0000-000050180000}"/>
    <cellStyle name="Normal 45 4 3 2 2" xfId="6307" xr:uid="{00000000-0005-0000-0000-000051180000}"/>
    <cellStyle name="Normal 45 4 3 3" xfId="6308" xr:uid="{00000000-0005-0000-0000-000052180000}"/>
    <cellStyle name="Normal 45 4 4" xfId="6309" xr:uid="{00000000-0005-0000-0000-000053180000}"/>
    <cellStyle name="Normal 45 4 4 2" xfId="6310" xr:uid="{00000000-0005-0000-0000-000054180000}"/>
    <cellStyle name="Normal 45 4 5" xfId="6311" xr:uid="{00000000-0005-0000-0000-000055180000}"/>
    <cellStyle name="Normal 45 5" xfId="6312" xr:uid="{00000000-0005-0000-0000-000056180000}"/>
    <cellStyle name="Normal 45 5 2" xfId="6313" xr:uid="{00000000-0005-0000-0000-000057180000}"/>
    <cellStyle name="Normal 45 5 2 2" xfId="6314" xr:uid="{00000000-0005-0000-0000-000058180000}"/>
    <cellStyle name="Normal 45 5 2 2 2" xfId="6315" xr:uid="{00000000-0005-0000-0000-000059180000}"/>
    <cellStyle name="Normal 45 5 2 2 2 2" xfId="6316" xr:uid="{00000000-0005-0000-0000-00005A180000}"/>
    <cellStyle name="Normal 45 5 2 2 3" xfId="6317" xr:uid="{00000000-0005-0000-0000-00005B180000}"/>
    <cellStyle name="Normal 45 5 2 3" xfId="6318" xr:uid="{00000000-0005-0000-0000-00005C180000}"/>
    <cellStyle name="Normal 45 5 2 3 2" xfId="6319" xr:uid="{00000000-0005-0000-0000-00005D180000}"/>
    <cellStyle name="Normal 45 5 2 4" xfId="6320" xr:uid="{00000000-0005-0000-0000-00005E180000}"/>
    <cellStyle name="Normal 45 5 3" xfId="6321" xr:uid="{00000000-0005-0000-0000-00005F180000}"/>
    <cellStyle name="Normal 45 5 3 2" xfId="6322" xr:uid="{00000000-0005-0000-0000-000060180000}"/>
    <cellStyle name="Normal 45 5 3 2 2" xfId="6323" xr:uid="{00000000-0005-0000-0000-000061180000}"/>
    <cellStyle name="Normal 45 5 3 3" xfId="6324" xr:uid="{00000000-0005-0000-0000-000062180000}"/>
    <cellStyle name="Normal 45 5 4" xfId="6325" xr:uid="{00000000-0005-0000-0000-000063180000}"/>
    <cellStyle name="Normal 45 5 4 2" xfId="6326" xr:uid="{00000000-0005-0000-0000-000064180000}"/>
    <cellStyle name="Normal 45 5 5" xfId="6327" xr:uid="{00000000-0005-0000-0000-000065180000}"/>
    <cellStyle name="Normal 45 6" xfId="6328" xr:uid="{00000000-0005-0000-0000-000066180000}"/>
    <cellStyle name="Normal 45 6 2" xfId="6329" xr:uid="{00000000-0005-0000-0000-000067180000}"/>
    <cellStyle name="Normal 45 6 2 2" xfId="6330" xr:uid="{00000000-0005-0000-0000-000068180000}"/>
    <cellStyle name="Normal 45 6 2 2 2" xfId="6331" xr:uid="{00000000-0005-0000-0000-000069180000}"/>
    <cellStyle name="Normal 45 6 2 3" xfId="6332" xr:uid="{00000000-0005-0000-0000-00006A180000}"/>
    <cellStyle name="Normal 45 6 3" xfId="6333" xr:uid="{00000000-0005-0000-0000-00006B180000}"/>
    <cellStyle name="Normal 45 6 3 2" xfId="6334" xr:uid="{00000000-0005-0000-0000-00006C180000}"/>
    <cellStyle name="Normal 45 6 4" xfId="6335" xr:uid="{00000000-0005-0000-0000-00006D180000}"/>
    <cellStyle name="Normal 45 7" xfId="6336" xr:uid="{00000000-0005-0000-0000-00006E180000}"/>
    <cellStyle name="Normal 45 7 2" xfId="6337" xr:uid="{00000000-0005-0000-0000-00006F180000}"/>
    <cellStyle name="Normal 45 7 2 2" xfId="6338" xr:uid="{00000000-0005-0000-0000-000070180000}"/>
    <cellStyle name="Normal 45 7 3" xfId="6339" xr:uid="{00000000-0005-0000-0000-000071180000}"/>
    <cellStyle name="Normal 45 8" xfId="6340" xr:uid="{00000000-0005-0000-0000-000072180000}"/>
    <cellStyle name="Normal 45 8 2" xfId="6341" xr:uid="{00000000-0005-0000-0000-000073180000}"/>
    <cellStyle name="Normal 45 9" xfId="6342" xr:uid="{00000000-0005-0000-0000-000074180000}"/>
    <cellStyle name="Normal 46" xfId="6343" xr:uid="{00000000-0005-0000-0000-000075180000}"/>
    <cellStyle name="Normal 46 2" xfId="6344" xr:uid="{00000000-0005-0000-0000-000076180000}"/>
    <cellStyle name="Normal 46 2 2" xfId="6345" xr:uid="{00000000-0005-0000-0000-000077180000}"/>
    <cellStyle name="Normal 46 3" xfId="6346" xr:uid="{00000000-0005-0000-0000-000078180000}"/>
    <cellStyle name="Normal 46 3 2" xfId="6347" xr:uid="{00000000-0005-0000-0000-000079180000}"/>
    <cellStyle name="Normal 46 3 2 2" xfId="6348" xr:uid="{00000000-0005-0000-0000-00007A180000}"/>
    <cellStyle name="Normal 46 3 2 2 2" xfId="6349" xr:uid="{00000000-0005-0000-0000-00007B180000}"/>
    <cellStyle name="Normal 46 3 2 2 2 2" xfId="6350" xr:uid="{00000000-0005-0000-0000-00007C180000}"/>
    <cellStyle name="Normal 46 3 2 2 3" xfId="6351" xr:uid="{00000000-0005-0000-0000-00007D180000}"/>
    <cellStyle name="Normal 46 3 2 3" xfId="6352" xr:uid="{00000000-0005-0000-0000-00007E180000}"/>
    <cellStyle name="Normal 46 3 2 3 2" xfId="6353" xr:uid="{00000000-0005-0000-0000-00007F180000}"/>
    <cellStyle name="Normal 46 3 2 4" xfId="6354" xr:uid="{00000000-0005-0000-0000-000080180000}"/>
    <cellStyle name="Normal 46 3 3" xfId="6355" xr:uid="{00000000-0005-0000-0000-000081180000}"/>
    <cellStyle name="Normal 46 3 3 2" xfId="6356" xr:uid="{00000000-0005-0000-0000-000082180000}"/>
    <cellStyle name="Normal 46 3 3 2 2" xfId="6357" xr:uid="{00000000-0005-0000-0000-000083180000}"/>
    <cellStyle name="Normal 46 3 3 3" xfId="6358" xr:uid="{00000000-0005-0000-0000-000084180000}"/>
    <cellStyle name="Normal 46 3 4" xfId="6359" xr:uid="{00000000-0005-0000-0000-000085180000}"/>
    <cellStyle name="Normal 46 3 4 2" xfId="6360" xr:uid="{00000000-0005-0000-0000-000086180000}"/>
    <cellStyle name="Normal 46 3 5" xfId="6361" xr:uid="{00000000-0005-0000-0000-000087180000}"/>
    <cellStyle name="Normal 46 4" xfId="6362" xr:uid="{00000000-0005-0000-0000-000088180000}"/>
    <cellStyle name="Normal 46 4 2" xfId="6363" xr:uid="{00000000-0005-0000-0000-000089180000}"/>
    <cellStyle name="Normal 46 4 2 2" xfId="6364" xr:uid="{00000000-0005-0000-0000-00008A180000}"/>
    <cellStyle name="Normal 46 4 2 2 2" xfId="6365" xr:uid="{00000000-0005-0000-0000-00008B180000}"/>
    <cellStyle name="Normal 46 4 2 2 2 2" xfId="6366" xr:uid="{00000000-0005-0000-0000-00008C180000}"/>
    <cellStyle name="Normal 46 4 2 2 3" xfId="6367" xr:uid="{00000000-0005-0000-0000-00008D180000}"/>
    <cellStyle name="Normal 46 4 2 3" xfId="6368" xr:uid="{00000000-0005-0000-0000-00008E180000}"/>
    <cellStyle name="Normal 46 4 2 3 2" xfId="6369" xr:uid="{00000000-0005-0000-0000-00008F180000}"/>
    <cellStyle name="Normal 46 4 2 4" xfId="6370" xr:uid="{00000000-0005-0000-0000-000090180000}"/>
    <cellStyle name="Normal 46 4 3" xfId="6371" xr:uid="{00000000-0005-0000-0000-000091180000}"/>
    <cellStyle name="Normal 46 4 3 2" xfId="6372" xr:uid="{00000000-0005-0000-0000-000092180000}"/>
    <cellStyle name="Normal 46 4 3 2 2" xfId="6373" xr:uid="{00000000-0005-0000-0000-000093180000}"/>
    <cellStyle name="Normal 46 4 3 3" xfId="6374" xr:uid="{00000000-0005-0000-0000-000094180000}"/>
    <cellStyle name="Normal 46 4 4" xfId="6375" xr:uid="{00000000-0005-0000-0000-000095180000}"/>
    <cellStyle name="Normal 46 4 4 2" xfId="6376" xr:uid="{00000000-0005-0000-0000-000096180000}"/>
    <cellStyle name="Normal 46 4 5" xfId="6377" xr:uid="{00000000-0005-0000-0000-000097180000}"/>
    <cellStyle name="Normal 46 5" xfId="6378" xr:uid="{00000000-0005-0000-0000-000098180000}"/>
    <cellStyle name="Normal 46 5 2" xfId="6379" xr:uid="{00000000-0005-0000-0000-000099180000}"/>
    <cellStyle name="Normal 46 5 2 2" xfId="6380" xr:uid="{00000000-0005-0000-0000-00009A180000}"/>
    <cellStyle name="Normal 46 5 2 2 2" xfId="6381" xr:uid="{00000000-0005-0000-0000-00009B180000}"/>
    <cellStyle name="Normal 46 5 2 2 2 2" xfId="6382" xr:uid="{00000000-0005-0000-0000-00009C180000}"/>
    <cellStyle name="Normal 46 5 2 2 3" xfId="6383" xr:uid="{00000000-0005-0000-0000-00009D180000}"/>
    <cellStyle name="Normal 46 5 2 3" xfId="6384" xr:uid="{00000000-0005-0000-0000-00009E180000}"/>
    <cellStyle name="Normal 46 5 2 3 2" xfId="6385" xr:uid="{00000000-0005-0000-0000-00009F180000}"/>
    <cellStyle name="Normal 46 5 2 4" xfId="6386" xr:uid="{00000000-0005-0000-0000-0000A0180000}"/>
    <cellStyle name="Normal 46 5 3" xfId="6387" xr:uid="{00000000-0005-0000-0000-0000A1180000}"/>
    <cellStyle name="Normal 46 5 3 2" xfId="6388" xr:uid="{00000000-0005-0000-0000-0000A2180000}"/>
    <cellStyle name="Normal 46 5 3 2 2" xfId="6389" xr:uid="{00000000-0005-0000-0000-0000A3180000}"/>
    <cellStyle name="Normal 46 5 3 3" xfId="6390" xr:uid="{00000000-0005-0000-0000-0000A4180000}"/>
    <cellStyle name="Normal 46 5 4" xfId="6391" xr:uid="{00000000-0005-0000-0000-0000A5180000}"/>
    <cellStyle name="Normal 46 5 4 2" xfId="6392" xr:uid="{00000000-0005-0000-0000-0000A6180000}"/>
    <cellStyle name="Normal 46 5 5" xfId="6393" xr:uid="{00000000-0005-0000-0000-0000A7180000}"/>
    <cellStyle name="Normal 46 6" xfId="6394" xr:uid="{00000000-0005-0000-0000-0000A8180000}"/>
    <cellStyle name="Normal 46 6 2" xfId="6395" xr:uid="{00000000-0005-0000-0000-0000A9180000}"/>
    <cellStyle name="Normal 46 6 2 2" xfId="6396" xr:uid="{00000000-0005-0000-0000-0000AA180000}"/>
    <cellStyle name="Normal 46 6 2 2 2" xfId="6397" xr:uid="{00000000-0005-0000-0000-0000AB180000}"/>
    <cellStyle name="Normal 46 6 2 3" xfId="6398" xr:uid="{00000000-0005-0000-0000-0000AC180000}"/>
    <cellStyle name="Normal 46 6 3" xfId="6399" xr:uid="{00000000-0005-0000-0000-0000AD180000}"/>
    <cellStyle name="Normal 46 6 3 2" xfId="6400" xr:uid="{00000000-0005-0000-0000-0000AE180000}"/>
    <cellStyle name="Normal 46 6 4" xfId="6401" xr:uid="{00000000-0005-0000-0000-0000AF180000}"/>
    <cellStyle name="Normal 46 7" xfId="6402" xr:uid="{00000000-0005-0000-0000-0000B0180000}"/>
    <cellStyle name="Normal 46 7 2" xfId="6403" xr:uid="{00000000-0005-0000-0000-0000B1180000}"/>
    <cellStyle name="Normal 46 7 2 2" xfId="6404" xr:uid="{00000000-0005-0000-0000-0000B2180000}"/>
    <cellStyle name="Normal 46 7 3" xfId="6405" xr:uid="{00000000-0005-0000-0000-0000B3180000}"/>
    <cellStyle name="Normal 46 8" xfId="6406" xr:uid="{00000000-0005-0000-0000-0000B4180000}"/>
    <cellStyle name="Normal 46 8 2" xfId="6407" xr:uid="{00000000-0005-0000-0000-0000B5180000}"/>
    <cellStyle name="Normal 46 9" xfId="6408" xr:uid="{00000000-0005-0000-0000-0000B6180000}"/>
    <cellStyle name="Normal 47" xfId="6409" xr:uid="{00000000-0005-0000-0000-0000B7180000}"/>
    <cellStyle name="Normal 47 2" xfId="6410" xr:uid="{00000000-0005-0000-0000-0000B8180000}"/>
    <cellStyle name="Normal 47 2 2" xfId="6411" xr:uid="{00000000-0005-0000-0000-0000B9180000}"/>
    <cellStyle name="Normal 47 3" xfId="6412" xr:uid="{00000000-0005-0000-0000-0000BA180000}"/>
    <cellStyle name="Normal 47 3 2" xfId="6413" xr:uid="{00000000-0005-0000-0000-0000BB180000}"/>
    <cellStyle name="Normal 47 3 2 2" xfId="6414" xr:uid="{00000000-0005-0000-0000-0000BC180000}"/>
    <cellStyle name="Normal 47 3 2 2 2" xfId="6415" xr:uid="{00000000-0005-0000-0000-0000BD180000}"/>
    <cellStyle name="Normal 47 3 2 2 2 2" xfId="6416" xr:uid="{00000000-0005-0000-0000-0000BE180000}"/>
    <cellStyle name="Normal 47 3 2 2 3" xfId="6417" xr:uid="{00000000-0005-0000-0000-0000BF180000}"/>
    <cellStyle name="Normal 47 3 2 3" xfId="6418" xr:uid="{00000000-0005-0000-0000-0000C0180000}"/>
    <cellStyle name="Normal 47 3 2 3 2" xfId="6419" xr:uid="{00000000-0005-0000-0000-0000C1180000}"/>
    <cellStyle name="Normal 47 3 2 4" xfId="6420" xr:uid="{00000000-0005-0000-0000-0000C2180000}"/>
    <cellStyle name="Normal 47 3 3" xfId="6421" xr:uid="{00000000-0005-0000-0000-0000C3180000}"/>
    <cellStyle name="Normal 47 3 3 2" xfId="6422" xr:uid="{00000000-0005-0000-0000-0000C4180000}"/>
    <cellStyle name="Normal 47 3 3 2 2" xfId="6423" xr:uid="{00000000-0005-0000-0000-0000C5180000}"/>
    <cellStyle name="Normal 47 3 3 3" xfId="6424" xr:uid="{00000000-0005-0000-0000-0000C6180000}"/>
    <cellStyle name="Normal 47 3 4" xfId="6425" xr:uid="{00000000-0005-0000-0000-0000C7180000}"/>
    <cellStyle name="Normal 47 3 4 2" xfId="6426" xr:uid="{00000000-0005-0000-0000-0000C8180000}"/>
    <cellStyle name="Normal 47 3 5" xfId="6427" xr:uid="{00000000-0005-0000-0000-0000C9180000}"/>
    <cellStyle name="Normal 47 4" xfId="6428" xr:uid="{00000000-0005-0000-0000-0000CA180000}"/>
    <cellStyle name="Normal 47 4 2" xfId="6429" xr:uid="{00000000-0005-0000-0000-0000CB180000}"/>
    <cellStyle name="Normal 47 4 2 2" xfId="6430" xr:uid="{00000000-0005-0000-0000-0000CC180000}"/>
    <cellStyle name="Normal 47 4 2 2 2" xfId="6431" xr:uid="{00000000-0005-0000-0000-0000CD180000}"/>
    <cellStyle name="Normal 47 4 2 2 2 2" xfId="6432" xr:uid="{00000000-0005-0000-0000-0000CE180000}"/>
    <cellStyle name="Normal 47 4 2 2 3" xfId="6433" xr:uid="{00000000-0005-0000-0000-0000CF180000}"/>
    <cellStyle name="Normal 47 4 2 3" xfId="6434" xr:uid="{00000000-0005-0000-0000-0000D0180000}"/>
    <cellStyle name="Normal 47 4 2 3 2" xfId="6435" xr:uid="{00000000-0005-0000-0000-0000D1180000}"/>
    <cellStyle name="Normal 47 4 2 4" xfId="6436" xr:uid="{00000000-0005-0000-0000-0000D2180000}"/>
    <cellStyle name="Normal 47 4 3" xfId="6437" xr:uid="{00000000-0005-0000-0000-0000D3180000}"/>
    <cellStyle name="Normal 47 4 3 2" xfId="6438" xr:uid="{00000000-0005-0000-0000-0000D4180000}"/>
    <cellStyle name="Normal 47 4 3 2 2" xfId="6439" xr:uid="{00000000-0005-0000-0000-0000D5180000}"/>
    <cellStyle name="Normal 47 4 3 3" xfId="6440" xr:uid="{00000000-0005-0000-0000-0000D6180000}"/>
    <cellStyle name="Normal 47 4 4" xfId="6441" xr:uid="{00000000-0005-0000-0000-0000D7180000}"/>
    <cellStyle name="Normal 47 4 4 2" xfId="6442" xr:uid="{00000000-0005-0000-0000-0000D8180000}"/>
    <cellStyle name="Normal 47 4 5" xfId="6443" xr:uid="{00000000-0005-0000-0000-0000D9180000}"/>
    <cellStyle name="Normal 47 5" xfId="6444" xr:uid="{00000000-0005-0000-0000-0000DA180000}"/>
    <cellStyle name="Normal 47 5 2" xfId="6445" xr:uid="{00000000-0005-0000-0000-0000DB180000}"/>
    <cellStyle name="Normal 47 5 2 2" xfId="6446" xr:uid="{00000000-0005-0000-0000-0000DC180000}"/>
    <cellStyle name="Normal 47 5 2 2 2" xfId="6447" xr:uid="{00000000-0005-0000-0000-0000DD180000}"/>
    <cellStyle name="Normal 47 5 2 2 2 2" xfId="6448" xr:uid="{00000000-0005-0000-0000-0000DE180000}"/>
    <cellStyle name="Normal 47 5 2 2 3" xfId="6449" xr:uid="{00000000-0005-0000-0000-0000DF180000}"/>
    <cellStyle name="Normal 47 5 2 3" xfId="6450" xr:uid="{00000000-0005-0000-0000-0000E0180000}"/>
    <cellStyle name="Normal 47 5 2 3 2" xfId="6451" xr:uid="{00000000-0005-0000-0000-0000E1180000}"/>
    <cellStyle name="Normal 47 5 2 4" xfId="6452" xr:uid="{00000000-0005-0000-0000-0000E2180000}"/>
    <cellStyle name="Normal 47 5 3" xfId="6453" xr:uid="{00000000-0005-0000-0000-0000E3180000}"/>
    <cellStyle name="Normal 47 5 3 2" xfId="6454" xr:uid="{00000000-0005-0000-0000-0000E4180000}"/>
    <cellStyle name="Normal 47 5 3 2 2" xfId="6455" xr:uid="{00000000-0005-0000-0000-0000E5180000}"/>
    <cellStyle name="Normal 47 5 3 3" xfId="6456" xr:uid="{00000000-0005-0000-0000-0000E6180000}"/>
    <cellStyle name="Normal 47 5 4" xfId="6457" xr:uid="{00000000-0005-0000-0000-0000E7180000}"/>
    <cellStyle name="Normal 47 5 4 2" xfId="6458" xr:uid="{00000000-0005-0000-0000-0000E8180000}"/>
    <cellStyle name="Normal 47 5 5" xfId="6459" xr:uid="{00000000-0005-0000-0000-0000E9180000}"/>
    <cellStyle name="Normal 47 6" xfId="6460" xr:uid="{00000000-0005-0000-0000-0000EA180000}"/>
    <cellStyle name="Normal 47 6 2" xfId="6461" xr:uid="{00000000-0005-0000-0000-0000EB180000}"/>
    <cellStyle name="Normal 47 6 2 2" xfId="6462" xr:uid="{00000000-0005-0000-0000-0000EC180000}"/>
    <cellStyle name="Normal 47 6 2 2 2" xfId="6463" xr:uid="{00000000-0005-0000-0000-0000ED180000}"/>
    <cellStyle name="Normal 47 6 2 3" xfId="6464" xr:uid="{00000000-0005-0000-0000-0000EE180000}"/>
    <cellStyle name="Normal 47 6 3" xfId="6465" xr:uid="{00000000-0005-0000-0000-0000EF180000}"/>
    <cellStyle name="Normal 47 6 3 2" xfId="6466" xr:uid="{00000000-0005-0000-0000-0000F0180000}"/>
    <cellStyle name="Normal 47 6 4" xfId="6467" xr:uid="{00000000-0005-0000-0000-0000F1180000}"/>
    <cellStyle name="Normal 47 7" xfId="6468" xr:uid="{00000000-0005-0000-0000-0000F2180000}"/>
    <cellStyle name="Normal 47 7 2" xfId="6469" xr:uid="{00000000-0005-0000-0000-0000F3180000}"/>
    <cellStyle name="Normal 47 7 2 2" xfId="6470" xr:uid="{00000000-0005-0000-0000-0000F4180000}"/>
    <cellStyle name="Normal 47 7 3" xfId="6471" xr:uid="{00000000-0005-0000-0000-0000F5180000}"/>
    <cellStyle name="Normal 47 8" xfId="6472" xr:uid="{00000000-0005-0000-0000-0000F6180000}"/>
    <cellStyle name="Normal 47 8 2" xfId="6473" xr:uid="{00000000-0005-0000-0000-0000F7180000}"/>
    <cellStyle name="Normal 47 9" xfId="6474" xr:uid="{00000000-0005-0000-0000-0000F8180000}"/>
    <cellStyle name="Normal 48" xfId="6475" xr:uid="{00000000-0005-0000-0000-0000F9180000}"/>
    <cellStyle name="Normal 48 2" xfId="6476" xr:uid="{00000000-0005-0000-0000-0000FA180000}"/>
    <cellStyle name="Normal 48 2 2" xfId="6477" xr:uid="{00000000-0005-0000-0000-0000FB180000}"/>
    <cellStyle name="Normal 48 3" xfId="6478" xr:uid="{00000000-0005-0000-0000-0000FC180000}"/>
    <cellStyle name="Normal 48 3 2" xfId="6479" xr:uid="{00000000-0005-0000-0000-0000FD180000}"/>
    <cellStyle name="Normal 48 3 2 2" xfId="6480" xr:uid="{00000000-0005-0000-0000-0000FE180000}"/>
    <cellStyle name="Normal 48 3 2 2 2" xfId="6481" xr:uid="{00000000-0005-0000-0000-0000FF180000}"/>
    <cellStyle name="Normal 48 3 2 2 2 2" xfId="6482" xr:uid="{00000000-0005-0000-0000-000000190000}"/>
    <cellStyle name="Normal 48 3 2 2 3" xfId="6483" xr:uid="{00000000-0005-0000-0000-000001190000}"/>
    <cellStyle name="Normal 48 3 2 3" xfId="6484" xr:uid="{00000000-0005-0000-0000-000002190000}"/>
    <cellStyle name="Normal 48 3 2 3 2" xfId="6485" xr:uid="{00000000-0005-0000-0000-000003190000}"/>
    <cellStyle name="Normal 48 3 2 4" xfId="6486" xr:uid="{00000000-0005-0000-0000-000004190000}"/>
    <cellStyle name="Normal 48 3 3" xfId="6487" xr:uid="{00000000-0005-0000-0000-000005190000}"/>
    <cellStyle name="Normal 48 3 3 2" xfId="6488" xr:uid="{00000000-0005-0000-0000-000006190000}"/>
    <cellStyle name="Normal 48 3 3 2 2" xfId="6489" xr:uid="{00000000-0005-0000-0000-000007190000}"/>
    <cellStyle name="Normal 48 3 3 3" xfId="6490" xr:uid="{00000000-0005-0000-0000-000008190000}"/>
    <cellStyle name="Normal 48 3 4" xfId="6491" xr:uid="{00000000-0005-0000-0000-000009190000}"/>
    <cellStyle name="Normal 48 3 4 2" xfId="6492" xr:uid="{00000000-0005-0000-0000-00000A190000}"/>
    <cellStyle name="Normal 48 3 5" xfId="6493" xr:uid="{00000000-0005-0000-0000-00000B190000}"/>
    <cellStyle name="Normal 48 4" xfId="6494" xr:uid="{00000000-0005-0000-0000-00000C190000}"/>
    <cellStyle name="Normal 48 4 2" xfId="6495" xr:uid="{00000000-0005-0000-0000-00000D190000}"/>
    <cellStyle name="Normal 48 4 2 2" xfId="6496" xr:uid="{00000000-0005-0000-0000-00000E190000}"/>
    <cellStyle name="Normal 48 4 2 2 2" xfId="6497" xr:uid="{00000000-0005-0000-0000-00000F190000}"/>
    <cellStyle name="Normal 48 4 2 2 2 2" xfId="6498" xr:uid="{00000000-0005-0000-0000-000010190000}"/>
    <cellStyle name="Normal 48 4 2 2 3" xfId="6499" xr:uid="{00000000-0005-0000-0000-000011190000}"/>
    <cellStyle name="Normal 48 4 2 3" xfId="6500" xr:uid="{00000000-0005-0000-0000-000012190000}"/>
    <cellStyle name="Normal 48 4 2 3 2" xfId="6501" xr:uid="{00000000-0005-0000-0000-000013190000}"/>
    <cellStyle name="Normal 48 4 2 4" xfId="6502" xr:uid="{00000000-0005-0000-0000-000014190000}"/>
    <cellStyle name="Normal 48 4 3" xfId="6503" xr:uid="{00000000-0005-0000-0000-000015190000}"/>
    <cellStyle name="Normal 48 4 3 2" xfId="6504" xr:uid="{00000000-0005-0000-0000-000016190000}"/>
    <cellStyle name="Normal 48 4 3 2 2" xfId="6505" xr:uid="{00000000-0005-0000-0000-000017190000}"/>
    <cellStyle name="Normal 48 4 3 3" xfId="6506" xr:uid="{00000000-0005-0000-0000-000018190000}"/>
    <cellStyle name="Normal 48 4 4" xfId="6507" xr:uid="{00000000-0005-0000-0000-000019190000}"/>
    <cellStyle name="Normal 48 4 4 2" xfId="6508" xr:uid="{00000000-0005-0000-0000-00001A190000}"/>
    <cellStyle name="Normal 48 4 5" xfId="6509" xr:uid="{00000000-0005-0000-0000-00001B190000}"/>
    <cellStyle name="Normal 48 5" xfId="6510" xr:uid="{00000000-0005-0000-0000-00001C190000}"/>
    <cellStyle name="Normal 48 5 2" xfId="6511" xr:uid="{00000000-0005-0000-0000-00001D190000}"/>
    <cellStyle name="Normal 48 5 2 2" xfId="6512" xr:uid="{00000000-0005-0000-0000-00001E190000}"/>
    <cellStyle name="Normal 48 5 2 2 2" xfId="6513" xr:uid="{00000000-0005-0000-0000-00001F190000}"/>
    <cellStyle name="Normal 48 5 2 2 2 2" xfId="6514" xr:uid="{00000000-0005-0000-0000-000020190000}"/>
    <cellStyle name="Normal 48 5 2 2 3" xfId="6515" xr:uid="{00000000-0005-0000-0000-000021190000}"/>
    <cellStyle name="Normal 48 5 2 3" xfId="6516" xr:uid="{00000000-0005-0000-0000-000022190000}"/>
    <cellStyle name="Normal 48 5 2 3 2" xfId="6517" xr:uid="{00000000-0005-0000-0000-000023190000}"/>
    <cellStyle name="Normal 48 5 2 4" xfId="6518" xr:uid="{00000000-0005-0000-0000-000024190000}"/>
    <cellStyle name="Normal 48 5 3" xfId="6519" xr:uid="{00000000-0005-0000-0000-000025190000}"/>
    <cellStyle name="Normal 48 5 3 2" xfId="6520" xr:uid="{00000000-0005-0000-0000-000026190000}"/>
    <cellStyle name="Normal 48 5 3 2 2" xfId="6521" xr:uid="{00000000-0005-0000-0000-000027190000}"/>
    <cellStyle name="Normal 48 5 3 3" xfId="6522" xr:uid="{00000000-0005-0000-0000-000028190000}"/>
    <cellStyle name="Normal 48 5 4" xfId="6523" xr:uid="{00000000-0005-0000-0000-000029190000}"/>
    <cellStyle name="Normal 48 5 4 2" xfId="6524" xr:uid="{00000000-0005-0000-0000-00002A190000}"/>
    <cellStyle name="Normal 48 5 5" xfId="6525" xr:uid="{00000000-0005-0000-0000-00002B190000}"/>
    <cellStyle name="Normal 48 6" xfId="6526" xr:uid="{00000000-0005-0000-0000-00002C190000}"/>
    <cellStyle name="Normal 48 6 2" xfId="6527" xr:uid="{00000000-0005-0000-0000-00002D190000}"/>
    <cellStyle name="Normal 48 6 2 2" xfId="6528" xr:uid="{00000000-0005-0000-0000-00002E190000}"/>
    <cellStyle name="Normal 48 6 2 2 2" xfId="6529" xr:uid="{00000000-0005-0000-0000-00002F190000}"/>
    <cellStyle name="Normal 48 6 2 3" xfId="6530" xr:uid="{00000000-0005-0000-0000-000030190000}"/>
    <cellStyle name="Normal 48 6 3" xfId="6531" xr:uid="{00000000-0005-0000-0000-000031190000}"/>
    <cellStyle name="Normal 48 6 3 2" xfId="6532" xr:uid="{00000000-0005-0000-0000-000032190000}"/>
    <cellStyle name="Normal 48 6 4" xfId="6533" xr:uid="{00000000-0005-0000-0000-000033190000}"/>
    <cellStyle name="Normal 48 7" xfId="6534" xr:uid="{00000000-0005-0000-0000-000034190000}"/>
    <cellStyle name="Normal 48 7 2" xfId="6535" xr:uid="{00000000-0005-0000-0000-000035190000}"/>
    <cellStyle name="Normal 48 7 2 2" xfId="6536" xr:uid="{00000000-0005-0000-0000-000036190000}"/>
    <cellStyle name="Normal 48 7 3" xfId="6537" xr:uid="{00000000-0005-0000-0000-000037190000}"/>
    <cellStyle name="Normal 48 8" xfId="6538" xr:uid="{00000000-0005-0000-0000-000038190000}"/>
    <cellStyle name="Normal 48 8 2" xfId="6539" xr:uid="{00000000-0005-0000-0000-000039190000}"/>
    <cellStyle name="Normal 48 9" xfId="6540" xr:uid="{00000000-0005-0000-0000-00003A190000}"/>
    <cellStyle name="Normal 49" xfId="6541" xr:uid="{00000000-0005-0000-0000-00003B190000}"/>
    <cellStyle name="Normal 49 2" xfId="6542" xr:uid="{00000000-0005-0000-0000-00003C190000}"/>
    <cellStyle name="Normal 49 2 2" xfId="6543" xr:uid="{00000000-0005-0000-0000-00003D190000}"/>
    <cellStyle name="Normal 49 3" xfId="6544" xr:uid="{00000000-0005-0000-0000-00003E190000}"/>
    <cellStyle name="Normal 49 3 2" xfId="6545" xr:uid="{00000000-0005-0000-0000-00003F190000}"/>
    <cellStyle name="Normal 49 3 2 2" xfId="6546" xr:uid="{00000000-0005-0000-0000-000040190000}"/>
    <cellStyle name="Normal 49 3 2 2 2" xfId="6547" xr:uid="{00000000-0005-0000-0000-000041190000}"/>
    <cellStyle name="Normal 49 3 2 2 2 2" xfId="6548" xr:uid="{00000000-0005-0000-0000-000042190000}"/>
    <cellStyle name="Normal 49 3 2 2 3" xfId="6549" xr:uid="{00000000-0005-0000-0000-000043190000}"/>
    <cellStyle name="Normal 49 3 2 3" xfId="6550" xr:uid="{00000000-0005-0000-0000-000044190000}"/>
    <cellStyle name="Normal 49 3 2 3 2" xfId="6551" xr:uid="{00000000-0005-0000-0000-000045190000}"/>
    <cellStyle name="Normal 49 3 2 4" xfId="6552" xr:uid="{00000000-0005-0000-0000-000046190000}"/>
    <cellStyle name="Normal 49 3 3" xfId="6553" xr:uid="{00000000-0005-0000-0000-000047190000}"/>
    <cellStyle name="Normal 49 3 3 2" xfId="6554" xr:uid="{00000000-0005-0000-0000-000048190000}"/>
    <cellStyle name="Normal 49 3 3 2 2" xfId="6555" xr:uid="{00000000-0005-0000-0000-000049190000}"/>
    <cellStyle name="Normal 49 3 3 3" xfId="6556" xr:uid="{00000000-0005-0000-0000-00004A190000}"/>
    <cellStyle name="Normal 49 3 4" xfId="6557" xr:uid="{00000000-0005-0000-0000-00004B190000}"/>
    <cellStyle name="Normal 49 3 4 2" xfId="6558" xr:uid="{00000000-0005-0000-0000-00004C190000}"/>
    <cellStyle name="Normal 49 3 5" xfId="6559" xr:uid="{00000000-0005-0000-0000-00004D190000}"/>
    <cellStyle name="Normal 49 4" xfId="6560" xr:uid="{00000000-0005-0000-0000-00004E190000}"/>
    <cellStyle name="Normal 49 4 2" xfId="6561" xr:uid="{00000000-0005-0000-0000-00004F190000}"/>
    <cellStyle name="Normal 49 4 2 2" xfId="6562" xr:uid="{00000000-0005-0000-0000-000050190000}"/>
    <cellStyle name="Normal 49 4 2 2 2" xfId="6563" xr:uid="{00000000-0005-0000-0000-000051190000}"/>
    <cellStyle name="Normal 49 4 2 2 2 2" xfId="6564" xr:uid="{00000000-0005-0000-0000-000052190000}"/>
    <cellStyle name="Normal 49 4 2 2 3" xfId="6565" xr:uid="{00000000-0005-0000-0000-000053190000}"/>
    <cellStyle name="Normal 49 4 2 3" xfId="6566" xr:uid="{00000000-0005-0000-0000-000054190000}"/>
    <cellStyle name="Normal 49 4 2 3 2" xfId="6567" xr:uid="{00000000-0005-0000-0000-000055190000}"/>
    <cellStyle name="Normal 49 4 2 4" xfId="6568" xr:uid="{00000000-0005-0000-0000-000056190000}"/>
    <cellStyle name="Normal 49 4 3" xfId="6569" xr:uid="{00000000-0005-0000-0000-000057190000}"/>
    <cellStyle name="Normal 49 4 3 2" xfId="6570" xr:uid="{00000000-0005-0000-0000-000058190000}"/>
    <cellStyle name="Normal 49 4 3 2 2" xfId="6571" xr:uid="{00000000-0005-0000-0000-000059190000}"/>
    <cellStyle name="Normal 49 4 3 3" xfId="6572" xr:uid="{00000000-0005-0000-0000-00005A190000}"/>
    <cellStyle name="Normal 49 4 4" xfId="6573" xr:uid="{00000000-0005-0000-0000-00005B190000}"/>
    <cellStyle name="Normal 49 4 4 2" xfId="6574" xr:uid="{00000000-0005-0000-0000-00005C190000}"/>
    <cellStyle name="Normal 49 4 5" xfId="6575" xr:uid="{00000000-0005-0000-0000-00005D190000}"/>
    <cellStyle name="Normal 49 5" xfId="6576" xr:uid="{00000000-0005-0000-0000-00005E190000}"/>
    <cellStyle name="Normal 49 5 2" xfId="6577" xr:uid="{00000000-0005-0000-0000-00005F190000}"/>
    <cellStyle name="Normal 49 5 2 2" xfId="6578" xr:uid="{00000000-0005-0000-0000-000060190000}"/>
    <cellStyle name="Normal 49 5 2 2 2" xfId="6579" xr:uid="{00000000-0005-0000-0000-000061190000}"/>
    <cellStyle name="Normal 49 5 2 2 2 2" xfId="6580" xr:uid="{00000000-0005-0000-0000-000062190000}"/>
    <cellStyle name="Normal 49 5 2 2 3" xfId="6581" xr:uid="{00000000-0005-0000-0000-000063190000}"/>
    <cellStyle name="Normal 49 5 2 3" xfId="6582" xr:uid="{00000000-0005-0000-0000-000064190000}"/>
    <cellStyle name="Normal 49 5 2 3 2" xfId="6583" xr:uid="{00000000-0005-0000-0000-000065190000}"/>
    <cellStyle name="Normal 49 5 2 4" xfId="6584" xr:uid="{00000000-0005-0000-0000-000066190000}"/>
    <cellStyle name="Normal 49 5 3" xfId="6585" xr:uid="{00000000-0005-0000-0000-000067190000}"/>
    <cellStyle name="Normal 49 5 3 2" xfId="6586" xr:uid="{00000000-0005-0000-0000-000068190000}"/>
    <cellStyle name="Normal 49 5 3 2 2" xfId="6587" xr:uid="{00000000-0005-0000-0000-000069190000}"/>
    <cellStyle name="Normal 49 5 3 3" xfId="6588" xr:uid="{00000000-0005-0000-0000-00006A190000}"/>
    <cellStyle name="Normal 49 5 4" xfId="6589" xr:uid="{00000000-0005-0000-0000-00006B190000}"/>
    <cellStyle name="Normal 49 5 4 2" xfId="6590" xr:uid="{00000000-0005-0000-0000-00006C190000}"/>
    <cellStyle name="Normal 49 5 5" xfId="6591" xr:uid="{00000000-0005-0000-0000-00006D190000}"/>
    <cellStyle name="Normal 49 6" xfId="6592" xr:uid="{00000000-0005-0000-0000-00006E190000}"/>
    <cellStyle name="Normal 49 6 2" xfId="6593" xr:uid="{00000000-0005-0000-0000-00006F190000}"/>
    <cellStyle name="Normal 49 6 2 2" xfId="6594" xr:uid="{00000000-0005-0000-0000-000070190000}"/>
    <cellStyle name="Normal 49 6 2 2 2" xfId="6595" xr:uid="{00000000-0005-0000-0000-000071190000}"/>
    <cellStyle name="Normal 49 6 2 3" xfId="6596" xr:uid="{00000000-0005-0000-0000-000072190000}"/>
    <cellStyle name="Normal 49 6 3" xfId="6597" xr:uid="{00000000-0005-0000-0000-000073190000}"/>
    <cellStyle name="Normal 49 6 3 2" xfId="6598" xr:uid="{00000000-0005-0000-0000-000074190000}"/>
    <cellStyle name="Normal 49 6 4" xfId="6599" xr:uid="{00000000-0005-0000-0000-000075190000}"/>
    <cellStyle name="Normal 49 7" xfId="6600" xr:uid="{00000000-0005-0000-0000-000076190000}"/>
    <cellStyle name="Normal 49 7 2" xfId="6601" xr:uid="{00000000-0005-0000-0000-000077190000}"/>
    <cellStyle name="Normal 49 7 2 2" xfId="6602" xr:uid="{00000000-0005-0000-0000-000078190000}"/>
    <cellStyle name="Normal 49 7 3" xfId="6603" xr:uid="{00000000-0005-0000-0000-000079190000}"/>
    <cellStyle name="Normal 49 8" xfId="6604" xr:uid="{00000000-0005-0000-0000-00007A190000}"/>
    <cellStyle name="Normal 49 8 2" xfId="6605" xr:uid="{00000000-0005-0000-0000-00007B190000}"/>
    <cellStyle name="Normal 49 9" xfId="6606" xr:uid="{00000000-0005-0000-0000-00007C190000}"/>
    <cellStyle name="Normal 5" xfId="295" xr:uid="{00000000-0005-0000-0000-00007D190000}"/>
    <cellStyle name="Normal 5 10" xfId="6607" xr:uid="{00000000-0005-0000-0000-00007E190000}"/>
    <cellStyle name="Normal 5 11" xfId="6608" xr:uid="{00000000-0005-0000-0000-00007F190000}"/>
    <cellStyle name="Normal 5 12" xfId="6609" xr:uid="{00000000-0005-0000-0000-000080190000}"/>
    <cellStyle name="Normal 5 13" xfId="6610" xr:uid="{00000000-0005-0000-0000-000081190000}"/>
    <cellStyle name="Normal 5 2" xfId="296" xr:uid="{00000000-0005-0000-0000-000082190000}"/>
    <cellStyle name="Normal 5 2 2" xfId="297" xr:uid="{00000000-0005-0000-0000-000083190000}"/>
    <cellStyle name="Normal 5 2 2 2" xfId="6611" xr:uid="{00000000-0005-0000-0000-000084190000}"/>
    <cellStyle name="Normal 5 2 3" xfId="6612" xr:uid="{00000000-0005-0000-0000-000085190000}"/>
    <cellStyle name="Normal 5 3" xfId="298" xr:uid="{00000000-0005-0000-0000-000086190000}"/>
    <cellStyle name="Normal 5 3 2" xfId="6613" xr:uid="{00000000-0005-0000-0000-000087190000}"/>
    <cellStyle name="Normal 5 3 2 2" xfId="6614" xr:uid="{00000000-0005-0000-0000-000088190000}"/>
    <cellStyle name="Normal 5 3 2 2 2" xfId="6615" xr:uid="{00000000-0005-0000-0000-000089190000}"/>
    <cellStyle name="Normal 5 3 2 2 2 2" xfId="6616" xr:uid="{00000000-0005-0000-0000-00008A190000}"/>
    <cellStyle name="Normal 5 3 2 2 3" xfId="6617" xr:uid="{00000000-0005-0000-0000-00008B190000}"/>
    <cellStyle name="Normal 5 3 2 3" xfId="6618" xr:uid="{00000000-0005-0000-0000-00008C190000}"/>
    <cellStyle name="Normal 5 3 2 3 2" xfId="6619" xr:uid="{00000000-0005-0000-0000-00008D190000}"/>
    <cellStyle name="Normal 5 3 2 4" xfId="6620" xr:uid="{00000000-0005-0000-0000-00008E190000}"/>
    <cellStyle name="Normal 5 3 3" xfId="6621" xr:uid="{00000000-0005-0000-0000-00008F190000}"/>
    <cellStyle name="Normal 5 3 3 2" xfId="6622" xr:uid="{00000000-0005-0000-0000-000090190000}"/>
    <cellStyle name="Normal 5 3 3 2 2" xfId="6623" xr:uid="{00000000-0005-0000-0000-000091190000}"/>
    <cellStyle name="Normal 5 3 3 3" xfId="6624" xr:uid="{00000000-0005-0000-0000-000092190000}"/>
    <cellStyle name="Normal 5 3 4" xfId="6625" xr:uid="{00000000-0005-0000-0000-000093190000}"/>
    <cellStyle name="Normal 5 3 4 2" xfId="6626" xr:uid="{00000000-0005-0000-0000-000094190000}"/>
    <cellStyle name="Normal 5 3 5" xfId="6627" xr:uid="{00000000-0005-0000-0000-000095190000}"/>
    <cellStyle name="Normal 5 3 6" xfId="6628" xr:uid="{00000000-0005-0000-0000-000096190000}"/>
    <cellStyle name="Normal 5 4" xfId="6629" xr:uid="{00000000-0005-0000-0000-000097190000}"/>
    <cellStyle name="Normal 5 4 2" xfId="6630" xr:uid="{00000000-0005-0000-0000-000098190000}"/>
    <cellStyle name="Normal 5 4 2 2" xfId="6631" xr:uid="{00000000-0005-0000-0000-000099190000}"/>
    <cellStyle name="Normal 5 4 2 2 2" xfId="6632" xr:uid="{00000000-0005-0000-0000-00009A190000}"/>
    <cellStyle name="Normal 5 4 2 2 2 2" xfId="6633" xr:uid="{00000000-0005-0000-0000-00009B190000}"/>
    <cellStyle name="Normal 5 4 2 2 3" xfId="6634" xr:uid="{00000000-0005-0000-0000-00009C190000}"/>
    <cellStyle name="Normal 5 4 2 3" xfId="6635" xr:uid="{00000000-0005-0000-0000-00009D190000}"/>
    <cellStyle name="Normal 5 4 2 3 2" xfId="6636" xr:uid="{00000000-0005-0000-0000-00009E190000}"/>
    <cellStyle name="Normal 5 4 2 4" xfId="6637" xr:uid="{00000000-0005-0000-0000-00009F190000}"/>
    <cellStyle name="Normal 5 4 3" xfId="6638" xr:uid="{00000000-0005-0000-0000-0000A0190000}"/>
    <cellStyle name="Normal 5 4 3 2" xfId="6639" xr:uid="{00000000-0005-0000-0000-0000A1190000}"/>
    <cellStyle name="Normal 5 4 3 2 2" xfId="6640" xr:uid="{00000000-0005-0000-0000-0000A2190000}"/>
    <cellStyle name="Normal 5 4 3 3" xfId="6641" xr:uid="{00000000-0005-0000-0000-0000A3190000}"/>
    <cellStyle name="Normal 5 4 4" xfId="6642" xr:uid="{00000000-0005-0000-0000-0000A4190000}"/>
    <cellStyle name="Normal 5 4 4 2" xfId="6643" xr:uid="{00000000-0005-0000-0000-0000A5190000}"/>
    <cellStyle name="Normal 5 4 5" xfId="6644" xr:uid="{00000000-0005-0000-0000-0000A6190000}"/>
    <cellStyle name="Normal 5 5" xfId="6645" xr:uid="{00000000-0005-0000-0000-0000A7190000}"/>
    <cellStyle name="Normal 5 5 2" xfId="6646" xr:uid="{00000000-0005-0000-0000-0000A8190000}"/>
    <cellStyle name="Normal 5 5 2 2" xfId="6647" xr:uid="{00000000-0005-0000-0000-0000A9190000}"/>
    <cellStyle name="Normal 5 5 2 2 2" xfId="6648" xr:uid="{00000000-0005-0000-0000-0000AA190000}"/>
    <cellStyle name="Normal 5 5 2 2 2 2" xfId="6649" xr:uid="{00000000-0005-0000-0000-0000AB190000}"/>
    <cellStyle name="Normal 5 5 2 2 3" xfId="6650" xr:uid="{00000000-0005-0000-0000-0000AC190000}"/>
    <cellStyle name="Normal 5 5 2 3" xfId="6651" xr:uid="{00000000-0005-0000-0000-0000AD190000}"/>
    <cellStyle name="Normal 5 5 2 3 2" xfId="6652" xr:uid="{00000000-0005-0000-0000-0000AE190000}"/>
    <cellStyle name="Normal 5 5 2 4" xfId="6653" xr:uid="{00000000-0005-0000-0000-0000AF190000}"/>
    <cellStyle name="Normal 5 5 3" xfId="6654" xr:uid="{00000000-0005-0000-0000-0000B0190000}"/>
    <cellStyle name="Normal 5 5 3 2" xfId="6655" xr:uid="{00000000-0005-0000-0000-0000B1190000}"/>
    <cellStyle name="Normal 5 5 3 2 2" xfId="6656" xr:uid="{00000000-0005-0000-0000-0000B2190000}"/>
    <cellStyle name="Normal 5 5 3 3" xfId="6657" xr:uid="{00000000-0005-0000-0000-0000B3190000}"/>
    <cellStyle name="Normal 5 5 4" xfId="6658" xr:uid="{00000000-0005-0000-0000-0000B4190000}"/>
    <cellStyle name="Normal 5 5 4 2" xfId="6659" xr:uid="{00000000-0005-0000-0000-0000B5190000}"/>
    <cellStyle name="Normal 5 5 5" xfId="6660" xr:uid="{00000000-0005-0000-0000-0000B6190000}"/>
    <cellStyle name="Normal 5 6" xfId="6661" xr:uid="{00000000-0005-0000-0000-0000B7190000}"/>
    <cellStyle name="Normal 5 6 2" xfId="6662" xr:uid="{00000000-0005-0000-0000-0000B8190000}"/>
    <cellStyle name="Normal 5 6 2 2" xfId="6663" xr:uid="{00000000-0005-0000-0000-0000B9190000}"/>
    <cellStyle name="Normal 5 6 2 2 2" xfId="6664" xr:uid="{00000000-0005-0000-0000-0000BA190000}"/>
    <cellStyle name="Normal 5 6 2 3" xfId="6665" xr:uid="{00000000-0005-0000-0000-0000BB190000}"/>
    <cellStyle name="Normal 5 6 3" xfId="6666" xr:uid="{00000000-0005-0000-0000-0000BC190000}"/>
    <cellStyle name="Normal 5 6 3 2" xfId="6667" xr:uid="{00000000-0005-0000-0000-0000BD190000}"/>
    <cellStyle name="Normal 5 6 4" xfId="6668" xr:uid="{00000000-0005-0000-0000-0000BE190000}"/>
    <cellStyle name="Normal 5 7" xfId="6669" xr:uid="{00000000-0005-0000-0000-0000BF190000}"/>
    <cellStyle name="Normal 5 7 2" xfId="6670" xr:uid="{00000000-0005-0000-0000-0000C0190000}"/>
    <cellStyle name="Normal 5 7 2 2" xfId="6671" xr:uid="{00000000-0005-0000-0000-0000C1190000}"/>
    <cellStyle name="Normal 5 7 3" xfId="6672" xr:uid="{00000000-0005-0000-0000-0000C2190000}"/>
    <cellStyle name="Normal 5 8" xfId="6673" xr:uid="{00000000-0005-0000-0000-0000C3190000}"/>
    <cellStyle name="Normal 5 8 2" xfId="6674" xr:uid="{00000000-0005-0000-0000-0000C4190000}"/>
    <cellStyle name="Normal 5 9" xfId="6675" xr:uid="{00000000-0005-0000-0000-0000C5190000}"/>
    <cellStyle name="Normal 50" xfId="6676" xr:uid="{00000000-0005-0000-0000-0000C6190000}"/>
    <cellStyle name="Normal 50 2" xfId="6677" xr:uid="{00000000-0005-0000-0000-0000C7190000}"/>
    <cellStyle name="Normal 50 2 2" xfId="6678" xr:uid="{00000000-0005-0000-0000-0000C8190000}"/>
    <cellStyle name="Normal 50 3" xfId="6679" xr:uid="{00000000-0005-0000-0000-0000C9190000}"/>
    <cellStyle name="Normal 50 3 2" xfId="6680" xr:uid="{00000000-0005-0000-0000-0000CA190000}"/>
    <cellStyle name="Normal 50 3 2 2" xfId="6681" xr:uid="{00000000-0005-0000-0000-0000CB190000}"/>
    <cellStyle name="Normal 50 3 2 2 2" xfId="6682" xr:uid="{00000000-0005-0000-0000-0000CC190000}"/>
    <cellStyle name="Normal 50 3 2 2 2 2" xfId="6683" xr:uid="{00000000-0005-0000-0000-0000CD190000}"/>
    <cellStyle name="Normal 50 3 2 2 3" xfId="6684" xr:uid="{00000000-0005-0000-0000-0000CE190000}"/>
    <cellStyle name="Normal 50 3 2 3" xfId="6685" xr:uid="{00000000-0005-0000-0000-0000CF190000}"/>
    <cellStyle name="Normal 50 3 2 3 2" xfId="6686" xr:uid="{00000000-0005-0000-0000-0000D0190000}"/>
    <cellStyle name="Normal 50 3 2 4" xfId="6687" xr:uid="{00000000-0005-0000-0000-0000D1190000}"/>
    <cellStyle name="Normal 50 3 3" xfId="6688" xr:uid="{00000000-0005-0000-0000-0000D2190000}"/>
    <cellStyle name="Normal 50 3 3 2" xfId="6689" xr:uid="{00000000-0005-0000-0000-0000D3190000}"/>
    <cellStyle name="Normal 50 3 3 2 2" xfId="6690" xr:uid="{00000000-0005-0000-0000-0000D4190000}"/>
    <cellStyle name="Normal 50 3 3 3" xfId="6691" xr:uid="{00000000-0005-0000-0000-0000D5190000}"/>
    <cellStyle name="Normal 50 3 4" xfId="6692" xr:uid="{00000000-0005-0000-0000-0000D6190000}"/>
    <cellStyle name="Normal 50 3 4 2" xfId="6693" xr:uid="{00000000-0005-0000-0000-0000D7190000}"/>
    <cellStyle name="Normal 50 3 5" xfId="6694" xr:uid="{00000000-0005-0000-0000-0000D8190000}"/>
    <cellStyle name="Normal 50 4" xfId="6695" xr:uid="{00000000-0005-0000-0000-0000D9190000}"/>
    <cellStyle name="Normal 50 4 2" xfId="6696" xr:uid="{00000000-0005-0000-0000-0000DA190000}"/>
    <cellStyle name="Normal 50 4 2 2" xfId="6697" xr:uid="{00000000-0005-0000-0000-0000DB190000}"/>
    <cellStyle name="Normal 50 4 2 2 2" xfId="6698" xr:uid="{00000000-0005-0000-0000-0000DC190000}"/>
    <cellStyle name="Normal 50 4 2 2 2 2" xfId="6699" xr:uid="{00000000-0005-0000-0000-0000DD190000}"/>
    <cellStyle name="Normal 50 4 2 2 3" xfId="6700" xr:uid="{00000000-0005-0000-0000-0000DE190000}"/>
    <cellStyle name="Normal 50 4 2 3" xfId="6701" xr:uid="{00000000-0005-0000-0000-0000DF190000}"/>
    <cellStyle name="Normal 50 4 2 3 2" xfId="6702" xr:uid="{00000000-0005-0000-0000-0000E0190000}"/>
    <cellStyle name="Normal 50 4 2 4" xfId="6703" xr:uid="{00000000-0005-0000-0000-0000E1190000}"/>
    <cellStyle name="Normal 50 4 3" xfId="6704" xr:uid="{00000000-0005-0000-0000-0000E2190000}"/>
    <cellStyle name="Normal 50 4 3 2" xfId="6705" xr:uid="{00000000-0005-0000-0000-0000E3190000}"/>
    <cellStyle name="Normal 50 4 3 2 2" xfId="6706" xr:uid="{00000000-0005-0000-0000-0000E4190000}"/>
    <cellStyle name="Normal 50 4 3 3" xfId="6707" xr:uid="{00000000-0005-0000-0000-0000E5190000}"/>
    <cellStyle name="Normal 50 4 4" xfId="6708" xr:uid="{00000000-0005-0000-0000-0000E6190000}"/>
    <cellStyle name="Normal 50 4 4 2" xfId="6709" xr:uid="{00000000-0005-0000-0000-0000E7190000}"/>
    <cellStyle name="Normal 50 4 5" xfId="6710" xr:uid="{00000000-0005-0000-0000-0000E8190000}"/>
    <cellStyle name="Normal 50 5" xfId="6711" xr:uid="{00000000-0005-0000-0000-0000E9190000}"/>
    <cellStyle name="Normal 50 5 2" xfId="6712" xr:uid="{00000000-0005-0000-0000-0000EA190000}"/>
    <cellStyle name="Normal 50 5 2 2" xfId="6713" xr:uid="{00000000-0005-0000-0000-0000EB190000}"/>
    <cellStyle name="Normal 50 5 2 2 2" xfId="6714" xr:uid="{00000000-0005-0000-0000-0000EC190000}"/>
    <cellStyle name="Normal 50 5 2 2 2 2" xfId="6715" xr:uid="{00000000-0005-0000-0000-0000ED190000}"/>
    <cellStyle name="Normal 50 5 2 2 3" xfId="6716" xr:uid="{00000000-0005-0000-0000-0000EE190000}"/>
    <cellStyle name="Normal 50 5 2 3" xfId="6717" xr:uid="{00000000-0005-0000-0000-0000EF190000}"/>
    <cellStyle name="Normal 50 5 2 3 2" xfId="6718" xr:uid="{00000000-0005-0000-0000-0000F0190000}"/>
    <cellStyle name="Normal 50 5 2 4" xfId="6719" xr:uid="{00000000-0005-0000-0000-0000F1190000}"/>
    <cellStyle name="Normal 50 5 3" xfId="6720" xr:uid="{00000000-0005-0000-0000-0000F2190000}"/>
    <cellStyle name="Normal 50 5 3 2" xfId="6721" xr:uid="{00000000-0005-0000-0000-0000F3190000}"/>
    <cellStyle name="Normal 50 5 3 2 2" xfId="6722" xr:uid="{00000000-0005-0000-0000-0000F4190000}"/>
    <cellStyle name="Normal 50 5 3 3" xfId="6723" xr:uid="{00000000-0005-0000-0000-0000F5190000}"/>
    <cellStyle name="Normal 50 5 4" xfId="6724" xr:uid="{00000000-0005-0000-0000-0000F6190000}"/>
    <cellStyle name="Normal 50 5 4 2" xfId="6725" xr:uid="{00000000-0005-0000-0000-0000F7190000}"/>
    <cellStyle name="Normal 50 5 5" xfId="6726" xr:uid="{00000000-0005-0000-0000-0000F8190000}"/>
    <cellStyle name="Normal 50 6" xfId="6727" xr:uid="{00000000-0005-0000-0000-0000F9190000}"/>
    <cellStyle name="Normal 50 6 2" xfId="6728" xr:uid="{00000000-0005-0000-0000-0000FA190000}"/>
    <cellStyle name="Normal 50 6 2 2" xfId="6729" xr:uid="{00000000-0005-0000-0000-0000FB190000}"/>
    <cellStyle name="Normal 50 6 2 2 2" xfId="6730" xr:uid="{00000000-0005-0000-0000-0000FC190000}"/>
    <cellStyle name="Normal 50 6 2 3" xfId="6731" xr:uid="{00000000-0005-0000-0000-0000FD190000}"/>
    <cellStyle name="Normal 50 6 3" xfId="6732" xr:uid="{00000000-0005-0000-0000-0000FE190000}"/>
    <cellStyle name="Normal 50 6 3 2" xfId="6733" xr:uid="{00000000-0005-0000-0000-0000FF190000}"/>
    <cellStyle name="Normal 50 6 4" xfId="6734" xr:uid="{00000000-0005-0000-0000-0000001A0000}"/>
    <cellStyle name="Normal 50 7" xfId="6735" xr:uid="{00000000-0005-0000-0000-0000011A0000}"/>
    <cellStyle name="Normal 50 7 2" xfId="6736" xr:uid="{00000000-0005-0000-0000-0000021A0000}"/>
    <cellStyle name="Normal 50 7 2 2" xfId="6737" xr:uid="{00000000-0005-0000-0000-0000031A0000}"/>
    <cellStyle name="Normal 50 7 3" xfId="6738" xr:uid="{00000000-0005-0000-0000-0000041A0000}"/>
    <cellStyle name="Normal 50 8" xfId="6739" xr:uid="{00000000-0005-0000-0000-0000051A0000}"/>
    <cellStyle name="Normal 50 8 2" xfId="6740" xr:uid="{00000000-0005-0000-0000-0000061A0000}"/>
    <cellStyle name="Normal 50 9" xfId="6741" xr:uid="{00000000-0005-0000-0000-0000071A0000}"/>
    <cellStyle name="Normal 51" xfId="6742" xr:uid="{00000000-0005-0000-0000-0000081A0000}"/>
    <cellStyle name="Normal 51 2" xfId="6743" xr:uid="{00000000-0005-0000-0000-0000091A0000}"/>
    <cellStyle name="Normal 51 2 2" xfId="6744" xr:uid="{00000000-0005-0000-0000-00000A1A0000}"/>
    <cellStyle name="Normal 51 3" xfId="6745" xr:uid="{00000000-0005-0000-0000-00000B1A0000}"/>
    <cellStyle name="Normal 51 3 2" xfId="6746" xr:uid="{00000000-0005-0000-0000-00000C1A0000}"/>
    <cellStyle name="Normal 51 3 2 2" xfId="6747" xr:uid="{00000000-0005-0000-0000-00000D1A0000}"/>
    <cellStyle name="Normal 51 3 2 2 2" xfId="6748" xr:uid="{00000000-0005-0000-0000-00000E1A0000}"/>
    <cellStyle name="Normal 51 3 2 2 2 2" xfId="6749" xr:uid="{00000000-0005-0000-0000-00000F1A0000}"/>
    <cellStyle name="Normal 51 3 2 2 3" xfId="6750" xr:uid="{00000000-0005-0000-0000-0000101A0000}"/>
    <cellStyle name="Normal 51 3 2 3" xfId="6751" xr:uid="{00000000-0005-0000-0000-0000111A0000}"/>
    <cellStyle name="Normal 51 3 2 3 2" xfId="6752" xr:uid="{00000000-0005-0000-0000-0000121A0000}"/>
    <cellStyle name="Normal 51 3 2 4" xfId="6753" xr:uid="{00000000-0005-0000-0000-0000131A0000}"/>
    <cellStyle name="Normal 51 3 3" xfId="6754" xr:uid="{00000000-0005-0000-0000-0000141A0000}"/>
    <cellStyle name="Normal 51 3 3 2" xfId="6755" xr:uid="{00000000-0005-0000-0000-0000151A0000}"/>
    <cellStyle name="Normal 51 3 3 2 2" xfId="6756" xr:uid="{00000000-0005-0000-0000-0000161A0000}"/>
    <cellStyle name="Normal 51 3 3 3" xfId="6757" xr:uid="{00000000-0005-0000-0000-0000171A0000}"/>
    <cellStyle name="Normal 51 3 4" xfId="6758" xr:uid="{00000000-0005-0000-0000-0000181A0000}"/>
    <cellStyle name="Normal 51 3 4 2" xfId="6759" xr:uid="{00000000-0005-0000-0000-0000191A0000}"/>
    <cellStyle name="Normal 51 3 5" xfId="6760" xr:uid="{00000000-0005-0000-0000-00001A1A0000}"/>
    <cellStyle name="Normal 51 4" xfId="6761" xr:uid="{00000000-0005-0000-0000-00001B1A0000}"/>
    <cellStyle name="Normal 51 4 2" xfId="6762" xr:uid="{00000000-0005-0000-0000-00001C1A0000}"/>
    <cellStyle name="Normal 51 4 2 2" xfId="6763" xr:uid="{00000000-0005-0000-0000-00001D1A0000}"/>
    <cellStyle name="Normal 51 4 2 2 2" xfId="6764" xr:uid="{00000000-0005-0000-0000-00001E1A0000}"/>
    <cellStyle name="Normal 51 4 2 2 2 2" xfId="6765" xr:uid="{00000000-0005-0000-0000-00001F1A0000}"/>
    <cellStyle name="Normal 51 4 2 2 3" xfId="6766" xr:uid="{00000000-0005-0000-0000-0000201A0000}"/>
    <cellStyle name="Normal 51 4 2 3" xfId="6767" xr:uid="{00000000-0005-0000-0000-0000211A0000}"/>
    <cellStyle name="Normal 51 4 2 3 2" xfId="6768" xr:uid="{00000000-0005-0000-0000-0000221A0000}"/>
    <cellStyle name="Normal 51 4 2 4" xfId="6769" xr:uid="{00000000-0005-0000-0000-0000231A0000}"/>
    <cellStyle name="Normal 51 4 3" xfId="6770" xr:uid="{00000000-0005-0000-0000-0000241A0000}"/>
    <cellStyle name="Normal 51 4 3 2" xfId="6771" xr:uid="{00000000-0005-0000-0000-0000251A0000}"/>
    <cellStyle name="Normal 51 4 3 2 2" xfId="6772" xr:uid="{00000000-0005-0000-0000-0000261A0000}"/>
    <cellStyle name="Normal 51 4 3 3" xfId="6773" xr:uid="{00000000-0005-0000-0000-0000271A0000}"/>
    <cellStyle name="Normal 51 4 4" xfId="6774" xr:uid="{00000000-0005-0000-0000-0000281A0000}"/>
    <cellStyle name="Normal 51 4 4 2" xfId="6775" xr:uid="{00000000-0005-0000-0000-0000291A0000}"/>
    <cellStyle name="Normal 51 4 5" xfId="6776" xr:uid="{00000000-0005-0000-0000-00002A1A0000}"/>
    <cellStyle name="Normal 51 5" xfId="6777" xr:uid="{00000000-0005-0000-0000-00002B1A0000}"/>
    <cellStyle name="Normal 51 5 2" xfId="6778" xr:uid="{00000000-0005-0000-0000-00002C1A0000}"/>
    <cellStyle name="Normal 51 5 2 2" xfId="6779" xr:uid="{00000000-0005-0000-0000-00002D1A0000}"/>
    <cellStyle name="Normal 51 5 2 2 2" xfId="6780" xr:uid="{00000000-0005-0000-0000-00002E1A0000}"/>
    <cellStyle name="Normal 51 5 2 2 2 2" xfId="6781" xr:uid="{00000000-0005-0000-0000-00002F1A0000}"/>
    <cellStyle name="Normal 51 5 2 2 3" xfId="6782" xr:uid="{00000000-0005-0000-0000-0000301A0000}"/>
    <cellStyle name="Normal 51 5 2 3" xfId="6783" xr:uid="{00000000-0005-0000-0000-0000311A0000}"/>
    <cellStyle name="Normal 51 5 2 3 2" xfId="6784" xr:uid="{00000000-0005-0000-0000-0000321A0000}"/>
    <cellStyle name="Normal 51 5 2 4" xfId="6785" xr:uid="{00000000-0005-0000-0000-0000331A0000}"/>
    <cellStyle name="Normal 51 5 3" xfId="6786" xr:uid="{00000000-0005-0000-0000-0000341A0000}"/>
    <cellStyle name="Normal 51 5 3 2" xfId="6787" xr:uid="{00000000-0005-0000-0000-0000351A0000}"/>
    <cellStyle name="Normal 51 5 3 2 2" xfId="6788" xr:uid="{00000000-0005-0000-0000-0000361A0000}"/>
    <cellStyle name="Normal 51 5 3 3" xfId="6789" xr:uid="{00000000-0005-0000-0000-0000371A0000}"/>
    <cellStyle name="Normal 51 5 4" xfId="6790" xr:uid="{00000000-0005-0000-0000-0000381A0000}"/>
    <cellStyle name="Normal 51 5 4 2" xfId="6791" xr:uid="{00000000-0005-0000-0000-0000391A0000}"/>
    <cellStyle name="Normal 51 5 5" xfId="6792" xr:uid="{00000000-0005-0000-0000-00003A1A0000}"/>
    <cellStyle name="Normal 51 6" xfId="6793" xr:uid="{00000000-0005-0000-0000-00003B1A0000}"/>
    <cellStyle name="Normal 51 6 2" xfId="6794" xr:uid="{00000000-0005-0000-0000-00003C1A0000}"/>
    <cellStyle name="Normal 51 6 2 2" xfId="6795" xr:uid="{00000000-0005-0000-0000-00003D1A0000}"/>
    <cellStyle name="Normal 51 6 2 2 2" xfId="6796" xr:uid="{00000000-0005-0000-0000-00003E1A0000}"/>
    <cellStyle name="Normal 51 6 2 3" xfId="6797" xr:uid="{00000000-0005-0000-0000-00003F1A0000}"/>
    <cellStyle name="Normal 51 6 3" xfId="6798" xr:uid="{00000000-0005-0000-0000-0000401A0000}"/>
    <cellStyle name="Normal 51 6 3 2" xfId="6799" xr:uid="{00000000-0005-0000-0000-0000411A0000}"/>
    <cellStyle name="Normal 51 6 4" xfId="6800" xr:uid="{00000000-0005-0000-0000-0000421A0000}"/>
    <cellStyle name="Normal 51 7" xfId="6801" xr:uid="{00000000-0005-0000-0000-0000431A0000}"/>
    <cellStyle name="Normal 51 7 2" xfId="6802" xr:uid="{00000000-0005-0000-0000-0000441A0000}"/>
    <cellStyle name="Normal 51 7 2 2" xfId="6803" xr:uid="{00000000-0005-0000-0000-0000451A0000}"/>
    <cellStyle name="Normal 51 7 3" xfId="6804" xr:uid="{00000000-0005-0000-0000-0000461A0000}"/>
    <cellStyle name="Normal 51 8" xfId="6805" xr:uid="{00000000-0005-0000-0000-0000471A0000}"/>
    <cellStyle name="Normal 51 8 2" xfId="6806" xr:uid="{00000000-0005-0000-0000-0000481A0000}"/>
    <cellStyle name="Normal 51 9" xfId="6807" xr:uid="{00000000-0005-0000-0000-0000491A0000}"/>
    <cellStyle name="Normal 52" xfId="6808" xr:uid="{00000000-0005-0000-0000-00004A1A0000}"/>
    <cellStyle name="Normal 52 2" xfId="6809" xr:uid="{00000000-0005-0000-0000-00004B1A0000}"/>
    <cellStyle name="Normal 52 2 2" xfId="6810" xr:uid="{00000000-0005-0000-0000-00004C1A0000}"/>
    <cellStyle name="Normal 52 3" xfId="6811" xr:uid="{00000000-0005-0000-0000-00004D1A0000}"/>
    <cellStyle name="Normal 52 3 2" xfId="6812" xr:uid="{00000000-0005-0000-0000-00004E1A0000}"/>
    <cellStyle name="Normal 52 3 2 2" xfId="6813" xr:uid="{00000000-0005-0000-0000-00004F1A0000}"/>
    <cellStyle name="Normal 52 3 2 2 2" xfId="6814" xr:uid="{00000000-0005-0000-0000-0000501A0000}"/>
    <cellStyle name="Normal 52 3 2 2 2 2" xfId="6815" xr:uid="{00000000-0005-0000-0000-0000511A0000}"/>
    <cellStyle name="Normal 52 3 2 2 3" xfId="6816" xr:uid="{00000000-0005-0000-0000-0000521A0000}"/>
    <cellStyle name="Normal 52 3 2 3" xfId="6817" xr:uid="{00000000-0005-0000-0000-0000531A0000}"/>
    <cellStyle name="Normal 52 3 2 3 2" xfId="6818" xr:uid="{00000000-0005-0000-0000-0000541A0000}"/>
    <cellStyle name="Normal 52 3 2 4" xfId="6819" xr:uid="{00000000-0005-0000-0000-0000551A0000}"/>
    <cellStyle name="Normal 52 3 3" xfId="6820" xr:uid="{00000000-0005-0000-0000-0000561A0000}"/>
    <cellStyle name="Normal 52 3 3 2" xfId="6821" xr:uid="{00000000-0005-0000-0000-0000571A0000}"/>
    <cellStyle name="Normal 52 3 3 2 2" xfId="6822" xr:uid="{00000000-0005-0000-0000-0000581A0000}"/>
    <cellStyle name="Normal 52 3 3 3" xfId="6823" xr:uid="{00000000-0005-0000-0000-0000591A0000}"/>
    <cellStyle name="Normal 52 3 4" xfId="6824" xr:uid="{00000000-0005-0000-0000-00005A1A0000}"/>
    <cellStyle name="Normal 52 3 4 2" xfId="6825" xr:uid="{00000000-0005-0000-0000-00005B1A0000}"/>
    <cellStyle name="Normal 52 3 5" xfId="6826" xr:uid="{00000000-0005-0000-0000-00005C1A0000}"/>
    <cellStyle name="Normal 52 4" xfId="6827" xr:uid="{00000000-0005-0000-0000-00005D1A0000}"/>
    <cellStyle name="Normal 52 4 2" xfId="6828" xr:uid="{00000000-0005-0000-0000-00005E1A0000}"/>
    <cellStyle name="Normal 52 4 2 2" xfId="6829" xr:uid="{00000000-0005-0000-0000-00005F1A0000}"/>
    <cellStyle name="Normal 52 4 2 2 2" xfId="6830" xr:uid="{00000000-0005-0000-0000-0000601A0000}"/>
    <cellStyle name="Normal 52 4 2 2 2 2" xfId="6831" xr:uid="{00000000-0005-0000-0000-0000611A0000}"/>
    <cellStyle name="Normal 52 4 2 2 3" xfId="6832" xr:uid="{00000000-0005-0000-0000-0000621A0000}"/>
    <cellStyle name="Normal 52 4 2 3" xfId="6833" xr:uid="{00000000-0005-0000-0000-0000631A0000}"/>
    <cellStyle name="Normal 52 4 2 3 2" xfId="6834" xr:uid="{00000000-0005-0000-0000-0000641A0000}"/>
    <cellStyle name="Normal 52 4 2 4" xfId="6835" xr:uid="{00000000-0005-0000-0000-0000651A0000}"/>
    <cellStyle name="Normal 52 4 3" xfId="6836" xr:uid="{00000000-0005-0000-0000-0000661A0000}"/>
    <cellStyle name="Normal 52 4 3 2" xfId="6837" xr:uid="{00000000-0005-0000-0000-0000671A0000}"/>
    <cellStyle name="Normal 52 4 3 2 2" xfId="6838" xr:uid="{00000000-0005-0000-0000-0000681A0000}"/>
    <cellStyle name="Normal 52 4 3 3" xfId="6839" xr:uid="{00000000-0005-0000-0000-0000691A0000}"/>
    <cellStyle name="Normal 52 4 4" xfId="6840" xr:uid="{00000000-0005-0000-0000-00006A1A0000}"/>
    <cellStyle name="Normal 52 4 4 2" xfId="6841" xr:uid="{00000000-0005-0000-0000-00006B1A0000}"/>
    <cellStyle name="Normal 52 4 5" xfId="6842" xr:uid="{00000000-0005-0000-0000-00006C1A0000}"/>
    <cellStyle name="Normal 52 5" xfId="6843" xr:uid="{00000000-0005-0000-0000-00006D1A0000}"/>
    <cellStyle name="Normal 52 5 2" xfId="6844" xr:uid="{00000000-0005-0000-0000-00006E1A0000}"/>
    <cellStyle name="Normal 52 5 2 2" xfId="6845" xr:uid="{00000000-0005-0000-0000-00006F1A0000}"/>
    <cellStyle name="Normal 52 5 2 2 2" xfId="6846" xr:uid="{00000000-0005-0000-0000-0000701A0000}"/>
    <cellStyle name="Normal 52 5 2 2 2 2" xfId="6847" xr:uid="{00000000-0005-0000-0000-0000711A0000}"/>
    <cellStyle name="Normal 52 5 2 2 3" xfId="6848" xr:uid="{00000000-0005-0000-0000-0000721A0000}"/>
    <cellStyle name="Normal 52 5 2 3" xfId="6849" xr:uid="{00000000-0005-0000-0000-0000731A0000}"/>
    <cellStyle name="Normal 52 5 2 3 2" xfId="6850" xr:uid="{00000000-0005-0000-0000-0000741A0000}"/>
    <cellStyle name="Normal 52 5 2 4" xfId="6851" xr:uid="{00000000-0005-0000-0000-0000751A0000}"/>
    <cellStyle name="Normal 52 5 3" xfId="6852" xr:uid="{00000000-0005-0000-0000-0000761A0000}"/>
    <cellStyle name="Normal 52 5 3 2" xfId="6853" xr:uid="{00000000-0005-0000-0000-0000771A0000}"/>
    <cellStyle name="Normal 52 5 3 2 2" xfId="6854" xr:uid="{00000000-0005-0000-0000-0000781A0000}"/>
    <cellStyle name="Normal 52 5 3 3" xfId="6855" xr:uid="{00000000-0005-0000-0000-0000791A0000}"/>
    <cellStyle name="Normal 52 5 4" xfId="6856" xr:uid="{00000000-0005-0000-0000-00007A1A0000}"/>
    <cellStyle name="Normal 52 5 4 2" xfId="6857" xr:uid="{00000000-0005-0000-0000-00007B1A0000}"/>
    <cellStyle name="Normal 52 5 5" xfId="6858" xr:uid="{00000000-0005-0000-0000-00007C1A0000}"/>
    <cellStyle name="Normal 52 6" xfId="6859" xr:uid="{00000000-0005-0000-0000-00007D1A0000}"/>
    <cellStyle name="Normal 52 6 2" xfId="6860" xr:uid="{00000000-0005-0000-0000-00007E1A0000}"/>
    <cellStyle name="Normal 52 6 2 2" xfId="6861" xr:uid="{00000000-0005-0000-0000-00007F1A0000}"/>
    <cellStyle name="Normal 52 6 2 2 2" xfId="6862" xr:uid="{00000000-0005-0000-0000-0000801A0000}"/>
    <cellStyle name="Normal 52 6 2 3" xfId="6863" xr:uid="{00000000-0005-0000-0000-0000811A0000}"/>
    <cellStyle name="Normal 52 6 3" xfId="6864" xr:uid="{00000000-0005-0000-0000-0000821A0000}"/>
    <cellStyle name="Normal 52 6 3 2" xfId="6865" xr:uid="{00000000-0005-0000-0000-0000831A0000}"/>
    <cellStyle name="Normal 52 6 4" xfId="6866" xr:uid="{00000000-0005-0000-0000-0000841A0000}"/>
    <cellStyle name="Normal 52 7" xfId="6867" xr:uid="{00000000-0005-0000-0000-0000851A0000}"/>
    <cellStyle name="Normal 52 7 2" xfId="6868" xr:uid="{00000000-0005-0000-0000-0000861A0000}"/>
    <cellStyle name="Normal 52 7 2 2" xfId="6869" xr:uid="{00000000-0005-0000-0000-0000871A0000}"/>
    <cellStyle name="Normal 52 7 3" xfId="6870" xr:uid="{00000000-0005-0000-0000-0000881A0000}"/>
    <cellStyle name="Normal 52 8" xfId="6871" xr:uid="{00000000-0005-0000-0000-0000891A0000}"/>
    <cellStyle name="Normal 52 8 2" xfId="6872" xr:uid="{00000000-0005-0000-0000-00008A1A0000}"/>
    <cellStyle name="Normal 52 9" xfId="6873" xr:uid="{00000000-0005-0000-0000-00008B1A0000}"/>
    <cellStyle name="Normal 53" xfId="6874" xr:uid="{00000000-0005-0000-0000-00008C1A0000}"/>
    <cellStyle name="Normal 53 2" xfId="6875" xr:uid="{00000000-0005-0000-0000-00008D1A0000}"/>
    <cellStyle name="Normal 53 2 2" xfId="6876" xr:uid="{00000000-0005-0000-0000-00008E1A0000}"/>
    <cellStyle name="Normal 53 3" xfId="6877" xr:uid="{00000000-0005-0000-0000-00008F1A0000}"/>
    <cellStyle name="Normal 53 3 2" xfId="6878" xr:uid="{00000000-0005-0000-0000-0000901A0000}"/>
    <cellStyle name="Normal 53 3 2 2" xfId="6879" xr:uid="{00000000-0005-0000-0000-0000911A0000}"/>
    <cellStyle name="Normal 53 3 2 2 2" xfId="6880" xr:uid="{00000000-0005-0000-0000-0000921A0000}"/>
    <cellStyle name="Normal 53 3 2 2 2 2" xfId="6881" xr:uid="{00000000-0005-0000-0000-0000931A0000}"/>
    <cellStyle name="Normal 53 3 2 2 3" xfId="6882" xr:uid="{00000000-0005-0000-0000-0000941A0000}"/>
    <cellStyle name="Normal 53 3 2 3" xfId="6883" xr:uid="{00000000-0005-0000-0000-0000951A0000}"/>
    <cellStyle name="Normal 53 3 2 3 2" xfId="6884" xr:uid="{00000000-0005-0000-0000-0000961A0000}"/>
    <cellStyle name="Normal 53 3 2 4" xfId="6885" xr:uid="{00000000-0005-0000-0000-0000971A0000}"/>
    <cellStyle name="Normal 53 3 3" xfId="6886" xr:uid="{00000000-0005-0000-0000-0000981A0000}"/>
    <cellStyle name="Normal 53 3 3 2" xfId="6887" xr:uid="{00000000-0005-0000-0000-0000991A0000}"/>
    <cellStyle name="Normal 53 3 3 2 2" xfId="6888" xr:uid="{00000000-0005-0000-0000-00009A1A0000}"/>
    <cellStyle name="Normal 53 3 3 3" xfId="6889" xr:uid="{00000000-0005-0000-0000-00009B1A0000}"/>
    <cellStyle name="Normal 53 3 4" xfId="6890" xr:uid="{00000000-0005-0000-0000-00009C1A0000}"/>
    <cellStyle name="Normal 53 3 4 2" xfId="6891" xr:uid="{00000000-0005-0000-0000-00009D1A0000}"/>
    <cellStyle name="Normal 53 3 5" xfId="6892" xr:uid="{00000000-0005-0000-0000-00009E1A0000}"/>
    <cellStyle name="Normal 53 4" xfId="6893" xr:uid="{00000000-0005-0000-0000-00009F1A0000}"/>
    <cellStyle name="Normal 53 4 2" xfId="6894" xr:uid="{00000000-0005-0000-0000-0000A01A0000}"/>
    <cellStyle name="Normal 53 4 2 2" xfId="6895" xr:uid="{00000000-0005-0000-0000-0000A11A0000}"/>
    <cellStyle name="Normal 53 4 2 2 2" xfId="6896" xr:uid="{00000000-0005-0000-0000-0000A21A0000}"/>
    <cellStyle name="Normal 53 4 2 2 2 2" xfId="6897" xr:uid="{00000000-0005-0000-0000-0000A31A0000}"/>
    <cellStyle name="Normal 53 4 2 2 3" xfId="6898" xr:uid="{00000000-0005-0000-0000-0000A41A0000}"/>
    <cellStyle name="Normal 53 4 2 3" xfId="6899" xr:uid="{00000000-0005-0000-0000-0000A51A0000}"/>
    <cellStyle name="Normal 53 4 2 3 2" xfId="6900" xr:uid="{00000000-0005-0000-0000-0000A61A0000}"/>
    <cellStyle name="Normal 53 4 2 4" xfId="6901" xr:uid="{00000000-0005-0000-0000-0000A71A0000}"/>
    <cellStyle name="Normal 53 4 3" xfId="6902" xr:uid="{00000000-0005-0000-0000-0000A81A0000}"/>
    <cellStyle name="Normal 53 4 3 2" xfId="6903" xr:uid="{00000000-0005-0000-0000-0000A91A0000}"/>
    <cellStyle name="Normal 53 4 3 2 2" xfId="6904" xr:uid="{00000000-0005-0000-0000-0000AA1A0000}"/>
    <cellStyle name="Normal 53 4 3 3" xfId="6905" xr:uid="{00000000-0005-0000-0000-0000AB1A0000}"/>
    <cellStyle name="Normal 53 4 4" xfId="6906" xr:uid="{00000000-0005-0000-0000-0000AC1A0000}"/>
    <cellStyle name="Normal 53 4 4 2" xfId="6907" xr:uid="{00000000-0005-0000-0000-0000AD1A0000}"/>
    <cellStyle name="Normal 53 4 5" xfId="6908" xr:uid="{00000000-0005-0000-0000-0000AE1A0000}"/>
    <cellStyle name="Normal 53 5" xfId="6909" xr:uid="{00000000-0005-0000-0000-0000AF1A0000}"/>
    <cellStyle name="Normal 53 5 2" xfId="6910" xr:uid="{00000000-0005-0000-0000-0000B01A0000}"/>
    <cellStyle name="Normal 53 5 2 2" xfId="6911" xr:uid="{00000000-0005-0000-0000-0000B11A0000}"/>
    <cellStyle name="Normal 53 5 2 2 2" xfId="6912" xr:uid="{00000000-0005-0000-0000-0000B21A0000}"/>
    <cellStyle name="Normal 53 5 2 2 2 2" xfId="6913" xr:uid="{00000000-0005-0000-0000-0000B31A0000}"/>
    <cellStyle name="Normal 53 5 2 2 3" xfId="6914" xr:uid="{00000000-0005-0000-0000-0000B41A0000}"/>
    <cellStyle name="Normal 53 5 2 3" xfId="6915" xr:uid="{00000000-0005-0000-0000-0000B51A0000}"/>
    <cellStyle name="Normal 53 5 2 3 2" xfId="6916" xr:uid="{00000000-0005-0000-0000-0000B61A0000}"/>
    <cellStyle name="Normal 53 5 2 4" xfId="6917" xr:uid="{00000000-0005-0000-0000-0000B71A0000}"/>
    <cellStyle name="Normal 53 5 3" xfId="6918" xr:uid="{00000000-0005-0000-0000-0000B81A0000}"/>
    <cellStyle name="Normal 53 5 3 2" xfId="6919" xr:uid="{00000000-0005-0000-0000-0000B91A0000}"/>
    <cellStyle name="Normal 53 5 3 2 2" xfId="6920" xr:uid="{00000000-0005-0000-0000-0000BA1A0000}"/>
    <cellStyle name="Normal 53 5 3 3" xfId="6921" xr:uid="{00000000-0005-0000-0000-0000BB1A0000}"/>
    <cellStyle name="Normal 53 5 4" xfId="6922" xr:uid="{00000000-0005-0000-0000-0000BC1A0000}"/>
    <cellStyle name="Normal 53 5 4 2" xfId="6923" xr:uid="{00000000-0005-0000-0000-0000BD1A0000}"/>
    <cellStyle name="Normal 53 5 5" xfId="6924" xr:uid="{00000000-0005-0000-0000-0000BE1A0000}"/>
    <cellStyle name="Normal 53 6" xfId="6925" xr:uid="{00000000-0005-0000-0000-0000BF1A0000}"/>
    <cellStyle name="Normal 53 6 2" xfId="6926" xr:uid="{00000000-0005-0000-0000-0000C01A0000}"/>
    <cellStyle name="Normal 53 6 2 2" xfId="6927" xr:uid="{00000000-0005-0000-0000-0000C11A0000}"/>
    <cellStyle name="Normal 53 6 2 2 2" xfId="6928" xr:uid="{00000000-0005-0000-0000-0000C21A0000}"/>
    <cellStyle name="Normal 53 6 2 3" xfId="6929" xr:uid="{00000000-0005-0000-0000-0000C31A0000}"/>
    <cellStyle name="Normal 53 6 3" xfId="6930" xr:uid="{00000000-0005-0000-0000-0000C41A0000}"/>
    <cellStyle name="Normal 53 6 3 2" xfId="6931" xr:uid="{00000000-0005-0000-0000-0000C51A0000}"/>
    <cellStyle name="Normal 53 6 4" xfId="6932" xr:uid="{00000000-0005-0000-0000-0000C61A0000}"/>
    <cellStyle name="Normal 53 7" xfId="6933" xr:uid="{00000000-0005-0000-0000-0000C71A0000}"/>
    <cellStyle name="Normal 53 7 2" xfId="6934" xr:uid="{00000000-0005-0000-0000-0000C81A0000}"/>
    <cellStyle name="Normal 53 7 2 2" xfId="6935" xr:uid="{00000000-0005-0000-0000-0000C91A0000}"/>
    <cellStyle name="Normal 53 7 3" xfId="6936" xr:uid="{00000000-0005-0000-0000-0000CA1A0000}"/>
    <cellStyle name="Normal 53 8" xfId="6937" xr:uid="{00000000-0005-0000-0000-0000CB1A0000}"/>
    <cellStyle name="Normal 53 8 2" xfId="6938" xr:uid="{00000000-0005-0000-0000-0000CC1A0000}"/>
    <cellStyle name="Normal 53 9" xfId="6939" xr:uid="{00000000-0005-0000-0000-0000CD1A0000}"/>
    <cellStyle name="Normal 54" xfId="6940" xr:uid="{00000000-0005-0000-0000-0000CE1A0000}"/>
    <cellStyle name="Normal 54 2" xfId="6941" xr:uid="{00000000-0005-0000-0000-0000CF1A0000}"/>
    <cellStyle name="Normal 54 2 2" xfId="6942" xr:uid="{00000000-0005-0000-0000-0000D01A0000}"/>
    <cellStyle name="Normal 54 3" xfId="6943" xr:uid="{00000000-0005-0000-0000-0000D11A0000}"/>
    <cellStyle name="Normal 54 3 2" xfId="6944" xr:uid="{00000000-0005-0000-0000-0000D21A0000}"/>
    <cellStyle name="Normal 54 3 2 2" xfId="6945" xr:uid="{00000000-0005-0000-0000-0000D31A0000}"/>
    <cellStyle name="Normal 54 3 2 2 2" xfId="6946" xr:uid="{00000000-0005-0000-0000-0000D41A0000}"/>
    <cellStyle name="Normal 54 3 2 2 2 2" xfId="6947" xr:uid="{00000000-0005-0000-0000-0000D51A0000}"/>
    <cellStyle name="Normal 54 3 2 2 3" xfId="6948" xr:uid="{00000000-0005-0000-0000-0000D61A0000}"/>
    <cellStyle name="Normal 54 3 2 3" xfId="6949" xr:uid="{00000000-0005-0000-0000-0000D71A0000}"/>
    <cellStyle name="Normal 54 3 2 3 2" xfId="6950" xr:uid="{00000000-0005-0000-0000-0000D81A0000}"/>
    <cellStyle name="Normal 54 3 2 4" xfId="6951" xr:uid="{00000000-0005-0000-0000-0000D91A0000}"/>
    <cellStyle name="Normal 54 3 3" xfId="6952" xr:uid="{00000000-0005-0000-0000-0000DA1A0000}"/>
    <cellStyle name="Normal 54 3 3 2" xfId="6953" xr:uid="{00000000-0005-0000-0000-0000DB1A0000}"/>
    <cellStyle name="Normal 54 3 3 2 2" xfId="6954" xr:uid="{00000000-0005-0000-0000-0000DC1A0000}"/>
    <cellStyle name="Normal 54 3 3 3" xfId="6955" xr:uid="{00000000-0005-0000-0000-0000DD1A0000}"/>
    <cellStyle name="Normal 54 3 4" xfId="6956" xr:uid="{00000000-0005-0000-0000-0000DE1A0000}"/>
    <cellStyle name="Normal 54 3 4 2" xfId="6957" xr:uid="{00000000-0005-0000-0000-0000DF1A0000}"/>
    <cellStyle name="Normal 54 3 5" xfId="6958" xr:uid="{00000000-0005-0000-0000-0000E01A0000}"/>
    <cellStyle name="Normal 54 4" xfId="6959" xr:uid="{00000000-0005-0000-0000-0000E11A0000}"/>
    <cellStyle name="Normal 54 4 2" xfId="6960" xr:uid="{00000000-0005-0000-0000-0000E21A0000}"/>
    <cellStyle name="Normal 54 4 2 2" xfId="6961" xr:uid="{00000000-0005-0000-0000-0000E31A0000}"/>
    <cellStyle name="Normal 54 4 2 2 2" xfId="6962" xr:uid="{00000000-0005-0000-0000-0000E41A0000}"/>
    <cellStyle name="Normal 54 4 2 2 2 2" xfId="6963" xr:uid="{00000000-0005-0000-0000-0000E51A0000}"/>
    <cellStyle name="Normal 54 4 2 2 3" xfId="6964" xr:uid="{00000000-0005-0000-0000-0000E61A0000}"/>
    <cellStyle name="Normal 54 4 2 3" xfId="6965" xr:uid="{00000000-0005-0000-0000-0000E71A0000}"/>
    <cellStyle name="Normal 54 4 2 3 2" xfId="6966" xr:uid="{00000000-0005-0000-0000-0000E81A0000}"/>
    <cellStyle name="Normal 54 4 2 4" xfId="6967" xr:uid="{00000000-0005-0000-0000-0000E91A0000}"/>
    <cellStyle name="Normal 54 4 3" xfId="6968" xr:uid="{00000000-0005-0000-0000-0000EA1A0000}"/>
    <cellStyle name="Normal 54 4 3 2" xfId="6969" xr:uid="{00000000-0005-0000-0000-0000EB1A0000}"/>
    <cellStyle name="Normal 54 4 3 2 2" xfId="6970" xr:uid="{00000000-0005-0000-0000-0000EC1A0000}"/>
    <cellStyle name="Normal 54 4 3 3" xfId="6971" xr:uid="{00000000-0005-0000-0000-0000ED1A0000}"/>
    <cellStyle name="Normal 54 4 4" xfId="6972" xr:uid="{00000000-0005-0000-0000-0000EE1A0000}"/>
    <cellStyle name="Normal 54 4 4 2" xfId="6973" xr:uid="{00000000-0005-0000-0000-0000EF1A0000}"/>
    <cellStyle name="Normal 54 4 5" xfId="6974" xr:uid="{00000000-0005-0000-0000-0000F01A0000}"/>
    <cellStyle name="Normal 54 5" xfId="6975" xr:uid="{00000000-0005-0000-0000-0000F11A0000}"/>
    <cellStyle name="Normal 54 5 2" xfId="6976" xr:uid="{00000000-0005-0000-0000-0000F21A0000}"/>
    <cellStyle name="Normal 54 5 2 2" xfId="6977" xr:uid="{00000000-0005-0000-0000-0000F31A0000}"/>
    <cellStyle name="Normal 54 5 2 2 2" xfId="6978" xr:uid="{00000000-0005-0000-0000-0000F41A0000}"/>
    <cellStyle name="Normal 54 5 2 2 2 2" xfId="6979" xr:uid="{00000000-0005-0000-0000-0000F51A0000}"/>
    <cellStyle name="Normal 54 5 2 2 3" xfId="6980" xr:uid="{00000000-0005-0000-0000-0000F61A0000}"/>
    <cellStyle name="Normal 54 5 2 3" xfId="6981" xr:uid="{00000000-0005-0000-0000-0000F71A0000}"/>
    <cellStyle name="Normal 54 5 2 3 2" xfId="6982" xr:uid="{00000000-0005-0000-0000-0000F81A0000}"/>
    <cellStyle name="Normal 54 5 2 4" xfId="6983" xr:uid="{00000000-0005-0000-0000-0000F91A0000}"/>
    <cellStyle name="Normal 54 5 3" xfId="6984" xr:uid="{00000000-0005-0000-0000-0000FA1A0000}"/>
    <cellStyle name="Normal 54 5 3 2" xfId="6985" xr:uid="{00000000-0005-0000-0000-0000FB1A0000}"/>
    <cellStyle name="Normal 54 5 3 2 2" xfId="6986" xr:uid="{00000000-0005-0000-0000-0000FC1A0000}"/>
    <cellStyle name="Normal 54 5 3 3" xfId="6987" xr:uid="{00000000-0005-0000-0000-0000FD1A0000}"/>
    <cellStyle name="Normal 54 5 4" xfId="6988" xr:uid="{00000000-0005-0000-0000-0000FE1A0000}"/>
    <cellStyle name="Normal 54 5 4 2" xfId="6989" xr:uid="{00000000-0005-0000-0000-0000FF1A0000}"/>
    <cellStyle name="Normal 54 5 5" xfId="6990" xr:uid="{00000000-0005-0000-0000-0000001B0000}"/>
    <cellStyle name="Normal 54 6" xfId="6991" xr:uid="{00000000-0005-0000-0000-0000011B0000}"/>
    <cellStyle name="Normal 54 6 2" xfId="6992" xr:uid="{00000000-0005-0000-0000-0000021B0000}"/>
    <cellStyle name="Normal 54 6 2 2" xfId="6993" xr:uid="{00000000-0005-0000-0000-0000031B0000}"/>
    <cellStyle name="Normal 54 6 2 2 2" xfId="6994" xr:uid="{00000000-0005-0000-0000-0000041B0000}"/>
    <cellStyle name="Normal 54 6 2 3" xfId="6995" xr:uid="{00000000-0005-0000-0000-0000051B0000}"/>
    <cellStyle name="Normal 54 6 3" xfId="6996" xr:uid="{00000000-0005-0000-0000-0000061B0000}"/>
    <cellStyle name="Normal 54 6 3 2" xfId="6997" xr:uid="{00000000-0005-0000-0000-0000071B0000}"/>
    <cellStyle name="Normal 54 6 4" xfId="6998" xr:uid="{00000000-0005-0000-0000-0000081B0000}"/>
    <cellStyle name="Normal 54 7" xfId="6999" xr:uid="{00000000-0005-0000-0000-0000091B0000}"/>
    <cellStyle name="Normal 54 7 2" xfId="7000" xr:uid="{00000000-0005-0000-0000-00000A1B0000}"/>
    <cellStyle name="Normal 54 7 2 2" xfId="7001" xr:uid="{00000000-0005-0000-0000-00000B1B0000}"/>
    <cellStyle name="Normal 54 7 3" xfId="7002" xr:uid="{00000000-0005-0000-0000-00000C1B0000}"/>
    <cellStyle name="Normal 54 8" xfId="7003" xr:uid="{00000000-0005-0000-0000-00000D1B0000}"/>
    <cellStyle name="Normal 54 8 2" xfId="7004" xr:uid="{00000000-0005-0000-0000-00000E1B0000}"/>
    <cellStyle name="Normal 54 9" xfId="7005" xr:uid="{00000000-0005-0000-0000-00000F1B0000}"/>
    <cellStyle name="Normal 55" xfId="7006" xr:uid="{00000000-0005-0000-0000-0000101B0000}"/>
    <cellStyle name="Normal 55 2" xfId="7007" xr:uid="{00000000-0005-0000-0000-0000111B0000}"/>
    <cellStyle name="Normal 55 2 2" xfId="7008" xr:uid="{00000000-0005-0000-0000-0000121B0000}"/>
    <cellStyle name="Normal 55 3" xfId="7009" xr:uid="{00000000-0005-0000-0000-0000131B0000}"/>
    <cellStyle name="Normal 55 3 2" xfId="7010" xr:uid="{00000000-0005-0000-0000-0000141B0000}"/>
    <cellStyle name="Normal 55 3 2 2" xfId="7011" xr:uid="{00000000-0005-0000-0000-0000151B0000}"/>
    <cellStyle name="Normal 55 3 2 2 2" xfId="7012" xr:uid="{00000000-0005-0000-0000-0000161B0000}"/>
    <cellStyle name="Normal 55 3 2 2 2 2" xfId="7013" xr:uid="{00000000-0005-0000-0000-0000171B0000}"/>
    <cellStyle name="Normal 55 3 2 2 3" xfId="7014" xr:uid="{00000000-0005-0000-0000-0000181B0000}"/>
    <cellStyle name="Normal 55 3 2 3" xfId="7015" xr:uid="{00000000-0005-0000-0000-0000191B0000}"/>
    <cellStyle name="Normal 55 3 2 3 2" xfId="7016" xr:uid="{00000000-0005-0000-0000-00001A1B0000}"/>
    <cellStyle name="Normal 55 3 2 4" xfId="7017" xr:uid="{00000000-0005-0000-0000-00001B1B0000}"/>
    <cellStyle name="Normal 55 3 3" xfId="7018" xr:uid="{00000000-0005-0000-0000-00001C1B0000}"/>
    <cellStyle name="Normal 55 3 3 2" xfId="7019" xr:uid="{00000000-0005-0000-0000-00001D1B0000}"/>
    <cellStyle name="Normal 55 3 3 2 2" xfId="7020" xr:uid="{00000000-0005-0000-0000-00001E1B0000}"/>
    <cellStyle name="Normal 55 3 3 3" xfId="7021" xr:uid="{00000000-0005-0000-0000-00001F1B0000}"/>
    <cellStyle name="Normal 55 3 4" xfId="7022" xr:uid="{00000000-0005-0000-0000-0000201B0000}"/>
    <cellStyle name="Normal 55 3 4 2" xfId="7023" xr:uid="{00000000-0005-0000-0000-0000211B0000}"/>
    <cellStyle name="Normal 55 3 5" xfId="7024" xr:uid="{00000000-0005-0000-0000-0000221B0000}"/>
    <cellStyle name="Normal 55 4" xfId="7025" xr:uid="{00000000-0005-0000-0000-0000231B0000}"/>
    <cellStyle name="Normal 55 4 2" xfId="7026" xr:uid="{00000000-0005-0000-0000-0000241B0000}"/>
    <cellStyle name="Normal 55 4 2 2" xfId="7027" xr:uid="{00000000-0005-0000-0000-0000251B0000}"/>
    <cellStyle name="Normal 55 4 2 2 2" xfId="7028" xr:uid="{00000000-0005-0000-0000-0000261B0000}"/>
    <cellStyle name="Normal 55 4 2 2 2 2" xfId="7029" xr:uid="{00000000-0005-0000-0000-0000271B0000}"/>
    <cellStyle name="Normal 55 4 2 2 3" xfId="7030" xr:uid="{00000000-0005-0000-0000-0000281B0000}"/>
    <cellStyle name="Normal 55 4 2 3" xfId="7031" xr:uid="{00000000-0005-0000-0000-0000291B0000}"/>
    <cellStyle name="Normal 55 4 2 3 2" xfId="7032" xr:uid="{00000000-0005-0000-0000-00002A1B0000}"/>
    <cellStyle name="Normal 55 4 2 4" xfId="7033" xr:uid="{00000000-0005-0000-0000-00002B1B0000}"/>
    <cellStyle name="Normal 55 4 3" xfId="7034" xr:uid="{00000000-0005-0000-0000-00002C1B0000}"/>
    <cellStyle name="Normal 55 4 3 2" xfId="7035" xr:uid="{00000000-0005-0000-0000-00002D1B0000}"/>
    <cellStyle name="Normal 55 4 3 2 2" xfId="7036" xr:uid="{00000000-0005-0000-0000-00002E1B0000}"/>
    <cellStyle name="Normal 55 4 3 3" xfId="7037" xr:uid="{00000000-0005-0000-0000-00002F1B0000}"/>
    <cellStyle name="Normal 55 4 4" xfId="7038" xr:uid="{00000000-0005-0000-0000-0000301B0000}"/>
    <cellStyle name="Normal 55 4 4 2" xfId="7039" xr:uid="{00000000-0005-0000-0000-0000311B0000}"/>
    <cellStyle name="Normal 55 4 5" xfId="7040" xr:uid="{00000000-0005-0000-0000-0000321B0000}"/>
    <cellStyle name="Normal 55 5" xfId="7041" xr:uid="{00000000-0005-0000-0000-0000331B0000}"/>
    <cellStyle name="Normal 55 5 2" xfId="7042" xr:uid="{00000000-0005-0000-0000-0000341B0000}"/>
    <cellStyle name="Normal 55 5 2 2" xfId="7043" xr:uid="{00000000-0005-0000-0000-0000351B0000}"/>
    <cellStyle name="Normal 55 5 2 2 2" xfId="7044" xr:uid="{00000000-0005-0000-0000-0000361B0000}"/>
    <cellStyle name="Normal 55 5 2 2 2 2" xfId="7045" xr:uid="{00000000-0005-0000-0000-0000371B0000}"/>
    <cellStyle name="Normal 55 5 2 2 3" xfId="7046" xr:uid="{00000000-0005-0000-0000-0000381B0000}"/>
    <cellStyle name="Normal 55 5 2 3" xfId="7047" xr:uid="{00000000-0005-0000-0000-0000391B0000}"/>
    <cellStyle name="Normal 55 5 2 3 2" xfId="7048" xr:uid="{00000000-0005-0000-0000-00003A1B0000}"/>
    <cellStyle name="Normal 55 5 2 4" xfId="7049" xr:uid="{00000000-0005-0000-0000-00003B1B0000}"/>
    <cellStyle name="Normal 55 5 3" xfId="7050" xr:uid="{00000000-0005-0000-0000-00003C1B0000}"/>
    <cellStyle name="Normal 55 5 3 2" xfId="7051" xr:uid="{00000000-0005-0000-0000-00003D1B0000}"/>
    <cellStyle name="Normal 55 5 3 2 2" xfId="7052" xr:uid="{00000000-0005-0000-0000-00003E1B0000}"/>
    <cellStyle name="Normal 55 5 3 3" xfId="7053" xr:uid="{00000000-0005-0000-0000-00003F1B0000}"/>
    <cellStyle name="Normal 55 5 4" xfId="7054" xr:uid="{00000000-0005-0000-0000-0000401B0000}"/>
    <cellStyle name="Normal 55 5 4 2" xfId="7055" xr:uid="{00000000-0005-0000-0000-0000411B0000}"/>
    <cellStyle name="Normal 55 5 5" xfId="7056" xr:uid="{00000000-0005-0000-0000-0000421B0000}"/>
    <cellStyle name="Normal 55 6" xfId="7057" xr:uid="{00000000-0005-0000-0000-0000431B0000}"/>
    <cellStyle name="Normal 55 6 2" xfId="7058" xr:uid="{00000000-0005-0000-0000-0000441B0000}"/>
    <cellStyle name="Normal 55 6 2 2" xfId="7059" xr:uid="{00000000-0005-0000-0000-0000451B0000}"/>
    <cellStyle name="Normal 55 6 2 2 2" xfId="7060" xr:uid="{00000000-0005-0000-0000-0000461B0000}"/>
    <cellStyle name="Normal 55 6 2 3" xfId="7061" xr:uid="{00000000-0005-0000-0000-0000471B0000}"/>
    <cellStyle name="Normal 55 6 3" xfId="7062" xr:uid="{00000000-0005-0000-0000-0000481B0000}"/>
    <cellStyle name="Normal 55 6 3 2" xfId="7063" xr:uid="{00000000-0005-0000-0000-0000491B0000}"/>
    <cellStyle name="Normal 55 6 4" xfId="7064" xr:uid="{00000000-0005-0000-0000-00004A1B0000}"/>
    <cellStyle name="Normal 55 7" xfId="7065" xr:uid="{00000000-0005-0000-0000-00004B1B0000}"/>
    <cellStyle name="Normal 55 7 2" xfId="7066" xr:uid="{00000000-0005-0000-0000-00004C1B0000}"/>
    <cellStyle name="Normal 55 7 2 2" xfId="7067" xr:uid="{00000000-0005-0000-0000-00004D1B0000}"/>
    <cellStyle name="Normal 55 7 3" xfId="7068" xr:uid="{00000000-0005-0000-0000-00004E1B0000}"/>
    <cellStyle name="Normal 55 8" xfId="7069" xr:uid="{00000000-0005-0000-0000-00004F1B0000}"/>
    <cellStyle name="Normal 55 8 2" xfId="7070" xr:uid="{00000000-0005-0000-0000-0000501B0000}"/>
    <cellStyle name="Normal 55 9" xfId="7071" xr:uid="{00000000-0005-0000-0000-0000511B0000}"/>
    <cellStyle name="Normal 56" xfId="7072" xr:uid="{00000000-0005-0000-0000-0000521B0000}"/>
    <cellStyle name="Normal 56 2" xfId="7073" xr:uid="{00000000-0005-0000-0000-0000531B0000}"/>
    <cellStyle name="Normal 56 2 2" xfId="7074" xr:uid="{00000000-0005-0000-0000-0000541B0000}"/>
    <cellStyle name="Normal 56 3" xfId="7075" xr:uid="{00000000-0005-0000-0000-0000551B0000}"/>
    <cellStyle name="Normal 56 3 2" xfId="7076" xr:uid="{00000000-0005-0000-0000-0000561B0000}"/>
    <cellStyle name="Normal 56 3 2 2" xfId="7077" xr:uid="{00000000-0005-0000-0000-0000571B0000}"/>
    <cellStyle name="Normal 56 3 2 2 2" xfId="7078" xr:uid="{00000000-0005-0000-0000-0000581B0000}"/>
    <cellStyle name="Normal 56 3 2 2 2 2" xfId="7079" xr:uid="{00000000-0005-0000-0000-0000591B0000}"/>
    <cellStyle name="Normal 56 3 2 2 3" xfId="7080" xr:uid="{00000000-0005-0000-0000-00005A1B0000}"/>
    <cellStyle name="Normal 56 3 2 3" xfId="7081" xr:uid="{00000000-0005-0000-0000-00005B1B0000}"/>
    <cellStyle name="Normal 56 3 2 3 2" xfId="7082" xr:uid="{00000000-0005-0000-0000-00005C1B0000}"/>
    <cellStyle name="Normal 56 3 2 4" xfId="7083" xr:uid="{00000000-0005-0000-0000-00005D1B0000}"/>
    <cellStyle name="Normal 56 3 3" xfId="7084" xr:uid="{00000000-0005-0000-0000-00005E1B0000}"/>
    <cellStyle name="Normal 56 3 3 2" xfId="7085" xr:uid="{00000000-0005-0000-0000-00005F1B0000}"/>
    <cellStyle name="Normal 56 3 3 2 2" xfId="7086" xr:uid="{00000000-0005-0000-0000-0000601B0000}"/>
    <cellStyle name="Normal 56 3 3 3" xfId="7087" xr:uid="{00000000-0005-0000-0000-0000611B0000}"/>
    <cellStyle name="Normal 56 3 4" xfId="7088" xr:uid="{00000000-0005-0000-0000-0000621B0000}"/>
    <cellStyle name="Normal 56 3 4 2" xfId="7089" xr:uid="{00000000-0005-0000-0000-0000631B0000}"/>
    <cellStyle name="Normal 56 3 5" xfId="7090" xr:uid="{00000000-0005-0000-0000-0000641B0000}"/>
    <cellStyle name="Normal 56 4" xfId="7091" xr:uid="{00000000-0005-0000-0000-0000651B0000}"/>
    <cellStyle name="Normal 56 4 2" xfId="7092" xr:uid="{00000000-0005-0000-0000-0000661B0000}"/>
    <cellStyle name="Normal 56 4 2 2" xfId="7093" xr:uid="{00000000-0005-0000-0000-0000671B0000}"/>
    <cellStyle name="Normal 56 4 2 2 2" xfId="7094" xr:uid="{00000000-0005-0000-0000-0000681B0000}"/>
    <cellStyle name="Normal 56 4 2 2 2 2" xfId="7095" xr:uid="{00000000-0005-0000-0000-0000691B0000}"/>
    <cellStyle name="Normal 56 4 2 2 3" xfId="7096" xr:uid="{00000000-0005-0000-0000-00006A1B0000}"/>
    <cellStyle name="Normal 56 4 2 3" xfId="7097" xr:uid="{00000000-0005-0000-0000-00006B1B0000}"/>
    <cellStyle name="Normal 56 4 2 3 2" xfId="7098" xr:uid="{00000000-0005-0000-0000-00006C1B0000}"/>
    <cellStyle name="Normal 56 4 2 4" xfId="7099" xr:uid="{00000000-0005-0000-0000-00006D1B0000}"/>
    <cellStyle name="Normal 56 4 3" xfId="7100" xr:uid="{00000000-0005-0000-0000-00006E1B0000}"/>
    <cellStyle name="Normal 56 4 3 2" xfId="7101" xr:uid="{00000000-0005-0000-0000-00006F1B0000}"/>
    <cellStyle name="Normal 56 4 3 2 2" xfId="7102" xr:uid="{00000000-0005-0000-0000-0000701B0000}"/>
    <cellStyle name="Normal 56 4 3 3" xfId="7103" xr:uid="{00000000-0005-0000-0000-0000711B0000}"/>
    <cellStyle name="Normal 56 4 4" xfId="7104" xr:uid="{00000000-0005-0000-0000-0000721B0000}"/>
    <cellStyle name="Normal 56 4 4 2" xfId="7105" xr:uid="{00000000-0005-0000-0000-0000731B0000}"/>
    <cellStyle name="Normal 56 4 5" xfId="7106" xr:uid="{00000000-0005-0000-0000-0000741B0000}"/>
    <cellStyle name="Normal 56 5" xfId="7107" xr:uid="{00000000-0005-0000-0000-0000751B0000}"/>
    <cellStyle name="Normal 56 5 2" xfId="7108" xr:uid="{00000000-0005-0000-0000-0000761B0000}"/>
    <cellStyle name="Normal 56 5 2 2" xfId="7109" xr:uid="{00000000-0005-0000-0000-0000771B0000}"/>
    <cellStyle name="Normal 56 5 2 2 2" xfId="7110" xr:uid="{00000000-0005-0000-0000-0000781B0000}"/>
    <cellStyle name="Normal 56 5 2 2 2 2" xfId="7111" xr:uid="{00000000-0005-0000-0000-0000791B0000}"/>
    <cellStyle name="Normal 56 5 2 2 3" xfId="7112" xr:uid="{00000000-0005-0000-0000-00007A1B0000}"/>
    <cellStyle name="Normal 56 5 2 3" xfId="7113" xr:uid="{00000000-0005-0000-0000-00007B1B0000}"/>
    <cellStyle name="Normal 56 5 2 3 2" xfId="7114" xr:uid="{00000000-0005-0000-0000-00007C1B0000}"/>
    <cellStyle name="Normal 56 5 2 4" xfId="7115" xr:uid="{00000000-0005-0000-0000-00007D1B0000}"/>
    <cellStyle name="Normal 56 5 3" xfId="7116" xr:uid="{00000000-0005-0000-0000-00007E1B0000}"/>
    <cellStyle name="Normal 56 5 3 2" xfId="7117" xr:uid="{00000000-0005-0000-0000-00007F1B0000}"/>
    <cellStyle name="Normal 56 5 3 2 2" xfId="7118" xr:uid="{00000000-0005-0000-0000-0000801B0000}"/>
    <cellStyle name="Normal 56 5 3 3" xfId="7119" xr:uid="{00000000-0005-0000-0000-0000811B0000}"/>
    <cellStyle name="Normal 56 5 4" xfId="7120" xr:uid="{00000000-0005-0000-0000-0000821B0000}"/>
    <cellStyle name="Normal 56 5 4 2" xfId="7121" xr:uid="{00000000-0005-0000-0000-0000831B0000}"/>
    <cellStyle name="Normal 56 5 5" xfId="7122" xr:uid="{00000000-0005-0000-0000-0000841B0000}"/>
    <cellStyle name="Normal 56 6" xfId="7123" xr:uid="{00000000-0005-0000-0000-0000851B0000}"/>
    <cellStyle name="Normal 56 6 2" xfId="7124" xr:uid="{00000000-0005-0000-0000-0000861B0000}"/>
    <cellStyle name="Normal 56 6 2 2" xfId="7125" xr:uid="{00000000-0005-0000-0000-0000871B0000}"/>
    <cellStyle name="Normal 56 6 2 2 2" xfId="7126" xr:uid="{00000000-0005-0000-0000-0000881B0000}"/>
    <cellStyle name="Normal 56 6 2 3" xfId="7127" xr:uid="{00000000-0005-0000-0000-0000891B0000}"/>
    <cellStyle name="Normal 56 6 3" xfId="7128" xr:uid="{00000000-0005-0000-0000-00008A1B0000}"/>
    <cellStyle name="Normal 56 6 3 2" xfId="7129" xr:uid="{00000000-0005-0000-0000-00008B1B0000}"/>
    <cellStyle name="Normal 56 6 4" xfId="7130" xr:uid="{00000000-0005-0000-0000-00008C1B0000}"/>
    <cellStyle name="Normal 56 7" xfId="7131" xr:uid="{00000000-0005-0000-0000-00008D1B0000}"/>
    <cellStyle name="Normal 56 7 2" xfId="7132" xr:uid="{00000000-0005-0000-0000-00008E1B0000}"/>
    <cellStyle name="Normal 56 7 2 2" xfId="7133" xr:uid="{00000000-0005-0000-0000-00008F1B0000}"/>
    <cellStyle name="Normal 56 7 3" xfId="7134" xr:uid="{00000000-0005-0000-0000-0000901B0000}"/>
    <cellStyle name="Normal 56 8" xfId="7135" xr:uid="{00000000-0005-0000-0000-0000911B0000}"/>
    <cellStyle name="Normal 56 8 2" xfId="7136" xr:uid="{00000000-0005-0000-0000-0000921B0000}"/>
    <cellStyle name="Normal 56 9" xfId="7137" xr:uid="{00000000-0005-0000-0000-0000931B0000}"/>
    <cellStyle name="Normal 57" xfId="7138" xr:uid="{00000000-0005-0000-0000-0000941B0000}"/>
    <cellStyle name="Normal 57 2" xfId="7139" xr:uid="{00000000-0005-0000-0000-0000951B0000}"/>
    <cellStyle name="Normal 57 2 2" xfId="7140" xr:uid="{00000000-0005-0000-0000-0000961B0000}"/>
    <cellStyle name="Normal 57 3" xfId="7141" xr:uid="{00000000-0005-0000-0000-0000971B0000}"/>
    <cellStyle name="Normal 57 3 2" xfId="7142" xr:uid="{00000000-0005-0000-0000-0000981B0000}"/>
    <cellStyle name="Normal 57 3 2 2" xfId="7143" xr:uid="{00000000-0005-0000-0000-0000991B0000}"/>
    <cellStyle name="Normal 57 3 2 2 2" xfId="7144" xr:uid="{00000000-0005-0000-0000-00009A1B0000}"/>
    <cellStyle name="Normal 57 3 2 2 2 2" xfId="7145" xr:uid="{00000000-0005-0000-0000-00009B1B0000}"/>
    <cellStyle name="Normal 57 3 2 2 3" xfId="7146" xr:uid="{00000000-0005-0000-0000-00009C1B0000}"/>
    <cellStyle name="Normal 57 3 2 3" xfId="7147" xr:uid="{00000000-0005-0000-0000-00009D1B0000}"/>
    <cellStyle name="Normal 57 3 2 3 2" xfId="7148" xr:uid="{00000000-0005-0000-0000-00009E1B0000}"/>
    <cellStyle name="Normal 57 3 2 4" xfId="7149" xr:uid="{00000000-0005-0000-0000-00009F1B0000}"/>
    <cellStyle name="Normal 57 3 3" xfId="7150" xr:uid="{00000000-0005-0000-0000-0000A01B0000}"/>
    <cellStyle name="Normal 57 3 3 2" xfId="7151" xr:uid="{00000000-0005-0000-0000-0000A11B0000}"/>
    <cellStyle name="Normal 57 3 3 2 2" xfId="7152" xr:uid="{00000000-0005-0000-0000-0000A21B0000}"/>
    <cellStyle name="Normal 57 3 3 3" xfId="7153" xr:uid="{00000000-0005-0000-0000-0000A31B0000}"/>
    <cellStyle name="Normal 57 3 4" xfId="7154" xr:uid="{00000000-0005-0000-0000-0000A41B0000}"/>
    <cellStyle name="Normal 57 3 4 2" xfId="7155" xr:uid="{00000000-0005-0000-0000-0000A51B0000}"/>
    <cellStyle name="Normal 57 3 5" xfId="7156" xr:uid="{00000000-0005-0000-0000-0000A61B0000}"/>
    <cellStyle name="Normal 57 4" xfId="7157" xr:uid="{00000000-0005-0000-0000-0000A71B0000}"/>
    <cellStyle name="Normal 57 4 2" xfId="7158" xr:uid="{00000000-0005-0000-0000-0000A81B0000}"/>
    <cellStyle name="Normal 57 4 2 2" xfId="7159" xr:uid="{00000000-0005-0000-0000-0000A91B0000}"/>
    <cellStyle name="Normal 57 4 2 2 2" xfId="7160" xr:uid="{00000000-0005-0000-0000-0000AA1B0000}"/>
    <cellStyle name="Normal 57 4 2 2 2 2" xfId="7161" xr:uid="{00000000-0005-0000-0000-0000AB1B0000}"/>
    <cellStyle name="Normal 57 4 2 2 3" xfId="7162" xr:uid="{00000000-0005-0000-0000-0000AC1B0000}"/>
    <cellStyle name="Normal 57 4 2 3" xfId="7163" xr:uid="{00000000-0005-0000-0000-0000AD1B0000}"/>
    <cellStyle name="Normal 57 4 2 3 2" xfId="7164" xr:uid="{00000000-0005-0000-0000-0000AE1B0000}"/>
    <cellStyle name="Normal 57 4 2 4" xfId="7165" xr:uid="{00000000-0005-0000-0000-0000AF1B0000}"/>
    <cellStyle name="Normal 57 4 3" xfId="7166" xr:uid="{00000000-0005-0000-0000-0000B01B0000}"/>
    <cellStyle name="Normal 57 4 3 2" xfId="7167" xr:uid="{00000000-0005-0000-0000-0000B11B0000}"/>
    <cellStyle name="Normal 57 4 3 2 2" xfId="7168" xr:uid="{00000000-0005-0000-0000-0000B21B0000}"/>
    <cellStyle name="Normal 57 4 3 3" xfId="7169" xr:uid="{00000000-0005-0000-0000-0000B31B0000}"/>
    <cellStyle name="Normal 57 4 4" xfId="7170" xr:uid="{00000000-0005-0000-0000-0000B41B0000}"/>
    <cellStyle name="Normal 57 4 4 2" xfId="7171" xr:uid="{00000000-0005-0000-0000-0000B51B0000}"/>
    <cellStyle name="Normal 57 4 5" xfId="7172" xr:uid="{00000000-0005-0000-0000-0000B61B0000}"/>
    <cellStyle name="Normal 57 5" xfId="7173" xr:uid="{00000000-0005-0000-0000-0000B71B0000}"/>
    <cellStyle name="Normal 57 5 2" xfId="7174" xr:uid="{00000000-0005-0000-0000-0000B81B0000}"/>
    <cellStyle name="Normal 57 5 2 2" xfId="7175" xr:uid="{00000000-0005-0000-0000-0000B91B0000}"/>
    <cellStyle name="Normal 57 5 2 2 2" xfId="7176" xr:uid="{00000000-0005-0000-0000-0000BA1B0000}"/>
    <cellStyle name="Normal 57 5 2 2 2 2" xfId="7177" xr:uid="{00000000-0005-0000-0000-0000BB1B0000}"/>
    <cellStyle name="Normal 57 5 2 2 3" xfId="7178" xr:uid="{00000000-0005-0000-0000-0000BC1B0000}"/>
    <cellStyle name="Normal 57 5 2 3" xfId="7179" xr:uid="{00000000-0005-0000-0000-0000BD1B0000}"/>
    <cellStyle name="Normal 57 5 2 3 2" xfId="7180" xr:uid="{00000000-0005-0000-0000-0000BE1B0000}"/>
    <cellStyle name="Normal 57 5 2 4" xfId="7181" xr:uid="{00000000-0005-0000-0000-0000BF1B0000}"/>
    <cellStyle name="Normal 57 5 3" xfId="7182" xr:uid="{00000000-0005-0000-0000-0000C01B0000}"/>
    <cellStyle name="Normal 57 5 3 2" xfId="7183" xr:uid="{00000000-0005-0000-0000-0000C11B0000}"/>
    <cellStyle name="Normal 57 5 3 2 2" xfId="7184" xr:uid="{00000000-0005-0000-0000-0000C21B0000}"/>
    <cellStyle name="Normal 57 5 3 3" xfId="7185" xr:uid="{00000000-0005-0000-0000-0000C31B0000}"/>
    <cellStyle name="Normal 57 5 4" xfId="7186" xr:uid="{00000000-0005-0000-0000-0000C41B0000}"/>
    <cellStyle name="Normal 57 5 4 2" xfId="7187" xr:uid="{00000000-0005-0000-0000-0000C51B0000}"/>
    <cellStyle name="Normal 57 5 5" xfId="7188" xr:uid="{00000000-0005-0000-0000-0000C61B0000}"/>
    <cellStyle name="Normal 57 6" xfId="7189" xr:uid="{00000000-0005-0000-0000-0000C71B0000}"/>
    <cellStyle name="Normal 57 6 2" xfId="7190" xr:uid="{00000000-0005-0000-0000-0000C81B0000}"/>
    <cellStyle name="Normal 57 6 2 2" xfId="7191" xr:uid="{00000000-0005-0000-0000-0000C91B0000}"/>
    <cellStyle name="Normal 57 6 2 2 2" xfId="7192" xr:uid="{00000000-0005-0000-0000-0000CA1B0000}"/>
    <cellStyle name="Normal 57 6 2 3" xfId="7193" xr:uid="{00000000-0005-0000-0000-0000CB1B0000}"/>
    <cellStyle name="Normal 57 6 3" xfId="7194" xr:uid="{00000000-0005-0000-0000-0000CC1B0000}"/>
    <cellStyle name="Normal 57 6 3 2" xfId="7195" xr:uid="{00000000-0005-0000-0000-0000CD1B0000}"/>
    <cellStyle name="Normal 57 6 4" xfId="7196" xr:uid="{00000000-0005-0000-0000-0000CE1B0000}"/>
    <cellStyle name="Normal 57 7" xfId="7197" xr:uid="{00000000-0005-0000-0000-0000CF1B0000}"/>
    <cellStyle name="Normal 57 7 2" xfId="7198" xr:uid="{00000000-0005-0000-0000-0000D01B0000}"/>
    <cellStyle name="Normal 57 7 2 2" xfId="7199" xr:uid="{00000000-0005-0000-0000-0000D11B0000}"/>
    <cellStyle name="Normal 57 7 3" xfId="7200" xr:uid="{00000000-0005-0000-0000-0000D21B0000}"/>
    <cellStyle name="Normal 57 8" xfId="7201" xr:uid="{00000000-0005-0000-0000-0000D31B0000}"/>
    <cellStyle name="Normal 57 8 2" xfId="7202" xr:uid="{00000000-0005-0000-0000-0000D41B0000}"/>
    <cellStyle name="Normal 57 9" xfId="7203" xr:uid="{00000000-0005-0000-0000-0000D51B0000}"/>
    <cellStyle name="Normal 58" xfId="7204" xr:uid="{00000000-0005-0000-0000-0000D61B0000}"/>
    <cellStyle name="Normal 58 2" xfId="7205" xr:uid="{00000000-0005-0000-0000-0000D71B0000}"/>
    <cellStyle name="Normal 58 2 2" xfId="7206" xr:uid="{00000000-0005-0000-0000-0000D81B0000}"/>
    <cellStyle name="Normal 58 3" xfId="7207" xr:uid="{00000000-0005-0000-0000-0000D91B0000}"/>
    <cellStyle name="Normal 58 3 2" xfId="7208" xr:uid="{00000000-0005-0000-0000-0000DA1B0000}"/>
    <cellStyle name="Normal 58 3 2 2" xfId="7209" xr:uid="{00000000-0005-0000-0000-0000DB1B0000}"/>
    <cellStyle name="Normal 58 3 2 2 2" xfId="7210" xr:uid="{00000000-0005-0000-0000-0000DC1B0000}"/>
    <cellStyle name="Normal 58 3 2 2 2 2" xfId="7211" xr:uid="{00000000-0005-0000-0000-0000DD1B0000}"/>
    <cellStyle name="Normal 58 3 2 2 3" xfId="7212" xr:uid="{00000000-0005-0000-0000-0000DE1B0000}"/>
    <cellStyle name="Normal 58 3 2 3" xfId="7213" xr:uid="{00000000-0005-0000-0000-0000DF1B0000}"/>
    <cellStyle name="Normal 58 3 2 3 2" xfId="7214" xr:uid="{00000000-0005-0000-0000-0000E01B0000}"/>
    <cellStyle name="Normal 58 3 2 4" xfId="7215" xr:uid="{00000000-0005-0000-0000-0000E11B0000}"/>
    <cellStyle name="Normal 58 3 3" xfId="7216" xr:uid="{00000000-0005-0000-0000-0000E21B0000}"/>
    <cellStyle name="Normal 58 3 3 2" xfId="7217" xr:uid="{00000000-0005-0000-0000-0000E31B0000}"/>
    <cellStyle name="Normal 58 3 3 2 2" xfId="7218" xr:uid="{00000000-0005-0000-0000-0000E41B0000}"/>
    <cellStyle name="Normal 58 3 3 3" xfId="7219" xr:uid="{00000000-0005-0000-0000-0000E51B0000}"/>
    <cellStyle name="Normal 58 3 4" xfId="7220" xr:uid="{00000000-0005-0000-0000-0000E61B0000}"/>
    <cellStyle name="Normal 58 3 4 2" xfId="7221" xr:uid="{00000000-0005-0000-0000-0000E71B0000}"/>
    <cellStyle name="Normal 58 3 5" xfId="7222" xr:uid="{00000000-0005-0000-0000-0000E81B0000}"/>
    <cellStyle name="Normal 58 4" xfId="7223" xr:uid="{00000000-0005-0000-0000-0000E91B0000}"/>
    <cellStyle name="Normal 58 4 2" xfId="7224" xr:uid="{00000000-0005-0000-0000-0000EA1B0000}"/>
    <cellStyle name="Normal 58 4 2 2" xfId="7225" xr:uid="{00000000-0005-0000-0000-0000EB1B0000}"/>
    <cellStyle name="Normal 58 4 2 2 2" xfId="7226" xr:uid="{00000000-0005-0000-0000-0000EC1B0000}"/>
    <cellStyle name="Normal 58 4 2 2 2 2" xfId="7227" xr:uid="{00000000-0005-0000-0000-0000ED1B0000}"/>
    <cellStyle name="Normal 58 4 2 2 3" xfId="7228" xr:uid="{00000000-0005-0000-0000-0000EE1B0000}"/>
    <cellStyle name="Normal 58 4 2 3" xfId="7229" xr:uid="{00000000-0005-0000-0000-0000EF1B0000}"/>
    <cellStyle name="Normal 58 4 2 3 2" xfId="7230" xr:uid="{00000000-0005-0000-0000-0000F01B0000}"/>
    <cellStyle name="Normal 58 4 2 4" xfId="7231" xr:uid="{00000000-0005-0000-0000-0000F11B0000}"/>
    <cellStyle name="Normal 58 4 3" xfId="7232" xr:uid="{00000000-0005-0000-0000-0000F21B0000}"/>
    <cellStyle name="Normal 58 4 3 2" xfId="7233" xr:uid="{00000000-0005-0000-0000-0000F31B0000}"/>
    <cellStyle name="Normal 58 4 3 2 2" xfId="7234" xr:uid="{00000000-0005-0000-0000-0000F41B0000}"/>
    <cellStyle name="Normal 58 4 3 3" xfId="7235" xr:uid="{00000000-0005-0000-0000-0000F51B0000}"/>
    <cellStyle name="Normal 58 4 4" xfId="7236" xr:uid="{00000000-0005-0000-0000-0000F61B0000}"/>
    <cellStyle name="Normal 58 4 4 2" xfId="7237" xr:uid="{00000000-0005-0000-0000-0000F71B0000}"/>
    <cellStyle name="Normal 58 4 5" xfId="7238" xr:uid="{00000000-0005-0000-0000-0000F81B0000}"/>
    <cellStyle name="Normal 58 5" xfId="7239" xr:uid="{00000000-0005-0000-0000-0000F91B0000}"/>
    <cellStyle name="Normal 58 5 2" xfId="7240" xr:uid="{00000000-0005-0000-0000-0000FA1B0000}"/>
    <cellStyle name="Normal 58 5 2 2" xfId="7241" xr:uid="{00000000-0005-0000-0000-0000FB1B0000}"/>
    <cellStyle name="Normal 58 5 2 2 2" xfId="7242" xr:uid="{00000000-0005-0000-0000-0000FC1B0000}"/>
    <cellStyle name="Normal 58 5 2 2 2 2" xfId="7243" xr:uid="{00000000-0005-0000-0000-0000FD1B0000}"/>
    <cellStyle name="Normal 58 5 2 2 3" xfId="7244" xr:uid="{00000000-0005-0000-0000-0000FE1B0000}"/>
    <cellStyle name="Normal 58 5 2 3" xfId="7245" xr:uid="{00000000-0005-0000-0000-0000FF1B0000}"/>
    <cellStyle name="Normal 58 5 2 3 2" xfId="7246" xr:uid="{00000000-0005-0000-0000-0000001C0000}"/>
    <cellStyle name="Normal 58 5 2 4" xfId="7247" xr:uid="{00000000-0005-0000-0000-0000011C0000}"/>
    <cellStyle name="Normal 58 5 3" xfId="7248" xr:uid="{00000000-0005-0000-0000-0000021C0000}"/>
    <cellStyle name="Normal 58 5 3 2" xfId="7249" xr:uid="{00000000-0005-0000-0000-0000031C0000}"/>
    <cellStyle name="Normal 58 5 3 2 2" xfId="7250" xr:uid="{00000000-0005-0000-0000-0000041C0000}"/>
    <cellStyle name="Normal 58 5 3 3" xfId="7251" xr:uid="{00000000-0005-0000-0000-0000051C0000}"/>
    <cellStyle name="Normal 58 5 4" xfId="7252" xr:uid="{00000000-0005-0000-0000-0000061C0000}"/>
    <cellStyle name="Normal 58 5 4 2" xfId="7253" xr:uid="{00000000-0005-0000-0000-0000071C0000}"/>
    <cellStyle name="Normal 58 5 5" xfId="7254" xr:uid="{00000000-0005-0000-0000-0000081C0000}"/>
    <cellStyle name="Normal 58 6" xfId="7255" xr:uid="{00000000-0005-0000-0000-0000091C0000}"/>
    <cellStyle name="Normal 58 6 2" xfId="7256" xr:uid="{00000000-0005-0000-0000-00000A1C0000}"/>
    <cellStyle name="Normal 58 6 2 2" xfId="7257" xr:uid="{00000000-0005-0000-0000-00000B1C0000}"/>
    <cellStyle name="Normal 58 6 2 2 2" xfId="7258" xr:uid="{00000000-0005-0000-0000-00000C1C0000}"/>
    <cellStyle name="Normal 58 6 2 3" xfId="7259" xr:uid="{00000000-0005-0000-0000-00000D1C0000}"/>
    <cellStyle name="Normal 58 6 3" xfId="7260" xr:uid="{00000000-0005-0000-0000-00000E1C0000}"/>
    <cellStyle name="Normal 58 6 3 2" xfId="7261" xr:uid="{00000000-0005-0000-0000-00000F1C0000}"/>
    <cellStyle name="Normal 58 6 4" xfId="7262" xr:uid="{00000000-0005-0000-0000-0000101C0000}"/>
    <cellStyle name="Normal 58 7" xfId="7263" xr:uid="{00000000-0005-0000-0000-0000111C0000}"/>
    <cellStyle name="Normal 58 7 2" xfId="7264" xr:uid="{00000000-0005-0000-0000-0000121C0000}"/>
    <cellStyle name="Normal 58 7 2 2" xfId="7265" xr:uid="{00000000-0005-0000-0000-0000131C0000}"/>
    <cellStyle name="Normal 58 7 3" xfId="7266" xr:uid="{00000000-0005-0000-0000-0000141C0000}"/>
    <cellStyle name="Normal 58 8" xfId="7267" xr:uid="{00000000-0005-0000-0000-0000151C0000}"/>
    <cellStyle name="Normal 58 8 2" xfId="7268" xr:uid="{00000000-0005-0000-0000-0000161C0000}"/>
    <cellStyle name="Normal 58 9" xfId="7269" xr:uid="{00000000-0005-0000-0000-0000171C0000}"/>
    <cellStyle name="Normal 59" xfId="7270" xr:uid="{00000000-0005-0000-0000-0000181C0000}"/>
    <cellStyle name="Normal 59 2" xfId="7271" xr:uid="{00000000-0005-0000-0000-0000191C0000}"/>
    <cellStyle name="Normal 59 2 2" xfId="7272" xr:uid="{00000000-0005-0000-0000-00001A1C0000}"/>
    <cellStyle name="Normal 59 3" xfId="7273" xr:uid="{00000000-0005-0000-0000-00001B1C0000}"/>
    <cellStyle name="Normal 59 3 2" xfId="7274" xr:uid="{00000000-0005-0000-0000-00001C1C0000}"/>
    <cellStyle name="Normal 59 3 2 2" xfId="7275" xr:uid="{00000000-0005-0000-0000-00001D1C0000}"/>
    <cellStyle name="Normal 59 3 2 2 2" xfId="7276" xr:uid="{00000000-0005-0000-0000-00001E1C0000}"/>
    <cellStyle name="Normal 59 3 2 2 2 2" xfId="7277" xr:uid="{00000000-0005-0000-0000-00001F1C0000}"/>
    <cellStyle name="Normal 59 3 2 2 3" xfId="7278" xr:uid="{00000000-0005-0000-0000-0000201C0000}"/>
    <cellStyle name="Normal 59 3 2 3" xfId="7279" xr:uid="{00000000-0005-0000-0000-0000211C0000}"/>
    <cellStyle name="Normal 59 3 2 3 2" xfId="7280" xr:uid="{00000000-0005-0000-0000-0000221C0000}"/>
    <cellStyle name="Normal 59 3 2 4" xfId="7281" xr:uid="{00000000-0005-0000-0000-0000231C0000}"/>
    <cellStyle name="Normal 59 3 3" xfId="7282" xr:uid="{00000000-0005-0000-0000-0000241C0000}"/>
    <cellStyle name="Normal 59 3 3 2" xfId="7283" xr:uid="{00000000-0005-0000-0000-0000251C0000}"/>
    <cellStyle name="Normal 59 3 3 2 2" xfId="7284" xr:uid="{00000000-0005-0000-0000-0000261C0000}"/>
    <cellStyle name="Normal 59 3 3 3" xfId="7285" xr:uid="{00000000-0005-0000-0000-0000271C0000}"/>
    <cellStyle name="Normal 59 3 4" xfId="7286" xr:uid="{00000000-0005-0000-0000-0000281C0000}"/>
    <cellStyle name="Normal 59 3 4 2" xfId="7287" xr:uid="{00000000-0005-0000-0000-0000291C0000}"/>
    <cellStyle name="Normal 59 3 5" xfId="7288" xr:uid="{00000000-0005-0000-0000-00002A1C0000}"/>
    <cellStyle name="Normal 59 4" xfId="7289" xr:uid="{00000000-0005-0000-0000-00002B1C0000}"/>
    <cellStyle name="Normal 59 4 2" xfId="7290" xr:uid="{00000000-0005-0000-0000-00002C1C0000}"/>
    <cellStyle name="Normal 59 4 2 2" xfId="7291" xr:uid="{00000000-0005-0000-0000-00002D1C0000}"/>
    <cellStyle name="Normal 59 4 2 2 2" xfId="7292" xr:uid="{00000000-0005-0000-0000-00002E1C0000}"/>
    <cellStyle name="Normal 59 4 2 2 2 2" xfId="7293" xr:uid="{00000000-0005-0000-0000-00002F1C0000}"/>
    <cellStyle name="Normal 59 4 2 2 3" xfId="7294" xr:uid="{00000000-0005-0000-0000-0000301C0000}"/>
    <cellStyle name="Normal 59 4 2 3" xfId="7295" xr:uid="{00000000-0005-0000-0000-0000311C0000}"/>
    <cellStyle name="Normal 59 4 2 3 2" xfId="7296" xr:uid="{00000000-0005-0000-0000-0000321C0000}"/>
    <cellStyle name="Normal 59 4 2 4" xfId="7297" xr:uid="{00000000-0005-0000-0000-0000331C0000}"/>
    <cellStyle name="Normal 59 4 3" xfId="7298" xr:uid="{00000000-0005-0000-0000-0000341C0000}"/>
    <cellStyle name="Normal 59 4 3 2" xfId="7299" xr:uid="{00000000-0005-0000-0000-0000351C0000}"/>
    <cellStyle name="Normal 59 4 3 2 2" xfId="7300" xr:uid="{00000000-0005-0000-0000-0000361C0000}"/>
    <cellStyle name="Normal 59 4 3 3" xfId="7301" xr:uid="{00000000-0005-0000-0000-0000371C0000}"/>
    <cellStyle name="Normal 59 4 4" xfId="7302" xr:uid="{00000000-0005-0000-0000-0000381C0000}"/>
    <cellStyle name="Normal 59 4 4 2" xfId="7303" xr:uid="{00000000-0005-0000-0000-0000391C0000}"/>
    <cellStyle name="Normal 59 4 5" xfId="7304" xr:uid="{00000000-0005-0000-0000-00003A1C0000}"/>
    <cellStyle name="Normal 59 5" xfId="7305" xr:uid="{00000000-0005-0000-0000-00003B1C0000}"/>
    <cellStyle name="Normal 59 5 2" xfId="7306" xr:uid="{00000000-0005-0000-0000-00003C1C0000}"/>
    <cellStyle name="Normal 59 5 2 2" xfId="7307" xr:uid="{00000000-0005-0000-0000-00003D1C0000}"/>
    <cellStyle name="Normal 59 5 2 2 2" xfId="7308" xr:uid="{00000000-0005-0000-0000-00003E1C0000}"/>
    <cellStyle name="Normal 59 5 2 2 2 2" xfId="7309" xr:uid="{00000000-0005-0000-0000-00003F1C0000}"/>
    <cellStyle name="Normal 59 5 2 2 3" xfId="7310" xr:uid="{00000000-0005-0000-0000-0000401C0000}"/>
    <cellStyle name="Normal 59 5 2 3" xfId="7311" xr:uid="{00000000-0005-0000-0000-0000411C0000}"/>
    <cellStyle name="Normal 59 5 2 3 2" xfId="7312" xr:uid="{00000000-0005-0000-0000-0000421C0000}"/>
    <cellStyle name="Normal 59 5 2 4" xfId="7313" xr:uid="{00000000-0005-0000-0000-0000431C0000}"/>
    <cellStyle name="Normal 59 5 3" xfId="7314" xr:uid="{00000000-0005-0000-0000-0000441C0000}"/>
    <cellStyle name="Normal 59 5 3 2" xfId="7315" xr:uid="{00000000-0005-0000-0000-0000451C0000}"/>
    <cellStyle name="Normal 59 5 3 2 2" xfId="7316" xr:uid="{00000000-0005-0000-0000-0000461C0000}"/>
    <cellStyle name="Normal 59 5 3 3" xfId="7317" xr:uid="{00000000-0005-0000-0000-0000471C0000}"/>
    <cellStyle name="Normal 59 5 4" xfId="7318" xr:uid="{00000000-0005-0000-0000-0000481C0000}"/>
    <cellStyle name="Normal 59 5 4 2" xfId="7319" xr:uid="{00000000-0005-0000-0000-0000491C0000}"/>
    <cellStyle name="Normal 59 5 5" xfId="7320" xr:uid="{00000000-0005-0000-0000-00004A1C0000}"/>
    <cellStyle name="Normal 59 6" xfId="7321" xr:uid="{00000000-0005-0000-0000-00004B1C0000}"/>
    <cellStyle name="Normal 59 6 2" xfId="7322" xr:uid="{00000000-0005-0000-0000-00004C1C0000}"/>
    <cellStyle name="Normal 59 6 2 2" xfId="7323" xr:uid="{00000000-0005-0000-0000-00004D1C0000}"/>
    <cellStyle name="Normal 59 6 2 2 2" xfId="7324" xr:uid="{00000000-0005-0000-0000-00004E1C0000}"/>
    <cellStyle name="Normal 59 6 2 3" xfId="7325" xr:uid="{00000000-0005-0000-0000-00004F1C0000}"/>
    <cellStyle name="Normal 59 6 3" xfId="7326" xr:uid="{00000000-0005-0000-0000-0000501C0000}"/>
    <cellStyle name="Normal 59 6 3 2" xfId="7327" xr:uid="{00000000-0005-0000-0000-0000511C0000}"/>
    <cellStyle name="Normal 59 6 4" xfId="7328" xr:uid="{00000000-0005-0000-0000-0000521C0000}"/>
    <cellStyle name="Normal 59 7" xfId="7329" xr:uid="{00000000-0005-0000-0000-0000531C0000}"/>
    <cellStyle name="Normal 59 7 2" xfId="7330" xr:uid="{00000000-0005-0000-0000-0000541C0000}"/>
    <cellStyle name="Normal 59 7 2 2" xfId="7331" xr:uid="{00000000-0005-0000-0000-0000551C0000}"/>
    <cellStyle name="Normal 59 7 3" xfId="7332" xr:uid="{00000000-0005-0000-0000-0000561C0000}"/>
    <cellStyle name="Normal 59 8" xfId="7333" xr:uid="{00000000-0005-0000-0000-0000571C0000}"/>
    <cellStyle name="Normal 59 8 2" xfId="7334" xr:uid="{00000000-0005-0000-0000-0000581C0000}"/>
    <cellStyle name="Normal 59 9" xfId="7335" xr:uid="{00000000-0005-0000-0000-0000591C0000}"/>
    <cellStyle name="Normal 6" xfId="299" xr:uid="{00000000-0005-0000-0000-00005A1C0000}"/>
    <cellStyle name="Normal 6 10" xfId="7336" xr:uid="{00000000-0005-0000-0000-00005B1C0000}"/>
    <cellStyle name="Normal 6 11" xfId="7337" xr:uid="{00000000-0005-0000-0000-00005C1C0000}"/>
    <cellStyle name="Normal 6 2" xfId="300" xr:uid="{00000000-0005-0000-0000-00005D1C0000}"/>
    <cellStyle name="Normal 6 2 2" xfId="301" xr:uid="{00000000-0005-0000-0000-00005E1C0000}"/>
    <cellStyle name="Normal 6 2 3" xfId="7338" xr:uid="{00000000-0005-0000-0000-00005F1C0000}"/>
    <cellStyle name="Normal 6 3" xfId="302" xr:uid="{00000000-0005-0000-0000-0000601C0000}"/>
    <cellStyle name="Normal 6 3 2" xfId="7339" xr:uid="{00000000-0005-0000-0000-0000611C0000}"/>
    <cellStyle name="Normal 6 3 2 2" xfId="7340" xr:uid="{00000000-0005-0000-0000-0000621C0000}"/>
    <cellStyle name="Normal 6 3 2 2 2" xfId="7341" xr:uid="{00000000-0005-0000-0000-0000631C0000}"/>
    <cellStyle name="Normal 6 3 2 2 2 2" xfId="7342" xr:uid="{00000000-0005-0000-0000-0000641C0000}"/>
    <cellStyle name="Normal 6 3 2 2 3" xfId="7343" xr:uid="{00000000-0005-0000-0000-0000651C0000}"/>
    <cellStyle name="Normal 6 3 2 3" xfId="7344" xr:uid="{00000000-0005-0000-0000-0000661C0000}"/>
    <cellStyle name="Normal 6 3 2 3 2" xfId="7345" xr:uid="{00000000-0005-0000-0000-0000671C0000}"/>
    <cellStyle name="Normal 6 3 2 4" xfId="7346" xr:uid="{00000000-0005-0000-0000-0000681C0000}"/>
    <cellStyle name="Normal 6 3 3" xfId="7347" xr:uid="{00000000-0005-0000-0000-0000691C0000}"/>
    <cellStyle name="Normal 6 3 3 2" xfId="7348" xr:uid="{00000000-0005-0000-0000-00006A1C0000}"/>
    <cellStyle name="Normal 6 3 3 2 2" xfId="7349" xr:uid="{00000000-0005-0000-0000-00006B1C0000}"/>
    <cellStyle name="Normal 6 3 3 3" xfId="7350" xr:uid="{00000000-0005-0000-0000-00006C1C0000}"/>
    <cellStyle name="Normal 6 3 4" xfId="7351" xr:uid="{00000000-0005-0000-0000-00006D1C0000}"/>
    <cellStyle name="Normal 6 3 4 2" xfId="7352" xr:uid="{00000000-0005-0000-0000-00006E1C0000}"/>
    <cellStyle name="Normal 6 3 5" xfId="7353" xr:uid="{00000000-0005-0000-0000-00006F1C0000}"/>
    <cellStyle name="Normal 6 3 6" xfId="7354" xr:uid="{00000000-0005-0000-0000-0000701C0000}"/>
    <cellStyle name="Normal 6 4" xfId="7355" xr:uid="{00000000-0005-0000-0000-0000711C0000}"/>
    <cellStyle name="Normal 6 4 2" xfId="7356" xr:uid="{00000000-0005-0000-0000-0000721C0000}"/>
    <cellStyle name="Normal 6 4 2 2" xfId="7357" xr:uid="{00000000-0005-0000-0000-0000731C0000}"/>
    <cellStyle name="Normal 6 4 2 2 2" xfId="7358" xr:uid="{00000000-0005-0000-0000-0000741C0000}"/>
    <cellStyle name="Normal 6 4 2 2 2 2" xfId="7359" xr:uid="{00000000-0005-0000-0000-0000751C0000}"/>
    <cellStyle name="Normal 6 4 2 2 3" xfId="7360" xr:uid="{00000000-0005-0000-0000-0000761C0000}"/>
    <cellStyle name="Normal 6 4 2 3" xfId="7361" xr:uid="{00000000-0005-0000-0000-0000771C0000}"/>
    <cellStyle name="Normal 6 4 2 3 2" xfId="7362" xr:uid="{00000000-0005-0000-0000-0000781C0000}"/>
    <cellStyle name="Normal 6 4 2 4" xfId="7363" xr:uid="{00000000-0005-0000-0000-0000791C0000}"/>
    <cellStyle name="Normal 6 4 3" xfId="7364" xr:uid="{00000000-0005-0000-0000-00007A1C0000}"/>
    <cellStyle name="Normal 6 4 3 2" xfId="7365" xr:uid="{00000000-0005-0000-0000-00007B1C0000}"/>
    <cellStyle name="Normal 6 4 3 2 2" xfId="7366" xr:uid="{00000000-0005-0000-0000-00007C1C0000}"/>
    <cellStyle name="Normal 6 4 3 3" xfId="7367" xr:uid="{00000000-0005-0000-0000-00007D1C0000}"/>
    <cellStyle name="Normal 6 4 4" xfId="7368" xr:uid="{00000000-0005-0000-0000-00007E1C0000}"/>
    <cellStyle name="Normal 6 4 4 2" xfId="7369" xr:uid="{00000000-0005-0000-0000-00007F1C0000}"/>
    <cellStyle name="Normal 6 4 5" xfId="7370" xr:uid="{00000000-0005-0000-0000-0000801C0000}"/>
    <cellStyle name="Normal 6 5" xfId="7371" xr:uid="{00000000-0005-0000-0000-0000811C0000}"/>
    <cellStyle name="Normal 6 5 2" xfId="7372" xr:uid="{00000000-0005-0000-0000-0000821C0000}"/>
    <cellStyle name="Normal 6 5 2 2" xfId="7373" xr:uid="{00000000-0005-0000-0000-0000831C0000}"/>
    <cellStyle name="Normal 6 5 2 2 2" xfId="7374" xr:uid="{00000000-0005-0000-0000-0000841C0000}"/>
    <cellStyle name="Normal 6 5 2 2 2 2" xfId="7375" xr:uid="{00000000-0005-0000-0000-0000851C0000}"/>
    <cellStyle name="Normal 6 5 2 2 3" xfId="7376" xr:uid="{00000000-0005-0000-0000-0000861C0000}"/>
    <cellStyle name="Normal 6 5 2 3" xfId="7377" xr:uid="{00000000-0005-0000-0000-0000871C0000}"/>
    <cellStyle name="Normal 6 5 2 3 2" xfId="7378" xr:uid="{00000000-0005-0000-0000-0000881C0000}"/>
    <cellStyle name="Normal 6 5 2 4" xfId="7379" xr:uid="{00000000-0005-0000-0000-0000891C0000}"/>
    <cellStyle name="Normal 6 5 3" xfId="7380" xr:uid="{00000000-0005-0000-0000-00008A1C0000}"/>
    <cellStyle name="Normal 6 5 3 2" xfId="7381" xr:uid="{00000000-0005-0000-0000-00008B1C0000}"/>
    <cellStyle name="Normal 6 5 3 2 2" xfId="7382" xr:uid="{00000000-0005-0000-0000-00008C1C0000}"/>
    <cellStyle name="Normal 6 5 3 3" xfId="7383" xr:uid="{00000000-0005-0000-0000-00008D1C0000}"/>
    <cellStyle name="Normal 6 5 4" xfId="7384" xr:uid="{00000000-0005-0000-0000-00008E1C0000}"/>
    <cellStyle name="Normal 6 5 4 2" xfId="7385" xr:uid="{00000000-0005-0000-0000-00008F1C0000}"/>
    <cellStyle name="Normal 6 5 5" xfId="7386" xr:uid="{00000000-0005-0000-0000-0000901C0000}"/>
    <cellStyle name="Normal 6 5 6" xfId="7387" xr:uid="{00000000-0005-0000-0000-0000911C0000}"/>
    <cellStyle name="Normal 6 6" xfId="7388" xr:uid="{00000000-0005-0000-0000-0000921C0000}"/>
    <cellStyle name="Normal 6 6 2" xfId="7389" xr:uid="{00000000-0005-0000-0000-0000931C0000}"/>
    <cellStyle name="Normal 6 6 2 2" xfId="7390" xr:uid="{00000000-0005-0000-0000-0000941C0000}"/>
    <cellStyle name="Normal 6 6 2 2 2" xfId="7391" xr:uid="{00000000-0005-0000-0000-0000951C0000}"/>
    <cellStyle name="Normal 6 6 2 3" xfId="7392" xr:uid="{00000000-0005-0000-0000-0000961C0000}"/>
    <cellStyle name="Normal 6 6 3" xfId="7393" xr:uid="{00000000-0005-0000-0000-0000971C0000}"/>
    <cellStyle name="Normal 6 6 3 2" xfId="7394" xr:uid="{00000000-0005-0000-0000-0000981C0000}"/>
    <cellStyle name="Normal 6 6 4" xfId="7395" xr:uid="{00000000-0005-0000-0000-0000991C0000}"/>
    <cellStyle name="Normal 6 6 5" xfId="7396" xr:uid="{00000000-0005-0000-0000-00009A1C0000}"/>
    <cellStyle name="Normal 6 7" xfId="7397" xr:uid="{00000000-0005-0000-0000-00009B1C0000}"/>
    <cellStyle name="Normal 6 7 2" xfId="7398" xr:uid="{00000000-0005-0000-0000-00009C1C0000}"/>
    <cellStyle name="Normal 6 7 2 2" xfId="7399" xr:uid="{00000000-0005-0000-0000-00009D1C0000}"/>
    <cellStyle name="Normal 6 7 3" xfId="7400" xr:uid="{00000000-0005-0000-0000-00009E1C0000}"/>
    <cellStyle name="Normal 6 8" xfId="7401" xr:uid="{00000000-0005-0000-0000-00009F1C0000}"/>
    <cellStyle name="Normal 6 8 2" xfId="7402" xr:uid="{00000000-0005-0000-0000-0000A01C0000}"/>
    <cellStyle name="Normal 6 9" xfId="7403" xr:uid="{00000000-0005-0000-0000-0000A11C0000}"/>
    <cellStyle name="Normal 60" xfId="7404" xr:uid="{00000000-0005-0000-0000-0000A21C0000}"/>
    <cellStyle name="Normal 60 2" xfId="7405" xr:uid="{00000000-0005-0000-0000-0000A31C0000}"/>
    <cellStyle name="Normal 60 2 2" xfId="7406" xr:uid="{00000000-0005-0000-0000-0000A41C0000}"/>
    <cellStyle name="Normal 60 3" xfId="7407" xr:uid="{00000000-0005-0000-0000-0000A51C0000}"/>
    <cellStyle name="Normal 60 3 2" xfId="7408" xr:uid="{00000000-0005-0000-0000-0000A61C0000}"/>
    <cellStyle name="Normal 60 3 2 2" xfId="7409" xr:uid="{00000000-0005-0000-0000-0000A71C0000}"/>
    <cellStyle name="Normal 60 3 2 2 2" xfId="7410" xr:uid="{00000000-0005-0000-0000-0000A81C0000}"/>
    <cellStyle name="Normal 60 3 2 2 2 2" xfId="7411" xr:uid="{00000000-0005-0000-0000-0000A91C0000}"/>
    <cellStyle name="Normal 60 3 2 2 3" xfId="7412" xr:uid="{00000000-0005-0000-0000-0000AA1C0000}"/>
    <cellStyle name="Normal 60 3 2 3" xfId="7413" xr:uid="{00000000-0005-0000-0000-0000AB1C0000}"/>
    <cellStyle name="Normal 60 3 2 3 2" xfId="7414" xr:uid="{00000000-0005-0000-0000-0000AC1C0000}"/>
    <cellStyle name="Normal 60 3 2 4" xfId="7415" xr:uid="{00000000-0005-0000-0000-0000AD1C0000}"/>
    <cellStyle name="Normal 60 3 3" xfId="7416" xr:uid="{00000000-0005-0000-0000-0000AE1C0000}"/>
    <cellStyle name="Normal 60 3 3 2" xfId="7417" xr:uid="{00000000-0005-0000-0000-0000AF1C0000}"/>
    <cellStyle name="Normal 60 3 3 2 2" xfId="7418" xr:uid="{00000000-0005-0000-0000-0000B01C0000}"/>
    <cellStyle name="Normal 60 3 3 3" xfId="7419" xr:uid="{00000000-0005-0000-0000-0000B11C0000}"/>
    <cellStyle name="Normal 60 3 4" xfId="7420" xr:uid="{00000000-0005-0000-0000-0000B21C0000}"/>
    <cellStyle name="Normal 60 3 4 2" xfId="7421" xr:uid="{00000000-0005-0000-0000-0000B31C0000}"/>
    <cellStyle name="Normal 60 3 5" xfId="7422" xr:uid="{00000000-0005-0000-0000-0000B41C0000}"/>
    <cellStyle name="Normal 60 4" xfId="7423" xr:uid="{00000000-0005-0000-0000-0000B51C0000}"/>
    <cellStyle name="Normal 60 4 2" xfId="7424" xr:uid="{00000000-0005-0000-0000-0000B61C0000}"/>
    <cellStyle name="Normal 60 4 2 2" xfId="7425" xr:uid="{00000000-0005-0000-0000-0000B71C0000}"/>
    <cellStyle name="Normal 60 4 2 2 2" xfId="7426" xr:uid="{00000000-0005-0000-0000-0000B81C0000}"/>
    <cellStyle name="Normal 60 4 2 2 2 2" xfId="7427" xr:uid="{00000000-0005-0000-0000-0000B91C0000}"/>
    <cellStyle name="Normal 60 4 2 2 3" xfId="7428" xr:uid="{00000000-0005-0000-0000-0000BA1C0000}"/>
    <cellStyle name="Normal 60 4 2 3" xfId="7429" xr:uid="{00000000-0005-0000-0000-0000BB1C0000}"/>
    <cellStyle name="Normal 60 4 2 3 2" xfId="7430" xr:uid="{00000000-0005-0000-0000-0000BC1C0000}"/>
    <cellStyle name="Normal 60 4 2 4" xfId="7431" xr:uid="{00000000-0005-0000-0000-0000BD1C0000}"/>
    <cellStyle name="Normal 60 4 3" xfId="7432" xr:uid="{00000000-0005-0000-0000-0000BE1C0000}"/>
    <cellStyle name="Normal 60 4 3 2" xfId="7433" xr:uid="{00000000-0005-0000-0000-0000BF1C0000}"/>
    <cellStyle name="Normal 60 4 3 2 2" xfId="7434" xr:uid="{00000000-0005-0000-0000-0000C01C0000}"/>
    <cellStyle name="Normal 60 4 3 3" xfId="7435" xr:uid="{00000000-0005-0000-0000-0000C11C0000}"/>
    <cellStyle name="Normal 60 4 4" xfId="7436" xr:uid="{00000000-0005-0000-0000-0000C21C0000}"/>
    <cellStyle name="Normal 60 4 4 2" xfId="7437" xr:uid="{00000000-0005-0000-0000-0000C31C0000}"/>
    <cellStyle name="Normal 60 4 5" xfId="7438" xr:uid="{00000000-0005-0000-0000-0000C41C0000}"/>
    <cellStyle name="Normal 60 5" xfId="7439" xr:uid="{00000000-0005-0000-0000-0000C51C0000}"/>
    <cellStyle name="Normal 60 5 2" xfId="7440" xr:uid="{00000000-0005-0000-0000-0000C61C0000}"/>
    <cellStyle name="Normal 60 5 2 2" xfId="7441" xr:uid="{00000000-0005-0000-0000-0000C71C0000}"/>
    <cellStyle name="Normal 60 5 2 2 2" xfId="7442" xr:uid="{00000000-0005-0000-0000-0000C81C0000}"/>
    <cellStyle name="Normal 60 5 2 2 2 2" xfId="7443" xr:uid="{00000000-0005-0000-0000-0000C91C0000}"/>
    <cellStyle name="Normal 60 5 2 2 3" xfId="7444" xr:uid="{00000000-0005-0000-0000-0000CA1C0000}"/>
    <cellStyle name="Normal 60 5 2 3" xfId="7445" xr:uid="{00000000-0005-0000-0000-0000CB1C0000}"/>
    <cellStyle name="Normal 60 5 2 3 2" xfId="7446" xr:uid="{00000000-0005-0000-0000-0000CC1C0000}"/>
    <cellStyle name="Normal 60 5 2 4" xfId="7447" xr:uid="{00000000-0005-0000-0000-0000CD1C0000}"/>
    <cellStyle name="Normal 60 5 3" xfId="7448" xr:uid="{00000000-0005-0000-0000-0000CE1C0000}"/>
    <cellStyle name="Normal 60 5 3 2" xfId="7449" xr:uid="{00000000-0005-0000-0000-0000CF1C0000}"/>
    <cellStyle name="Normal 60 5 3 2 2" xfId="7450" xr:uid="{00000000-0005-0000-0000-0000D01C0000}"/>
    <cellStyle name="Normal 60 5 3 3" xfId="7451" xr:uid="{00000000-0005-0000-0000-0000D11C0000}"/>
    <cellStyle name="Normal 60 5 4" xfId="7452" xr:uid="{00000000-0005-0000-0000-0000D21C0000}"/>
    <cellStyle name="Normal 60 5 4 2" xfId="7453" xr:uid="{00000000-0005-0000-0000-0000D31C0000}"/>
    <cellStyle name="Normal 60 5 5" xfId="7454" xr:uid="{00000000-0005-0000-0000-0000D41C0000}"/>
    <cellStyle name="Normal 60 6" xfId="7455" xr:uid="{00000000-0005-0000-0000-0000D51C0000}"/>
    <cellStyle name="Normal 60 6 2" xfId="7456" xr:uid="{00000000-0005-0000-0000-0000D61C0000}"/>
    <cellStyle name="Normal 60 6 2 2" xfId="7457" xr:uid="{00000000-0005-0000-0000-0000D71C0000}"/>
    <cellStyle name="Normal 60 6 2 2 2" xfId="7458" xr:uid="{00000000-0005-0000-0000-0000D81C0000}"/>
    <cellStyle name="Normal 60 6 2 3" xfId="7459" xr:uid="{00000000-0005-0000-0000-0000D91C0000}"/>
    <cellStyle name="Normal 60 6 3" xfId="7460" xr:uid="{00000000-0005-0000-0000-0000DA1C0000}"/>
    <cellStyle name="Normal 60 6 3 2" xfId="7461" xr:uid="{00000000-0005-0000-0000-0000DB1C0000}"/>
    <cellStyle name="Normal 60 6 4" xfId="7462" xr:uid="{00000000-0005-0000-0000-0000DC1C0000}"/>
    <cellStyle name="Normal 60 7" xfId="7463" xr:uid="{00000000-0005-0000-0000-0000DD1C0000}"/>
    <cellStyle name="Normal 60 7 2" xfId="7464" xr:uid="{00000000-0005-0000-0000-0000DE1C0000}"/>
    <cellStyle name="Normal 60 7 2 2" xfId="7465" xr:uid="{00000000-0005-0000-0000-0000DF1C0000}"/>
    <cellStyle name="Normal 60 7 3" xfId="7466" xr:uid="{00000000-0005-0000-0000-0000E01C0000}"/>
    <cellStyle name="Normal 60 8" xfId="7467" xr:uid="{00000000-0005-0000-0000-0000E11C0000}"/>
    <cellStyle name="Normal 60 8 2" xfId="7468" xr:uid="{00000000-0005-0000-0000-0000E21C0000}"/>
    <cellStyle name="Normal 60 9" xfId="7469" xr:uid="{00000000-0005-0000-0000-0000E31C0000}"/>
    <cellStyle name="Normal 61" xfId="7470" xr:uid="{00000000-0005-0000-0000-0000E41C0000}"/>
    <cellStyle name="Normal 61 2" xfId="7471" xr:uid="{00000000-0005-0000-0000-0000E51C0000}"/>
    <cellStyle name="Normal 61 2 2" xfId="7472" xr:uid="{00000000-0005-0000-0000-0000E61C0000}"/>
    <cellStyle name="Normal 61 3" xfId="7473" xr:uid="{00000000-0005-0000-0000-0000E71C0000}"/>
    <cellStyle name="Normal 61 3 2" xfId="7474" xr:uid="{00000000-0005-0000-0000-0000E81C0000}"/>
    <cellStyle name="Normal 61 3 2 2" xfId="7475" xr:uid="{00000000-0005-0000-0000-0000E91C0000}"/>
    <cellStyle name="Normal 61 3 2 2 2" xfId="7476" xr:uid="{00000000-0005-0000-0000-0000EA1C0000}"/>
    <cellStyle name="Normal 61 3 2 2 2 2" xfId="7477" xr:uid="{00000000-0005-0000-0000-0000EB1C0000}"/>
    <cellStyle name="Normal 61 3 2 2 3" xfId="7478" xr:uid="{00000000-0005-0000-0000-0000EC1C0000}"/>
    <cellStyle name="Normal 61 3 2 3" xfId="7479" xr:uid="{00000000-0005-0000-0000-0000ED1C0000}"/>
    <cellStyle name="Normal 61 3 2 3 2" xfId="7480" xr:uid="{00000000-0005-0000-0000-0000EE1C0000}"/>
    <cellStyle name="Normal 61 3 2 4" xfId="7481" xr:uid="{00000000-0005-0000-0000-0000EF1C0000}"/>
    <cellStyle name="Normal 61 3 3" xfId="7482" xr:uid="{00000000-0005-0000-0000-0000F01C0000}"/>
    <cellStyle name="Normal 61 3 3 2" xfId="7483" xr:uid="{00000000-0005-0000-0000-0000F11C0000}"/>
    <cellStyle name="Normal 61 3 3 2 2" xfId="7484" xr:uid="{00000000-0005-0000-0000-0000F21C0000}"/>
    <cellStyle name="Normal 61 3 3 3" xfId="7485" xr:uid="{00000000-0005-0000-0000-0000F31C0000}"/>
    <cellStyle name="Normal 61 3 4" xfId="7486" xr:uid="{00000000-0005-0000-0000-0000F41C0000}"/>
    <cellStyle name="Normal 61 3 4 2" xfId="7487" xr:uid="{00000000-0005-0000-0000-0000F51C0000}"/>
    <cellStyle name="Normal 61 3 5" xfId="7488" xr:uid="{00000000-0005-0000-0000-0000F61C0000}"/>
    <cellStyle name="Normal 61 4" xfId="7489" xr:uid="{00000000-0005-0000-0000-0000F71C0000}"/>
    <cellStyle name="Normal 61 4 2" xfId="7490" xr:uid="{00000000-0005-0000-0000-0000F81C0000}"/>
    <cellStyle name="Normal 61 4 2 2" xfId="7491" xr:uid="{00000000-0005-0000-0000-0000F91C0000}"/>
    <cellStyle name="Normal 61 4 2 2 2" xfId="7492" xr:uid="{00000000-0005-0000-0000-0000FA1C0000}"/>
    <cellStyle name="Normal 61 4 2 2 2 2" xfId="7493" xr:uid="{00000000-0005-0000-0000-0000FB1C0000}"/>
    <cellStyle name="Normal 61 4 2 2 3" xfId="7494" xr:uid="{00000000-0005-0000-0000-0000FC1C0000}"/>
    <cellStyle name="Normal 61 4 2 3" xfId="7495" xr:uid="{00000000-0005-0000-0000-0000FD1C0000}"/>
    <cellStyle name="Normal 61 4 2 3 2" xfId="7496" xr:uid="{00000000-0005-0000-0000-0000FE1C0000}"/>
    <cellStyle name="Normal 61 4 2 4" xfId="7497" xr:uid="{00000000-0005-0000-0000-0000FF1C0000}"/>
    <cellStyle name="Normal 61 4 3" xfId="7498" xr:uid="{00000000-0005-0000-0000-0000001D0000}"/>
    <cellStyle name="Normal 61 4 3 2" xfId="7499" xr:uid="{00000000-0005-0000-0000-0000011D0000}"/>
    <cellStyle name="Normal 61 4 3 2 2" xfId="7500" xr:uid="{00000000-0005-0000-0000-0000021D0000}"/>
    <cellStyle name="Normal 61 4 3 3" xfId="7501" xr:uid="{00000000-0005-0000-0000-0000031D0000}"/>
    <cellStyle name="Normal 61 4 4" xfId="7502" xr:uid="{00000000-0005-0000-0000-0000041D0000}"/>
    <cellStyle name="Normal 61 4 4 2" xfId="7503" xr:uid="{00000000-0005-0000-0000-0000051D0000}"/>
    <cellStyle name="Normal 61 4 5" xfId="7504" xr:uid="{00000000-0005-0000-0000-0000061D0000}"/>
    <cellStyle name="Normal 61 5" xfId="7505" xr:uid="{00000000-0005-0000-0000-0000071D0000}"/>
    <cellStyle name="Normal 61 5 2" xfId="7506" xr:uid="{00000000-0005-0000-0000-0000081D0000}"/>
    <cellStyle name="Normal 61 5 2 2" xfId="7507" xr:uid="{00000000-0005-0000-0000-0000091D0000}"/>
    <cellStyle name="Normal 61 5 2 2 2" xfId="7508" xr:uid="{00000000-0005-0000-0000-00000A1D0000}"/>
    <cellStyle name="Normal 61 5 2 2 2 2" xfId="7509" xr:uid="{00000000-0005-0000-0000-00000B1D0000}"/>
    <cellStyle name="Normal 61 5 2 2 3" xfId="7510" xr:uid="{00000000-0005-0000-0000-00000C1D0000}"/>
    <cellStyle name="Normal 61 5 2 3" xfId="7511" xr:uid="{00000000-0005-0000-0000-00000D1D0000}"/>
    <cellStyle name="Normal 61 5 2 3 2" xfId="7512" xr:uid="{00000000-0005-0000-0000-00000E1D0000}"/>
    <cellStyle name="Normal 61 5 2 4" xfId="7513" xr:uid="{00000000-0005-0000-0000-00000F1D0000}"/>
    <cellStyle name="Normal 61 5 3" xfId="7514" xr:uid="{00000000-0005-0000-0000-0000101D0000}"/>
    <cellStyle name="Normal 61 5 3 2" xfId="7515" xr:uid="{00000000-0005-0000-0000-0000111D0000}"/>
    <cellStyle name="Normal 61 5 3 2 2" xfId="7516" xr:uid="{00000000-0005-0000-0000-0000121D0000}"/>
    <cellStyle name="Normal 61 5 3 3" xfId="7517" xr:uid="{00000000-0005-0000-0000-0000131D0000}"/>
    <cellStyle name="Normal 61 5 4" xfId="7518" xr:uid="{00000000-0005-0000-0000-0000141D0000}"/>
    <cellStyle name="Normal 61 5 4 2" xfId="7519" xr:uid="{00000000-0005-0000-0000-0000151D0000}"/>
    <cellStyle name="Normal 61 5 5" xfId="7520" xr:uid="{00000000-0005-0000-0000-0000161D0000}"/>
    <cellStyle name="Normal 61 6" xfId="7521" xr:uid="{00000000-0005-0000-0000-0000171D0000}"/>
    <cellStyle name="Normal 61 6 2" xfId="7522" xr:uid="{00000000-0005-0000-0000-0000181D0000}"/>
    <cellStyle name="Normal 61 6 2 2" xfId="7523" xr:uid="{00000000-0005-0000-0000-0000191D0000}"/>
    <cellStyle name="Normal 61 6 2 2 2" xfId="7524" xr:uid="{00000000-0005-0000-0000-00001A1D0000}"/>
    <cellStyle name="Normal 61 6 2 3" xfId="7525" xr:uid="{00000000-0005-0000-0000-00001B1D0000}"/>
    <cellStyle name="Normal 61 6 3" xfId="7526" xr:uid="{00000000-0005-0000-0000-00001C1D0000}"/>
    <cellStyle name="Normal 61 6 3 2" xfId="7527" xr:uid="{00000000-0005-0000-0000-00001D1D0000}"/>
    <cellStyle name="Normal 61 6 4" xfId="7528" xr:uid="{00000000-0005-0000-0000-00001E1D0000}"/>
    <cellStyle name="Normal 61 7" xfId="7529" xr:uid="{00000000-0005-0000-0000-00001F1D0000}"/>
    <cellStyle name="Normal 61 7 2" xfId="7530" xr:uid="{00000000-0005-0000-0000-0000201D0000}"/>
    <cellStyle name="Normal 61 7 2 2" xfId="7531" xr:uid="{00000000-0005-0000-0000-0000211D0000}"/>
    <cellStyle name="Normal 61 7 3" xfId="7532" xr:uid="{00000000-0005-0000-0000-0000221D0000}"/>
    <cellStyle name="Normal 61 8" xfId="7533" xr:uid="{00000000-0005-0000-0000-0000231D0000}"/>
    <cellStyle name="Normal 61 8 2" xfId="7534" xr:uid="{00000000-0005-0000-0000-0000241D0000}"/>
    <cellStyle name="Normal 61 9" xfId="7535" xr:uid="{00000000-0005-0000-0000-0000251D0000}"/>
    <cellStyle name="Normal 62" xfId="7536" xr:uid="{00000000-0005-0000-0000-0000261D0000}"/>
    <cellStyle name="Normal 62 2" xfId="7537" xr:uid="{00000000-0005-0000-0000-0000271D0000}"/>
    <cellStyle name="Normal 62 2 2" xfId="7538" xr:uid="{00000000-0005-0000-0000-0000281D0000}"/>
    <cellStyle name="Normal 62 3" xfId="7539" xr:uid="{00000000-0005-0000-0000-0000291D0000}"/>
    <cellStyle name="Normal 62 3 2" xfId="7540" xr:uid="{00000000-0005-0000-0000-00002A1D0000}"/>
    <cellStyle name="Normal 62 3 2 2" xfId="7541" xr:uid="{00000000-0005-0000-0000-00002B1D0000}"/>
    <cellStyle name="Normal 62 3 2 2 2" xfId="7542" xr:uid="{00000000-0005-0000-0000-00002C1D0000}"/>
    <cellStyle name="Normal 62 3 2 2 2 2" xfId="7543" xr:uid="{00000000-0005-0000-0000-00002D1D0000}"/>
    <cellStyle name="Normal 62 3 2 2 3" xfId="7544" xr:uid="{00000000-0005-0000-0000-00002E1D0000}"/>
    <cellStyle name="Normal 62 3 2 3" xfId="7545" xr:uid="{00000000-0005-0000-0000-00002F1D0000}"/>
    <cellStyle name="Normal 62 3 2 3 2" xfId="7546" xr:uid="{00000000-0005-0000-0000-0000301D0000}"/>
    <cellStyle name="Normal 62 3 2 4" xfId="7547" xr:uid="{00000000-0005-0000-0000-0000311D0000}"/>
    <cellStyle name="Normal 62 3 3" xfId="7548" xr:uid="{00000000-0005-0000-0000-0000321D0000}"/>
    <cellStyle name="Normal 62 3 3 2" xfId="7549" xr:uid="{00000000-0005-0000-0000-0000331D0000}"/>
    <cellStyle name="Normal 62 3 3 2 2" xfId="7550" xr:uid="{00000000-0005-0000-0000-0000341D0000}"/>
    <cellStyle name="Normal 62 3 3 3" xfId="7551" xr:uid="{00000000-0005-0000-0000-0000351D0000}"/>
    <cellStyle name="Normal 62 3 4" xfId="7552" xr:uid="{00000000-0005-0000-0000-0000361D0000}"/>
    <cellStyle name="Normal 62 3 4 2" xfId="7553" xr:uid="{00000000-0005-0000-0000-0000371D0000}"/>
    <cellStyle name="Normal 62 3 5" xfId="7554" xr:uid="{00000000-0005-0000-0000-0000381D0000}"/>
    <cellStyle name="Normal 62 4" xfId="7555" xr:uid="{00000000-0005-0000-0000-0000391D0000}"/>
    <cellStyle name="Normal 62 4 2" xfId="7556" xr:uid="{00000000-0005-0000-0000-00003A1D0000}"/>
    <cellStyle name="Normal 62 4 2 2" xfId="7557" xr:uid="{00000000-0005-0000-0000-00003B1D0000}"/>
    <cellStyle name="Normal 62 4 2 2 2" xfId="7558" xr:uid="{00000000-0005-0000-0000-00003C1D0000}"/>
    <cellStyle name="Normal 62 4 2 2 2 2" xfId="7559" xr:uid="{00000000-0005-0000-0000-00003D1D0000}"/>
    <cellStyle name="Normal 62 4 2 2 3" xfId="7560" xr:uid="{00000000-0005-0000-0000-00003E1D0000}"/>
    <cellStyle name="Normal 62 4 2 3" xfId="7561" xr:uid="{00000000-0005-0000-0000-00003F1D0000}"/>
    <cellStyle name="Normal 62 4 2 3 2" xfId="7562" xr:uid="{00000000-0005-0000-0000-0000401D0000}"/>
    <cellStyle name="Normal 62 4 2 4" xfId="7563" xr:uid="{00000000-0005-0000-0000-0000411D0000}"/>
    <cellStyle name="Normal 62 4 3" xfId="7564" xr:uid="{00000000-0005-0000-0000-0000421D0000}"/>
    <cellStyle name="Normal 62 4 3 2" xfId="7565" xr:uid="{00000000-0005-0000-0000-0000431D0000}"/>
    <cellStyle name="Normal 62 4 3 2 2" xfId="7566" xr:uid="{00000000-0005-0000-0000-0000441D0000}"/>
    <cellStyle name="Normal 62 4 3 3" xfId="7567" xr:uid="{00000000-0005-0000-0000-0000451D0000}"/>
    <cellStyle name="Normal 62 4 4" xfId="7568" xr:uid="{00000000-0005-0000-0000-0000461D0000}"/>
    <cellStyle name="Normal 62 4 4 2" xfId="7569" xr:uid="{00000000-0005-0000-0000-0000471D0000}"/>
    <cellStyle name="Normal 62 4 5" xfId="7570" xr:uid="{00000000-0005-0000-0000-0000481D0000}"/>
    <cellStyle name="Normal 62 5" xfId="7571" xr:uid="{00000000-0005-0000-0000-0000491D0000}"/>
    <cellStyle name="Normal 62 5 2" xfId="7572" xr:uid="{00000000-0005-0000-0000-00004A1D0000}"/>
    <cellStyle name="Normal 62 5 2 2" xfId="7573" xr:uid="{00000000-0005-0000-0000-00004B1D0000}"/>
    <cellStyle name="Normal 62 5 2 2 2" xfId="7574" xr:uid="{00000000-0005-0000-0000-00004C1D0000}"/>
    <cellStyle name="Normal 62 5 2 2 2 2" xfId="7575" xr:uid="{00000000-0005-0000-0000-00004D1D0000}"/>
    <cellStyle name="Normal 62 5 2 2 3" xfId="7576" xr:uid="{00000000-0005-0000-0000-00004E1D0000}"/>
    <cellStyle name="Normal 62 5 2 3" xfId="7577" xr:uid="{00000000-0005-0000-0000-00004F1D0000}"/>
    <cellStyle name="Normal 62 5 2 3 2" xfId="7578" xr:uid="{00000000-0005-0000-0000-0000501D0000}"/>
    <cellStyle name="Normal 62 5 2 4" xfId="7579" xr:uid="{00000000-0005-0000-0000-0000511D0000}"/>
    <cellStyle name="Normal 62 5 3" xfId="7580" xr:uid="{00000000-0005-0000-0000-0000521D0000}"/>
    <cellStyle name="Normal 62 5 3 2" xfId="7581" xr:uid="{00000000-0005-0000-0000-0000531D0000}"/>
    <cellStyle name="Normal 62 5 3 2 2" xfId="7582" xr:uid="{00000000-0005-0000-0000-0000541D0000}"/>
    <cellStyle name="Normal 62 5 3 3" xfId="7583" xr:uid="{00000000-0005-0000-0000-0000551D0000}"/>
    <cellStyle name="Normal 62 5 4" xfId="7584" xr:uid="{00000000-0005-0000-0000-0000561D0000}"/>
    <cellStyle name="Normal 62 5 4 2" xfId="7585" xr:uid="{00000000-0005-0000-0000-0000571D0000}"/>
    <cellStyle name="Normal 62 5 5" xfId="7586" xr:uid="{00000000-0005-0000-0000-0000581D0000}"/>
    <cellStyle name="Normal 62 6" xfId="7587" xr:uid="{00000000-0005-0000-0000-0000591D0000}"/>
    <cellStyle name="Normal 62 6 2" xfId="7588" xr:uid="{00000000-0005-0000-0000-00005A1D0000}"/>
    <cellStyle name="Normal 62 6 2 2" xfId="7589" xr:uid="{00000000-0005-0000-0000-00005B1D0000}"/>
    <cellStyle name="Normal 62 6 2 2 2" xfId="7590" xr:uid="{00000000-0005-0000-0000-00005C1D0000}"/>
    <cellStyle name="Normal 62 6 2 3" xfId="7591" xr:uid="{00000000-0005-0000-0000-00005D1D0000}"/>
    <cellStyle name="Normal 62 6 3" xfId="7592" xr:uid="{00000000-0005-0000-0000-00005E1D0000}"/>
    <cellStyle name="Normal 62 6 3 2" xfId="7593" xr:uid="{00000000-0005-0000-0000-00005F1D0000}"/>
    <cellStyle name="Normal 62 6 4" xfId="7594" xr:uid="{00000000-0005-0000-0000-0000601D0000}"/>
    <cellStyle name="Normal 62 7" xfId="7595" xr:uid="{00000000-0005-0000-0000-0000611D0000}"/>
    <cellStyle name="Normal 62 7 2" xfId="7596" xr:uid="{00000000-0005-0000-0000-0000621D0000}"/>
    <cellStyle name="Normal 62 7 2 2" xfId="7597" xr:uid="{00000000-0005-0000-0000-0000631D0000}"/>
    <cellStyle name="Normal 62 7 3" xfId="7598" xr:uid="{00000000-0005-0000-0000-0000641D0000}"/>
    <cellStyle name="Normal 62 8" xfId="7599" xr:uid="{00000000-0005-0000-0000-0000651D0000}"/>
    <cellStyle name="Normal 62 8 2" xfId="7600" xr:uid="{00000000-0005-0000-0000-0000661D0000}"/>
    <cellStyle name="Normal 62 9" xfId="7601" xr:uid="{00000000-0005-0000-0000-0000671D0000}"/>
    <cellStyle name="Normal 63" xfId="7602" xr:uid="{00000000-0005-0000-0000-0000681D0000}"/>
    <cellStyle name="Normal 63 2" xfId="7603" xr:uid="{00000000-0005-0000-0000-0000691D0000}"/>
    <cellStyle name="Normal 63 2 2" xfId="7604" xr:uid="{00000000-0005-0000-0000-00006A1D0000}"/>
    <cellStyle name="Normal 63 3" xfId="7605" xr:uid="{00000000-0005-0000-0000-00006B1D0000}"/>
    <cellStyle name="Normal 63 3 2" xfId="7606" xr:uid="{00000000-0005-0000-0000-00006C1D0000}"/>
    <cellStyle name="Normal 63 3 2 2" xfId="7607" xr:uid="{00000000-0005-0000-0000-00006D1D0000}"/>
    <cellStyle name="Normal 63 3 2 2 2" xfId="7608" xr:uid="{00000000-0005-0000-0000-00006E1D0000}"/>
    <cellStyle name="Normal 63 3 2 2 2 2" xfId="7609" xr:uid="{00000000-0005-0000-0000-00006F1D0000}"/>
    <cellStyle name="Normal 63 3 2 2 3" xfId="7610" xr:uid="{00000000-0005-0000-0000-0000701D0000}"/>
    <cellStyle name="Normal 63 3 2 3" xfId="7611" xr:uid="{00000000-0005-0000-0000-0000711D0000}"/>
    <cellStyle name="Normal 63 3 2 3 2" xfId="7612" xr:uid="{00000000-0005-0000-0000-0000721D0000}"/>
    <cellStyle name="Normal 63 3 2 4" xfId="7613" xr:uid="{00000000-0005-0000-0000-0000731D0000}"/>
    <cellStyle name="Normal 63 3 3" xfId="7614" xr:uid="{00000000-0005-0000-0000-0000741D0000}"/>
    <cellStyle name="Normal 63 3 3 2" xfId="7615" xr:uid="{00000000-0005-0000-0000-0000751D0000}"/>
    <cellStyle name="Normal 63 3 3 2 2" xfId="7616" xr:uid="{00000000-0005-0000-0000-0000761D0000}"/>
    <cellStyle name="Normal 63 3 3 3" xfId="7617" xr:uid="{00000000-0005-0000-0000-0000771D0000}"/>
    <cellStyle name="Normal 63 3 4" xfId="7618" xr:uid="{00000000-0005-0000-0000-0000781D0000}"/>
    <cellStyle name="Normal 63 3 4 2" xfId="7619" xr:uid="{00000000-0005-0000-0000-0000791D0000}"/>
    <cellStyle name="Normal 63 3 5" xfId="7620" xr:uid="{00000000-0005-0000-0000-00007A1D0000}"/>
    <cellStyle name="Normal 63 4" xfId="7621" xr:uid="{00000000-0005-0000-0000-00007B1D0000}"/>
    <cellStyle name="Normal 63 4 2" xfId="7622" xr:uid="{00000000-0005-0000-0000-00007C1D0000}"/>
    <cellStyle name="Normal 63 4 2 2" xfId="7623" xr:uid="{00000000-0005-0000-0000-00007D1D0000}"/>
    <cellStyle name="Normal 63 4 2 2 2" xfId="7624" xr:uid="{00000000-0005-0000-0000-00007E1D0000}"/>
    <cellStyle name="Normal 63 4 2 2 2 2" xfId="7625" xr:uid="{00000000-0005-0000-0000-00007F1D0000}"/>
    <cellStyle name="Normal 63 4 2 2 3" xfId="7626" xr:uid="{00000000-0005-0000-0000-0000801D0000}"/>
    <cellStyle name="Normal 63 4 2 3" xfId="7627" xr:uid="{00000000-0005-0000-0000-0000811D0000}"/>
    <cellStyle name="Normal 63 4 2 3 2" xfId="7628" xr:uid="{00000000-0005-0000-0000-0000821D0000}"/>
    <cellStyle name="Normal 63 4 2 4" xfId="7629" xr:uid="{00000000-0005-0000-0000-0000831D0000}"/>
    <cellStyle name="Normal 63 4 3" xfId="7630" xr:uid="{00000000-0005-0000-0000-0000841D0000}"/>
    <cellStyle name="Normal 63 4 3 2" xfId="7631" xr:uid="{00000000-0005-0000-0000-0000851D0000}"/>
    <cellStyle name="Normal 63 4 3 2 2" xfId="7632" xr:uid="{00000000-0005-0000-0000-0000861D0000}"/>
    <cellStyle name="Normal 63 4 3 3" xfId="7633" xr:uid="{00000000-0005-0000-0000-0000871D0000}"/>
    <cellStyle name="Normal 63 4 4" xfId="7634" xr:uid="{00000000-0005-0000-0000-0000881D0000}"/>
    <cellStyle name="Normal 63 4 4 2" xfId="7635" xr:uid="{00000000-0005-0000-0000-0000891D0000}"/>
    <cellStyle name="Normal 63 4 5" xfId="7636" xr:uid="{00000000-0005-0000-0000-00008A1D0000}"/>
    <cellStyle name="Normal 63 5" xfId="7637" xr:uid="{00000000-0005-0000-0000-00008B1D0000}"/>
    <cellStyle name="Normal 63 5 2" xfId="7638" xr:uid="{00000000-0005-0000-0000-00008C1D0000}"/>
    <cellStyle name="Normal 63 5 2 2" xfId="7639" xr:uid="{00000000-0005-0000-0000-00008D1D0000}"/>
    <cellStyle name="Normal 63 5 2 2 2" xfId="7640" xr:uid="{00000000-0005-0000-0000-00008E1D0000}"/>
    <cellStyle name="Normal 63 5 2 2 2 2" xfId="7641" xr:uid="{00000000-0005-0000-0000-00008F1D0000}"/>
    <cellStyle name="Normal 63 5 2 2 3" xfId="7642" xr:uid="{00000000-0005-0000-0000-0000901D0000}"/>
    <cellStyle name="Normal 63 5 2 3" xfId="7643" xr:uid="{00000000-0005-0000-0000-0000911D0000}"/>
    <cellStyle name="Normal 63 5 2 3 2" xfId="7644" xr:uid="{00000000-0005-0000-0000-0000921D0000}"/>
    <cellStyle name="Normal 63 5 2 4" xfId="7645" xr:uid="{00000000-0005-0000-0000-0000931D0000}"/>
    <cellStyle name="Normal 63 5 3" xfId="7646" xr:uid="{00000000-0005-0000-0000-0000941D0000}"/>
    <cellStyle name="Normal 63 5 3 2" xfId="7647" xr:uid="{00000000-0005-0000-0000-0000951D0000}"/>
    <cellStyle name="Normal 63 5 3 2 2" xfId="7648" xr:uid="{00000000-0005-0000-0000-0000961D0000}"/>
    <cellStyle name="Normal 63 5 3 3" xfId="7649" xr:uid="{00000000-0005-0000-0000-0000971D0000}"/>
    <cellStyle name="Normal 63 5 4" xfId="7650" xr:uid="{00000000-0005-0000-0000-0000981D0000}"/>
    <cellStyle name="Normal 63 5 4 2" xfId="7651" xr:uid="{00000000-0005-0000-0000-0000991D0000}"/>
    <cellStyle name="Normal 63 5 5" xfId="7652" xr:uid="{00000000-0005-0000-0000-00009A1D0000}"/>
    <cellStyle name="Normal 63 6" xfId="7653" xr:uid="{00000000-0005-0000-0000-00009B1D0000}"/>
    <cellStyle name="Normal 63 6 2" xfId="7654" xr:uid="{00000000-0005-0000-0000-00009C1D0000}"/>
    <cellStyle name="Normal 63 6 2 2" xfId="7655" xr:uid="{00000000-0005-0000-0000-00009D1D0000}"/>
    <cellStyle name="Normal 63 6 2 2 2" xfId="7656" xr:uid="{00000000-0005-0000-0000-00009E1D0000}"/>
    <cellStyle name="Normal 63 6 2 3" xfId="7657" xr:uid="{00000000-0005-0000-0000-00009F1D0000}"/>
    <cellStyle name="Normal 63 6 3" xfId="7658" xr:uid="{00000000-0005-0000-0000-0000A01D0000}"/>
    <cellStyle name="Normal 63 6 3 2" xfId="7659" xr:uid="{00000000-0005-0000-0000-0000A11D0000}"/>
    <cellStyle name="Normal 63 6 4" xfId="7660" xr:uid="{00000000-0005-0000-0000-0000A21D0000}"/>
    <cellStyle name="Normal 63 7" xfId="7661" xr:uid="{00000000-0005-0000-0000-0000A31D0000}"/>
    <cellStyle name="Normal 63 7 2" xfId="7662" xr:uid="{00000000-0005-0000-0000-0000A41D0000}"/>
    <cellStyle name="Normal 63 7 2 2" xfId="7663" xr:uid="{00000000-0005-0000-0000-0000A51D0000}"/>
    <cellStyle name="Normal 63 7 3" xfId="7664" xr:uid="{00000000-0005-0000-0000-0000A61D0000}"/>
    <cellStyle name="Normal 63 8" xfId="7665" xr:uid="{00000000-0005-0000-0000-0000A71D0000}"/>
    <cellStyle name="Normal 63 8 2" xfId="7666" xr:uid="{00000000-0005-0000-0000-0000A81D0000}"/>
    <cellStyle name="Normal 63 9" xfId="7667" xr:uid="{00000000-0005-0000-0000-0000A91D0000}"/>
    <cellStyle name="Normal 64" xfId="7668" xr:uid="{00000000-0005-0000-0000-0000AA1D0000}"/>
    <cellStyle name="Normal 64 2" xfId="7669" xr:uid="{00000000-0005-0000-0000-0000AB1D0000}"/>
    <cellStyle name="Normal 64 2 2" xfId="7670" xr:uid="{00000000-0005-0000-0000-0000AC1D0000}"/>
    <cellStyle name="Normal 64 3" xfId="7671" xr:uid="{00000000-0005-0000-0000-0000AD1D0000}"/>
    <cellStyle name="Normal 64 3 2" xfId="7672" xr:uid="{00000000-0005-0000-0000-0000AE1D0000}"/>
    <cellStyle name="Normal 64 3 2 2" xfId="7673" xr:uid="{00000000-0005-0000-0000-0000AF1D0000}"/>
    <cellStyle name="Normal 64 3 2 2 2" xfId="7674" xr:uid="{00000000-0005-0000-0000-0000B01D0000}"/>
    <cellStyle name="Normal 64 3 2 2 2 2" xfId="7675" xr:uid="{00000000-0005-0000-0000-0000B11D0000}"/>
    <cellStyle name="Normal 64 3 2 2 3" xfId="7676" xr:uid="{00000000-0005-0000-0000-0000B21D0000}"/>
    <cellStyle name="Normal 64 3 2 3" xfId="7677" xr:uid="{00000000-0005-0000-0000-0000B31D0000}"/>
    <cellStyle name="Normal 64 3 2 3 2" xfId="7678" xr:uid="{00000000-0005-0000-0000-0000B41D0000}"/>
    <cellStyle name="Normal 64 3 2 4" xfId="7679" xr:uid="{00000000-0005-0000-0000-0000B51D0000}"/>
    <cellStyle name="Normal 64 3 3" xfId="7680" xr:uid="{00000000-0005-0000-0000-0000B61D0000}"/>
    <cellStyle name="Normal 64 3 3 2" xfId="7681" xr:uid="{00000000-0005-0000-0000-0000B71D0000}"/>
    <cellStyle name="Normal 64 3 3 2 2" xfId="7682" xr:uid="{00000000-0005-0000-0000-0000B81D0000}"/>
    <cellStyle name="Normal 64 3 3 3" xfId="7683" xr:uid="{00000000-0005-0000-0000-0000B91D0000}"/>
    <cellStyle name="Normal 64 3 4" xfId="7684" xr:uid="{00000000-0005-0000-0000-0000BA1D0000}"/>
    <cellStyle name="Normal 64 3 4 2" xfId="7685" xr:uid="{00000000-0005-0000-0000-0000BB1D0000}"/>
    <cellStyle name="Normal 64 3 5" xfId="7686" xr:uid="{00000000-0005-0000-0000-0000BC1D0000}"/>
    <cellStyle name="Normal 64 4" xfId="7687" xr:uid="{00000000-0005-0000-0000-0000BD1D0000}"/>
    <cellStyle name="Normal 64 4 2" xfId="7688" xr:uid="{00000000-0005-0000-0000-0000BE1D0000}"/>
    <cellStyle name="Normal 64 4 2 2" xfId="7689" xr:uid="{00000000-0005-0000-0000-0000BF1D0000}"/>
    <cellStyle name="Normal 64 4 2 2 2" xfId="7690" xr:uid="{00000000-0005-0000-0000-0000C01D0000}"/>
    <cellStyle name="Normal 64 4 2 2 2 2" xfId="7691" xr:uid="{00000000-0005-0000-0000-0000C11D0000}"/>
    <cellStyle name="Normal 64 4 2 2 3" xfId="7692" xr:uid="{00000000-0005-0000-0000-0000C21D0000}"/>
    <cellStyle name="Normal 64 4 2 3" xfId="7693" xr:uid="{00000000-0005-0000-0000-0000C31D0000}"/>
    <cellStyle name="Normal 64 4 2 3 2" xfId="7694" xr:uid="{00000000-0005-0000-0000-0000C41D0000}"/>
    <cellStyle name="Normal 64 4 2 4" xfId="7695" xr:uid="{00000000-0005-0000-0000-0000C51D0000}"/>
    <cellStyle name="Normal 64 4 3" xfId="7696" xr:uid="{00000000-0005-0000-0000-0000C61D0000}"/>
    <cellStyle name="Normal 64 4 3 2" xfId="7697" xr:uid="{00000000-0005-0000-0000-0000C71D0000}"/>
    <cellStyle name="Normal 64 4 3 2 2" xfId="7698" xr:uid="{00000000-0005-0000-0000-0000C81D0000}"/>
    <cellStyle name="Normal 64 4 3 3" xfId="7699" xr:uid="{00000000-0005-0000-0000-0000C91D0000}"/>
    <cellStyle name="Normal 64 4 4" xfId="7700" xr:uid="{00000000-0005-0000-0000-0000CA1D0000}"/>
    <cellStyle name="Normal 64 4 4 2" xfId="7701" xr:uid="{00000000-0005-0000-0000-0000CB1D0000}"/>
    <cellStyle name="Normal 64 4 5" xfId="7702" xr:uid="{00000000-0005-0000-0000-0000CC1D0000}"/>
    <cellStyle name="Normal 64 5" xfId="7703" xr:uid="{00000000-0005-0000-0000-0000CD1D0000}"/>
    <cellStyle name="Normal 64 5 2" xfId="7704" xr:uid="{00000000-0005-0000-0000-0000CE1D0000}"/>
    <cellStyle name="Normal 64 5 2 2" xfId="7705" xr:uid="{00000000-0005-0000-0000-0000CF1D0000}"/>
    <cellStyle name="Normal 64 5 2 2 2" xfId="7706" xr:uid="{00000000-0005-0000-0000-0000D01D0000}"/>
    <cellStyle name="Normal 64 5 2 2 2 2" xfId="7707" xr:uid="{00000000-0005-0000-0000-0000D11D0000}"/>
    <cellStyle name="Normal 64 5 2 2 3" xfId="7708" xr:uid="{00000000-0005-0000-0000-0000D21D0000}"/>
    <cellStyle name="Normal 64 5 2 3" xfId="7709" xr:uid="{00000000-0005-0000-0000-0000D31D0000}"/>
    <cellStyle name="Normal 64 5 2 3 2" xfId="7710" xr:uid="{00000000-0005-0000-0000-0000D41D0000}"/>
    <cellStyle name="Normal 64 5 2 4" xfId="7711" xr:uid="{00000000-0005-0000-0000-0000D51D0000}"/>
    <cellStyle name="Normal 64 5 3" xfId="7712" xr:uid="{00000000-0005-0000-0000-0000D61D0000}"/>
    <cellStyle name="Normal 64 5 3 2" xfId="7713" xr:uid="{00000000-0005-0000-0000-0000D71D0000}"/>
    <cellStyle name="Normal 64 5 3 2 2" xfId="7714" xr:uid="{00000000-0005-0000-0000-0000D81D0000}"/>
    <cellStyle name="Normal 64 5 3 3" xfId="7715" xr:uid="{00000000-0005-0000-0000-0000D91D0000}"/>
    <cellStyle name="Normal 64 5 4" xfId="7716" xr:uid="{00000000-0005-0000-0000-0000DA1D0000}"/>
    <cellStyle name="Normal 64 5 4 2" xfId="7717" xr:uid="{00000000-0005-0000-0000-0000DB1D0000}"/>
    <cellStyle name="Normal 64 5 5" xfId="7718" xr:uid="{00000000-0005-0000-0000-0000DC1D0000}"/>
    <cellStyle name="Normal 64 6" xfId="7719" xr:uid="{00000000-0005-0000-0000-0000DD1D0000}"/>
    <cellStyle name="Normal 64 6 2" xfId="7720" xr:uid="{00000000-0005-0000-0000-0000DE1D0000}"/>
    <cellStyle name="Normal 64 6 2 2" xfId="7721" xr:uid="{00000000-0005-0000-0000-0000DF1D0000}"/>
    <cellStyle name="Normal 64 6 2 2 2" xfId="7722" xr:uid="{00000000-0005-0000-0000-0000E01D0000}"/>
    <cellStyle name="Normal 64 6 2 3" xfId="7723" xr:uid="{00000000-0005-0000-0000-0000E11D0000}"/>
    <cellStyle name="Normal 64 6 3" xfId="7724" xr:uid="{00000000-0005-0000-0000-0000E21D0000}"/>
    <cellStyle name="Normal 64 6 3 2" xfId="7725" xr:uid="{00000000-0005-0000-0000-0000E31D0000}"/>
    <cellStyle name="Normal 64 6 4" xfId="7726" xr:uid="{00000000-0005-0000-0000-0000E41D0000}"/>
    <cellStyle name="Normal 64 7" xfId="7727" xr:uid="{00000000-0005-0000-0000-0000E51D0000}"/>
    <cellStyle name="Normal 64 7 2" xfId="7728" xr:uid="{00000000-0005-0000-0000-0000E61D0000}"/>
    <cellStyle name="Normal 64 7 2 2" xfId="7729" xr:uid="{00000000-0005-0000-0000-0000E71D0000}"/>
    <cellStyle name="Normal 64 7 3" xfId="7730" xr:uid="{00000000-0005-0000-0000-0000E81D0000}"/>
    <cellStyle name="Normal 64 8" xfId="7731" xr:uid="{00000000-0005-0000-0000-0000E91D0000}"/>
    <cellStyle name="Normal 64 8 2" xfId="7732" xr:uid="{00000000-0005-0000-0000-0000EA1D0000}"/>
    <cellStyle name="Normal 64 9" xfId="7733" xr:uid="{00000000-0005-0000-0000-0000EB1D0000}"/>
    <cellStyle name="Normal 65" xfId="7734" xr:uid="{00000000-0005-0000-0000-0000EC1D0000}"/>
    <cellStyle name="Normal 65 2" xfId="7735" xr:uid="{00000000-0005-0000-0000-0000ED1D0000}"/>
    <cellStyle name="Normal 65 2 2" xfId="7736" xr:uid="{00000000-0005-0000-0000-0000EE1D0000}"/>
    <cellStyle name="Normal 65 3" xfId="7737" xr:uid="{00000000-0005-0000-0000-0000EF1D0000}"/>
    <cellStyle name="Normal 65 3 2" xfId="7738" xr:uid="{00000000-0005-0000-0000-0000F01D0000}"/>
    <cellStyle name="Normal 65 3 2 2" xfId="7739" xr:uid="{00000000-0005-0000-0000-0000F11D0000}"/>
    <cellStyle name="Normal 65 3 2 2 2" xfId="7740" xr:uid="{00000000-0005-0000-0000-0000F21D0000}"/>
    <cellStyle name="Normal 65 3 2 2 2 2" xfId="7741" xr:uid="{00000000-0005-0000-0000-0000F31D0000}"/>
    <cellStyle name="Normal 65 3 2 2 3" xfId="7742" xr:uid="{00000000-0005-0000-0000-0000F41D0000}"/>
    <cellStyle name="Normal 65 3 2 3" xfId="7743" xr:uid="{00000000-0005-0000-0000-0000F51D0000}"/>
    <cellStyle name="Normal 65 3 2 3 2" xfId="7744" xr:uid="{00000000-0005-0000-0000-0000F61D0000}"/>
    <cellStyle name="Normal 65 3 2 4" xfId="7745" xr:uid="{00000000-0005-0000-0000-0000F71D0000}"/>
    <cellStyle name="Normal 65 3 3" xfId="7746" xr:uid="{00000000-0005-0000-0000-0000F81D0000}"/>
    <cellStyle name="Normal 65 3 3 2" xfId="7747" xr:uid="{00000000-0005-0000-0000-0000F91D0000}"/>
    <cellStyle name="Normal 65 3 3 2 2" xfId="7748" xr:uid="{00000000-0005-0000-0000-0000FA1D0000}"/>
    <cellStyle name="Normal 65 3 3 3" xfId="7749" xr:uid="{00000000-0005-0000-0000-0000FB1D0000}"/>
    <cellStyle name="Normal 65 3 4" xfId="7750" xr:uid="{00000000-0005-0000-0000-0000FC1D0000}"/>
    <cellStyle name="Normal 65 3 4 2" xfId="7751" xr:uid="{00000000-0005-0000-0000-0000FD1D0000}"/>
    <cellStyle name="Normal 65 3 5" xfId="7752" xr:uid="{00000000-0005-0000-0000-0000FE1D0000}"/>
    <cellStyle name="Normal 65 4" xfId="7753" xr:uid="{00000000-0005-0000-0000-0000FF1D0000}"/>
    <cellStyle name="Normal 65 4 2" xfId="7754" xr:uid="{00000000-0005-0000-0000-0000001E0000}"/>
    <cellStyle name="Normal 65 4 2 2" xfId="7755" xr:uid="{00000000-0005-0000-0000-0000011E0000}"/>
    <cellStyle name="Normal 65 4 2 2 2" xfId="7756" xr:uid="{00000000-0005-0000-0000-0000021E0000}"/>
    <cellStyle name="Normal 65 4 2 2 2 2" xfId="7757" xr:uid="{00000000-0005-0000-0000-0000031E0000}"/>
    <cellStyle name="Normal 65 4 2 2 3" xfId="7758" xr:uid="{00000000-0005-0000-0000-0000041E0000}"/>
    <cellStyle name="Normal 65 4 2 3" xfId="7759" xr:uid="{00000000-0005-0000-0000-0000051E0000}"/>
    <cellStyle name="Normal 65 4 2 3 2" xfId="7760" xr:uid="{00000000-0005-0000-0000-0000061E0000}"/>
    <cellStyle name="Normal 65 4 2 4" xfId="7761" xr:uid="{00000000-0005-0000-0000-0000071E0000}"/>
    <cellStyle name="Normal 65 4 3" xfId="7762" xr:uid="{00000000-0005-0000-0000-0000081E0000}"/>
    <cellStyle name="Normal 65 4 3 2" xfId="7763" xr:uid="{00000000-0005-0000-0000-0000091E0000}"/>
    <cellStyle name="Normal 65 4 3 2 2" xfId="7764" xr:uid="{00000000-0005-0000-0000-00000A1E0000}"/>
    <cellStyle name="Normal 65 4 3 3" xfId="7765" xr:uid="{00000000-0005-0000-0000-00000B1E0000}"/>
    <cellStyle name="Normal 65 4 4" xfId="7766" xr:uid="{00000000-0005-0000-0000-00000C1E0000}"/>
    <cellStyle name="Normal 65 4 4 2" xfId="7767" xr:uid="{00000000-0005-0000-0000-00000D1E0000}"/>
    <cellStyle name="Normal 65 4 5" xfId="7768" xr:uid="{00000000-0005-0000-0000-00000E1E0000}"/>
    <cellStyle name="Normal 65 5" xfId="7769" xr:uid="{00000000-0005-0000-0000-00000F1E0000}"/>
    <cellStyle name="Normal 65 5 2" xfId="7770" xr:uid="{00000000-0005-0000-0000-0000101E0000}"/>
    <cellStyle name="Normal 65 5 2 2" xfId="7771" xr:uid="{00000000-0005-0000-0000-0000111E0000}"/>
    <cellStyle name="Normal 65 5 2 2 2" xfId="7772" xr:uid="{00000000-0005-0000-0000-0000121E0000}"/>
    <cellStyle name="Normal 65 5 2 2 2 2" xfId="7773" xr:uid="{00000000-0005-0000-0000-0000131E0000}"/>
    <cellStyle name="Normal 65 5 2 2 3" xfId="7774" xr:uid="{00000000-0005-0000-0000-0000141E0000}"/>
    <cellStyle name="Normal 65 5 2 3" xfId="7775" xr:uid="{00000000-0005-0000-0000-0000151E0000}"/>
    <cellStyle name="Normal 65 5 2 3 2" xfId="7776" xr:uid="{00000000-0005-0000-0000-0000161E0000}"/>
    <cellStyle name="Normal 65 5 2 4" xfId="7777" xr:uid="{00000000-0005-0000-0000-0000171E0000}"/>
    <cellStyle name="Normal 65 5 3" xfId="7778" xr:uid="{00000000-0005-0000-0000-0000181E0000}"/>
    <cellStyle name="Normal 65 5 3 2" xfId="7779" xr:uid="{00000000-0005-0000-0000-0000191E0000}"/>
    <cellStyle name="Normal 65 5 3 2 2" xfId="7780" xr:uid="{00000000-0005-0000-0000-00001A1E0000}"/>
    <cellStyle name="Normal 65 5 3 3" xfId="7781" xr:uid="{00000000-0005-0000-0000-00001B1E0000}"/>
    <cellStyle name="Normal 65 5 4" xfId="7782" xr:uid="{00000000-0005-0000-0000-00001C1E0000}"/>
    <cellStyle name="Normal 65 5 4 2" xfId="7783" xr:uid="{00000000-0005-0000-0000-00001D1E0000}"/>
    <cellStyle name="Normal 65 5 5" xfId="7784" xr:uid="{00000000-0005-0000-0000-00001E1E0000}"/>
    <cellStyle name="Normal 65 6" xfId="7785" xr:uid="{00000000-0005-0000-0000-00001F1E0000}"/>
    <cellStyle name="Normal 65 6 2" xfId="7786" xr:uid="{00000000-0005-0000-0000-0000201E0000}"/>
    <cellStyle name="Normal 65 6 2 2" xfId="7787" xr:uid="{00000000-0005-0000-0000-0000211E0000}"/>
    <cellStyle name="Normal 65 6 2 2 2" xfId="7788" xr:uid="{00000000-0005-0000-0000-0000221E0000}"/>
    <cellStyle name="Normal 65 6 2 3" xfId="7789" xr:uid="{00000000-0005-0000-0000-0000231E0000}"/>
    <cellStyle name="Normal 65 6 3" xfId="7790" xr:uid="{00000000-0005-0000-0000-0000241E0000}"/>
    <cellStyle name="Normal 65 6 3 2" xfId="7791" xr:uid="{00000000-0005-0000-0000-0000251E0000}"/>
    <cellStyle name="Normal 65 6 4" xfId="7792" xr:uid="{00000000-0005-0000-0000-0000261E0000}"/>
    <cellStyle name="Normal 65 7" xfId="7793" xr:uid="{00000000-0005-0000-0000-0000271E0000}"/>
    <cellStyle name="Normal 65 7 2" xfId="7794" xr:uid="{00000000-0005-0000-0000-0000281E0000}"/>
    <cellStyle name="Normal 65 7 2 2" xfId="7795" xr:uid="{00000000-0005-0000-0000-0000291E0000}"/>
    <cellStyle name="Normal 65 7 3" xfId="7796" xr:uid="{00000000-0005-0000-0000-00002A1E0000}"/>
    <cellStyle name="Normal 65 8" xfId="7797" xr:uid="{00000000-0005-0000-0000-00002B1E0000}"/>
    <cellStyle name="Normal 65 8 2" xfId="7798" xr:uid="{00000000-0005-0000-0000-00002C1E0000}"/>
    <cellStyle name="Normal 65 9" xfId="7799" xr:uid="{00000000-0005-0000-0000-00002D1E0000}"/>
    <cellStyle name="Normal 66" xfId="7800" xr:uid="{00000000-0005-0000-0000-00002E1E0000}"/>
    <cellStyle name="Normal 66 2" xfId="7801" xr:uid="{00000000-0005-0000-0000-00002F1E0000}"/>
    <cellStyle name="Normal 66 2 2" xfId="7802" xr:uid="{00000000-0005-0000-0000-0000301E0000}"/>
    <cellStyle name="Normal 66 3" xfId="7803" xr:uid="{00000000-0005-0000-0000-0000311E0000}"/>
    <cellStyle name="Normal 66 3 2" xfId="7804" xr:uid="{00000000-0005-0000-0000-0000321E0000}"/>
    <cellStyle name="Normal 66 3 2 2" xfId="7805" xr:uid="{00000000-0005-0000-0000-0000331E0000}"/>
    <cellStyle name="Normal 66 3 2 2 2" xfId="7806" xr:uid="{00000000-0005-0000-0000-0000341E0000}"/>
    <cellStyle name="Normal 66 3 2 2 2 2" xfId="7807" xr:uid="{00000000-0005-0000-0000-0000351E0000}"/>
    <cellStyle name="Normal 66 3 2 2 3" xfId="7808" xr:uid="{00000000-0005-0000-0000-0000361E0000}"/>
    <cellStyle name="Normal 66 3 2 3" xfId="7809" xr:uid="{00000000-0005-0000-0000-0000371E0000}"/>
    <cellStyle name="Normal 66 3 2 3 2" xfId="7810" xr:uid="{00000000-0005-0000-0000-0000381E0000}"/>
    <cellStyle name="Normal 66 3 2 4" xfId="7811" xr:uid="{00000000-0005-0000-0000-0000391E0000}"/>
    <cellStyle name="Normal 66 3 3" xfId="7812" xr:uid="{00000000-0005-0000-0000-00003A1E0000}"/>
    <cellStyle name="Normal 66 3 3 2" xfId="7813" xr:uid="{00000000-0005-0000-0000-00003B1E0000}"/>
    <cellStyle name="Normal 66 3 3 2 2" xfId="7814" xr:uid="{00000000-0005-0000-0000-00003C1E0000}"/>
    <cellStyle name="Normal 66 3 3 3" xfId="7815" xr:uid="{00000000-0005-0000-0000-00003D1E0000}"/>
    <cellStyle name="Normal 66 3 4" xfId="7816" xr:uid="{00000000-0005-0000-0000-00003E1E0000}"/>
    <cellStyle name="Normal 66 3 4 2" xfId="7817" xr:uid="{00000000-0005-0000-0000-00003F1E0000}"/>
    <cellStyle name="Normal 66 3 5" xfId="7818" xr:uid="{00000000-0005-0000-0000-0000401E0000}"/>
    <cellStyle name="Normal 66 4" xfId="7819" xr:uid="{00000000-0005-0000-0000-0000411E0000}"/>
    <cellStyle name="Normal 66 4 2" xfId="7820" xr:uid="{00000000-0005-0000-0000-0000421E0000}"/>
    <cellStyle name="Normal 66 4 2 2" xfId="7821" xr:uid="{00000000-0005-0000-0000-0000431E0000}"/>
    <cellStyle name="Normal 66 4 2 2 2" xfId="7822" xr:uid="{00000000-0005-0000-0000-0000441E0000}"/>
    <cellStyle name="Normal 66 4 2 2 2 2" xfId="7823" xr:uid="{00000000-0005-0000-0000-0000451E0000}"/>
    <cellStyle name="Normal 66 4 2 2 3" xfId="7824" xr:uid="{00000000-0005-0000-0000-0000461E0000}"/>
    <cellStyle name="Normal 66 4 2 3" xfId="7825" xr:uid="{00000000-0005-0000-0000-0000471E0000}"/>
    <cellStyle name="Normal 66 4 2 3 2" xfId="7826" xr:uid="{00000000-0005-0000-0000-0000481E0000}"/>
    <cellStyle name="Normal 66 4 2 4" xfId="7827" xr:uid="{00000000-0005-0000-0000-0000491E0000}"/>
    <cellStyle name="Normal 66 4 3" xfId="7828" xr:uid="{00000000-0005-0000-0000-00004A1E0000}"/>
    <cellStyle name="Normal 66 4 3 2" xfId="7829" xr:uid="{00000000-0005-0000-0000-00004B1E0000}"/>
    <cellStyle name="Normal 66 4 3 2 2" xfId="7830" xr:uid="{00000000-0005-0000-0000-00004C1E0000}"/>
    <cellStyle name="Normal 66 4 3 3" xfId="7831" xr:uid="{00000000-0005-0000-0000-00004D1E0000}"/>
    <cellStyle name="Normal 66 4 4" xfId="7832" xr:uid="{00000000-0005-0000-0000-00004E1E0000}"/>
    <cellStyle name="Normal 66 4 4 2" xfId="7833" xr:uid="{00000000-0005-0000-0000-00004F1E0000}"/>
    <cellStyle name="Normal 66 4 5" xfId="7834" xr:uid="{00000000-0005-0000-0000-0000501E0000}"/>
    <cellStyle name="Normal 66 5" xfId="7835" xr:uid="{00000000-0005-0000-0000-0000511E0000}"/>
    <cellStyle name="Normal 66 5 2" xfId="7836" xr:uid="{00000000-0005-0000-0000-0000521E0000}"/>
    <cellStyle name="Normal 66 5 2 2" xfId="7837" xr:uid="{00000000-0005-0000-0000-0000531E0000}"/>
    <cellStyle name="Normal 66 5 2 2 2" xfId="7838" xr:uid="{00000000-0005-0000-0000-0000541E0000}"/>
    <cellStyle name="Normal 66 5 2 2 2 2" xfId="7839" xr:uid="{00000000-0005-0000-0000-0000551E0000}"/>
    <cellStyle name="Normal 66 5 2 2 3" xfId="7840" xr:uid="{00000000-0005-0000-0000-0000561E0000}"/>
    <cellStyle name="Normal 66 5 2 3" xfId="7841" xr:uid="{00000000-0005-0000-0000-0000571E0000}"/>
    <cellStyle name="Normal 66 5 2 3 2" xfId="7842" xr:uid="{00000000-0005-0000-0000-0000581E0000}"/>
    <cellStyle name="Normal 66 5 2 4" xfId="7843" xr:uid="{00000000-0005-0000-0000-0000591E0000}"/>
    <cellStyle name="Normal 66 5 3" xfId="7844" xr:uid="{00000000-0005-0000-0000-00005A1E0000}"/>
    <cellStyle name="Normal 66 5 3 2" xfId="7845" xr:uid="{00000000-0005-0000-0000-00005B1E0000}"/>
    <cellStyle name="Normal 66 5 3 2 2" xfId="7846" xr:uid="{00000000-0005-0000-0000-00005C1E0000}"/>
    <cellStyle name="Normal 66 5 3 3" xfId="7847" xr:uid="{00000000-0005-0000-0000-00005D1E0000}"/>
    <cellStyle name="Normal 66 5 4" xfId="7848" xr:uid="{00000000-0005-0000-0000-00005E1E0000}"/>
    <cellStyle name="Normal 66 5 4 2" xfId="7849" xr:uid="{00000000-0005-0000-0000-00005F1E0000}"/>
    <cellStyle name="Normal 66 5 5" xfId="7850" xr:uid="{00000000-0005-0000-0000-0000601E0000}"/>
    <cellStyle name="Normal 66 6" xfId="7851" xr:uid="{00000000-0005-0000-0000-0000611E0000}"/>
    <cellStyle name="Normal 66 6 2" xfId="7852" xr:uid="{00000000-0005-0000-0000-0000621E0000}"/>
    <cellStyle name="Normal 66 6 2 2" xfId="7853" xr:uid="{00000000-0005-0000-0000-0000631E0000}"/>
    <cellStyle name="Normal 66 6 2 2 2" xfId="7854" xr:uid="{00000000-0005-0000-0000-0000641E0000}"/>
    <cellStyle name="Normal 66 6 2 3" xfId="7855" xr:uid="{00000000-0005-0000-0000-0000651E0000}"/>
    <cellStyle name="Normal 66 6 3" xfId="7856" xr:uid="{00000000-0005-0000-0000-0000661E0000}"/>
    <cellStyle name="Normal 66 6 3 2" xfId="7857" xr:uid="{00000000-0005-0000-0000-0000671E0000}"/>
    <cellStyle name="Normal 66 6 4" xfId="7858" xr:uid="{00000000-0005-0000-0000-0000681E0000}"/>
    <cellStyle name="Normal 66 7" xfId="7859" xr:uid="{00000000-0005-0000-0000-0000691E0000}"/>
    <cellStyle name="Normal 66 7 2" xfId="7860" xr:uid="{00000000-0005-0000-0000-00006A1E0000}"/>
    <cellStyle name="Normal 66 7 2 2" xfId="7861" xr:uid="{00000000-0005-0000-0000-00006B1E0000}"/>
    <cellStyle name="Normal 66 7 3" xfId="7862" xr:uid="{00000000-0005-0000-0000-00006C1E0000}"/>
    <cellStyle name="Normal 66 8" xfId="7863" xr:uid="{00000000-0005-0000-0000-00006D1E0000}"/>
    <cellStyle name="Normal 66 8 2" xfId="7864" xr:uid="{00000000-0005-0000-0000-00006E1E0000}"/>
    <cellStyle name="Normal 66 9" xfId="7865" xr:uid="{00000000-0005-0000-0000-00006F1E0000}"/>
    <cellStyle name="Normal 67" xfId="7866" xr:uid="{00000000-0005-0000-0000-0000701E0000}"/>
    <cellStyle name="Normal 67 2" xfId="7867" xr:uid="{00000000-0005-0000-0000-0000711E0000}"/>
    <cellStyle name="Normal 67 2 2" xfId="7868" xr:uid="{00000000-0005-0000-0000-0000721E0000}"/>
    <cellStyle name="Normal 67 3" xfId="7869" xr:uid="{00000000-0005-0000-0000-0000731E0000}"/>
    <cellStyle name="Normal 67 3 2" xfId="7870" xr:uid="{00000000-0005-0000-0000-0000741E0000}"/>
    <cellStyle name="Normal 67 3 2 2" xfId="7871" xr:uid="{00000000-0005-0000-0000-0000751E0000}"/>
    <cellStyle name="Normal 67 3 2 2 2" xfId="7872" xr:uid="{00000000-0005-0000-0000-0000761E0000}"/>
    <cellStyle name="Normal 67 3 2 2 2 2" xfId="7873" xr:uid="{00000000-0005-0000-0000-0000771E0000}"/>
    <cellStyle name="Normal 67 3 2 2 3" xfId="7874" xr:uid="{00000000-0005-0000-0000-0000781E0000}"/>
    <cellStyle name="Normal 67 3 2 3" xfId="7875" xr:uid="{00000000-0005-0000-0000-0000791E0000}"/>
    <cellStyle name="Normal 67 3 2 3 2" xfId="7876" xr:uid="{00000000-0005-0000-0000-00007A1E0000}"/>
    <cellStyle name="Normal 67 3 2 4" xfId="7877" xr:uid="{00000000-0005-0000-0000-00007B1E0000}"/>
    <cellStyle name="Normal 67 3 3" xfId="7878" xr:uid="{00000000-0005-0000-0000-00007C1E0000}"/>
    <cellStyle name="Normal 67 3 3 2" xfId="7879" xr:uid="{00000000-0005-0000-0000-00007D1E0000}"/>
    <cellStyle name="Normal 67 3 3 2 2" xfId="7880" xr:uid="{00000000-0005-0000-0000-00007E1E0000}"/>
    <cellStyle name="Normal 67 3 3 3" xfId="7881" xr:uid="{00000000-0005-0000-0000-00007F1E0000}"/>
    <cellStyle name="Normal 67 3 4" xfId="7882" xr:uid="{00000000-0005-0000-0000-0000801E0000}"/>
    <cellStyle name="Normal 67 3 4 2" xfId="7883" xr:uid="{00000000-0005-0000-0000-0000811E0000}"/>
    <cellStyle name="Normal 67 3 5" xfId="7884" xr:uid="{00000000-0005-0000-0000-0000821E0000}"/>
    <cellStyle name="Normal 67 4" xfId="7885" xr:uid="{00000000-0005-0000-0000-0000831E0000}"/>
    <cellStyle name="Normal 67 4 2" xfId="7886" xr:uid="{00000000-0005-0000-0000-0000841E0000}"/>
    <cellStyle name="Normal 67 4 2 2" xfId="7887" xr:uid="{00000000-0005-0000-0000-0000851E0000}"/>
    <cellStyle name="Normal 67 4 2 2 2" xfId="7888" xr:uid="{00000000-0005-0000-0000-0000861E0000}"/>
    <cellStyle name="Normal 67 4 2 2 2 2" xfId="7889" xr:uid="{00000000-0005-0000-0000-0000871E0000}"/>
    <cellStyle name="Normal 67 4 2 2 3" xfId="7890" xr:uid="{00000000-0005-0000-0000-0000881E0000}"/>
    <cellStyle name="Normal 67 4 2 3" xfId="7891" xr:uid="{00000000-0005-0000-0000-0000891E0000}"/>
    <cellStyle name="Normal 67 4 2 3 2" xfId="7892" xr:uid="{00000000-0005-0000-0000-00008A1E0000}"/>
    <cellStyle name="Normal 67 4 2 4" xfId="7893" xr:uid="{00000000-0005-0000-0000-00008B1E0000}"/>
    <cellStyle name="Normal 67 4 3" xfId="7894" xr:uid="{00000000-0005-0000-0000-00008C1E0000}"/>
    <cellStyle name="Normal 67 4 3 2" xfId="7895" xr:uid="{00000000-0005-0000-0000-00008D1E0000}"/>
    <cellStyle name="Normal 67 4 3 2 2" xfId="7896" xr:uid="{00000000-0005-0000-0000-00008E1E0000}"/>
    <cellStyle name="Normal 67 4 3 3" xfId="7897" xr:uid="{00000000-0005-0000-0000-00008F1E0000}"/>
    <cellStyle name="Normal 67 4 4" xfId="7898" xr:uid="{00000000-0005-0000-0000-0000901E0000}"/>
    <cellStyle name="Normal 67 4 4 2" xfId="7899" xr:uid="{00000000-0005-0000-0000-0000911E0000}"/>
    <cellStyle name="Normal 67 4 5" xfId="7900" xr:uid="{00000000-0005-0000-0000-0000921E0000}"/>
    <cellStyle name="Normal 67 5" xfId="7901" xr:uid="{00000000-0005-0000-0000-0000931E0000}"/>
    <cellStyle name="Normal 67 5 2" xfId="7902" xr:uid="{00000000-0005-0000-0000-0000941E0000}"/>
    <cellStyle name="Normal 67 5 2 2" xfId="7903" xr:uid="{00000000-0005-0000-0000-0000951E0000}"/>
    <cellStyle name="Normal 67 5 2 2 2" xfId="7904" xr:uid="{00000000-0005-0000-0000-0000961E0000}"/>
    <cellStyle name="Normal 67 5 2 2 2 2" xfId="7905" xr:uid="{00000000-0005-0000-0000-0000971E0000}"/>
    <cellStyle name="Normal 67 5 2 2 3" xfId="7906" xr:uid="{00000000-0005-0000-0000-0000981E0000}"/>
    <cellStyle name="Normal 67 5 2 3" xfId="7907" xr:uid="{00000000-0005-0000-0000-0000991E0000}"/>
    <cellStyle name="Normal 67 5 2 3 2" xfId="7908" xr:uid="{00000000-0005-0000-0000-00009A1E0000}"/>
    <cellStyle name="Normal 67 5 2 4" xfId="7909" xr:uid="{00000000-0005-0000-0000-00009B1E0000}"/>
    <cellStyle name="Normal 67 5 3" xfId="7910" xr:uid="{00000000-0005-0000-0000-00009C1E0000}"/>
    <cellStyle name="Normal 67 5 3 2" xfId="7911" xr:uid="{00000000-0005-0000-0000-00009D1E0000}"/>
    <cellStyle name="Normal 67 5 3 2 2" xfId="7912" xr:uid="{00000000-0005-0000-0000-00009E1E0000}"/>
    <cellStyle name="Normal 67 5 3 3" xfId="7913" xr:uid="{00000000-0005-0000-0000-00009F1E0000}"/>
    <cellStyle name="Normal 67 5 4" xfId="7914" xr:uid="{00000000-0005-0000-0000-0000A01E0000}"/>
    <cellStyle name="Normal 67 5 4 2" xfId="7915" xr:uid="{00000000-0005-0000-0000-0000A11E0000}"/>
    <cellStyle name="Normal 67 5 5" xfId="7916" xr:uid="{00000000-0005-0000-0000-0000A21E0000}"/>
    <cellStyle name="Normal 67 6" xfId="7917" xr:uid="{00000000-0005-0000-0000-0000A31E0000}"/>
    <cellStyle name="Normal 67 6 2" xfId="7918" xr:uid="{00000000-0005-0000-0000-0000A41E0000}"/>
    <cellStyle name="Normal 67 6 2 2" xfId="7919" xr:uid="{00000000-0005-0000-0000-0000A51E0000}"/>
    <cellStyle name="Normal 67 6 2 2 2" xfId="7920" xr:uid="{00000000-0005-0000-0000-0000A61E0000}"/>
    <cellStyle name="Normal 67 6 2 3" xfId="7921" xr:uid="{00000000-0005-0000-0000-0000A71E0000}"/>
    <cellStyle name="Normal 67 6 3" xfId="7922" xr:uid="{00000000-0005-0000-0000-0000A81E0000}"/>
    <cellStyle name="Normal 67 6 3 2" xfId="7923" xr:uid="{00000000-0005-0000-0000-0000A91E0000}"/>
    <cellStyle name="Normal 67 6 4" xfId="7924" xr:uid="{00000000-0005-0000-0000-0000AA1E0000}"/>
    <cellStyle name="Normal 67 7" xfId="7925" xr:uid="{00000000-0005-0000-0000-0000AB1E0000}"/>
    <cellStyle name="Normal 67 7 2" xfId="7926" xr:uid="{00000000-0005-0000-0000-0000AC1E0000}"/>
    <cellStyle name="Normal 67 7 2 2" xfId="7927" xr:uid="{00000000-0005-0000-0000-0000AD1E0000}"/>
    <cellStyle name="Normal 67 7 3" xfId="7928" xr:uid="{00000000-0005-0000-0000-0000AE1E0000}"/>
    <cellStyle name="Normal 67 8" xfId="7929" xr:uid="{00000000-0005-0000-0000-0000AF1E0000}"/>
    <cellStyle name="Normal 67 8 2" xfId="7930" xr:uid="{00000000-0005-0000-0000-0000B01E0000}"/>
    <cellStyle name="Normal 67 9" xfId="7931" xr:uid="{00000000-0005-0000-0000-0000B11E0000}"/>
    <cellStyle name="Normal 68" xfId="7932" xr:uid="{00000000-0005-0000-0000-0000B21E0000}"/>
    <cellStyle name="Normal 68 2" xfId="7933" xr:uid="{00000000-0005-0000-0000-0000B31E0000}"/>
    <cellStyle name="Normal 68 2 2" xfId="7934" xr:uid="{00000000-0005-0000-0000-0000B41E0000}"/>
    <cellStyle name="Normal 68 3" xfId="7935" xr:uid="{00000000-0005-0000-0000-0000B51E0000}"/>
    <cellStyle name="Normal 68 3 2" xfId="7936" xr:uid="{00000000-0005-0000-0000-0000B61E0000}"/>
    <cellStyle name="Normal 68 3 2 2" xfId="7937" xr:uid="{00000000-0005-0000-0000-0000B71E0000}"/>
    <cellStyle name="Normal 68 3 2 2 2" xfId="7938" xr:uid="{00000000-0005-0000-0000-0000B81E0000}"/>
    <cellStyle name="Normal 68 3 2 2 2 2" xfId="7939" xr:uid="{00000000-0005-0000-0000-0000B91E0000}"/>
    <cellStyle name="Normal 68 3 2 2 3" xfId="7940" xr:uid="{00000000-0005-0000-0000-0000BA1E0000}"/>
    <cellStyle name="Normal 68 3 2 3" xfId="7941" xr:uid="{00000000-0005-0000-0000-0000BB1E0000}"/>
    <cellStyle name="Normal 68 3 2 3 2" xfId="7942" xr:uid="{00000000-0005-0000-0000-0000BC1E0000}"/>
    <cellStyle name="Normal 68 3 2 4" xfId="7943" xr:uid="{00000000-0005-0000-0000-0000BD1E0000}"/>
    <cellStyle name="Normal 68 3 3" xfId="7944" xr:uid="{00000000-0005-0000-0000-0000BE1E0000}"/>
    <cellStyle name="Normal 68 3 3 2" xfId="7945" xr:uid="{00000000-0005-0000-0000-0000BF1E0000}"/>
    <cellStyle name="Normal 68 3 3 2 2" xfId="7946" xr:uid="{00000000-0005-0000-0000-0000C01E0000}"/>
    <cellStyle name="Normal 68 3 3 3" xfId="7947" xr:uid="{00000000-0005-0000-0000-0000C11E0000}"/>
    <cellStyle name="Normal 68 3 4" xfId="7948" xr:uid="{00000000-0005-0000-0000-0000C21E0000}"/>
    <cellStyle name="Normal 68 3 4 2" xfId="7949" xr:uid="{00000000-0005-0000-0000-0000C31E0000}"/>
    <cellStyle name="Normal 68 3 5" xfId="7950" xr:uid="{00000000-0005-0000-0000-0000C41E0000}"/>
    <cellStyle name="Normal 68 4" xfId="7951" xr:uid="{00000000-0005-0000-0000-0000C51E0000}"/>
    <cellStyle name="Normal 68 4 2" xfId="7952" xr:uid="{00000000-0005-0000-0000-0000C61E0000}"/>
    <cellStyle name="Normal 68 4 2 2" xfId="7953" xr:uid="{00000000-0005-0000-0000-0000C71E0000}"/>
    <cellStyle name="Normal 68 4 2 2 2" xfId="7954" xr:uid="{00000000-0005-0000-0000-0000C81E0000}"/>
    <cellStyle name="Normal 68 4 2 2 2 2" xfId="7955" xr:uid="{00000000-0005-0000-0000-0000C91E0000}"/>
    <cellStyle name="Normal 68 4 2 2 3" xfId="7956" xr:uid="{00000000-0005-0000-0000-0000CA1E0000}"/>
    <cellStyle name="Normal 68 4 2 3" xfId="7957" xr:uid="{00000000-0005-0000-0000-0000CB1E0000}"/>
    <cellStyle name="Normal 68 4 2 3 2" xfId="7958" xr:uid="{00000000-0005-0000-0000-0000CC1E0000}"/>
    <cellStyle name="Normal 68 4 2 4" xfId="7959" xr:uid="{00000000-0005-0000-0000-0000CD1E0000}"/>
    <cellStyle name="Normal 68 4 3" xfId="7960" xr:uid="{00000000-0005-0000-0000-0000CE1E0000}"/>
    <cellStyle name="Normal 68 4 3 2" xfId="7961" xr:uid="{00000000-0005-0000-0000-0000CF1E0000}"/>
    <cellStyle name="Normal 68 4 3 2 2" xfId="7962" xr:uid="{00000000-0005-0000-0000-0000D01E0000}"/>
    <cellStyle name="Normal 68 4 3 3" xfId="7963" xr:uid="{00000000-0005-0000-0000-0000D11E0000}"/>
    <cellStyle name="Normal 68 4 4" xfId="7964" xr:uid="{00000000-0005-0000-0000-0000D21E0000}"/>
    <cellStyle name="Normal 68 4 4 2" xfId="7965" xr:uid="{00000000-0005-0000-0000-0000D31E0000}"/>
    <cellStyle name="Normal 68 4 5" xfId="7966" xr:uid="{00000000-0005-0000-0000-0000D41E0000}"/>
    <cellStyle name="Normal 68 5" xfId="7967" xr:uid="{00000000-0005-0000-0000-0000D51E0000}"/>
    <cellStyle name="Normal 68 5 2" xfId="7968" xr:uid="{00000000-0005-0000-0000-0000D61E0000}"/>
    <cellStyle name="Normal 68 5 2 2" xfId="7969" xr:uid="{00000000-0005-0000-0000-0000D71E0000}"/>
    <cellStyle name="Normal 68 5 2 2 2" xfId="7970" xr:uid="{00000000-0005-0000-0000-0000D81E0000}"/>
    <cellStyle name="Normal 68 5 2 2 2 2" xfId="7971" xr:uid="{00000000-0005-0000-0000-0000D91E0000}"/>
    <cellStyle name="Normal 68 5 2 2 3" xfId="7972" xr:uid="{00000000-0005-0000-0000-0000DA1E0000}"/>
    <cellStyle name="Normal 68 5 2 3" xfId="7973" xr:uid="{00000000-0005-0000-0000-0000DB1E0000}"/>
    <cellStyle name="Normal 68 5 2 3 2" xfId="7974" xr:uid="{00000000-0005-0000-0000-0000DC1E0000}"/>
    <cellStyle name="Normal 68 5 2 4" xfId="7975" xr:uid="{00000000-0005-0000-0000-0000DD1E0000}"/>
    <cellStyle name="Normal 68 5 3" xfId="7976" xr:uid="{00000000-0005-0000-0000-0000DE1E0000}"/>
    <cellStyle name="Normal 68 5 3 2" xfId="7977" xr:uid="{00000000-0005-0000-0000-0000DF1E0000}"/>
    <cellStyle name="Normal 68 5 3 2 2" xfId="7978" xr:uid="{00000000-0005-0000-0000-0000E01E0000}"/>
    <cellStyle name="Normal 68 5 3 3" xfId="7979" xr:uid="{00000000-0005-0000-0000-0000E11E0000}"/>
    <cellStyle name="Normal 68 5 4" xfId="7980" xr:uid="{00000000-0005-0000-0000-0000E21E0000}"/>
    <cellStyle name="Normal 68 5 4 2" xfId="7981" xr:uid="{00000000-0005-0000-0000-0000E31E0000}"/>
    <cellStyle name="Normal 68 5 5" xfId="7982" xr:uid="{00000000-0005-0000-0000-0000E41E0000}"/>
    <cellStyle name="Normal 68 6" xfId="7983" xr:uid="{00000000-0005-0000-0000-0000E51E0000}"/>
    <cellStyle name="Normal 68 6 2" xfId="7984" xr:uid="{00000000-0005-0000-0000-0000E61E0000}"/>
    <cellStyle name="Normal 68 6 2 2" xfId="7985" xr:uid="{00000000-0005-0000-0000-0000E71E0000}"/>
    <cellStyle name="Normal 68 6 2 2 2" xfId="7986" xr:uid="{00000000-0005-0000-0000-0000E81E0000}"/>
    <cellStyle name="Normal 68 6 2 3" xfId="7987" xr:uid="{00000000-0005-0000-0000-0000E91E0000}"/>
    <cellStyle name="Normal 68 6 3" xfId="7988" xr:uid="{00000000-0005-0000-0000-0000EA1E0000}"/>
    <cellStyle name="Normal 68 6 3 2" xfId="7989" xr:uid="{00000000-0005-0000-0000-0000EB1E0000}"/>
    <cellStyle name="Normal 68 6 4" xfId="7990" xr:uid="{00000000-0005-0000-0000-0000EC1E0000}"/>
    <cellStyle name="Normal 68 7" xfId="7991" xr:uid="{00000000-0005-0000-0000-0000ED1E0000}"/>
    <cellStyle name="Normal 68 7 2" xfId="7992" xr:uid="{00000000-0005-0000-0000-0000EE1E0000}"/>
    <cellStyle name="Normal 68 7 2 2" xfId="7993" xr:uid="{00000000-0005-0000-0000-0000EF1E0000}"/>
    <cellStyle name="Normal 68 7 3" xfId="7994" xr:uid="{00000000-0005-0000-0000-0000F01E0000}"/>
    <cellStyle name="Normal 68 8" xfId="7995" xr:uid="{00000000-0005-0000-0000-0000F11E0000}"/>
    <cellStyle name="Normal 68 8 2" xfId="7996" xr:uid="{00000000-0005-0000-0000-0000F21E0000}"/>
    <cellStyle name="Normal 68 9" xfId="7997" xr:uid="{00000000-0005-0000-0000-0000F31E0000}"/>
    <cellStyle name="Normal 69" xfId="7998" xr:uid="{00000000-0005-0000-0000-0000F41E0000}"/>
    <cellStyle name="Normal 69 2" xfId="7999" xr:uid="{00000000-0005-0000-0000-0000F51E0000}"/>
    <cellStyle name="Normal 69 2 2" xfId="8000" xr:uid="{00000000-0005-0000-0000-0000F61E0000}"/>
    <cellStyle name="Normal 69 3" xfId="8001" xr:uid="{00000000-0005-0000-0000-0000F71E0000}"/>
    <cellStyle name="Normal 69 3 2" xfId="8002" xr:uid="{00000000-0005-0000-0000-0000F81E0000}"/>
    <cellStyle name="Normal 69 3 2 2" xfId="8003" xr:uid="{00000000-0005-0000-0000-0000F91E0000}"/>
    <cellStyle name="Normal 69 3 2 2 2" xfId="8004" xr:uid="{00000000-0005-0000-0000-0000FA1E0000}"/>
    <cellStyle name="Normal 69 3 2 2 2 2" xfId="8005" xr:uid="{00000000-0005-0000-0000-0000FB1E0000}"/>
    <cellStyle name="Normal 69 3 2 2 3" xfId="8006" xr:uid="{00000000-0005-0000-0000-0000FC1E0000}"/>
    <cellStyle name="Normal 69 3 2 3" xfId="8007" xr:uid="{00000000-0005-0000-0000-0000FD1E0000}"/>
    <cellStyle name="Normal 69 3 2 3 2" xfId="8008" xr:uid="{00000000-0005-0000-0000-0000FE1E0000}"/>
    <cellStyle name="Normal 69 3 2 4" xfId="8009" xr:uid="{00000000-0005-0000-0000-0000FF1E0000}"/>
    <cellStyle name="Normal 69 3 3" xfId="8010" xr:uid="{00000000-0005-0000-0000-0000001F0000}"/>
    <cellStyle name="Normal 69 3 3 2" xfId="8011" xr:uid="{00000000-0005-0000-0000-0000011F0000}"/>
    <cellStyle name="Normal 69 3 3 2 2" xfId="8012" xr:uid="{00000000-0005-0000-0000-0000021F0000}"/>
    <cellStyle name="Normal 69 3 3 3" xfId="8013" xr:uid="{00000000-0005-0000-0000-0000031F0000}"/>
    <cellStyle name="Normal 69 3 4" xfId="8014" xr:uid="{00000000-0005-0000-0000-0000041F0000}"/>
    <cellStyle name="Normal 69 3 4 2" xfId="8015" xr:uid="{00000000-0005-0000-0000-0000051F0000}"/>
    <cellStyle name="Normal 69 3 5" xfId="8016" xr:uid="{00000000-0005-0000-0000-0000061F0000}"/>
    <cellStyle name="Normal 69 4" xfId="8017" xr:uid="{00000000-0005-0000-0000-0000071F0000}"/>
    <cellStyle name="Normal 69 4 2" xfId="8018" xr:uid="{00000000-0005-0000-0000-0000081F0000}"/>
    <cellStyle name="Normal 69 4 2 2" xfId="8019" xr:uid="{00000000-0005-0000-0000-0000091F0000}"/>
    <cellStyle name="Normal 69 4 2 2 2" xfId="8020" xr:uid="{00000000-0005-0000-0000-00000A1F0000}"/>
    <cellStyle name="Normal 69 4 2 2 2 2" xfId="8021" xr:uid="{00000000-0005-0000-0000-00000B1F0000}"/>
    <cellStyle name="Normal 69 4 2 2 3" xfId="8022" xr:uid="{00000000-0005-0000-0000-00000C1F0000}"/>
    <cellStyle name="Normal 69 4 2 3" xfId="8023" xr:uid="{00000000-0005-0000-0000-00000D1F0000}"/>
    <cellStyle name="Normal 69 4 2 3 2" xfId="8024" xr:uid="{00000000-0005-0000-0000-00000E1F0000}"/>
    <cellStyle name="Normal 69 4 2 4" xfId="8025" xr:uid="{00000000-0005-0000-0000-00000F1F0000}"/>
    <cellStyle name="Normal 69 4 3" xfId="8026" xr:uid="{00000000-0005-0000-0000-0000101F0000}"/>
    <cellStyle name="Normal 69 4 3 2" xfId="8027" xr:uid="{00000000-0005-0000-0000-0000111F0000}"/>
    <cellStyle name="Normal 69 4 3 2 2" xfId="8028" xr:uid="{00000000-0005-0000-0000-0000121F0000}"/>
    <cellStyle name="Normal 69 4 3 3" xfId="8029" xr:uid="{00000000-0005-0000-0000-0000131F0000}"/>
    <cellStyle name="Normal 69 4 4" xfId="8030" xr:uid="{00000000-0005-0000-0000-0000141F0000}"/>
    <cellStyle name="Normal 69 4 4 2" xfId="8031" xr:uid="{00000000-0005-0000-0000-0000151F0000}"/>
    <cellStyle name="Normal 69 4 5" xfId="8032" xr:uid="{00000000-0005-0000-0000-0000161F0000}"/>
    <cellStyle name="Normal 69 5" xfId="8033" xr:uid="{00000000-0005-0000-0000-0000171F0000}"/>
    <cellStyle name="Normal 69 5 2" xfId="8034" xr:uid="{00000000-0005-0000-0000-0000181F0000}"/>
    <cellStyle name="Normal 69 5 2 2" xfId="8035" xr:uid="{00000000-0005-0000-0000-0000191F0000}"/>
    <cellStyle name="Normal 69 5 2 2 2" xfId="8036" xr:uid="{00000000-0005-0000-0000-00001A1F0000}"/>
    <cellStyle name="Normal 69 5 2 2 2 2" xfId="8037" xr:uid="{00000000-0005-0000-0000-00001B1F0000}"/>
    <cellStyle name="Normal 69 5 2 2 3" xfId="8038" xr:uid="{00000000-0005-0000-0000-00001C1F0000}"/>
    <cellStyle name="Normal 69 5 2 3" xfId="8039" xr:uid="{00000000-0005-0000-0000-00001D1F0000}"/>
    <cellStyle name="Normal 69 5 2 3 2" xfId="8040" xr:uid="{00000000-0005-0000-0000-00001E1F0000}"/>
    <cellStyle name="Normal 69 5 2 4" xfId="8041" xr:uid="{00000000-0005-0000-0000-00001F1F0000}"/>
    <cellStyle name="Normal 69 5 3" xfId="8042" xr:uid="{00000000-0005-0000-0000-0000201F0000}"/>
    <cellStyle name="Normal 69 5 3 2" xfId="8043" xr:uid="{00000000-0005-0000-0000-0000211F0000}"/>
    <cellStyle name="Normal 69 5 3 2 2" xfId="8044" xr:uid="{00000000-0005-0000-0000-0000221F0000}"/>
    <cellStyle name="Normal 69 5 3 3" xfId="8045" xr:uid="{00000000-0005-0000-0000-0000231F0000}"/>
    <cellStyle name="Normal 69 5 4" xfId="8046" xr:uid="{00000000-0005-0000-0000-0000241F0000}"/>
    <cellStyle name="Normal 69 5 4 2" xfId="8047" xr:uid="{00000000-0005-0000-0000-0000251F0000}"/>
    <cellStyle name="Normal 69 5 5" xfId="8048" xr:uid="{00000000-0005-0000-0000-0000261F0000}"/>
    <cellStyle name="Normal 69 6" xfId="8049" xr:uid="{00000000-0005-0000-0000-0000271F0000}"/>
    <cellStyle name="Normal 69 6 2" xfId="8050" xr:uid="{00000000-0005-0000-0000-0000281F0000}"/>
    <cellStyle name="Normal 69 6 2 2" xfId="8051" xr:uid="{00000000-0005-0000-0000-0000291F0000}"/>
    <cellStyle name="Normal 69 6 2 2 2" xfId="8052" xr:uid="{00000000-0005-0000-0000-00002A1F0000}"/>
    <cellStyle name="Normal 69 6 2 3" xfId="8053" xr:uid="{00000000-0005-0000-0000-00002B1F0000}"/>
    <cellStyle name="Normal 69 6 3" xfId="8054" xr:uid="{00000000-0005-0000-0000-00002C1F0000}"/>
    <cellStyle name="Normal 69 6 3 2" xfId="8055" xr:uid="{00000000-0005-0000-0000-00002D1F0000}"/>
    <cellStyle name="Normal 69 6 4" xfId="8056" xr:uid="{00000000-0005-0000-0000-00002E1F0000}"/>
    <cellStyle name="Normal 69 7" xfId="8057" xr:uid="{00000000-0005-0000-0000-00002F1F0000}"/>
    <cellStyle name="Normal 69 7 2" xfId="8058" xr:uid="{00000000-0005-0000-0000-0000301F0000}"/>
    <cellStyle name="Normal 69 7 2 2" xfId="8059" xr:uid="{00000000-0005-0000-0000-0000311F0000}"/>
    <cellStyle name="Normal 69 7 3" xfId="8060" xr:uid="{00000000-0005-0000-0000-0000321F0000}"/>
    <cellStyle name="Normal 69 8" xfId="8061" xr:uid="{00000000-0005-0000-0000-0000331F0000}"/>
    <cellStyle name="Normal 69 8 2" xfId="8062" xr:uid="{00000000-0005-0000-0000-0000341F0000}"/>
    <cellStyle name="Normal 69 9" xfId="8063" xr:uid="{00000000-0005-0000-0000-0000351F0000}"/>
    <cellStyle name="Normal 7" xfId="303" xr:uid="{00000000-0005-0000-0000-0000361F0000}"/>
    <cellStyle name="Normal 7 2" xfId="304" xr:uid="{00000000-0005-0000-0000-0000371F0000}"/>
    <cellStyle name="Normal 7 2 2" xfId="305" xr:uid="{00000000-0005-0000-0000-0000381F0000}"/>
    <cellStyle name="Normal 7 2 2 2" xfId="8064" xr:uid="{00000000-0005-0000-0000-0000391F0000}"/>
    <cellStyle name="Normal 7 2 2 2 2" xfId="8065" xr:uid="{00000000-0005-0000-0000-00003A1F0000}"/>
    <cellStyle name="Normal 7 2 2 2 2 2" xfId="8066" xr:uid="{00000000-0005-0000-0000-00003B1F0000}"/>
    <cellStyle name="Normal 7 2 2 2 3" xfId="8067" xr:uid="{00000000-0005-0000-0000-00003C1F0000}"/>
    <cellStyle name="Normal 7 2 2 3" xfId="8068" xr:uid="{00000000-0005-0000-0000-00003D1F0000}"/>
    <cellStyle name="Normal 7 2 2 3 2" xfId="8069" xr:uid="{00000000-0005-0000-0000-00003E1F0000}"/>
    <cellStyle name="Normal 7 2 2 4" xfId="8070" xr:uid="{00000000-0005-0000-0000-00003F1F0000}"/>
    <cellStyle name="Normal 7 2 3" xfId="8071" xr:uid="{00000000-0005-0000-0000-0000401F0000}"/>
    <cellStyle name="Normal 7 2 3 2" xfId="8072" xr:uid="{00000000-0005-0000-0000-0000411F0000}"/>
    <cellStyle name="Normal 7 2 3 2 2" xfId="8073" xr:uid="{00000000-0005-0000-0000-0000421F0000}"/>
    <cellStyle name="Normal 7 2 3 3" xfId="8074" xr:uid="{00000000-0005-0000-0000-0000431F0000}"/>
    <cellStyle name="Normal 7 2 4" xfId="8075" xr:uid="{00000000-0005-0000-0000-0000441F0000}"/>
    <cellStyle name="Normal 7 2 4 2" xfId="8076" xr:uid="{00000000-0005-0000-0000-0000451F0000}"/>
    <cellStyle name="Normal 7 2 4 3" xfId="8077" xr:uid="{00000000-0005-0000-0000-0000461F0000}"/>
    <cellStyle name="Normal 7 2 5" xfId="8078" xr:uid="{00000000-0005-0000-0000-0000471F0000}"/>
    <cellStyle name="Normal 7 2 6" xfId="8079" xr:uid="{00000000-0005-0000-0000-0000481F0000}"/>
    <cellStyle name="Normal 7 3" xfId="306" xr:uid="{00000000-0005-0000-0000-0000491F0000}"/>
    <cellStyle name="Normal 7 3 2" xfId="8080" xr:uid="{00000000-0005-0000-0000-00004A1F0000}"/>
    <cellStyle name="Normal 7 3 2 2" xfId="8081" xr:uid="{00000000-0005-0000-0000-00004B1F0000}"/>
    <cellStyle name="Normal 7 3 2 2 2" xfId="8082" xr:uid="{00000000-0005-0000-0000-00004C1F0000}"/>
    <cellStyle name="Normal 7 3 2 2 2 2" xfId="8083" xr:uid="{00000000-0005-0000-0000-00004D1F0000}"/>
    <cellStyle name="Normal 7 3 2 2 3" xfId="8084" xr:uid="{00000000-0005-0000-0000-00004E1F0000}"/>
    <cellStyle name="Normal 7 3 2 3" xfId="8085" xr:uid="{00000000-0005-0000-0000-00004F1F0000}"/>
    <cellStyle name="Normal 7 3 2 3 2" xfId="8086" xr:uid="{00000000-0005-0000-0000-0000501F0000}"/>
    <cellStyle name="Normal 7 3 2 4" xfId="8087" xr:uid="{00000000-0005-0000-0000-0000511F0000}"/>
    <cellStyle name="Normal 7 3 3" xfId="8088" xr:uid="{00000000-0005-0000-0000-0000521F0000}"/>
    <cellStyle name="Normal 7 3 3 2" xfId="8089" xr:uid="{00000000-0005-0000-0000-0000531F0000}"/>
    <cellStyle name="Normal 7 3 3 2 2" xfId="8090" xr:uid="{00000000-0005-0000-0000-0000541F0000}"/>
    <cellStyle name="Normal 7 3 3 3" xfId="8091" xr:uid="{00000000-0005-0000-0000-0000551F0000}"/>
    <cellStyle name="Normal 7 3 4" xfId="8092" xr:uid="{00000000-0005-0000-0000-0000561F0000}"/>
    <cellStyle name="Normal 7 3 4 2" xfId="8093" xr:uid="{00000000-0005-0000-0000-0000571F0000}"/>
    <cellStyle name="Normal 7 3 5" xfId="8094" xr:uid="{00000000-0005-0000-0000-0000581F0000}"/>
    <cellStyle name="Normal 7 4" xfId="307" xr:uid="{00000000-0005-0000-0000-0000591F0000}"/>
    <cellStyle name="Normal 7 4 2" xfId="8095" xr:uid="{00000000-0005-0000-0000-00005A1F0000}"/>
    <cellStyle name="Normal 7 4 2 2" xfId="8096" xr:uid="{00000000-0005-0000-0000-00005B1F0000}"/>
    <cellStyle name="Normal 7 4 2 2 2" xfId="8097" xr:uid="{00000000-0005-0000-0000-00005C1F0000}"/>
    <cellStyle name="Normal 7 4 2 2 2 2" xfId="8098" xr:uid="{00000000-0005-0000-0000-00005D1F0000}"/>
    <cellStyle name="Normal 7 4 2 2 3" xfId="8099" xr:uid="{00000000-0005-0000-0000-00005E1F0000}"/>
    <cellStyle name="Normal 7 4 2 3" xfId="8100" xr:uid="{00000000-0005-0000-0000-00005F1F0000}"/>
    <cellStyle name="Normal 7 4 2 3 2" xfId="8101" xr:uid="{00000000-0005-0000-0000-0000601F0000}"/>
    <cellStyle name="Normal 7 4 2 4" xfId="8102" xr:uid="{00000000-0005-0000-0000-0000611F0000}"/>
    <cellStyle name="Normal 7 4 3" xfId="8103" xr:uid="{00000000-0005-0000-0000-0000621F0000}"/>
    <cellStyle name="Normal 7 4 3 2" xfId="8104" xr:uid="{00000000-0005-0000-0000-0000631F0000}"/>
    <cellStyle name="Normal 7 4 3 2 2" xfId="8105" xr:uid="{00000000-0005-0000-0000-0000641F0000}"/>
    <cellStyle name="Normal 7 4 3 3" xfId="8106" xr:uid="{00000000-0005-0000-0000-0000651F0000}"/>
    <cellStyle name="Normal 7 4 4" xfId="8107" xr:uid="{00000000-0005-0000-0000-0000661F0000}"/>
    <cellStyle name="Normal 7 4 4 2" xfId="8108" xr:uid="{00000000-0005-0000-0000-0000671F0000}"/>
    <cellStyle name="Normal 7 4 5" xfId="8109" xr:uid="{00000000-0005-0000-0000-0000681F0000}"/>
    <cellStyle name="Normal 7 5" xfId="382" xr:uid="{00000000-0005-0000-0000-0000691F0000}"/>
    <cellStyle name="Normal 7 5 2" xfId="8110" xr:uid="{00000000-0005-0000-0000-00006A1F0000}"/>
    <cellStyle name="Normal 7 5 2 2" xfId="8111" xr:uid="{00000000-0005-0000-0000-00006B1F0000}"/>
    <cellStyle name="Normal 7 5 2 2 2" xfId="8112" xr:uid="{00000000-0005-0000-0000-00006C1F0000}"/>
    <cellStyle name="Normal 7 5 2 3" xfId="8113" xr:uid="{00000000-0005-0000-0000-00006D1F0000}"/>
    <cellStyle name="Normal 7 5 3" xfId="8114" xr:uid="{00000000-0005-0000-0000-00006E1F0000}"/>
    <cellStyle name="Normal 7 5 3 2" xfId="8115" xr:uid="{00000000-0005-0000-0000-00006F1F0000}"/>
    <cellStyle name="Normal 7 5 4" xfId="8116" xr:uid="{00000000-0005-0000-0000-0000701F0000}"/>
    <cellStyle name="Normal 7 5 5" xfId="8117" xr:uid="{00000000-0005-0000-0000-0000711F0000}"/>
    <cellStyle name="Normal 7 5 6" xfId="11027" xr:uid="{00000000-0005-0000-0000-0000721F0000}"/>
    <cellStyle name="Normal 7 6" xfId="8118" xr:uid="{00000000-0005-0000-0000-0000731F0000}"/>
    <cellStyle name="Normal 7 6 2" xfId="8119" xr:uid="{00000000-0005-0000-0000-0000741F0000}"/>
    <cellStyle name="Normal 7 6 2 2" xfId="8120" xr:uid="{00000000-0005-0000-0000-0000751F0000}"/>
    <cellStyle name="Normal 7 6 3" xfId="8121" xr:uid="{00000000-0005-0000-0000-0000761F0000}"/>
    <cellStyle name="Normal 7 7" xfId="8122" xr:uid="{00000000-0005-0000-0000-0000771F0000}"/>
    <cellStyle name="Normal 7 7 2" xfId="8123" xr:uid="{00000000-0005-0000-0000-0000781F0000}"/>
    <cellStyle name="Normal 7 8" xfId="8124" xr:uid="{00000000-0005-0000-0000-0000791F0000}"/>
    <cellStyle name="Normal 7 9" xfId="8125" xr:uid="{00000000-0005-0000-0000-00007A1F0000}"/>
    <cellStyle name="Normal 70" xfId="8126" xr:uid="{00000000-0005-0000-0000-00007B1F0000}"/>
    <cellStyle name="Normal 70 2" xfId="8127" xr:uid="{00000000-0005-0000-0000-00007C1F0000}"/>
    <cellStyle name="Normal 70 2 2" xfId="8128" xr:uid="{00000000-0005-0000-0000-00007D1F0000}"/>
    <cellStyle name="Normal 70 3" xfId="8129" xr:uid="{00000000-0005-0000-0000-00007E1F0000}"/>
    <cellStyle name="Normal 70 3 2" xfId="8130" xr:uid="{00000000-0005-0000-0000-00007F1F0000}"/>
    <cellStyle name="Normal 70 3 2 2" xfId="8131" xr:uid="{00000000-0005-0000-0000-0000801F0000}"/>
    <cellStyle name="Normal 70 3 2 2 2" xfId="8132" xr:uid="{00000000-0005-0000-0000-0000811F0000}"/>
    <cellStyle name="Normal 70 3 2 2 2 2" xfId="8133" xr:uid="{00000000-0005-0000-0000-0000821F0000}"/>
    <cellStyle name="Normal 70 3 2 2 3" xfId="8134" xr:uid="{00000000-0005-0000-0000-0000831F0000}"/>
    <cellStyle name="Normal 70 3 2 3" xfId="8135" xr:uid="{00000000-0005-0000-0000-0000841F0000}"/>
    <cellStyle name="Normal 70 3 2 3 2" xfId="8136" xr:uid="{00000000-0005-0000-0000-0000851F0000}"/>
    <cellStyle name="Normal 70 3 2 4" xfId="8137" xr:uid="{00000000-0005-0000-0000-0000861F0000}"/>
    <cellStyle name="Normal 70 3 3" xfId="8138" xr:uid="{00000000-0005-0000-0000-0000871F0000}"/>
    <cellStyle name="Normal 70 3 3 2" xfId="8139" xr:uid="{00000000-0005-0000-0000-0000881F0000}"/>
    <cellStyle name="Normal 70 3 3 2 2" xfId="8140" xr:uid="{00000000-0005-0000-0000-0000891F0000}"/>
    <cellStyle name="Normal 70 3 3 3" xfId="8141" xr:uid="{00000000-0005-0000-0000-00008A1F0000}"/>
    <cellStyle name="Normal 70 3 4" xfId="8142" xr:uid="{00000000-0005-0000-0000-00008B1F0000}"/>
    <cellStyle name="Normal 70 3 4 2" xfId="8143" xr:uid="{00000000-0005-0000-0000-00008C1F0000}"/>
    <cellStyle name="Normal 70 3 5" xfId="8144" xr:uid="{00000000-0005-0000-0000-00008D1F0000}"/>
    <cellStyle name="Normal 70 4" xfId="8145" xr:uid="{00000000-0005-0000-0000-00008E1F0000}"/>
    <cellStyle name="Normal 70 4 2" xfId="8146" xr:uid="{00000000-0005-0000-0000-00008F1F0000}"/>
    <cellStyle name="Normal 70 4 2 2" xfId="8147" xr:uid="{00000000-0005-0000-0000-0000901F0000}"/>
    <cellStyle name="Normal 70 4 2 2 2" xfId="8148" xr:uid="{00000000-0005-0000-0000-0000911F0000}"/>
    <cellStyle name="Normal 70 4 2 2 2 2" xfId="8149" xr:uid="{00000000-0005-0000-0000-0000921F0000}"/>
    <cellStyle name="Normal 70 4 2 2 3" xfId="8150" xr:uid="{00000000-0005-0000-0000-0000931F0000}"/>
    <cellStyle name="Normal 70 4 2 3" xfId="8151" xr:uid="{00000000-0005-0000-0000-0000941F0000}"/>
    <cellStyle name="Normal 70 4 2 3 2" xfId="8152" xr:uid="{00000000-0005-0000-0000-0000951F0000}"/>
    <cellStyle name="Normal 70 4 2 4" xfId="8153" xr:uid="{00000000-0005-0000-0000-0000961F0000}"/>
    <cellStyle name="Normal 70 4 3" xfId="8154" xr:uid="{00000000-0005-0000-0000-0000971F0000}"/>
    <cellStyle name="Normal 70 4 3 2" xfId="8155" xr:uid="{00000000-0005-0000-0000-0000981F0000}"/>
    <cellStyle name="Normal 70 4 3 2 2" xfId="8156" xr:uid="{00000000-0005-0000-0000-0000991F0000}"/>
    <cellStyle name="Normal 70 4 3 3" xfId="8157" xr:uid="{00000000-0005-0000-0000-00009A1F0000}"/>
    <cellStyle name="Normal 70 4 4" xfId="8158" xr:uid="{00000000-0005-0000-0000-00009B1F0000}"/>
    <cellStyle name="Normal 70 4 4 2" xfId="8159" xr:uid="{00000000-0005-0000-0000-00009C1F0000}"/>
    <cellStyle name="Normal 70 4 5" xfId="8160" xr:uid="{00000000-0005-0000-0000-00009D1F0000}"/>
    <cellStyle name="Normal 70 5" xfId="8161" xr:uid="{00000000-0005-0000-0000-00009E1F0000}"/>
    <cellStyle name="Normal 70 5 2" xfId="8162" xr:uid="{00000000-0005-0000-0000-00009F1F0000}"/>
    <cellStyle name="Normal 70 5 2 2" xfId="8163" xr:uid="{00000000-0005-0000-0000-0000A01F0000}"/>
    <cellStyle name="Normal 70 5 2 2 2" xfId="8164" xr:uid="{00000000-0005-0000-0000-0000A11F0000}"/>
    <cellStyle name="Normal 70 5 2 2 2 2" xfId="8165" xr:uid="{00000000-0005-0000-0000-0000A21F0000}"/>
    <cellStyle name="Normal 70 5 2 2 3" xfId="8166" xr:uid="{00000000-0005-0000-0000-0000A31F0000}"/>
    <cellStyle name="Normal 70 5 2 3" xfId="8167" xr:uid="{00000000-0005-0000-0000-0000A41F0000}"/>
    <cellStyle name="Normal 70 5 2 3 2" xfId="8168" xr:uid="{00000000-0005-0000-0000-0000A51F0000}"/>
    <cellStyle name="Normal 70 5 2 4" xfId="8169" xr:uid="{00000000-0005-0000-0000-0000A61F0000}"/>
    <cellStyle name="Normal 70 5 3" xfId="8170" xr:uid="{00000000-0005-0000-0000-0000A71F0000}"/>
    <cellStyle name="Normal 70 5 3 2" xfId="8171" xr:uid="{00000000-0005-0000-0000-0000A81F0000}"/>
    <cellStyle name="Normal 70 5 3 2 2" xfId="8172" xr:uid="{00000000-0005-0000-0000-0000A91F0000}"/>
    <cellStyle name="Normal 70 5 3 3" xfId="8173" xr:uid="{00000000-0005-0000-0000-0000AA1F0000}"/>
    <cellStyle name="Normal 70 5 4" xfId="8174" xr:uid="{00000000-0005-0000-0000-0000AB1F0000}"/>
    <cellStyle name="Normal 70 5 4 2" xfId="8175" xr:uid="{00000000-0005-0000-0000-0000AC1F0000}"/>
    <cellStyle name="Normal 70 5 5" xfId="8176" xr:uid="{00000000-0005-0000-0000-0000AD1F0000}"/>
    <cellStyle name="Normal 70 6" xfId="8177" xr:uid="{00000000-0005-0000-0000-0000AE1F0000}"/>
    <cellStyle name="Normal 70 6 2" xfId="8178" xr:uid="{00000000-0005-0000-0000-0000AF1F0000}"/>
    <cellStyle name="Normal 70 6 2 2" xfId="8179" xr:uid="{00000000-0005-0000-0000-0000B01F0000}"/>
    <cellStyle name="Normal 70 6 2 2 2" xfId="8180" xr:uid="{00000000-0005-0000-0000-0000B11F0000}"/>
    <cellStyle name="Normal 70 6 2 3" xfId="8181" xr:uid="{00000000-0005-0000-0000-0000B21F0000}"/>
    <cellStyle name="Normal 70 6 3" xfId="8182" xr:uid="{00000000-0005-0000-0000-0000B31F0000}"/>
    <cellStyle name="Normal 70 6 3 2" xfId="8183" xr:uid="{00000000-0005-0000-0000-0000B41F0000}"/>
    <cellStyle name="Normal 70 6 4" xfId="8184" xr:uid="{00000000-0005-0000-0000-0000B51F0000}"/>
    <cellStyle name="Normal 70 7" xfId="8185" xr:uid="{00000000-0005-0000-0000-0000B61F0000}"/>
    <cellStyle name="Normal 70 7 2" xfId="8186" xr:uid="{00000000-0005-0000-0000-0000B71F0000}"/>
    <cellStyle name="Normal 70 7 2 2" xfId="8187" xr:uid="{00000000-0005-0000-0000-0000B81F0000}"/>
    <cellStyle name="Normal 70 7 3" xfId="8188" xr:uid="{00000000-0005-0000-0000-0000B91F0000}"/>
    <cellStyle name="Normal 70 8" xfId="8189" xr:uid="{00000000-0005-0000-0000-0000BA1F0000}"/>
    <cellStyle name="Normal 70 8 2" xfId="8190" xr:uid="{00000000-0005-0000-0000-0000BB1F0000}"/>
    <cellStyle name="Normal 70 9" xfId="8191" xr:uid="{00000000-0005-0000-0000-0000BC1F0000}"/>
    <cellStyle name="Normal 71" xfId="8192" xr:uid="{00000000-0005-0000-0000-0000BD1F0000}"/>
    <cellStyle name="Normal 71 2" xfId="8193" xr:uid="{00000000-0005-0000-0000-0000BE1F0000}"/>
    <cellStyle name="Normal 71 2 2" xfId="8194" xr:uid="{00000000-0005-0000-0000-0000BF1F0000}"/>
    <cellStyle name="Normal 71 3" xfId="8195" xr:uid="{00000000-0005-0000-0000-0000C01F0000}"/>
    <cellStyle name="Normal 71 3 2" xfId="8196" xr:uid="{00000000-0005-0000-0000-0000C11F0000}"/>
    <cellStyle name="Normal 71 3 2 2" xfId="8197" xr:uid="{00000000-0005-0000-0000-0000C21F0000}"/>
    <cellStyle name="Normal 71 3 2 2 2" xfId="8198" xr:uid="{00000000-0005-0000-0000-0000C31F0000}"/>
    <cellStyle name="Normal 71 3 2 2 2 2" xfId="8199" xr:uid="{00000000-0005-0000-0000-0000C41F0000}"/>
    <cellStyle name="Normal 71 3 2 2 3" xfId="8200" xr:uid="{00000000-0005-0000-0000-0000C51F0000}"/>
    <cellStyle name="Normal 71 3 2 3" xfId="8201" xr:uid="{00000000-0005-0000-0000-0000C61F0000}"/>
    <cellStyle name="Normal 71 3 2 3 2" xfId="8202" xr:uid="{00000000-0005-0000-0000-0000C71F0000}"/>
    <cellStyle name="Normal 71 3 2 4" xfId="8203" xr:uid="{00000000-0005-0000-0000-0000C81F0000}"/>
    <cellStyle name="Normal 71 3 3" xfId="8204" xr:uid="{00000000-0005-0000-0000-0000C91F0000}"/>
    <cellStyle name="Normal 71 3 3 2" xfId="8205" xr:uid="{00000000-0005-0000-0000-0000CA1F0000}"/>
    <cellStyle name="Normal 71 3 3 2 2" xfId="8206" xr:uid="{00000000-0005-0000-0000-0000CB1F0000}"/>
    <cellStyle name="Normal 71 3 3 3" xfId="8207" xr:uid="{00000000-0005-0000-0000-0000CC1F0000}"/>
    <cellStyle name="Normal 71 3 4" xfId="8208" xr:uid="{00000000-0005-0000-0000-0000CD1F0000}"/>
    <cellStyle name="Normal 71 3 4 2" xfId="8209" xr:uid="{00000000-0005-0000-0000-0000CE1F0000}"/>
    <cellStyle name="Normal 71 3 5" xfId="8210" xr:uid="{00000000-0005-0000-0000-0000CF1F0000}"/>
    <cellStyle name="Normal 71 4" xfId="8211" xr:uid="{00000000-0005-0000-0000-0000D01F0000}"/>
    <cellStyle name="Normal 71 4 2" xfId="8212" xr:uid="{00000000-0005-0000-0000-0000D11F0000}"/>
    <cellStyle name="Normal 71 4 2 2" xfId="8213" xr:uid="{00000000-0005-0000-0000-0000D21F0000}"/>
    <cellStyle name="Normal 71 4 2 2 2" xfId="8214" xr:uid="{00000000-0005-0000-0000-0000D31F0000}"/>
    <cellStyle name="Normal 71 4 2 2 2 2" xfId="8215" xr:uid="{00000000-0005-0000-0000-0000D41F0000}"/>
    <cellStyle name="Normal 71 4 2 2 3" xfId="8216" xr:uid="{00000000-0005-0000-0000-0000D51F0000}"/>
    <cellStyle name="Normal 71 4 2 3" xfId="8217" xr:uid="{00000000-0005-0000-0000-0000D61F0000}"/>
    <cellStyle name="Normal 71 4 2 3 2" xfId="8218" xr:uid="{00000000-0005-0000-0000-0000D71F0000}"/>
    <cellStyle name="Normal 71 4 2 4" xfId="8219" xr:uid="{00000000-0005-0000-0000-0000D81F0000}"/>
    <cellStyle name="Normal 71 4 3" xfId="8220" xr:uid="{00000000-0005-0000-0000-0000D91F0000}"/>
    <cellStyle name="Normal 71 4 3 2" xfId="8221" xr:uid="{00000000-0005-0000-0000-0000DA1F0000}"/>
    <cellStyle name="Normal 71 4 3 2 2" xfId="8222" xr:uid="{00000000-0005-0000-0000-0000DB1F0000}"/>
    <cellStyle name="Normal 71 4 3 3" xfId="8223" xr:uid="{00000000-0005-0000-0000-0000DC1F0000}"/>
    <cellStyle name="Normal 71 4 4" xfId="8224" xr:uid="{00000000-0005-0000-0000-0000DD1F0000}"/>
    <cellStyle name="Normal 71 4 4 2" xfId="8225" xr:uid="{00000000-0005-0000-0000-0000DE1F0000}"/>
    <cellStyle name="Normal 71 4 5" xfId="8226" xr:uid="{00000000-0005-0000-0000-0000DF1F0000}"/>
    <cellStyle name="Normal 71 5" xfId="8227" xr:uid="{00000000-0005-0000-0000-0000E01F0000}"/>
    <cellStyle name="Normal 71 5 2" xfId="8228" xr:uid="{00000000-0005-0000-0000-0000E11F0000}"/>
    <cellStyle name="Normal 71 5 2 2" xfId="8229" xr:uid="{00000000-0005-0000-0000-0000E21F0000}"/>
    <cellStyle name="Normal 71 5 2 2 2" xfId="8230" xr:uid="{00000000-0005-0000-0000-0000E31F0000}"/>
    <cellStyle name="Normal 71 5 2 2 2 2" xfId="8231" xr:uid="{00000000-0005-0000-0000-0000E41F0000}"/>
    <cellStyle name="Normal 71 5 2 2 3" xfId="8232" xr:uid="{00000000-0005-0000-0000-0000E51F0000}"/>
    <cellStyle name="Normal 71 5 2 3" xfId="8233" xr:uid="{00000000-0005-0000-0000-0000E61F0000}"/>
    <cellStyle name="Normal 71 5 2 3 2" xfId="8234" xr:uid="{00000000-0005-0000-0000-0000E71F0000}"/>
    <cellStyle name="Normal 71 5 2 4" xfId="8235" xr:uid="{00000000-0005-0000-0000-0000E81F0000}"/>
    <cellStyle name="Normal 71 5 3" xfId="8236" xr:uid="{00000000-0005-0000-0000-0000E91F0000}"/>
    <cellStyle name="Normal 71 5 3 2" xfId="8237" xr:uid="{00000000-0005-0000-0000-0000EA1F0000}"/>
    <cellStyle name="Normal 71 5 3 2 2" xfId="8238" xr:uid="{00000000-0005-0000-0000-0000EB1F0000}"/>
    <cellStyle name="Normal 71 5 3 3" xfId="8239" xr:uid="{00000000-0005-0000-0000-0000EC1F0000}"/>
    <cellStyle name="Normal 71 5 4" xfId="8240" xr:uid="{00000000-0005-0000-0000-0000ED1F0000}"/>
    <cellStyle name="Normal 71 5 4 2" xfId="8241" xr:uid="{00000000-0005-0000-0000-0000EE1F0000}"/>
    <cellStyle name="Normal 71 5 5" xfId="8242" xr:uid="{00000000-0005-0000-0000-0000EF1F0000}"/>
    <cellStyle name="Normal 71 6" xfId="8243" xr:uid="{00000000-0005-0000-0000-0000F01F0000}"/>
    <cellStyle name="Normal 71 6 2" xfId="8244" xr:uid="{00000000-0005-0000-0000-0000F11F0000}"/>
    <cellStyle name="Normal 71 6 2 2" xfId="8245" xr:uid="{00000000-0005-0000-0000-0000F21F0000}"/>
    <cellStyle name="Normal 71 6 2 2 2" xfId="8246" xr:uid="{00000000-0005-0000-0000-0000F31F0000}"/>
    <cellStyle name="Normal 71 6 2 3" xfId="8247" xr:uid="{00000000-0005-0000-0000-0000F41F0000}"/>
    <cellStyle name="Normal 71 6 3" xfId="8248" xr:uid="{00000000-0005-0000-0000-0000F51F0000}"/>
    <cellStyle name="Normal 71 6 3 2" xfId="8249" xr:uid="{00000000-0005-0000-0000-0000F61F0000}"/>
    <cellStyle name="Normal 71 6 4" xfId="8250" xr:uid="{00000000-0005-0000-0000-0000F71F0000}"/>
    <cellStyle name="Normal 71 7" xfId="8251" xr:uid="{00000000-0005-0000-0000-0000F81F0000}"/>
    <cellStyle name="Normal 71 7 2" xfId="8252" xr:uid="{00000000-0005-0000-0000-0000F91F0000}"/>
    <cellStyle name="Normal 71 7 2 2" xfId="8253" xr:uid="{00000000-0005-0000-0000-0000FA1F0000}"/>
    <cellStyle name="Normal 71 7 3" xfId="8254" xr:uid="{00000000-0005-0000-0000-0000FB1F0000}"/>
    <cellStyle name="Normal 71 8" xfId="8255" xr:uid="{00000000-0005-0000-0000-0000FC1F0000}"/>
    <cellStyle name="Normal 71 8 2" xfId="8256" xr:uid="{00000000-0005-0000-0000-0000FD1F0000}"/>
    <cellStyle name="Normal 71 9" xfId="8257" xr:uid="{00000000-0005-0000-0000-0000FE1F0000}"/>
    <cellStyle name="Normal 72" xfId="8258" xr:uid="{00000000-0005-0000-0000-0000FF1F0000}"/>
    <cellStyle name="Normal 72 2" xfId="8259" xr:uid="{00000000-0005-0000-0000-000000200000}"/>
    <cellStyle name="Normal 72 2 2" xfId="8260" xr:uid="{00000000-0005-0000-0000-000001200000}"/>
    <cellStyle name="Normal 72 3" xfId="8261" xr:uid="{00000000-0005-0000-0000-000002200000}"/>
    <cellStyle name="Normal 72 3 2" xfId="8262" xr:uid="{00000000-0005-0000-0000-000003200000}"/>
    <cellStyle name="Normal 72 3 2 2" xfId="8263" xr:uid="{00000000-0005-0000-0000-000004200000}"/>
    <cellStyle name="Normal 72 3 2 2 2" xfId="8264" xr:uid="{00000000-0005-0000-0000-000005200000}"/>
    <cellStyle name="Normal 72 3 2 2 2 2" xfId="8265" xr:uid="{00000000-0005-0000-0000-000006200000}"/>
    <cellStyle name="Normal 72 3 2 2 3" xfId="8266" xr:uid="{00000000-0005-0000-0000-000007200000}"/>
    <cellStyle name="Normal 72 3 2 3" xfId="8267" xr:uid="{00000000-0005-0000-0000-000008200000}"/>
    <cellStyle name="Normal 72 3 2 3 2" xfId="8268" xr:uid="{00000000-0005-0000-0000-000009200000}"/>
    <cellStyle name="Normal 72 3 2 4" xfId="8269" xr:uid="{00000000-0005-0000-0000-00000A200000}"/>
    <cellStyle name="Normal 72 3 3" xfId="8270" xr:uid="{00000000-0005-0000-0000-00000B200000}"/>
    <cellStyle name="Normal 72 3 3 2" xfId="8271" xr:uid="{00000000-0005-0000-0000-00000C200000}"/>
    <cellStyle name="Normal 72 3 3 2 2" xfId="8272" xr:uid="{00000000-0005-0000-0000-00000D200000}"/>
    <cellStyle name="Normal 72 3 3 3" xfId="8273" xr:uid="{00000000-0005-0000-0000-00000E200000}"/>
    <cellStyle name="Normal 72 3 4" xfId="8274" xr:uid="{00000000-0005-0000-0000-00000F200000}"/>
    <cellStyle name="Normal 72 3 4 2" xfId="8275" xr:uid="{00000000-0005-0000-0000-000010200000}"/>
    <cellStyle name="Normal 72 3 5" xfId="8276" xr:uid="{00000000-0005-0000-0000-000011200000}"/>
    <cellStyle name="Normal 72 4" xfId="8277" xr:uid="{00000000-0005-0000-0000-000012200000}"/>
    <cellStyle name="Normal 72 4 2" xfId="8278" xr:uid="{00000000-0005-0000-0000-000013200000}"/>
    <cellStyle name="Normal 72 4 2 2" xfId="8279" xr:uid="{00000000-0005-0000-0000-000014200000}"/>
    <cellStyle name="Normal 72 4 2 2 2" xfId="8280" xr:uid="{00000000-0005-0000-0000-000015200000}"/>
    <cellStyle name="Normal 72 4 2 2 2 2" xfId="8281" xr:uid="{00000000-0005-0000-0000-000016200000}"/>
    <cellStyle name="Normal 72 4 2 2 3" xfId="8282" xr:uid="{00000000-0005-0000-0000-000017200000}"/>
    <cellStyle name="Normal 72 4 2 3" xfId="8283" xr:uid="{00000000-0005-0000-0000-000018200000}"/>
    <cellStyle name="Normal 72 4 2 3 2" xfId="8284" xr:uid="{00000000-0005-0000-0000-000019200000}"/>
    <cellStyle name="Normal 72 4 2 4" xfId="8285" xr:uid="{00000000-0005-0000-0000-00001A200000}"/>
    <cellStyle name="Normal 72 4 3" xfId="8286" xr:uid="{00000000-0005-0000-0000-00001B200000}"/>
    <cellStyle name="Normal 72 4 3 2" xfId="8287" xr:uid="{00000000-0005-0000-0000-00001C200000}"/>
    <cellStyle name="Normal 72 4 3 2 2" xfId="8288" xr:uid="{00000000-0005-0000-0000-00001D200000}"/>
    <cellStyle name="Normal 72 4 3 3" xfId="8289" xr:uid="{00000000-0005-0000-0000-00001E200000}"/>
    <cellStyle name="Normal 72 4 4" xfId="8290" xr:uid="{00000000-0005-0000-0000-00001F200000}"/>
    <cellStyle name="Normal 72 4 4 2" xfId="8291" xr:uid="{00000000-0005-0000-0000-000020200000}"/>
    <cellStyle name="Normal 72 4 5" xfId="8292" xr:uid="{00000000-0005-0000-0000-000021200000}"/>
    <cellStyle name="Normal 72 5" xfId="8293" xr:uid="{00000000-0005-0000-0000-000022200000}"/>
    <cellStyle name="Normal 72 5 2" xfId="8294" xr:uid="{00000000-0005-0000-0000-000023200000}"/>
    <cellStyle name="Normal 72 5 2 2" xfId="8295" xr:uid="{00000000-0005-0000-0000-000024200000}"/>
    <cellStyle name="Normal 72 5 2 2 2" xfId="8296" xr:uid="{00000000-0005-0000-0000-000025200000}"/>
    <cellStyle name="Normal 72 5 2 2 2 2" xfId="8297" xr:uid="{00000000-0005-0000-0000-000026200000}"/>
    <cellStyle name="Normal 72 5 2 2 3" xfId="8298" xr:uid="{00000000-0005-0000-0000-000027200000}"/>
    <cellStyle name="Normal 72 5 2 3" xfId="8299" xr:uid="{00000000-0005-0000-0000-000028200000}"/>
    <cellStyle name="Normal 72 5 2 3 2" xfId="8300" xr:uid="{00000000-0005-0000-0000-000029200000}"/>
    <cellStyle name="Normal 72 5 2 4" xfId="8301" xr:uid="{00000000-0005-0000-0000-00002A200000}"/>
    <cellStyle name="Normal 72 5 3" xfId="8302" xr:uid="{00000000-0005-0000-0000-00002B200000}"/>
    <cellStyle name="Normal 72 5 3 2" xfId="8303" xr:uid="{00000000-0005-0000-0000-00002C200000}"/>
    <cellStyle name="Normal 72 5 3 2 2" xfId="8304" xr:uid="{00000000-0005-0000-0000-00002D200000}"/>
    <cellStyle name="Normal 72 5 3 3" xfId="8305" xr:uid="{00000000-0005-0000-0000-00002E200000}"/>
    <cellStyle name="Normal 72 5 4" xfId="8306" xr:uid="{00000000-0005-0000-0000-00002F200000}"/>
    <cellStyle name="Normal 72 5 4 2" xfId="8307" xr:uid="{00000000-0005-0000-0000-000030200000}"/>
    <cellStyle name="Normal 72 5 5" xfId="8308" xr:uid="{00000000-0005-0000-0000-000031200000}"/>
    <cellStyle name="Normal 72 6" xfId="8309" xr:uid="{00000000-0005-0000-0000-000032200000}"/>
    <cellStyle name="Normal 72 6 2" xfId="8310" xr:uid="{00000000-0005-0000-0000-000033200000}"/>
    <cellStyle name="Normal 72 6 2 2" xfId="8311" xr:uid="{00000000-0005-0000-0000-000034200000}"/>
    <cellStyle name="Normal 72 6 2 2 2" xfId="8312" xr:uid="{00000000-0005-0000-0000-000035200000}"/>
    <cellStyle name="Normal 72 6 2 3" xfId="8313" xr:uid="{00000000-0005-0000-0000-000036200000}"/>
    <cellStyle name="Normal 72 6 3" xfId="8314" xr:uid="{00000000-0005-0000-0000-000037200000}"/>
    <cellStyle name="Normal 72 6 3 2" xfId="8315" xr:uid="{00000000-0005-0000-0000-000038200000}"/>
    <cellStyle name="Normal 72 6 4" xfId="8316" xr:uid="{00000000-0005-0000-0000-000039200000}"/>
    <cellStyle name="Normal 72 7" xfId="8317" xr:uid="{00000000-0005-0000-0000-00003A200000}"/>
    <cellStyle name="Normal 72 7 2" xfId="8318" xr:uid="{00000000-0005-0000-0000-00003B200000}"/>
    <cellStyle name="Normal 72 7 2 2" xfId="8319" xr:uid="{00000000-0005-0000-0000-00003C200000}"/>
    <cellStyle name="Normal 72 7 3" xfId="8320" xr:uid="{00000000-0005-0000-0000-00003D200000}"/>
    <cellStyle name="Normal 72 8" xfId="8321" xr:uid="{00000000-0005-0000-0000-00003E200000}"/>
    <cellStyle name="Normal 72 8 2" xfId="8322" xr:uid="{00000000-0005-0000-0000-00003F200000}"/>
    <cellStyle name="Normal 72 9" xfId="8323" xr:uid="{00000000-0005-0000-0000-000040200000}"/>
    <cellStyle name="Normal 73" xfId="8324" xr:uid="{00000000-0005-0000-0000-000041200000}"/>
    <cellStyle name="Normal 73 2" xfId="8325" xr:uid="{00000000-0005-0000-0000-000042200000}"/>
    <cellStyle name="Normal 73 2 2" xfId="8326" xr:uid="{00000000-0005-0000-0000-000043200000}"/>
    <cellStyle name="Normal 73 3" xfId="8327" xr:uid="{00000000-0005-0000-0000-000044200000}"/>
    <cellStyle name="Normal 73 3 2" xfId="8328" xr:uid="{00000000-0005-0000-0000-000045200000}"/>
    <cellStyle name="Normal 73 3 2 2" xfId="8329" xr:uid="{00000000-0005-0000-0000-000046200000}"/>
    <cellStyle name="Normal 73 3 2 2 2" xfId="8330" xr:uid="{00000000-0005-0000-0000-000047200000}"/>
    <cellStyle name="Normal 73 3 2 2 2 2" xfId="8331" xr:uid="{00000000-0005-0000-0000-000048200000}"/>
    <cellStyle name="Normal 73 3 2 2 3" xfId="8332" xr:uid="{00000000-0005-0000-0000-000049200000}"/>
    <cellStyle name="Normal 73 3 2 3" xfId="8333" xr:uid="{00000000-0005-0000-0000-00004A200000}"/>
    <cellStyle name="Normal 73 3 2 3 2" xfId="8334" xr:uid="{00000000-0005-0000-0000-00004B200000}"/>
    <cellStyle name="Normal 73 3 2 4" xfId="8335" xr:uid="{00000000-0005-0000-0000-00004C200000}"/>
    <cellStyle name="Normal 73 3 3" xfId="8336" xr:uid="{00000000-0005-0000-0000-00004D200000}"/>
    <cellStyle name="Normal 73 3 3 2" xfId="8337" xr:uid="{00000000-0005-0000-0000-00004E200000}"/>
    <cellStyle name="Normal 73 3 3 2 2" xfId="8338" xr:uid="{00000000-0005-0000-0000-00004F200000}"/>
    <cellStyle name="Normal 73 3 3 3" xfId="8339" xr:uid="{00000000-0005-0000-0000-000050200000}"/>
    <cellStyle name="Normal 73 3 4" xfId="8340" xr:uid="{00000000-0005-0000-0000-000051200000}"/>
    <cellStyle name="Normal 73 3 4 2" xfId="8341" xr:uid="{00000000-0005-0000-0000-000052200000}"/>
    <cellStyle name="Normal 73 3 5" xfId="8342" xr:uid="{00000000-0005-0000-0000-000053200000}"/>
    <cellStyle name="Normal 73 4" xfId="8343" xr:uid="{00000000-0005-0000-0000-000054200000}"/>
    <cellStyle name="Normal 73 4 2" xfId="8344" xr:uid="{00000000-0005-0000-0000-000055200000}"/>
    <cellStyle name="Normal 73 4 2 2" xfId="8345" xr:uid="{00000000-0005-0000-0000-000056200000}"/>
    <cellStyle name="Normal 73 4 2 2 2" xfId="8346" xr:uid="{00000000-0005-0000-0000-000057200000}"/>
    <cellStyle name="Normal 73 4 2 2 2 2" xfId="8347" xr:uid="{00000000-0005-0000-0000-000058200000}"/>
    <cellStyle name="Normal 73 4 2 2 3" xfId="8348" xr:uid="{00000000-0005-0000-0000-000059200000}"/>
    <cellStyle name="Normal 73 4 2 3" xfId="8349" xr:uid="{00000000-0005-0000-0000-00005A200000}"/>
    <cellStyle name="Normal 73 4 2 3 2" xfId="8350" xr:uid="{00000000-0005-0000-0000-00005B200000}"/>
    <cellStyle name="Normal 73 4 2 4" xfId="8351" xr:uid="{00000000-0005-0000-0000-00005C200000}"/>
    <cellStyle name="Normal 73 4 3" xfId="8352" xr:uid="{00000000-0005-0000-0000-00005D200000}"/>
    <cellStyle name="Normal 73 4 3 2" xfId="8353" xr:uid="{00000000-0005-0000-0000-00005E200000}"/>
    <cellStyle name="Normal 73 4 3 2 2" xfId="8354" xr:uid="{00000000-0005-0000-0000-00005F200000}"/>
    <cellStyle name="Normal 73 4 3 3" xfId="8355" xr:uid="{00000000-0005-0000-0000-000060200000}"/>
    <cellStyle name="Normal 73 4 4" xfId="8356" xr:uid="{00000000-0005-0000-0000-000061200000}"/>
    <cellStyle name="Normal 73 4 4 2" xfId="8357" xr:uid="{00000000-0005-0000-0000-000062200000}"/>
    <cellStyle name="Normal 73 4 5" xfId="8358" xr:uid="{00000000-0005-0000-0000-000063200000}"/>
    <cellStyle name="Normal 73 5" xfId="8359" xr:uid="{00000000-0005-0000-0000-000064200000}"/>
    <cellStyle name="Normal 73 5 2" xfId="8360" xr:uid="{00000000-0005-0000-0000-000065200000}"/>
    <cellStyle name="Normal 73 5 2 2" xfId="8361" xr:uid="{00000000-0005-0000-0000-000066200000}"/>
    <cellStyle name="Normal 73 5 2 2 2" xfId="8362" xr:uid="{00000000-0005-0000-0000-000067200000}"/>
    <cellStyle name="Normal 73 5 2 2 2 2" xfId="8363" xr:uid="{00000000-0005-0000-0000-000068200000}"/>
    <cellStyle name="Normal 73 5 2 2 3" xfId="8364" xr:uid="{00000000-0005-0000-0000-000069200000}"/>
    <cellStyle name="Normal 73 5 2 3" xfId="8365" xr:uid="{00000000-0005-0000-0000-00006A200000}"/>
    <cellStyle name="Normal 73 5 2 3 2" xfId="8366" xr:uid="{00000000-0005-0000-0000-00006B200000}"/>
    <cellStyle name="Normal 73 5 2 4" xfId="8367" xr:uid="{00000000-0005-0000-0000-00006C200000}"/>
    <cellStyle name="Normal 73 5 3" xfId="8368" xr:uid="{00000000-0005-0000-0000-00006D200000}"/>
    <cellStyle name="Normal 73 5 3 2" xfId="8369" xr:uid="{00000000-0005-0000-0000-00006E200000}"/>
    <cellStyle name="Normal 73 5 3 2 2" xfId="8370" xr:uid="{00000000-0005-0000-0000-00006F200000}"/>
    <cellStyle name="Normal 73 5 3 3" xfId="8371" xr:uid="{00000000-0005-0000-0000-000070200000}"/>
    <cellStyle name="Normal 73 5 4" xfId="8372" xr:uid="{00000000-0005-0000-0000-000071200000}"/>
    <cellStyle name="Normal 73 5 4 2" xfId="8373" xr:uid="{00000000-0005-0000-0000-000072200000}"/>
    <cellStyle name="Normal 73 5 5" xfId="8374" xr:uid="{00000000-0005-0000-0000-000073200000}"/>
    <cellStyle name="Normal 73 6" xfId="8375" xr:uid="{00000000-0005-0000-0000-000074200000}"/>
    <cellStyle name="Normal 73 6 2" xfId="8376" xr:uid="{00000000-0005-0000-0000-000075200000}"/>
    <cellStyle name="Normal 73 6 2 2" xfId="8377" xr:uid="{00000000-0005-0000-0000-000076200000}"/>
    <cellStyle name="Normal 73 6 2 2 2" xfId="8378" xr:uid="{00000000-0005-0000-0000-000077200000}"/>
    <cellStyle name="Normal 73 6 2 3" xfId="8379" xr:uid="{00000000-0005-0000-0000-000078200000}"/>
    <cellStyle name="Normal 73 6 3" xfId="8380" xr:uid="{00000000-0005-0000-0000-000079200000}"/>
    <cellStyle name="Normal 73 6 3 2" xfId="8381" xr:uid="{00000000-0005-0000-0000-00007A200000}"/>
    <cellStyle name="Normal 73 6 4" xfId="8382" xr:uid="{00000000-0005-0000-0000-00007B200000}"/>
    <cellStyle name="Normal 73 7" xfId="8383" xr:uid="{00000000-0005-0000-0000-00007C200000}"/>
    <cellStyle name="Normal 73 7 2" xfId="8384" xr:uid="{00000000-0005-0000-0000-00007D200000}"/>
    <cellStyle name="Normal 73 7 2 2" xfId="8385" xr:uid="{00000000-0005-0000-0000-00007E200000}"/>
    <cellStyle name="Normal 73 7 3" xfId="8386" xr:uid="{00000000-0005-0000-0000-00007F200000}"/>
    <cellStyle name="Normal 73 8" xfId="8387" xr:uid="{00000000-0005-0000-0000-000080200000}"/>
    <cellStyle name="Normal 73 8 2" xfId="8388" xr:uid="{00000000-0005-0000-0000-000081200000}"/>
    <cellStyle name="Normal 73 9" xfId="8389" xr:uid="{00000000-0005-0000-0000-000082200000}"/>
    <cellStyle name="Normal 74" xfId="8390" xr:uid="{00000000-0005-0000-0000-000083200000}"/>
    <cellStyle name="Normal 74 2" xfId="8391" xr:uid="{00000000-0005-0000-0000-000084200000}"/>
    <cellStyle name="Normal 74 2 2" xfId="8392" xr:uid="{00000000-0005-0000-0000-000085200000}"/>
    <cellStyle name="Normal 74 3" xfId="8393" xr:uid="{00000000-0005-0000-0000-000086200000}"/>
    <cellStyle name="Normal 74 3 2" xfId="8394" xr:uid="{00000000-0005-0000-0000-000087200000}"/>
    <cellStyle name="Normal 74 3 2 2" xfId="8395" xr:uid="{00000000-0005-0000-0000-000088200000}"/>
    <cellStyle name="Normal 74 3 2 2 2" xfId="8396" xr:uid="{00000000-0005-0000-0000-000089200000}"/>
    <cellStyle name="Normal 74 3 2 2 2 2" xfId="8397" xr:uid="{00000000-0005-0000-0000-00008A200000}"/>
    <cellStyle name="Normal 74 3 2 2 3" xfId="8398" xr:uid="{00000000-0005-0000-0000-00008B200000}"/>
    <cellStyle name="Normal 74 3 2 3" xfId="8399" xr:uid="{00000000-0005-0000-0000-00008C200000}"/>
    <cellStyle name="Normal 74 3 2 3 2" xfId="8400" xr:uid="{00000000-0005-0000-0000-00008D200000}"/>
    <cellStyle name="Normal 74 3 2 4" xfId="8401" xr:uid="{00000000-0005-0000-0000-00008E200000}"/>
    <cellStyle name="Normal 74 3 3" xfId="8402" xr:uid="{00000000-0005-0000-0000-00008F200000}"/>
    <cellStyle name="Normal 74 3 3 2" xfId="8403" xr:uid="{00000000-0005-0000-0000-000090200000}"/>
    <cellStyle name="Normal 74 3 3 2 2" xfId="8404" xr:uid="{00000000-0005-0000-0000-000091200000}"/>
    <cellStyle name="Normal 74 3 3 3" xfId="8405" xr:uid="{00000000-0005-0000-0000-000092200000}"/>
    <cellStyle name="Normal 74 3 4" xfId="8406" xr:uid="{00000000-0005-0000-0000-000093200000}"/>
    <cellStyle name="Normal 74 3 4 2" xfId="8407" xr:uid="{00000000-0005-0000-0000-000094200000}"/>
    <cellStyle name="Normal 74 3 5" xfId="8408" xr:uid="{00000000-0005-0000-0000-000095200000}"/>
    <cellStyle name="Normal 74 4" xfId="8409" xr:uid="{00000000-0005-0000-0000-000096200000}"/>
    <cellStyle name="Normal 74 4 2" xfId="8410" xr:uid="{00000000-0005-0000-0000-000097200000}"/>
    <cellStyle name="Normal 74 4 2 2" xfId="8411" xr:uid="{00000000-0005-0000-0000-000098200000}"/>
    <cellStyle name="Normal 74 4 2 2 2" xfId="8412" xr:uid="{00000000-0005-0000-0000-000099200000}"/>
    <cellStyle name="Normal 74 4 2 2 2 2" xfId="8413" xr:uid="{00000000-0005-0000-0000-00009A200000}"/>
    <cellStyle name="Normal 74 4 2 2 3" xfId="8414" xr:uid="{00000000-0005-0000-0000-00009B200000}"/>
    <cellStyle name="Normal 74 4 2 3" xfId="8415" xr:uid="{00000000-0005-0000-0000-00009C200000}"/>
    <cellStyle name="Normal 74 4 2 3 2" xfId="8416" xr:uid="{00000000-0005-0000-0000-00009D200000}"/>
    <cellStyle name="Normal 74 4 2 4" xfId="8417" xr:uid="{00000000-0005-0000-0000-00009E200000}"/>
    <cellStyle name="Normal 74 4 3" xfId="8418" xr:uid="{00000000-0005-0000-0000-00009F200000}"/>
    <cellStyle name="Normal 74 4 3 2" xfId="8419" xr:uid="{00000000-0005-0000-0000-0000A0200000}"/>
    <cellStyle name="Normal 74 4 3 2 2" xfId="8420" xr:uid="{00000000-0005-0000-0000-0000A1200000}"/>
    <cellStyle name="Normal 74 4 3 3" xfId="8421" xr:uid="{00000000-0005-0000-0000-0000A2200000}"/>
    <cellStyle name="Normal 74 4 4" xfId="8422" xr:uid="{00000000-0005-0000-0000-0000A3200000}"/>
    <cellStyle name="Normal 74 4 4 2" xfId="8423" xr:uid="{00000000-0005-0000-0000-0000A4200000}"/>
    <cellStyle name="Normal 74 4 5" xfId="8424" xr:uid="{00000000-0005-0000-0000-0000A5200000}"/>
    <cellStyle name="Normal 74 5" xfId="8425" xr:uid="{00000000-0005-0000-0000-0000A6200000}"/>
    <cellStyle name="Normal 74 5 2" xfId="8426" xr:uid="{00000000-0005-0000-0000-0000A7200000}"/>
    <cellStyle name="Normal 74 5 2 2" xfId="8427" xr:uid="{00000000-0005-0000-0000-0000A8200000}"/>
    <cellStyle name="Normal 74 5 2 2 2" xfId="8428" xr:uid="{00000000-0005-0000-0000-0000A9200000}"/>
    <cellStyle name="Normal 74 5 2 2 2 2" xfId="8429" xr:uid="{00000000-0005-0000-0000-0000AA200000}"/>
    <cellStyle name="Normal 74 5 2 2 3" xfId="8430" xr:uid="{00000000-0005-0000-0000-0000AB200000}"/>
    <cellStyle name="Normal 74 5 2 3" xfId="8431" xr:uid="{00000000-0005-0000-0000-0000AC200000}"/>
    <cellStyle name="Normal 74 5 2 3 2" xfId="8432" xr:uid="{00000000-0005-0000-0000-0000AD200000}"/>
    <cellStyle name="Normal 74 5 2 4" xfId="8433" xr:uid="{00000000-0005-0000-0000-0000AE200000}"/>
    <cellStyle name="Normal 74 5 3" xfId="8434" xr:uid="{00000000-0005-0000-0000-0000AF200000}"/>
    <cellStyle name="Normal 74 5 3 2" xfId="8435" xr:uid="{00000000-0005-0000-0000-0000B0200000}"/>
    <cellStyle name="Normal 74 5 3 2 2" xfId="8436" xr:uid="{00000000-0005-0000-0000-0000B1200000}"/>
    <cellStyle name="Normal 74 5 3 3" xfId="8437" xr:uid="{00000000-0005-0000-0000-0000B2200000}"/>
    <cellStyle name="Normal 74 5 4" xfId="8438" xr:uid="{00000000-0005-0000-0000-0000B3200000}"/>
    <cellStyle name="Normal 74 5 4 2" xfId="8439" xr:uid="{00000000-0005-0000-0000-0000B4200000}"/>
    <cellStyle name="Normal 74 5 5" xfId="8440" xr:uid="{00000000-0005-0000-0000-0000B5200000}"/>
    <cellStyle name="Normal 74 6" xfId="8441" xr:uid="{00000000-0005-0000-0000-0000B6200000}"/>
    <cellStyle name="Normal 74 6 2" xfId="8442" xr:uid="{00000000-0005-0000-0000-0000B7200000}"/>
    <cellStyle name="Normal 74 6 2 2" xfId="8443" xr:uid="{00000000-0005-0000-0000-0000B8200000}"/>
    <cellStyle name="Normal 74 6 2 2 2" xfId="8444" xr:uid="{00000000-0005-0000-0000-0000B9200000}"/>
    <cellStyle name="Normal 74 6 2 3" xfId="8445" xr:uid="{00000000-0005-0000-0000-0000BA200000}"/>
    <cellStyle name="Normal 74 6 3" xfId="8446" xr:uid="{00000000-0005-0000-0000-0000BB200000}"/>
    <cellStyle name="Normal 74 6 3 2" xfId="8447" xr:uid="{00000000-0005-0000-0000-0000BC200000}"/>
    <cellStyle name="Normal 74 6 4" xfId="8448" xr:uid="{00000000-0005-0000-0000-0000BD200000}"/>
    <cellStyle name="Normal 74 7" xfId="8449" xr:uid="{00000000-0005-0000-0000-0000BE200000}"/>
    <cellStyle name="Normal 74 7 2" xfId="8450" xr:uid="{00000000-0005-0000-0000-0000BF200000}"/>
    <cellStyle name="Normal 74 7 2 2" xfId="8451" xr:uid="{00000000-0005-0000-0000-0000C0200000}"/>
    <cellStyle name="Normal 74 7 3" xfId="8452" xr:uid="{00000000-0005-0000-0000-0000C1200000}"/>
    <cellStyle name="Normal 74 8" xfId="8453" xr:uid="{00000000-0005-0000-0000-0000C2200000}"/>
    <cellStyle name="Normal 74 8 2" xfId="8454" xr:uid="{00000000-0005-0000-0000-0000C3200000}"/>
    <cellStyle name="Normal 74 9" xfId="8455" xr:uid="{00000000-0005-0000-0000-0000C4200000}"/>
    <cellStyle name="Normal 75" xfId="8456" xr:uid="{00000000-0005-0000-0000-0000C5200000}"/>
    <cellStyle name="Normal 75 2" xfId="8457" xr:uid="{00000000-0005-0000-0000-0000C6200000}"/>
    <cellStyle name="Normal 75 2 2" xfId="8458" xr:uid="{00000000-0005-0000-0000-0000C7200000}"/>
    <cellStyle name="Normal 75 3" xfId="8459" xr:uid="{00000000-0005-0000-0000-0000C8200000}"/>
    <cellStyle name="Normal 75 3 2" xfId="8460" xr:uid="{00000000-0005-0000-0000-0000C9200000}"/>
    <cellStyle name="Normal 75 3 2 2" xfId="8461" xr:uid="{00000000-0005-0000-0000-0000CA200000}"/>
    <cellStyle name="Normal 75 3 2 2 2" xfId="8462" xr:uid="{00000000-0005-0000-0000-0000CB200000}"/>
    <cellStyle name="Normal 75 3 2 2 2 2" xfId="8463" xr:uid="{00000000-0005-0000-0000-0000CC200000}"/>
    <cellStyle name="Normal 75 3 2 2 3" xfId="8464" xr:uid="{00000000-0005-0000-0000-0000CD200000}"/>
    <cellStyle name="Normal 75 3 2 3" xfId="8465" xr:uid="{00000000-0005-0000-0000-0000CE200000}"/>
    <cellStyle name="Normal 75 3 2 3 2" xfId="8466" xr:uid="{00000000-0005-0000-0000-0000CF200000}"/>
    <cellStyle name="Normal 75 3 2 4" xfId="8467" xr:uid="{00000000-0005-0000-0000-0000D0200000}"/>
    <cellStyle name="Normal 75 3 3" xfId="8468" xr:uid="{00000000-0005-0000-0000-0000D1200000}"/>
    <cellStyle name="Normal 75 3 3 2" xfId="8469" xr:uid="{00000000-0005-0000-0000-0000D2200000}"/>
    <cellStyle name="Normal 75 3 3 2 2" xfId="8470" xr:uid="{00000000-0005-0000-0000-0000D3200000}"/>
    <cellStyle name="Normal 75 3 3 3" xfId="8471" xr:uid="{00000000-0005-0000-0000-0000D4200000}"/>
    <cellStyle name="Normal 75 3 4" xfId="8472" xr:uid="{00000000-0005-0000-0000-0000D5200000}"/>
    <cellStyle name="Normal 75 3 4 2" xfId="8473" xr:uid="{00000000-0005-0000-0000-0000D6200000}"/>
    <cellStyle name="Normal 75 3 5" xfId="8474" xr:uid="{00000000-0005-0000-0000-0000D7200000}"/>
    <cellStyle name="Normal 75 4" xfId="8475" xr:uid="{00000000-0005-0000-0000-0000D8200000}"/>
    <cellStyle name="Normal 75 4 2" xfId="8476" xr:uid="{00000000-0005-0000-0000-0000D9200000}"/>
    <cellStyle name="Normal 75 4 2 2" xfId="8477" xr:uid="{00000000-0005-0000-0000-0000DA200000}"/>
    <cellStyle name="Normal 75 4 2 2 2" xfId="8478" xr:uid="{00000000-0005-0000-0000-0000DB200000}"/>
    <cellStyle name="Normal 75 4 2 2 2 2" xfId="8479" xr:uid="{00000000-0005-0000-0000-0000DC200000}"/>
    <cellStyle name="Normal 75 4 2 2 3" xfId="8480" xr:uid="{00000000-0005-0000-0000-0000DD200000}"/>
    <cellStyle name="Normal 75 4 2 3" xfId="8481" xr:uid="{00000000-0005-0000-0000-0000DE200000}"/>
    <cellStyle name="Normal 75 4 2 3 2" xfId="8482" xr:uid="{00000000-0005-0000-0000-0000DF200000}"/>
    <cellStyle name="Normal 75 4 2 4" xfId="8483" xr:uid="{00000000-0005-0000-0000-0000E0200000}"/>
    <cellStyle name="Normal 75 4 3" xfId="8484" xr:uid="{00000000-0005-0000-0000-0000E1200000}"/>
    <cellStyle name="Normal 75 4 3 2" xfId="8485" xr:uid="{00000000-0005-0000-0000-0000E2200000}"/>
    <cellStyle name="Normal 75 4 3 2 2" xfId="8486" xr:uid="{00000000-0005-0000-0000-0000E3200000}"/>
    <cellStyle name="Normal 75 4 3 3" xfId="8487" xr:uid="{00000000-0005-0000-0000-0000E4200000}"/>
    <cellStyle name="Normal 75 4 4" xfId="8488" xr:uid="{00000000-0005-0000-0000-0000E5200000}"/>
    <cellStyle name="Normal 75 4 4 2" xfId="8489" xr:uid="{00000000-0005-0000-0000-0000E6200000}"/>
    <cellStyle name="Normal 75 4 5" xfId="8490" xr:uid="{00000000-0005-0000-0000-0000E7200000}"/>
    <cellStyle name="Normal 75 5" xfId="8491" xr:uid="{00000000-0005-0000-0000-0000E8200000}"/>
    <cellStyle name="Normal 75 5 2" xfId="8492" xr:uid="{00000000-0005-0000-0000-0000E9200000}"/>
    <cellStyle name="Normal 75 5 2 2" xfId="8493" xr:uid="{00000000-0005-0000-0000-0000EA200000}"/>
    <cellStyle name="Normal 75 5 2 2 2" xfId="8494" xr:uid="{00000000-0005-0000-0000-0000EB200000}"/>
    <cellStyle name="Normal 75 5 2 2 2 2" xfId="8495" xr:uid="{00000000-0005-0000-0000-0000EC200000}"/>
    <cellStyle name="Normal 75 5 2 2 3" xfId="8496" xr:uid="{00000000-0005-0000-0000-0000ED200000}"/>
    <cellStyle name="Normal 75 5 2 3" xfId="8497" xr:uid="{00000000-0005-0000-0000-0000EE200000}"/>
    <cellStyle name="Normal 75 5 2 3 2" xfId="8498" xr:uid="{00000000-0005-0000-0000-0000EF200000}"/>
    <cellStyle name="Normal 75 5 2 4" xfId="8499" xr:uid="{00000000-0005-0000-0000-0000F0200000}"/>
    <cellStyle name="Normal 75 5 3" xfId="8500" xr:uid="{00000000-0005-0000-0000-0000F1200000}"/>
    <cellStyle name="Normal 75 5 3 2" xfId="8501" xr:uid="{00000000-0005-0000-0000-0000F2200000}"/>
    <cellStyle name="Normal 75 5 3 2 2" xfId="8502" xr:uid="{00000000-0005-0000-0000-0000F3200000}"/>
    <cellStyle name="Normal 75 5 3 3" xfId="8503" xr:uid="{00000000-0005-0000-0000-0000F4200000}"/>
    <cellStyle name="Normal 75 5 4" xfId="8504" xr:uid="{00000000-0005-0000-0000-0000F5200000}"/>
    <cellStyle name="Normal 75 5 4 2" xfId="8505" xr:uid="{00000000-0005-0000-0000-0000F6200000}"/>
    <cellStyle name="Normal 75 5 5" xfId="8506" xr:uid="{00000000-0005-0000-0000-0000F7200000}"/>
    <cellStyle name="Normal 75 6" xfId="8507" xr:uid="{00000000-0005-0000-0000-0000F8200000}"/>
    <cellStyle name="Normal 75 6 2" xfId="8508" xr:uid="{00000000-0005-0000-0000-0000F9200000}"/>
    <cellStyle name="Normal 75 6 2 2" xfId="8509" xr:uid="{00000000-0005-0000-0000-0000FA200000}"/>
    <cellStyle name="Normal 75 6 2 2 2" xfId="8510" xr:uid="{00000000-0005-0000-0000-0000FB200000}"/>
    <cellStyle name="Normal 75 6 2 3" xfId="8511" xr:uid="{00000000-0005-0000-0000-0000FC200000}"/>
    <cellStyle name="Normal 75 6 3" xfId="8512" xr:uid="{00000000-0005-0000-0000-0000FD200000}"/>
    <cellStyle name="Normal 75 6 3 2" xfId="8513" xr:uid="{00000000-0005-0000-0000-0000FE200000}"/>
    <cellStyle name="Normal 75 6 4" xfId="8514" xr:uid="{00000000-0005-0000-0000-0000FF200000}"/>
    <cellStyle name="Normal 75 7" xfId="8515" xr:uid="{00000000-0005-0000-0000-000000210000}"/>
    <cellStyle name="Normal 75 7 2" xfId="8516" xr:uid="{00000000-0005-0000-0000-000001210000}"/>
    <cellStyle name="Normal 75 7 2 2" xfId="8517" xr:uid="{00000000-0005-0000-0000-000002210000}"/>
    <cellStyle name="Normal 75 7 3" xfId="8518" xr:uid="{00000000-0005-0000-0000-000003210000}"/>
    <cellStyle name="Normal 75 8" xfId="8519" xr:uid="{00000000-0005-0000-0000-000004210000}"/>
    <cellStyle name="Normal 75 8 2" xfId="8520" xr:uid="{00000000-0005-0000-0000-000005210000}"/>
    <cellStyle name="Normal 75 9" xfId="8521" xr:uid="{00000000-0005-0000-0000-000006210000}"/>
    <cellStyle name="Normal 76" xfId="8522" xr:uid="{00000000-0005-0000-0000-000007210000}"/>
    <cellStyle name="Normal 76 2" xfId="8523" xr:uid="{00000000-0005-0000-0000-000008210000}"/>
    <cellStyle name="Normal 76 2 2" xfId="8524" xr:uid="{00000000-0005-0000-0000-000009210000}"/>
    <cellStyle name="Normal 76 3" xfId="8525" xr:uid="{00000000-0005-0000-0000-00000A210000}"/>
    <cellStyle name="Normal 76 3 2" xfId="8526" xr:uid="{00000000-0005-0000-0000-00000B210000}"/>
    <cellStyle name="Normal 76 3 2 2" xfId="8527" xr:uid="{00000000-0005-0000-0000-00000C210000}"/>
    <cellStyle name="Normal 76 3 2 2 2" xfId="8528" xr:uid="{00000000-0005-0000-0000-00000D210000}"/>
    <cellStyle name="Normal 76 3 2 2 2 2" xfId="8529" xr:uid="{00000000-0005-0000-0000-00000E210000}"/>
    <cellStyle name="Normal 76 3 2 2 3" xfId="8530" xr:uid="{00000000-0005-0000-0000-00000F210000}"/>
    <cellStyle name="Normal 76 3 2 3" xfId="8531" xr:uid="{00000000-0005-0000-0000-000010210000}"/>
    <cellStyle name="Normal 76 3 2 3 2" xfId="8532" xr:uid="{00000000-0005-0000-0000-000011210000}"/>
    <cellStyle name="Normal 76 3 2 4" xfId="8533" xr:uid="{00000000-0005-0000-0000-000012210000}"/>
    <cellStyle name="Normal 76 3 3" xfId="8534" xr:uid="{00000000-0005-0000-0000-000013210000}"/>
    <cellStyle name="Normal 76 3 3 2" xfId="8535" xr:uid="{00000000-0005-0000-0000-000014210000}"/>
    <cellStyle name="Normal 76 3 3 2 2" xfId="8536" xr:uid="{00000000-0005-0000-0000-000015210000}"/>
    <cellStyle name="Normal 76 3 3 3" xfId="8537" xr:uid="{00000000-0005-0000-0000-000016210000}"/>
    <cellStyle name="Normal 76 3 4" xfId="8538" xr:uid="{00000000-0005-0000-0000-000017210000}"/>
    <cellStyle name="Normal 76 3 4 2" xfId="8539" xr:uid="{00000000-0005-0000-0000-000018210000}"/>
    <cellStyle name="Normal 76 3 5" xfId="8540" xr:uid="{00000000-0005-0000-0000-000019210000}"/>
    <cellStyle name="Normal 76 4" xfId="8541" xr:uid="{00000000-0005-0000-0000-00001A210000}"/>
    <cellStyle name="Normal 76 4 2" xfId="8542" xr:uid="{00000000-0005-0000-0000-00001B210000}"/>
    <cellStyle name="Normal 76 4 2 2" xfId="8543" xr:uid="{00000000-0005-0000-0000-00001C210000}"/>
    <cellStyle name="Normal 76 4 2 2 2" xfId="8544" xr:uid="{00000000-0005-0000-0000-00001D210000}"/>
    <cellStyle name="Normal 76 4 2 2 2 2" xfId="8545" xr:uid="{00000000-0005-0000-0000-00001E210000}"/>
    <cellStyle name="Normal 76 4 2 2 3" xfId="8546" xr:uid="{00000000-0005-0000-0000-00001F210000}"/>
    <cellStyle name="Normal 76 4 2 3" xfId="8547" xr:uid="{00000000-0005-0000-0000-000020210000}"/>
    <cellStyle name="Normal 76 4 2 3 2" xfId="8548" xr:uid="{00000000-0005-0000-0000-000021210000}"/>
    <cellStyle name="Normal 76 4 2 4" xfId="8549" xr:uid="{00000000-0005-0000-0000-000022210000}"/>
    <cellStyle name="Normal 76 4 3" xfId="8550" xr:uid="{00000000-0005-0000-0000-000023210000}"/>
    <cellStyle name="Normal 76 4 3 2" xfId="8551" xr:uid="{00000000-0005-0000-0000-000024210000}"/>
    <cellStyle name="Normal 76 4 3 2 2" xfId="8552" xr:uid="{00000000-0005-0000-0000-000025210000}"/>
    <cellStyle name="Normal 76 4 3 3" xfId="8553" xr:uid="{00000000-0005-0000-0000-000026210000}"/>
    <cellStyle name="Normal 76 4 4" xfId="8554" xr:uid="{00000000-0005-0000-0000-000027210000}"/>
    <cellStyle name="Normal 76 4 4 2" xfId="8555" xr:uid="{00000000-0005-0000-0000-000028210000}"/>
    <cellStyle name="Normal 76 4 5" xfId="8556" xr:uid="{00000000-0005-0000-0000-000029210000}"/>
    <cellStyle name="Normal 76 5" xfId="8557" xr:uid="{00000000-0005-0000-0000-00002A210000}"/>
    <cellStyle name="Normal 76 5 2" xfId="8558" xr:uid="{00000000-0005-0000-0000-00002B210000}"/>
    <cellStyle name="Normal 76 5 2 2" xfId="8559" xr:uid="{00000000-0005-0000-0000-00002C210000}"/>
    <cellStyle name="Normal 76 5 2 2 2" xfId="8560" xr:uid="{00000000-0005-0000-0000-00002D210000}"/>
    <cellStyle name="Normal 76 5 2 2 2 2" xfId="8561" xr:uid="{00000000-0005-0000-0000-00002E210000}"/>
    <cellStyle name="Normal 76 5 2 2 3" xfId="8562" xr:uid="{00000000-0005-0000-0000-00002F210000}"/>
    <cellStyle name="Normal 76 5 2 3" xfId="8563" xr:uid="{00000000-0005-0000-0000-000030210000}"/>
    <cellStyle name="Normal 76 5 2 3 2" xfId="8564" xr:uid="{00000000-0005-0000-0000-000031210000}"/>
    <cellStyle name="Normal 76 5 2 4" xfId="8565" xr:uid="{00000000-0005-0000-0000-000032210000}"/>
    <cellStyle name="Normal 76 5 3" xfId="8566" xr:uid="{00000000-0005-0000-0000-000033210000}"/>
    <cellStyle name="Normal 76 5 3 2" xfId="8567" xr:uid="{00000000-0005-0000-0000-000034210000}"/>
    <cellStyle name="Normal 76 5 3 2 2" xfId="8568" xr:uid="{00000000-0005-0000-0000-000035210000}"/>
    <cellStyle name="Normal 76 5 3 3" xfId="8569" xr:uid="{00000000-0005-0000-0000-000036210000}"/>
    <cellStyle name="Normal 76 5 4" xfId="8570" xr:uid="{00000000-0005-0000-0000-000037210000}"/>
    <cellStyle name="Normal 76 5 4 2" xfId="8571" xr:uid="{00000000-0005-0000-0000-000038210000}"/>
    <cellStyle name="Normal 76 5 5" xfId="8572" xr:uid="{00000000-0005-0000-0000-000039210000}"/>
    <cellStyle name="Normal 76 6" xfId="8573" xr:uid="{00000000-0005-0000-0000-00003A210000}"/>
    <cellStyle name="Normal 76 6 2" xfId="8574" xr:uid="{00000000-0005-0000-0000-00003B210000}"/>
    <cellStyle name="Normal 76 6 2 2" xfId="8575" xr:uid="{00000000-0005-0000-0000-00003C210000}"/>
    <cellStyle name="Normal 76 6 2 2 2" xfId="8576" xr:uid="{00000000-0005-0000-0000-00003D210000}"/>
    <cellStyle name="Normal 76 6 2 3" xfId="8577" xr:uid="{00000000-0005-0000-0000-00003E210000}"/>
    <cellStyle name="Normal 76 6 3" xfId="8578" xr:uid="{00000000-0005-0000-0000-00003F210000}"/>
    <cellStyle name="Normal 76 6 3 2" xfId="8579" xr:uid="{00000000-0005-0000-0000-000040210000}"/>
    <cellStyle name="Normal 76 6 4" xfId="8580" xr:uid="{00000000-0005-0000-0000-000041210000}"/>
    <cellStyle name="Normal 76 7" xfId="8581" xr:uid="{00000000-0005-0000-0000-000042210000}"/>
    <cellStyle name="Normal 76 7 2" xfId="8582" xr:uid="{00000000-0005-0000-0000-000043210000}"/>
    <cellStyle name="Normal 76 7 2 2" xfId="8583" xr:uid="{00000000-0005-0000-0000-000044210000}"/>
    <cellStyle name="Normal 76 7 3" xfId="8584" xr:uid="{00000000-0005-0000-0000-000045210000}"/>
    <cellStyle name="Normal 76 8" xfId="8585" xr:uid="{00000000-0005-0000-0000-000046210000}"/>
    <cellStyle name="Normal 76 8 2" xfId="8586" xr:uid="{00000000-0005-0000-0000-000047210000}"/>
    <cellStyle name="Normal 76 9" xfId="8587" xr:uid="{00000000-0005-0000-0000-000048210000}"/>
    <cellStyle name="Normal 77" xfId="8588" xr:uid="{00000000-0005-0000-0000-000049210000}"/>
    <cellStyle name="Normal 77 2" xfId="8589" xr:uid="{00000000-0005-0000-0000-00004A210000}"/>
    <cellStyle name="Normal 77 2 2" xfId="8590" xr:uid="{00000000-0005-0000-0000-00004B210000}"/>
    <cellStyle name="Normal 77 3" xfId="8591" xr:uid="{00000000-0005-0000-0000-00004C210000}"/>
    <cellStyle name="Normal 77 3 2" xfId="8592" xr:uid="{00000000-0005-0000-0000-00004D210000}"/>
    <cellStyle name="Normal 77 3 2 2" xfId="8593" xr:uid="{00000000-0005-0000-0000-00004E210000}"/>
    <cellStyle name="Normal 77 3 2 2 2" xfId="8594" xr:uid="{00000000-0005-0000-0000-00004F210000}"/>
    <cellStyle name="Normal 77 3 2 2 2 2" xfId="8595" xr:uid="{00000000-0005-0000-0000-000050210000}"/>
    <cellStyle name="Normal 77 3 2 2 3" xfId="8596" xr:uid="{00000000-0005-0000-0000-000051210000}"/>
    <cellStyle name="Normal 77 3 2 3" xfId="8597" xr:uid="{00000000-0005-0000-0000-000052210000}"/>
    <cellStyle name="Normal 77 3 2 3 2" xfId="8598" xr:uid="{00000000-0005-0000-0000-000053210000}"/>
    <cellStyle name="Normal 77 3 2 4" xfId="8599" xr:uid="{00000000-0005-0000-0000-000054210000}"/>
    <cellStyle name="Normal 77 3 3" xfId="8600" xr:uid="{00000000-0005-0000-0000-000055210000}"/>
    <cellStyle name="Normal 77 3 3 2" xfId="8601" xr:uid="{00000000-0005-0000-0000-000056210000}"/>
    <cellStyle name="Normal 77 3 3 2 2" xfId="8602" xr:uid="{00000000-0005-0000-0000-000057210000}"/>
    <cellStyle name="Normal 77 3 3 3" xfId="8603" xr:uid="{00000000-0005-0000-0000-000058210000}"/>
    <cellStyle name="Normal 77 3 4" xfId="8604" xr:uid="{00000000-0005-0000-0000-000059210000}"/>
    <cellStyle name="Normal 77 3 4 2" xfId="8605" xr:uid="{00000000-0005-0000-0000-00005A210000}"/>
    <cellStyle name="Normal 77 3 5" xfId="8606" xr:uid="{00000000-0005-0000-0000-00005B210000}"/>
    <cellStyle name="Normal 77 4" xfId="8607" xr:uid="{00000000-0005-0000-0000-00005C210000}"/>
    <cellStyle name="Normal 77 4 2" xfId="8608" xr:uid="{00000000-0005-0000-0000-00005D210000}"/>
    <cellStyle name="Normal 77 4 2 2" xfId="8609" xr:uid="{00000000-0005-0000-0000-00005E210000}"/>
    <cellStyle name="Normal 77 4 2 2 2" xfId="8610" xr:uid="{00000000-0005-0000-0000-00005F210000}"/>
    <cellStyle name="Normal 77 4 2 2 2 2" xfId="8611" xr:uid="{00000000-0005-0000-0000-000060210000}"/>
    <cellStyle name="Normal 77 4 2 2 3" xfId="8612" xr:uid="{00000000-0005-0000-0000-000061210000}"/>
    <cellStyle name="Normal 77 4 2 3" xfId="8613" xr:uid="{00000000-0005-0000-0000-000062210000}"/>
    <cellStyle name="Normal 77 4 2 3 2" xfId="8614" xr:uid="{00000000-0005-0000-0000-000063210000}"/>
    <cellStyle name="Normal 77 4 2 4" xfId="8615" xr:uid="{00000000-0005-0000-0000-000064210000}"/>
    <cellStyle name="Normal 77 4 3" xfId="8616" xr:uid="{00000000-0005-0000-0000-000065210000}"/>
    <cellStyle name="Normal 77 4 3 2" xfId="8617" xr:uid="{00000000-0005-0000-0000-000066210000}"/>
    <cellStyle name="Normal 77 4 3 2 2" xfId="8618" xr:uid="{00000000-0005-0000-0000-000067210000}"/>
    <cellStyle name="Normal 77 4 3 3" xfId="8619" xr:uid="{00000000-0005-0000-0000-000068210000}"/>
    <cellStyle name="Normal 77 4 4" xfId="8620" xr:uid="{00000000-0005-0000-0000-000069210000}"/>
    <cellStyle name="Normal 77 4 4 2" xfId="8621" xr:uid="{00000000-0005-0000-0000-00006A210000}"/>
    <cellStyle name="Normal 77 4 5" xfId="8622" xr:uid="{00000000-0005-0000-0000-00006B210000}"/>
    <cellStyle name="Normal 77 5" xfId="8623" xr:uid="{00000000-0005-0000-0000-00006C210000}"/>
    <cellStyle name="Normal 77 5 2" xfId="8624" xr:uid="{00000000-0005-0000-0000-00006D210000}"/>
    <cellStyle name="Normal 77 5 2 2" xfId="8625" xr:uid="{00000000-0005-0000-0000-00006E210000}"/>
    <cellStyle name="Normal 77 5 2 2 2" xfId="8626" xr:uid="{00000000-0005-0000-0000-00006F210000}"/>
    <cellStyle name="Normal 77 5 2 2 2 2" xfId="8627" xr:uid="{00000000-0005-0000-0000-000070210000}"/>
    <cellStyle name="Normal 77 5 2 2 3" xfId="8628" xr:uid="{00000000-0005-0000-0000-000071210000}"/>
    <cellStyle name="Normal 77 5 2 3" xfId="8629" xr:uid="{00000000-0005-0000-0000-000072210000}"/>
    <cellStyle name="Normal 77 5 2 3 2" xfId="8630" xr:uid="{00000000-0005-0000-0000-000073210000}"/>
    <cellStyle name="Normal 77 5 2 4" xfId="8631" xr:uid="{00000000-0005-0000-0000-000074210000}"/>
    <cellStyle name="Normal 77 5 3" xfId="8632" xr:uid="{00000000-0005-0000-0000-000075210000}"/>
    <cellStyle name="Normal 77 5 3 2" xfId="8633" xr:uid="{00000000-0005-0000-0000-000076210000}"/>
    <cellStyle name="Normal 77 5 3 2 2" xfId="8634" xr:uid="{00000000-0005-0000-0000-000077210000}"/>
    <cellStyle name="Normal 77 5 3 3" xfId="8635" xr:uid="{00000000-0005-0000-0000-000078210000}"/>
    <cellStyle name="Normal 77 5 4" xfId="8636" xr:uid="{00000000-0005-0000-0000-000079210000}"/>
    <cellStyle name="Normal 77 5 4 2" xfId="8637" xr:uid="{00000000-0005-0000-0000-00007A210000}"/>
    <cellStyle name="Normal 77 5 5" xfId="8638" xr:uid="{00000000-0005-0000-0000-00007B210000}"/>
    <cellStyle name="Normal 77 6" xfId="8639" xr:uid="{00000000-0005-0000-0000-00007C210000}"/>
    <cellStyle name="Normal 77 6 2" xfId="8640" xr:uid="{00000000-0005-0000-0000-00007D210000}"/>
    <cellStyle name="Normal 77 6 2 2" xfId="8641" xr:uid="{00000000-0005-0000-0000-00007E210000}"/>
    <cellStyle name="Normal 77 6 2 2 2" xfId="8642" xr:uid="{00000000-0005-0000-0000-00007F210000}"/>
    <cellStyle name="Normal 77 6 2 3" xfId="8643" xr:uid="{00000000-0005-0000-0000-000080210000}"/>
    <cellStyle name="Normal 77 6 3" xfId="8644" xr:uid="{00000000-0005-0000-0000-000081210000}"/>
    <cellStyle name="Normal 77 6 3 2" xfId="8645" xr:uid="{00000000-0005-0000-0000-000082210000}"/>
    <cellStyle name="Normal 77 6 4" xfId="8646" xr:uid="{00000000-0005-0000-0000-000083210000}"/>
    <cellStyle name="Normal 77 7" xfId="8647" xr:uid="{00000000-0005-0000-0000-000084210000}"/>
    <cellStyle name="Normal 77 7 2" xfId="8648" xr:uid="{00000000-0005-0000-0000-000085210000}"/>
    <cellStyle name="Normal 77 7 2 2" xfId="8649" xr:uid="{00000000-0005-0000-0000-000086210000}"/>
    <cellStyle name="Normal 77 7 3" xfId="8650" xr:uid="{00000000-0005-0000-0000-000087210000}"/>
    <cellStyle name="Normal 77 8" xfId="8651" xr:uid="{00000000-0005-0000-0000-000088210000}"/>
    <cellStyle name="Normal 77 8 2" xfId="8652" xr:uid="{00000000-0005-0000-0000-000089210000}"/>
    <cellStyle name="Normal 77 9" xfId="8653" xr:uid="{00000000-0005-0000-0000-00008A210000}"/>
    <cellStyle name="Normal 78" xfId="8654" xr:uid="{00000000-0005-0000-0000-00008B210000}"/>
    <cellStyle name="Normal 78 2" xfId="8655" xr:uid="{00000000-0005-0000-0000-00008C210000}"/>
    <cellStyle name="Normal 78 2 2" xfId="8656" xr:uid="{00000000-0005-0000-0000-00008D210000}"/>
    <cellStyle name="Normal 78 3" xfId="8657" xr:uid="{00000000-0005-0000-0000-00008E210000}"/>
    <cellStyle name="Normal 78 3 2" xfId="8658" xr:uid="{00000000-0005-0000-0000-00008F210000}"/>
    <cellStyle name="Normal 78 3 2 2" xfId="8659" xr:uid="{00000000-0005-0000-0000-000090210000}"/>
    <cellStyle name="Normal 78 3 2 2 2" xfId="8660" xr:uid="{00000000-0005-0000-0000-000091210000}"/>
    <cellStyle name="Normal 78 3 2 2 2 2" xfId="8661" xr:uid="{00000000-0005-0000-0000-000092210000}"/>
    <cellStyle name="Normal 78 3 2 2 3" xfId="8662" xr:uid="{00000000-0005-0000-0000-000093210000}"/>
    <cellStyle name="Normal 78 3 2 3" xfId="8663" xr:uid="{00000000-0005-0000-0000-000094210000}"/>
    <cellStyle name="Normal 78 3 2 3 2" xfId="8664" xr:uid="{00000000-0005-0000-0000-000095210000}"/>
    <cellStyle name="Normal 78 3 2 4" xfId="8665" xr:uid="{00000000-0005-0000-0000-000096210000}"/>
    <cellStyle name="Normal 78 3 3" xfId="8666" xr:uid="{00000000-0005-0000-0000-000097210000}"/>
    <cellStyle name="Normal 78 3 3 2" xfId="8667" xr:uid="{00000000-0005-0000-0000-000098210000}"/>
    <cellStyle name="Normal 78 3 3 2 2" xfId="8668" xr:uid="{00000000-0005-0000-0000-000099210000}"/>
    <cellStyle name="Normal 78 3 3 3" xfId="8669" xr:uid="{00000000-0005-0000-0000-00009A210000}"/>
    <cellStyle name="Normal 78 3 4" xfId="8670" xr:uid="{00000000-0005-0000-0000-00009B210000}"/>
    <cellStyle name="Normal 78 3 4 2" xfId="8671" xr:uid="{00000000-0005-0000-0000-00009C210000}"/>
    <cellStyle name="Normal 78 3 5" xfId="8672" xr:uid="{00000000-0005-0000-0000-00009D210000}"/>
    <cellStyle name="Normal 78 4" xfId="8673" xr:uid="{00000000-0005-0000-0000-00009E210000}"/>
    <cellStyle name="Normal 78 4 2" xfId="8674" xr:uid="{00000000-0005-0000-0000-00009F210000}"/>
    <cellStyle name="Normal 78 4 2 2" xfId="8675" xr:uid="{00000000-0005-0000-0000-0000A0210000}"/>
    <cellStyle name="Normal 78 4 2 2 2" xfId="8676" xr:uid="{00000000-0005-0000-0000-0000A1210000}"/>
    <cellStyle name="Normal 78 4 2 2 2 2" xfId="8677" xr:uid="{00000000-0005-0000-0000-0000A2210000}"/>
    <cellStyle name="Normal 78 4 2 2 3" xfId="8678" xr:uid="{00000000-0005-0000-0000-0000A3210000}"/>
    <cellStyle name="Normal 78 4 2 3" xfId="8679" xr:uid="{00000000-0005-0000-0000-0000A4210000}"/>
    <cellStyle name="Normal 78 4 2 3 2" xfId="8680" xr:uid="{00000000-0005-0000-0000-0000A5210000}"/>
    <cellStyle name="Normal 78 4 2 4" xfId="8681" xr:uid="{00000000-0005-0000-0000-0000A6210000}"/>
    <cellStyle name="Normal 78 4 3" xfId="8682" xr:uid="{00000000-0005-0000-0000-0000A7210000}"/>
    <cellStyle name="Normal 78 4 3 2" xfId="8683" xr:uid="{00000000-0005-0000-0000-0000A8210000}"/>
    <cellStyle name="Normal 78 4 3 2 2" xfId="8684" xr:uid="{00000000-0005-0000-0000-0000A9210000}"/>
    <cellStyle name="Normal 78 4 3 3" xfId="8685" xr:uid="{00000000-0005-0000-0000-0000AA210000}"/>
    <cellStyle name="Normal 78 4 4" xfId="8686" xr:uid="{00000000-0005-0000-0000-0000AB210000}"/>
    <cellStyle name="Normal 78 4 4 2" xfId="8687" xr:uid="{00000000-0005-0000-0000-0000AC210000}"/>
    <cellStyle name="Normal 78 4 5" xfId="8688" xr:uid="{00000000-0005-0000-0000-0000AD210000}"/>
    <cellStyle name="Normal 78 5" xfId="8689" xr:uid="{00000000-0005-0000-0000-0000AE210000}"/>
    <cellStyle name="Normal 78 5 2" xfId="8690" xr:uid="{00000000-0005-0000-0000-0000AF210000}"/>
    <cellStyle name="Normal 78 5 2 2" xfId="8691" xr:uid="{00000000-0005-0000-0000-0000B0210000}"/>
    <cellStyle name="Normal 78 5 2 2 2" xfId="8692" xr:uid="{00000000-0005-0000-0000-0000B1210000}"/>
    <cellStyle name="Normal 78 5 2 2 2 2" xfId="8693" xr:uid="{00000000-0005-0000-0000-0000B2210000}"/>
    <cellStyle name="Normal 78 5 2 2 3" xfId="8694" xr:uid="{00000000-0005-0000-0000-0000B3210000}"/>
    <cellStyle name="Normal 78 5 2 3" xfId="8695" xr:uid="{00000000-0005-0000-0000-0000B4210000}"/>
    <cellStyle name="Normal 78 5 2 3 2" xfId="8696" xr:uid="{00000000-0005-0000-0000-0000B5210000}"/>
    <cellStyle name="Normal 78 5 2 4" xfId="8697" xr:uid="{00000000-0005-0000-0000-0000B6210000}"/>
    <cellStyle name="Normal 78 5 3" xfId="8698" xr:uid="{00000000-0005-0000-0000-0000B7210000}"/>
    <cellStyle name="Normal 78 5 3 2" xfId="8699" xr:uid="{00000000-0005-0000-0000-0000B8210000}"/>
    <cellStyle name="Normal 78 5 3 2 2" xfId="8700" xr:uid="{00000000-0005-0000-0000-0000B9210000}"/>
    <cellStyle name="Normal 78 5 3 3" xfId="8701" xr:uid="{00000000-0005-0000-0000-0000BA210000}"/>
    <cellStyle name="Normal 78 5 4" xfId="8702" xr:uid="{00000000-0005-0000-0000-0000BB210000}"/>
    <cellStyle name="Normal 78 5 4 2" xfId="8703" xr:uid="{00000000-0005-0000-0000-0000BC210000}"/>
    <cellStyle name="Normal 78 5 5" xfId="8704" xr:uid="{00000000-0005-0000-0000-0000BD210000}"/>
    <cellStyle name="Normal 78 6" xfId="8705" xr:uid="{00000000-0005-0000-0000-0000BE210000}"/>
    <cellStyle name="Normal 78 6 2" xfId="8706" xr:uid="{00000000-0005-0000-0000-0000BF210000}"/>
    <cellStyle name="Normal 78 6 2 2" xfId="8707" xr:uid="{00000000-0005-0000-0000-0000C0210000}"/>
    <cellStyle name="Normal 78 6 2 2 2" xfId="8708" xr:uid="{00000000-0005-0000-0000-0000C1210000}"/>
    <cellStyle name="Normal 78 6 2 3" xfId="8709" xr:uid="{00000000-0005-0000-0000-0000C2210000}"/>
    <cellStyle name="Normal 78 6 3" xfId="8710" xr:uid="{00000000-0005-0000-0000-0000C3210000}"/>
    <cellStyle name="Normal 78 6 3 2" xfId="8711" xr:uid="{00000000-0005-0000-0000-0000C4210000}"/>
    <cellStyle name="Normal 78 6 4" xfId="8712" xr:uid="{00000000-0005-0000-0000-0000C5210000}"/>
    <cellStyle name="Normal 78 7" xfId="8713" xr:uid="{00000000-0005-0000-0000-0000C6210000}"/>
    <cellStyle name="Normal 78 7 2" xfId="8714" xr:uid="{00000000-0005-0000-0000-0000C7210000}"/>
    <cellStyle name="Normal 78 7 2 2" xfId="8715" xr:uid="{00000000-0005-0000-0000-0000C8210000}"/>
    <cellStyle name="Normal 78 7 3" xfId="8716" xr:uid="{00000000-0005-0000-0000-0000C9210000}"/>
    <cellStyle name="Normal 78 8" xfId="8717" xr:uid="{00000000-0005-0000-0000-0000CA210000}"/>
    <cellStyle name="Normal 78 8 2" xfId="8718" xr:uid="{00000000-0005-0000-0000-0000CB210000}"/>
    <cellStyle name="Normal 78 9" xfId="8719" xr:uid="{00000000-0005-0000-0000-0000CC210000}"/>
    <cellStyle name="Normal 79" xfId="8720" xr:uid="{00000000-0005-0000-0000-0000CD210000}"/>
    <cellStyle name="Normal 79 2" xfId="8721" xr:uid="{00000000-0005-0000-0000-0000CE210000}"/>
    <cellStyle name="Normal 79 2 2" xfId="8722" xr:uid="{00000000-0005-0000-0000-0000CF210000}"/>
    <cellStyle name="Normal 79 3" xfId="8723" xr:uid="{00000000-0005-0000-0000-0000D0210000}"/>
    <cellStyle name="Normal 79 3 2" xfId="8724" xr:uid="{00000000-0005-0000-0000-0000D1210000}"/>
    <cellStyle name="Normal 79 3 2 2" xfId="8725" xr:uid="{00000000-0005-0000-0000-0000D2210000}"/>
    <cellStyle name="Normal 79 3 2 2 2" xfId="8726" xr:uid="{00000000-0005-0000-0000-0000D3210000}"/>
    <cellStyle name="Normal 79 3 2 2 2 2" xfId="8727" xr:uid="{00000000-0005-0000-0000-0000D4210000}"/>
    <cellStyle name="Normal 79 3 2 2 3" xfId="8728" xr:uid="{00000000-0005-0000-0000-0000D5210000}"/>
    <cellStyle name="Normal 79 3 2 3" xfId="8729" xr:uid="{00000000-0005-0000-0000-0000D6210000}"/>
    <cellStyle name="Normal 79 3 2 3 2" xfId="8730" xr:uid="{00000000-0005-0000-0000-0000D7210000}"/>
    <cellStyle name="Normal 79 3 2 4" xfId="8731" xr:uid="{00000000-0005-0000-0000-0000D8210000}"/>
    <cellStyle name="Normal 79 3 3" xfId="8732" xr:uid="{00000000-0005-0000-0000-0000D9210000}"/>
    <cellStyle name="Normal 79 3 3 2" xfId="8733" xr:uid="{00000000-0005-0000-0000-0000DA210000}"/>
    <cellStyle name="Normal 79 3 3 2 2" xfId="8734" xr:uid="{00000000-0005-0000-0000-0000DB210000}"/>
    <cellStyle name="Normal 79 3 3 3" xfId="8735" xr:uid="{00000000-0005-0000-0000-0000DC210000}"/>
    <cellStyle name="Normal 79 3 4" xfId="8736" xr:uid="{00000000-0005-0000-0000-0000DD210000}"/>
    <cellStyle name="Normal 79 3 4 2" xfId="8737" xr:uid="{00000000-0005-0000-0000-0000DE210000}"/>
    <cellStyle name="Normal 79 3 5" xfId="8738" xr:uid="{00000000-0005-0000-0000-0000DF210000}"/>
    <cellStyle name="Normal 79 4" xfId="8739" xr:uid="{00000000-0005-0000-0000-0000E0210000}"/>
    <cellStyle name="Normal 79 4 2" xfId="8740" xr:uid="{00000000-0005-0000-0000-0000E1210000}"/>
    <cellStyle name="Normal 79 4 2 2" xfId="8741" xr:uid="{00000000-0005-0000-0000-0000E2210000}"/>
    <cellStyle name="Normal 79 4 2 2 2" xfId="8742" xr:uid="{00000000-0005-0000-0000-0000E3210000}"/>
    <cellStyle name="Normal 79 4 2 2 2 2" xfId="8743" xr:uid="{00000000-0005-0000-0000-0000E4210000}"/>
    <cellStyle name="Normal 79 4 2 2 3" xfId="8744" xr:uid="{00000000-0005-0000-0000-0000E5210000}"/>
    <cellStyle name="Normal 79 4 2 3" xfId="8745" xr:uid="{00000000-0005-0000-0000-0000E6210000}"/>
    <cellStyle name="Normal 79 4 2 3 2" xfId="8746" xr:uid="{00000000-0005-0000-0000-0000E7210000}"/>
    <cellStyle name="Normal 79 4 2 4" xfId="8747" xr:uid="{00000000-0005-0000-0000-0000E8210000}"/>
    <cellStyle name="Normal 79 4 3" xfId="8748" xr:uid="{00000000-0005-0000-0000-0000E9210000}"/>
    <cellStyle name="Normal 79 4 3 2" xfId="8749" xr:uid="{00000000-0005-0000-0000-0000EA210000}"/>
    <cellStyle name="Normal 79 4 3 2 2" xfId="8750" xr:uid="{00000000-0005-0000-0000-0000EB210000}"/>
    <cellStyle name="Normal 79 4 3 3" xfId="8751" xr:uid="{00000000-0005-0000-0000-0000EC210000}"/>
    <cellStyle name="Normal 79 4 4" xfId="8752" xr:uid="{00000000-0005-0000-0000-0000ED210000}"/>
    <cellStyle name="Normal 79 4 4 2" xfId="8753" xr:uid="{00000000-0005-0000-0000-0000EE210000}"/>
    <cellStyle name="Normal 79 4 5" xfId="8754" xr:uid="{00000000-0005-0000-0000-0000EF210000}"/>
    <cellStyle name="Normal 79 5" xfId="8755" xr:uid="{00000000-0005-0000-0000-0000F0210000}"/>
    <cellStyle name="Normal 79 5 2" xfId="8756" xr:uid="{00000000-0005-0000-0000-0000F1210000}"/>
    <cellStyle name="Normal 79 5 2 2" xfId="8757" xr:uid="{00000000-0005-0000-0000-0000F2210000}"/>
    <cellStyle name="Normal 79 5 2 2 2" xfId="8758" xr:uid="{00000000-0005-0000-0000-0000F3210000}"/>
    <cellStyle name="Normal 79 5 2 2 2 2" xfId="8759" xr:uid="{00000000-0005-0000-0000-0000F4210000}"/>
    <cellStyle name="Normal 79 5 2 2 3" xfId="8760" xr:uid="{00000000-0005-0000-0000-0000F5210000}"/>
    <cellStyle name="Normal 79 5 2 3" xfId="8761" xr:uid="{00000000-0005-0000-0000-0000F6210000}"/>
    <cellStyle name="Normal 79 5 2 3 2" xfId="8762" xr:uid="{00000000-0005-0000-0000-0000F7210000}"/>
    <cellStyle name="Normal 79 5 2 4" xfId="8763" xr:uid="{00000000-0005-0000-0000-0000F8210000}"/>
    <cellStyle name="Normal 79 5 3" xfId="8764" xr:uid="{00000000-0005-0000-0000-0000F9210000}"/>
    <cellStyle name="Normal 79 5 3 2" xfId="8765" xr:uid="{00000000-0005-0000-0000-0000FA210000}"/>
    <cellStyle name="Normal 79 5 3 2 2" xfId="8766" xr:uid="{00000000-0005-0000-0000-0000FB210000}"/>
    <cellStyle name="Normal 79 5 3 3" xfId="8767" xr:uid="{00000000-0005-0000-0000-0000FC210000}"/>
    <cellStyle name="Normal 79 5 4" xfId="8768" xr:uid="{00000000-0005-0000-0000-0000FD210000}"/>
    <cellStyle name="Normal 79 5 4 2" xfId="8769" xr:uid="{00000000-0005-0000-0000-0000FE210000}"/>
    <cellStyle name="Normal 79 5 5" xfId="8770" xr:uid="{00000000-0005-0000-0000-0000FF210000}"/>
    <cellStyle name="Normal 79 6" xfId="8771" xr:uid="{00000000-0005-0000-0000-000000220000}"/>
    <cellStyle name="Normal 79 6 2" xfId="8772" xr:uid="{00000000-0005-0000-0000-000001220000}"/>
    <cellStyle name="Normal 79 6 2 2" xfId="8773" xr:uid="{00000000-0005-0000-0000-000002220000}"/>
    <cellStyle name="Normal 79 6 2 2 2" xfId="8774" xr:uid="{00000000-0005-0000-0000-000003220000}"/>
    <cellStyle name="Normal 79 6 2 3" xfId="8775" xr:uid="{00000000-0005-0000-0000-000004220000}"/>
    <cellStyle name="Normal 79 6 3" xfId="8776" xr:uid="{00000000-0005-0000-0000-000005220000}"/>
    <cellStyle name="Normal 79 6 3 2" xfId="8777" xr:uid="{00000000-0005-0000-0000-000006220000}"/>
    <cellStyle name="Normal 79 6 4" xfId="8778" xr:uid="{00000000-0005-0000-0000-000007220000}"/>
    <cellStyle name="Normal 79 7" xfId="8779" xr:uid="{00000000-0005-0000-0000-000008220000}"/>
    <cellStyle name="Normal 79 7 2" xfId="8780" xr:uid="{00000000-0005-0000-0000-000009220000}"/>
    <cellStyle name="Normal 79 7 2 2" xfId="8781" xr:uid="{00000000-0005-0000-0000-00000A220000}"/>
    <cellStyle name="Normal 79 7 3" xfId="8782" xr:uid="{00000000-0005-0000-0000-00000B220000}"/>
    <cellStyle name="Normal 79 8" xfId="8783" xr:uid="{00000000-0005-0000-0000-00000C220000}"/>
    <cellStyle name="Normal 79 8 2" xfId="8784" xr:uid="{00000000-0005-0000-0000-00000D220000}"/>
    <cellStyle name="Normal 79 9" xfId="8785" xr:uid="{00000000-0005-0000-0000-00000E220000}"/>
    <cellStyle name="Normal 8" xfId="308" xr:uid="{00000000-0005-0000-0000-00000F220000}"/>
    <cellStyle name="Normal 8 2" xfId="309" xr:uid="{00000000-0005-0000-0000-000010220000}"/>
    <cellStyle name="Normal 8 2 2" xfId="310" xr:uid="{00000000-0005-0000-0000-000011220000}"/>
    <cellStyle name="Normal 8 2 2 2" xfId="8786" xr:uid="{00000000-0005-0000-0000-000012220000}"/>
    <cellStyle name="Normal 8 2 3" xfId="311" xr:uid="{00000000-0005-0000-0000-000013220000}"/>
    <cellStyle name="Normal 8 3" xfId="312" xr:uid="{00000000-0005-0000-0000-000014220000}"/>
    <cellStyle name="Normal 8 3 2" xfId="8787" xr:uid="{00000000-0005-0000-0000-000015220000}"/>
    <cellStyle name="Normal 8 3 2 2" xfId="8788" xr:uid="{00000000-0005-0000-0000-000016220000}"/>
    <cellStyle name="Normal 8 3 2 2 2" xfId="8789" xr:uid="{00000000-0005-0000-0000-000017220000}"/>
    <cellStyle name="Normal 8 3 2 2 2 2" xfId="8790" xr:uid="{00000000-0005-0000-0000-000018220000}"/>
    <cellStyle name="Normal 8 3 2 2 3" xfId="8791" xr:uid="{00000000-0005-0000-0000-000019220000}"/>
    <cellStyle name="Normal 8 3 2 3" xfId="8792" xr:uid="{00000000-0005-0000-0000-00001A220000}"/>
    <cellStyle name="Normal 8 3 2 3 2" xfId="8793" xr:uid="{00000000-0005-0000-0000-00001B220000}"/>
    <cellStyle name="Normal 8 3 2 4" xfId="8794" xr:uid="{00000000-0005-0000-0000-00001C220000}"/>
    <cellStyle name="Normal 8 3 3" xfId="8795" xr:uid="{00000000-0005-0000-0000-00001D220000}"/>
    <cellStyle name="Normal 8 3 3 2" xfId="8796" xr:uid="{00000000-0005-0000-0000-00001E220000}"/>
    <cellStyle name="Normal 8 3 3 2 2" xfId="8797" xr:uid="{00000000-0005-0000-0000-00001F220000}"/>
    <cellStyle name="Normal 8 3 3 3" xfId="8798" xr:uid="{00000000-0005-0000-0000-000020220000}"/>
    <cellStyle name="Normal 8 3 4" xfId="8799" xr:uid="{00000000-0005-0000-0000-000021220000}"/>
    <cellStyle name="Normal 8 3 4 2" xfId="8800" xr:uid="{00000000-0005-0000-0000-000022220000}"/>
    <cellStyle name="Normal 8 3 5" xfId="8801" xr:uid="{00000000-0005-0000-0000-000023220000}"/>
    <cellStyle name="Normal 8 3 6" xfId="8802" xr:uid="{00000000-0005-0000-0000-000024220000}"/>
    <cellStyle name="Normal 8 4" xfId="313" xr:uid="{00000000-0005-0000-0000-000025220000}"/>
    <cellStyle name="Normal 8 4 2" xfId="8803" xr:uid="{00000000-0005-0000-0000-000026220000}"/>
    <cellStyle name="Normal 8 4 2 2" xfId="8804" xr:uid="{00000000-0005-0000-0000-000027220000}"/>
    <cellStyle name="Normal 8 4 2 2 2" xfId="8805" xr:uid="{00000000-0005-0000-0000-000028220000}"/>
    <cellStyle name="Normal 8 4 2 2 2 2" xfId="8806" xr:uid="{00000000-0005-0000-0000-000029220000}"/>
    <cellStyle name="Normal 8 4 2 2 3" xfId="8807" xr:uid="{00000000-0005-0000-0000-00002A220000}"/>
    <cellStyle name="Normal 8 4 2 3" xfId="8808" xr:uid="{00000000-0005-0000-0000-00002B220000}"/>
    <cellStyle name="Normal 8 4 2 3 2" xfId="8809" xr:uid="{00000000-0005-0000-0000-00002C220000}"/>
    <cellStyle name="Normal 8 4 2 4" xfId="8810" xr:uid="{00000000-0005-0000-0000-00002D220000}"/>
    <cellStyle name="Normal 8 4 3" xfId="8811" xr:uid="{00000000-0005-0000-0000-00002E220000}"/>
    <cellStyle name="Normal 8 4 3 2" xfId="8812" xr:uid="{00000000-0005-0000-0000-00002F220000}"/>
    <cellStyle name="Normal 8 4 3 2 2" xfId="8813" xr:uid="{00000000-0005-0000-0000-000030220000}"/>
    <cellStyle name="Normal 8 4 3 3" xfId="8814" xr:uid="{00000000-0005-0000-0000-000031220000}"/>
    <cellStyle name="Normal 8 4 4" xfId="8815" xr:uid="{00000000-0005-0000-0000-000032220000}"/>
    <cellStyle name="Normal 8 4 4 2" xfId="8816" xr:uid="{00000000-0005-0000-0000-000033220000}"/>
    <cellStyle name="Normal 8 4 5" xfId="8817" xr:uid="{00000000-0005-0000-0000-000034220000}"/>
    <cellStyle name="Normal 8 5" xfId="8818" xr:uid="{00000000-0005-0000-0000-000035220000}"/>
    <cellStyle name="Normal 8 5 2" xfId="8819" xr:uid="{00000000-0005-0000-0000-000036220000}"/>
    <cellStyle name="Normal 8 5 2 2" xfId="8820" xr:uid="{00000000-0005-0000-0000-000037220000}"/>
    <cellStyle name="Normal 8 5 2 2 2" xfId="8821" xr:uid="{00000000-0005-0000-0000-000038220000}"/>
    <cellStyle name="Normal 8 5 2 2 2 2" xfId="8822" xr:uid="{00000000-0005-0000-0000-000039220000}"/>
    <cellStyle name="Normal 8 5 2 2 3" xfId="8823" xr:uid="{00000000-0005-0000-0000-00003A220000}"/>
    <cellStyle name="Normal 8 5 2 3" xfId="8824" xr:uid="{00000000-0005-0000-0000-00003B220000}"/>
    <cellStyle name="Normal 8 5 2 3 2" xfId="8825" xr:uid="{00000000-0005-0000-0000-00003C220000}"/>
    <cellStyle name="Normal 8 5 2 4" xfId="8826" xr:uid="{00000000-0005-0000-0000-00003D220000}"/>
    <cellStyle name="Normal 8 5 3" xfId="8827" xr:uid="{00000000-0005-0000-0000-00003E220000}"/>
    <cellStyle name="Normal 8 5 3 2" xfId="8828" xr:uid="{00000000-0005-0000-0000-00003F220000}"/>
    <cellStyle name="Normal 8 5 3 2 2" xfId="8829" xr:uid="{00000000-0005-0000-0000-000040220000}"/>
    <cellStyle name="Normal 8 5 3 3" xfId="8830" xr:uid="{00000000-0005-0000-0000-000041220000}"/>
    <cellStyle name="Normal 8 5 4" xfId="8831" xr:uid="{00000000-0005-0000-0000-000042220000}"/>
    <cellStyle name="Normal 8 5 4 2" xfId="8832" xr:uid="{00000000-0005-0000-0000-000043220000}"/>
    <cellStyle name="Normal 8 5 5" xfId="8833" xr:uid="{00000000-0005-0000-0000-000044220000}"/>
    <cellStyle name="Normal 8 5 6" xfId="8834" xr:uid="{00000000-0005-0000-0000-000045220000}"/>
    <cellStyle name="Normal 8 6" xfId="8835" xr:uid="{00000000-0005-0000-0000-000046220000}"/>
    <cellStyle name="Normal 8 6 2" xfId="8836" xr:uid="{00000000-0005-0000-0000-000047220000}"/>
    <cellStyle name="Normal 8 6 2 2" xfId="8837" xr:uid="{00000000-0005-0000-0000-000048220000}"/>
    <cellStyle name="Normal 8 6 2 2 2" xfId="8838" xr:uid="{00000000-0005-0000-0000-000049220000}"/>
    <cellStyle name="Normal 8 6 2 3" xfId="8839" xr:uid="{00000000-0005-0000-0000-00004A220000}"/>
    <cellStyle name="Normal 8 6 3" xfId="8840" xr:uid="{00000000-0005-0000-0000-00004B220000}"/>
    <cellStyle name="Normal 8 6 3 2" xfId="8841" xr:uid="{00000000-0005-0000-0000-00004C220000}"/>
    <cellStyle name="Normal 8 6 4" xfId="8842" xr:uid="{00000000-0005-0000-0000-00004D220000}"/>
    <cellStyle name="Normal 8 6 5" xfId="8843" xr:uid="{00000000-0005-0000-0000-00004E220000}"/>
    <cellStyle name="Normal 8 7" xfId="8844" xr:uid="{00000000-0005-0000-0000-00004F220000}"/>
    <cellStyle name="Normal 8 7 2" xfId="8845" xr:uid="{00000000-0005-0000-0000-000050220000}"/>
    <cellStyle name="Normal 8 7 2 2" xfId="8846" xr:uid="{00000000-0005-0000-0000-000051220000}"/>
    <cellStyle name="Normal 8 7 3" xfId="8847" xr:uid="{00000000-0005-0000-0000-000052220000}"/>
    <cellStyle name="Normal 8 7 4" xfId="8848" xr:uid="{00000000-0005-0000-0000-000053220000}"/>
    <cellStyle name="Normal 8 8" xfId="8849" xr:uid="{00000000-0005-0000-0000-000054220000}"/>
    <cellStyle name="Normal 8 8 2" xfId="8850" xr:uid="{00000000-0005-0000-0000-000055220000}"/>
    <cellStyle name="Normal 8 9" xfId="8851" xr:uid="{00000000-0005-0000-0000-000056220000}"/>
    <cellStyle name="Normal 80" xfId="8852" xr:uid="{00000000-0005-0000-0000-000057220000}"/>
    <cellStyle name="Normal 80 2" xfId="8853" xr:uid="{00000000-0005-0000-0000-000058220000}"/>
    <cellStyle name="Normal 80 2 2" xfId="8854" xr:uid="{00000000-0005-0000-0000-000059220000}"/>
    <cellStyle name="Normal 80 3" xfId="8855" xr:uid="{00000000-0005-0000-0000-00005A220000}"/>
    <cellStyle name="Normal 80 3 2" xfId="8856" xr:uid="{00000000-0005-0000-0000-00005B220000}"/>
    <cellStyle name="Normal 80 3 2 2" xfId="8857" xr:uid="{00000000-0005-0000-0000-00005C220000}"/>
    <cellStyle name="Normal 80 3 2 2 2" xfId="8858" xr:uid="{00000000-0005-0000-0000-00005D220000}"/>
    <cellStyle name="Normal 80 3 2 2 2 2" xfId="8859" xr:uid="{00000000-0005-0000-0000-00005E220000}"/>
    <cellStyle name="Normal 80 3 2 2 3" xfId="8860" xr:uid="{00000000-0005-0000-0000-00005F220000}"/>
    <cellStyle name="Normal 80 3 2 3" xfId="8861" xr:uid="{00000000-0005-0000-0000-000060220000}"/>
    <cellStyle name="Normal 80 3 2 3 2" xfId="8862" xr:uid="{00000000-0005-0000-0000-000061220000}"/>
    <cellStyle name="Normal 80 3 2 4" xfId="8863" xr:uid="{00000000-0005-0000-0000-000062220000}"/>
    <cellStyle name="Normal 80 3 3" xfId="8864" xr:uid="{00000000-0005-0000-0000-000063220000}"/>
    <cellStyle name="Normal 80 3 3 2" xfId="8865" xr:uid="{00000000-0005-0000-0000-000064220000}"/>
    <cellStyle name="Normal 80 3 3 2 2" xfId="8866" xr:uid="{00000000-0005-0000-0000-000065220000}"/>
    <cellStyle name="Normal 80 3 3 3" xfId="8867" xr:uid="{00000000-0005-0000-0000-000066220000}"/>
    <cellStyle name="Normal 80 3 4" xfId="8868" xr:uid="{00000000-0005-0000-0000-000067220000}"/>
    <cellStyle name="Normal 80 3 4 2" xfId="8869" xr:uid="{00000000-0005-0000-0000-000068220000}"/>
    <cellStyle name="Normal 80 3 5" xfId="8870" xr:uid="{00000000-0005-0000-0000-000069220000}"/>
    <cellStyle name="Normal 80 4" xfId="8871" xr:uid="{00000000-0005-0000-0000-00006A220000}"/>
    <cellStyle name="Normal 80 4 2" xfId="8872" xr:uid="{00000000-0005-0000-0000-00006B220000}"/>
    <cellStyle name="Normal 80 4 2 2" xfId="8873" xr:uid="{00000000-0005-0000-0000-00006C220000}"/>
    <cellStyle name="Normal 80 4 2 2 2" xfId="8874" xr:uid="{00000000-0005-0000-0000-00006D220000}"/>
    <cellStyle name="Normal 80 4 2 2 2 2" xfId="8875" xr:uid="{00000000-0005-0000-0000-00006E220000}"/>
    <cellStyle name="Normal 80 4 2 2 3" xfId="8876" xr:uid="{00000000-0005-0000-0000-00006F220000}"/>
    <cellStyle name="Normal 80 4 2 3" xfId="8877" xr:uid="{00000000-0005-0000-0000-000070220000}"/>
    <cellStyle name="Normal 80 4 2 3 2" xfId="8878" xr:uid="{00000000-0005-0000-0000-000071220000}"/>
    <cellStyle name="Normal 80 4 2 4" xfId="8879" xr:uid="{00000000-0005-0000-0000-000072220000}"/>
    <cellStyle name="Normal 80 4 3" xfId="8880" xr:uid="{00000000-0005-0000-0000-000073220000}"/>
    <cellStyle name="Normal 80 4 3 2" xfId="8881" xr:uid="{00000000-0005-0000-0000-000074220000}"/>
    <cellStyle name="Normal 80 4 3 2 2" xfId="8882" xr:uid="{00000000-0005-0000-0000-000075220000}"/>
    <cellStyle name="Normal 80 4 3 3" xfId="8883" xr:uid="{00000000-0005-0000-0000-000076220000}"/>
    <cellStyle name="Normal 80 4 4" xfId="8884" xr:uid="{00000000-0005-0000-0000-000077220000}"/>
    <cellStyle name="Normal 80 4 4 2" xfId="8885" xr:uid="{00000000-0005-0000-0000-000078220000}"/>
    <cellStyle name="Normal 80 4 5" xfId="8886" xr:uid="{00000000-0005-0000-0000-000079220000}"/>
    <cellStyle name="Normal 80 5" xfId="8887" xr:uid="{00000000-0005-0000-0000-00007A220000}"/>
    <cellStyle name="Normal 80 5 2" xfId="8888" xr:uid="{00000000-0005-0000-0000-00007B220000}"/>
    <cellStyle name="Normal 80 5 2 2" xfId="8889" xr:uid="{00000000-0005-0000-0000-00007C220000}"/>
    <cellStyle name="Normal 80 5 2 2 2" xfId="8890" xr:uid="{00000000-0005-0000-0000-00007D220000}"/>
    <cellStyle name="Normal 80 5 2 2 2 2" xfId="8891" xr:uid="{00000000-0005-0000-0000-00007E220000}"/>
    <cellStyle name="Normal 80 5 2 2 3" xfId="8892" xr:uid="{00000000-0005-0000-0000-00007F220000}"/>
    <cellStyle name="Normal 80 5 2 3" xfId="8893" xr:uid="{00000000-0005-0000-0000-000080220000}"/>
    <cellStyle name="Normal 80 5 2 3 2" xfId="8894" xr:uid="{00000000-0005-0000-0000-000081220000}"/>
    <cellStyle name="Normal 80 5 2 4" xfId="8895" xr:uid="{00000000-0005-0000-0000-000082220000}"/>
    <cellStyle name="Normal 80 5 3" xfId="8896" xr:uid="{00000000-0005-0000-0000-000083220000}"/>
    <cellStyle name="Normal 80 5 3 2" xfId="8897" xr:uid="{00000000-0005-0000-0000-000084220000}"/>
    <cellStyle name="Normal 80 5 3 2 2" xfId="8898" xr:uid="{00000000-0005-0000-0000-000085220000}"/>
    <cellStyle name="Normal 80 5 3 3" xfId="8899" xr:uid="{00000000-0005-0000-0000-000086220000}"/>
    <cellStyle name="Normal 80 5 4" xfId="8900" xr:uid="{00000000-0005-0000-0000-000087220000}"/>
    <cellStyle name="Normal 80 5 4 2" xfId="8901" xr:uid="{00000000-0005-0000-0000-000088220000}"/>
    <cellStyle name="Normal 80 5 5" xfId="8902" xr:uid="{00000000-0005-0000-0000-000089220000}"/>
    <cellStyle name="Normal 80 6" xfId="8903" xr:uid="{00000000-0005-0000-0000-00008A220000}"/>
    <cellStyle name="Normal 80 6 2" xfId="8904" xr:uid="{00000000-0005-0000-0000-00008B220000}"/>
    <cellStyle name="Normal 80 6 2 2" xfId="8905" xr:uid="{00000000-0005-0000-0000-00008C220000}"/>
    <cellStyle name="Normal 80 6 2 2 2" xfId="8906" xr:uid="{00000000-0005-0000-0000-00008D220000}"/>
    <cellStyle name="Normal 80 6 2 3" xfId="8907" xr:uid="{00000000-0005-0000-0000-00008E220000}"/>
    <cellStyle name="Normal 80 6 3" xfId="8908" xr:uid="{00000000-0005-0000-0000-00008F220000}"/>
    <cellStyle name="Normal 80 6 3 2" xfId="8909" xr:uid="{00000000-0005-0000-0000-000090220000}"/>
    <cellStyle name="Normal 80 6 4" xfId="8910" xr:uid="{00000000-0005-0000-0000-000091220000}"/>
    <cellStyle name="Normal 80 7" xfId="8911" xr:uid="{00000000-0005-0000-0000-000092220000}"/>
    <cellStyle name="Normal 80 7 2" xfId="8912" xr:uid="{00000000-0005-0000-0000-000093220000}"/>
    <cellStyle name="Normal 80 7 2 2" xfId="8913" xr:uid="{00000000-0005-0000-0000-000094220000}"/>
    <cellStyle name="Normal 80 7 3" xfId="8914" xr:uid="{00000000-0005-0000-0000-000095220000}"/>
    <cellStyle name="Normal 80 8" xfId="8915" xr:uid="{00000000-0005-0000-0000-000096220000}"/>
    <cellStyle name="Normal 80 8 2" xfId="8916" xr:uid="{00000000-0005-0000-0000-000097220000}"/>
    <cellStyle name="Normal 80 9" xfId="8917" xr:uid="{00000000-0005-0000-0000-000098220000}"/>
    <cellStyle name="Normal 81" xfId="8918" xr:uid="{00000000-0005-0000-0000-000099220000}"/>
    <cellStyle name="Normal 81 2" xfId="8919" xr:uid="{00000000-0005-0000-0000-00009A220000}"/>
    <cellStyle name="Normal 81 2 2" xfId="8920" xr:uid="{00000000-0005-0000-0000-00009B220000}"/>
    <cellStyle name="Normal 81 3" xfId="8921" xr:uid="{00000000-0005-0000-0000-00009C220000}"/>
    <cellStyle name="Normal 81 3 2" xfId="8922" xr:uid="{00000000-0005-0000-0000-00009D220000}"/>
    <cellStyle name="Normal 81 3 2 2" xfId="8923" xr:uid="{00000000-0005-0000-0000-00009E220000}"/>
    <cellStyle name="Normal 81 3 2 2 2" xfId="8924" xr:uid="{00000000-0005-0000-0000-00009F220000}"/>
    <cellStyle name="Normal 81 3 2 2 2 2" xfId="8925" xr:uid="{00000000-0005-0000-0000-0000A0220000}"/>
    <cellStyle name="Normal 81 3 2 2 3" xfId="8926" xr:uid="{00000000-0005-0000-0000-0000A1220000}"/>
    <cellStyle name="Normal 81 3 2 3" xfId="8927" xr:uid="{00000000-0005-0000-0000-0000A2220000}"/>
    <cellStyle name="Normal 81 3 2 3 2" xfId="8928" xr:uid="{00000000-0005-0000-0000-0000A3220000}"/>
    <cellStyle name="Normal 81 3 2 4" xfId="8929" xr:uid="{00000000-0005-0000-0000-0000A4220000}"/>
    <cellStyle name="Normal 81 3 3" xfId="8930" xr:uid="{00000000-0005-0000-0000-0000A5220000}"/>
    <cellStyle name="Normal 81 3 3 2" xfId="8931" xr:uid="{00000000-0005-0000-0000-0000A6220000}"/>
    <cellStyle name="Normal 81 3 3 2 2" xfId="8932" xr:uid="{00000000-0005-0000-0000-0000A7220000}"/>
    <cellStyle name="Normal 81 3 3 3" xfId="8933" xr:uid="{00000000-0005-0000-0000-0000A8220000}"/>
    <cellStyle name="Normal 81 3 4" xfId="8934" xr:uid="{00000000-0005-0000-0000-0000A9220000}"/>
    <cellStyle name="Normal 81 3 4 2" xfId="8935" xr:uid="{00000000-0005-0000-0000-0000AA220000}"/>
    <cellStyle name="Normal 81 3 5" xfId="8936" xr:uid="{00000000-0005-0000-0000-0000AB220000}"/>
    <cellStyle name="Normal 81 4" xfId="8937" xr:uid="{00000000-0005-0000-0000-0000AC220000}"/>
    <cellStyle name="Normal 81 4 2" xfId="8938" xr:uid="{00000000-0005-0000-0000-0000AD220000}"/>
    <cellStyle name="Normal 81 4 2 2" xfId="8939" xr:uid="{00000000-0005-0000-0000-0000AE220000}"/>
    <cellStyle name="Normal 81 4 2 2 2" xfId="8940" xr:uid="{00000000-0005-0000-0000-0000AF220000}"/>
    <cellStyle name="Normal 81 4 2 2 2 2" xfId="8941" xr:uid="{00000000-0005-0000-0000-0000B0220000}"/>
    <cellStyle name="Normal 81 4 2 2 3" xfId="8942" xr:uid="{00000000-0005-0000-0000-0000B1220000}"/>
    <cellStyle name="Normal 81 4 2 3" xfId="8943" xr:uid="{00000000-0005-0000-0000-0000B2220000}"/>
    <cellStyle name="Normal 81 4 2 3 2" xfId="8944" xr:uid="{00000000-0005-0000-0000-0000B3220000}"/>
    <cellStyle name="Normal 81 4 2 4" xfId="8945" xr:uid="{00000000-0005-0000-0000-0000B4220000}"/>
    <cellStyle name="Normal 81 4 3" xfId="8946" xr:uid="{00000000-0005-0000-0000-0000B5220000}"/>
    <cellStyle name="Normal 81 4 3 2" xfId="8947" xr:uid="{00000000-0005-0000-0000-0000B6220000}"/>
    <cellStyle name="Normal 81 4 3 2 2" xfId="8948" xr:uid="{00000000-0005-0000-0000-0000B7220000}"/>
    <cellStyle name="Normal 81 4 3 3" xfId="8949" xr:uid="{00000000-0005-0000-0000-0000B8220000}"/>
    <cellStyle name="Normal 81 4 4" xfId="8950" xr:uid="{00000000-0005-0000-0000-0000B9220000}"/>
    <cellStyle name="Normal 81 4 4 2" xfId="8951" xr:uid="{00000000-0005-0000-0000-0000BA220000}"/>
    <cellStyle name="Normal 81 4 5" xfId="8952" xr:uid="{00000000-0005-0000-0000-0000BB220000}"/>
    <cellStyle name="Normal 81 5" xfId="8953" xr:uid="{00000000-0005-0000-0000-0000BC220000}"/>
    <cellStyle name="Normal 81 5 2" xfId="8954" xr:uid="{00000000-0005-0000-0000-0000BD220000}"/>
    <cellStyle name="Normal 81 5 2 2" xfId="8955" xr:uid="{00000000-0005-0000-0000-0000BE220000}"/>
    <cellStyle name="Normal 81 5 2 2 2" xfId="8956" xr:uid="{00000000-0005-0000-0000-0000BF220000}"/>
    <cellStyle name="Normal 81 5 2 2 2 2" xfId="8957" xr:uid="{00000000-0005-0000-0000-0000C0220000}"/>
    <cellStyle name="Normal 81 5 2 2 3" xfId="8958" xr:uid="{00000000-0005-0000-0000-0000C1220000}"/>
    <cellStyle name="Normal 81 5 2 3" xfId="8959" xr:uid="{00000000-0005-0000-0000-0000C2220000}"/>
    <cellStyle name="Normal 81 5 2 3 2" xfId="8960" xr:uid="{00000000-0005-0000-0000-0000C3220000}"/>
    <cellStyle name="Normal 81 5 2 4" xfId="8961" xr:uid="{00000000-0005-0000-0000-0000C4220000}"/>
    <cellStyle name="Normal 81 5 3" xfId="8962" xr:uid="{00000000-0005-0000-0000-0000C5220000}"/>
    <cellStyle name="Normal 81 5 3 2" xfId="8963" xr:uid="{00000000-0005-0000-0000-0000C6220000}"/>
    <cellStyle name="Normal 81 5 3 2 2" xfId="8964" xr:uid="{00000000-0005-0000-0000-0000C7220000}"/>
    <cellStyle name="Normal 81 5 3 3" xfId="8965" xr:uid="{00000000-0005-0000-0000-0000C8220000}"/>
    <cellStyle name="Normal 81 5 4" xfId="8966" xr:uid="{00000000-0005-0000-0000-0000C9220000}"/>
    <cellStyle name="Normal 81 5 4 2" xfId="8967" xr:uid="{00000000-0005-0000-0000-0000CA220000}"/>
    <cellStyle name="Normal 81 5 5" xfId="8968" xr:uid="{00000000-0005-0000-0000-0000CB220000}"/>
    <cellStyle name="Normal 81 6" xfId="8969" xr:uid="{00000000-0005-0000-0000-0000CC220000}"/>
    <cellStyle name="Normal 81 6 2" xfId="8970" xr:uid="{00000000-0005-0000-0000-0000CD220000}"/>
    <cellStyle name="Normal 81 6 2 2" xfId="8971" xr:uid="{00000000-0005-0000-0000-0000CE220000}"/>
    <cellStyle name="Normal 81 6 2 2 2" xfId="8972" xr:uid="{00000000-0005-0000-0000-0000CF220000}"/>
    <cellStyle name="Normal 81 6 2 3" xfId="8973" xr:uid="{00000000-0005-0000-0000-0000D0220000}"/>
    <cellStyle name="Normal 81 6 3" xfId="8974" xr:uid="{00000000-0005-0000-0000-0000D1220000}"/>
    <cellStyle name="Normal 81 6 3 2" xfId="8975" xr:uid="{00000000-0005-0000-0000-0000D2220000}"/>
    <cellStyle name="Normal 81 6 4" xfId="8976" xr:uid="{00000000-0005-0000-0000-0000D3220000}"/>
    <cellStyle name="Normal 81 7" xfId="8977" xr:uid="{00000000-0005-0000-0000-0000D4220000}"/>
    <cellStyle name="Normal 81 7 2" xfId="8978" xr:uid="{00000000-0005-0000-0000-0000D5220000}"/>
    <cellStyle name="Normal 81 7 2 2" xfId="8979" xr:uid="{00000000-0005-0000-0000-0000D6220000}"/>
    <cellStyle name="Normal 81 7 3" xfId="8980" xr:uid="{00000000-0005-0000-0000-0000D7220000}"/>
    <cellStyle name="Normal 81 8" xfId="8981" xr:uid="{00000000-0005-0000-0000-0000D8220000}"/>
    <cellStyle name="Normal 81 8 2" xfId="8982" xr:uid="{00000000-0005-0000-0000-0000D9220000}"/>
    <cellStyle name="Normal 81 9" xfId="8983" xr:uid="{00000000-0005-0000-0000-0000DA220000}"/>
    <cellStyle name="Normal 82" xfId="8984" xr:uid="{00000000-0005-0000-0000-0000DB220000}"/>
    <cellStyle name="Normal 82 2" xfId="8985" xr:uid="{00000000-0005-0000-0000-0000DC220000}"/>
    <cellStyle name="Normal 82 2 2" xfId="8986" xr:uid="{00000000-0005-0000-0000-0000DD220000}"/>
    <cellStyle name="Normal 82 3" xfId="8987" xr:uid="{00000000-0005-0000-0000-0000DE220000}"/>
    <cellStyle name="Normal 82 3 2" xfId="8988" xr:uid="{00000000-0005-0000-0000-0000DF220000}"/>
    <cellStyle name="Normal 82 3 2 2" xfId="8989" xr:uid="{00000000-0005-0000-0000-0000E0220000}"/>
    <cellStyle name="Normal 82 3 2 2 2" xfId="8990" xr:uid="{00000000-0005-0000-0000-0000E1220000}"/>
    <cellStyle name="Normal 82 3 2 2 2 2" xfId="8991" xr:uid="{00000000-0005-0000-0000-0000E2220000}"/>
    <cellStyle name="Normal 82 3 2 2 3" xfId="8992" xr:uid="{00000000-0005-0000-0000-0000E3220000}"/>
    <cellStyle name="Normal 82 3 2 3" xfId="8993" xr:uid="{00000000-0005-0000-0000-0000E4220000}"/>
    <cellStyle name="Normal 82 3 2 3 2" xfId="8994" xr:uid="{00000000-0005-0000-0000-0000E5220000}"/>
    <cellStyle name="Normal 82 3 2 4" xfId="8995" xr:uid="{00000000-0005-0000-0000-0000E6220000}"/>
    <cellStyle name="Normal 82 3 3" xfId="8996" xr:uid="{00000000-0005-0000-0000-0000E7220000}"/>
    <cellStyle name="Normal 82 3 3 2" xfId="8997" xr:uid="{00000000-0005-0000-0000-0000E8220000}"/>
    <cellStyle name="Normal 82 3 3 2 2" xfId="8998" xr:uid="{00000000-0005-0000-0000-0000E9220000}"/>
    <cellStyle name="Normal 82 3 3 3" xfId="8999" xr:uid="{00000000-0005-0000-0000-0000EA220000}"/>
    <cellStyle name="Normal 82 3 4" xfId="9000" xr:uid="{00000000-0005-0000-0000-0000EB220000}"/>
    <cellStyle name="Normal 82 3 4 2" xfId="9001" xr:uid="{00000000-0005-0000-0000-0000EC220000}"/>
    <cellStyle name="Normal 82 3 5" xfId="9002" xr:uid="{00000000-0005-0000-0000-0000ED220000}"/>
    <cellStyle name="Normal 82 4" xfId="9003" xr:uid="{00000000-0005-0000-0000-0000EE220000}"/>
    <cellStyle name="Normal 82 4 2" xfId="9004" xr:uid="{00000000-0005-0000-0000-0000EF220000}"/>
    <cellStyle name="Normal 82 4 2 2" xfId="9005" xr:uid="{00000000-0005-0000-0000-0000F0220000}"/>
    <cellStyle name="Normal 82 4 2 2 2" xfId="9006" xr:uid="{00000000-0005-0000-0000-0000F1220000}"/>
    <cellStyle name="Normal 82 4 2 2 2 2" xfId="9007" xr:uid="{00000000-0005-0000-0000-0000F2220000}"/>
    <cellStyle name="Normal 82 4 2 2 3" xfId="9008" xr:uid="{00000000-0005-0000-0000-0000F3220000}"/>
    <cellStyle name="Normal 82 4 2 3" xfId="9009" xr:uid="{00000000-0005-0000-0000-0000F4220000}"/>
    <cellStyle name="Normal 82 4 2 3 2" xfId="9010" xr:uid="{00000000-0005-0000-0000-0000F5220000}"/>
    <cellStyle name="Normal 82 4 2 4" xfId="9011" xr:uid="{00000000-0005-0000-0000-0000F6220000}"/>
    <cellStyle name="Normal 82 4 3" xfId="9012" xr:uid="{00000000-0005-0000-0000-0000F7220000}"/>
    <cellStyle name="Normal 82 4 3 2" xfId="9013" xr:uid="{00000000-0005-0000-0000-0000F8220000}"/>
    <cellStyle name="Normal 82 4 3 2 2" xfId="9014" xr:uid="{00000000-0005-0000-0000-0000F9220000}"/>
    <cellStyle name="Normal 82 4 3 3" xfId="9015" xr:uid="{00000000-0005-0000-0000-0000FA220000}"/>
    <cellStyle name="Normal 82 4 4" xfId="9016" xr:uid="{00000000-0005-0000-0000-0000FB220000}"/>
    <cellStyle name="Normal 82 4 4 2" xfId="9017" xr:uid="{00000000-0005-0000-0000-0000FC220000}"/>
    <cellStyle name="Normal 82 4 5" xfId="9018" xr:uid="{00000000-0005-0000-0000-0000FD220000}"/>
    <cellStyle name="Normal 82 5" xfId="9019" xr:uid="{00000000-0005-0000-0000-0000FE220000}"/>
    <cellStyle name="Normal 82 5 2" xfId="9020" xr:uid="{00000000-0005-0000-0000-0000FF220000}"/>
    <cellStyle name="Normal 82 5 2 2" xfId="9021" xr:uid="{00000000-0005-0000-0000-000000230000}"/>
    <cellStyle name="Normal 82 5 2 2 2" xfId="9022" xr:uid="{00000000-0005-0000-0000-000001230000}"/>
    <cellStyle name="Normal 82 5 2 2 2 2" xfId="9023" xr:uid="{00000000-0005-0000-0000-000002230000}"/>
    <cellStyle name="Normal 82 5 2 2 3" xfId="9024" xr:uid="{00000000-0005-0000-0000-000003230000}"/>
    <cellStyle name="Normal 82 5 2 3" xfId="9025" xr:uid="{00000000-0005-0000-0000-000004230000}"/>
    <cellStyle name="Normal 82 5 2 3 2" xfId="9026" xr:uid="{00000000-0005-0000-0000-000005230000}"/>
    <cellStyle name="Normal 82 5 2 4" xfId="9027" xr:uid="{00000000-0005-0000-0000-000006230000}"/>
    <cellStyle name="Normal 82 5 3" xfId="9028" xr:uid="{00000000-0005-0000-0000-000007230000}"/>
    <cellStyle name="Normal 82 5 3 2" xfId="9029" xr:uid="{00000000-0005-0000-0000-000008230000}"/>
    <cellStyle name="Normal 82 5 3 2 2" xfId="9030" xr:uid="{00000000-0005-0000-0000-000009230000}"/>
    <cellStyle name="Normal 82 5 3 3" xfId="9031" xr:uid="{00000000-0005-0000-0000-00000A230000}"/>
    <cellStyle name="Normal 82 5 4" xfId="9032" xr:uid="{00000000-0005-0000-0000-00000B230000}"/>
    <cellStyle name="Normal 82 5 4 2" xfId="9033" xr:uid="{00000000-0005-0000-0000-00000C230000}"/>
    <cellStyle name="Normal 82 5 5" xfId="9034" xr:uid="{00000000-0005-0000-0000-00000D230000}"/>
    <cellStyle name="Normal 82 6" xfId="9035" xr:uid="{00000000-0005-0000-0000-00000E230000}"/>
    <cellStyle name="Normal 82 6 2" xfId="9036" xr:uid="{00000000-0005-0000-0000-00000F230000}"/>
    <cellStyle name="Normal 82 6 2 2" xfId="9037" xr:uid="{00000000-0005-0000-0000-000010230000}"/>
    <cellStyle name="Normal 82 6 2 2 2" xfId="9038" xr:uid="{00000000-0005-0000-0000-000011230000}"/>
    <cellStyle name="Normal 82 6 2 3" xfId="9039" xr:uid="{00000000-0005-0000-0000-000012230000}"/>
    <cellStyle name="Normal 82 6 3" xfId="9040" xr:uid="{00000000-0005-0000-0000-000013230000}"/>
    <cellStyle name="Normal 82 6 3 2" xfId="9041" xr:uid="{00000000-0005-0000-0000-000014230000}"/>
    <cellStyle name="Normal 82 6 4" xfId="9042" xr:uid="{00000000-0005-0000-0000-000015230000}"/>
    <cellStyle name="Normal 82 7" xfId="9043" xr:uid="{00000000-0005-0000-0000-000016230000}"/>
    <cellStyle name="Normal 82 7 2" xfId="9044" xr:uid="{00000000-0005-0000-0000-000017230000}"/>
    <cellStyle name="Normal 82 7 2 2" xfId="9045" xr:uid="{00000000-0005-0000-0000-000018230000}"/>
    <cellStyle name="Normal 82 7 3" xfId="9046" xr:uid="{00000000-0005-0000-0000-000019230000}"/>
    <cellStyle name="Normal 82 8" xfId="9047" xr:uid="{00000000-0005-0000-0000-00001A230000}"/>
    <cellStyle name="Normal 82 8 2" xfId="9048" xr:uid="{00000000-0005-0000-0000-00001B230000}"/>
    <cellStyle name="Normal 82 9" xfId="9049" xr:uid="{00000000-0005-0000-0000-00001C230000}"/>
    <cellStyle name="Normal 83" xfId="9050" xr:uid="{00000000-0005-0000-0000-00001D230000}"/>
    <cellStyle name="Normal 83 2" xfId="9051" xr:uid="{00000000-0005-0000-0000-00001E230000}"/>
    <cellStyle name="Normal 83 2 2" xfId="9052" xr:uid="{00000000-0005-0000-0000-00001F230000}"/>
    <cellStyle name="Normal 83 3" xfId="9053" xr:uid="{00000000-0005-0000-0000-000020230000}"/>
    <cellStyle name="Normal 83 3 2" xfId="9054" xr:uid="{00000000-0005-0000-0000-000021230000}"/>
    <cellStyle name="Normal 83 3 2 2" xfId="9055" xr:uid="{00000000-0005-0000-0000-000022230000}"/>
    <cellStyle name="Normal 83 3 2 2 2" xfId="9056" xr:uid="{00000000-0005-0000-0000-000023230000}"/>
    <cellStyle name="Normal 83 3 2 2 2 2" xfId="9057" xr:uid="{00000000-0005-0000-0000-000024230000}"/>
    <cellStyle name="Normal 83 3 2 2 3" xfId="9058" xr:uid="{00000000-0005-0000-0000-000025230000}"/>
    <cellStyle name="Normal 83 3 2 3" xfId="9059" xr:uid="{00000000-0005-0000-0000-000026230000}"/>
    <cellStyle name="Normal 83 3 2 3 2" xfId="9060" xr:uid="{00000000-0005-0000-0000-000027230000}"/>
    <cellStyle name="Normal 83 3 2 4" xfId="9061" xr:uid="{00000000-0005-0000-0000-000028230000}"/>
    <cellStyle name="Normal 83 3 3" xfId="9062" xr:uid="{00000000-0005-0000-0000-000029230000}"/>
    <cellStyle name="Normal 83 3 3 2" xfId="9063" xr:uid="{00000000-0005-0000-0000-00002A230000}"/>
    <cellStyle name="Normal 83 3 3 2 2" xfId="9064" xr:uid="{00000000-0005-0000-0000-00002B230000}"/>
    <cellStyle name="Normal 83 3 3 3" xfId="9065" xr:uid="{00000000-0005-0000-0000-00002C230000}"/>
    <cellStyle name="Normal 83 3 4" xfId="9066" xr:uid="{00000000-0005-0000-0000-00002D230000}"/>
    <cellStyle name="Normal 83 3 4 2" xfId="9067" xr:uid="{00000000-0005-0000-0000-00002E230000}"/>
    <cellStyle name="Normal 83 3 5" xfId="9068" xr:uid="{00000000-0005-0000-0000-00002F230000}"/>
    <cellStyle name="Normal 83 4" xfId="9069" xr:uid="{00000000-0005-0000-0000-000030230000}"/>
    <cellStyle name="Normal 83 4 2" xfId="9070" xr:uid="{00000000-0005-0000-0000-000031230000}"/>
    <cellStyle name="Normal 83 4 2 2" xfId="9071" xr:uid="{00000000-0005-0000-0000-000032230000}"/>
    <cellStyle name="Normal 83 4 2 2 2" xfId="9072" xr:uid="{00000000-0005-0000-0000-000033230000}"/>
    <cellStyle name="Normal 83 4 2 2 2 2" xfId="9073" xr:uid="{00000000-0005-0000-0000-000034230000}"/>
    <cellStyle name="Normal 83 4 2 2 3" xfId="9074" xr:uid="{00000000-0005-0000-0000-000035230000}"/>
    <cellStyle name="Normal 83 4 2 3" xfId="9075" xr:uid="{00000000-0005-0000-0000-000036230000}"/>
    <cellStyle name="Normal 83 4 2 3 2" xfId="9076" xr:uid="{00000000-0005-0000-0000-000037230000}"/>
    <cellStyle name="Normal 83 4 2 4" xfId="9077" xr:uid="{00000000-0005-0000-0000-000038230000}"/>
    <cellStyle name="Normal 83 4 3" xfId="9078" xr:uid="{00000000-0005-0000-0000-000039230000}"/>
    <cellStyle name="Normal 83 4 3 2" xfId="9079" xr:uid="{00000000-0005-0000-0000-00003A230000}"/>
    <cellStyle name="Normal 83 4 3 2 2" xfId="9080" xr:uid="{00000000-0005-0000-0000-00003B230000}"/>
    <cellStyle name="Normal 83 4 3 3" xfId="9081" xr:uid="{00000000-0005-0000-0000-00003C230000}"/>
    <cellStyle name="Normal 83 4 4" xfId="9082" xr:uid="{00000000-0005-0000-0000-00003D230000}"/>
    <cellStyle name="Normal 83 4 4 2" xfId="9083" xr:uid="{00000000-0005-0000-0000-00003E230000}"/>
    <cellStyle name="Normal 83 4 5" xfId="9084" xr:uid="{00000000-0005-0000-0000-00003F230000}"/>
    <cellStyle name="Normal 83 5" xfId="9085" xr:uid="{00000000-0005-0000-0000-000040230000}"/>
    <cellStyle name="Normal 83 5 2" xfId="9086" xr:uid="{00000000-0005-0000-0000-000041230000}"/>
    <cellStyle name="Normal 83 5 2 2" xfId="9087" xr:uid="{00000000-0005-0000-0000-000042230000}"/>
    <cellStyle name="Normal 83 5 2 2 2" xfId="9088" xr:uid="{00000000-0005-0000-0000-000043230000}"/>
    <cellStyle name="Normal 83 5 2 2 2 2" xfId="9089" xr:uid="{00000000-0005-0000-0000-000044230000}"/>
    <cellStyle name="Normal 83 5 2 2 3" xfId="9090" xr:uid="{00000000-0005-0000-0000-000045230000}"/>
    <cellStyle name="Normal 83 5 2 3" xfId="9091" xr:uid="{00000000-0005-0000-0000-000046230000}"/>
    <cellStyle name="Normal 83 5 2 3 2" xfId="9092" xr:uid="{00000000-0005-0000-0000-000047230000}"/>
    <cellStyle name="Normal 83 5 2 4" xfId="9093" xr:uid="{00000000-0005-0000-0000-000048230000}"/>
    <cellStyle name="Normal 83 5 3" xfId="9094" xr:uid="{00000000-0005-0000-0000-000049230000}"/>
    <cellStyle name="Normal 83 5 3 2" xfId="9095" xr:uid="{00000000-0005-0000-0000-00004A230000}"/>
    <cellStyle name="Normal 83 5 3 2 2" xfId="9096" xr:uid="{00000000-0005-0000-0000-00004B230000}"/>
    <cellStyle name="Normal 83 5 3 3" xfId="9097" xr:uid="{00000000-0005-0000-0000-00004C230000}"/>
    <cellStyle name="Normal 83 5 4" xfId="9098" xr:uid="{00000000-0005-0000-0000-00004D230000}"/>
    <cellStyle name="Normal 83 5 4 2" xfId="9099" xr:uid="{00000000-0005-0000-0000-00004E230000}"/>
    <cellStyle name="Normal 83 5 5" xfId="9100" xr:uid="{00000000-0005-0000-0000-00004F230000}"/>
    <cellStyle name="Normal 83 6" xfId="9101" xr:uid="{00000000-0005-0000-0000-000050230000}"/>
    <cellStyle name="Normal 83 6 2" xfId="9102" xr:uid="{00000000-0005-0000-0000-000051230000}"/>
    <cellStyle name="Normal 83 6 2 2" xfId="9103" xr:uid="{00000000-0005-0000-0000-000052230000}"/>
    <cellStyle name="Normal 83 6 2 2 2" xfId="9104" xr:uid="{00000000-0005-0000-0000-000053230000}"/>
    <cellStyle name="Normal 83 6 2 3" xfId="9105" xr:uid="{00000000-0005-0000-0000-000054230000}"/>
    <cellStyle name="Normal 83 6 3" xfId="9106" xr:uid="{00000000-0005-0000-0000-000055230000}"/>
    <cellStyle name="Normal 83 6 3 2" xfId="9107" xr:uid="{00000000-0005-0000-0000-000056230000}"/>
    <cellStyle name="Normal 83 6 4" xfId="9108" xr:uid="{00000000-0005-0000-0000-000057230000}"/>
    <cellStyle name="Normal 83 7" xfId="9109" xr:uid="{00000000-0005-0000-0000-000058230000}"/>
    <cellStyle name="Normal 83 7 2" xfId="9110" xr:uid="{00000000-0005-0000-0000-000059230000}"/>
    <cellStyle name="Normal 83 7 2 2" xfId="9111" xr:uid="{00000000-0005-0000-0000-00005A230000}"/>
    <cellStyle name="Normal 83 7 3" xfId="9112" xr:uid="{00000000-0005-0000-0000-00005B230000}"/>
    <cellStyle name="Normal 83 8" xfId="9113" xr:uid="{00000000-0005-0000-0000-00005C230000}"/>
    <cellStyle name="Normal 83 8 2" xfId="9114" xr:uid="{00000000-0005-0000-0000-00005D230000}"/>
    <cellStyle name="Normal 83 9" xfId="9115" xr:uid="{00000000-0005-0000-0000-00005E230000}"/>
    <cellStyle name="Normal 84" xfId="9116" xr:uid="{00000000-0005-0000-0000-00005F230000}"/>
    <cellStyle name="Normal 84 2" xfId="9117" xr:uid="{00000000-0005-0000-0000-000060230000}"/>
    <cellStyle name="Normal 84 2 2" xfId="9118" xr:uid="{00000000-0005-0000-0000-000061230000}"/>
    <cellStyle name="Normal 84 3" xfId="9119" xr:uid="{00000000-0005-0000-0000-000062230000}"/>
    <cellStyle name="Normal 84 3 2" xfId="9120" xr:uid="{00000000-0005-0000-0000-000063230000}"/>
    <cellStyle name="Normal 84 3 2 2" xfId="9121" xr:uid="{00000000-0005-0000-0000-000064230000}"/>
    <cellStyle name="Normal 84 3 2 2 2" xfId="9122" xr:uid="{00000000-0005-0000-0000-000065230000}"/>
    <cellStyle name="Normal 84 3 2 2 2 2" xfId="9123" xr:uid="{00000000-0005-0000-0000-000066230000}"/>
    <cellStyle name="Normal 84 3 2 2 3" xfId="9124" xr:uid="{00000000-0005-0000-0000-000067230000}"/>
    <cellStyle name="Normal 84 3 2 3" xfId="9125" xr:uid="{00000000-0005-0000-0000-000068230000}"/>
    <cellStyle name="Normal 84 3 2 3 2" xfId="9126" xr:uid="{00000000-0005-0000-0000-000069230000}"/>
    <cellStyle name="Normal 84 3 2 4" xfId="9127" xr:uid="{00000000-0005-0000-0000-00006A230000}"/>
    <cellStyle name="Normal 84 3 3" xfId="9128" xr:uid="{00000000-0005-0000-0000-00006B230000}"/>
    <cellStyle name="Normal 84 3 3 2" xfId="9129" xr:uid="{00000000-0005-0000-0000-00006C230000}"/>
    <cellStyle name="Normal 84 3 3 2 2" xfId="9130" xr:uid="{00000000-0005-0000-0000-00006D230000}"/>
    <cellStyle name="Normal 84 3 3 3" xfId="9131" xr:uid="{00000000-0005-0000-0000-00006E230000}"/>
    <cellStyle name="Normal 84 3 4" xfId="9132" xr:uid="{00000000-0005-0000-0000-00006F230000}"/>
    <cellStyle name="Normal 84 3 4 2" xfId="9133" xr:uid="{00000000-0005-0000-0000-000070230000}"/>
    <cellStyle name="Normal 84 3 5" xfId="9134" xr:uid="{00000000-0005-0000-0000-000071230000}"/>
    <cellStyle name="Normal 84 4" xfId="9135" xr:uid="{00000000-0005-0000-0000-000072230000}"/>
    <cellStyle name="Normal 84 4 2" xfId="9136" xr:uid="{00000000-0005-0000-0000-000073230000}"/>
    <cellStyle name="Normal 84 4 2 2" xfId="9137" xr:uid="{00000000-0005-0000-0000-000074230000}"/>
    <cellStyle name="Normal 84 4 2 2 2" xfId="9138" xr:uid="{00000000-0005-0000-0000-000075230000}"/>
    <cellStyle name="Normal 84 4 2 2 2 2" xfId="9139" xr:uid="{00000000-0005-0000-0000-000076230000}"/>
    <cellStyle name="Normal 84 4 2 2 3" xfId="9140" xr:uid="{00000000-0005-0000-0000-000077230000}"/>
    <cellStyle name="Normal 84 4 2 3" xfId="9141" xr:uid="{00000000-0005-0000-0000-000078230000}"/>
    <cellStyle name="Normal 84 4 2 3 2" xfId="9142" xr:uid="{00000000-0005-0000-0000-000079230000}"/>
    <cellStyle name="Normal 84 4 2 4" xfId="9143" xr:uid="{00000000-0005-0000-0000-00007A230000}"/>
    <cellStyle name="Normal 84 4 3" xfId="9144" xr:uid="{00000000-0005-0000-0000-00007B230000}"/>
    <cellStyle name="Normal 84 4 3 2" xfId="9145" xr:uid="{00000000-0005-0000-0000-00007C230000}"/>
    <cellStyle name="Normal 84 4 3 2 2" xfId="9146" xr:uid="{00000000-0005-0000-0000-00007D230000}"/>
    <cellStyle name="Normal 84 4 3 3" xfId="9147" xr:uid="{00000000-0005-0000-0000-00007E230000}"/>
    <cellStyle name="Normal 84 4 4" xfId="9148" xr:uid="{00000000-0005-0000-0000-00007F230000}"/>
    <cellStyle name="Normal 84 4 4 2" xfId="9149" xr:uid="{00000000-0005-0000-0000-000080230000}"/>
    <cellStyle name="Normal 84 4 5" xfId="9150" xr:uid="{00000000-0005-0000-0000-000081230000}"/>
    <cellStyle name="Normal 84 5" xfId="9151" xr:uid="{00000000-0005-0000-0000-000082230000}"/>
    <cellStyle name="Normal 84 5 2" xfId="9152" xr:uid="{00000000-0005-0000-0000-000083230000}"/>
    <cellStyle name="Normal 84 5 2 2" xfId="9153" xr:uid="{00000000-0005-0000-0000-000084230000}"/>
    <cellStyle name="Normal 84 5 2 2 2" xfId="9154" xr:uid="{00000000-0005-0000-0000-000085230000}"/>
    <cellStyle name="Normal 84 5 2 2 2 2" xfId="9155" xr:uid="{00000000-0005-0000-0000-000086230000}"/>
    <cellStyle name="Normal 84 5 2 2 3" xfId="9156" xr:uid="{00000000-0005-0000-0000-000087230000}"/>
    <cellStyle name="Normal 84 5 2 3" xfId="9157" xr:uid="{00000000-0005-0000-0000-000088230000}"/>
    <cellStyle name="Normal 84 5 2 3 2" xfId="9158" xr:uid="{00000000-0005-0000-0000-000089230000}"/>
    <cellStyle name="Normal 84 5 2 4" xfId="9159" xr:uid="{00000000-0005-0000-0000-00008A230000}"/>
    <cellStyle name="Normal 84 5 3" xfId="9160" xr:uid="{00000000-0005-0000-0000-00008B230000}"/>
    <cellStyle name="Normal 84 5 3 2" xfId="9161" xr:uid="{00000000-0005-0000-0000-00008C230000}"/>
    <cellStyle name="Normal 84 5 3 2 2" xfId="9162" xr:uid="{00000000-0005-0000-0000-00008D230000}"/>
    <cellStyle name="Normal 84 5 3 3" xfId="9163" xr:uid="{00000000-0005-0000-0000-00008E230000}"/>
    <cellStyle name="Normal 84 5 4" xfId="9164" xr:uid="{00000000-0005-0000-0000-00008F230000}"/>
    <cellStyle name="Normal 84 5 4 2" xfId="9165" xr:uid="{00000000-0005-0000-0000-000090230000}"/>
    <cellStyle name="Normal 84 5 5" xfId="9166" xr:uid="{00000000-0005-0000-0000-000091230000}"/>
    <cellStyle name="Normal 84 6" xfId="9167" xr:uid="{00000000-0005-0000-0000-000092230000}"/>
    <cellStyle name="Normal 84 6 2" xfId="9168" xr:uid="{00000000-0005-0000-0000-000093230000}"/>
    <cellStyle name="Normal 84 6 2 2" xfId="9169" xr:uid="{00000000-0005-0000-0000-000094230000}"/>
    <cellStyle name="Normal 84 6 2 2 2" xfId="9170" xr:uid="{00000000-0005-0000-0000-000095230000}"/>
    <cellStyle name="Normal 84 6 2 3" xfId="9171" xr:uid="{00000000-0005-0000-0000-000096230000}"/>
    <cellStyle name="Normal 84 6 3" xfId="9172" xr:uid="{00000000-0005-0000-0000-000097230000}"/>
    <cellStyle name="Normal 84 6 3 2" xfId="9173" xr:uid="{00000000-0005-0000-0000-000098230000}"/>
    <cellStyle name="Normal 84 6 4" xfId="9174" xr:uid="{00000000-0005-0000-0000-000099230000}"/>
    <cellStyle name="Normal 84 7" xfId="9175" xr:uid="{00000000-0005-0000-0000-00009A230000}"/>
    <cellStyle name="Normal 84 7 2" xfId="9176" xr:uid="{00000000-0005-0000-0000-00009B230000}"/>
    <cellStyle name="Normal 84 7 2 2" xfId="9177" xr:uid="{00000000-0005-0000-0000-00009C230000}"/>
    <cellStyle name="Normal 84 7 3" xfId="9178" xr:uid="{00000000-0005-0000-0000-00009D230000}"/>
    <cellStyle name="Normal 84 8" xfId="9179" xr:uid="{00000000-0005-0000-0000-00009E230000}"/>
    <cellStyle name="Normal 84 8 2" xfId="9180" xr:uid="{00000000-0005-0000-0000-00009F230000}"/>
    <cellStyle name="Normal 84 9" xfId="9181" xr:uid="{00000000-0005-0000-0000-0000A0230000}"/>
    <cellStyle name="Normal 85" xfId="9182" xr:uid="{00000000-0005-0000-0000-0000A1230000}"/>
    <cellStyle name="Normal 85 2" xfId="9183" xr:uid="{00000000-0005-0000-0000-0000A2230000}"/>
    <cellStyle name="Normal 85 2 2" xfId="9184" xr:uid="{00000000-0005-0000-0000-0000A3230000}"/>
    <cellStyle name="Normal 85 3" xfId="9185" xr:uid="{00000000-0005-0000-0000-0000A4230000}"/>
    <cellStyle name="Normal 85 3 2" xfId="9186" xr:uid="{00000000-0005-0000-0000-0000A5230000}"/>
    <cellStyle name="Normal 85 3 2 2" xfId="9187" xr:uid="{00000000-0005-0000-0000-0000A6230000}"/>
    <cellStyle name="Normal 85 3 2 2 2" xfId="9188" xr:uid="{00000000-0005-0000-0000-0000A7230000}"/>
    <cellStyle name="Normal 85 3 2 2 2 2" xfId="9189" xr:uid="{00000000-0005-0000-0000-0000A8230000}"/>
    <cellStyle name="Normal 85 3 2 2 3" xfId="9190" xr:uid="{00000000-0005-0000-0000-0000A9230000}"/>
    <cellStyle name="Normal 85 3 2 3" xfId="9191" xr:uid="{00000000-0005-0000-0000-0000AA230000}"/>
    <cellStyle name="Normal 85 3 2 3 2" xfId="9192" xr:uid="{00000000-0005-0000-0000-0000AB230000}"/>
    <cellStyle name="Normal 85 3 2 4" xfId="9193" xr:uid="{00000000-0005-0000-0000-0000AC230000}"/>
    <cellStyle name="Normal 85 3 3" xfId="9194" xr:uid="{00000000-0005-0000-0000-0000AD230000}"/>
    <cellStyle name="Normal 85 3 3 2" xfId="9195" xr:uid="{00000000-0005-0000-0000-0000AE230000}"/>
    <cellStyle name="Normal 85 3 3 2 2" xfId="9196" xr:uid="{00000000-0005-0000-0000-0000AF230000}"/>
    <cellStyle name="Normal 85 3 3 3" xfId="9197" xr:uid="{00000000-0005-0000-0000-0000B0230000}"/>
    <cellStyle name="Normal 85 3 4" xfId="9198" xr:uid="{00000000-0005-0000-0000-0000B1230000}"/>
    <cellStyle name="Normal 85 3 4 2" xfId="9199" xr:uid="{00000000-0005-0000-0000-0000B2230000}"/>
    <cellStyle name="Normal 85 3 5" xfId="9200" xr:uid="{00000000-0005-0000-0000-0000B3230000}"/>
    <cellStyle name="Normal 85 4" xfId="9201" xr:uid="{00000000-0005-0000-0000-0000B4230000}"/>
    <cellStyle name="Normal 85 4 2" xfId="9202" xr:uid="{00000000-0005-0000-0000-0000B5230000}"/>
    <cellStyle name="Normal 85 4 2 2" xfId="9203" xr:uid="{00000000-0005-0000-0000-0000B6230000}"/>
    <cellStyle name="Normal 85 4 2 2 2" xfId="9204" xr:uid="{00000000-0005-0000-0000-0000B7230000}"/>
    <cellStyle name="Normal 85 4 2 2 2 2" xfId="9205" xr:uid="{00000000-0005-0000-0000-0000B8230000}"/>
    <cellStyle name="Normal 85 4 2 2 3" xfId="9206" xr:uid="{00000000-0005-0000-0000-0000B9230000}"/>
    <cellStyle name="Normal 85 4 2 3" xfId="9207" xr:uid="{00000000-0005-0000-0000-0000BA230000}"/>
    <cellStyle name="Normal 85 4 2 3 2" xfId="9208" xr:uid="{00000000-0005-0000-0000-0000BB230000}"/>
    <cellStyle name="Normal 85 4 2 4" xfId="9209" xr:uid="{00000000-0005-0000-0000-0000BC230000}"/>
    <cellStyle name="Normal 85 4 3" xfId="9210" xr:uid="{00000000-0005-0000-0000-0000BD230000}"/>
    <cellStyle name="Normal 85 4 3 2" xfId="9211" xr:uid="{00000000-0005-0000-0000-0000BE230000}"/>
    <cellStyle name="Normal 85 4 3 2 2" xfId="9212" xr:uid="{00000000-0005-0000-0000-0000BF230000}"/>
    <cellStyle name="Normal 85 4 3 3" xfId="9213" xr:uid="{00000000-0005-0000-0000-0000C0230000}"/>
    <cellStyle name="Normal 85 4 4" xfId="9214" xr:uid="{00000000-0005-0000-0000-0000C1230000}"/>
    <cellStyle name="Normal 85 4 4 2" xfId="9215" xr:uid="{00000000-0005-0000-0000-0000C2230000}"/>
    <cellStyle name="Normal 85 4 5" xfId="9216" xr:uid="{00000000-0005-0000-0000-0000C3230000}"/>
    <cellStyle name="Normal 85 5" xfId="9217" xr:uid="{00000000-0005-0000-0000-0000C4230000}"/>
    <cellStyle name="Normal 85 5 2" xfId="9218" xr:uid="{00000000-0005-0000-0000-0000C5230000}"/>
    <cellStyle name="Normal 85 5 2 2" xfId="9219" xr:uid="{00000000-0005-0000-0000-0000C6230000}"/>
    <cellStyle name="Normal 85 5 2 2 2" xfId="9220" xr:uid="{00000000-0005-0000-0000-0000C7230000}"/>
    <cellStyle name="Normal 85 5 2 2 2 2" xfId="9221" xr:uid="{00000000-0005-0000-0000-0000C8230000}"/>
    <cellStyle name="Normal 85 5 2 2 3" xfId="9222" xr:uid="{00000000-0005-0000-0000-0000C9230000}"/>
    <cellStyle name="Normal 85 5 2 3" xfId="9223" xr:uid="{00000000-0005-0000-0000-0000CA230000}"/>
    <cellStyle name="Normal 85 5 2 3 2" xfId="9224" xr:uid="{00000000-0005-0000-0000-0000CB230000}"/>
    <cellStyle name="Normal 85 5 2 4" xfId="9225" xr:uid="{00000000-0005-0000-0000-0000CC230000}"/>
    <cellStyle name="Normal 85 5 3" xfId="9226" xr:uid="{00000000-0005-0000-0000-0000CD230000}"/>
    <cellStyle name="Normal 85 5 3 2" xfId="9227" xr:uid="{00000000-0005-0000-0000-0000CE230000}"/>
    <cellStyle name="Normal 85 5 3 2 2" xfId="9228" xr:uid="{00000000-0005-0000-0000-0000CF230000}"/>
    <cellStyle name="Normal 85 5 3 3" xfId="9229" xr:uid="{00000000-0005-0000-0000-0000D0230000}"/>
    <cellStyle name="Normal 85 5 4" xfId="9230" xr:uid="{00000000-0005-0000-0000-0000D1230000}"/>
    <cellStyle name="Normal 85 5 4 2" xfId="9231" xr:uid="{00000000-0005-0000-0000-0000D2230000}"/>
    <cellStyle name="Normal 85 5 5" xfId="9232" xr:uid="{00000000-0005-0000-0000-0000D3230000}"/>
    <cellStyle name="Normal 85 6" xfId="9233" xr:uid="{00000000-0005-0000-0000-0000D4230000}"/>
    <cellStyle name="Normal 85 6 2" xfId="9234" xr:uid="{00000000-0005-0000-0000-0000D5230000}"/>
    <cellStyle name="Normal 85 6 2 2" xfId="9235" xr:uid="{00000000-0005-0000-0000-0000D6230000}"/>
    <cellStyle name="Normal 85 6 2 2 2" xfId="9236" xr:uid="{00000000-0005-0000-0000-0000D7230000}"/>
    <cellStyle name="Normal 85 6 2 3" xfId="9237" xr:uid="{00000000-0005-0000-0000-0000D8230000}"/>
    <cellStyle name="Normal 85 6 3" xfId="9238" xr:uid="{00000000-0005-0000-0000-0000D9230000}"/>
    <cellStyle name="Normal 85 6 3 2" xfId="9239" xr:uid="{00000000-0005-0000-0000-0000DA230000}"/>
    <cellStyle name="Normal 85 6 4" xfId="9240" xr:uid="{00000000-0005-0000-0000-0000DB230000}"/>
    <cellStyle name="Normal 85 7" xfId="9241" xr:uid="{00000000-0005-0000-0000-0000DC230000}"/>
    <cellStyle name="Normal 85 7 2" xfId="9242" xr:uid="{00000000-0005-0000-0000-0000DD230000}"/>
    <cellStyle name="Normal 85 7 2 2" xfId="9243" xr:uid="{00000000-0005-0000-0000-0000DE230000}"/>
    <cellStyle name="Normal 85 7 3" xfId="9244" xr:uid="{00000000-0005-0000-0000-0000DF230000}"/>
    <cellStyle name="Normal 85 8" xfId="9245" xr:uid="{00000000-0005-0000-0000-0000E0230000}"/>
    <cellStyle name="Normal 85 8 2" xfId="9246" xr:uid="{00000000-0005-0000-0000-0000E1230000}"/>
    <cellStyle name="Normal 85 9" xfId="9247" xr:uid="{00000000-0005-0000-0000-0000E2230000}"/>
    <cellStyle name="Normal 86" xfId="9248" xr:uid="{00000000-0005-0000-0000-0000E3230000}"/>
    <cellStyle name="Normal 86 2" xfId="9249" xr:uid="{00000000-0005-0000-0000-0000E4230000}"/>
    <cellStyle name="Normal 86 2 2" xfId="9250" xr:uid="{00000000-0005-0000-0000-0000E5230000}"/>
    <cellStyle name="Normal 86 3" xfId="9251" xr:uid="{00000000-0005-0000-0000-0000E6230000}"/>
    <cellStyle name="Normal 86 3 2" xfId="9252" xr:uid="{00000000-0005-0000-0000-0000E7230000}"/>
    <cellStyle name="Normal 86 3 2 2" xfId="9253" xr:uid="{00000000-0005-0000-0000-0000E8230000}"/>
    <cellStyle name="Normal 86 3 2 2 2" xfId="9254" xr:uid="{00000000-0005-0000-0000-0000E9230000}"/>
    <cellStyle name="Normal 86 3 2 2 2 2" xfId="9255" xr:uid="{00000000-0005-0000-0000-0000EA230000}"/>
    <cellStyle name="Normal 86 3 2 2 3" xfId="9256" xr:uid="{00000000-0005-0000-0000-0000EB230000}"/>
    <cellStyle name="Normal 86 3 2 3" xfId="9257" xr:uid="{00000000-0005-0000-0000-0000EC230000}"/>
    <cellStyle name="Normal 86 3 2 3 2" xfId="9258" xr:uid="{00000000-0005-0000-0000-0000ED230000}"/>
    <cellStyle name="Normal 86 3 2 4" xfId="9259" xr:uid="{00000000-0005-0000-0000-0000EE230000}"/>
    <cellStyle name="Normal 86 3 3" xfId="9260" xr:uid="{00000000-0005-0000-0000-0000EF230000}"/>
    <cellStyle name="Normal 86 3 3 2" xfId="9261" xr:uid="{00000000-0005-0000-0000-0000F0230000}"/>
    <cellStyle name="Normal 86 3 3 2 2" xfId="9262" xr:uid="{00000000-0005-0000-0000-0000F1230000}"/>
    <cellStyle name="Normal 86 3 3 3" xfId="9263" xr:uid="{00000000-0005-0000-0000-0000F2230000}"/>
    <cellStyle name="Normal 86 3 4" xfId="9264" xr:uid="{00000000-0005-0000-0000-0000F3230000}"/>
    <cellStyle name="Normal 86 3 4 2" xfId="9265" xr:uid="{00000000-0005-0000-0000-0000F4230000}"/>
    <cellStyle name="Normal 86 3 5" xfId="9266" xr:uid="{00000000-0005-0000-0000-0000F5230000}"/>
    <cellStyle name="Normal 86 4" xfId="9267" xr:uid="{00000000-0005-0000-0000-0000F6230000}"/>
    <cellStyle name="Normal 86 4 2" xfId="9268" xr:uid="{00000000-0005-0000-0000-0000F7230000}"/>
    <cellStyle name="Normal 86 4 2 2" xfId="9269" xr:uid="{00000000-0005-0000-0000-0000F8230000}"/>
    <cellStyle name="Normal 86 4 2 2 2" xfId="9270" xr:uid="{00000000-0005-0000-0000-0000F9230000}"/>
    <cellStyle name="Normal 86 4 2 2 2 2" xfId="9271" xr:uid="{00000000-0005-0000-0000-0000FA230000}"/>
    <cellStyle name="Normal 86 4 2 2 3" xfId="9272" xr:uid="{00000000-0005-0000-0000-0000FB230000}"/>
    <cellStyle name="Normal 86 4 2 3" xfId="9273" xr:uid="{00000000-0005-0000-0000-0000FC230000}"/>
    <cellStyle name="Normal 86 4 2 3 2" xfId="9274" xr:uid="{00000000-0005-0000-0000-0000FD230000}"/>
    <cellStyle name="Normal 86 4 2 4" xfId="9275" xr:uid="{00000000-0005-0000-0000-0000FE230000}"/>
    <cellStyle name="Normal 86 4 3" xfId="9276" xr:uid="{00000000-0005-0000-0000-0000FF230000}"/>
    <cellStyle name="Normal 86 4 3 2" xfId="9277" xr:uid="{00000000-0005-0000-0000-000000240000}"/>
    <cellStyle name="Normal 86 4 3 2 2" xfId="9278" xr:uid="{00000000-0005-0000-0000-000001240000}"/>
    <cellStyle name="Normal 86 4 3 3" xfId="9279" xr:uid="{00000000-0005-0000-0000-000002240000}"/>
    <cellStyle name="Normal 86 4 4" xfId="9280" xr:uid="{00000000-0005-0000-0000-000003240000}"/>
    <cellStyle name="Normal 86 4 4 2" xfId="9281" xr:uid="{00000000-0005-0000-0000-000004240000}"/>
    <cellStyle name="Normal 86 4 5" xfId="9282" xr:uid="{00000000-0005-0000-0000-000005240000}"/>
    <cellStyle name="Normal 86 5" xfId="9283" xr:uid="{00000000-0005-0000-0000-000006240000}"/>
    <cellStyle name="Normal 86 5 2" xfId="9284" xr:uid="{00000000-0005-0000-0000-000007240000}"/>
    <cellStyle name="Normal 86 5 2 2" xfId="9285" xr:uid="{00000000-0005-0000-0000-000008240000}"/>
    <cellStyle name="Normal 86 5 2 2 2" xfId="9286" xr:uid="{00000000-0005-0000-0000-000009240000}"/>
    <cellStyle name="Normal 86 5 2 2 2 2" xfId="9287" xr:uid="{00000000-0005-0000-0000-00000A240000}"/>
    <cellStyle name="Normal 86 5 2 2 3" xfId="9288" xr:uid="{00000000-0005-0000-0000-00000B240000}"/>
    <cellStyle name="Normal 86 5 2 3" xfId="9289" xr:uid="{00000000-0005-0000-0000-00000C240000}"/>
    <cellStyle name="Normal 86 5 2 3 2" xfId="9290" xr:uid="{00000000-0005-0000-0000-00000D240000}"/>
    <cellStyle name="Normal 86 5 2 4" xfId="9291" xr:uid="{00000000-0005-0000-0000-00000E240000}"/>
    <cellStyle name="Normal 86 5 3" xfId="9292" xr:uid="{00000000-0005-0000-0000-00000F240000}"/>
    <cellStyle name="Normal 86 5 3 2" xfId="9293" xr:uid="{00000000-0005-0000-0000-000010240000}"/>
    <cellStyle name="Normal 86 5 3 2 2" xfId="9294" xr:uid="{00000000-0005-0000-0000-000011240000}"/>
    <cellStyle name="Normal 86 5 3 3" xfId="9295" xr:uid="{00000000-0005-0000-0000-000012240000}"/>
    <cellStyle name="Normal 86 5 4" xfId="9296" xr:uid="{00000000-0005-0000-0000-000013240000}"/>
    <cellStyle name="Normal 86 5 4 2" xfId="9297" xr:uid="{00000000-0005-0000-0000-000014240000}"/>
    <cellStyle name="Normal 86 5 5" xfId="9298" xr:uid="{00000000-0005-0000-0000-000015240000}"/>
    <cellStyle name="Normal 86 6" xfId="9299" xr:uid="{00000000-0005-0000-0000-000016240000}"/>
    <cellStyle name="Normal 86 6 2" xfId="9300" xr:uid="{00000000-0005-0000-0000-000017240000}"/>
    <cellStyle name="Normal 86 6 2 2" xfId="9301" xr:uid="{00000000-0005-0000-0000-000018240000}"/>
    <cellStyle name="Normal 86 6 2 2 2" xfId="9302" xr:uid="{00000000-0005-0000-0000-000019240000}"/>
    <cellStyle name="Normal 86 6 2 3" xfId="9303" xr:uid="{00000000-0005-0000-0000-00001A240000}"/>
    <cellStyle name="Normal 86 6 3" xfId="9304" xr:uid="{00000000-0005-0000-0000-00001B240000}"/>
    <cellStyle name="Normal 86 6 3 2" xfId="9305" xr:uid="{00000000-0005-0000-0000-00001C240000}"/>
    <cellStyle name="Normal 86 6 4" xfId="9306" xr:uid="{00000000-0005-0000-0000-00001D240000}"/>
    <cellStyle name="Normal 86 7" xfId="9307" xr:uid="{00000000-0005-0000-0000-00001E240000}"/>
    <cellStyle name="Normal 86 7 2" xfId="9308" xr:uid="{00000000-0005-0000-0000-00001F240000}"/>
    <cellStyle name="Normal 86 7 2 2" xfId="9309" xr:uid="{00000000-0005-0000-0000-000020240000}"/>
    <cellStyle name="Normal 86 7 3" xfId="9310" xr:uid="{00000000-0005-0000-0000-000021240000}"/>
    <cellStyle name="Normal 86 8" xfId="9311" xr:uid="{00000000-0005-0000-0000-000022240000}"/>
    <cellStyle name="Normal 86 8 2" xfId="9312" xr:uid="{00000000-0005-0000-0000-000023240000}"/>
    <cellStyle name="Normal 86 9" xfId="9313" xr:uid="{00000000-0005-0000-0000-000024240000}"/>
    <cellStyle name="Normal 87" xfId="9314" xr:uid="{00000000-0005-0000-0000-000025240000}"/>
    <cellStyle name="Normal 87 2" xfId="9315" xr:uid="{00000000-0005-0000-0000-000026240000}"/>
    <cellStyle name="Normal 87 2 2" xfId="9316" xr:uid="{00000000-0005-0000-0000-000027240000}"/>
    <cellStyle name="Normal 87 3" xfId="9317" xr:uid="{00000000-0005-0000-0000-000028240000}"/>
    <cellStyle name="Normal 87 3 2" xfId="9318" xr:uid="{00000000-0005-0000-0000-000029240000}"/>
    <cellStyle name="Normal 87 3 2 2" xfId="9319" xr:uid="{00000000-0005-0000-0000-00002A240000}"/>
    <cellStyle name="Normal 87 3 2 2 2" xfId="9320" xr:uid="{00000000-0005-0000-0000-00002B240000}"/>
    <cellStyle name="Normal 87 3 2 2 2 2" xfId="9321" xr:uid="{00000000-0005-0000-0000-00002C240000}"/>
    <cellStyle name="Normal 87 3 2 2 3" xfId="9322" xr:uid="{00000000-0005-0000-0000-00002D240000}"/>
    <cellStyle name="Normal 87 3 2 3" xfId="9323" xr:uid="{00000000-0005-0000-0000-00002E240000}"/>
    <cellStyle name="Normal 87 3 2 3 2" xfId="9324" xr:uid="{00000000-0005-0000-0000-00002F240000}"/>
    <cellStyle name="Normal 87 3 2 4" xfId="9325" xr:uid="{00000000-0005-0000-0000-000030240000}"/>
    <cellStyle name="Normal 87 3 3" xfId="9326" xr:uid="{00000000-0005-0000-0000-000031240000}"/>
    <cellStyle name="Normal 87 3 3 2" xfId="9327" xr:uid="{00000000-0005-0000-0000-000032240000}"/>
    <cellStyle name="Normal 87 3 3 2 2" xfId="9328" xr:uid="{00000000-0005-0000-0000-000033240000}"/>
    <cellStyle name="Normal 87 3 3 3" xfId="9329" xr:uid="{00000000-0005-0000-0000-000034240000}"/>
    <cellStyle name="Normal 87 3 4" xfId="9330" xr:uid="{00000000-0005-0000-0000-000035240000}"/>
    <cellStyle name="Normal 87 3 4 2" xfId="9331" xr:uid="{00000000-0005-0000-0000-000036240000}"/>
    <cellStyle name="Normal 87 3 5" xfId="9332" xr:uid="{00000000-0005-0000-0000-000037240000}"/>
    <cellStyle name="Normal 87 4" xfId="9333" xr:uid="{00000000-0005-0000-0000-000038240000}"/>
    <cellStyle name="Normal 87 4 2" xfId="9334" xr:uid="{00000000-0005-0000-0000-000039240000}"/>
    <cellStyle name="Normal 87 4 2 2" xfId="9335" xr:uid="{00000000-0005-0000-0000-00003A240000}"/>
    <cellStyle name="Normal 87 4 2 2 2" xfId="9336" xr:uid="{00000000-0005-0000-0000-00003B240000}"/>
    <cellStyle name="Normal 87 4 2 2 2 2" xfId="9337" xr:uid="{00000000-0005-0000-0000-00003C240000}"/>
    <cellStyle name="Normal 87 4 2 2 3" xfId="9338" xr:uid="{00000000-0005-0000-0000-00003D240000}"/>
    <cellStyle name="Normal 87 4 2 3" xfId="9339" xr:uid="{00000000-0005-0000-0000-00003E240000}"/>
    <cellStyle name="Normal 87 4 2 3 2" xfId="9340" xr:uid="{00000000-0005-0000-0000-00003F240000}"/>
    <cellStyle name="Normal 87 4 2 4" xfId="9341" xr:uid="{00000000-0005-0000-0000-000040240000}"/>
    <cellStyle name="Normal 87 4 3" xfId="9342" xr:uid="{00000000-0005-0000-0000-000041240000}"/>
    <cellStyle name="Normal 87 4 3 2" xfId="9343" xr:uid="{00000000-0005-0000-0000-000042240000}"/>
    <cellStyle name="Normal 87 4 3 2 2" xfId="9344" xr:uid="{00000000-0005-0000-0000-000043240000}"/>
    <cellStyle name="Normal 87 4 3 3" xfId="9345" xr:uid="{00000000-0005-0000-0000-000044240000}"/>
    <cellStyle name="Normal 87 4 4" xfId="9346" xr:uid="{00000000-0005-0000-0000-000045240000}"/>
    <cellStyle name="Normal 87 4 4 2" xfId="9347" xr:uid="{00000000-0005-0000-0000-000046240000}"/>
    <cellStyle name="Normal 87 4 5" xfId="9348" xr:uid="{00000000-0005-0000-0000-000047240000}"/>
    <cellStyle name="Normal 87 5" xfId="9349" xr:uid="{00000000-0005-0000-0000-000048240000}"/>
    <cellStyle name="Normal 87 5 2" xfId="9350" xr:uid="{00000000-0005-0000-0000-000049240000}"/>
    <cellStyle name="Normal 87 5 2 2" xfId="9351" xr:uid="{00000000-0005-0000-0000-00004A240000}"/>
    <cellStyle name="Normal 87 5 2 2 2" xfId="9352" xr:uid="{00000000-0005-0000-0000-00004B240000}"/>
    <cellStyle name="Normal 87 5 2 2 2 2" xfId="9353" xr:uid="{00000000-0005-0000-0000-00004C240000}"/>
    <cellStyle name="Normal 87 5 2 2 3" xfId="9354" xr:uid="{00000000-0005-0000-0000-00004D240000}"/>
    <cellStyle name="Normal 87 5 2 3" xfId="9355" xr:uid="{00000000-0005-0000-0000-00004E240000}"/>
    <cellStyle name="Normal 87 5 2 3 2" xfId="9356" xr:uid="{00000000-0005-0000-0000-00004F240000}"/>
    <cellStyle name="Normal 87 5 2 4" xfId="9357" xr:uid="{00000000-0005-0000-0000-000050240000}"/>
    <cellStyle name="Normal 87 5 3" xfId="9358" xr:uid="{00000000-0005-0000-0000-000051240000}"/>
    <cellStyle name="Normal 87 5 3 2" xfId="9359" xr:uid="{00000000-0005-0000-0000-000052240000}"/>
    <cellStyle name="Normal 87 5 3 2 2" xfId="9360" xr:uid="{00000000-0005-0000-0000-000053240000}"/>
    <cellStyle name="Normal 87 5 3 3" xfId="9361" xr:uid="{00000000-0005-0000-0000-000054240000}"/>
    <cellStyle name="Normal 87 5 4" xfId="9362" xr:uid="{00000000-0005-0000-0000-000055240000}"/>
    <cellStyle name="Normal 87 5 4 2" xfId="9363" xr:uid="{00000000-0005-0000-0000-000056240000}"/>
    <cellStyle name="Normal 87 5 5" xfId="9364" xr:uid="{00000000-0005-0000-0000-000057240000}"/>
    <cellStyle name="Normal 87 6" xfId="9365" xr:uid="{00000000-0005-0000-0000-000058240000}"/>
    <cellStyle name="Normal 87 6 2" xfId="9366" xr:uid="{00000000-0005-0000-0000-000059240000}"/>
    <cellStyle name="Normal 87 6 2 2" xfId="9367" xr:uid="{00000000-0005-0000-0000-00005A240000}"/>
    <cellStyle name="Normal 87 6 2 2 2" xfId="9368" xr:uid="{00000000-0005-0000-0000-00005B240000}"/>
    <cellStyle name="Normal 87 6 2 3" xfId="9369" xr:uid="{00000000-0005-0000-0000-00005C240000}"/>
    <cellStyle name="Normal 87 6 3" xfId="9370" xr:uid="{00000000-0005-0000-0000-00005D240000}"/>
    <cellStyle name="Normal 87 6 3 2" xfId="9371" xr:uid="{00000000-0005-0000-0000-00005E240000}"/>
    <cellStyle name="Normal 87 6 4" xfId="9372" xr:uid="{00000000-0005-0000-0000-00005F240000}"/>
    <cellStyle name="Normal 87 7" xfId="9373" xr:uid="{00000000-0005-0000-0000-000060240000}"/>
    <cellStyle name="Normal 87 7 2" xfId="9374" xr:uid="{00000000-0005-0000-0000-000061240000}"/>
    <cellStyle name="Normal 87 7 2 2" xfId="9375" xr:uid="{00000000-0005-0000-0000-000062240000}"/>
    <cellStyle name="Normal 87 7 3" xfId="9376" xr:uid="{00000000-0005-0000-0000-000063240000}"/>
    <cellStyle name="Normal 87 8" xfId="9377" xr:uid="{00000000-0005-0000-0000-000064240000}"/>
    <cellStyle name="Normal 87 8 2" xfId="9378" xr:uid="{00000000-0005-0000-0000-000065240000}"/>
    <cellStyle name="Normal 87 9" xfId="9379" xr:uid="{00000000-0005-0000-0000-000066240000}"/>
    <cellStyle name="Normal 88" xfId="9380" xr:uid="{00000000-0005-0000-0000-000067240000}"/>
    <cellStyle name="Normal 88 2" xfId="9381" xr:uid="{00000000-0005-0000-0000-000068240000}"/>
    <cellStyle name="Normal 88 2 2" xfId="9382" xr:uid="{00000000-0005-0000-0000-000069240000}"/>
    <cellStyle name="Normal 88 3" xfId="9383" xr:uid="{00000000-0005-0000-0000-00006A240000}"/>
    <cellStyle name="Normal 88 3 2" xfId="9384" xr:uid="{00000000-0005-0000-0000-00006B240000}"/>
    <cellStyle name="Normal 88 3 2 2" xfId="9385" xr:uid="{00000000-0005-0000-0000-00006C240000}"/>
    <cellStyle name="Normal 88 3 2 2 2" xfId="9386" xr:uid="{00000000-0005-0000-0000-00006D240000}"/>
    <cellStyle name="Normal 88 3 2 2 2 2" xfId="9387" xr:uid="{00000000-0005-0000-0000-00006E240000}"/>
    <cellStyle name="Normal 88 3 2 2 3" xfId="9388" xr:uid="{00000000-0005-0000-0000-00006F240000}"/>
    <cellStyle name="Normal 88 3 2 3" xfId="9389" xr:uid="{00000000-0005-0000-0000-000070240000}"/>
    <cellStyle name="Normal 88 3 2 3 2" xfId="9390" xr:uid="{00000000-0005-0000-0000-000071240000}"/>
    <cellStyle name="Normal 88 3 2 4" xfId="9391" xr:uid="{00000000-0005-0000-0000-000072240000}"/>
    <cellStyle name="Normal 88 3 3" xfId="9392" xr:uid="{00000000-0005-0000-0000-000073240000}"/>
    <cellStyle name="Normal 88 3 3 2" xfId="9393" xr:uid="{00000000-0005-0000-0000-000074240000}"/>
    <cellStyle name="Normal 88 3 3 2 2" xfId="9394" xr:uid="{00000000-0005-0000-0000-000075240000}"/>
    <cellStyle name="Normal 88 3 3 3" xfId="9395" xr:uid="{00000000-0005-0000-0000-000076240000}"/>
    <cellStyle name="Normal 88 3 4" xfId="9396" xr:uid="{00000000-0005-0000-0000-000077240000}"/>
    <cellStyle name="Normal 88 3 4 2" xfId="9397" xr:uid="{00000000-0005-0000-0000-000078240000}"/>
    <cellStyle name="Normal 88 3 5" xfId="9398" xr:uid="{00000000-0005-0000-0000-000079240000}"/>
    <cellStyle name="Normal 88 4" xfId="9399" xr:uid="{00000000-0005-0000-0000-00007A240000}"/>
    <cellStyle name="Normal 88 4 2" xfId="9400" xr:uid="{00000000-0005-0000-0000-00007B240000}"/>
    <cellStyle name="Normal 88 4 2 2" xfId="9401" xr:uid="{00000000-0005-0000-0000-00007C240000}"/>
    <cellStyle name="Normal 88 4 2 2 2" xfId="9402" xr:uid="{00000000-0005-0000-0000-00007D240000}"/>
    <cellStyle name="Normal 88 4 2 2 2 2" xfId="9403" xr:uid="{00000000-0005-0000-0000-00007E240000}"/>
    <cellStyle name="Normal 88 4 2 2 3" xfId="9404" xr:uid="{00000000-0005-0000-0000-00007F240000}"/>
    <cellStyle name="Normal 88 4 2 3" xfId="9405" xr:uid="{00000000-0005-0000-0000-000080240000}"/>
    <cellStyle name="Normal 88 4 2 3 2" xfId="9406" xr:uid="{00000000-0005-0000-0000-000081240000}"/>
    <cellStyle name="Normal 88 4 2 4" xfId="9407" xr:uid="{00000000-0005-0000-0000-000082240000}"/>
    <cellStyle name="Normal 88 4 3" xfId="9408" xr:uid="{00000000-0005-0000-0000-000083240000}"/>
    <cellStyle name="Normal 88 4 3 2" xfId="9409" xr:uid="{00000000-0005-0000-0000-000084240000}"/>
    <cellStyle name="Normal 88 4 3 2 2" xfId="9410" xr:uid="{00000000-0005-0000-0000-000085240000}"/>
    <cellStyle name="Normal 88 4 3 3" xfId="9411" xr:uid="{00000000-0005-0000-0000-000086240000}"/>
    <cellStyle name="Normal 88 4 4" xfId="9412" xr:uid="{00000000-0005-0000-0000-000087240000}"/>
    <cellStyle name="Normal 88 4 4 2" xfId="9413" xr:uid="{00000000-0005-0000-0000-000088240000}"/>
    <cellStyle name="Normal 88 4 5" xfId="9414" xr:uid="{00000000-0005-0000-0000-000089240000}"/>
    <cellStyle name="Normal 88 5" xfId="9415" xr:uid="{00000000-0005-0000-0000-00008A240000}"/>
    <cellStyle name="Normal 88 5 2" xfId="9416" xr:uid="{00000000-0005-0000-0000-00008B240000}"/>
    <cellStyle name="Normal 88 5 2 2" xfId="9417" xr:uid="{00000000-0005-0000-0000-00008C240000}"/>
    <cellStyle name="Normal 88 5 2 2 2" xfId="9418" xr:uid="{00000000-0005-0000-0000-00008D240000}"/>
    <cellStyle name="Normal 88 5 2 2 2 2" xfId="9419" xr:uid="{00000000-0005-0000-0000-00008E240000}"/>
    <cellStyle name="Normal 88 5 2 2 3" xfId="9420" xr:uid="{00000000-0005-0000-0000-00008F240000}"/>
    <cellStyle name="Normal 88 5 2 3" xfId="9421" xr:uid="{00000000-0005-0000-0000-000090240000}"/>
    <cellStyle name="Normal 88 5 2 3 2" xfId="9422" xr:uid="{00000000-0005-0000-0000-000091240000}"/>
    <cellStyle name="Normal 88 5 2 4" xfId="9423" xr:uid="{00000000-0005-0000-0000-000092240000}"/>
    <cellStyle name="Normal 88 5 3" xfId="9424" xr:uid="{00000000-0005-0000-0000-000093240000}"/>
    <cellStyle name="Normal 88 5 3 2" xfId="9425" xr:uid="{00000000-0005-0000-0000-000094240000}"/>
    <cellStyle name="Normal 88 5 3 2 2" xfId="9426" xr:uid="{00000000-0005-0000-0000-000095240000}"/>
    <cellStyle name="Normal 88 5 3 3" xfId="9427" xr:uid="{00000000-0005-0000-0000-000096240000}"/>
    <cellStyle name="Normal 88 5 4" xfId="9428" xr:uid="{00000000-0005-0000-0000-000097240000}"/>
    <cellStyle name="Normal 88 5 4 2" xfId="9429" xr:uid="{00000000-0005-0000-0000-000098240000}"/>
    <cellStyle name="Normal 88 5 5" xfId="9430" xr:uid="{00000000-0005-0000-0000-000099240000}"/>
    <cellStyle name="Normal 88 6" xfId="9431" xr:uid="{00000000-0005-0000-0000-00009A240000}"/>
    <cellStyle name="Normal 88 6 2" xfId="9432" xr:uid="{00000000-0005-0000-0000-00009B240000}"/>
    <cellStyle name="Normal 88 6 2 2" xfId="9433" xr:uid="{00000000-0005-0000-0000-00009C240000}"/>
    <cellStyle name="Normal 88 6 2 2 2" xfId="9434" xr:uid="{00000000-0005-0000-0000-00009D240000}"/>
    <cellStyle name="Normal 88 6 2 3" xfId="9435" xr:uid="{00000000-0005-0000-0000-00009E240000}"/>
    <cellStyle name="Normal 88 6 3" xfId="9436" xr:uid="{00000000-0005-0000-0000-00009F240000}"/>
    <cellStyle name="Normal 88 6 3 2" xfId="9437" xr:uid="{00000000-0005-0000-0000-0000A0240000}"/>
    <cellStyle name="Normal 88 6 4" xfId="9438" xr:uid="{00000000-0005-0000-0000-0000A1240000}"/>
    <cellStyle name="Normal 88 7" xfId="9439" xr:uid="{00000000-0005-0000-0000-0000A2240000}"/>
    <cellStyle name="Normal 88 7 2" xfId="9440" xr:uid="{00000000-0005-0000-0000-0000A3240000}"/>
    <cellStyle name="Normal 88 7 2 2" xfId="9441" xr:uid="{00000000-0005-0000-0000-0000A4240000}"/>
    <cellStyle name="Normal 88 7 3" xfId="9442" xr:uid="{00000000-0005-0000-0000-0000A5240000}"/>
    <cellStyle name="Normal 88 8" xfId="9443" xr:uid="{00000000-0005-0000-0000-0000A6240000}"/>
    <cellStyle name="Normal 88 8 2" xfId="9444" xr:uid="{00000000-0005-0000-0000-0000A7240000}"/>
    <cellStyle name="Normal 88 9" xfId="9445" xr:uid="{00000000-0005-0000-0000-0000A8240000}"/>
    <cellStyle name="Normal 89" xfId="9446" xr:uid="{00000000-0005-0000-0000-0000A9240000}"/>
    <cellStyle name="Normal 89 2" xfId="9447" xr:uid="{00000000-0005-0000-0000-0000AA240000}"/>
    <cellStyle name="Normal 89 2 2" xfId="9448" xr:uid="{00000000-0005-0000-0000-0000AB240000}"/>
    <cellStyle name="Normal 89 3" xfId="9449" xr:uid="{00000000-0005-0000-0000-0000AC240000}"/>
    <cellStyle name="Normal 89 3 2" xfId="9450" xr:uid="{00000000-0005-0000-0000-0000AD240000}"/>
    <cellStyle name="Normal 89 3 2 2" xfId="9451" xr:uid="{00000000-0005-0000-0000-0000AE240000}"/>
    <cellStyle name="Normal 89 3 2 2 2" xfId="9452" xr:uid="{00000000-0005-0000-0000-0000AF240000}"/>
    <cellStyle name="Normal 89 3 2 2 2 2" xfId="9453" xr:uid="{00000000-0005-0000-0000-0000B0240000}"/>
    <cellStyle name="Normal 89 3 2 2 3" xfId="9454" xr:uid="{00000000-0005-0000-0000-0000B1240000}"/>
    <cellStyle name="Normal 89 3 2 3" xfId="9455" xr:uid="{00000000-0005-0000-0000-0000B2240000}"/>
    <cellStyle name="Normal 89 3 2 3 2" xfId="9456" xr:uid="{00000000-0005-0000-0000-0000B3240000}"/>
    <cellStyle name="Normal 89 3 2 4" xfId="9457" xr:uid="{00000000-0005-0000-0000-0000B4240000}"/>
    <cellStyle name="Normal 89 3 3" xfId="9458" xr:uid="{00000000-0005-0000-0000-0000B5240000}"/>
    <cellStyle name="Normal 89 3 3 2" xfId="9459" xr:uid="{00000000-0005-0000-0000-0000B6240000}"/>
    <cellStyle name="Normal 89 3 3 2 2" xfId="9460" xr:uid="{00000000-0005-0000-0000-0000B7240000}"/>
    <cellStyle name="Normal 89 3 3 3" xfId="9461" xr:uid="{00000000-0005-0000-0000-0000B8240000}"/>
    <cellStyle name="Normal 89 3 4" xfId="9462" xr:uid="{00000000-0005-0000-0000-0000B9240000}"/>
    <cellStyle name="Normal 89 3 4 2" xfId="9463" xr:uid="{00000000-0005-0000-0000-0000BA240000}"/>
    <cellStyle name="Normal 89 3 5" xfId="9464" xr:uid="{00000000-0005-0000-0000-0000BB240000}"/>
    <cellStyle name="Normal 89 4" xfId="9465" xr:uid="{00000000-0005-0000-0000-0000BC240000}"/>
    <cellStyle name="Normal 89 4 2" xfId="9466" xr:uid="{00000000-0005-0000-0000-0000BD240000}"/>
    <cellStyle name="Normal 89 4 2 2" xfId="9467" xr:uid="{00000000-0005-0000-0000-0000BE240000}"/>
    <cellStyle name="Normal 89 4 2 2 2" xfId="9468" xr:uid="{00000000-0005-0000-0000-0000BF240000}"/>
    <cellStyle name="Normal 89 4 2 2 2 2" xfId="9469" xr:uid="{00000000-0005-0000-0000-0000C0240000}"/>
    <cellStyle name="Normal 89 4 2 2 3" xfId="9470" xr:uid="{00000000-0005-0000-0000-0000C1240000}"/>
    <cellStyle name="Normal 89 4 2 3" xfId="9471" xr:uid="{00000000-0005-0000-0000-0000C2240000}"/>
    <cellStyle name="Normal 89 4 2 3 2" xfId="9472" xr:uid="{00000000-0005-0000-0000-0000C3240000}"/>
    <cellStyle name="Normal 89 4 2 4" xfId="9473" xr:uid="{00000000-0005-0000-0000-0000C4240000}"/>
    <cellStyle name="Normal 89 4 3" xfId="9474" xr:uid="{00000000-0005-0000-0000-0000C5240000}"/>
    <cellStyle name="Normal 89 4 3 2" xfId="9475" xr:uid="{00000000-0005-0000-0000-0000C6240000}"/>
    <cellStyle name="Normal 89 4 3 2 2" xfId="9476" xr:uid="{00000000-0005-0000-0000-0000C7240000}"/>
    <cellStyle name="Normal 89 4 3 3" xfId="9477" xr:uid="{00000000-0005-0000-0000-0000C8240000}"/>
    <cellStyle name="Normal 89 4 4" xfId="9478" xr:uid="{00000000-0005-0000-0000-0000C9240000}"/>
    <cellStyle name="Normal 89 4 4 2" xfId="9479" xr:uid="{00000000-0005-0000-0000-0000CA240000}"/>
    <cellStyle name="Normal 89 4 5" xfId="9480" xr:uid="{00000000-0005-0000-0000-0000CB240000}"/>
    <cellStyle name="Normal 89 5" xfId="9481" xr:uid="{00000000-0005-0000-0000-0000CC240000}"/>
    <cellStyle name="Normal 89 5 2" xfId="9482" xr:uid="{00000000-0005-0000-0000-0000CD240000}"/>
    <cellStyle name="Normal 89 5 2 2" xfId="9483" xr:uid="{00000000-0005-0000-0000-0000CE240000}"/>
    <cellStyle name="Normal 89 5 2 2 2" xfId="9484" xr:uid="{00000000-0005-0000-0000-0000CF240000}"/>
    <cellStyle name="Normal 89 5 2 2 2 2" xfId="9485" xr:uid="{00000000-0005-0000-0000-0000D0240000}"/>
    <cellStyle name="Normal 89 5 2 2 3" xfId="9486" xr:uid="{00000000-0005-0000-0000-0000D1240000}"/>
    <cellStyle name="Normal 89 5 2 3" xfId="9487" xr:uid="{00000000-0005-0000-0000-0000D2240000}"/>
    <cellStyle name="Normal 89 5 2 3 2" xfId="9488" xr:uid="{00000000-0005-0000-0000-0000D3240000}"/>
    <cellStyle name="Normal 89 5 2 4" xfId="9489" xr:uid="{00000000-0005-0000-0000-0000D4240000}"/>
    <cellStyle name="Normal 89 5 3" xfId="9490" xr:uid="{00000000-0005-0000-0000-0000D5240000}"/>
    <cellStyle name="Normal 89 5 3 2" xfId="9491" xr:uid="{00000000-0005-0000-0000-0000D6240000}"/>
    <cellStyle name="Normal 89 5 3 2 2" xfId="9492" xr:uid="{00000000-0005-0000-0000-0000D7240000}"/>
    <cellStyle name="Normal 89 5 3 3" xfId="9493" xr:uid="{00000000-0005-0000-0000-0000D8240000}"/>
    <cellStyle name="Normal 89 5 4" xfId="9494" xr:uid="{00000000-0005-0000-0000-0000D9240000}"/>
    <cellStyle name="Normal 89 5 4 2" xfId="9495" xr:uid="{00000000-0005-0000-0000-0000DA240000}"/>
    <cellStyle name="Normal 89 5 5" xfId="9496" xr:uid="{00000000-0005-0000-0000-0000DB240000}"/>
    <cellStyle name="Normal 89 6" xfId="9497" xr:uid="{00000000-0005-0000-0000-0000DC240000}"/>
    <cellStyle name="Normal 89 6 2" xfId="9498" xr:uid="{00000000-0005-0000-0000-0000DD240000}"/>
    <cellStyle name="Normal 89 6 2 2" xfId="9499" xr:uid="{00000000-0005-0000-0000-0000DE240000}"/>
    <cellStyle name="Normal 89 6 2 2 2" xfId="9500" xr:uid="{00000000-0005-0000-0000-0000DF240000}"/>
    <cellStyle name="Normal 89 6 2 3" xfId="9501" xr:uid="{00000000-0005-0000-0000-0000E0240000}"/>
    <cellStyle name="Normal 89 6 3" xfId="9502" xr:uid="{00000000-0005-0000-0000-0000E1240000}"/>
    <cellStyle name="Normal 89 6 3 2" xfId="9503" xr:uid="{00000000-0005-0000-0000-0000E2240000}"/>
    <cellStyle name="Normal 89 6 4" xfId="9504" xr:uid="{00000000-0005-0000-0000-0000E3240000}"/>
    <cellStyle name="Normal 89 7" xfId="9505" xr:uid="{00000000-0005-0000-0000-0000E4240000}"/>
    <cellStyle name="Normal 89 7 2" xfId="9506" xr:uid="{00000000-0005-0000-0000-0000E5240000}"/>
    <cellStyle name="Normal 89 7 2 2" xfId="9507" xr:uid="{00000000-0005-0000-0000-0000E6240000}"/>
    <cellStyle name="Normal 89 7 3" xfId="9508" xr:uid="{00000000-0005-0000-0000-0000E7240000}"/>
    <cellStyle name="Normal 89 8" xfId="9509" xr:uid="{00000000-0005-0000-0000-0000E8240000}"/>
    <cellStyle name="Normal 89 8 2" xfId="9510" xr:uid="{00000000-0005-0000-0000-0000E9240000}"/>
    <cellStyle name="Normal 89 9" xfId="9511" xr:uid="{00000000-0005-0000-0000-0000EA240000}"/>
    <cellStyle name="Normal 9" xfId="314" xr:uid="{00000000-0005-0000-0000-0000EB240000}"/>
    <cellStyle name="Normal 9 2" xfId="315" xr:uid="{00000000-0005-0000-0000-0000EC240000}"/>
    <cellStyle name="Normal 9 2 2" xfId="316" xr:uid="{00000000-0005-0000-0000-0000ED240000}"/>
    <cellStyle name="Normal 9 2 2 2" xfId="9512" xr:uid="{00000000-0005-0000-0000-0000EE240000}"/>
    <cellStyle name="Normal 9 3" xfId="317" xr:uid="{00000000-0005-0000-0000-0000EF240000}"/>
    <cellStyle name="Normal 9 3 2" xfId="9513" xr:uid="{00000000-0005-0000-0000-0000F0240000}"/>
    <cellStyle name="Normal 9 3 2 2" xfId="9514" xr:uid="{00000000-0005-0000-0000-0000F1240000}"/>
    <cellStyle name="Normal 9 3 2 2 2" xfId="9515" xr:uid="{00000000-0005-0000-0000-0000F2240000}"/>
    <cellStyle name="Normal 9 3 2 2 2 2" xfId="9516" xr:uid="{00000000-0005-0000-0000-0000F3240000}"/>
    <cellStyle name="Normal 9 3 2 2 3" xfId="9517" xr:uid="{00000000-0005-0000-0000-0000F4240000}"/>
    <cellStyle name="Normal 9 3 2 3" xfId="9518" xr:uid="{00000000-0005-0000-0000-0000F5240000}"/>
    <cellStyle name="Normal 9 3 2 3 2" xfId="9519" xr:uid="{00000000-0005-0000-0000-0000F6240000}"/>
    <cellStyle name="Normal 9 3 2 4" xfId="9520" xr:uid="{00000000-0005-0000-0000-0000F7240000}"/>
    <cellStyle name="Normal 9 3 3" xfId="9521" xr:uid="{00000000-0005-0000-0000-0000F8240000}"/>
    <cellStyle name="Normal 9 3 3 2" xfId="9522" xr:uid="{00000000-0005-0000-0000-0000F9240000}"/>
    <cellStyle name="Normal 9 3 3 2 2" xfId="9523" xr:uid="{00000000-0005-0000-0000-0000FA240000}"/>
    <cellStyle name="Normal 9 3 3 3" xfId="9524" xr:uid="{00000000-0005-0000-0000-0000FB240000}"/>
    <cellStyle name="Normal 9 3 4" xfId="9525" xr:uid="{00000000-0005-0000-0000-0000FC240000}"/>
    <cellStyle name="Normal 9 3 4 2" xfId="9526" xr:uid="{00000000-0005-0000-0000-0000FD240000}"/>
    <cellStyle name="Normal 9 3 5" xfId="9527" xr:uid="{00000000-0005-0000-0000-0000FE240000}"/>
    <cellStyle name="Normal 9 3 6" xfId="9528" xr:uid="{00000000-0005-0000-0000-0000FF240000}"/>
    <cellStyle name="Normal 9 4" xfId="9529" xr:uid="{00000000-0005-0000-0000-000000250000}"/>
    <cellStyle name="Normal 9 4 2" xfId="9530" xr:uid="{00000000-0005-0000-0000-000001250000}"/>
    <cellStyle name="Normal 9 4 2 2" xfId="9531" xr:uid="{00000000-0005-0000-0000-000002250000}"/>
    <cellStyle name="Normal 9 4 2 2 2" xfId="9532" xr:uid="{00000000-0005-0000-0000-000003250000}"/>
    <cellStyle name="Normal 9 4 2 2 2 2" xfId="9533" xr:uid="{00000000-0005-0000-0000-000004250000}"/>
    <cellStyle name="Normal 9 4 2 2 3" xfId="9534" xr:uid="{00000000-0005-0000-0000-000005250000}"/>
    <cellStyle name="Normal 9 4 2 3" xfId="9535" xr:uid="{00000000-0005-0000-0000-000006250000}"/>
    <cellStyle name="Normal 9 4 2 3 2" xfId="9536" xr:uid="{00000000-0005-0000-0000-000007250000}"/>
    <cellStyle name="Normal 9 4 2 4" xfId="9537" xr:uid="{00000000-0005-0000-0000-000008250000}"/>
    <cellStyle name="Normal 9 4 3" xfId="9538" xr:uid="{00000000-0005-0000-0000-000009250000}"/>
    <cellStyle name="Normal 9 4 3 2" xfId="9539" xr:uid="{00000000-0005-0000-0000-00000A250000}"/>
    <cellStyle name="Normal 9 4 3 2 2" xfId="9540" xr:uid="{00000000-0005-0000-0000-00000B250000}"/>
    <cellStyle name="Normal 9 4 3 3" xfId="9541" xr:uid="{00000000-0005-0000-0000-00000C250000}"/>
    <cellStyle name="Normal 9 4 4" xfId="9542" xr:uid="{00000000-0005-0000-0000-00000D250000}"/>
    <cellStyle name="Normal 9 4 4 2" xfId="9543" xr:uid="{00000000-0005-0000-0000-00000E250000}"/>
    <cellStyle name="Normal 9 4 5" xfId="9544" xr:uid="{00000000-0005-0000-0000-00000F250000}"/>
    <cellStyle name="Normal 9 5" xfId="9545" xr:uid="{00000000-0005-0000-0000-000010250000}"/>
    <cellStyle name="Normal 9 5 2" xfId="9546" xr:uid="{00000000-0005-0000-0000-000011250000}"/>
    <cellStyle name="Normal 9 5 2 2" xfId="9547" xr:uid="{00000000-0005-0000-0000-000012250000}"/>
    <cellStyle name="Normal 9 5 2 2 2" xfId="9548" xr:uid="{00000000-0005-0000-0000-000013250000}"/>
    <cellStyle name="Normal 9 5 2 2 2 2" xfId="9549" xr:uid="{00000000-0005-0000-0000-000014250000}"/>
    <cellStyle name="Normal 9 5 2 2 3" xfId="9550" xr:uid="{00000000-0005-0000-0000-000015250000}"/>
    <cellStyle name="Normal 9 5 2 3" xfId="9551" xr:uid="{00000000-0005-0000-0000-000016250000}"/>
    <cellStyle name="Normal 9 5 2 3 2" xfId="9552" xr:uid="{00000000-0005-0000-0000-000017250000}"/>
    <cellStyle name="Normal 9 5 2 4" xfId="9553" xr:uid="{00000000-0005-0000-0000-000018250000}"/>
    <cellStyle name="Normal 9 5 3" xfId="9554" xr:uid="{00000000-0005-0000-0000-000019250000}"/>
    <cellStyle name="Normal 9 5 3 2" xfId="9555" xr:uid="{00000000-0005-0000-0000-00001A250000}"/>
    <cellStyle name="Normal 9 5 3 2 2" xfId="9556" xr:uid="{00000000-0005-0000-0000-00001B250000}"/>
    <cellStyle name="Normal 9 5 3 3" xfId="9557" xr:uid="{00000000-0005-0000-0000-00001C250000}"/>
    <cellStyle name="Normal 9 5 4" xfId="9558" xr:uid="{00000000-0005-0000-0000-00001D250000}"/>
    <cellStyle name="Normal 9 5 4 2" xfId="9559" xr:uid="{00000000-0005-0000-0000-00001E250000}"/>
    <cellStyle name="Normal 9 5 5" xfId="9560" xr:uid="{00000000-0005-0000-0000-00001F250000}"/>
    <cellStyle name="Normal 9 5 6" xfId="9561" xr:uid="{00000000-0005-0000-0000-000020250000}"/>
    <cellStyle name="Normal 9 6" xfId="9562" xr:uid="{00000000-0005-0000-0000-000021250000}"/>
    <cellStyle name="Normal 9 6 2" xfId="9563" xr:uid="{00000000-0005-0000-0000-000022250000}"/>
    <cellStyle name="Normal 9 6 2 2" xfId="9564" xr:uid="{00000000-0005-0000-0000-000023250000}"/>
    <cellStyle name="Normal 9 6 2 2 2" xfId="9565" xr:uid="{00000000-0005-0000-0000-000024250000}"/>
    <cellStyle name="Normal 9 6 2 3" xfId="9566" xr:uid="{00000000-0005-0000-0000-000025250000}"/>
    <cellStyle name="Normal 9 6 3" xfId="9567" xr:uid="{00000000-0005-0000-0000-000026250000}"/>
    <cellStyle name="Normal 9 6 3 2" xfId="9568" xr:uid="{00000000-0005-0000-0000-000027250000}"/>
    <cellStyle name="Normal 9 6 4" xfId="9569" xr:uid="{00000000-0005-0000-0000-000028250000}"/>
    <cellStyle name="Normal 9 6 5" xfId="9570" xr:uid="{00000000-0005-0000-0000-000029250000}"/>
    <cellStyle name="Normal 9 7" xfId="9571" xr:uid="{00000000-0005-0000-0000-00002A250000}"/>
    <cellStyle name="Normal 9 7 2" xfId="9572" xr:uid="{00000000-0005-0000-0000-00002B250000}"/>
    <cellStyle name="Normal 9 7 2 2" xfId="9573" xr:uid="{00000000-0005-0000-0000-00002C250000}"/>
    <cellStyle name="Normal 9 7 3" xfId="9574" xr:uid="{00000000-0005-0000-0000-00002D250000}"/>
    <cellStyle name="Normal 9 8" xfId="9575" xr:uid="{00000000-0005-0000-0000-00002E250000}"/>
    <cellStyle name="Normal 9 8 2" xfId="9576" xr:uid="{00000000-0005-0000-0000-00002F250000}"/>
    <cellStyle name="Normal 9 9" xfId="9577" xr:uid="{00000000-0005-0000-0000-000030250000}"/>
    <cellStyle name="Normal 90" xfId="9578" xr:uid="{00000000-0005-0000-0000-000031250000}"/>
    <cellStyle name="Normal 90 2" xfId="9579" xr:uid="{00000000-0005-0000-0000-000032250000}"/>
    <cellStyle name="Normal 90 2 2" xfId="9580" xr:uid="{00000000-0005-0000-0000-000033250000}"/>
    <cellStyle name="Normal 90 3" xfId="9581" xr:uid="{00000000-0005-0000-0000-000034250000}"/>
    <cellStyle name="Normal 90 3 2" xfId="9582" xr:uid="{00000000-0005-0000-0000-000035250000}"/>
    <cellStyle name="Normal 90 3 2 2" xfId="9583" xr:uid="{00000000-0005-0000-0000-000036250000}"/>
    <cellStyle name="Normal 90 3 2 2 2" xfId="9584" xr:uid="{00000000-0005-0000-0000-000037250000}"/>
    <cellStyle name="Normal 90 3 2 2 2 2" xfId="9585" xr:uid="{00000000-0005-0000-0000-000038250000}"/>
    <cellStyle name="Normal 90 3 2 2 3" xfId="9586" xr:uid="{00000000-0005-0000-0000-000039250000}"/>
    <cellStyle name="Normal 90 3 2 3" xfId="9587" xr:uid="{00000000-0005-0000-0000-00003A250000}"/>
    <cellStyle name="Normal 90 3 2 3 2" xfId="9588" xr:uid="{00000000-0005-0000-0000-00003B250000}"/>
    <cellStyle name="Normal 90 3 2 4" xfId="9589" xr:uid="{00000000-0005-0000-0000-00003C250000}"/>
    <cellStyle name="Normal 90 3 3" xfId="9590" xr:uid="{00000000-0005-0000-0000-00003D250000}"/>
    <cellStyle name="Normal 90 3 3 2" xfId="9591" xr:uid="{00000000-0005-0000-0000-00003E250000}"/>
    <cellStyle name="Normal 90 3 3 2 2" xfId="9592" xr:uid="{00000000-0005-0000-0000-00003F250000}"/>
    <cellStyle name="Normal 90 3 3 3" xfId="9593" xr:uid="{00000000-0005-0000-0000-000040250000}"/>
    <cellStyle name="Normal 90 3 4" xfId="9594" xr:uid="{00000000-0005-0000-0000-000041250000}"/>
    <cellStyle name="Normal 90 3 4 2" xfId="9595" xr:uid="{00000000-0005-0000-0000-000042250000}"/>
    <cellStyle name="Normal 90 3 5" xfId="9596" xr:uid="{00000000-0005-0000-0000-000043250000}"/>
    <cellStyle name="Normal 90 4" xfId="9597" xr:uid="{00000000-0005-0000-0000-000044250000}"/>
    <cellStyle name="Normal 90 4 2" xfId="9598" xr:uid="{00000000-0005-0000-0000-000045250000}"/>
    <cellStyle name="Normal 90 4 2 2" xfId="9599" xr:uid="{00000000-0005-0000-0000-000046250000}"/>
    <cellStyle name="Normal 90 4 2 2 2" xfId="9600" xr:uid="{00000000-0005-0000-0000-000047250000}"/>
    <cellStyle name="Normal 90 4 2 2 2 2" xfId="9601" xr:uid="{00000000-0005-0000-0000-000048250000}"/>
    <cellStyle name="Normal 90 4 2 2 3" xfId="9602" xr:uid="{00000000-0005-0000-0000-000049250000}"/>
    <cellStyle name="Normal 90 4 2 3" xfId="9603" xr:uid="{00000000-0005-0000-0000-00004A250000}"/>
    <cellStyle name="Normal 90 4 2 3 2" xfId="9604" xr:uid="{00000000-0005-0000-0000-00004B250000}"/>
    <cellStyle name="Normal 90 4 2 4" xfId="9605" xr:uid="{00000000-0005-0000-0000-00004C250000}"/>
    <cellStyle name="Normal 90 4 3" xfId="9606" xr:uid="{00000000-0005-0000-0000-00004D250000}"/>
    <cellStyle name="Normal 90 4 3 2" xfId="9607" xr:uid="{00000000-0005-0000-0000-00004E250000}"/>
    <cellStyle name="Normal 90 4 3 2 2" xfId="9608" xr:uid="{00000000-0005-0000-0000-00004F250000}"/>
    <cellStyle name="Normal 90 4 3 3" xfId="9609" xr:uid="{00000000-0005-0000-0000-000050250000}"/>
    <cellStyle name="Normal 90 4 4" xfId="9610" xr:uid="{00000000-0005-0000-0000-000051250000}"/>
    <cellStyle name="Normal 90 4 4 2" xfId="9611" xr:uid="{00000000-0005-0000-0000-000052250000}"/>
    <cellStyle name="Normal 90 4 5" xfId="9612" xr:uid="{00000000-0005-0000-0000-000053250000}"/>
    <cellStyle name="Normal 90 5" xfId="9613" xr:uid="{00000000-0005-0000-0000-000054250000}"/>
    <cellStyle name="Normal 90 5 2" xfId="9614" xr:uid="{00000000-0005-0000-0000-000055250000}"/>
    <cellStyle name="Normal 90 5 2 2" xfId="9615" xr:uid="{00000000-0005-0000-0000-000056250000}"/>
    <cellStyle name="Normal 90 5 2 2 2" xfId="9616" xr:uid="{00000000-0005-0000-0000-000057250000}"/>
    <cellStyle name="Normal 90 5 2 2 2 2" xfId="9617" xr:uid="{00000000-0005-0000-0000-000058250000}"/>
    <cellStyle name="Normal 90 5 2 2 3" xfId="9618" xr:uid="{00000000-0005-0000-0000-000059250000}"/>
    <cellStyle name="Normal 90 5 2 3" xfId="9619" xr:uid="{00000000-0005-0000-0000-00005A250000}"/>
    <cellStyle name="Normal 90 5 2 3 2" xfId="9620" xr:uid="{00000000-0005-0000-0000-00005B250000}"/>
    <cellStyle name="Normal 90 5 2 4" xfId="9621" xr:uid="{00000000-0005-0000-0000-00005C250000}"/>
    <cellStyle name="Normal 90 5 3" xfId="9622" xr:uid="{00000000-0005-0000-0000-00005D250000}"/>
    <cellStyle name="Normal 90 5 3 2" xfId="9623" xr:uid="{00000000-0005-0000-0000-00005E250000}"/>
    <cellStyle name="Normal 90 5 3 2 2" xfId="9624" xr:uid="{00000000-0005-0000-0000-00005F250000}"/>
    <cellStyle name="Normal 90 5 3 3" xfId="9625" xr:uid="{00000000-0005-0000-0000-000060250000}"/>
    <cellStyle name="Normal 90 5 4" xfId="9626" xr:uid="{00000000-0005-0000-0000-000061250000}"/>
    <cellStyle name="Normal 90 5 4 2" xfId="9627" xr:uid="{00000000-0005-0000-0000-000062250000}"/>
    <cellStyle name="Normal 90 5 5" xfId="9628" xr:uid="{00000000-0005-0000-0000-000063250000}"/>
    <cellStyle name="Normal 90 6" xfId="9629" xr:uid="{00000000-0005-0000-0000-000064250000}"/>
    <cellStyle name="Normal 90 6 2" xfId="9630" xr:uid="{00000000-0005-0000-0000-000065250000}"/>
    <cellStyle name="Normal 90 6 2 2" xfId="9631" xr:uid="{00000000-0005-0000-0000-000066250000}"/>
    <cellStyle name="Normal 90 6 2 2 2" xfId="9632" xr:uid="{00000000-0005-0000-0000-000067250000}"/>
    <cellStyle name="Normal 90 6 2 3" xfId="9633" xr:uid="{00000000-0005-0000-0000-000068250000}"/>
    <cellStyle name="Normal 90 6 3" xfId="9634" xr:uid="{00000000-0005-0000-0000-000069250000}"/>
    <cellStyle name="Normal 90 6 3 2" xfId="9635" xr:uid="{00000000-0005-0000-0000-00006A250000}"/>
    <cellStyle name="Normal 90 6 4" xfId="9636" xr:uid="{00000000-0005-0000-0000-00006B250000}"/>
    <cellStyle name="Normal 90 7" xfId="9637" xr:uid="{00000000-0005-0000-0000-00006C250000}"/>
    <cellStyle name="Normal 90 7 2" xfId="9638" xr:uid="{00000000-0005-0000-0000-00006D250000}"/>
    <cellStyle name="Normal 90 7 2 2" xfId="9639" xr:uid="{00000000-0005-0000-0000-00006E250000}"/>
    <cellStyle name="Normal 90 7 3" xfId="9640" xr:uid="{00000000-0005-0000-0000-00006F250000}"/>
    <cellStyle name="Normal 90 8" xfId="9641" xr:uid="{00000000-0005-0000-0000-000070250000}"/>
    <cellStyle name="Normal 90 8 2" xfId="9642" xr:uid="{00000000-0005-0000-0000-000071250000}"/>
    <cellStyle name="Normal 90 9" xfId="9643" xr:uid="{00000000-0005-0000-0000-000072250000}"/>
    <cellStyle name="Normal 91" xfId="9644" xr:uid="{00000000-0005-0000-0000-000073250000}"/>
    <cellStyle name="Normal 91 2" xfId="9645" xr:uid="{00000000-0005-0000-0000-000074250000}"/>
    <cellStyle name="Normal 91 2 2" xfId="9646" xr:uid="{00000000-0005-0000-0000-000075250000}"/>
    <cellStyle name="Normal 91 3" xfId="9647" xr:uid="{00000000-0005-0000-0000-000076250000}"/>
    <cellStyle name="Normal 91 3 2" xfId="9648" xr:uid="{00000000-0005-0000-0000-000077250000}"/>
    <cellStyle name="Normal 91 3 2 2" xfId="9649" xr:uid="{00000000-0005-0000-0000-000078250000}"/>
    <cellStyle name="Normal 91 3 2 2 2" xfId="9650" xr:uid="{00000000-0005-0000-0000-000079250000}"/>
    <cellStyle name="Normal 91 3 2 2 2 2" xfId="9651" xr:uid="{00000000-0005-0000-0000-00007A250000}"/>
    <cellStyle name="Normal 91 3 2 2 3" xfId="9652" xr:uid="{00000000-0005-0000-0000-00007B250000}"/>
    <cellStyle name="Normal 91 3 2 3" xfId="9653" xr:uid="{00000000-0005-0000-0000-00007C250000}"/>
    <cellStyle name="Normal 91 3 2 3 2" xfId="9654" xr:uid="{00000000-0005-0000-0000-00007D250000}"/>
    <cellStyle name="Normal 91 3 2 4" xfId="9655" xr:uid="{00000000-0005-0000-0000-00007E250000}"/>
    <cellStyle name="Normal 91 3 3" xfId="9656" xr:uid="{00000000-0005-0000-0000-00007F250000}"/>
    <cellStyle name="Normal 91 3 3 2" xfId="9657" xr:uid="{00000000-0005-0000-0000-000080250000}"/>
    <cellStyle name="Normal 91 3 3 2 2" xfId="9658" xr:uid="{00000000-0005-0000-0000-000081250000}"/>
    <cellStyle name="Normal 91 3 3 3" xfId="9659" xr:uid="{00000000-0005-0000-0000-000082250000}"/>
    <cellStyle name="Normal 91 3 4" xfId="9660" xr:uid="{00000000-0005-0000-0000-000083250000}"/>
    <cellStyle name="Normal 91 3 4 2" xfId="9661" xr:uid="{00000000-0005-0000-0000-000084250000}"/>
    <cellStyle name="Normal 91 3 5" xfId="9662" xr:uid="{00000000-0005-0000-0000-000085250000}"/>
    <cellStyle name="Normal 91 4" xfId="9663" xr:uid="{00000000-0005-0000-0000-000086250000}"/>
    <cellStyle name="Normal 91 4 2" xfId="9664" xr:uid="{00000000-0005-0000-0000-000087250000}"/>
    <cellStyle name="Normal 91 4 2 2" xfId="9665" xr:uid="{00000000-0005-0000-0000-000088250000}"/>
    <cellStyle name="Normal 91 4 2 2 2" xfId="9666" xr:uid="{00000000-0005-0000-0000-000089250000}"/>
    <cellStyle name="Normal 91 4 2 2 2 2" xfId="9667" xr:uid="{00000000-0005-0000-0000-00008A250000}"/>
    <cellStyle name="Normal 91 4 2 2 3" xfId="9668" xr:uid="{00000000-0005-0000-0000-00008B250000}"/>
    <cellStyle name="Normal 91 4 2 3" xfId="9669" xr:uid="{00000000-0005-0000-0000-00008C250000}"/>
    <cellStyle name="Normal 91 4 2 3 2" xfId="9670" xr:uid="{00000000-0005-0000-0000-00008D250000}"/>
    <cellStyle name="Normal 91 4 2 4" xfId="9671" xr:uid="{00000000-0005-0000-0000-00008E250000}"/>
    <cellStyle name="Normal 91 4 3" xfId="9672" xr:uid="{00000000-0005-0000-0000-00008F250000}"/>
    <cellStyle name="Normal 91 4 3 2" xfId="9673" xr:uid="{00000000-0005-0000-0000-000090250000}"/>
    <cellStyle name="Normal 91 4 3 2 2" xfId="9674" xr:uid="{00000000-0005-0000-0000-000091250000}"/>
    <cellStyle name="Normal 91 4 3 3" xfId="9675" xr:uid="{00000000-0005-0000-0000-000092250000}"/>
    <cellStyle name="Normal 91 4 4" xfId="9676" xr:uid="{00000000-0005-0000-0000-000093250000}"/>
    <cellStyle name="Normal 91 4 4 2" xfId="9677" xr:uid="{00000000-0005-0000-0000-000094250000}"/>
    <cellStyle name="Normal 91 4 5" xfId="9678" xr:uid="{00000000-0005-0000-0000-000095250000}"/>
    <cellStyle name="Normal 91 5" xfId="9679" xr:uid="{00000000-0005-0000-0000-000096250000}"/>
    <cellStyle name="Normal 91 5 2" xfId="9680" xr:uid="{00000000-0005-0000-0000-000097250000}"/>
    <cellStyle name="Normal 91 5 2 2" xfId="9681" xr:uid="{00000000-0005-0000-0000-000098250000}"/>
    <cellStyle name="Normal 91 5 2 2 2" xfId="9682" xr:uid="{00000000-0005-0000-0000-000099250000}"/>
    <cellStyle name="Normal 91 5 2 2 2 2" xfId="9683" xr:uid="{00000000-0005-0000-0000-00009A250000}"/>
    <cellStyle name="Normal 91 5 2 2 3" xfId="9684" xr:uid="{00000000-0005-0000-0000-00009B250000}"/>
    <cellStyle name="Normal 91 5 2 3" xfId="9685" xr:uid="{00000000-0005-0000-0000-00009C250000}"/>
    <cellStyle name="Normal 91 5 2 3 2" xfId="9686" xr:uid="{00000000-0005-0000-0000-00009D250000}"/>
    <cellStyle name="Normal 91 5 2 4" xfId="9687" xr:uid="{00000000-0005-0000-0000-00009E250000}"/>
    <cellStyle name="Normal 91 5 3" xfId="9688" xr:uid="{00000000-0005-0000-0000-00009F250000}"/>
    <cellStyle name="Normal 91 5 3 2" xfId="9689" xr:uid="{00000000-0005-0000-0000-0000A0250000}"/>
    <cellStyle name="Normal 91 5 3 2 2" xfId="9690" xr:uid="{00000000-0005-0000-0000-0000A1250000}"/>
    <cellStyle name="Normal 91 5 3 3" xfId="9691" xr:uid="{00000000-0005-0000-0000-0000A2250000}"/>
    <cellStyle name="Normal 91 5 4" xfId="9692" xr:uid="{00000000-0005-0000-0000-0000A3250000}"/>
    <cellStyle name="Normal 91 5 4 2" xfId="9693" xr:uid="{00000000-0005-0000-0000-0000A4250000}"/>
    <cellStyle name="Normal 91 5 5" xfId="9694" xr:uid="{00000000-0005-0000-0000-0000A5250000}"/>
    <cellStyle name="Normal 91 6" xfId="9695" xr:uid="{00000000-0005-0000-0000-0000A6250000}"/>
    <cellStyle name="Normal 91 6 2" xfId="9696" xr:uid="{00000000-0005-0000-0000-0000A7250000}"/>
    <cellStyle name="Normal 91 6 2 2" xfId="9697" xr:uid="{00000000-0005-0000-0000-0000A8250000}"/>
    <cellStyle name="Normal 91 6 2 2 2" xfId="9698" xr:uid="{00000000-0005-0000-0000-0000A9250000}"/>
    <cellStyle name="Normal 91 6 2 3" xfId="9699" xr:uid="{00000000-0005-0000-0000-0000AA250000}"/>
    <cellStyle name="Normal 91 6 3" xfId="9700" xr:uid="{00000000-0005-0000-0000-0000AB250000}"/>
    <cellStyle name="Normal 91 6 3 2" xfId="9701" xr:uid="{00000000-0005-0000-0000-0000AC250000}"/>
    <cellStyle name="Normal 91 6 4" xfId="9702" xr:uid="{00000000-0005-0000-0000-0000AD250000}"/>
    <cellStyle name="Normal 91 7" xfId="9703" xr:uid="{00000000-0005-0000-0000-0000AE250000}"/>
    <cellStyle name="Normal 91 7 2" xfId="9704" xr:uid="{00000000-0005-0000-0000-0000AF250000}"/>
    <cellStyle name="Normal 91 7 2 2" xfId="9705" xr:uid="{00000000-0005-0000-0000-0000B0250000}"/>
    <cellStyle name="Normal 91 7 3" xfId="9706" xr:uid="{00000000-0005-0000-0000-0000B1250000}"/>
    <cellStyle name="Normal 91 8" xfId="9707" xr:uid="{00000000-0005-0000-0000-0000B2250000}"/>
    <cellStyle name="Normal 91 8 2" xfId="9708" xr:uid="{00000000-0005-0000-0000-0000B3250000}"/>
    <cellStyle name="Normal 91 9" xfId="9709" xr:uid="{00000000-0005-0000-0000-0000B4250000}"/>
    <cellStyle name="Normal 92" xfId="9710" xr:uid="{00000000-0005-0000-0000-0000B5250000}"/>
    <cellStyle name="Normal 92 2" xfId="9711" xr:uid="{00000000-0005-0000-0000-0000B6250000}"/>
    <cellStyle name="Normal 92 2 2" xfId="9712" xr:uid="{00000000-0005-0000-0000-0000B7250000}"/>
    <cellStyle name="Normal 92 3" xfId="9713" xr:uid="{00000000-0005-0000-0000-0000B8250000}"/>
    <cellStyle name="Normal 92 3 2" xfId="9714" xr:uid="{00000000-0005-0000-0000-0000B9250000}"/>
    <cellStyle name="Normal 92 3 2 2" xfId="9715" xr:uid="{00000000-0005-0000-0000-0000BA250000}"/>
    <cellStyle name="Normal 92 3 2 2 2" xfId="9716" xr:uid="{00000000-0005-0000-0000-0000BB250000}"/>
    <cellStyle name="Normal 92 3 2 2 2 2" xfId="9717" xr:uid="{00000000-0005-0000-0000-0000BC250000}"/>
    <cellStyle name="Normal 92 3 2 2 3" xfId="9718" xr:uid="{00000000-0005-0000-0000-0000BD250000}"/>
    <cellStyle name="Normal 92 3 2 3" xfId="9719" xr:uid="{00000000-0005-0000-0000-0000BE250000}"/>
    <cellStyle name="Normal 92 3 2 3 2" xfId="9720" xr:uid="{00000000-0005-0000-0000-0000BF250000}"/>
    <cellStyle name="Normal 92 3 2 4" xfId="9721" xr:uid="{00000000-0005-0000-0000-0000C0250000}"/>
    <cellStyle name="Normal 92 3 3" xfId="9722" xr:uid="{00000000-0005-0000-0000-0000C1250000}"/>
    <cellStyle name="Normal 92 3 3 2" xfId="9723" xr:uid="{00000000-0005-0000-0000-0000C2250000}"/>
    <cellStyle name="Normal 92 3 3 2 2" xfId="9724" xr:uid="{00000000-0005-0000-0000-0000C3250000}"/>
    <cellStyle name="Normal 92 3 3 3" xfId="9725" xr:uid="{00000000-0005-0000-0000-0000C4250000}"/>
    <cellStyle name="Normal 92 3 4" xfId="9726" xr:uid="{00000000-0005-0000-0000-0000C5250000}"/>
    <cellStyle name="Normal 92 3 4 2" xfId="9727" xr:uid="{00000000-0005-0000-0000-0000C6250000}"/>
    <cellStyle name="Normal 92 3 5" xfId="9728" xr:uid="{00000000-0005-0000-0000-0000C7250000}"/>
    <cellStyle name="Normal 92 4" xfId="9729" xr:uid="{00000000-0005-0000-0000-0000C8250000}"/>
    <cellStyle name="Normal 92 4 2" xfId="9730" xr:uid="{00000000-0005-0000-0000-0000C9250000}"/>
    <cellStyle name="Normal 92 4 2 2" xfId="9731" xr:uid="{00000000-0005-0000-0000-0000CA250000}"/>
    <cellStyle name="Normal 92 4 2 2 2" xfId="9732" xr:uid="{00000000-0005-0000-0000-0000CB250000}"/>
    <cellStyle name="Normal 92 4 2 2 2 2" xfId="9733" xr:uid="{00000000-0005-0000-0000-0000CC250000}"/>
    <cellStyle name="Normal 92 4 2 2 3" xfId="9734" xr:uid="{00000000-0005-0000-0000-0000CD250000}"/>
    <cellStyle name="Normal 92 4 2 3" xfId="9735" xr:uid="{00000000-0005-0000-0000-0000CE250000}"/>
    <cellStyle name="Normal 92 4 2 3 2" xfId="9736" xr:uid="{00000000-0005-0000-0000-0000CF250000}"/>
    <cellStyle name="Normal 92 4 2 4" xfId="9737" xr:uid="{00000000-0005-0000-0000-0000D0250000}"/>
    <cellStyle name="Normal 92 4 3" xfId="9738" xr:uid="{00000000-0005-0000-0000-0000D1250000}"/>
    <cellStyle name="Normal 92 4 3 2" xfId="9739" xr:uid="{00000000-0005-0000-0000-0000D2250000}"/>
    <cellStyle name="Normal 92 4 3 2 2" xfId="9740" xr:uid="{00000000-0005-0000-0000-0000D3250000}"/>
    <cellStyle name="Normal 92 4 3 3" xfId="9741" xr:uid="{00000000-0005-0000-0000-0000D4250000}"/>
    <cellStyle name="Normal 92 4 4" xfId="9742" xr:uid="{00000000-0005-0000-0000-0000D5250000}"/>
    <cellStyle name="Normal 92 4 4 2" xfId="9743" xr:uid="{00000000-0005-0000-0000-0000D6250000}"/>
    <cellStyle name="Normal 92 4 5" xfId="9744" xr:uid="{00000000-0005-0000-0000-0000D7250000}"/>
    <cellStyle name="Normal 92 5" xfId="9745" xr:uid="{00000000-0005-0000-0000-0000D8250000}"/>
    <cellStyle name="Normal 92 5 2" xfId="9746" xr:uid="{00000000-0005-0000-0000-0000D9250000}"/>
    <cellStyle name="Normal 92 5 2 2" xfId="9747" xr:uid="{00000000-0005-0000-0000-0000DA250000}"/>
    <cellStyle name="Normal 92 5 2 2 2" xfId="9748" xr:uid="{00000000-0005-0000-0000-0000DB250000}"/>
    <cellStyle name="Normal 92 5 2 2 2 2" xfId="9749" xr:uid="{00000000-0005-0000-0000-0000DC250000}"/>
    <cellStyle name="Normal 92 5 2 2 3" xfId="9750" xr:uid="{00000000-0005-0000-0000-0000DD250000}"/>
    <cellStyle name="Normal 92 5 2 3" xfId="9751" xr:uid="{00000000-0005-0000-0000-0000DE250000}"/>
    <cellStyle name="Normal 92 5 2 3 2" xfId="9752" xr:uid="{00000000-0005-0000-0000-0000DF250000}"/>
    <cellStyle name="Normal 92 5 2 4" xfId="9753" xr:uid="{00000000-0005-0000-0000-0000E0250000}"/>
    <cellStyle name="Normal 92 5 3" xfId="9754" xr:uid="{00000000-0005-0000-0000-0000E1250000}"/>
    <cellStyle name="Normal 92 5 3 2" xfId="9755" xr:uid="{00000000-0005-0000-0000-0000E2250000}"/>
    <cellStyle name="Normal 92 5 3 2 2" xfId="9756" xr:uid="{00000000-0005-0000-0000-0000E3250000}"/>
    <cellStyle name="Normal 92 5 3 3" xfId="9757" xr:uid="{00000000-0005-0000-0000-0000E4250000}"/>
    <cellStyle name="Normal 92 5 4" xfId="9758" xr:uid="{00000000-0005-0000-0000-0000E5250000}"/>
    <cellStyle name="Normal 92 5 4 2" xfId="9759" xr:uid="{00000000-0005-0000-0000-0000E6250000}"/>
    <cellStyle name="Normal 92 5 5" xfId="9760" xr:uid="{00000000-0005-0000-0000-0000E7250000}"/>
    <cellStyle name="Normal 92 6" xfId="9761" xr:uid="{00000000-0005-0000-0000-0000E8250000}"/>
    <cellStyle name="Normal 92 6 2" xfId="9762" xr:uid="{00000000-0005-0000-0000-0000E9250000}"/>
    <cellStyle name="Normal 92 6 2 2" xfId="9763" xr:uid="{00000000-0005-0000-0000-0000EA250000}"/>
    <cellStyle name="Normal 92 6 2 2 2" xfId="9764" xr:uid="{00000000-0005-0000-0000-0000EB250000}"/>
    <cellStyle name="Normal 92 6 2 3" xfId="9765" xr:uid="{00000000-0005-0000-0000-0000EC250000}"/>
    <cellStyle name="Normal 92 6 3" xfId="9766" xr:uid="{00000000-0005-0000-0000-0000ED250000}"/>
    <cellStyle name="Normal 92 6 3 2" xfId="9767" xr:uid="{00000000-0005-0000-0000-0000EE250000}"/>
    <cellStyle name="Normal 92 6 4" xfId="9768" xr:uid="{00000000-0005-0000-0000-0000EF250000}"/>
    <cellStyle name="Normal 92 7" xfId="9769" xr:uid="{00000000-0005-0000-0000-0000F0250000}"/>
    <cellStyle name="Normal 92 7 2" xfId="9770" xr:uid="{00000000-0005-0000-0000-0000F1250000}"/>
    <cellStyle name="Normal 92 7 2 2" xfId="9771" xr:uid="{00000000-0005-0000-0000-0000F2250000}"/>
    <cellStyle name="Normal 92 7 3" xfId="9772" xr:uid="{00000000-0005-0000-0000-0000F3250000}"/>
    <cellStyle name="Normal 92 8" xfId="9773" xr:uid="{00000000-0005-0000-0000-0000F4250000}"/>
    <cellStyle name="Normal 92 8 2" xfId="9774" xr:uid="{00000000-0005-0000-0000-0000F5250000}"/>
    <cellStyle name="Normal 92 9" xfId="9775" xr:uid="{00000000-0005-0000-0000-0000F6250000}"/>
    <cellStyle name="Normal 93" xfId="9776" xr:uid="{00000000-0005-0000-0000-0000F7250000}"/>
    <cellStyle name="Normal 93 2" xfId="9777" xr:uid="{00000000-0005-0000-0000-0000F8250000}"/>
    <cellStyle name="Normal 93 2 2" xfId="9778" xr:uid="{00000000-0005-0000-0000-0000F9250000}"/>
    <cellStyle name="Normal 93 3" xfId="9779" xr:uid="{00000000-0005-0000-0000-0000FA250000}"/>
    <cellStyle name="Normal 93 3 2" xfId="9780" xr:uid="{00000000-0005-0000-0000-0000FB250000}"/>
    <cellStyle name="Normal 93 3 2 2" xfId="9781" xr:uid="{00000000-0005-0000-0000-0000FC250000}"/>
    <cellStyle name="Normal 93 3 2 2 2" xfId="9782" xr:uid="{00000000-0005-0000-0000-0000FD250000}"/>
    <cellStyle name="Normal 93 3 2 2 2 2" xfId="9783" xr:uid="{00000000-0005-0000-0000-0000FE250000}"/>
    <cellStyle name="Normal 93 3 2 2 3" xfId="9784" xr:uid="{00000000-0005-0000-0000-0000FF250000}"/>
    <cellStyle name="Normal 93 3 2 3" xfId="9785" xr:uid="{00000000-0005-0000-0000-000000260000}"/>
    <cellStyle name="Normal 93 3 2 3 2" xfId="9786" xr:uid="{00000000-0005-0000-0000-000001260000}"/>
    <cellStyle name="Normal 93 3 2 4" xfId="9787" xr:uid="{00000000-0005-0000-0000-000002260000}"/>
    <cellStyle name="Normal 93 3 3" xfId="9788" xr:uid="{00000000-0005-0000-0000-000003260000}"/>
    <cellStyle name="Normal 93 3 3 2" xfId="9789" xr:uid="{00000000-0005-0000-0000-000004260000}"/>
    <cellStyle name="Normal 93 3 3 2 2" xfId="9790" xr:uid="{00000000-0005-0000-0000-000005260000}"/>
    <cellStyle name="Normal 93 3 3 3" xfId="9791" xr:uid="{00000000-0005-0000-0000-000006260000}"/>
    <cellStyle name="Normal 93 3 4" xfId="9792" xr:uid="{00000000-0005-0000-0000-000007260000}"/>
    <cellStyle name="Normal 93 3 4 2" xfId="9793" xr:uid="{00000000-0005-0000-0000-000008260000}"/>
    <cellStyle name="Normal 93 3 5" xfId="9794" xr:uid="{00000000-0005-0000-0000-000009260000}"/>
    <cellStyle name="Normal 93 4" xfId="9795" xr:uid="{00000000-0005-0000-0000-00000A260000}"/>
    <cellStyle name="Normal 93 4 2" xfId="9796" xr:uid="{00000000-0005-0000-0000-00000B260000}"/>
    <cellStyle name="Normal 93 4 2 2" xfId="9797" xr:uid="{00000000-0005-0000-0000-00000C260000}"/>
    <cellStyle name="Normal 93 4 2 2 2" xfId="9798" xr:uid="{00000000-0005-0000-0000-00000D260000}"/>
    <cellStyle name="Normal 93 4 2 2 2 2" xfId="9799" xr:uid="{00000000-0005-0000-0000-00000E260000}"/>
    <cellStyle name="Normal 93 4 2 2 3" xfId="9800" xr:uid="{00000000-0005-0000-0000-00000F260000}"/>
    <cellStyle name="Normal 93 4 2 3" xfId="9801" xr:uid="{00000000-0005-0000-0000-000010260000}"/>
    <cellStyle name="Normal 93 4 2 3 2" xfId="9802" xr:uid="{00000000-0005-0000-0000-000011260000}"/>
    <cellStyle name="Normal 93 4 2 4" xfId="9803" xr:uid="{00000000-0005-0000-0000-000012260000}"/>
    <cellStyle name="Normal 93 4 3" xfId="9804" xr:uid="{00000000-0005-0000-0000-000013260000}"/>
    <cellStyle name="Normal 93 4 3 2" xfId="9805" xr:uid="{00000000-0005-0000-0000-000014260000}"/>
    <cellStyle name="Normal 93 4 3 2 2" xfId="9806" xr:uid="{00000000-0005-0000-0000-000015260000}"/>
    <cellStyle name="Normal 93 4 3 3" xfId="9807" xr:uid="{00000000-0005-0000-0000-000016260000}"/>
    <cellStyle name="Normal 93 4 4" xfId="9808" xr:uid="{00000000-0005-0000-0000-000017260000}"/>
    <cellStyle name="Normal 93 4 4 2" xfId="9809" xr:uid="{00000000-0005-0000-0000-000018260000}"/>
    <cellStyle name="Normal 93 4 5" xfId="9810" xr:uid="{00000000-0005-0000-0000-000019260000}"/>
    <cellStyle name="Normal 93 5" xfId="9811" xr:uid="{00000000-0005-0000-0000-00001A260000}"/>
    <cellStyle name="Normal 93 5 2" xfId="9812" xr:uid="{00000000-0005-0000-0000-00001B260000}"/>
    <cellStyle name="Normal 93 5 2 2" xfId="9813" xr:uid="{00000000-0005-0000-0000-00001C260000}"/>
    <cellStyle name="Normal 93 5 2 2 2" xfId="9814" xr:uid="{00000000-0005-0000-0000-00001D260000}"/>
    <cellStyle name="Normal 93 5 2 2 2 2" xfId="9815" xr:uid="{00000000-0005-0000-0000-00001E260000}"/>
    <cellStyle name="Normal 93 5 2 2 3" xfId="9816" xr:uid="{00000000-0005-0000-0000-00001F260000}"/>
    <cellStyle name="Normal 93 5 2 3" xfId="9817" xr:uid="{00000000-0005-0000-0000-000020260000}"/>
    <cellStyle name="Normal 93 5 2 3 2" xfId="9818" xr:uid="{00000000-0005-0000-0000-000021260000}"/>
    <cellStyle name="Normal 93 5 2 4" xfId="9819" xr:uid="{00000000-0005-0000-0000-000022260000}"/>
    <cellStyle name="Normal 93 5 3" xfId="9820" xr:uid="{00000000-0005-0000-0000-000023260000}"/>
    <cellStyle name="Normal 93 5 3 2" xfId="9821" xr:uid="{00000000-0005-0000-0000-000024260000}"/>
    <cellStyle name="Normal 93 5 3 2 2" xfId="9822" xr:uid="{00000000-0005-0000-0000-000025260000}"/>
    <cellStyle name="Normal 93 5 3 3" xfId="9823" xr:uid="{00000000-0005-0000-0000-000026260000}"/>
    <cellStyle name="Normal 93 5 4" xfId="9824" xr:uid="{00000000-0005-0000-0000-000027260000}"/>
    <cellStyle name="Normal 93 5 4 2" xfId="9825" xr:uid="{00000000-0005-0000-0000-000028260000}"/>
    <cellStyle name="Normal 93 5 5" xfId="9826" xr:uid="{00000000-0005-0000-0000-000029260000}"/>
    <cellStyle name="Normal 93 6" xfId="9827" xr:uid="{00000000-0005-0000-0000-00002A260000}"/>
    <cellStyle name="Normal 93 6 2" xfId="9828" xr:uid="{00000000-0005-0000-0000-00002B260000}"/>
    <cellStyle name="Normal 93 6 2 2" xfId="9829" xr:uid="{00000000-0005-0000-0000-00002C260000}"/>
    <cellStyle name="Normal 93 6 2 2 2" xfId="9830" xr:uid="{00000000-0005-0000-0000-00002D260000}"/>
    <cellStyle name="Normal 93 6 2 3" xfId="9831" xr:uid="{00000000-0005-0000-0000-00002E260000}"/>
    <cellStyle name="Normal 93 6 3" xfId="9832" xr:uid="{00000000-0005-0000-0000-00002F260000}"/>
    <cellStyle name="Normal 93 6 3 2" xfId="9833" xr:uid="{00000000-0005-0000-0000-000030260000}"/>
    <cellStyle name="Normal 93 6 4" xfId="9834" xr:uid="{00000000-0005-0000-0000-000031260000}"/>
    <cellStyle name="Normal 93 7" xfId="9835" xr:uid="{00000000-0005-0000-0000-000032260000}"/>
    <cellStyle name="Normal 93 7 2" xfId="9836" xr:uid="{00000000-0005-0000-0000-000033260000}"/>
    <cellStyle name="Normal 93 7 2 2" xfId="9837" xr:uid="{00000000-0005-0000-0000-000034260000}"/>
    <cellStyle name="Normal 93 7 3" xfId="9838" xr:uid="{00000000-0005-0000-0000-000035260000}"/>
    <cellStyle name="Normal 93 8" xfId="9839" xr:uid="{00000000-0005-0000-0000-000036260000}"/>
    <cellStyle name="Normal 93 8 2" xfId="9840" xr:uid="{00000000-0005-0000-0000-000037260000}"/>
    <cellStyle name="Normal 93 9" xfId="9841" xr:uid="{00000000-0005-0000-0000-000038260000}"/>
    <cellStyle name="Normal 94" xfId="9842" xr:uid="{00000000-0005-0000-0000-000039260000}"/>
    <cellStyle name="Normal 94 2" xfId="9843" xr:uid="{00000000-0005-0000-0000-00003A260000}"/>
    <cellStyle name="Normal 94 2 2" xfId="9844" xr:uid="{00000000-0005-0000-0000-00003B260000}"/>
    <cellStyle name="Normal 94 3" xfId="9845" xr:uid="{00000000-0005-0000-0000-00003C260000}"/>
    <cellStyle name="Normal 94 3 2" xfId="9846" xr:uid="{00000000-0005-0000-0000-00003D260000}"/>
    <cellStyle name="Normal 94 3 2 2" xfId="9847" xr:uid="{00000000-0005-0000-0000-00003E260000}"/>
    <cellStyle name="Normal 94 3 2 2 2" xfId="9848" xr:uid="{00000000-0005-0000-0000-00003F260000}"/>
    <cellStyle name="Normal 94 3 2 2 2 2" xfId="9849" xr:uid="{00000000-0005-0000-0000-000040260000}"/>
    <cellStyle name="Normal 94 3 2 2 3" xfId="9850" xr:uid="{00000000-0005-0000-0000-000041260000}"/>
    <cellStyle name="Normal 94 3 2 3" xfId="9851" xr:uid="{00000000-0005-0000-0000-000042260000}"/>
    <cellStyle name="Normal 94 3 2 3 2" xfId="9852" xr:uid="{00000000-0005-0000-0000-000043260000}"/>
    <cellStyle name="Normal 94 3 2 4" xfId="9853" xr:uid="{00000000-0005-0000-0000-000044260000}"/>
    <cellStyle name="Normal 94 3 3" xfId="9854" xr:uid="{00000000-0005-0000-0000-000045260000}"/>
    <cellStyle name="Normal 94 3 3 2" xfId="9855" xr:uid="{00000000-0005-0000-0000-000046260000}"/>
    <cellStyle name="Normal 94 3 3 2 2" xfId="9856" xr:uid="{00000000-0005-0000-0000-000047260000}"/>
    <cellStyle name="Normal 94 3 3 3" xfId="9857" xr:uid="{00000000-0005-0000-0000-000048260000}"/>
    <cellStyle name="Normal 94 3 4" xfId="9858" xr:uid="{00000000-0005-0000-0000-000049260000}"/>
    <cellStyle name="Normal 94 3 4 2" xfId="9859" xr:uid="{00000000-0005-0000-0000-00004A260000}"/>
    <cellStyle name="Normal 94 3 5" xfId="9860" xr:uid="{00000000-0005-0000-0000-00004B260000}"/>
    <cellStyle name="Normal 94 4" xfId="9861" xr:uid="{00000000-0005-0000-0000-00004C260000}"/>
    <cellStyle name="Normal 94 4 2" xfId="9862" xr:uid="{00000000-0005-0000-0000-00004D260000}"/>
    <cellStyle name="Normal 94 4 2 2" xfId="9863" xr:uid="{00000000-0005-0000-0000-00004E260000}"/>
    <cellStyle name="Normal 94 4 2 2 2" xfId="9864" xr:uid="{00000000-0005-0000-0000-00004F260000}"/>
    <cellStyle name="Normal 94 4 2 2 2 2" xfId="9865" xr:uid="{00000000-0005-0000-0000-000050260000}"/>
    <cellStyle name="Normal 94 4 2 2 3" xfId="9866" xr:uid="{00000000-0005-0000-0000-000051260000}"/>
    <cellStyle name="Normal 94 4 2 3" xfId="9867" xr:uid="{00000000-0005-0000-0000-000052260000}"/>
    <cellStyle name="Normal 94 4 2 3 2" xfId="9868" xr:uid="{00000000-0005-0000-0000-000053260000}"/>
    <cellStyle name="Normal 94 4 2 4" xfId="9869" xr:uid="{00000000-0005-0000-0000-000054260000}"/>
    <cellStyle name="Normal 94 4 3" xfId="9870" xr:uid="{00000000-0005-0000-0000-000055260000}"/>
    <cellStyle name="Normal 94 4 3 2" xfId="9871" xr:uid="{00000000-0005-0000-0000-000056260000}"/>
    <cellStyle name="Normal 94 4 3 2 2" xfId="9872" xr:uid="{00000000-0005-0000-0000-000057260000}"/>
    <cellStyle name="Normal 94 4 3 3" xfId="9873" xr:uid="{00000000-0005-0000-0000-000058260000}"/>
    <cellStyle name="Normal 94 4 4" xfId="9874" xr:uid="{00000000-0005-0000-0000-000059260000}"/>
    <cellStyle name="Normal 94 4 4 2" xfId="9875" xr:uid="{00000000-0005-0000-0000-00005A260000}"/>
    <cellStyle name="Normal 94 4 5" xfId="9876" xr:uid="{00000000-0005-0000-0000-00005B260000}"/>
    <cellStyle name="Normal 94 5" xfId="9877" xr:uid="{00000000-0005-0000-0000-00005C260000}"/>
    <cellStyle name="Normal 94 5 2" xfId="9878" xr:uid="{00000000-0005-0000-0000-00005D260000}"/>
    <cellStyle name="Normal 94 5 2 2" xfId="9879" xr:uid="{00000000-0005-0000-0000-00005E260000}"/>
    <cellStyle name="Normal 94 5 2 2 2" xfId="9880" xr:uid="{00000000-0005-0000-0000-00005F260000}"/>
    <cellStyle name="Normal 94 5 2 2 2 2" xfId="9881" xr:uid="{00000000-0005-0000-0000-000060260000}"/>
    <cellStyle name="Normal 94 5 2 2 3" xfId="9882" xr:uid="{00000000-0005-0000-0000-000061260000}"/>
    <cellStyle name="Normal 94 5 2 3" xfId="9883" xr:uid="{00000000-0005-0000-0000-000062260000}"/>
    <cellStyle name="Normal 94 5 2 3 2" xfId="9884" xr:uid="{00000000-0005-0000-0000-000063260000}"/>
    <cellStyle name="Normal 94 5 2 4" xfId="9885" xr:uid="{00000000-0005-0000-0000-000064260000}"/>
    <cellStyle name="Normal 94 5 3" xfId="9886" xr:uid="{00000000-0005-0000-0000-000065260000}"/>
    <cellStyle name="Normal 94 5 3 2" xfId="9887" xr:uid="{00000000-0005-0000-0000-000066260000}"/>
    <cellStyle name="Normal 94 5 3 2 2" xfId="9888" xr:uid="{00000000-0005-0000-0000-000067260000}"/>
    <cellStyle name="Normal 94 5 3 3" xfId="9889" xr:uid="{00000000-0005-0000-0000-000068260000}"/>
    <cellStyle name="Normal 94 5 4" xfId="9890" xr:uid="{00000000-0005-0000-0000-000069260000}"/>
    <cellStyle name="Normal 94 5 4 2" xfId="9891" xr:uid="{00000000-0005-0000-0000-00006A260000}"/>
    <cellStyle name="Normal 94 5 5" xfId="9892" xr:uid="{00000000-0005-0000-0000-00006B260000}"/>
    <cellStyle name="Normal 94 6" xfId="9893" xr:uid="{00000000-0005-0000-0000-00006C260000}"/>
    <cellStyle name="Normal 94 6 2" xfId="9894" xr:uid="{00000000-0005-0000-0000-00006D260000}"/>
    <cellStyle name="Normal 94 6 2 2" xfId="9895" xr:uid="{00000000-0005-0000-0000-00006E260000}"/>
    <cellStyle name="Normal 94 6 2 2 2" xfId="9896" xr:uid="{00000000-0005-0000-0000-00006F260000}"/>
    <cellStyle name="Normal 94 6 2 3" xfId="9897" xr:uid="{00000000-0005-0000-0000-000070260000}"/>
    <cellStyle name="Normal 94 6 3" xfId="9898" xr:uid="{00000000-0005-0000-0000-000071260000}"/>
    <cellStyle name="Normal 94 6 3 2" xfId="9899" xr:uid="{00000000-0005-0000-0000-000072260000}"/>
    <cellStyle name="Normal 94 6 4" xfId="9900" xr:uid="{00000000-0005-0000-0000-000073260000}"/>
    <cellStyle name="Normal 94 7" xfId="9901" xr:uid="{00000000-0005-0000-0000-000074260000}"/>
    <cellStyle name="Normal 94 7 2" xfId="9902" xr:uid="{00000000-0005-0000-0000-000075260000}"/>
    <cellStyle name="Normal 94 7 2 2" xfId="9903" xr:uid="{00000000-0005-0000-0000-000076260000}"/>
    <cellStyle name="Normal 94 7 3" xfId="9904" xr:uid="{00000000-0005-0000-0000-000077260000}"/>
    <cellStyle name="Normal 94 8" xfId="9905" xr:uid="{00000000-0005-0000-0000-000078260000}"/>
    <cellStyle name="Normal 94 8 2" xfId="9906" xr:uid="{00000000-0005-0000-0000-000079260000}"/>
    <cellStyle name="Normal 94 9" xfId="9907" xr:uid="{00000000-0005-0000-0000-00007A260000}"/>
    <cellStyle name="Normal 95" xfId="9908" xr:uid="{00000000-0005-0000-0000-00007B260000}"/>
    <cellStyle name="Normal 95 2" xfId="9909" xr:uid="{00000000-0005-0000-0000-00007C260000}"/>
    <cellStyle name="Normal 95 2 2" xfId="9910" xr:uid="{00000000-0005-0000-0000-00007D260000}"/>
    <cellStyle name="Normal 95 3" xfId="9911" xr:uid="{00000000-0005-0000-0000-00007E260000}"/>
    <cellStyle name="Normal 95 3 2" xfId="9912" xr:uid="{00000000-0005-0000-0000-00007F260000}"/>
    <cellStyle name="Normal 95 3 2 2" xfId="9913" xr:uid="{00000000-0005-0000-0000-000080260000}"/>
    <cellStyle name="Normal 95 3 2 2 2" xfId="9914" xr:uid="{00000000-0005-0000-0000-000081260000}"/>
    <cellStyle name="Normal 95 3 2 2 2 2" xfId="9915" xr:uid="{00000000-0005-0000-0000-000082260000}"/>
    <cellStyle name="Normal 95 3 2 2 3" xfId="9916" xr:uid="{00000000-0005-0000-0000-000083260000}"/>
    <cellStyle name="Normal 95 3 2 3" xfId="9917" xr:uid="{00000000-0005-0000-0000-000084260000}"/>
    <cellStyle name="Normal 95 3 2 3 2" xfId="9918" xr:uid="{00000000-0005-0000-0000-000085260000}"/>
    <cellStyle name="Normal 95 3 2 4" xfId="9919" xr:uid="{00000000-0005-0000-0000-000086260000}"/>
    <cellStyle name="Normal 95 3 3" xfId="9920" xr:uid="{00000000-0005-0000-0000-000087260000}"/>
    <cellStyle name="Normal 95 3 3 2" xfId="9921" xr:uid="{00000000-0005-0000-0000-000088260000}"/>
    <cellStyle name="Normal 95 3 3 2 2" xfId="9922" xr:uid="{00000000-0005-0000-0000-000089260000}"/>
    <cellStyle name="Normal 95 3 3 3" xfId="9923" xr:uid="{00000000-0005-0000-0000-00008A260000}"/>
    <cellStyle name="Normal 95 3 4" xfId="9924" xr:uid="{00000000-0005-0000-0000-00008B260000}"/>
    <cellStyle name="Normal 95 3 4 2" xfId="9925" xr:uid="{00000000-0005-0000-0000-00008C260000}"/>
    <cellStyle name="Normal 95 3 5" xfId="9926" xr:uid="{00000000-0005-0000-0000-00008D260000}"/>
    <cellStyle name="Normal 95 4" xfId="9927" xr:uid="{00000000-0005-0000-0000-00008E260000}"/>
    <cellStyle name="Normal 95 4 2" xfId="9928" xr:uid="{00000000-0005-0000-0000-00008F260000}"/>
    <cellStyle name="Normal 95 4 2 2" xfId="9929" xr:uid="{00000000-0005-0000-0000-000090260000}"/>
    <cellStyle name="Normal 95 4 2 2 2" xfId="9930" xr:uid="{00000000-0005-0000-0000-000091260000}"/>
    <cellStyle name="Normal 95 4 2 2 2 2" xfId="9931" xr:uid="{00000000-0005-0000-0000-000092260000}"/>
    <cellStyle name="Normal 95 4 2 2 3" xfId="9932" xr:uid="{00000000-0005-0000-0000-000093260000}"/>
    <cellStyle name="Normal 95 4 2 3" xfId="9933" xr:uid="{00000000-0005-0000-0000-000094260000}"/>
    <cellStyle name="Normal 95 4 2 3 2" xfId="9934" xr:uid="{00000000-0005-0000-0000-000095260000}"/>
    <cellStyle name="Normal 95 4 2 4" xfId="9935" xr:uid="{00000000-0005-0000-0000-000096260000}"/>
    <cellStyle name="Normal 95 4 3" xfId="9936" xr:uid="{00000000-0005-0000-0000-000097260000}"/>
    <cellStyle name="Normal 95 4 3 2" xfId="9937" xr:uid="{00000000-0005-0000-0000-000098260000}"/>
    <cellStyle name="Normal 95 4 3 2 2" xfId="9938" xr:uid="{00000000-0005-0000-0000-000099260000}"/>
    <cellStyle name="Normal 95 4 3 3" xfId="9939" xr:uid="{00000000-0005-0000-0000-00009A260000}"/>
    <cellStyle name="Normal 95 4 4" xfId="9940" xr:uid="{00000000-0005-0000-0000-00009B260000}"/>
    <cellStyle name="Normal 95 4 4 2" xfId="9941" xr:uid="{00000000-0005-0000-0000-00009C260000}"/>
    <cellStyle name="Normal 95 4 5" xfId="9942" xr:uid="{00000000-0005-0000-0000-00009D260000}"/>
    <cellStyle name="Normal 95 5" xfId="9943" xr:uid="{00000000-0005-0000-0000-00009E260000}"/>
    <cellStyle name="Normal 95 5 2" xfId="9944" xr:uid="{00000000-0005-0000-0000-00009F260000}"/>
    <cellStyle name="Normal 95 5 2 2" xfId="9945" xr:uid="{00000000-0005-0000-0000-0000A0260000}"/>
    <cellStyle name="Normal 95 5 2 2 2" xfId="9946" xr:uid="{00000000-0005-0000-0000-0000A1260000}"/>
    <cellStyle name="Normal 95 5 2 2 2 2" xfId="9947" xr:uid="{00000000-0005-0000-0000-0000A2260000}"/>
    <cellStyle name="Normal 95 5 2 2 3" xfId="9948" xr:uid="{00000000-0005-0000-0000-0000A3260000}"/>
    <cellStyle name="Normal 95 5 2 3" xfId="9949" xr:uid="{00000000-0005-0000-0000-0000A4260000}"/>
    <cellStyle name="Normal 95 5 2 3 2" xfId="9950" xr:uid="{00000000-0005-0000-0000-0000A5260000}"/>
    <cellStyle name="Normal 95 5 2 4" xfId="9951" xr:uid="{00000000-0005-0000-0000-0000A6260000}"/>
    <cellStyle name="Normal 95 5 3" xfId="9952" xr:uid="{00000000-0005-0000-0000-0000A7260000}"/>
    <cellStyle name="Normal 95 5 3 2" xfId="9953" xr:uid="{00000000-0005-0000-0000-0000A8260000}"/>
    <cellStyle name="Normal 95 5 3 2 2" xfId="9954" xr:uid="{00000000-0005-0000-0000-0000A9260000}"/>
    <cellStyle name="Normal 95 5 3 3" xfId="9955" xr:uid="{00000000-0005-0000-0000-0000AA260000}"/>
    <cellStyle name="Normal 95 5 4" xfId="9956" xr:uid="{00000000-0005-0000-0000-0000AB260000}"/>
    <cellStyle name="Normal 95 5 4 2" xfId="9957" xr:uid="{00000000-0005-0000-0000-0000AC260000}"/>
    <cellStyle name="Normal 95 5 5" xfId="9958" xr:uid="{00000000-0005-0000-0000-0000AD260000}"/>
    <cellStyle name="Normal 95 6" xfId="9959" xr:uid="{00000000-0005-0000-0000-0000AE260000}"/>
    <cellStyle name="Normal 95 6 2" xfId="9960" xr:uid="{00000000-0005-0000-0000-0000AF260000}"/>
    <cellStyle name="Normal 95 6 2 2" xfId="9961" xr:uid="{00000000-0005-0000-0000-0000B0260000}"/>
    <cellStyle name="Normal 95 6 2 2 2" xfId="9962" xr:uid="{00000000-0005-0000-0000-0000B1260000}"/>
    <cellStyle name="Normal 95 6 2 3" xfId="9963" xr:uid="{00000000-0005-0000-0000-0000B2260000}"/>
    <cellStyle name="Normal 95 6 3" xfId="9964" xr:uid="{00000000-0005-0000-0000-0000B3260000}"/>
    <cellStyle name="Normal 95 6 3 2" xfId="9965" xr:uid="{00000000-0005-0000-0000-0000B4260000}"/>
    <cellStyle name="Normal 95 6 4" xfId="9966" xr:uid="{00000000-0005-0000-0000-0000B5260000}"/>
    <cellStyle name="Normal 95 7" xfId="9967" xr:uid="{00000000-0005-0000-0000-0000B6260000}"/>
    <cellStyle name="Normal 95 7 2" xfId="9968" xr:uid="{00000000-0005-0000-0000-0000B7260000}"/>
    <cellStyle name="Normal 95 7 2 2" xfId="9969" xr:uid="{00000000-0005-0000-0000-0000B8260000}"/>
    <cellStyle name="Normal 95 7 3" xfId="9970" xr:uid="{00000000-0005-0000-0000-0000B9260000}"/>
    <cellStyle name="Normal 95 8" xfId="9971" xr:uid="{00000000-0005-0000-0000-0000BA260000}"/>
    <cellStyle name="Normal 95 8 2" xfId="9972" xr:uid="{00000000-0005-0000-0000-0000BB260000}"/>
    <cellStyle name="Normal 95 9" xfId="9973" xr:uid="{00000000-0005-0000-0000-0000BC260000}"/>
    <cellStyle name="Normal 96" xfId="9974" xr:uid="{00000000-0005-0000-0000-0000BD260000}"/>
    <cellStyle name="Normal 96 2" xfId="9975" xr:uid="{00000000-0005-0000-0000-0000BE260000}"/>
    <cellStyle name="Normal 96 2 2" xfId="9976" xr:uid="{00000000-0005-0000-0000-0000BF260000}"/>
    <cellStyle name="Normal 96 3" xfId="9977" xr:uid="{00000000-0005-0000-0000-0000C0260000}"/>
    <cellStyle name="Normal 96 3 2" xfId="9978" xr:uid="{00000000-0005-0000-0000-0000C1260000}"/>
    <cellStyle name="Normal 96 3 2 2" xfId="9979" xr:uid="{00000000-0005-0000-0000-0000C2260000}"/>
    <cellStyle name="Normal 96 3 2 2 2" xfId="9980" xr:uid="{00000000-0005-0000-0000-0000C3260000}"/>
    <cellStyle name="Normal 96 3 2 2 2 2" xfId="9981" xr:uid="{00000000-0005-0000-0000-0000C4260000}"/>
    <cellStyle name="Normal 96 3 2 2 3" xfId="9982" xr:uid="{00000000-0005-0000-0000-0000C5260000}"/>
    <cellStyle name="Normal 96 3 2 3" xfId="9983" xr:uid="{00000000-0005-0000-0000-0000C6260000}"/>
    <cellStyle name="Normal 96 3 2 3 2" xfId="9984" xr:uid="{00000000-0005-0000-0000-0000C7260000}"/>
    <cellStyle name="Normal 96 3 2 4" xfId="9985" xr:uid="{00000000-0005-0000-0000-0000C8260000}"/>
    <cellStyle name="Normal 96 3 3" xfId="9986" xr:uid="{00000000-0005-0000-0000-0000C9260000}"/>
    <cellStyle name="Normal 96 3 3 2" xfId="9987" xr:uid="{00000000-0005-0000-0000-0000CA260000}"/>
    <cellStyle name="Normal 96 3 3 2 2" xfId="9988" xr:uid="{00000000-0005-0000-0000-0000CB260000}"/>
    <cellStyle name="Normal 96 3 3 3" xfId="9989" xr:uid="{00000000-0005-0000-0000-0000CC260000}"/>
    <cellStyle name="Normal 96 3 4" xfId="9990" xr:uid="{00000000-0005-0000-0000-0000CD260000}"/>
    <cellStyle name="Normal 96 3 4 2" xfId="9991" xr:uid="{00000000-0005-0000-0000-0000CE260000}"/>
    <cellStyle name="Normal 96 3 5" xfId="9992" xr:uid="{00000000-0005-0000-0000-0000CF260000}"/>
    <cellStyle name="Normal 96 4" xfId="9993" xr:uid="{00000000-0005-0000-0000-0000D0260000}"/>
    <cellStyle name="Normal 96 4 2" xfId="9994" xr:uid="{00000000-0005-0000-0000-0000D1260000}"/>
    <cellStyle name="Normal 96 4 2 2" xfId="9995" xr:uid="{00000000-0005-0000-0000-0000D2260000}"/>
    <cellStyle name="Normal 96 4 2 2 2" xfId="9996" xr:uid="{00000000-0005-0000-0000-0000D3260000}"/>
    <cellStyle name="Normal 96 4 2 2 2 2" xfId="9997" xr:uid="{00000000-0005-0000-0000-0000D4260000}"/>
    <cellStyle name="Normal 96 4 2 2 3" xfId="9998" xr:uid="{00000000-0005-0000-0000-0000D5260000}"/>
    <cellStyle name="Normal 96 4 2 3" xfId="9999" xr:uid="{00000000-0005-0000-0000-0000D6260000}"/>
    <cellStyle name="Normal 96 4 2 3 2" xfId="10000" xr:uid="{00000000-0005-0000-0000-0000D7260000}"/>
    <cellStyle name="Normal 96 4 2 4" xfId="10001" xr:uid="{00000000-0005-0000-0000-0000D8260000}"/>
    <cellStyle name="Normal 96 4 3" xfId="10002" xr:uid="{00000000-0005-0000-0000-0000D9260000}"/>
    <cellStyle name="Normal 96 4 3 2" xfId="10003" xr:uid="{00000000-0005-0000-0000-0000DA260000}"/>
    <cellStyle name="Normal 96 4 3 2 2" xfId="10004" xr:uid="{00000000-0005-0000-0000-0000DB260000}"/>
    <cellStyle name="Normal 96 4 3 3" xfId="10005" xr:uid="{00000000-0005-0000-0000-0000DC260000}"/>
    <cellStyle name="Normal 96 4 4" xfId="10006" xr:uid="{00000000-0005-0000-0000-0000DD260000}"/>
    <cellStyle name="Normal 96 4 4 2" xfId="10007" xr:uid="{00000000-0005-0000-0000-0000DE260000}"/>
    <cellStyle name="Normal 96 4 5" xfId="10008" xr:uid="{00000000-0005-0000-0000-0000DF260000}"/>
    <cellStyle name="Normal 96 5" xfId="10009" xr:uid="{00000000-0005-0000-0000-0000E0260000}"/>
    <cellStyle name="Normal 96 5 2" xfId="10010" xr:uid="{00000000-0005-0000-0000-0000E1260000}"/>
    <cellStyle name="Normal 96 5 2 2" xfId="10011" xr:uid="{00000000-0005-0000-0000-0000E2260000}"/>
    <cellStyle name="Normal 96 5 2 2 2" xfId="10012" xr:uid="{00000000-0005-0000-0000-0000E3260000}"/>
    <cellStyle name="Normal 96 5 2 2 2 2" xfId="10013" xr:uid="{00000000-0005-0000-0000-0000E4260000}"/>
    <cellStyle name="Normal 96 5 2 2 3" xfId="10014" xr:uid="{00000000-0005-0000-0000-0000E5260000}"/>
    <cellStyle name="Normal 96 5 2 3" xfId="10015" xr:uid="{00000000-0005-0000-0000-0000E6260000}"/>
    <cellStyle name="Normal 96 5 2 3 2" xfId="10016" xr:uid="{00000000-0005-0000-0000-0000E7260000}"/>
    <cellStyle name="Normal 96 5 2 4" xfId="10017" xr:uid="{00000000-0005-0000-0000-0000E8260000}"/>
    <cellStyle name="Normal 96 5 3" xfId="10018" xr:uid="{00000000-0005-0000-0000-0000E9260000}"/>
    <cellStyle name="Normal 96 5 3 2" xfId="10019" xr:uid="{00000000-0005-0000-0000-0000EA260000}"/>
    <cellStyle name="Normal 96 5 3 2 2" xfId="10020" xr:uid="{00000000-0005-0000-0000-0000EB260000}"/>
    <cellStyle name="Normal 96 5 3 3" xfId="10021" xr:uid="{00000000-0005-0000-0000-0000EC260000}"/>
    <cellStyle name="Normal 96 5 4" xfId="10022" xr:uid="{00000000-0005-0000-0000-0000ED260000}"/>
    <cellStyle name="Normal 96 5 4 2" xfId="10023" xr:uid="{00000000-0005-0000-0000-0000EE260000}"/>
    <cellStyle name="Normal 96 5 5" xfId="10024" xr:uid="{00000000-0005-0000-0000-0000EF260000}"/>
    <cellStyle name="Normal 96 6" xfId="10025" xr:uid="{00000000-0005-0000-0000-0000F0260000}"/>
    <cellStyle name="Normal 96 6 2" xfId="10026" xr:uid="{00000000-0005-0000-0000-0000F1260000}"/>
    <cellStyle name="Normal 96 6 2 2" xfId="10027" xr:uid="{00000000-0005-0000-0000-0000F2260000}"/>
    <cellStyle name="Normal 96 6 2 2 2" xfId="10028" xr:uid="{00000000-0005-0000-0000-0000F3260000}"/>
    <cellStyle name="Normal 96 6 2 3" xfId="10029" xr:uid="{00000000-0005-0000-0000-0000F4260000}"/>
    <cellStyle name="Normal 96 6 3" xfId="10030" xr:uid="{00000000-0005-0000-0000-0000F5260000}"/>
    <cellStyle name="Normal 96 6 3 2" xfId="10031" xr:uid="{00000000-0005-0000-0000-0000F6260000}"/>
    <cellStyle name="Normal 96 6 4" xfId="10032" xr:uid="{00000000-0005-0000-0000-0000F7260000}"/>
    <cellStyle name="Normal 96 7" xfId="10033" xr:uid="{00000000-0005-0000-0000-0000F8260000}"/>
    <cellStyle name="Normal 96 7 2" xfId="10034" xr:uid="{00000000-0005-0000-0000-0000F9260000}"/>
    <cellStyle name="Normal 96 7 2 2" xfId="10035" xr:uid="{00000000-0005-0000-0000-0000FA260000}"/>
    <cellStyle name="Normal 96 7 3" xfId="10036" xr:uid="{00000000-0005-0000-0000-0000FB260000}"/>
    <cellStyle name="Normal 96 8" xfId="10037" xr:uid="{00000000-0005-0000-0000-0000FC260000}"/>
    <cellStyle name="Normal 96 8 2" xfId="10038" xr:uid="{00000000-0005-0000-0000-0000FD260000}"/>
    <cellStyle name="Normal 96 9" xfId="10039" xr:uid="{00000000-0005-0000-0000-0000FE260000}"/>
    <cellStyle name="Normal 97" xfId="10040" xr:uid="{00000000-0005-0000-0000-0000FF260000}"/>
    <cellStyle name="Normal 97 2" xfId="10041" xr:uid="{00000000-0005-0000-0000-000000270000}"/>
    <cellStyle name="Normal 97 2 2" xfId="10042" xr:uid="{00000000-0005-0000-0000-000001270000}"/>
    <cellStyle name="Normal 97 3" xfId="10043" xr:uid="{00000000-0005-0000-0000-000002270000}"/>
    <cellStyle name="Normal 97 3 2" xfId="10044" xr:uid="{00000000-0005-0000-0000-000003270000}"/>
    <cellStyle name="Normal 97 3 2 2" xfId="10045" xr:uid="{00000000-0005-0000-0000-000004270000}"/>
    <cellStyle name="Normal 97 3 2 2 2" xfId="10046" xr:uid="{00000000-0005-0000-0000-000005270000}"/>
    <cellStyle name="Normal 97 3 2 2 2 2" xfId="10047" xr:uid="{00000000-0005-0000-0000-000006270000}"/>
    <cellStyle name="Normal 97 3 2 2 3" xfId="10048" xr:uid="{00000000-0005-0000-0000-000007270000}"/>
    <cellStyle name="Normal 97 3 2 3" xfId="10049" xr:uid="{00000000-0005-0000-0000-000008270000}"/>
    <cellStyle name="Normal 97 3 2 3 2" xfId="10050" xr:uid="{00000000-0005-0000-0000-000009270000}"/>
    <cellStyle name="Normal 97 3 2 4" xfId="10051" xr:uid="{00000000-0005-0000-0000-00000A270000}"/>
    <cellStyle name="Normal 97 3 3" xfId="10052" xr:uid="{00000000-0005-0000-0000-00000B270000}"/>
    <cellStyle name="Normal 97 3 3 2" xfId="10053" xr:uid="{00000000-0005-0000-0000-00000C270000}"/>
    <cellStyle name="Normal 97 3 3 2 2" xfId="10054" xr:uid="{00000000-0005-0000-0000-00000D270000}"/>
    <cellStyle name="Normal 97 3 3 3" xfId="10055" xr:uid="{00000000-0005-0000-0000-00000E270000}"/>
    <cellStyle name="Normal 97 3 4" xfId="10056" xr:uid="{00000000-0005-0000-0000-00000F270000}"/>
    <cellStyle name="Normal 97 3 4 2" xfId="10057" xr:uid="{00000000-0005-0000-0000-000010270000}"/>
    <cellStyle name="Normal 97 3 5" xfId="10058" xr:uid="{00000000-0005-0000-0000-000011270000}"/>
    <cellStyle name="Normal 97 4" xfId="10059" xr:uid="{00000000-0005-0000-0000-000012270000}"/>
    <cellStyle name="Normal 97 4 2" xfId="10060" xr:uid="{00000000-0005-0000-0000-000013270000}"/>
    <cellStyle name="Normal 97 4 2 2" xfId="10061" xr:uid="{00000000-0005-0000-0000-000014270000}"/>
    <cellStyle name="Normal 97 4 2 2 2" xfId="10062" xr:uid="{00000000-0005-0000-0000-000015270000}"/>
    <cellStyle name="Normal 97 4 2 2 2 2" xfId="10063" xr:uid="{00000000-0005-0000-0000-000016270000}"/>
    <cellStyle name="Normal 97 4 2 2 3" xfId="10064" xr:uid="{00000000-0005-0000-0000-000017270000}"/>
    <cellStyle name="Normal 97 4 2 3" xfId="10065" xr:uid="{00000000-0005-0000-0000-000018270000}"/>
    <cellStyle name="Normal 97 4 2 3 2" xfId="10066" xr:uid="{00000000-0005-0000-0000-000019270000}"/>
    <cellStyle name="Normal 97 4 2 4" xfId="10067" xr:uid="{00000000-0005-0000-0000-00001A270000}"/>
    <cellStyle name="Normal 97 4 3" xfId="10068" xr:uid="{00000000-0005-0000-0000-00001B270000}"/>
    <cellStyle name="Normal 97 4 3 2" xfId="10069" xr:uid="{00000000-0005-0000-0000-00001C270000}"/>
    <cellStyle name="Normal 97 4 3 2 2" xfId="10070" xr:uid="{00000000-0005-0000-0000-00001D270000}"/>
    <cellStyle name="Normal 97 4 3 3" xfId="10071" xr:uid="{00000000-0005-0000-0000-00001E270000}"/>
    <cellStyle name="Normal 97 4 4" xfId="10072" xr:uid="{00000000-0005-0000-0000-00001F270000}"/>
    <cellStyle name="Normal 97 4 4 2" xfId="10073" xr:uid="{00000000-0005-0000-0000-000020270000}"/>
    <cellStyle name="Normal 97 4 5" xfId="10074" xr:uid="{00000000-0005-0000-0000-000021270000}"/>
    <cellStyle name="Normal 97 5" xfId="10075" xr:uid="{00000000-0005-0000-0000-000022270000}"/>
    <cellStyle name="Normal 97 5 2" xfId="10076" xr:uid="{00000000-0005-0000-0000-000023270000}"/>
    <cellStyle name="Normal 97 5 2 2" xfId="10077" xr:uid="{00000000-0005-0000-0000-000024270000}"/>
    <cellStyle name="Normal 97 5 2 2 2" xfId="10078" xr:uid="{00000000-0005-0000-0000-000025270000}"/>
    <cellStyle name="Normal 97 5 2 2 2 2" xfId="10079" xr:uid="{00000000-0005-0000-0000-000026270000}"/>
    <cellStyle name="Normal 97 5 2 2 3" xfId="10080" xr:uid="{00000000-0005-0000-0000-000027270000}"/>
    <cellStyle name="Normal 97 5 2 3" xfId="10081" xr:uid="{00000000-0005-0000-0000-000028270000}"/>
    <cellStyle name="Normal 97 5 2 3 2" xfId="10082" xr:uid="{00000000-0005-0000-0000-000029270000}"/>
    <cellStyle name="Normal 97 5 2 4" xfId="10083" xr:uid="{00000000-0005-0000-0000-00002A270000}"/>
    <cellStyle name="Normal 97 5 3" xfId="10084" xr:uid="{00000000-0005-0000-0000-00002B270000}"/>
    <cellStyle name="Normal 97 5 3 2" xfId="10085" xr:uid="{00000000-0005-0000-0000-00002C270000}"/>
    <cellStyle name="Normal 97 5 3 2 2" xfId="10086" xr:uid="{00000000-0005-0000-0000-00002D270000}"/>
    <cellStyle name="Normal 97 5 3 3" xfId="10087" xr:uid="{00000000-0005-0000-0000-00002E270000}"/>
    <cellStyle name="Normal 97 5 4" xfId="10088" xr:uid="{00000000-0005-0000-0000-00002F270000}"/>
    <cellStyle name="Normal 97 5 4 2" xfId="10089" xr:uid="{00000000-0005-0000-0000-000030270000}"/>
    <cellStyle name="Normal 97 5 5" xfId="10090" xr:uid="{00000000-0005-0000-0000-000031270000}"/>
    <cellStyle name="Normal 97 6" xfId="10091" xr:uid="{00000000-0005-0000-0000-000032270000}"/>
    <cellStyle name="Normal 97 6 2" xfId="10092" xr:uid="{00000000-0005-0000-0000-000033270000}"/>
    <cellStyle name="Normal 97 6 2 2" xfId="10093" xr:uid="{00000000-0005-0000-0000-000034270000}"/>
    <cellStyle name="Normal 97 6 2 2 2" xfId="10094" xr:uid="{00000000-0005-0000-0000-000035270000}"/>
    <cellStyle name="Normal 97 6 2 3" xfId="10095" xr:uid="{00000000-0005-0000-0000-000036270000}"/>
    <cellStyle name="Normal 97 6 3" xfId="10096" xr:uid="{00000000-0005-0000-0000-000037270000}"/>
    <cellStyle name="Normal 97 6 3 2" xfId="10097" xr:uid="{00000000-0005-0000-0000-000038270000}"/>
    <cellStyle name="Normal 97 6 4" xfId="10098" xr:uid="{00000000-0005-0000-0000-000039270000}"/>
    <cellStyle name="Normal 97 7" xfId="10099" xr:uid="{00000000-0005-0000-0000-00003A270000}"/>
    <cellStyle name="Normal 97 7 2" xfId="10100" xr:uid="{00000000-0005-0000-0000-00003B270000}"/>
    <cellStyle name="Normal 97 7 2 2" xfId="10101" xr:uid="{00000000-0005-0000-0000-00003C270000}"/>
    <cellStyle name="Normal 97 7 3" xfId="10102" xr:uid="{00000000-0005-0000-0000-00003D270000}"/>
    <cellStyle name="Normal 97 8" xfId="10103" xr:uid="{00000000-0005-0000-0000-00003E270000}"/>
    <cellStyle name="Normal 97 8 2" xfId="10104" xr:uid="{00000000-0005-0000-0000-00003F270000}"/>
    <cellStyle name="Normal 97 9" xfId="10105" xr:uid="{00000000-0005-0000-0000-000040270000}"/>
    <cellStyle name="Normal 98" xfId="10106" xr:uid="{00000000-0005-0000-0000-000041270000}"/>
    <cellStyle name="Normal 98 2" xfId="10107" xr:uid="{00000000-0005-0000-0000-000042270000}"/>
    <cellStyle name="Normal 98 2 2" xfId="10108" xr:uid="{00000000-0005-0000-0000-000043270000}"/>
    <cellStyle name="Normal 98 3" xfId="10109" xr:uid="{00000000-0005-0000-0000-000044270000}"/>
    <cellStyle name="Normal 98 3 2" xfId="10110" xr:uid="{00000000-0005-0000-0000-000045270000}"/>
    <cellStyle name="Normal 98 3 2 2" xfId="10111" xr:uid="{00000000-0005-0000-0000-000046270000}"/>
    <cellStyle name="Normal 98 3 2 2 2" xfId="10112" xr:uid="{00000000-0005-0000-0000-000047270000}"/>
    <cellStyle name="Normal 98 3 2 2 2 2" xfId="10113" xr:uid="{00000000-0005-0000-0000-000048270000}"/>
    <cellStyle name="Normal 98 3 2 2 3" xfId="10114" xr:uid="{00000000-0005-0000-0000-000049270000}"/>
    <cellStyle name="Normal 98 3 2 3" xfId="10115" xr:uid="{00000000-0005-0000-0000-00004A270000}"/>
    <cellStyle name="Normal 98 3 2 3 2" xfId="10116" xr:uid="{00000000-0005-0000-0000-00004B270000}"/>
    <cellStyle name="Normal 98 3 2 4" xfId="10117" xr:uid="{00000000-0005-0000-0000-00004C270000}"/>
    <cellStyle name="Normal 98 3 3" xfId="10118" xr:uid="{00000000-0005-0000-0000-00004D270000}"/>
    <cellStyle name="Normal 98 3 3 2" xfId="10119" xr:uid="{00000000-0005-0000-0000-00004E270000}"/>
    <cellStyle name="Normal 98 3 3 2 2" xfId="10120" xr:uid="{00000000-0005-0000-0000-00004F270000}"/>
    <cellStyle name="Normal 98 3 3 3" xfId="10121" xr:uid="{00000000-0005-0000-0000-000050270000}"/>
    <cellStyle name="Normal 98 3 4" xfId="10122" xr:uid="{00000000-0005-0000-0000-000051270000}"/>
    <cellStyle name="Normal 98 3 4 2" xfId="10123" xr:uid="{00000000-0005-0000-0000-000052270000}"/>
    <cellStyle name="Normal 98 3 5" xfId="10124" xr:uid="{00000000-0005-0000-0000-000053270000}"/>
    <cellStyle name="Normal 98 4" xfId="10125" xr:uid="{00000000-0005-0000-0000-000054270000}"/>
    <cellStyle name="Normal 98 4 2" xfId="10126" xr:uid="{00000000-0005-0000-0000-000055270000}"/>
    <cellStyle name="Normal 98 4 2 2" xfId="10127" xr:uid="{00000000-0005-0000-0000-000056270000}"/>
    <cellStyle name="Normal 98 4 2 2 2" xfId="10128" xr:uid="{00000000-0005-0000-0000-000057270000}"/>
    <cellStyle name="Normal 98 4 2 2 2 2" xfId="10129" xr:uid="{00000000-0005-0000-0000-000058270000}"/>
    <cellStyle name="Normal 98 4 2 2 3" xfId="10130" xr:uid="{00000000-0005-0000-0000-000059270000}"/>
    <cellStyle name="Normal 98 4 2 3" xfId="10131" xr:uid="{00000000-0005-0000-0000-00005A270000}"/>
    <cellStyle name="Normal 98 4 2 3 2" xfId="10132" xr:uid="{00000000-0005-0000-0000-00005B270000}"/>
    <cellStyle name="Normal 98 4 2 4" xfId="10133" xr:uid="{00000000-0005-0000-0000-00005C270000}"/>
    <cellStyle name="Normal 98 4 3" xfId="10134" xr:uid="{00000000-0005-0000-0000-00005D270000}"/>
    <cellStyle name="Normal 98 4 3 2" xfId="10135" xr:uid="{00000000-0005-0000-0000-00005E270000}"/>
    <cellStyle name="Normal 98 4 3 2 2" xfId="10136" xr:uid="{00000000-0005-0000-0000-00005F270000}"/>
    <cellStyle name="Normal 98 4 3 3" xfId="10137" xr:uid="{00000000-0005-0000-0000-000060270000}"/>
    <cellStyle name="Normal 98 4 4" xfId="10138" xr:uid="{00000000-0005-0000-0000-000061270000}"/>
    <cellStyle name="Normal 98 4 4 2" xfId="10139" xr:uid="{00000000-0005-0000-0000-000062270000}"/>
    <cellStyle name="Normal 98 4 5" xfId="10140" xr:uid="{00000000-0005-0000-0000-000063270000}"/>
    <cellStyle name="Normal 98 5" xfId="10141" xr:uid="{00000000-0005-0000-0000-000064270000}"/>
    <cellStyle name="Normal 98 5 2" xfId="10142" xr:uid="{00000000-0005-0000-0000-000065270000}"/>
    <cellStyle name="Normal 98 5 2 2" xfId="10143" xr:uid="{00000000-0005-0000-0000-000066270000}"/>
    <cellStyle name="Normal 98 5 2 2 2" xfId="10144" xr:uid="{00000000-0005-0000-0000-000067270000}"/>
    <cellStyle name="Normal 98 5 2 2 2 2" xfId="10145" xr:uid="{00000000-0005-0000-0000-000068270000}"/>
    <cellStyle name="Normal 98 5 2 2 3" xfId="10146" xr:uid="{00000000-0005-0000-0000-000069270000}"/>
    <cellStyle name="Normal 98 5 2 3" xfId="10147" xr:uid="{00000000-0005-0000-0000-00006A270000}"/>
    <cellStyle name="Normal 98 5 2 3 2" xfId="10148" xr:uid="{00000000-0005-0000-0000-00006B270000}"/>
    <cellStyle name="Normal 98 5 2 4" xfId="10149" xr:uid="{00000000-0005-0000-0000-00006C270000}"/>
    <cellStyle name="Normal 98 5 3" xfId="10150" xr:uid="{00000000-0005-0000-0000-00006D270000}"/>
    <cellStyle name="Normal 98 5 3 2" xfId="10151" xr:uid="{00000000-0005-0000-0000-00006E270000}"/>
    <cellStyle name="Normal 98 5 3 2 2" xfId="10152" xr:uid="{00000000-0005-0000-0000-00006F270000}"/>
    <cellStyle name="Normal 98 5 3 3" xfId="10153" xr:uid="{00000000-0005-0000-0000-000070270000}"/>
    <cellStyle name="Normal 98 5 4" xfId="10154" xr:uid="{00000000-0005-0000-0000-000071270000}"/>
    <cellStyle name="Normal 98 5 4 2" xfId="10155" xr:uid="{00000000-0005-0000-0000-000072270000}"/>
    <cellStyle name="Normal 98 5 5" xfId="10156" xr:uid="{00000000-0005-0000-0000-000073270000}"/>
    <cellStyle name="Normal 98 6" xfId="10157" xr:uid="{00000000-0005-0000-0000-000074270000}"/>
    <cellStyle name="Normal 98 6 2" xfId="10158" xr:uid="{00000000-0005-0000-0000-000075270000}"/>
    <cellStyle name="Normal 98 6 2 2" xfId="10159" xr:uid="{00000000-0005-0000-0000-000076270000}"/>
    <cellStyle name="Normal 98 6 2 2 2" xfId="10160" xr:uid="{00000000-0005-0000-0000-000077270000}"/>
    <cellStyle name="Normal 98 6 2 3" xfId="10161" xr:uid="{00000000-0005-0000-0000-000078270000}"/>
    <cellStyle name="Normal 98 6 3" xfId="10162" xr:uid="{00000000-0005-0000-0000-000079270000}"/>
    <cellStyle name="Normal 98 6 3 2" xfId="10163" xr:uid="{00000000-0005-0000-0000-00007A270000}"/>
    <cellStyle name="Normal 98 6 4" xfId="10164" xr:uid="{00000000-0005-0000-0000-00007B270000}"/>
    <cellStyle name="Normal 98 7" xfId="10165" xr:uid="{00000000-0005-0000-0000-00007C270000}"/>
    <cellStyle name="Normal 98 7 2" xfId="10166" xr:uid="{00000000-0005-0000-0000-00007D270000}"/>
    <cellStyle name="Normal 98 7 2 2" xfId="10167" xr:uid="{00000000-0005-0000-0000-00007E270000}"/>
    <cellStyle name="Normal 98 7 3" xfId="10168" xr:uid="{00000000-0005-0000-0000-00007F270000}"/>
    <cellStyle name="Normal 98 8" xfId="10169" xr:uid="{00000000-0005-0000-0000-000080270000}"/>
    <cellStyle name="Normal 98 8 2" xfId="10170" xr:uid="{00000000-0005-0000-0000-000081270000}"/>
    <cellStyle name="Normal 98 9" xfId="10171" xr:uid="{00000000-0005-0000-0000-000082270000}"/>
    <cellStyle name="Normal 99" xfId="10172" xr:uid="{00000000-0005-0000-0000-000083270000}"/>
    <cellStyle name="Normal 99 2" xfId="10173" xr:uid="{00000000-0005-0000-0000-000084270000}"/>
    <cellStyle name="Normal_Cognex 4.17.07" xfId="11022" xr:uid="{00000000-0005-0000-0000-000085270000}"/>
    <cellStyle name="Normal_EMC072000" xfId="11024" xr:uid="{00000000-0005-0000-0000-000086270000}"/>
    <cellStyle name="Normal_GIGM test" xfId="318" xr:uid="{00000000-0005-0000-0000-000087270000}"/>
    <cellStyle name="NormalItalic" xfId="10174" xr:uid="{00000000-0005-0000-0000-000088270000}"/>
    <cellStyle name="Nota" xfId="10175" xr:uid="{00000000-0005-0000-0000-000089270000}"/>
    <cellStyle name="Nota 2" xfId="10176" xr:uid="{00000000-0005-0000-0000-00008A270000}"/>
    <cellStyle name="Notas" xfId="10177" xr:uid="{00000000-0005-0000-0000-00008B270000}"/>
    <cellStyle name="Notas 2" xfId="10178" xr:uid="{00000000-0005-0000-0000-00008C270000}"/>
    <cellStyle name="Note 2" xfId="319" xr:uid="{00000000-0005-0000-0000-00008D270000}"/>
    <cellStyle name="Note 2 2" xfId="320" xr:uid="{00000000-0005-0000-0000-00008E270000}"/>
    <cellStyle name="Note 2 2 2" xfId="10179" xr:uid="{00000000-0005-0000-0000-00008F270000}"/>
    <cellStyle name="Note 2 2 2 2" xfId="10180" xr:uid="{00000000-0005-0000-0000-000090270000}"/>
    <cellStyle name="Note 2 2 2 2 2" xfId="10181" xr:uid="{00000000-0005-0000-0000-000091270000}"/>
    <cellStyle name="Note 2 2 2 2 3" xfId="10182" xr:uid="{00000000-0005-0000-0000-000092270000}"/>
    <cellStyle name="Note 2 2 2 3" xfId="10183" xr:uid="{00000000-0005-0000-0000-000093270000}"/>
    <cellStyle name="Note 2 2 2 3 2" xfId="10184" xr:uid="{00000000-0005-0000-0000-000094270000}"/>
    <cellStyle name="Note 2 2 2 4" xfId="10185" xr:uid="{00000000-0005-0000-0000-000095270000}"/>
    <cellStyle name="Note 2 2 3" xfId="10186" xr:uid="{00000000-0005-0000-0000-000096270000}"/>
    <cellStyle name="Note 2 2 3 2" xfId="10187" xr:uid="{00000000-0005-0000-0000-000097270000}"/>
    <cellStyle name="Note 2 2 3 3" xfId="10188" xr:uid="{00000000-0005-0000-0000-000098270000}"/>
    <cellStyle name="Note 2 2 4" xfId="10189" xr:uid="{00000000-0005-0000-0000-000099270000}"/>
    <cellStyle name="Note 2 2 5" xfId="10190" xr:uid="{00000000-0005-0000-0000-00009A270000}"/>
    <cellStyle name="Note 2 3" xfId="10191" xr:uid="{00000000-0005-0000-0000-00009B270000}"/>
    <cellStyle name="Note 2 3 2" xfId="10192" xr:uid="{00000000-0005-0000-0000-00009C270000}"/>
    <cellStyle name="Note 2 3 2 2" xfId="10193" xr:uid="{00000000-0005-0000-0000-00009D270000}"/>
    <cellStyle name="Note 2 3 2 3" xfId="10194" xr:uid="{00000000-0005-0000-0000-00009E270000}"/>
    <cellStyle name="Note 2 3 3" xfId="10195" xr:uid="{00000000-0005-0000-0000-00009F270000}"/>
    <cellStyle name="Note 2 3 3 2" xfId="10196" xr:uid="{00000000-0005-0000-0000-0000A0270000}"/>
    <cellStyle name="Note 2 3 4" xfId="10197" xr:uid="{00000000-0005-0000-0000-0000A1270000}"/>
    <cellStyle name="Note 2 4" xfId="10198" xr:uid="{00000000-0005-0000-0000-0000A2270000}"/>
    <cellStyle name="Note 2 4 2" xfId="10199" xr:uid="{00000000-0005-0000-0000-0000A3270000}"/>
    <cellStyle name="Note 2 4 3" xfId="10200" xr:uid="{00000000-0005-0000-0000-0000A4270000}"/>
    <cellStyle name="Note 2 5" xfId="10201" xr:uid="{00000000-0005-0000-0000-0000A5270000}"/>
    <cellStyle name="Note 2 6" xfId="10202" xr:uid="{00000000-0005-0000-0000-0000A6270000}"/>
    <cellStyle name="Note 2 7" xfId="10203" xr:uid="{00000000-0005-0000-0000-0000A7270000}"/>
    <cellStyle name="Note 3" xfId="321" xr:uid="{00000000-0005-0000-0000-0000A8270000}"/>
    <cellStyle name="Note 3 2" xfId="322" xr:uid="{00000000-0005-0000-0000-0000A9270000}"/>
    <cellStyle name="Note 3 2 2" xfId="323" xr:uid="{00000000-0005-0000-0000-0000AA270000}"/>
    <cellStyle name="Note 3 2 2 2" xfId="10204" xr:uid="{00000000-0005-0000-0000-0000AB270000}"/>
    <cellStyle name="Note 3 2 3" xfId="10205" xr:uid="{00000000-0005-0000-0000-0000AC270000}"/>
    <cellStyle name="Note 3 3" xfId="324" xr:uid="{00000000-0005-0000-0000-0000AD270000}"/>
    <cellStyle name="Note 3 3 2" xfId="10206" xr:uid="{00000000-0005-0000-0000-0000AE270000}"/>
    <cellStyle name="Note 3 4" xfId="10207" xr:uid="{00000000-0005-0000-0000-0000AF270000}"/>
    <cellStyle name="Note 4" xfId="10208" xr:uid="{00000000-0005-0000-0000-0000B0270000}"/>
    <cellStyle name="Note 4 2" xfId="10209" xr:uid="{00000000-0005-0000-0000-0000B1270000}"/>
    <cellStyle name="Note 4 2 2" xfId="10210" xr:uid="{00000000-0005-0000-0000-0000B2270000}"/>
    <cellStyle name="Note 4 2 2 2" xfId="10211" xr:uid="{00000000-0005-0000-0000-0000B3270000}"/>
    <cellStyle name="Note 4 2 3" xfId="10212" xr:uid="{00000000-0005-0000-0000-0000B4270000}"/>
    <cellStyle name="Note 4 2 4" xfId="10213" xr:uid="{00000000-0005-0000-0000-0000B5270000}"/>
    <cellStyle name="Note 4 3" xfId="10214" xr:uid="{00000000-0005-0000-0000-0000B6270000}"/>
    <cellStyle name="Note 4 3 2" xfId="10215" xr:uid="{00000000-0005-0000-0000-0000B7270000}"/>
    <cellStyle name="Note 4 4" xfId="10216" xr:uid="{00000000-0005-0000-0000-0000B8270000}"/>
    <cellStyle name="Note 4 5" xfId="10217" xr:uid="{00000000-0005-0000-0000-0000B9270000}"/>
    <cellStyle name="Note 5" xfId="10218" xr:uid="{00000000-0005-0000-0000-0000BA270000}"/>
    <cellStyle name="Note 5 2" xfId="10219" xr:uid="{00000000-0005-0000-0000-0000BB270000}"/>
    <cellStyle name="Note 6" xfId="10220" xr:uid="{00000000-0005-0000-0000-0000BC270000}"/>
    <cellStyle name="Note 6 2" xfId="10221" xr:uid="{00000000-0005-0000-0000-0000BD270000}"/>
    <cellStyle name="Note 7" xfId="10222" xr:uid="{00000000-0005-0000-0000-0000BE270000}"/>
    <cellStyle name="Note 8" xfId="10223" xr:uid="{00000000-0005-0000-0000-0000BF270000}"/>
    <cellStyle name="Note 9" xfId="10224" xr:uid="{00000000-0005-0000-0000-0000C0270000}"/>
    <cellStyle name="Nulos" xfId="10225" xr:uid="{00000000-0005-0000-0000-0000C1270000}"/>
    <cellStyle name="Number" xfId="325" xr:uid="{00000000-0005-0000-0000-0000C2270000}"/>
    <cellStyle name="Œ…‹æØ‚è [0.00]_GE 3 MINIMUM" xfId="10226" xr:uid="{00000000-0005-0000-0000-0000C3270000}"/>
    <cellStyle name="Œ…‹æØ‚è_GE 3 MINIMUM" xfId="10227" xr:uid="{00000000-0005-0000-0000-0000C4270000}"/>
    <cellStyle name="Oficio" xfId="10228" xr:uid="{00000000-0005-0000-0000-0000C5270000}"/>
    <cellStyle name="Osborne" xfId="326" xr:uid="{00000000-0005-0000-0000-0000C6270000}"/>
    <cellStyle name="Osborne 2" xfId="10229" xr:uid="{00000000-0005-0000-0000-0000C7270000}"/>
    <cellStyle name="Osborne 3" xfId="10230" xr:uid="{00000000-0005-0000-0000-0000C8270000}"/>
    <cellStyle name="OSW_RowLabels" xfId="10231" xr:uid="{00000000-0005-0000-0000-0000C9270000}"/>
    <cellStyle name="Output 2" xfId="327" xr:uid="{00000000-0005-0000-0000-0000CA270000}"/>
    <cellStyle name="Output 2 2" xfId="328" xr:uid="{00000000-0005-0000-0000-0000CB270000}"/>
    <cellStyle name="Output 2 2 2" xfId="10232" xr:uid="{00000000-0005-0000-0000-0000CC270000}"/>
    <cellStyle name="Output 2 2 2 2" xfId="10233" xr:uid="{00000000-0005-0000-0000-0000CD270000}"/>
    <cellStyle name="Output 2 2 2 3" xfId="10234" xr:uid="{00000000-0005-0000-0000-0000CE270000}"/>
    <cellStyle name="Output 2 2 3" xfId="10235" xr:uid="{00000000-0005-0000-0000-0000CF270000}"/>
    <cellStyle name="Output 2 3" xfId="10236" xr:uid="{00000000-0005-0000-0000-0000D0270000}"/>
    <cellStyle name="Output 2 3 2" xfId="10237" xr:uid="{00000000-0005-0000-0000-0000D1270000}"/>
    <cellStyle name="Output 2 3 3" xfId="10238" xr:uid="{00000000-0005-0000-0000-0000D2270000}"/>
    <cellStyle name="Output 2 4" xfId="10239" xr:uid="{00000000-0005-0000-0000-0000D3270000}"/>
    <cellStyle name="Output 2 5" xfId="10240" xr:uid="{00000000-0005-0000-0000-0000D4270000}"/>
    <cellStyle name="Output 3" xfId="10241" xr:uid="{00000000-0005-0000-0000-0000D5270000}"/>
    <cellStyle name="Output 3 2" xfId="10242" xr:uid="{00000000-0005-0000-0000-0000D6270000}"/>
    <cellStyle name="Output 3 2 2" xfId="10243" xr:uid="{00000000-0005-0000-0000-0000D7270000}"/>
    <cellStyle name="Output 3 2 3" xfId="10244" xr:uid="{00000000-0005-0000-0000-0000D8270000}"/>
    <cellStyle name="Output 3 3" xfId="10245" xr:uid="{00000000-0005-0000-0000-0000D9270000}"/>
    <cellStyle name="Output 3 4" xfId="10246" xr:uid="{00000000-0005-0000-0000-0000DA270000}"/>
    <cellStyle name="Page" xfId="10247" xr:uid="{00000000-0005-0000-0000-0000DB270000}"/>
    <cellStyle name="Palatino" xfId="10248" xr:uid="{00000000-0005-0000-0000-0000DC270000}"/>
    <cellStyle name="pe" xfId="10249" xr:uid="{00000000-0005-0000-0000-0000DD270000}"/>
    <cellStyle name="PEG" xfId="10250" xr:uid="{00000000-0005-0000-0000-0000DE270000}"/>
    <cellStyle name="Percent" xfId="329" builtinId="5"/>
    <cellStyle name="Percent % Long Underline" xfId="10251" xr:uid="{00000000-0005-0000-0000-0000E0270000}"/>
    <cellStyle name="Percent [0]" xfId="10252" xr:uid="{00000000-0005-0000-0000-0000E1270000}"/>
    <cellStyle name="Percent [1]" xfId="10253" xr:uid="{00000000-0005-0000-0000-0000E2270000}"/>
    <cellStyle name="Percent [1][]" xfId="10254" xr:uid="{00000000-0005-0000-0000-0000E3270000}"/>
    <cellStyle name="Percent [1]_LANCE_Model_v0.6.DCF.MASTER.Name" xfId="10255" xr:uid="{00000000-0005-0000-0000-0000E4270000}"/>
    <cellStyle name="Percent [2]" xfId="10256" xr:uid="{00000000-0005-0000-0000-0000E5270000}"/>
    <cellStyle name="Percent [2] 2" xfId="10257" xr:uid="{00000000-0005-0000-0000-0000E6270000}"/>
    <cellStyle name="Percent 0.00% Long Underline" xfId="10258" xr:uid="{00000000-0005-0000-0000-0000E7270000}"/>
    <cellStyle name="Percent 1" xfId="330" xr:uid="{00000000-0005-0000-0000-0000E8270000}"/>
    <cellStyle name="Percent 1 2" xfId="331" xr:uid="{00000000-0005-0000-0000-0000E9270000}"/>
    <cellStyle name="Percent 10" xfId="332" xr:uid="{00000000-0005-0000-0000-0000EA270000}"/>
    <cellStyle name="Percent 10 2" xfId="10259" xr:uid="{00000000-0005-0000-0000-0000EB270000}"/>
    <cellStyle name="Percent 10 2 2" xfId="10260" xr:uid="{00000000-0005-0000-0000-0000EC270000}"/>
    <cellStyle name="Percent 10 3" xfId="10261" xr:uid="{00000000-0005-0000-0000-0000ED270000}"/>
    <cellStyle name="Percent 10 4" xfId="10262" xr:uid="{00000000-0005-0000-0000-0000EE270000}"/>
    <cellStyle name="Percent 100" xfId="10263" xr:uid="{00000000-0005-0000-0000-0000EF270000}"/>
    <cellStyle name="Percent 101" xfId="10264" xr:uid="{00000000-0005-0000-0000-0000F0270000}"/>
    <cellStyle name="Percent 102" xfId="10265" xr:uid="{00000000-0005-0000-0000-0000F1270000}"/>
    <cellStyle name="Percent 103" xfId="10266" xr:uid="{00000000-0005-0000-0000-0000F2270000}"/>
    <cellStyle name="Percent 104" xfId="10267" xr:uid="{00000000-0005-0000-0000-0000F3270000}"/>
    <cellStyle name="Percent 105" xfId="10268" xr:uid="{00000000-0005-0000-0000-0000F4270000}"/>
    <cellStyle name="Percent 106" xfId="10269" xr:uid="{00000000-0005-0000-0000-0000F5270000}"/>
    <cellStyle name="Percent 107" xfId="10270" xr:uid="{00000000-0005-0000-0000-0000F6270000}"/>
    <cellStyle name="Percent 108" xfId="10271" xr:uid="{00000000-0005-0000-0000-0000F7270000}"/>
    <cellStyle name="Percent 109" xfId="10272" xr:uid="{00000000-0005-0000-0000-0000F8270000}"/>
    <cellStyle name="Percent 11" xfId="10273" xr:uid="{00000000-0005-0000-0000-0000F9270000}"/>
    <cellStyle name="Percent 11 2" xfId="10274" xr:uid="{00000000-0005-0000-0000-0000FA270000}"/>
    <cellStyle name="Percent 11 3" xfId="10275" xr:uid="{00000000-0005-0000-0000-0000FB270000}"/>
    <cellStyle name="Percent 11 4" xfId="10276" xr:uid="{00000000-0005-0000-0000-0000FC270000}"/>
    <cellStyle name="Percent 110" xfId="10277" xr:uid="{00000000-0005-0000-0000-0000FD270000}"/>
    <cellStyle name="Percent 111" xfId="10278" xr:uid="{00000000-0005-0000-0000-0000FE270000}"/>
    <cellStyle name="Percent 112" xfId="10279" xr:uid="{00000000-0005-0000-0000-0000FF270000}"/>
    <cellStyle name="Percent 113" xfId="10280" xr:uid="{00000000-0005-0000-0000-000000280000}"/>
    <cellStyle name="Percent 114" xfId="10281" xr:uid="{00000000-0005-0000-0000-000001280000}"/>
    <cellStyle name="Percent 115" xfId="10282" xr:uid="{00000000-0005-0000-0000-000002280000}"/>
    <cellStyle name="Percent 116" xfId="10283" xr:uid="{00000000-0005-0000-0000-000003280000}"/>
    <cellStyle name="Percent 117" xfId="10284" xr:uid="{00000000-0005-0000-0000-000004280000}"/>
    <cellStyle name="Percent 118" xfId="10285" xr:uid="{00000000-0005-0000-0000-000005280000}"/>
    <cellStyle name="Percent 119" xfId="10286" xr:uid="{00000000-0005-0000-0000-000006280000}"/>
    <cellStyle name="Percent 12" xfId="10287" xr:uid="{00000000-0005-0000-0000-000007280000}"/>
    <cellStyle name="Percent 12 2" xfId="10288" xr:uid="{00000000-0005-0000-0000-000008280000}"/>
    <cellStyle name="Percent 12 3" xfId="10289" xr:uid="{00000000-0005-0000-0000-000009280000}"/>
    <cellStyle name="Percent 120" xfId="10290" xr:uid="{00000000-0005-0000-0000-00000A280000}"/>
    <cellStyle name="Percent 121" xfId="10291" xr:uid="{00000000-0005-0000-0000-00000B280000}"/>
    <cellStyle name="Percent 122" xfId="10292" xr:uid="{00000000-0005-0000-0000-00000C280000}"/>
    <cellStyle name="Percent 123" xfId="10293" xr:uid="{00000000-0005-0000-0000-00000D280000}"/>
    <cellStyle name="Percent 124" xfId="10294" xr:uid="{00000000-0005-0000-0000-00000E280000}"/>
    <cellStyle name="Percent 125" xfId="10295" xr:uid="{00000000-0005-0000-0000-00000F280000}"/>
    <cellStyle name="Percent 126" xfId="10296" xr:uid="{00000000-0005-0000-0000-000010280000}"/>
    <cellStyle name="Percent 127" xfId="10297" xr:uid="{00000000-0005-0000-0000-000011280000}"/>
    <cellStyle name="Percent 128" xfId="10298" xr:uid="{00000000-0005-0000-0000-000012280000}"/>
    <cellStyle name="Percent 129" xfId="10299" xr:uid="{00000000-0005-0000-0000-000013280000}"/>
    <cellStyle name="Percent 13" xfId="10300" xr:uid="{00000000-0005-0000-0000-000014280000}"/>
    <cellStyle name="Percent 130" xfId="10301" xr:uid="{00000000-0005-0000-0000-000015280000}"/>
    <cellStyle name="Percent 131" xfId="10302" xr:uid="{00000000-0005-0000-0000-000016280000}"/>
    <cellStyle name="Percent 132" xfId="10303" xr:uid="{00000000-0005-0000-0000-000017280000}"/>
    <cellStyle name="Percent 133" xfId="10304" xr:uid="{00000000-0005-0000-0000-000018280000}"/>
    <cellStyle name="Percent 134" xfId="10305" xr:uid="{00000000-0005-0000-0000-000019280000}"/>
    <cellStyle name="Percent 135" xfId="10306" xr:uid="{00000000-0005-0000-0000-00001A280000}"/>
    <cellStyle name="Percent 136" xfId="10307" xr:uid="{00000000-0005-0000-0000-00001B280000}"/>
    <cellStyle name="Percent 137" xfId="10308" xr:uid="{00000000-0005-0000-0000-00001C280000}"/>
    <cellStyle name="Percent 138" xfId="10309" xr:uid="{00000000-0005-0000-0000-00001D280000}"/>
    <cellStyle name="Percent 139" xfId="10310" xr:uid="{00000000-0005-0000-0000-00001E280000}"/>
    <cellStyle name="Percent 14" xfId="10311" xr:uid="{00000000-0005-0000-0000-00001F280000}"/>
    <cellStyle name="Percent 140" xfId="10312" xr:uid="{00000000-0005-0000-0000-000020280000}"/>
    <cellStyle name="Percent 141" xfId="10313" xr:uid="{00000000-0005-0000-0000-000021280000}"/>
    <cellStyle name="Percent 142" xfId="10314" xr:uid="{00000000-0005-0000-0000-000022280000}"/>
    <cellStyle name="Percent 143" xfId="10315" xr:uid="{00000000-0005-0000-0000-000023280000}"/>
    <cellStyle name="Percent 144" xfId="10316" xr:uid="{00000000-0005-0000-0000-000024280000}"/>
    <cellStyle name="Percent 145" xfId="10317" xr:uid="{00000000-0005-0000-0000-000025280000}"/>
    <cellStyle name="Percent 146" xfId="10318" xr:uid="{00000000-0005-0000-0000-000026280000}"/>
    <cellStyle name="Percent 147" xfId="10319" xr:uid="{00000000-0005-0000-0000-000027280000}"/>
    <cellStyle name="Percent 148" xfId="10320" xr:uid="{00000000-0005-0000-0000-000028280000}"/>
    <cellStyle name="Percent 149" xfId="10321" xr:uid="{00000000-0005-0000-0000-000029280000}"/>
    <cellStyle name="Percent 15" xfId="10322" xr:uid="{00000000-0005-0000-0000-00002A280000}"/>
    <cellStyle name="Percent 15 2" xfId="10323" xr:uid="{00000000-0005-0000-0000-00002B280000}"/>
    <cellStyle name="Percent 150" xfId="10324" xr:uid="{00000000-0005-0000-0000-00002C280000}"/>
    <cellStyle name="Percent 151" xfId="10325" xr:uid="{00000000-0005-0000-0000-00002D280000}"/>
    <cellStyle name="Percent 152" xfId="10326" xr:uid="{00000000-0005-0000-0000-00002E280000}"/>
    <cellStyle name="Percent 153" xfId="10327" xr:uid="{00000000-0005-0000-0000-00002F280000}"/>
    <cellStyle name="Percent 154" xfId="10328" xr:uid="{00000000-0005-0000-0000-000030280000}"/>
    <cellStyle name="Percent 155" xfId="10329" xr:uid="{00000000-0005-0000-0000-000031280000}"/>
    <cellStyle name="Percent 156" xfId="10330" xr:uid="{00000000-0005-0000-0000-000032280000}"/>
    <cellStyle name="Percent 157" xfId="10331" xr:uid="{00000000-0005-0000-0000-000033280000}"/>
    <cellStyle name="Percent 158" xfId="10332" xr:uid="{00000000-0005-0000-0000-000034280000}"/>
    <cellStyle name="Percent 159" xfId="10333" xr:uid="{00000000-0005-0000-0000-000035280000}"/>
    <cellStyle name="Percent 16" xfId="10334" xr:uid="{00000000-0005-0000-0000-000036280000}"/>
    <cellStyle name="Percent 16 2" xfId="10335" xr:uid="{00000000-0005-0000-0000-000037280000}"/>
    <cellStyle name="Percent 160" xfId="10336" xr:uid="{00000000-0005-0000-0000-000038280000}"/>
    <cellStyle name="Percent 161" xfId="10337" xr:uid="{00000000-0005-0000-0000-000039280000}"/>
    <cellStyle name="Percent 162" xfId="10338" xr:uid="{00000000-0005-0000-0000-00003A280000}"/>
    <cellStyle name="Percent 163" xfId="10339" xr:uid="{00000000-0005-0000-0000-00003B280000}"/>
    <cellStyle name="Percent 164" xfId="10340" xr:uid="{00000000-0005-0000-0000-00003C280000}"/>
    <cellStyle name="Percent 165" xfId="10341" xr:uid="{00000000-0005-0000-0000-00003D280000}"/>
    <cellStyle name="Percent 166" xfId="10342" xr:uid="{00000000-0005-0000-0000-00003E280000}"/>
    <cellStyle name="Percent 167" xfId="10343" xr:uid="{00000000-0005-0000-0000-00003F280000}"/>
    <cellStyle name="Percent 168" xfId="10344" xr:uid="{00000000-0005-0000-0000-000040280000}"/>
    <cellStyle name="Percent 169" xfId="10345" xr:uid="{00000000-0005-0000-0000-000041280000}"/>
    <cellStyle name="Percent 17" xfId="10346" xr:uid="{00000000-0005-0000-0000-000042280000}"/>
    <cellStyle name="Percent 17 2" xfId="10347" xr:uid="{00000000-0005-0000-0000-000043280000}"/>
    <cellStyle name="Percent 170" xfId="10348" xr:uid="{00000000-0005-0000-0000-000044280000}"/>
    <cellStyle name="Percent 171" xfId="10349" xr:uid="{00000000-0005-0000-0000-000045280000}"/>
    <cellStyle name="Percent 172" xfId="10350" xr:uid="{00000000-0005-0000-0000-000046280000}"/>
    <cellStyle name="Percent 173" xfId="10351" xr:uid="{00000000-0005-0000-0000-000047280000}"/>
    <cellStyle name="Percent 174" xfId="10352" xr:uid="{00000000-0005-0000-0000-000048280000}"/>
    <cellStyle name="Percent 175" xfId="10353" xr:uid="{00000000-0005-0000-0000-000049280000}"/>
    <cellStyle name="Percent 176" xfId="10354" xr:uid="{00000000-0005-0000-0000-00004A280000}"/>
    <cellStyle name="Percent 177" xfId="10355" xr:uid="{00000000-0005-0000-0000-00004B280000}"/>
    <cellStyle name="Percent 178" xfId="10356" xr:uid="{00000000-0005-0000-0000-00004C280000}"/>
    <cellStyle name="Percent 179" xfId="10357" xr:uid="{00000000-0005-0000-0000-00004D280000}"/>
    <cellStyle name="Percent 18" xfId="10358" xr:uid="{00000000-0005-0000-0000-00004E280000}"/>
    <cellStyle name="Percent 18 2" xfId="10359" xr:uid="{00000000-0005-0000-0000-00004F280000}"/>
    <cellStyle name="Percent 180" xfId="10360" xr:uid="{00000000-0005-0000-0000-000050280000}"/>
    <cellStyle name="Percent 181" xfId="10361" xr:uid="{00000000-0005-0000-0000-000051280000}"/>
    <cellStyle name="Percent 182" xfId="10362" xr:uid="{00000000-0005-0000-0000-000052280000}"/>
    <cellStyle name="Percent 183" xfId="10363" xr:uid="{00000000-0005-0000-0000-000053280000}"/>
    <cellStyle name="Percent 184" xfId="10364" xr:uid="{00000000-0005-0000-0000-000054280000}"/>
    <cellStyle name="Percent 185" xfId="10365" xr:uid="{00000000-0005-0000-0000-000055280000}"/>
    <cellStyle name="Percent 186" xfId="10366" xr:uid="{00000000-0005-0000-0000-000056280000}"/>
    <cellStyle name="Percent 187" xfId="10367" xr:uid="{00000000-0005-0000-0000-000057280000}"/>
    <cellStyle name="Percent 188" xfId="10368" xr:uid="{00000000-0005-0000-0000-000058280000}"/>
    <cellStyle name="Percent 189" xfId="10369" xr:uid="{00000000-0005-0000-0000-000059280000}"/>
    <cellStyle name="Percent 19" xfId="10370" xr:uid="{00000000-0005-0000-0000-00005A280000}"/>
    <cellStyle name="Percent 19 2" xfId="10371" xr:uid="{00000000-0005-0000-0000-00005B280000}"/>
    <cellStyle name="Percent 190" xfId="10372" xr:uid="{00000000-0005-0000-0000-00005C280000}"/>
    <cellStyle name="Percent 191" xfId="10373" xr:uid="{00000000-0005-0000-0000-00005D280000}"/>
    <cellStyle name="Percent 192" xfId="10374" xr:uid="{00000000-0005-0000-0000-00005E280000}"/>
    <cellStyle name="Percent 193" xfId="10375" xr:uid="{00000000-0005-0000-0000-00005F280000}"/>
    <cellStyle name="Percent 194" xfId="10376" xr:uid="{00000000-0005-0000-0000-000060280000}"/>
    <cellStyle name="Percent 195" xfId="10377" xr:uid="{00000000-0005-0000-0000-000061280000}"/>
    <cellStyle name="Percent 196" xfId="10378" xr:uid="{00000000-0005-0000-0000-000062280000}"/>
    <cellStyle name="Percent 197" xfId="10379" xr:uid="{00000000-0005-0000-0000-000063280000}"/>
    <cellStyle name="Percent 198" xfId="10380" xr:uid="{00000000-0005-0000-0000-000064280000}"/>
    <cellStyle name="Percent 199" xfId="10381" xr:uid="{00000000-0005-0000-0000-000065280000}"/>
    <cellStyle name="Percent 2" xfId="333" xr:uid="{00000000-0005-0000-0000-000066280000}"/>
    <cellStyle name="Percent 2 2" xfId="334" xr:uid="{00000000-0005-0000-0000-000067280000}"/>
    <cellStyle name="Percent 2 2 2" xfId="335" xr:uid="{00000000-0005-0000-0000-000068280000}"/>
    <cellStyle name="Percent 2 2 2 2" xfId="336" xr:uid="{00000000-0005-0000-0000-000069280000}"/>
    <cellStyle name="Percent 2 2 2 2 2" xfId="10382" xr:uid="{00000000-0005-0000-0000-00006A280000}"/>
    <cellStyle name="Percent 2 2 3" xfId="337" xr:uid="{00000000-0005-0000-0000-00006B280000}"/>
    <cellStyle name="Percent 2 2 3 2" xfId="10383" xr:uid="{00000000-0005-0000-0000-00006C280000}"/>
    <cellStyle name="Percent 2 3" xfId="338" xr:uid="{00000000-0005-0000-0000-00006D280000}"/>
    <cellStyle name="Percent 2 3 2" xfId="339" xr:uid="{00000000-0005-0000-0000-00006E280000}"/>
    <cellStyle name="Percent 2 3 2 2" xfId="10384" xr:uid="{00000000-0005-0000-0000-00006F280000}"/>
    <cellStyle name="Percent 2 3 3" xfId="10385" xr:uid="{00000000-0005-0000-0000-000070280000}"/>
    <cellStyle name="Percent 2 4" xfId="340" xr:uid="{00000000-0005-0000-0000-000071280000}"/>
    <cellStyle name="Percent 2 4 2" xfId="10386" xr:uid="{00000000-0005-0000-0000-000072280000}"/>
    <cellStyle name="Percent 2 5" xfId="10387" xr:uid="{00000000-0005-0000-0000-000073280000}"/>
    <cellStyle name="Percent 2 6" xfId="10388" xr:uid="{00000000-0005-0000-0000-000074280000}"/>
    <cellStyle name="Percent 2 7" xfId="10389" xr:uid="{00000000-0005-0000-0000-000075280000}"/>
    <cellStyle name="Percent 2 8" xfId="10390" xr:uid="{00000000-0005-0000-0000-000076280000}"/>
    <cellStyle name="Percent 2 9" xfId="10391" xr:uid="{00000000-0005-0000-0000-000077280000}"/>
    <cellStyle name="Percent 20" xfId="10392" xr:uid="{00000000-0005-0000-0000-000078280000}"/>
    <cellStyle name="Percent 200" xfId="10393" xr:uid="{00000000-0005-0000-0000-000079280000}"/>
    <cellStyle name="Percent 201" xfId="10394" xr:uid="{00000000-0005-0000-0000-00007A280000}"/>
    <cellStyle name="Percent 202" xfId="10395" xr:uid="{00000000-0005-0000-0000-00007B280000}"/>
    <cellStyle name="Percent 203" xfId="10396" xr:uid="{00000000-0005-0000-0000-00007C280000}"/>
    <cellStyle name="Percent 204" xfId="10397" xr:uid="{00000000-0005-0000-0000-00007D280000}"/>
    <cellStyle name="Percent 205" xfId="10398" xr:uid="{00000000-0005-0000-0000-00007E280000}"/>
    <cellStyle name="Percent 206" xfId="10399" xr:uid="{00000000-0005-0000-0000-00007F280000}"/>
    <cellStyle name="Percent 207" xfId="10400" xr:uid="{00000000-0005-0000-0000-000080280000}"/>
    <cellStyle name="Percent 208" xfId="10401" xr:uid="{00000000-0005-0000-0000-000081280000}"/>
    <cellStyle name="Percent 209" xfId="10402" xr:uid="{00000000-0005-0000-0000-000082280000}"/>
    <cellStyle name="Percent 21" xfId="10403" xr:uid="{00000000-0005-0000-0000-000083280000}"/>
    <cellStyle name="Percent 22" xfId="10404" xr:uid="{00000000-0005-0000-0000-000084280000}"/>
    <cellStyle name="Percent 23" xfId="10405" xr:uid="{00000000-0005-0000-0000-000085280000}"/>
    <cellStyle name="Percent 24" xfId="10406" xr:uid="{00000000-0005-0000-0000-000086280000}"/>
    <cellStyle name="Percent 25" xfId="10407" xr:uid="{00000000-0005-0000-0000-000087280000}"/>
    <cellStyle name="Percent 26" xfId="10408" xr:uid="{00000000-0005-0000-0000-000088280000}"/>
    <cellStyle name="Percent 27" xfId="10409" xr:uid="{00000000-0005-0000-0000-000089280000}"/>
    <cellStyle name="Percent 28" xfId="10410" xr:uid="{00000000-0005-0000-0000-00008A280000}"/>
    <cellStyle name="Percent 29" xfId="10411" xr:uid="{00000000-0005-0000-0000-00008B280000}"/>
    <cellStyle name="Percent 3" xfId="341" xr:uid="{00000000-0005-0000-0000-00008C280000}"/>
    <cellStyle name="Percent 3 2" xfId="342" xr:uid="{00000000-0005-0000-0000-00008D280000}"/>
    <cellStyle name="Percent 3 2 2" xfId="343" xr:uid="{00000000-0005-0000-0000-00008E280000}"/>
    <cellStyle name="Percent 3 2 3" xfId="10412" xr:uid="{00000000-0005-0000-0000-00008F280000}"/>
    <cellStyle name="Percent 3 3" xfId="344" xr:uid="{00000000-0005-0000-0000-000090280000}"/>
    <cellStyle name="Percent 3 3 2" xfId="10413" xr:uid="{00000000-0005-0000-0000-000091280000}"/>
    <cellStyle name="Percent 3 4" xfId="10414" xr:uid="{00000000-0005-0000-0000-000092280000}"/>
    <cellStyle name="Percent 3 5" xfId="10415" xr:uid="{00000000-0005-0000-0000-000093280000}"/>
    <cellStyle name="Percent 3 6" xfId="10416" xr:uid="{00000000-0005-0000-0000-000094280000}"/>
    <cellStyle name="Percent 30" xfId="10417" xr:uid="{00000000-0005-0000-0000-000095280000}"/>
    <cellStyle name="Percent 31" xfId="10418" xr:uid="{00000000-0005-0000-0000-000096280000}"/>
    <cellStyle name="Percent 32" xfId="10419" xr:uid="{00000000-0005-0000-0000-000097280000}"/>
    <cellStyle name="Percent 33" xfId="10420" xr:uid="{00000000-0005-0000-0000-000098280000}"/>
    <cellStyle name="Percent 34" xfId="10421" xr:uid="{00000000-0005-0000-0000-000099280000}"/>
    <cellStyle name="Percent 35" xfId="10422" xr:uid="{00000000-0005-0000-0000-00009A280000}"/>
    <cellStyle name="Percent 36" xfId="10423" xr:uid="{00000000-0005-0000-0000-00009B280000}"/>
    <cellStyle name="Percent 37" xfId="10424" xr:uid="{00000000-0005-0000-0000-00009C280000}"/>
    <cellStyle name="Percent 38" xfId="10425" xr:uid="{00000000-0005-0000-0000-00009D280000}"/>
    <cellStyle name="Percent 39" xfId="10426" xr:uid="{00000000-0005-0000-0000-00009E280000}"/>
    <cellStyle name="Percent 4" xfId="345" xr:uid="{00000000-0005-0000-0000-00009F280000}"/>
    <cellStyle name="Percent 4 2" xfId="346" xr:uid="{00000000-0005-0000-0000-0000A0280000}"/>
    <cellStyle name="Percent 4 2 2" xfId="10427" xr:uid="{00000000-0005-0000-0000-0000A1280000}"/>
    <cellStyle name="Percent 4 2 2 2" xfId="10428" xr:uid="{00000000-0005-0000-0000-0000A2280000}"/>
    <cellStyle name="Percent 4 2 2 2 2" xfId="10429" xr:uid="{00000000-0005-0000-0000-0000A3280000}"/>
    <cellStyle name="Percent 4 2 2 3" xfId="10430" xr:uid="{00000000-0005-0000-0000-0000A4280000}"/>
    <cellStyle name="Percent 4 2 3" xfId="10431" xr:uid="{00000000-0005-0000-0000-0000A5280000}"/>
    <cellStyle name="Percent 4 2 3 2" xfId="10432" xr:uid="{00000000-0005-0000-0000-0000A6280000}"/>
    <cellStyle name="Percent 4 2 4" xfId="10433" xr:uid="{00000000-0005-0000-0000-0000A7280000}"/>
    <cellStyle name="Percent 4 2 5" xfId="10434" xr:uid="{00000000-0005-0000-0000-0000A8280000}"/>
    <cellStyle name="Percent 4 3" xfId="10435" xr:uid="{00000000-0005-0000-0000-0000A9280000}"/>
    <cellStyle name="Percent 4 3 2" xfId="10436" xr:uid="{00000000-0005-0000-0000-0000AA280000}"/>
    <cellStyle name="Percent 4 3 2 2" xfId="10437" xr:uid="{00000000-0005-0000-0000-0000AB280000}"/>
    <cellStyle name="Percent 4 3 3" xfId="10438" xr:uid="{00000000-0005-0000-0000-0000AC280000}"/>
    <cellStyle name="Percent 4 4" xfId="10439" xr:uid="{00000000-0005-0000-0000-0000AD280000}"/>
    <cellStyle name="Percent 4 4 2" xfId="10440" xr:uid="{00000000-0005-0000-0000-0000AE280000}"/>
    <cellStyle name="Percent 4 5" xfId="10441" xr:uid="{00000000-0005-0000-0000-0000AF280000}"/>
    <cellStyle name="Percent 4 6" xfId="10442" xr:uid="{00000000-0005-0000-0000-0000B0280000}"/>
    <cellStyle name="Percent 4 7" xfId="10443" xr:uid="{00000000-0005-0000-0000-0000B1280000}"/>
    <cellStyle name="Percent 40" xfId="10444" xr:uid="{00000000-0005-0000-0000-0000B2280000}"/>
    <cellStyle name="Percent 41" xfId="10445" xr:uid="{00000000-0005-0000-0000-0000B3280000}"/>
    <cellStyle name="Percent 42" xfId="10446" xr:uid="{00000000-0005-0000-0000-0000B4280000}"/>
    <cellStyle name="Percent 43" xfId="10447" xr:uid="{00000000-0005-0000-0000-0000B5280000}"/>
    <cellStyle name="Percent 44" xfId="10448" xr:uid="{00000000-0005-0000-0000-0000B6280000}"/>
    <cellStyle name="Percent 45" xfId="10449" xr:uid="{00000000-0005-0000-0000-0000B7280000}"/>
    <cellStyle name="Percent 46" xfId="10450" xr:uid="{00000000-0005-0000-0000-0000B8280000}"/>
    <cellStyle name="Percent 47" xfId="10451" xr:uid="{00000000-0005-0000-0000-0000B9280000}"/>
    <cellStyle name="Percent 48" xfId="10452" xr:uid="{00000000-0005-0000-0000-0000BA280000}"/>
    <cellStyle name="Percent 49" xfId="10453" xr:uid="{00000000-0005-0000-0000-0000BB280000}"/>
    <cellStyle name="Percent 5" xfId="347" xr:uid="{00000000-0005-0000-0000-0000BC280000}"/>
    <cellStyle name="Percent 5 2" xfId="10454" xr:uid="{00000000-0005-0000-0000-0000BD280000}"/>
    <cellStyle name="Percent 5 2 2" xfId="10455" xr:uid="{00000000-0005-0000-0000-0000BE280000}"/>
    <cellStyle name="Percent 5 2 2 2" xfId="10456" xr:uid="{00000000-0005-0000-0000-0000BF280000}"/>
    <cellStyle name="Percent 5 2 2 2 2" xfId="10457" xr:uid="{00000000-0005-0000-0000-0000C0280000}"/>
    <cellStyle name="Percent 5 2 2 3" xfId="10458" xr:uid="{00000000-0005-0000-0000-0000C1280000}"/>
    <cellStyle name="Percent 5 2 3" xfId="10459" xr:uid="{00000000-0005-0000-0000-0000C2280000}"/>
    <cellStyle name="Percent 5 2 3 2" xfId="10460" xr:uid="{00000000-0005-0000-0000-0000C3280000}"/>
    <cellStyle name="Percent 5 2 4" xfId="10461" xr:uid="{00000000-0005-0000-0000-0000C4280000}"/>
    <cellStyle name="Percent 5 3" xfId="10462" xr:uid="{00000000-0005-0000-0000-0000C5280000}"/>
    <cellStyle name="Percent 5 3 2" xfId="10463" xr:uid="{00000000-0005-0000-0000-0000C6280000}"/>
    <cellStyle name="Percent 5 3 2 2" xfId="10464" xr:uid="{00000000-0005-0000-0000-0000C7280000}"/>
    <cellStyle name="Percent 5 3 3" xfId="10465" xr:uid="{00000000-0005-0000-0000-0000C8280000}"/>
    <cellStyle name="Percent 5 4" xfId="10466" xr:uid="{00000000-0005-0000-0000-0000C9280000}"/>
    <cellStyle name="Percent 5 4 2" xfId="10467" xr:uid="{00000000-0005-0000-0000-0000CA280000}"/>
    <cellStyle name="Percent 5 5" xfId="10468" xr:uid="{00000000-0005-0000-0000-0000CB280000}"/>
    <cellStyle name="Percent 50" xfId="10469" xr:uid="{00000000-0005-0000-0000-0000CC280000}"/>
    <cellStyle name="Percent 51" xfId="10470" xr:uid="{00000000-0005-0000-0000-0000CD280000}"/>
    <cellStyle name="Percent 52" xfId="10471" xr:uid="{00000000-0005-0000-0000-0000CE280000}"/>
    <cellStyle name="Percent 53" xfId="10472" xr:uid="{00000000-0005-0000-0000-0000CF280000}"/>
    <cellStyle name="Percent 54" xfId="10473" xr:uid="{00000000-0005-0000-0000-0000D0280000}"/>
    <cellStyle name="Percent 55" xfId="10474" xr:uid="{00000000-0005-0000-0000-0000D1280000}"/>
    <cellStyle name="Percent 56" xfId="10475" xr:uid="{00000000-0005-0000-0000-0000D2280000}"/>
    <cellStyle name="Percent 57" xfId="10476" xr:uid="{00000000-0005-0000-0000-0000D3280000}"/>
    <cellStyle name="Percent 58" xfId="10477" xr:uid="{00000000-0005-0000-0000-0000D4280000}"/>
    <cellStyle name="Percent 59" xfId="10478" xr:uid="{00000000-0005-0000-0000-0000D5280000}"/>
    <cellStyle name="Percent 6" xfId="348" xr:uid="{00000000-0005-0000-0000-0000D6280000}"/>
    <cellStyle name="Percent 6 2" xfId="10479" xr:uid="{00000000-0005-0000-0000-0000D7280000}"/>
    <cellStyle name="Percent 6 2 2" xfId="10480" xr:uid="{00000000-0005-0000-0000-0000D8280000}"/>
    <cellStyle name="Percent 6 2 2 2" xfId="10481" xr:uid="{00000000-0005-0000-0000-0000D9280000}"/>
    <cellStyle name="Percent 6 2 2 2 2" xfId="10482" xr:uid="{00000000-0005-0000-0000-0000DA280000}"/>
    <cellStyle name="Percent 6 2 2 3" xfId="10483" xr:uid="{00000000-0005-0000-0000-0000DB280000}"/>
    <cellStyle name="Percent 6 2 3" xfId="10484" xr:uid="{00000000-0005-0000-0000-0000DC280000}"/>
    <cellStyle name="Percent 6 2 3 2" xfId="10485" xr:uid="{00000000-0005-0000-0000-0000DD280000}"/>
    <cellStyle name="Percent 6 2 4" xfId="10486" xr:uid="{00000000-0005-0000-0000-0000DE280000}"/>
    <cellStyle name="Percent 6 2 5" xfId="10487" xr:uid="{00000000-0005-0000-0000-0000DF280000}"/>
    <cellStyle name="Percent 6 3" xfId="10488" xr:uid="{00000000-0005-0000-0000-0000E0280000}"/>
    <cellStyle name="Percent 6 3 2" xfId="10489" xr:uid="{00000000-0005-0000-0000-0000E1280000}"/>
    <cellStyle name="Percent 6 3 2 2" xfId="10490" xr:uid="{00000000-0005-0000-0000-0000E2280000}"/>
    <cellStyle name="Percent 6 3 3" xfId="10491" xr:uid="{00000000-0005-0000-0000-0000E3280000}"/>
    <cellStyle name="Percent 6 4" xfId="10492" xr:uid="{00000000-0005-0000-0000-0000E4280000}"/>
    <cellStyle name="Percent 6 4 2" xfId="10493" xr:uid="{00000000-0005-0000-0000-0000E5280000}"/>
    <cellStyle name="Percent 6 5" xfId="10494" xr:uid="{00000000-0005-0000-0000-0000E6280000}"/>
    <cellStyle name="Percent 6 6" xfId="10495" xr:uid="{00000000-0005-0000-0000-0000E7280000}"/>
    <cellStyle name="Percent 60" xfId="10496" xr:uid="{00000000-0005-0000-0000-0000E8280000}"/>
    <cellStyle name="Percent 61" xfId="10497" xr:uid="{00000000-0005-0000-0000-0000E9280000}"/>
    <cellStyle name="Percent 62" xfId="10498" xr:uid="{00000000-0005-0000-0000-0000EA280000}"/>
    <cellStyle name="Percent 63" xfId="10499" xr:uid="{00000000-0005-0000-0000-0000EB280000}"/>
    <cellStyle name="Percent 64" xfId="10500" xr:uid="{00000000-0005-0000-0000-0000EC280000}"/>
    <cellStyle name="Percent 65" xfId="10501" xr:uid="{00000000-0005-0000-0000-0000ED280000}"/>
    <cellStyle name="Percent 66" xfId="10502" xr:uid="{00000000-0005-0000-0000-0000EE280000}"/>
    <cellStyle name="Percent 67" xfId="10503" xr:uid="{00000000-0005-0000-0000-0000EF280000}"/>
    <cellStyle name="Percent 68" xfId="10504" xr:uid="{00000000-0005-0000-0000-0000F0280000}"/>
    <cellStyle name="Percent 69" xfId="10505" xr:uid="{00000000-0005-0000-0000-0000F1280000}"/>
    <cellStyle name="Percent 7" xfId="349" xr:uid="{00000000-0005-0000-0000-0000F2280000}"/>
    <cellStyle name="Percent 7 2" xfId="10506" xr:uid="{00000000-0005-0000-0000-0000F3280000}"/>
    <cellStyle name="Percent 7 2 2" xfId="10507" xr:uid="{00000000-0005-0000-0000-0000F4280000}"/>
    <cellStyle name="Percent 7 2 2 2" xfId="10508" xr:uid="{00000000-0005-0000-0000-0000F5280000}"/>
    <cellStyle name="Percent 7 2 2 2 2" xfId="10509" xr:uid="{00000000-0005-0000-0000-0000F6280000}"/>
    <cellStyle name="Percent 7 2 2 3" xfId="10510" xr:uid="{00000000-0005-0000-0000-0000F7280000}"/>
    <cellStyle name="Percent 7 2 3" xfId="10511" xr:uid="{00000000-0005-0000-0000-0000F8280000}"/>
    <cellStyle name="Percent 7 2 3 2" xfId="10512" xr:uid="{00000000-0005-0000-0000-0000F9280000}"/>
    <cellStyle name="Percent 7 2 4" xfId="10513" xr:uid="{00000000-0005-0000-0000-0000FA280000}"/>
    <cellStyle name="Percent 7 2 5" xfId="10514" xr:uid="{00000000-0005-0000-0000-0000FB280000}"/>
    <cellStyle name="Percent 7 3" xfId="10515" xr:uid="{00000000-0005-0000-0000-0000FC280000}"/>
    <cellStyle name="Percent 7 3 2" xfId="10516" xr:uid="{00000000-0005-0000-0000-0000FD280000}"/>
    <cellStyle name="Percent 7 3 2 2" xfId="10517" xr:uid="{00000000-0005-0000-0000-0000FE280000}"/>
    <cellStyle name="Percent 7 3 3" xfId="10518" xr:uid="{00000000-0005-0000-0000-0000FF280000}"/>
    <cellStyle name="Percent 7 4" xfId="10519" xr:uid="{00000000-0005-0000-0000-000000290000}"/>
    <cellStyle name="Percent 7 4 2" xfId="10520" xr:uid="{00000000-0005-0000-0000-000001290000}"/>
    <cellStyle name="Percent 7 5" xfId="10521" xr:uid="{00000000-0005-0000-0000-000002290000}"/>
    <cellStyle name="Percent 7 6" xfId="10522" xr:uid="{00000000-0005-0000-0000-000003290000}"/>
    <cellStyle name="Percent 70" xfId="10523" xr:uid="{00000000-0005-0000-0000-000004290000}"/>
    <cellStyle name="Percent 71" xfId="10524" xr:uid="{00000000-0005-0000-0000-000005290000}"/>
    <cellStyle name="Percent 72" xfId="10525" xr:uid="{00000000-0005-0000-0000-000006290000}"/>
    <cellStyle name="Percent 73" xfId="10526" xr:uid="{00000000-0005-0000-0000-000007290000}"/>
    <cellStyle name="Percent 74" xfId="10527" xr:uid="{00000000-0005-0000-0000-000008290000}"/>
    <cellStyle name="Percent 75" xfId="10528" xr:uid="{00000000-0005-0000-0000-000009290000}"/>
    <cellStyle name="Percent 76" xfId="10529" xr:uid="{00000000-0005-0000-0000-00000A290000}"/>
    <cellStyle name="Percent 77" xfId="10530" xr:uid="{00000000-0005-0000-0000-00000B290000}"/>
    <cellStyle name="Percent 78" xfId="10531" xr:uid="{00000000-0005-0000-0000-00000C290000}"/>
    <cellStyle name="Percent 79" xfId="10532" xr:uid="{00000000-0005-0000-0000-00000D290000}"/>
    <cellStyle name="Percent 8" xfId="350" xr:uid="{00000000-0005-0000-0000-00000E290000}"/>
    <cellStyle name="Percent 8 2" xfId="10533" xr:uid="{00000000-0005-0000-0000-00000F290000}"/>
    <cellStyle name="Percent 80" xfId="10534" xr:uid="{00000000-0005-0000-0000-000010290000}"/>
    <cellStyle name="Percent 81" xfId="10535" xr:uid="{00000000-0005-0000-0000-000011290000}"/>
    <cellStyle name="Percent 82" xfId="10536" xr:uid="{00000000-0005-0000-0000-000012290000}"/>
    <cellStyle name="Percent 83" xfId="10537" xr:uid="{00000000-0005-0000-0000-000013290000}"/>
    <cellStyle name="Percent 84" xfId="10538" xr:uid="{00000000-0005-0000-0000-000014290000}"/>
    <cellStyle name="Percent 85" xfId="10539" xr:uid="{00000000-0005-0000-0000-000015290000}"/>
    <cellStyle name="Percent 86" xfId="10540" xr:uid="{00000000-0005-0000-0000-000016290000}"/>
    <cellStyle name="Percent 87" xfId="10541" xr:uid="{00000000-0005-0000-0000-000017290000}"/>
    <cellStyle name="Percent 88" xfId="10542" xr:uid="{00000000-0005-0000-0000-000018290000}"/>
    <cellStyle name="Percent 89" xfId="10543" xr:uid="{00000000-0005-0000-0000-000019290000}"/>
    <cellStyle name="Percent 9" xfId="351" xr:uid="{00000000-0005-0000-0000-00001A290000}"/>
    <cellStyle name="Percent 9 2" xfId="10544" xr:uid="{00000000-0005-0000-0000-00001B290000}"/>
    <cellStyle name="Percent 9 2 2" xfId="10545" xr:uid="{00000000-0005-0000-0000-00001C290000}"/>
    <cellStyle name="Percent 9 3" xfId="10546" xr:uid="{00000000-0005-0000-0000-00001D290000}"/>
    <cellStyle name="Percent 90" xfId="10547" xr:uid="{00000000-0005-0000-0000-00001E290000}"/>
    <cellStyle name="Percent 91" xfId="10548" xr:uid="{00000000-0005-0000-0000-00001F290000}"/>
    <cellStyle name="Percent 92" xfId="10549" xr:uid="{00000000-0005-0000-0000-000020290000}"/>
    <cellStyle name="Percent 93" xfId="10550" xr:uid="{00000000-0005-0000-0000-000021290000}"/>
    <cellStyle name="Percent 94" xfId="10551" xr:uid="{00000000-0005-0000-0000-000022290000}"/>
    <cellStyle name="Percent 95" xfId="10552" xr:uid="{00000000-0005-0000-0000-000023290000}"/>
    <cellStyle name="Percent 96" xfId="10553" xr:uid="{00000000-0005-0000-0000-000024290000}"/>
    <cellStyle name="Percent 97" xfId="10554" xr:uid="{00000000-0005-0000-0000-000025290000}"/>
    <cellStyle name="Percent 98" xfId="10555" xr:uid="{00000000-0005-0000-0000-000026290000}"/>
    <cellStyle name="Percent 99" xfId="10556" xr:uid="{00000000-0005-0000-0000-000027290000}"/>
    <cellStyle name="Percent Comma" xfId="10557" xr:uid="{00000000-0005-0000-0000-000028290000}"/>
    <cellStyle name="Percent1" xfId="10558" xr:uid="{00000000-0005-0000-0000-000029290000}"/>
    <cellStyle name="Percent2" xfId="10559" xr:uid="{00000000-0005-0000-0000-00002A290000}"/>
    <cellStyle name="percentage" xfId="10560" xr:uid="{00000000-0005-0000-0000-00002B290000}"/>
    <cellStyle name="PercentChange" xfId="10561" xr:uid="{00000000-0005-0000-0000-00002C290000}"/>
    <cellStyle name="PO BORDER" xfId="352" xr:uid="{00000000-0005-0000-0000-00002D290000}"/>
    <cellStyle name="PO BORDER 2" xfId="10562" xr:uid="{00000000-0005-0000-0000-00002E290000}"/>
    <cellStyle name="PO BORDER 2 2" xfId="10563" xr:uid="{00000000-0005-0000-0000-00002F290000}"/>
    <cellStyle name="PO BORDER 2 3" xfId="10564" xr:uid="{00000000-0005-0000-0000-000030290000}"/>
    <cellStyle name="PO BORDER 3" xfId="10565" xr:uid="{00000000-0005-0000-0000-000031290000}"/>
    <cellStyle name="PO BORDER 4" xfId="10566" xr:uid="{00000000-0005-0000-0000-000032290000}"/>
    <cellStyle name="Porcentagem_Cenário Básico" xfId="10567" xr:uid="{00000000-0005-0000-0000-000033290000}"/>
    <cellStyle name="Porcentual_mov_dolar" xfId="10568" xr:uid="{00000000-0005-0000-0000-000034290000}"/>
    <cellStyle name="price" xfId="10569" xr:uid="{00000000-0005-0000-0000-000035290000}"/>
    <cellStyle name="PSChar" xfId="353" xr:uid="{00000000-0005-0000-0000-000036290000}"/>
    <cellStyle name="PSChar 2" xfId="354" xr:uid="{00000000-0005-0000-0000-000037290000}"/>
    <cellStyle name="PSDate" xfId="355" xr:uid="{00000000-0005-0000-0000-000038290000}"/>
    <cellStyle name="PSDate 2" xfId="356" xr:uid="{00000000-0005-0000-0000-000039290000}"/>
    <cellStyle name="PSDec" xfId="357" xr:uid="{00000000-0005-0000-0000-00003A290000}"/>
    <cellStyle name="PSDec 2" xfId="358" xr:uid="{00000000-0005-0000-0000-00003B290000}"/>
    <cellStyle name="PSHeading" xfId="359" xr:uid="{00000000-0005-0000-0000-00003C290000}"/>
    <cellStyle name="PSHeading 2" xfId="360" xr:uid="{00000000-0005-0000-0000-00003D290000}"/>
    <cellStyle name="PSHeading 2 2" xfId="10570" xr:uid="{00000000-0005-0000-0000-00003E290000}"/>
    <cellStyle name="PSHeading 2 2 2" xfId="10571" xr:uid="{00000000-0005-0000-0000-00003F290000}"/>
    <cellStyle name="PSHeading 2 3" xfId="10572" xr:uid="{00000000-0005-0000-0000-000040290000}"/>
    <cellStyle name="PSInt" xfId="361" xr:uid="{00000000-0005-0000-0000-000041290000}"/>
    <cellStyle name="PSInt 2" xfId="362" xr:uid="{00000000-0005-0000-0000-000042290000}"/>
    <cellStyle name="PSSpacer" xfId="363" xr:uid="{00000000-0005-0000-0000-000043290000}"/>
    <cellStyle name="PSSpacer 2" xfId="364" xr:uid="{00000000-0005-0000-0000-000044290000}"/>
    <cellStyle name="PutnamPh#" xfId="365" xr:uid="{00000000-0005-0000-0000-000045290000}"/>
    <cellStyle name="q" xfId="10573" xr:uid="{00000000-0005-0000-0000-000046290000}"/>
    <cellStyle name="q_1 FM_101_Examples_v7.31McIntire" xfId="10574" xr:uid="{00000000-0005-0000-0000-000047290000}"/>
    <cellStyle name="q_1 FM_101_Examples_v7.31McIntire_1 FM_101_Examples_TWO-Day_v7.31" xfId="10575" xr:uid="{00000000-0005-0000-0000-000048290000}"/>
    <cellStyle name="q_AVP" xfId="10576" xr:uid="{00000000-0005-0000-0000-000049290000}"/>
    <cellStyle name="q_AVP_1 FM_101_Examples_v7.31McIntire" xfId="10577" xr:uid="{00000000-0005-0000-0000-00004A290000}"/>
    <cellStyle name="q_AVP_1 FM_101_Examples_v7.31McIntire_1 FM_101_Examples_TWO-Day_v7.31" xfId="10578" xr:uid="{00000000-0005-0000-0000-00004B290000}"/>
    <cellStyle name="q_AVP_Graphic Depiction - NO DEV" xfId="10579" xr:uid="{00000000-0005-0000-0000-00004C290000}"/>
    <cellStyle name="q_AVP_Graphic Depiction - NO DEV_1 FM_101_Examples_v7.31McIntire" xfId="10580" xr:uid="{00000000-0005-0000-0000-00004D290000}"/>
    <cellStyle name="q_AVP_Graphic Depiction - NO DEV_1 FM_101_Examples_v7.31McIntire_1 FM_101_Examples_TWO-Day_v7.31" xfId="10581" xr:uid="{00000000-0005-0000-0000-00004E290000}"/>
    <cellStyle name="q_AVP_Graphic Depiction - NO DEV_Val_1_Book_Lecture_Notes_v3.06" xfId="10582" xr:uid="{00000000-0005-0000-0000-00004F290000}"/>
    <cellStyle name="q_AVP_THEsumPage (2)" xfId="10583" xr:uid="{00000000-0005-0000-0000-000050290000}"/>
    <cellStyle name="q_AVP_THEsumPage (2)_1 FM_101_Examples_v7.31McIntire" xfId="10584" xr:uid="{00000000-0005-0000-0000-000051290000}"/>
    <cellStyle name="q_AVP_THEsumPage (2)_1 FM_101_Examples_v7.31McIntire_1 FM_101_Examples_TWO-Day_v7.31" xfId="10585" xr:uid="{00000000-0005-0000-0000-000052290000}"/>
    <cellStyle name="q_AVP_THEsumPage (2)_Val_1_Book_Lecture_Notes_v3.06" xfId="10586" xr:uid="{00000000-0005-0000-0000-000053290000}"/>
    <cellStyle name="q_AVP_Val_1_Book_Lecture_Notes_v3.06" xfId="10587" xr:uid="{00000000-0005-0000-0000-000054290000}"/>
    <cellStyle name="q_AVP_Valuation Summary Graphics" xfId="10588" xr:uid="{00000000-0005-0000-0000-000055290000}"/>
    <cellStyle name="q_AVP_Valuation Summary Graphics_1 FM_101_Examples_v7.31McIntire" xfId="10589" xr:uid="{00000000-0005-0000-0000-000056290000}"/>
    <cellStyle name="q_AVP_Valuation Summary Graphics_1 FM_101_Examples_v7.31McIntire_1 FM_101_Examples_TWO-Day_v7.31" xfId="10590" xr:uid="{00000000-0005-0000-0000-000057290000}"/>
    <cellStyle name="q_AVP_Valuation Summary Graphics_Val_1_Book_Lecture_Notes_v3.06" xfId="10591" xr:uid="{00000000-0005-0000-0000-000058290000}"/>
    <cellStyle name="q_CompSheet" xfId="10592" xr:uid="{00000000-0005-0000-0000-000059290000}"/>
    <cellStyle name="q_CompSheet_Val_1_Book_Lecture_Notes_v3.06" xfId="10593" xr:uid="{00000000-0005-0000-0000-00005A290000}"/>
    <cellStyle name="q_Disc Analysis" xfId="10594" xr:uid="{00000000-0005-0000-0000-00005B290000}"/>
    <cellStyle name="q_Disc Analysis_1 FM_101_Examples_v7.31McIntire" xfId="10595" xr:uid="{00000000-0005-0000-0000-00005C290000}"/>
    <cellStyle name="q_Disc Analysis_1 FM_101_Examples_v7.31McIntire_1 FM_101_Examples_TWO-Day_v7.31" xfId="10596" xr:uid="{00000000-0005-0000-0000-00005D290000}"/>
    <cellStyle name="q_Disc Analysis_CompSheet" xfId="10597" xr:uid="{00000000-0005-0000-0000-00005E290000}"/>
    <cellStyle name="q_Disc Analysis_CompSheet_1 FM_101_Examples_v7.31McIntire" xfId="10598" xr:uid="{00000000-0005-0000-0000-00005F290000}"/>
    <cellStyle name="q_Disc Analysis_CompSheet_1 FM_101_Examples_v7.31McIntire_1 FM_101_Examples_TWO-Day_v7.31" xfId="10599" xr:uid="{00000000-0005-0000-0000-000060290000}"/>
    <cellStyle name="q_Disc Analysis_CompSheet_Val_1_Book_Lecture_Notes_v3.06" xfId="10600" xr:uid="{00000000-0005-0000-0000-000061290000}"/>
    <cellStyle name="q_Disc Analysis_Fairness Opinion Valuation 4-23a.xls Chart 1" xfId="10601" xr:uid="{00000000-0005-0000-0000-000062290000}"/>
    <cellStyle name="q_Disc Analysis_Fairness Opinion Valuation 4-23a.xls Chart 1_1 FM_101_Examples_v7.31McIntire" xfId="10602" xr:uid="{00000000-0005-0000-0000-000063290000}"/>
    <cellStyle name="q_Disc Analysis_Fairness Opinion Valuation 4-23a.xls Chart 1_1 FM_101_Examples_v7.31McIntire_1 FM_101_Examples_TWO-Day_v7.31" xfId="10603" xr:uid="{00000000-0005-0000-0000-000064290000}"/>
    <cellStyle name="q_Disc Analysis_Fairness Opinion Valuation 4-23a.xls Chart 1_Val_1_Book_Lecture_Notes_v3.06" xfId="10604" xr:uid="{00000000-0005-0000-0000-000065290000}"/>
    <cellStyle name="q_Disc Analysis_PowerValuation.xls Chart 21" xfId="10605" xr:uid="{00000000-0005-0000-0000-000066290000}"/>
    <cellStyle name="q_Disc Analysis_PowerValuation.xls Chart 21_1 FM_101_Examples_v7.31McIntire" xfId="10606" xr:uid="{00000000-0005-0000-0000-000067290000}"/>
    <cellStyle name="q_Disc Analysis_PowerValuation.xls Chart 21_1 FM_101_Examples_v7.31McIntire_1 FM_101_Examples_TWO-Day_v7.31" xfId="10607" xr:uid="{00000000-0005-0000-0000-000068290000}"/>
    <cellStyle name="q_Disc Analysis_PowerValuation.xls Chart 21_Val_1_Book_Lecture_Notes_v3.06" xfId="10608" xr:uid="{00000000-0005-0000-0000-000069290000}"/>
    <cellStyle name="q_Disc Analysis_PowerValuation.xls Chart 28" xfId="10609" xr:uid="{00000000-0005-0000-0000-00006A290000}"/>
    <cellStyle name="q_Disc Analysis_PowerValuation.xls Chart 28_1 FM_101_Examples_v7.31McIntire" xfId="10610" xr:uid="{00000000-0005-0000-0000-00006B290000}"/>
    <cellStyle name="q_Disc Analysis_PowerValuation.xls Chart 28_1 FM_101_Examples_v7.31McIntire_1 FM_101_Examples_TWO-Day_v7.31" xfId="10611" xr:uid="{00000000-0005-0000-0000-00006C290000}"/>
    <cellStyle name="q_Disc Analysis_PowerValuation.xls Chart 28_Val_1_Book_Lecture_Notes_v3.06" xfId="10612" xr:uid="{00000000-0005-0000-0000-00006D290000}"/>
    <cellStyle name="q_Disc Analysis_THEsumPage (2)" xfId="10613" xr:uid="{00000000-0005-0000-0000-00006E290000}"/>
    <cellStyle name="q_Disc Analysis_THEsumPage (2)_1 FM_101_Examples_v7.31McIntire" xfId="10614" xr:uid="{00000000-0005-0000-0000-00006F290000}"/>
    <cellStyle name="q_Disc Analysis_THEsumPage (2)_1 FM_101_Examples_v7.31McIntire_1 FM_101_Examples_TWO-Day_v7.31" xfId="10615" xr:uid="{00000000-0005-0000-0000-000070290000}"/>
    <cellStyle name="q_Disc Analysis_THEsumPage (2)_Val_1_Book_Lecture_Notes_v3.06" xfId="10616" xr:uid="{00000000-0005-0000-0000-000071290000}"/>
    <cellStyle name="q_Disc Analysis_Val_1_Book_Lecture_Notes_v3.06" xfId="10617" xr:uid="{00000000-0005-0000-0000-000072290000}"/>
    <cellStyle name="q_Disc Analysis_Valuation summaries" xfId="10618" xr:uid="{00000000-0005-0000-0000-000073290000}"/>
    <cellStyle name="q_Disc Analysis_Valuation summaries_1 FM_101_Examples_v7.31McIntire" xfId="10619" xr:uid="{00000000-0005-0000-0000-000074290000}"/>
    <cellStyle name="q_Disc Analysis_Valuation summaries_1 FM_101_Examples_v7.31McIntire_1 FM_101_Examples_TWO-Day_v7.31" xfId="10620" xr:uid="{00000000-0005-0000-0000-000075290000}"/>
    <cellStyle name="q_Disc Analysis_Valuation summaries_Val_1_Book_Lecture_Notes_v3.06" xfId="10621" xr:uid="{00000000-0005-0000-0000-000076290000}"/>
    <cellStyle name="q_Fairness Opinion Valuation 4-23a.xls Chart 1" xfId="10622" xr:uid="{00000000-0005-0000-0000-000077290000}"/>
    <cellStyle name="q_Fairness Opinion Valuation 4-23a.xls Chart 1_Val_1_Book_Lecture_Notes_v3.06" xfId="10623" xr:uid="{00000000-0005-0000-0000-000078290000}"/>
    <cellStyle name="q_Merg Cons" xfId="10624" xr:uid="{00000000-0005-0000-0000-000079290000}"/>
    <cellStyle name="q_Merg Cons_1 FM_101_Examples_v7.31McIntire" xfId="10625" xr:uid="{00000000-0005-0000-0000-00007A290000}"/>
    <cellStyle name="q_Merg Cons_1 FM_101_Examples_v7.31McIntire_1 FM_101_Examples_TWO-Day_v7.31" xfId="10626" xr:uid="{00000000-0005-0000-0000-00007B290000}"/>
    <cellStyle name="q_Merg Cons_CompSheet" xfId="10627" xr:uid="{00000000-0005-0000-0000-00007C290000}"/>
    <cellStyle name="q_Merg Cons_CompSheet_1 FM_101_Examples_v7.31McIntire" xfId="10628" xr:uid="{00000000-0005-0000-0000-00007D290000}"/>
    <cellStyle name="q_Merg Cons_CompSheet_1 FM_101_Examples_v7.31McIntire_1 FM_101_Examples_TWO-Day_v7.31" xfId="10629" xr:uid="{00000000-0005-0000-0000-00007E290000}"/>
    <cellStyle name="q_Merg Cons_CompSheet_Val_1_Book_Lecture_Notes_v3.06" xfId="10630" xr:uid="{00000000-0005-0000-0000-00007F290000}"/>
    <cellStyle name="q_Merg Cons_Fairness Opinion Valuation 4-23a.xls Chart 1" xfId="10631" xr:uid="{00000000-0005-0000-0000-000080290000}"/>
    <cellStyle name="q_Merg Cons_Fairness Opinion Valuation 4-23a.xls Chart 1_1 FM_101_Examples_v7.31McIntire" xfId="10632" xr:uid="{00000000-0005-0000-0000-000081290000}"/>
    <cellStyle name="q_Merg Cons_Fairness Opinion Valuation 4-23a.xls Chart 1_1 FM_101_Examples_v7.31McIntire_1 FM_101_Examples_TWO-Day_v7.31" xfId="10633" xr:uid="{00000000-0005-0000-0000-000082290000}"/>
    <cellStyle name="q_Merg Cons_Fairness Opinion Valuation 4-23a.xls Chart 1_Val_1_Book_Lecture_Notes_v3.06" xfId="10634" xr:uid="{00000000-0005-0000-0000-000083290000}"/>
    <cellStyle name="q_Merg Cons_PowerValuation.xls Chart 21" xfId="10635" xr:uid="{00000000-0005-0000-0000-000084290000}"/>
    <cellStyle name="q_Merg Cons_PowerValuation.xls Chart 21_1 FM_101_Examples_v7.31McIntire" xfId="10636" xr:uid="{00000000-0005-0000-0000-000085290000}"/>
    <cellStyle name="q_Merg Cons_PowerValuation.xls Chart 21_1 FM_101_Examples_v7.31McIntire_1 FM_101_Examples_TWO-Day_v7.31" xfId="10637" xr:uid="{00000000-0005-0000-0000-000086290000}"/>
    <cellStyle name="q_Merg Cons_PowerValuation.xls Chart 21_Val_1_Book_Lecture_Notes_v3.06" xfId="10638" xr:uid="{00000000-0005-0000-0000-000087290000}"/>
    <cellStyle name="q_Merg Cons_PowerValuation.xls Chart 28" xfId="10639" xr:uid="{00000000-0005-0000-0000-000088290000}"/>
    <cellStyle name="q_Merg Cons_PowerValuation.xls Chart 28_1 FM_101_Examples_v7.31McIntire" xfId="10640" xr:uid="{00000000-0005-0000-0000-000089290000}"/>
    <cellStyle name="q_Merg Cons_PowerValuation.xls Chart 28_1 FM_101_Examples_v7.31McIntire_1 FM_101_Examples_TWO-Day_v7.31" xfId="10641" xr:uid="{00000000-0005-0000-0000-00008A290000}"/>
    <cellStyle name="q_Merg Cons_PowerValuation.xls Chart 28_Val_1_Book_Lecture_Notes_v3.06" xfId="10642" xr:uid="{00000000-0005-0000-0000-00008B290000}"/>
    <cellStyle name="q_Merg Cons_THEsumPage (2)" xfId="10643" xr:uid="{00000000-0005-0000-0000-00008C290000}"/>
    <cellStyle name="q_Merg Cons_THEsumPage (2)_1 FM_101_Examples_v7.31McIntire" xfId="10644" xr:uid="{00000000-0005-0000-0000-00008D290000}"/>
    <cellStyle name="q_Merg Cons_THEsumPage (2)_1 FM_101_Examples_v7.31McIntire_1 FM_101_Examples_TWO-Day_v7.31" xfId="10645" xr:uid="{00000000-0005-0000-0000-00008E290000}"/>
    <cellStyle name="q_Merg Cons_THEsumPage (2)_Val_1_Book_Lecture_Notes_v3.06" xfId="10646" xr:uid="{00000000-0005-0000-0000-00008F290000}"/>
    <cellStyle name="q_Merg Cons_Val_1_Book_Lecture_Notes_v3.06" xfId="10647" xr:uid="{00000000-0005-0000-0000-000090290000}"/>
    <cellStyle name="q_Merg Cons_Valuation summaries" xfId="10648" xr:uid="{00000000-0005-0000-0000-000091290000}"/>
    <cellStyle name="q_Merg Cons_Valuation summaries_1 FM_101_Examples_v7.31McIntire" xfId="10649" xr:uid="{00000000-0005-0000-0000-000092290000}"/>
    <cellStyle name="q_Merg Cons_Valuation summaries_1 FM_101_Examples_v7.31McIntire_1 FM_101_Examples_TWO-Day_v7.31" xfId="10650" xr:uid="{00000000-0005-0000-0000-000093290000}"/>
    <cellStyle name="q_Merg Cons_Valuation summaries_Val_1_Book_Lecture_Notes_v3.06" xfId="10651" xr:uid="{00000000-0005-0000-0000-000094290000}"/>
    <cellStyle name="q_PowerValuation.xls Chart 21" xfId="10652" xr:uid="{00000000-0005-0000-0000-000095290000}"/>
    <cellStyle name="q_PowerValuation.xls Chart 21_Val_1_Book_Lecture_Notes_v3.06" xfId="10653" xr:uid="{00000000-0005-0000-0000-000096290000}"/>
    <cellStyle name="q_PowerValuation.xls Chart 28" xfId="10654" xr:uid="{00000000-0005-0000-0000-000097290000}"/>
    <cellStyle name="q_PowerValuation.xls Chart 28_Val_1_Book_Lecture_Notes_v3.06" xfId="10655" xr:uid="{00000000-0005-0000-0000-000098290000}"/>
    <cellStyle name="q_Proj10" xfId="10656" xr:uid="{00000000-0005-0000-0000-000099290000}"/>
    <cellStyle name="q_Proj10_1 FM_101_Examples_v7.31McIntire" xfId="10657" xr:uid="{00000000-0005-0000-0000-00009A290000}"/>
    <cellStyle name="q_Proj10_1 FM_101_Examples_v7.31McIntire_1 FM_101_Examples_TWO-Day_v7.31" xfId="10658" xr:uid="{00000000-0005-0000-0000-00009B290000}"/>
    <cellStyle name="q_Proj10_AVP" xfId="10659" xr:uid="{00000000-0005-0000-0000-00009C290000}"/>
    <cellStyle name="q_Proj10_AVP_1 FM_101_Examples_v7.31McIntire" xfId="10660" xr:uid="{00000000-0005-0000-0000-00009D290000}"/>
    <cellStyle name="q_Proj10_AVP_1 FM_101_Examples_v7.31McIntire_1 FM_101_Examples_TWO-Day_v7.31" xfId="10661" xr:uid="{00000000-0005-0000-0000-00009E290000}"/>
    <cellStyle name="q_Proj10_AVP_Graphic Depiction - NO DEV" xfId="10662" xr:uid="{00000000-0005-0000-0000-00009F290000}"/>
    <cellStyle name="q_Proj10_AVP_Graphic Depiction - NO DEV_1 FM_101_Examples_v7.31McIntire" xfId="10663" xr:uid="{00000000-0005-0000-0000-0000A0290000}"/>
    <cellStyle name="q_Proj10_AVP_Graphic Depiction - NO DEV_1 FM_101_Examples_v7.31McIntire_1 FM_101_Examples_TWO-Day_v7.31" xfId="10664" xr:uid="{00000000-0005-0000-0000-0000A1290000}"/>
    <cellStyle name="q_Proj10_AVP_Graphic Depiction - NO DEV_Val_1_Book_Lecture_Notes_v3.06" xfId="10665" xr:uid="{00000000-0005-0000-0000-0000A2290000}"/>
    <cellStyle name="q_Proj10_AVP_THEsumPage (2)" xfId="10666" xr:uid="{00000000-0005-0000-0000-0000A3290000}"/>
    <cellStyle name="q_Proj10_AVP_THEsumPage (2)_1 FM_101_Examples_v7.31McIntire" xfId="10667" xr:uid="{00000000-0005-0000-0000-0000A4290000}"/>
    <cellStyle name="q_Proj10_AVP_THEsumPage (2)_1 FM_101_Examples_v7.31McIntire_1 FM_101_Examples_TWO-Day_v7.31" xfId="10668" xr:uid="{00000000-0005-0000-0000-0000A5290000}"/>
    <cellStyle name="q_Proj10_AVP_THEsumPage (2)_Val_1_Book_Lecture_Notes_v3.06" xfId="10669" xr:uid="{00000000-0005-0000-0000-0000A6290000}"/>
    <cellStyle name="q_Proj10_AVP_Val_1_Book_Lecture_Notes_v3.06" xfId="10670" xr:uid="{00000000-0005-0000-0000-0000A7290000}"/>
    <cellStyle name="q_Proj10_AVP_Valuation Summary Graphics" xfId="10671" xr:uid="{00000000-0005-0000-0000-0000A8290000}"/>
    <cellStyle name="q_Proj10_AVP_Valuation Summary Graphics_1 FM_101_Examples_v7.31McIntire" xfId="10672" xr:uid="{00000000-0005-0000-0000-0000A9290000}"/>
    <cellStyle name="q_Proj10_AVP_Valuation Summary Graphics_1 FM_101_Examples_v7.31McIntire_1 FM_101_Examples_TWO-Day_v7.31" xfId="10673" xr:uid="{00000000-0005-0000-0000-0000AA290000}"/>
    <cellStyle name="q_Proj10_AVP_Valuation Summary Graphics_Val_1_Book_Lecture_Notes_v3.06" xfId="10674" xr:uid="{00000000-0005-0000-0000-0000AB290000}"/>
    <cellStyle name="q_Proj10_CompSheet" xfId="10675" xr:uid="{00000000-0005-0000-0000-0000AC290000}"/>
    <cellStyle name="q_Proj10_CompSheet_Val_1_Book_Lecture_Notes_v3.06" xfId="10676" xr:uid="{00000000-0005-0000-0000-0000AD290000}"/>
    <cellStyle name="q_Proj10_Disc Analysis" xfId="10677" xr:uid="{00000000-0005-0000-0000-0000AE290000}"/>
    <cellStyle name="q_Proj10_Disc Analysis_1 FM_101_Examples_v7.31McIntire" xfId="10678" xr:uid="{00000000-0005-0000-0000-0000AF290000}"/>
    <cellStyle name="q_Proj10_Disc Analysis_1 FM_101_Examples_v7.31McIntire_1 FM_101_Examples_TWO-Day_v7.31" xfId="10679" xr:uid="{00000000-0005-0000-0000-0000B0290000}"/>
    <cellStyle name="q_Proj10_Disc Analysis_CompSheet" xfId="10680" xr:uid="{00000000-0005-0000-0000-0000B1290000}"/>
    <cellStyle name="q_Proj10_Disc Analysis_CompSheet_1 FM_101_Examples_v7.31McIntire" xfId="10681" xr:uid="{00000000-0005-0000-0000-0000B2290000}"/>
    <cellStyle name="q_Proj10_Disc Analysis_CompSheet_1 FM_101_Examples_v7.31McIntire_1 FM_101_Examples_TWO-Day_v7.31" xfId="10682" xr:uid="{00000000-0005-0000-0000-0000B3290000}"/>
    <cellStyle name="q_Proj10_Disc Analysis_CompSheet_Val_1_Book_Lecture_Notes_v3.06" xfId="10683" xr:uid="{00000000-0005-0000-0000-0000B4290000}"/>
    <cellStyle name="q_Proj10_Disc Analysis_Fairness Opinion Valuation 4-23a.xls Chart 1" xfId="10684" xr:uid="{00000000-0005-0000-0000-0000B5290000}"/>
    <cellStyle name="q_Proj10_Disc Analysis_Fairness Opinion Valuation 4-23a.xls Chart 1_1 FM_101_Examples_v7.31McIntire" xfId="10685" xr:uid="{00000000-0005-0000-0000-0000B6290000}"/>
    <cellStyle name="q_Proj10_Disc Analysis_Fairness Opinion Valuation 4-23a.xls Chart 1_1 FM_101_Examples_v7.31McIntire_1 FM_101_Examples_TWO-Day_v7.31" xfId="10686" xr:uid="{00000000-0005-0000-0000-0000B7290000}"/>
    <cellStyle name="q_Proj10_Disc Analysis_Fairness Opinion Valuation 4-23a.xls Chart 1_Val_1_Book_Lecture_Notes_v3.06" xfId="10687" xr:uid="{00000000-0005-0000-0000-0000B8290000}"/>
    <cellStyle name="q_Proj10_Disc Analysis_PowerValuation.xls Chart 21" xfId="10688" xr:uid="{00000000-0005-0000-0000-0000B9290000}"/>
    <cellStyle name="q_Proj10_Disc Analysis_PowerValuation.xls Chart 21_1 FM_101_Examples_v7.31McIntire" xfId="10689" xr:uid="{00000000-0005-0000-0000-0000BA290000}"/>
    <cellStyle name="q_Proj10_Disc Analysis_PowerValuation.xls Chart 21_1 FM_101_Examples_v7.31McIntire_1 FM_101_Examples_TWO-Day_v7.31" xfId="10690" xr:uid="{00000000-0005-0000-0000-0000BB290000}"/>
    <cellStyle name="q_Proj10_Disc Analysis_PowerValuation.xls Chart 21_Val_1_Book_Lecture_Notes_v3.06" xfId="10691" xr:uid="{00000000-0005-0000-0000-0000BC290000}"/>
    <cellStyle name="q_Proj10_Disc Analysis_PowerValuation.xls Chart 28" xfId="10692" xr:uid="{00000000-0005-0000-0000-0000BD290000}"/>
    <cellStyle name="q_Proj10_Disc Analysis_PowerValuation.xls Chart 28_1 FM_101_Examples_v7.31McIntire" xfId="10693" xr:uid="{00000000-0005-0000-0000-0000BE290000}"/>
    <cellStyle name="q_Proj10_Disc Analysis_PowerValuation.xls Chart 28_1 FM_101_Examples_v7.31McIntire_1 FM_101_Examples_TWO-Day_v7.31" xfId="10694" xr:uid="{00000000-0005-0000-0000-0000BF290000}"/>
    <cellStyle name="q_Proj10_Disc Analysis_PowerValuation.xls Chart 28_Val_1_Book_Lecture_Notes_v3.06" xfId="10695" xr:uid="{00000000-0005-0000-0000-0000C0290000}"/>
    <cellStyle name="q_Proj10_Disc Analysis_THEsumPage (2)" xfId="10696" xr:uid="{00000000-0005-0000-0000-0000C1290000}"/>
    <cellStyle name="q_Proj10_Disc Analysis_THEsumPage (2)_1 FM_101_Examples_v7.31McIntire" xfId="10697" xr:uid="{00000000-0005-0000-0000-0000C2290000}"/>
    <cellStyle name="q_Proj10_Disc Analysis_THEsumPage (2)_1 FM_101_Examples_v7.31McIntire_1 FM_101_Examples_TWO-Day_v7.31" xfId="10698" xr:uid="{00000000-0005-0000-0000-0000C3290000}"/>
    <cellStyle name="q_Proj10_Disc Analysis_THEsumPage (2)_Val_1_Book_Lecture_Notes_v3.06" xfId="10699" xr:uid="{00000000-0005-0000-0000-0000C4290000}"/>
    <cellStyle name="q_Proj10_Disc Analysis_Val_1_Book_Lecture_Notes_v3.06" xfId="10700" xr:uid="{00000000-0005-0000-0000-0000C5290000}"/>
    <cellStyle name="q_Proj10_Disc Analysis_Valuation summaries" xfId="10701" xr:uid="{00000000-0005-0000-0000-0000C6290000}"/>
    <cellStyle name="q_Proj10_Disc Analysis_Valuation summaries_1 FM_101_Examples_v7.31McIntire" xfId="10702" xr:uid="{00000000-0005-0000-0000-0000C7290000}"/>
    <cellStyle name="q_Proj10_Disc Analysis_Valuation summaries_1 FM_101_Examples_v7.31McIntire_1 FM_101_Examples_TWO-Day_v7.31" xfId="10703" xr:uid="{00000000-0005-0000-0000-0000C8290000}"/>
    <cellStyle name="q_Proj10_Disc Analysis_Valuation summaries_Val_1_Book_Lecture_Notes_v3.06" xfId="10704" xr:uid="{00000000-0005-0000-0000-0000C9290000}"/>
    <cellStyle name="q_Proj10_Fairness Opinion Valuation 4-23a.xls Chart 1" xfId="10705" xr:uid="{00000000-0005-0000-0000-0000CA290000}"/>
    <cellStyle name="q_Proj10_Fairness Opinion Valuation 4-23a.xls Chart 1_Val_1_Book_Lecture_Notes_v3.06" xfId="10706" xr:uid="{00000000-0005-0000-0000-0000CB290000}"/>
    <cellStyle name="q_Proj10_Merg Cons" xfId="10707" xr:uid="{00000000-0005-0000-0000-0000CC290000}"/>
    <cellStyle name="q_Proj10_Merg Cons_1 FM_101_Examples_v7.31McIntire" xfId="10708" xr:uid="{00000000-0005-0000-0000-0000CD290000}"/>
    <cellStyle name="q_Proj10_Merg Cons_1 FM_101_Examples_v7.31McIntire_1 FM_101_Examples_TWO-Day_v7.31" xfId="10709" xr:uid="{00000000-0005-0000-0000-0000CE290000}"/>
    <cellStyle name="q_Proj10_Merg Cons_CompSheet" xfId="10710" xr:uid="{00000000-0005-0000-0000-0000CF290000}"/>
    <cellStyle name="q_Proj10_Merg Cons_CompSheet_1 FM_101_Examples_v7.31McIntire" xfId="10711" xr:uid="{00000000-0005-0000-0000-0000D0290000}"/>
    <cellStyle name="q_Proj10_Merg Cons_CompSheet_1 FM_101_Examples_v7.31McIntire_1 FM_101_Examples_TWO-Day_v7.31" xfId="10712" xr:uid="{00000000-0005-0000-0000-0000D1290000}"/>
    <cellStyle name="q_Proj10_Merg Cons_CompSheet_Val_1_Book_Lecture_Notes_v3.06" xfId="10713" xr:uid="{00000000-0005-0000-0000-0000D2290000}"/>
    <cellStyle name="q_Proj10_Merg Cons_Fairness Opinion Valuation 4-23a.xls Chart 1" xfId="10714" xr:uid="{00000000-0005-0000-0000-0000D3290000}"/>
    <cellStyle name="q_Proj10_Merg Cons_Fairness Opinion Valuation 4-23a.xls Chart 1_1 FM_101_Examples_v7.31McIntire" xfId="10715" xr:uid="{00000000-0005-0000-0000-0000D4290000}"/>
    <cellStyle name="q_Proj10_Merg Cons_Fairness Opinion Valuation 4-23a.xls Chart 1_1 FM_101_Examples_v7.31McIntire_1 FM_101_Examples_TWO-Day_v7.31" xfId="10716" xr:uid="{00000000-0005-0000-0000-0000D5290000}"/>
    <cellStyle name="q_Proj10_Merg Cons_Fairness Opinion Valuation 4-23a.xls Chart 1_Val_1_Book_Lecture_Notes_v3.06" xfId="10717" xr:uid="{00000000-0005-0000-0000-0000D6290000}"/>
    <cellStyle name="q_Proj10_Merg Cons_PowerValuation.xls Chart 21" xfId="10718" xr:uid="{00000000-0005-0000-0000-0000D7290000}"/>
    <cellStyle name="q_Proj10_Merg Cons_PowerValuation.xls Chart 21_1 FM_101_Examples_v7.31McIntire" xfId="10719" xr:uid="{00000000-0005-0000-0000-0000D8290000}"/>
    <cellStyle name="q_Proj10_Merg Cons_PowerValuation.xls Chart 21_1 FM_101_Examples_v7.31McIntire_1 FM_101_Examples_TWO-Day_v7.31" xfId="10720" xr:uid="{00000000-0005-0000-0000-0000D9290000}"/>
    <cellStyle name="q_Proj10_Merg Cons_PowerValuation.xls Chart 21_Val_1_Book_Lecture_Notes_v3.06" xfId="10721" xr:uid="{00000000-0005-0000-0000-0000DA290000}"/>
    <cellStyle name="q_Proj10_Merg Cons_PowerValuation.xls Chart 28" xfId="10722" xr:uid="{00000000-0005-0000-0000-0000DB290000}"/>
    <cellStyle name="q_Proj10_Merg Cons_PowerValuation.xls Chart 28_1 FM_101_Examples_v7.31McIntire" xfId="10723" xr:uid="{00000000-0005-0000-0000-0000DC290000}"/>
    <cellStyle name="q_Proj10_Merg Cons_PowerValuation.xls Chart 28_1 FM_101_Examples_v7.31McIntire_1 FM_101_Examples_TWO-Day_v7.31" xfId="10724" xr:uid="{00000000-0005-0000-0000-0000DD290000}"/>
    <cellStyle name="q_Proj10_Merg Cons_PowerValuation.xls Chart 28_Val_1_Book_Lecture_Notes_v3.06" xfId="10725" xr:uid="{00000000-0005-0000-0000-0000DE290000}"/>
    <cellStyle name="q_Proj10_Merg Cons_THEsumPage (2)" xfId="10726" xr:uid="{00000000-0005-0000-0000-0000DF290000}"/>
    <cellStyle name="q_Proj10_Merg Cons_THEsumPage (2)_1 FM_101_Examples_v7.31McIntire" xfId="10727" xr:uid="{00000000-0005-0000-0000-0000E0290000}"/>
    <cellStyle name="q_Proj10_Merg Cons_THEsumPage (2)_1 FM_101_Examples_v7.31McIntire_1 FM_101_Examples_TWO-Day_v7.31" xfId="10728" xr:uid="{00000000-0005-0000-0000-0000E1290000}"/>
    <cellStyle name="q_Proj10_Merg Cons_THEsumPage (2)_Val_1_Book_Lecture_Notes_v3.06" xfId="10729" xr:uid="{00000000-0005-0000-0000-0000E2290000}"/>
    <cellStyle name="q_Proj10_Merg Cons_Val_1_Book_Lecture_Notes_v3.06" xfId="10730" xr:uid="{00000000-0005-0000-0000-0000E3290000}"/>
    <cellStyle name="q_Proj10_Merg Cons_Valuation summaries" xfId="10731" xr:uid="{00000000-0005-0000-0000-0000E4290000}"/>
    <cellStyle name="q_Proj10_Merg Cons_Valuation summaries_1 FM_101_Examples_v7.31McIntire" xfId="10732" xr:uid="{00000000-0005-0000-0000-0000E5290000}"/>
    <cellStyle name="q_Proj10_Merg Cons_Valuation summaries_1 FM_101_Examples_v7.31McIntire_1 FM_101_Examples_TWO-Day_v7.31" xfId="10733" xr:uid="{00000000-0005-0000-0000-0000E6290000}"/>
    <cellStyle name="q_Proj10_Merg Cons_Valuation summaries_Val_1_Book_Lecture_Notes_v3.06" xfId="10734" xr:uid="{00000000-0005-0000-0000-0000E7290000}"/>
    <cellStyle name="q_Proj10_PowerValuation.xls Chart 21" xfId="10735" xr:uid="{00000000-0005-0000-0000-0000E8290000}"/>
    <cellStyle name="q_Proj10_PowerValuation.xls Chart 21_Val_1_Book_Lecture_Notes_v3.06" xfId="10736" xr:uid="{00000000-0005-0000-0000-0000E9290000}"/>
    <cellStyle name="q_Proj10_PowerValuation.xls Chart 28" xfId="10737" xr:uid="{00000000-0005-0000-0000-0000EA290000}"/>
    <cellStyle name="q_Proj10_PowerValuation.xls Chart 28_Val_1_Book_Lecture_Notes_v3.06" xfId="10738" xr:uid="{00000000-0005-0000-0000-0000EB290000}"/>
    <cellStyle name="q_Proj10_Sensitivity" xfId="10739" xr:uid="{00000000-0005-0000-0000-0000EC290000}"/>
    <cellStyle name="q_Proj10_Sensitivity_1 FM_101_Examples_v7.31McIntire" xfId="10740" xr:uid="{00000000-0005-0000-0000-0000ED290000}"/>
    <cellStyle name="q_Proj10_Sensitivity_1 FM_101_Examples_v7.31McIntire_1 FM_101_Examples_TWO-Day_v7.31" xfId="10741" xr:uid="{00000000-0005-0000-0000-0000EE290000}"/>
    <cellStyle name="q_Proj10_Sensitivity_CompSheet" xfId="10742" xr:uid="{00000000-0005-0000-0000-0000EF290000}"/>
    <cellStyle name="q_Proj10_Sensitivity_CompSheet_1 FM_101_Examples_v7.31McIntire" xfId="10743" xr:uid="{00000000-0005-0000-0000-0000F0290000}"/>
    <cellStyle name="q_Proj10_Sensitivity_CompSheet_1 FM_101_Examples_v7.31McIntire_1 FM_101_Examples_TWO-Day_v7.31" xfId="10744" xr:uid="{00000000-0005-0000-0000-0000F1290000}"/>
    <cellStyle name="q_Proj10_Sensitivity_CompSheet_Val_1_Book_Lecture_Notes_v3.06" xfId="10745" xr:uid="{00000000-0005-0000-0000-0000F2290000}"/>
    <cellStyle name="q_Proj10_Sensitivity_Fairness Opinion Valuation 4-23a.xls Chart 1" xfId="10746" xr:uid="{00000000-0005-0000-0000-0000F3290000}"/>
    <cellStyle name="q_Proj10_Sensitivity_Fairness Opinion Valuation 4-23a.xls Chart 1_1 FM_101_Examples_v7.31McIntire" xfId="10747" xr:uid="{00000000-0005-0000-0000-0000F4290000}"/>
    <cellStyle name="q_Proj10_Sensitivity_Fairness Opinion Valuation 4-23a.xls Chart 1_1 FM_101_Examples_v7.31McIntire_1 FM_101_Examples_TWO-Day_v7.31" xfId="10748" xr:uid="{00000000-0005-0000-0000-0000F5290000}"/>
    <cellStyle name="q_Proj10_Sensitivity_Fairness Opinion Valuation 4-23a.xls Chart 1_Val_1_Book_Lecture_Notes_v3.06" xfId="10749" xr:uid="{00000000-0005-0000-0000-0000F6290000}"/>
    <cellStyle name="q_Proj10_Sensitivity_PowerValuation.xls Chart 21" xfId="10750" xr:uid="{00000000-0005-0000-0000-0000F7290000}"/>
    <cellStyle name="q_Proj10_Sensitivity_PowerValuation.xls Chart 21_1 FM_101_Examples_v7.31McIntire" xfId="10751" xr:uid="{00000000-0005-0000-0000-0000F8290000}"/>
    <cellStyle name="q_Proj10_Sensitivity_PowerValuation.xls Chart 21_1 FM_101_Examples_v7.31McIntire_1 FM_101_Examples_TWO-Day_v7.31" xfId="10752" xr:uid="{00000000-0005-0000-0000-0000F9290000}"/>
    <cellStyle name="q_Proj10_Sensitivity_PowerValuation.xls Chart 21_Val_1_Book_Lecture_Notes_v3.06" xfId="10753" xr:uid="{00000000-0005-0000-0000-0000FA290000}"/>
    <cellStyle name="q_Proj10_Sensitivity_PowerValuation.xls Chart 28" xfId="10754" xr:uid="{00000000-0005-0000-0000-0000FB290000}"/>
    <cellStyle name="q_Proj10_Sensitivity_PowerValuation.xls Chart 28_1 FM_101_Examples_v7.31McIntire" xfId="10755" xr:uid="{00000000-0005-0000-0000-0000FC290000}"/>
    <cellStyle name="q_Proj10_Sensitivity_PowerValuation.xls Chart 28_1 FM_101_Examples_v7.31McIntire_1 FM_101_Examples_TWO-Day_v7.31" xfId="10756" xr:uid="{00000000-0005-0000-0000-0000FD290000}"/>
    <cellStyle name="q_Proj10_Sensitivity_PowerValuation.xls Chart 28_Val_1_Book_Lecture_Notes_v3.06" xfId="10757" xr:uid="{00000000-0005-0000-0000-0000FE290000}"/>
    <cellStyle name="q_Proj10_Sensitivity_THEsumPage (2)" xfId="10758" xr:uid="{00000000-0005-0000-0000-0000FF290000}"/>
    <cellStyle name="q_Proj10_Sensitivity_THEsumPage (2)_1 FM_101_Examples_v7.31McIntire" xfId="10759" xr:uid="{00000000-0005-0000-0000-0000002A0000}"/>
    <cellStyle name="q_Proj10_Sensitivity_THEsumPage (2)_1 FM_101_Examples_v7.31McIntire_1 FM_101_Examples_TWO-Day_v7.31" xfId="10760" xr:uid="{00000000-0005-0000-0000-0000012A0000}"/>
    <cellStyle name="q_Proj10_Sensitivity_THEsumPage (2)_Val_1_Book_Lecture_Notes_v3.06" xfId="10761" xr:uid="{00000000-0005-0000-0000-0000022A0000}"/>
    <cellStyle name="q_Proj10_Sensitivity_Val_1_Book_Lecture_Notes_v3.06" xfId="10762" xr:uid="{00000000-0005-0000-0000-0000032A0000}"/>
    <cellStyle name="q_Proj10_Sensitivity_Valuation summaries" xfId="10763" xr:uid="{00000000-0005-0000-0000-0000042A0000}"/>
    <cellStyle name="q_Proj10_Sensitivity_Valuation summaries_1 FM_101_Examples_v7.31McIntire" xfId="10764" xr:uid="{00000000-0005-0000-0000-0000052A0000}"/>
    <cellStyle name="q_Proj10_Sensitivity_Valuation summaries_1 FM_101_Examples_v7.31McIntire_1 FM_101_Examples_TWO-Day_v7.31" xfId="10765" xr:uid="{00000000-0005-0000-0000-0000062A0000}"/>
    <cellStyle name="q_Proj10_Sensitivity_Valuation summaries_Val_1_Book_Lecture_Notes_v3.06" xfId="10766" xr:uid="{00000000-0005-0000-0000-0000072A0000}"/>
    <cellStyle name="q_Proj10_show-hold" xfId="10767" xr:uid="{00000000-0005-0000-0000-0000082A0000}"/>
    <cellStyle name="q_Proj10_show-hold_1 FM_101_Examples_v7.31McIntire" xfId="10768" xr:uid="{00000000-0005-0000-0000-0000092A0000}"/>
    <cellStyle name="q_Proj10_show-hold_1 FM_101_Examples_v7.31McIntire_1 FM_101_Examples_TWO-Day_v7.31" xfId="10769" xr:uid="{00000000-0005-0000-0000-00000A2A0000}"/>
    <cellStyle name="q_Proj10_show-hold_Graphic Depiction - NO DEV" xfId="10770" xr:uid="{00000000-0005-0000-0000-00000B2A0000}"/>
    <cellStyle name="q_Proj10_show-hold_Graphic Depiction - NO DEV_1 FM_101_Examples_v7.31McIntire" xfId="10771" xr:uid="{00000000-0005-0000-0000-00000C2A0000}"/>
    <cellStyle name="q_Proj10_show-hold_Graphic Depiction - NO DEV_1 FM_101_Examples_v7.31McIntire_1 FM_101_Examples_TWO-Day_v7.31" xfId="10772" xr:uid="{00000000-0005-0000-0000-00000D2A0000}"/>
    <cellStyle name="q_Proj10_show-hold_Graphic Depiction - NO DEV_Val_1_Book_Lecture_Notes_v3.06" xfId="10773" xr:uid="{00000000-0005-0000-0000-00000E2A0000}"/>
    <cellStyle name="q_Proj10_show-hold_THEsumPage (2)" xfId="10774" xr:uid="{00000000-0005-0000-0000-00000F2A0000}"/>
    <cellStyle name="q_Proj10_show-hold_THEsumPage (2)_1 FM_101_Examples_v7.31McIntire" xfId="10775" xr:uid="{00000000-0005-0000-0000-0000102A0000}"/>
    <cellStyle name="q_Proj10_show-hold_THEsumPage (2)_1 FM_101_Examples_v7.31McIntire_1 FM_101_Examples_TWO-Day_v7.31" xfId="10776" xr:uid="{00000000-0005-0000-0000-0000112A0000}"/>
    <cellStyle name="q_Proj10_show-hold_THEsumPage (2)_Val_1_Book_Lecture_Notes_v3.06" xfId="10777" xr:uid="{00000000-0005-0000-0000-0000122A0000}"/>
    <cellStyle name="q_Proj10_show-hold_Val_1_Book_Lecture_Notes_v3.06" xfId="10778" xr:uid="{00000000-0005-0000-0000-0000132A0000}"/>
    <cellStyle name="q_Proj10_show-hold_Valuation Summary Graphics" xfId="10779" xr:uid="{00000000-0005-0000-0000-0000142A0000}"/>
    <cellStyle name="q_Proj10_show-hold_Valuation Summary Graphics_1 FM_101_Examples_v7.31McIntire" xfId="10780" xr:uid="{00000000-0005-0000-0000-0000152A0000}"/>
    <cellStyle name="q_Proj10_show-hold_Valuation Summary Graphics_1 FM_101_Examples_v7.31McIntire_1 FM_101_Examples_TWO-Day_v7.31" xfId="10781" xr:uid="{00000000-0005-0000-0000-0000162A0000}"/>
    <cellStyle name="q_Proj10_show-hold_Valuation Summary Graphics_Val_1_Book_Lecture_Notes_v3.06" xfId="10782" xr:uid="{00000000-0005-0000-0000-0000172A0000}"/>
    <cellStyle name="q_Proj10_THEsumPage (2)" xfId="10783" xr:uid="{00000000-0005-0000-0000-0000182A0000}"/>
    <cellStyle name="q_Proj10_THEsumPage (2)_Val_1_Book_Lecture_Notes_v3.06" xfId="10784" xr:uid="{00000000-0005-0000-0000-0000192A0000}"/>
    <cellStyle name="q_Proj10_Val_1_Book_Lecture_Notes_v3.06" xfId="10785" xr:uid="{00000000-0005-0000-0000-00001A2A0000}"/>
    <cellStyle name="q_Proj10_Valuation summaries" xfId="10786" xr:uid="{00000000-0005-0000-0000-00001B2A0000}"/>
    <cellStyle name="q_Proj10_Valuation summaries_Val_1_Book_Lecture_Notes_v3.06" xfId="10787" xr:uid="{00000000-0005-0000-0000-00001C2A0000}"/>
    <cellStyle name="q_Proj10_WACC-CableCar" xfId="10788" xr:uid="{00000000-0005-0000-0000-00001D2A0000}"/>
    <cellStyle name="q_Proj10_WACC-CableCar_LANCE_Model_v0.6.DCF.MASTER.Name" xfId="10789" xr:uid="{00000000-0005-0000-0000-00001E2A0000}"/>
    <cellStyle name="q_Proj10_WACC-CableCar_LANCE_Model_v0.6.DCF.MASTER.Name_Campbell_MBA_HALF_v2.2" xfId="10790" xr:uid="{00000000-0005-0000-0000-00001F2A0000}"/>
    <cellStyle name="q_Proj10_WACC-CableCar_LANCE_Model_v0.6.DCF.MASTER.Name_Key Info_WACC" xfId="10791" xr:uid="{00000000-0005-0000-0000-0000202A0000}"/>
    <cellStyle name="q_Proj10_WACC-CableCar_LANCE_Model_v0.6.DCF.MASTER.Name_Tootsie_TWO_DAY_TTS_Solution_v1.34" xfId="10792" xr:uid="{00000000-0005-0000-0000-0000212A0000}"/>
    <cellStyle name="q_Proj10_WACC-CableCar_LANCE_Model_v0.6.DCF.MASTER.Name_Val_1_Book_Lecture_Notes_v3.06" xfId="10793" xr:uid="{00000000-0005-0000-0000-0000222A0000}"/>
    <cellStyle name="q_Proj10_WACC-CableCar_THEsumPage (2)" xfId="10794" xr:uid="{00000000-0005-0000-0000-0000232A0000}"/>
    <cellStyle name="q_Proj10_WACC-CableCar_THEsumPage (2)_LANCE_Model_v0.6.DCF.MASTER.Name" xfId="10795" xr:uid="{00000000-0005-0000-0000-0000242A0000}"/>
    <cellStyle name="q_Proj10_WACC-CableCar_THEsumPage (2)_LANCE_Model_v0.6.DCF.MASTER.Name_Campbell_MBA_HALF_v2.2" xfId="10796" xr:uid="{00000000-0005-0000-0000-0000252A0000}"/>
    <cellStyle name="q_Proj10_WACC-CableCar_THEsumPage (2)_LANCE_Model_v0.6.DCF.MASTER.Name_Key Info_WACC" xfId="10797" xr:uid="{00000000-0005-0000-0000-0000262A0000}"/>
    <cellStyle name="q_Proj10_WACC-CableCar_THEsumPage (2)_LANCE_Model_v0.6.DCF.MASTER.Name_Tootsie_TWO_DAY_TTS_Solution_v1.34" xfId="10798" xr:uid="{00000000-0005-0000-0000-0000272A0000}"/>
    <cellStyle name="q_Proj10_WACC-CableCar_THEsumPage (2)_LANCE_Model_v0.6.DCF.MASTER.Name_Val_1_Book_Lecture_Notes_v3.06" xfId="10799" xr:uid="{00000000-0005-0000-0000-0000282A0000}"/>
    <cellStyle name="q_Proj10_WACC-CableCar_THEsumPage (2)_Val_1_Book_Lecture_Notes_v3.06" xfId="10800" xr:uid="{00000000-0005-0000-0000-0000292A0000}"/>
    <cellStyle name="q_Proj10_WACC-CableCar_Val_1_Book_Lecture_Notes_v3.06" xfId="10801" xr:uid="{00000000-0005-0000-0000-00002A2A0000}"/>
    <cellStyle name="q_Sensitivity" xfId="10802" xr:uid="{00000000-0005-0000-0000-00002B2A0000}"/>
    <cellStyle name="q_Sensitivity_1 FM_101_Examples_v7.31McIntire" xfId="10803" xr:uid="{00000000-0005-0000-0000-00002C2A0000}"/>
    <cellStyle name="q_Sensitivity_1 FM_101_Examples_v7.31McIntire_1 FM_101_Examples_TWO-Day_v7.31" xfId="10804" xr:uid="{00000000-0005-0000-0000-00002D2A0000}"/>
    <cellStyle name="q_Sensitivity_CompSheet" xfId="10805" xr:uid="{00000000-0005-0000-0000-00002E2A0000}"/>
    <cellStyle name="q_Sensitivity_CompSheet_1 FM_101_Examples_v7.31McIntire" xfId="10806" xr:uid="{00000000-0005-0000-0000-00002F2A0000}"/>
    <cellStyle name="q_Sensitivity_CompSheet_1 FM_101_Examples_v7.31McIntire_1 FM_101_Examples_TWO-Day_v7.31" xfId="10807" xr:uid="{00000000-0005-0000-0000-0000302A0000}"/>
    <cellStyle name="q_Sensitivity_CompSheet_Val_1_Book_Lecture_Notes_v3.06" xfId="10808" xr:uid="{00000000-0005-0000-0000-0000312A0000}"/>
    <cellStyle name="q_Sensitivity_Fairness Opinion Valuation 4-23a.xls Chart 1" xfId="10809" xr:uid="{00000000-0005-0000-0000-0000322A0000}"/>
    <cellStyle name="q_Sensitivity_Fairness Opinion Valuation 4-23a.xls Chart 1_1 FM_101_Examples_v7.31McIntire" xfId="10810" xr:uid="{00000000-0005-0000-0000-0000332A0000}"/>
    <cellStyle name="q_Sensitivity_Fairness Opinion Valuation 4-23a.xls Chart 1_1 FM_101_Examples_v7.31McIntire_1 FM_101_Examples_TWO-Day_v7.31" xfId="10811" xr:uid="{00000000-0005-0000-0000-0000342A0000}"/>
    <cellStyle name="q_Sensitivity_Fairness Opinion Valuation 4-23a.xls Chart 1_Val_1_Book_Lecture_Notes_v3.06" xfId="10812" xr:uid="{00000000-0005-0000-0000-0000352A0000}"/>
    <cellStyle name="q_Sensitivity_PowerValuation.xls Chart 21" xfId="10813" xr:uid="{00000000-0005-0000-0000-0000362A0000}"/>
    <cellStyle name="q_Sensitivity_PowerValuation.xls Chart 21_1 FM_101_Examples_v7.31McIntire" xfId="10814" xr:uid="{00000000-0005-0000-0000-0000372A0000}"/>
    <cellStyle name="q_Sensitivity_PowerValuation.xls Chart 21_1 FM_101_Examples_v7.31McIntire_1 FM_101_Examples_TWO-Day_v7.31" xfId="10815" xr:uid="{00000000-0005-0000-0000-0000382A0000}"/>
    <cellStyle name="q_Sensitivity_PowerValuation.xls Chart 21_Val_1_Book_Lecture_Notes_v3.06" xfId="10816" xr:uid="{00000000-0005-0000-0000-0000392A0000}"/>
    <cellStyle name="q_Sensitivity_PowerValuation.xls Chart 28" xfId="10817" xr:uid="{00000000-0005-0000-0000-00003A2A0000}"/>
    <cellStyle name="q_Sensitivity_PowerValuation.xls Chart 28_1 FM_101_Examples_v7.31McIntire" xfId="10818" xr:uid="{00000000-0005-0000-0000-00003B2A0000}"/>
    <cellStyle name="q_Sensitivity_PowerValuation.xls Chart 28_1 FM_101_Examples_v7.31McIntire_1 FM_101_Examples_TWO-Day_v7.31" xfId="10819" xr:uid="{00000000-0005-0000-0000-00003C2A0000}"/>
    <cellStyle name="q_Sensitivity_PowerValuation.xls Chart 28_Val_1_Book_Lecture_Notes_v3.06" xfId="10820" xr:uid="{00000000-0005-0000-0000-00003D2A0000}"/>
    <cellStyle name="q_Sensitivity_THEsumPage (2)" xfId="10821" xr:uid="{00000000-0005-0000-0000-00003E2A0000}"/>
    <cellStyle name="q_Sensitivity_THEsumPage (2)_1 FM_101_Examples_v7.31McIntire" xfId="10822" xr:uid="{00000000-0005-0000-0000-00003F2A0000}"/>
    <cellStyle name="q_Sensitivity_THEsumPage (2)_1 FM_101_Examples_v7.31McIntire_1 FM_101_Examples_TWO-Day_v7.31" xfId="10823" xr:uid="{00000000-0005-0000-0000-0000402A0000}"/>
    <cellStyle name="q_Sensitivity_THEsumPage (2)_Val_1_Book_Lecture_Notes_v3.06" xfId="10824" xr:uid="{00000000-0005-0000-0000-0000412A0000}"/>
    <cellStyle name="q_Sensitivity_Val_1_Book_Lecture_Notes_v3.06" xfId="10825" xr:uid="{00000000-0005-0000-0000-0000422A0000}"/>
    <cellStyle name="q_Sensitivity_Valuation summaries" xfId="10826" xr:uid="{00000000-0005-0000-0000-0000432A0000}"/>
    <cellStyle name="q_Sensitivity_Valuation summaries_1 FM_101_Examples_v7.31McIntire" xfId="10827" xr:uid="{00000000-0005-0000-0000-0000442A0000}"/>
    <cellStyle name="q_Sensitivity_Valuation summaries_1 FM_101_Examples_v7.31McIntire_1 FM_101_Examples_TWO-Day_v7.31" xfId="10828" xr:uid="{00000000-0005-0000-0000-0000452A0000}"/>
    <cellStyle name="q_Sensitivity_Valuation summaries_Val_1_Book_Lecture_Notes_v3.06" xfId="10829" xr:uid="{00000000-0005-0000-0000-0000462A0000}"/>
    <cellStyle name="q_show-hold" xfId="10830" xr:uid="{00000000-0005-0000-0000-0000472A0000}"/>
    <cellStyle name="q_show-hold_1 FM_101_Examples_v7.31McIntire" xfId="10831" xr:uid="{00000000-0005-0000-0000-0000482A0000}"/>
    <cellStyle name="q_show-hold_1 FM_101_Examples_v7.31McIntire_1 FM_101_Examples_TWO-Day_v7.31" xfId="10832" xr:uid="{00000000-0005-0000-0000-0000492A0000}"/>
    <cellStyle name="q_show-hold_CompSheet" xfId="10833" xr:uid="{00000000-0005-0000-0000-00004A2A0000}"/>
    <cellStyle name="q_show-hold_CompSheet_1 FM_101_Examples_v7.31McIntire" xfId="10834" xr:uid="{00000000-0005-0000-0000-00004B2A0000}"/>
    <cellStyle name="q_show-hold_CompSheet_1 FM_101_Examples_v7.31McIntire_1 FM_101_Examples_TWO-Day_v7.31" xfId="10835" xr:uid="{00000000-0005-0000-0000-00004C2A0000}"/>
    <cellStyle name="q_show-hold_CompSheet_Val_1_Book_Lecture_Notes_v3.06" xfId="10836" xr:uid="{00000000-0005-0000-0000-00004D2A0000}"/>
    <cellStyle name="q_show-hold_Fairness Opinion Valuation 4-23a.xls Chart 1" xfId="10837" xr:uid="{00000000-0005-0000-0000-00004E2A0000}"/>
    <cellStyle name="q_show-hold_Fairness Opinion Valuation 4-23a.xls Chart 1_1 FM_101_Examples_v7.31McIntire" xfId="10838" xr:uid="{00000000-0005-0000-0000-00004F2A0000}"/>
    <cellStyle name="q_show-hold_Fairness Opinion Valuation 4-23a.xls Chart 1_1 FM_101_Examples_v7.31McIntire_1 FM_101_Examples_TWO-Day_v7.31" xfId="10839" xr:uid="{00000000-0005-0000-0000-0000502A0000}"/>
    <cellStyle name="q_show-hold_Fairness Opinion Valuation 4-23a.xls Chart 1_Val_1_Book_Lecture_Notes_v3.06" xfId="10840" xr:uid="{00000000-0005-0000-0000-0000512A0000}"/>
    <cellStyle name="q_show-hold_PowerValuation.xls Chart 21" xfId="10841" xr:uid="{00000000-0005-0000-0000-0000522A0000}"/>
    <cellStyle name="q_show-hold_PowerValuation.xls Chart 21_1 FM_101_Examples_v7.31McIntire" xfId="10842" xr:uid="{00000000-0005-0000-0000-0000532A0000}"/>
    <cellStyle name="q_show-hold_PowerValuation.xls Chart 21_1 FM_101_Examples_v7.31McIntire_1 FM_101_Examples_TWO-Day_v7.31" xfId="10843" xr:uid="{00000000-0005-0000-0000-0000542A0000}"/>
    <cellStyle name="q_show-hold_PowerValuation.xls Chart 21_Val_1_Book_Lecture_Notes_v3.06" xfId="10844" xr:uid="{00000000-0005-0000-0000-0000552A0000}"/>
    <cellStyle name="q_show-hold_PowerValuation.xls Chart 28" xfId="10845" xr:uid="{00000000-0005-0000-0000-0000562A0000}"/>
    <cellStyle name="q_show-hold_PowerValuation.xls Chart 28_1 FM_101_Examples_v7.31McIntire" xfId="10846" xr:uid="{00000000-0005-0000-0000-0000572A0000}"/>
    <cellStyle name="q_show-hold_PowerValuation.xls Chart 28_1 FM_101_Examples_v7.31McIntire_1 FM_101_Examples_TWO-Day_v7.31" xfId="10847" xr:uid="{00000000-0005-0000-0000-0000582A0000}"/>
    <cellStyle name="q_show-hold_PowerValuation.xls Chart 28_Val_1_Book_Lecture_Notes_v3.06" xfId="10848" xr:uid="{00000000-0005-0000-0000-0000592A0000}"/>
    <cellStyle name="q_show-hold_THEsumPage (2)" xfId="10849" xr:uid="{00000000-0005-0000-0000-00005A2A0000}"/>
    <cellStyle name="q_show-hold_THEsumPage (2)_1 FM_101_Examples_v7.31McIntire" xfId="10850" xr:uid="{00000000-0005-0000-0000-00005B2A0000}"/>
    <cellStyle name="q_show-hold_THEsumPage (2)_1 FM_101_Examples_v7.31McIntire_1 FM_101_Examples_TWO-Day_v7.31" xfId="10851" xr:uid="{00000000-0005-0000-0000-00005C2A0000}"/>
    <cellStyle name="q_show-hold_THEsumPage (2)_Val_1_Book_Lecture_Notes_v3.06" xfId="10852" xr:uid="{00000000-0005-0000-0000-00005D2A0000}"/>
    <cellStyle name="q_show-hold_Val_1_Book_Lecture_Notes_v3.06" xfId="10853" xr:uid="{00000000-0005-0000-0000-00005E2A0000}"/>
    <cellStyle name="q_show-hold_Valuation summaries" xfId="10854" xr:uid="{00000000-0005-0000-0000-00005F2A0000}"/>
    <cellStyle name="q_show-hold_Valuation summaries_1 FM_101_Examples_v7.31McIntire" xfId="10855" xr:uid="{00000000-0005-0000-0000-0000602A0000}"/>
    <cellStyle name="q_show-hold_Valuation summaries_1 FM_101_Examples_v7.31McIntire_1 FM_101_Examples_TWO-Day_v7.31" xfId="10856" xr:uid="{00000000-0005-0000-0000-0000612A0000}"/>
    <cellStyle name="q_show-hold_Valuation summaries_Val_1_Book_Lecture_Notes_v3.06" xfId="10857" xr:uid="{00000000-0005-0000-0000-0000622A0000}"/>
    <cellStyle name="q_THEsumPage (2)" xfId="10858" xr:uid="{00000000-0005-0000-0000-0000632A0000}"/>
    <cellStyle name="q_THEsumPage (2)_Val_1_Book_Lecture_Notes_v3.06" xfId="10859" xr:uid="{00000000-0005-0000-0000-0000642A0000}"/>
    <cellStyle name="q_Val_1_Book_Lecture_Notes_v3.06" xfId="10860" xr:uid="{00000000-0005-0000-0000-0000652A0000}"/>
    <cellStyle name="q_Valuation summaries" xfId="10861" xr:uid="{00000000-0005-0000-0000-0000662A0000}"/>
    <cellStyle name="q_Valuation summaries_Val_1_Book_Lecture_Notes_v3.06" xfId="10862" xr:uid="{00000000-0005-0000-0000-0000672A0000}"/>
    <cellStyle name="q_WACC-CableCar" xfId="10863" xr:uid="{00000000-0005-0000-0000-0000682A0000}"/>
    <cellStyle name="q_WACC-CableCar_LANCE_Model_v0.6.DCF.MASTER.Name" xfId="10864" xr:uid="{00000000-0005-0000-0000-0000692A0000}"/>
    <cellStyle name="q_WACC-CableCar_LANCE_Model_v0.6.DCF.MASTER.Name_Campbell_MBA_HALF_v2.2" xfId="10865" xr:uid="{00000000-0005-0000-0000-00006A2A0000}"/>
    <cellStyle name="q_WACC-CableCar_LANCE_Model_v0.6.DCF.MASTER.Name_Key Info_WACC" xfId="10866" xr:uid="{00000000-0005-0000-0000-00006B2A0000}"/>
    <cellStyle name="q_WACC-CableCar_LANCE_Model_v0.6.DCF.MASTER.Name_Tootsie_TWO_DAY_TTS_Solution_v1.34" xfId="10867" xr:uid="{00000000-0005-0000-0000-00006C2A0000}"/>
    <cellStyle name="q_WACC-CableCar_LANCE_Model_v0.6.DCF.MASTER.Name_Val_1_Book_Lecture_Notes_v3.06" xfId="10868" xr:uid="{00000000-0005-0000-0000-00006D2A0000}"/>
    <cellStyle name="q_WACC-CableCar_THEsumPage (2)" xfId="10869" xr:uid="{00000000-0005-0000-0000-00006E2A0000}"/>
    <cellStyle name="q_WACC-CableCar_THEsumPage (2)_LANCE_Model_v0.6.DCF.MASTER.Name" xfId="10870" xr:uid="{00000000-0005-0000-0000-00006F2A0000}"/>
    <cellStyle name="q_WACC-CableCar_THEsumPage (2)_LANCE_Model_v0.6.DCF.MASTER.Name_Campbell_MBA_HALF_v2.2" xfId="10871" xr:uid="{00000000-0005-0000-0000-0000702A0000}"/>
    <cellStyle name="q_WACC-CableCar_THEsumPage (2)_LANCE_Model_v0.6.DCF.MASTER.Name_Key Info_WACC" xfId="10872" xr:uid="{00000000-0005-0000-0000-0000712A0000}"/>
    <cellStyle name="q_WACC-CableCar_THEsumPage (2)_LANCE_Model_v0.6.DCF.MASTER.Name_Tootsie_TWO_DAY_TTS_Solution_v1.34" xfId="10873" xr:uid="{00000000-0005-0000-0000-0000722A0000}"/>
    <cellStyle name="q_WACC-CableCar_THEsumPage (2)_LANCE_Model_v0.6.DCF.MASTER.Name_Val_1_Book_Lecture_Notes_v3.06" xfId="10874" xr:uid="{00000000-0005-0000-0000-0000732A0000}"/>
    <cellStyle name="q_WACC-CableCar_THEsumPage (2)_Val_1_Book_Lecture_Notes_v3.06" xfId="10875" xr:uid="{00000000-0005-0000-0000-0000742A0000}"/>
    <cellStyle name="q_WACC-CableCar_Val_1_Book_Lecture_Notes_v3.06" xfId="10876" xr:uid="{00000000-0005-0000-0000-0000752A0000}"/>
    <cellStyle name="QEPS-h" xfId="10877" xr:uid="{00000000-0005-0000-0000-0000762A0000}"/>
    <cellStyle name="QEPS-H1" xfId="10878" xr:uid="{00000000-0005-0000-0000-0000772A0000}"/>
    <cellStyle name="qRange" xfId="10879" xr:uid="{00000000-0005-0000-0000-0000782A0000}"/>
    <cellStyle name="r" xfId="10880" xr:uid="{00000000-0005-0000-0000-0000792A0000}"/>
    <cellStyle name="range" xfId="10881" xr:uid="{00000000-0005-0000-0000-00007A2A0000}"/>
    <cellStyle name="rate" xfId="10882" xr:uid="{00000000-0005-0000-0000-00007B2A0000}"/>
    <cellStyle name="Ratio" xfId="10883" xr:uid="{00000000-0005-0000-0000-00007C2A0000}"/>
    <cellStyle name="Ratio 2" xfId="10884" xr:uid="{00000000-0005-0000-0000-00007D2A0000}"/>
    <cellStyle name="Ratio Comma" xfId="10885" xr:uid="{00000000-0005-0000-0000-00007E2A0000}"/>
    <cellStyle name="Ratio_1 FM_101_Examples_v7.3 McIntire" xfId="10886" xr:uid="{00000000-0005-0000-0000-00007F2A0000}"/>
    <cellStyle name="RatioX" xfId="10887" xr:uid="{00000000-0005-0000-0000-0000802A0000}"/>
    <cellStyle name="Red" xfId="366" xr:uid="{00000000-0005-0000-0000-0000812A0000}"/>
    <cellStyle name="Red Text" xfId="10888" xr:uid="{00000000-0005-0000-0000-0000822A0000}"/>
    <cellStyle name="rh" xfId="10889" xr:uid="{00000000-0005-0000-0000-0000832A0000}"/>
    <cellStyle name="s_HardInc " xfId="10890" xr:uid="{00000000-0005-0000-0000-0000842A0000}"/>
    <cellStyle name="s_HardInc _1 Cadbury_&amp;_Kraft_Model_v11.0" xfId="10891" xr:uid="{00000000-0005-0000-0000-0000852A0000}"/>
    <cellStyle name="s_HardInc _2 HNZ_CPB_v11.0" xfId="10892" xr:uid="{00000000-0005-0000-0000-0000862A0000}"/>
    <cellStyle name="s_HardInc _2 HNZ_CPB_v11.0.2" xfId="10893" xr:uid="{00000000-0005-0000-0000-0000872A0000}"/>
    <cellStyle name="s_HardInc _Book2" xfId="10894" xr:uid="{00000000-0005-0000-0000-0000882A0000}"/>
    <cellStyle name="s_HardInc _CBRY_Case_v2.0 DRAFT4.0_AL" xfId="10895" xr:uid="{00000000-0005-0000-0000-0000892A0000}"/>
    <cellStyle name="s_HardInc _CBRY_Case_v2.0 DRAFT4.0_AL_MBA_Val_101_CAD_2009_BACKUP_v1.0_Draft_10" xfId="10896" xr:uid="{00000000-0005-0000-0000-00008A2A0000}"/>
    <cellStyle name="s_HardInc _CBRY_Case_v2.0 DRAFT4.0_AL_MBA_Val_101_CAD_2009_BACKUP_v1.0_Draft_15" xfId="10897" xr:uid="{00000000-0005-0000-0000-00008B2A0000}"/>
    <cellStyle name="s_HardInc _COH_Merger_Model_Analysts_SOLUTION_v1.88" xfId="10898" xr:uid="{00000000-0005-0000-0000-00008C2A0000}"/>
    <cellStyle name="s_HardInc _Copy of COH_2008_FM_SOLUTION_DCF_v1.05" xfId="10899" xr:uid="{00000000-0005-0000-0000-00008D2A0000}"/>
    <cellStyle name="s_HardInc _MBA_Val_CAD_DCFv2.0" xfId="10900" xr:uid="{00000000-0005-0000-0000-00008E2A0000}"/>
    <cellStyle name="s_HardInc _MBA_Val_CAD_DCFv2.0_MBA_Val_101_CAD_2009_BACKUP_v1.0_Draft_10" xfId="10901" xr:uid="{00000000-0005-0000-0000-00008F2A0000}"/>
    <cellStyle name="s_HardInc _MBA_Val_CAD_DCFv2.0_MBA_Val_101_CAD_2009_BACKUP_v1.0_Draft_15" xfId="10902" xr:uid="{00000000-0005-0000-0000-0000902A0000}"/>
    <cellStyle name="s_HardInc _MBA_Val_CAD_DCFv2.0_MBA_Val_101_CAD_2009_BACKUP_v1.0_Draft_9" xfId="10903" xr:uid="{00000000-0005-0000-0000-0000912A0000}"/>
    <cellStyle name="s_Valuation " xfId="10904" xr:uid="{00000000-0005-0000-0000-0000922A0000}"/>
    <cellStyle name="s_Valuation _Book2" xfId="10905" xr:uid="{00000000-0005-0000-0000-0000932A0000}"/>
    <cellStyle name="s_Valuation _MBA_Val_CAD_DCFv2.0" xfId="10906" xr:uid="{00000000-0005-0000-0000-0000942A0000}"/>
    <cellStyle name="s_Valuation _TTS" xfId="10907" xr:uid="{00000000-0005-0000-0000-0000952A0000}"/>
    <cellStyle name="s_Valuation _TTS_Worksheet_2010-5-5" xfId="10908" xr:uid="{00000000-0005-0000-0000-0000962A0000}"/>
    <cellStyle name="s_Valuation _TTS_Worksheet_2010-5-6" xfId="10909" xr:uid="{00000000-0005-0000-0000-0000972A0000}"/>
    <cellStyle name="s_Valuation _TTS_Worksheet_v3.00" xfId="10910" xr:uid="{00000000-0005-0000-0000-0000982A0000}"/>
    <cellStyle name="s_Valuation _TTS-LBO_TEMPLATE_v1.0d" xfId="10911" xr:uid="{00000000-0005-0000-0000-0000992A0000}"/>
    <cellStyle name="Saída" xfId="10912" xr:uid="{00000000-0005-0000-0000-00009A2A0000}"/>
    <cellStyle name="Saída 2" xfId="10913" xr:uid="{00000000-0005-0000-0000-00009B2A0000}"/>
    <cellStyle name="Salida" xfId="10914" xr:uid="{00000000-0005-0000-0000-00009C2A0000}"/>
    <cellStyle name="Salida 2" xfId="10915" xr:uid="{00000000-0005-0000-0000-00009D2A0000}"/>
    <cellStyle name="ScripFactor" xfId="10916" xr:uid="{00000000-0005-0000-0000-00009E2A0000}"/>
    <cellStyle name="Section" xfId="10917" xr:uid="{00000000-0005-0000-0000-00009F2A0000}"/>
    <cellStyle name="SectionHeaderNormal" xfId="367" xr:uid="{00000000-0005-0000-0000-0000A02A0000}"/>
    <cellStyle name="SectionHeaderNormal 2" xfId="10918" xr:uid="{00000000-0005-0000-0000-0000A12A0000}"/>
    <cellStyle name="SectionHeading" xfId="10919" xr:uid="{00000000-0005-0000-0000-0000A22A0000}"/>
    <cellStyle name="Sep. milhar [0]" xfId="10920" xr:uid="{00000000-0005-0000-0000-0000A32A0000}"/>
    <cellStyle name="Separador de milhares [0]_ANALISE_backup 14_08_1345" xfId="10921" xr:uid="{00000000-0005-0000-0000-0000A42A0000}"/>
    <cellStyle name="Separador de milhares_ANALISE_backup 14_08_1345" xfId="10922" xr:uid="{00000000-0005-0000-0000-0000A52A0000}"/>
    <cellStyle name="Shading" xfId="10923" xr:uid="{00000000-0005-0000-0000-0000A62A0000}"/>
    <cellStyle name="srh" xfId="10924" xr:uid="{00000000-0005-0000-0000-0000A72A0000}"/>
    <cellStyle name="ssp " xfId="10925" xr:uid="{00000000-0005-0000-0000-0000A82A0000}"/>
    <cellStyle name="Standard" xfId="10926" xr:uid="{00000000-0005-0000-0000-0000A92A0000}"/>
    <cellStyle name="Stock Comma" xfId="10927" xr:uid="{00000000-0005-0000-0000-0000AA2A0000}"/>
    <cellStyle name="Stock Price" xfId="10928" xr:uid="{00000000-0005-0000-0000-0000AB2A0000}"/>
    <cellStyle name="Style 1" xfId="368" xr:uid="{00000000-0005-0000-0000-0000AC2A0000}"/>
    <cellStyle name="Style 1 2" xfId="10929" xr:uid="{00000000-0005-0000-0000-0000AD2A0000}"/>
    <cellStyle name="Style 21" xfId="10930" xr:uid="{00000000-0005-0000-0000-0000AE2A0000}"/>
    <cellStyle name="Style 22" xfId="10931" xr:uid="{00000000-0005-0000-0000-0000AF2A0000}"/>
    <cellStyle name="Style 23" xfId="10932" xr:uid="{00000000-0005-0000-0000-0000B02A0000}"/>
    <cellStyle name="Style 24" xfId="10933" xr:uid="{00000000-0005-0000-0000-0000B12A0000}"/>
    <cellStyle name="Style 25" xfId="10934" xr:uid="{00000000-0005-0000-0000-0000B22A0000}"/>
    <cellStyle name="Style 26" xfId="10935" xr:uid="{00000000-0005-0000-0000-0000B32A0000}"/>
    <cellStyle name="Style 27" xfId="10936" xr:uid="{00000000-0005-0000-0000-0000B42A0000}"/>
    <cellStyle name="Style 28" xfId="10937" xr:uid="{00000000-0005-0000-0000-0000B52A0000}"/>
    <cellStyle name="Style 29" xfId="10938" xr:uid="{00000000-0005-0000-0000-0000B62A0000}"/>
    <cellStyle name="Style 30" xfId="10939" xr:uid="{00000000-0005-0000-0000-0000B72A0000}"/>
    <cellStyle name="Style 31" xfId="10940" xr:uid="{00000000-0005-0000-0000-0000B82A0000}"/>
    <cellStyle name="Style 32" xfId="10941" xr:uid="{00000000-0005-0000-0000-0000B92A0000}"/>
    <cellStyle name="Style 33" xfId="10942" xr:uid="{00000000-0005-0000-0000-0000BA2A0000}"/>
    <cellStyle name="Style 34" xfId="10943" xr:uid="{00000000-0005-0000-0000-0000BB2A0000}"/>
    <cellStyle name="Style 35" xfId="10944" xr:uid="{00000000-0005-0000-0000-0000BC2A0000}"/>
    <cellStyle name="Style 36" xfId="10945" xr:uid="{00000000-0005-0000-0000-0000BD2A0000}"/>
    <cellStyle name="Style 37" xfId="10946" xr:uid="{00000000-0005-0000-0000-0000BE2A0000}"/>
    <cellStyle name="Style 38" xfId="10947" xr:uid="{00000000-0005-0000-0000-0000BF2A0000}"/>
    <cellStyle name="Style 39" xfId="10948" xr:uid="{00000000-0005-0000-0000-0000C02A0000}"/>
    <cellStyle name="Style 40" xfId="10949" xr:uid="{00000000-0005-0000-0000-0000C12A0000}"/>
    <cellStyle name="Style 41" xfId="10950" xr:uid="{00000000-0005-0000-0000-0000C22A0000}"/>
    <cellStyle name="Style 42" xfId="10951" xr:uid="{00000000-0005-0000-0000-0000C32A0000}"/>
    <cellStyle name="Style 43" xfId="10952" xr:uid="{00000000-0005-0000-0000-0000C42A0000}"/>
    <cellStyle name="Style 44" xfId="10953" xr:uid="{00000000-0005-0000-0000-0000C52A0000}"/>
    <cellStyle name="Style 45" xfId="10954" xr:uid="{00000000-0005-0000-0000-0000C62A0000}"/>
    <cellStyle name="Style 46" xfId="10955" xr:uid="{00000000-0005-0000-0000-0000C72A0000}"/>
    <cellStyle name="Style 47" xfId="10956" xr:uid="{00000000-0005-0000-0000-0000C82A0000}"/>
    <cellStyle name="Style 48" xfId="10957" xr:uid="{00000000-0005-0000-0000-0000C92A0000}"/>
    <cellStyle name="Style 67" xfId="10958" xr:uid="{00000000-0005-0000-0000-0000CA2A0000}"/>
    <cellStyle name="Style 74" xfId="10959" xr:uid="{00000000-0005-0000-0000-0000CB2A0000}"/>
    <cellStyle name="Style 79" xfId="10960" xr:uid="{00000000-0005-0000-0000-0000CC2A0000}"/>
    <cellStyle name="Style 83" xfId="10961" xr:uid="{00000000-0005-0000-0000-0000CD2A0000}"/>
    <cellStyle name="SubScript" xfId="369" xr:uid="{00000000-0005-0000-0000-0000CE2A0000}"/>
    <cellStyle name="SubScript 2" xfId="10962" xr:uid="{00000000-0005-0000-0000-0000CF2A0000}"/>
    <cellStyle name="Sum" xfId="10963" xr:uid="{00000000-0005-0000-0000-0000D02A0000}"/>
    <cellStyle name="SuperScript" xfId="370" xr:uid="{00000000-0005-0000-0000-0000D12A0000}"/>
    <cellStyle name="SuperScript 2" xfId="10964" xr:uid="{00000000-0005-0000-0000-0000D22A0000}"/>
    <cellStyle name="Table_Header" xfId="10965" xr:uid="{00000000-0005-0000-0000-0000D32A0000}"/>
    <cellStyle name="TableName" xfId="10966" xr:uid="{00000000-0005-0000-0000-0000D42A0000}"/>
    <cellStyle name="tcn" xfId="10967" xr:uid="{00000000-0005-0000-0000-0000D52A0000}"/>
    <cellStyle name="Test" xfId="10968" xr:uid="{00000000-0005-0000-0000-0000D62A0000}"/>
    <cellStyle name="Text Wrap" xfId="10969" xr:uid="{00000000-0005-0000-0000-0000D72A0000}"/>
    <cellStyle name="Text Wrap 2" xfId="10970" xr:uid="{00000000-0005-0000-0000-0000D82A0000}"/>
    <cellStyle name="Text Wrap 3" xfId="10971" xr:uid="{00000000-0005-0000-0000-0000D92A0000}"/>
    <cellStyle name="TextBold" xfId="371" xr:uid="{00000000-0005-0000-0000-0000DA2A0000}"/>
    <cellStyle name="TextBold 2" xfId="10972" xr:uid="{00000000-0005-0000-0000-0000DB2A0000}"/>
    <cellStyle name="TextItalic" xfId="372" xr:uid="{00000000-0005-0000-0000-0000DC2A0000}"/>
    <cellStyle name="TextItalic 2" xfId="10973" xr:uid="{00000000-0005-0000-0000-0000DD2A0000}"/>
    <cellStyle name="TextItalic 3" xfId="10974" xr:uid="{00000000-0005-0000-0000-0000DE2A0000}"/>
    <cellStyle name="TextNormal" xfId="373" xr:uid="{00000000-0005-0000-0000-0000DF2A0000}"/>
    <cellStyle name="TextNormal 2" xfId="10975" xr:uid="{00000000-0005-0000-0000-0000E02A0000}"/>
    <cellStyle name="Texto de advertencia" xfId="10976" xr:uid="{00000000-0005-0000-0000-0000E12A0000}"/>
    <cellStyle name="Texto de Aviso" xfId="10977" xr:uid="{00000000-0005-0000-0000-0000E22A0000}"/>
    <cellStyle name="Texto explicativo" xfId="10978" xr:uid="{00000000-0005-0000-0000-0000E32A0000}"/>
    <cellStyle name="Time" xfId="10979" xr:uid="{00000000-0005-0000-0000-0000E42A0000}"/>
    <cellStyle name="Tina" xfId="10980" xr:uid="{00000000-0005-0000-0000-0000E52A0000}"/>
    <cellStyle name="Title 2" xfId="374" xr:uid="{00000000-0005-0000-0000-0000E62A0000}"/>
    <cellStyle name="Title 2 2" xfId="375" xr:uid="{00000000-0005-0000-0000-0000E72A0000}"/>
    <cellStyle name="Title 2 3" xfId="10981" xr:uid="{00000000-0005-0000-0000-0000E82A0000}"/>
    <cellStyle name="Title1" xfId="10982" xr:uid="{00000000-0005-0000-0000-0000E92A0000}"/>
    <cellStyle name="Title2" xfId="10983" xr:uid="{00000000-0005-0000-0000-0000EA2A0000}"/>
    <cellStyle name="TitleNormal" xfId="376" xr:uid="{00000000-0005-0000-0000-0000EB2A0000}"/>
    <cellStyle name="TitleNormal 2" xfId="10984" xr:uid="{00000000-0005-0000-0000-0000EC2A0000}"/>
    <cellStyle name="Titles" xfId="10985" xr:uid="{00000000-0005-0000-0000-0000ED2A0000}"/>
    <cellStyle name="Título" xfId="10986" xr:uid="{00000000-0005-0000-0000-0000EE2A0000}"/>
    <cellStyle name="Título 1" xfId="10987" xr:uid="{00000000-0005-0000-0000-0000EF2A0000}"/>
    <cellStyle name="Título 2" xfId="10988" xr:uid="{00000000-0005-0000-0000-0000F02A0000}"/>
    <cellStyle name="Título 3" xfId="10989" xr:uid="{00000000-0005-0000-0000-0000F12A0000}"/>
    <cellStyle name="Título 4" xfId="10990" xr:uid="{00000000-0005-0000-0000-0000F22A0000}"/>
    <cellStyle name="tn" xfId="10991" xr:uid="{00000000-0005-0000-0000-0000F32A0000}"/>
    <cellStyle name="Top Edge" xfId="10992" xr:uid="{00000000-0005-0000-0000-0000F42A0000}"/>
    <cellStyle name="Total 2" xfId="377" xr:uid="{00000000-0005-0000-0000-0000F52A0000}"/>
    <cellStyle name="Total 2 2" xfId="378" xr:uid="{00000000-0005-0000-0000-0000F62A0000}"/>
    <cellStyle name="Total 2 2 2" xfId="10993" xr:uid="{00000000-0005-0000-0000-0000F72A0000}"/>
    <cellStyle name="Total 2 2 2 2" xfId="10994" xr:uid="{00000000-0005-0000-0000-0000F82A0000}"/>
    <cellStyle name="Total 2 2 2 3" xfId="10995" xr:uid="{00000000-0005-0000-0000-0000F92A0000}"/>
    <cellStyle name="Total 2 2 3" xfId="10996" xr:uid="{00000000-0005-0000-0000-0000FA2A0000}"/>
    <cellStyle name="Total 2 3" xfId="10997" xr:uid="{00000000-0005-0000-0000-0000FB2A0000}"/>
    <cellStyle name="Total 2 3 2" xfId="10998" xr:uid="{00000000-0005-0000-0000-0000FC2A0000}"/>
    <cellStyle name="Total 2 3 3" xfId="10999" xr:uid="{00000000-0005-0000-0000-0000FD2A0000}"/>
    <cellStyle name="Total 2 4" xfId="11000" xr:uid="{00000000-0005-0000-0000-0000FE2A0000}"/>
    <cellStyle name="Total 2 5" xfId="11001" xr:uid="{00000000-0005-0000-0000-0000FF2A0000}"/>
    <cellStyle name="Total 3" xfId="11002" xr:uid="{00000000-0005-0000-0000-0000002B0000}"/>
    <cellStyle name="Total 3 2" xfId="11003" xr:uid="{00000000-0005-0000-0000-0000012B0000}"/>
    <cellStyle name="Total 3 2 2" xfId="11004" xr:uid="{00000000-0005-0000-0000-0000022B0000}"/>
    <cellStyle name="Total 3 2 3" xfId="11005" xr:uid="{00000000-0005-0000-0000-0000032B0000}"/>
    <cellStyle name="Total 3 3" xfId="11006" xr:uid="{00000000-0005-0000-0000-0000042B0000}"/>
    <cellStyle name="Total 3 4" xfId="11007" xr:uid="{00000000-0005-0000-0000-0000052B0000}"/>
    <cellStyle name="TTS" xfId="11008" xr:uid="{00000000-0005-0000-0000-0000062B0000}"/>
    <cellStyle name="TTS 2" xfId="11009" xr:uid="{00000000-0005-0000-0000-0000072B0000}"/>
    <cellStyle name="TTS 3" xfId="11010" xr:uid="{00000000-0005-0000-0000-0000082B0000}"/>
    <cellStyle name="TTS_1 Cadbury_&amp;_Kraft_Model_v11.0" xfId="11011" xr:uid="{00000000-0005-0000-0000-0000092B0000}"/>
    <cellStyle name="ubordinated Debt" xfId="11012" xr:uid="{00000000-0005-0000-0000-00000A2B0000}"/>
    <cellStyle name="UnderlineNormal" xfId="11013" xr:uid="{00000000-0005-0000-0000-00000B2B0000}"/>
    <cellStyle name="vaca" xfId="11014" xr:uid="{00000000-0005-0000-0000-00000C2B0000}"/>
    <cellStyle name="ValueConstant" xfId="11015" xr:uid="{00000000-0005-0000-0000-00000D2B0000}"/>
    <cellStyle name="Warning Text 2" xfId="379" xr:uid="{00000000-0005-0000-0000-00000E2B0000}"/>
    <cellStyle name="Warning Text 3" xfId="11016" xr:uid="{00000000-0005-0000-0000-00000F2B0000}"/>
    <cellStyle name="wheat merger's and acquisitions" xfId="11017" xr:uid="{00000000-0005-0000-0000-0000102B0000}"/>
    <cellStyle name="WorkbookFormula" xfId="11018" xr:uid="{00000000-0005-0000-0000-0000112B0000}"/>
    <cellStyle name="Years" xfId="11019" xr:uid="{00000000-0005-0000-0000-0000122B0000}"/>
    <cellStyle name="yellow" xfId="11020" xr:uid="{00000000-0005-0000-0000-0000132B0000}"/>
    <cellStyle name="Yellow 2" xfId="11021" xr:uid="{00000000-0005-0000-0000-0000142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9" Type="http://schemas.openxmlformats.org/officeDocument/2006/relationships/externalLink" Target="externalLinks/externalLink21.xml"/><Relationship Id="rId21" Type="http://schemas.openxmlformats.org/officeDocument/2006/relationships/externalLink" Target="externalLinks/externalLink3.xml"/><Relationship Id="rId34" Type="http://schemas.openxmlformats.org/officeDocument/2006/relationships/externalLink" Target="externalLinks/externalLink16.xml"/><Relationship Id="rId42" Type="http://schemas.openxmlformats.org/officeDocument/2006/relationships/externalLink" Target="externalLinks/externalLink24.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externalLink" Target="externalLinks/externalLink2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calcChain" Target="calcChain.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Metrics!$BI$61</c:f>
              <c:strCache>
                <c:ptCount val="1"/>
                <c:pt idx="0">
                  <c:v>Fulfillment</c:v>
                </c:pt>
              </c:strCache>
            </c:strRef>
          </c:tx>
          <c:spPr>
            <a:ln w="28575" cap="rnd">
              <a:solidFill>
                <a:schemeClr val="accent1"/>
              </a:solidFill>
              <a:round/>
            </a:ln>
            <a:effectLst/>
          </c:spPr>
          <c:marker>
            <c:symbol val="none"/>
          </c:marker>
          <c:cat>
            <c:strRef>
              <c:f>Metrics!$BJ$60:$CK$60</c:f>
              <c:strCache>
                <c:ptCount val="12"/>
                <c:pt idx="0">
                  <c:v>2019</c:v>
                </c:pt>
                <c:pt idx="1">
                  <c:v>1Q21</c:v>
                </c:pt>
                <c:pt idx="2">
                  <c:v>2Q22</c:v>
                </c:pt>
                <c:pt idx="3">
                  <c:v>3Q23</c:v>
                </c:pt>
                <c:pt idx="4">
                  <c:v>4Q23</c:v>
                </c:pt>
                <c:pt idx="5">
                  <c:v>1Q24</c:v>
                </c:pt>
                <c:pt idx="6">
                  <c:v>2Q24</c:v>
                </c:pt>
                <c:pt idx="7">
                  <c:v>3Q24</c:v>
                </c:pt>
                <c:pt idx="8">
                  <c:v>4Q24</c:v>
                </c:pt>
                <c:pt idx="9">
                  <c:v>1Q25</c:v>
                </c:pt>
                <c:pt idx="10">
                  <c:v>2Q25</c:v>
                </c:pt>
                <c:pt idx="11">
                  <c:v>3Q25</c:v>
                </c:pt>
              </c:strCache>
            </c:strRef>
          </c:cat>
          <c:val>
            <c:numRef>
              <c:f>Metrics!$BJ$61:$CK$61</c:f>
              <c:numCache>
                <c:formatCode>0%</c:formatCode>
                <c:ptCount val="12"/>
                <c:pt idx="0">
                  <c:v>0.14945776091161167</c:v>
                </c:pt>
                <c:pt idx="1">
                  <c:v>0.20812818300255476</c:v>
                </c:pt>
                <c:pt idx="2">
                  <c:v>0.16827511033125964</c:v>
                </c:pt>
                <c:pt idx="3">
                  <c:v>0.19308890610207419</c:v>
                </c:pt>
                <c:pt idx="4">
                  <c:v>0.20345310312645815</c:v>
                </c:pt>
                <c:pt idx="5">
                  <c:v>0.19853837982452682</c:v>
                </c:pt>
                <c:pt idx="6">
                  <c:v>0.18968720379146919</c:v>
                </c:pt>
                <c:pt idx="7">
                  <c:v>0.21992786293958511</c:v>
                </c:pt>
                <c:pt idx="8">
                  <c:v>0.18894246168889195</c:v>
                </c:pt>
                <c:pt idx="9">
                  <c:v>0.25258303037266217</c:v>
                </c:pt>
                <c:pt idx="10">
                  <c:v>0.26673943527312138</c:v>
                </c:pt>
                <c:pt idx="11">
                  <c:v>0.19623771158252645</c:v>
                </c:pt>
              </c:numCache>
            </c:numRef>
          </c:val>
          <c:smooth val="0"/>
          <c:extLst>
            <c:ext xmlns:c16="http://schemas.microsoft.com/office/drawing/2014/chart" uri="{C3380CC4-5D6E-409C-BE32-E72D297353CC}">
              <c16:uniqueId val="{00000000-D24E-4233-BBC0-6A2C1538A7B3}"/>
            </c:ext>
          </c:extLst>
        </c:ser>
        <c:ser>
          <c:idx val="1"/>
          <c:order val="1"/>
          <c:tx>
            <c:strRef>
              <c:f>Metrics!$BI$62</c:f>
              <c:strCache>
                <c:ptCount val="1"/>
                <c:pt idx="0">
                  <c:v>Analytics</c:v>
                </c:pt>
              </c:strCache>
            </c:strRef>
          </c:tx>
          <c:spPr>
            <a:ln w="28575" cap="rnd">
              <a:solidFill>
                <a:schemeClr val="accent2"/>
              </a:solidFill>
              <a:round/>
            </a:ln>
            <a:effectLst/>
          </c:spPr>
          <c:marker>
            <c:symbol val="none"/>
          </c:marker>
          <c:cat>
            <c:strRef>
              <c:f>Metrics!$BJ$60:$CK$60</c:f>
              <c:strCache>
                <c:ptCount val="12"/>
                <c:pt idx="0">
                  <c:v>2019</c:v>
                </c:pt>
                <c:pt idx="1">
                  <c:v>1Q21</c:v>
                </c:pt>
                <c:pt idx="2">
                  <c:v>2Q22</c:v>
                </c:pt>
                <c:pt idx="3">
                  <c:v>3Q23</c:v>
                </c:pt>
                <c:pt idx="4">
                  <c:v>4Q23</c:v>
                </c:pt>
                <c:pt idx="5">
                  <c:v>1Q24</c:v>
                </c:pt>
                <c:pt idx="6">
                  <c:v>2Q24</c:v>
                </c:pt>
                <c:pt idx="7">
                  <c:v>3Q24</c:v>
                </c:pt>
                <c:pt idx="8">
                  <c:v>4Q24</c:v>
                </c:pt>
                <c:pt idx="9">
                  <c:v>1Q25</c:v>
                </c:pt>
                <c:pt idx="10">
                  <c:v>2Q25</c:v>
                </c:pt>
                <c:pt idx="11">
                  <c:v>3Q25</c:v>
                </c:pt>
              </c:strCache>
            </c:strRef>
          </c:cat>
          <c:val>
            <c:numRef>
              <c:f>Metrics!$BJ$62:$CK$62</c:f>
              <c:numCache>
                <c:formatCode>0%</c:formatCode>
                <c:ptCount val="12"/>
                <c:pt idx="0">
                  <c:v>7.5217000029030201E-2</c:v>
                </c:pt>
                <c:pt idx="1">
                  <c:v>4.1906327033689461E-2</c:v>
                </c:pt>
                <c:pt idx="2">
                  <c:v>0.1220498988536749</c:v>
                </c:pt>
                <c:pt idx="3">
                  <c:v>0.10048731305662906</c:v>
                </c:pt>
                <c:pt idx="4">
                  <c:v>0.12267596281540505</c:v>
                </c:pt>
                <c:pt idx="5">
                  <c:v>0.13290218270008092</c:v>
                </c:pt>
                <c:pt idx="6">
                  <c:v>6.3026201904162305E-2</c:v>
                </c:pt>
                <c:pt idx="7">
                  <c:v>5.6497175141242861E-2</c:v>
                </c:pt>
                <c:pt idx="8">
                  <c:v>6.128936862339196E-2</c:v>
                </c:pt>
                <c:pt idx="9">
                  <c:v>-2.2263450834879461E-2</c:v>
                </c:pt>
                <c:pt idx="10">
                  <c:v>3.2124352331606154E-2</c:v>
                </c:pt>
                <c:pt idx="11">
                  <c:v>2.1968492556727837E-2</c:v>
                </c:pt>
              </c:numCache>
            </c:numRef>
          </c:val>
          <c:smooth val="0"/>
          <c:extLst>
            <c:ext xmlns:c16="http://schemas.microsoft.com/office/drawing/2014/chart" uri="{C3380CC4-5D6E-409C-BE32-E72D297353CC}">
              <c16:uniqueId val="{00000001-D24E-4233-BBC0-6A2C1538A7B3}"/>
            </c:ext>
          </c:extLst>
        </c:ser>
        <c:ser>
          <c:idx val="2"/>
          <c:order val="2"/>
          <c:tx>
            <c:strRef>
              <c:f>Metrics!$BI$63</c:f>
              <c:strCache>
                <c:ptCount val="1"/>
                <c:pt idx="0">
                  <c:v>Total</c:v>
                </c:pt>
              </c:strCache>
            </c:strRef>
          </c:tx>
          <c:spPr>
            <a:ln w="28575" cap="rnd">
              <a:solidFill>
                <a:schemeClr val="accent3"/>
              </a:solidFill>
              <a:round/>
            </a:ln>
            <a:effectLst/>
          </c:spPr>
          <c:marker>
            <c:symbol val="none"/>
          </c:marker>
          <c:cat>
            <c:strRef>
              <c:f>Metrics!$BJ$60:$CK$60</c:f>
              <c:strCache>
                <c:ptCount val="12"/>
                <c:pt idx="0">
                  <c:v>2019</c:v>
                </c:pt>
                <c:pt idx="1">
                  <c:v>1Q21</c:v>
                </c:pt>
                <c:pt idx="2">
                  <c:v>2Q22</c:v>
                </c:pt>
                <c:pt idx="3">
                  <c:v>3Q23</c:v>
                </c:pt>
                <c:pt idx="4">
                  <c:v>4Q23</c:v>
                </c:pt>
                <c:pt idx="5">
                  <c:v>1Q24</c:v>
                </c:pt>
                <c:pt idx="6">
                  <c:v>2Q24</c:v>
                </c:pt>
                <c:pt idx="7">
                  <c:v>3Q24</c:v>
                </c:pt>
                <c:pt idx="8">
                  <c:v>4Q24</c:v>
                </c:pt>
                <c:pt idx="9">
                  <c:v>1Q25</c:v>
                </c:pt>
                <c:pt idx="10">
                  <c:v>2Q25</c:v>
                </c:pt>
                <c:pt idx="11">
                  <c:v>3Q25</c:v>
                </c:pt>
              </c:strCache>
            </c:strRef>
          </c:cat>
          <c:val>
            <c:numRef>
              <c:f>Metrics!$BJ$63:$CK$63</c:f>
              <c:numCache>
                <c:formatCode>0%</c:formatCode>
                <c:ptCount val="12"/>
                <c:pt idx="0">
                  <c:v>0.13592653931863308</c:v>
                </c:pt>
                <c:pt idx="1">
                  <c:v>0.18222964676318565</c:v>
                </c:pt>
                <c:pt idx="2">
                  <c:v>0.16359558316080047</c:v>
                </c:pt>
                <c:pt idx="3">
                  <c:v>0.19537694856081012</c:v>
                </c:pt>
                <c:pt idx="4">
                  <c:v>0.19385745930171239</c:v>
                </c:pt>
                <c:pt idx="5">
                  <c:v>0.19081678758066856</c:v>
                </c:pt>
                <c:pt idx="6">
                  <c:v>0.18480452260066005</c:v>
                </c:pt>
                <c:pt idx="7">
                  <c:v>0.21264652079358726</c:v>
                </c:pt>
                <c:pt idx="8">
                  <c:v>0.1925370716694399</c:v>
                </c:pt>
                <c:pt idx="9">
                  <c:v>0.23370607943644228</c:v>
                </c:pt>
                <c:pt idx="10">
                  <c:v>0.24405998013626795</c:v>
                </c:pt>
                <c:pt idx="11">
                  <c:v>0.17827083441238933</c:v>
                </c:pt>
              </c:numCache>
            </c:numRef>
          </c:val>
          <c:smooth val="0"/>
          <c:extLst>
            <c:ext xmlns:c16="http://schemas.microsoft.com/office/drawing/2014/chart" uri="{C3380CC4-5D6E-409C-BE32-E72D297353CC}">
              <c16:uniqueId val="{00000002-D24E-4233-BBC0-6A2C1538A7B3}"/>
            </c:ext>
          </c:extLst>
        </c:ser>
        <c:dLbls>
          <c:showLegendKey val="0"/>
          <c:showVal val="0"/>
          <c:showCatName val="0"/>
          <c:showSerName val="0"/>
          <c:showPercent val="0"/>
          <c:showBubbleSize val="0"/>
        </c:dLbls>
        <c:smooth val="0"/>
        <c:axId val="1052954400"/>
        <c:axId val="1181664656"/>
      </c:lineChart>
      <c:catAx>
        <c:axId val="105295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664656"/>
        <c:crosses val="autoZero"/>
        <c:auto val="1"/>
        <c:lblAlgn val="ctr"/>
        <c:lblOffset val="100"/>
        <c:noMultiLvlLbl val="0"/>
      </c:catAx>
      <c:valAx>
        <c:axId val="1181664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54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'Org customer adds'!$B$6</c:f>
              <c:strCache>
                <c:ptCount val="1"/>
                <c:pt idx="0">
                  <c:v>Revenue Growth</c:v>
                </c:pt>
              </c:strCache>
            </c:strRef>
          </c:tx>
          <c:spPr>
            <a:ln w="28575" cap="rnd">
              <a:solidFill>
                <a:srgbClr val="002060"/>
              </a:solidFill>
              <a:round/>
            </a:ln>
            <a:effectLst/>
          </c:spPr>
          <c:marker>
            <c:symbol val="none"/>
          </c:marker>
          <c:dPt>
            <c:idx val="17"/>
            <c:marker>
              <c:symbol val="none"/>
            </c:marker>
            <c:bubble3D val="0"/>
            <c:spPr>
              <a:ln w="28575" cap="rnd">
                <a:solidFill>
                  <a:srgbClr val="002060"/>
                </a:solidFill>
                <a:prstDash val="sysDot"/>
                <a:round/>
              </a:ln>
              <a:effectLst/>
            </c:spPr>
            <c:extLst>
              <c:ext xmlns:c16="http://schemas.microsoft.com/office/drawing/2014/chart" uri="{C3380CC4-5D6E-409C-BE32-E72D297353CC}">
                <c16:uniqueId val="{00000001-F7B1-49D9-827B-1F6E5A607931}"/>
              </c:ext>
            </c:extLst>
          </c:dPt>
          <c:cat>
            <c:numRef>
              <c:f>'Org customer adds'!$C$5:$T$5</c:f>
              <c:numCache>
                <c:formatCode>General</c:formatCode>
                <c:ptCount val="18"/>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numCache>
            </c:numRef>
          </c:cat>
          <c:val>
            <c:numRef>
              <c:f>'Org customer adds'!$C$6:$T$6</c:f>
              <c:numCache>
                <c:formatCode>0%</c:formatCode>
                <c:ptCount val="18"/>
                <c:pt idx="0">
                  <c:v>0.43624792073479424</c:v>
                </c:pt>
                <c:pt idx="1">
                  <c:v>0.26884535978649482</c:v>
                </c:pt>
                <c:pt idx="2">
                  <c:v>0.21823160568299071</c:v>
                </c:pt>
                <c:pt idx="3">
                  <c:v>0.2296315600873049</c:v>
                </c:pt>
                <c:pt idx="4">
                  <c:v>0.18150267578021517</c:v>
                </c:pt>
                <c:pt idx="5">
                  <c:v>0.29984079646613004</c:v>
                </c:pt>
                <c:pt idx="6">
                  <c:v>0.3301247218340837</c:v>
                </c:pt>
                <c:pt idx="7">
                  <c:v>0.35386351256711546</c:v>
                </c:pt>
                <c:pt idx="8">
                  <c:v>0.22565163663534205</c:v>
                </c:pt>
                <c:pt idx="9">
                  <c:v>0.23893487147021819</c:v>
                </c:pt>
                <c:pt idx="10">
                  <c:v>0.21938833444782291</c:v>
                </c:pt>
                <c:pt idx="11">
                  <c:v>0.14108487027600303</c:v>
                </c:pt>
                <c:pt idx="12">
                  <c:v>0.12546811385254308</c:v>
                </c:pt>
                <c:pt idx="13">
                  <c:v>0.12441185949081524</c:v>
                </c:pt>
                <c:pt idx="14">
                  <c:v>0.12003983892463554</c:v>
                </c:pt>
                <c:pt idx="15">
                  <c:v>0.23237053385791517</c:v>
                </c:pt>
                <c:pt idx="16">
                  <c:v>0.17026495291687005</c:v>
                </c:pt>
                <c:pt idx="17">
                  <c:v>0.16362741163293593</c:v>
                </c:pt>
              </c:numCache>
            </c:numRef>
          </c:val>
          <c:smooth val="0"/>
          <c:extLst>
            <c:ext xmlns:c16="http://schemas.microsoft.com/office/drawing/2014/chart" uri="{C3380CC4-5D6E-409C-BE32-E72D297353CC}">
              <c16:uniqueId val="{00000002-F7B1-49D9-827B-1F6E5A607931}"/>
            </c:ext>
          </c:extLst>
        </c:ser>
        <c:ser>
          <c:idx val="1"/>
          <c:order val="1"/>
          <c:tx>
            <c:strRef>
              <c:f>'Org customer adds'!$B$7</c:f>
              <c:strCache>
                <c:ptCount val="1"/>
                <c:pt idx="0">
                  <c:v>EBITDA Margin</c:v>
                </c:pt>
              </c:strCache>
            </c:strRef>
          </c:tx>
          <c:spPr>
            <a:ln w="28575" cap="rnd">
              <a:solidFill>
                <a:srgbClr val="00B050"/>
              </a:solidFill>
              <a:round/>
            </a:ln>
            <a:effectLst/>
          </c:spPr>
          <c:marker>
            <c:symbol val="none"/>
          </c:marker>
          <c:dPt>
            <c:idx val="17"/>
            <c:marker>
              <c:symbol val="none"/>
            </c:marker>
            <c:bubble3D val="0"/>
            <c:spPr>
              <a:ln w="28575" cap="rnd">
                <a:solidFill>
                  <a:srgbClr val="00B050"/>
                </a:solidFill>
                <a:prstDash val="sysDot"/>
                <a:round/>
              </a:ln>
              <a:effectLst/>
            </c:spPr>
            <c:extLst>
              <c:ext xmlns:c16="http://schemas.microsoft.com/office/drawing/2014/chart" uri="{C3380CC4-5D6E-409C-BE32-E72D297353CC}">
                <c16:uniqueId val="{00000004-F7B1-49D9-827B-1F6E5A607931}"/>
              </c:ext>
            </c:extLst>
          </c:dPt>
          <c:cat>
            <c:numRef>
              <c:f>'Org customer adds'!$C$5:$T$5</c:f>
              <c:numCache>
                <c:formatCode>General</c:formatCode>
                <c:ptCount val="18"/>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numCache>
            </c:numRef>
          </c:cat>
          <c:val>
            <c:numRef>
              <c:f>'Org customer adds'!$C$7:$T$7</c:f>
              <c:numCache>
                <c:formatCode>0.0%</c:formatCode>
                <c:ptCount val="18"/>
                <c:pt idx="0">
                  <c:v>-3.7212347046679091E-2</c:v>
                </c:pt>
                <c:pt idx="1">
                  <c:v>4.0876260020636561E-3</c:v>
                </c:pt>
                <c:pt idx="2">
                  <c:v>2.4855849105775808E-2</c:v>
                </c:pt>
                <c:pt idx="3">
                  <c:v>9.4420600858369105E-2</c:v>
                </c:pt>
                <c:pt idx="4">
                  <c:v>0.11603919546157813</c:v>
                </c:pt>
                <c:pt idx="5">
                  <c:v>9.3325743069571671E-2</c:v>
                </c:pt>
                <c:pt idx="6">
                  <c:v>0.11703369387596296</c:v>
                </c:pt>
                <c:pt idx="7">
                  <c:v>0.13194624057629489</c:v>
                </c:pt>
                <c:pt idx="8">
                  <c:v>0.1398313364127334</c:v>
                </c:pt>
                <c:pt idx="9">
                  <c:v>0.14269672844724257</c:v>
                </c:pt>
                <c:pt idx="10">
                  <c:v>0.13710649525336921</c:v>
                </c:pt>
                <c:pt idx="11">
                  <c:v>0.14786957191951616</c:v>
                </c:pt>
                <c:pt idx="12">
                  <c:v>0.2066588785046729</c:v>
                </c:pt>
                <c:pt idx="13">
                  <c:v>0.24993192989495708</c:v>
                </c:pt>
                <c:pt idx="14">
                  <c:v>0.27826504174263506</c:v>
                </c:pt>
                <c:pt idx="15">
                  <c:v>0.27776191613285023</c:v>
                </c:pt>
                <c:pt idx="16">
                  <c:v>0.29335846964236206</c:v>
                </c:pt>
                <c:pt idx="17">
                  <c:v>0.30047555491073652</c:v>
                </c:pt>
              </c:numCache>
            </c:numRef>
          </c:val>
          <c:smooth val="0"/>
          <c:extLst>
            <c:ext xmlns:c16="http://schemas.microsoft.com/office/drawing/2014/chart" uri="{C3380CC4-5D6E-409C-BE32-E72D297353CC}">
              <c16:uniqueId val="{00000005-F7B1-49D9-827B-1F6E5A607931}"/>
            </c:ext>
          </c:extLst>
        </c:ser>
        <c:dLbls>
          <c:showLegendKey val="0"/>
          <c:showVal val="0"/>
          <c:showCatName val="0"/>
          <c:showSerName val="0"/>
          <c:showPercent val="0"/>
          <c:showBubbleSize val="0"/>
        </c:dLbls>
        <c:smooth val="0"/>
        <c:axId val="240022047"/>
        <c:axId val="230238351"/>
      </c:lineChart>
      <c:catAx>
        <c:axId val="2400220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0238351"/>
        <c:crosses val="autoZero"/>
        <c:auto val="1"/>
        <c:lblAlgn val="ctr"/>
        <c:lblOffset val="100"/>
        <c:noMultiLvlLbl val="0"/>
      </c:catAx>
      <c:valAx>
        <c:axId val="23023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002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'Org customer adds'!$B$12</c:f>
              <c:strCache>
                <c:ptCount val="1"/>
                <c:pt idx="0">
                  <c:v>Organic 1P Customer Adds</c:v>
                </c:pt>
              </c:strCache>
            </c:strRef>
          </c:tx>
          <c:spPr>
            <a:ln w="28575" cap="rnd">
              <a:solidFill>
                <a:srgbClr val="002060"/>
              </a:solidFill>
              <a:round/>
            </a:ln>
            <a:effectLst/>
          </c:spPr>
          <c:marker>
            <c:symbol val="none"/>
          </c:marker>
          <c:cat>
            <c:strRef>
              <c:f>'Org customer adds'!$C$11:$BN$11</c:f>
              <c:strCache>
                <c:ptCount val="64"/>
                <c:pt idx="0">
                  <c:v>1Q10</c:v>
                </c:pt>
                <c:pt idx="1">
                  <c:v>2Q10</c:v>
                </c:pt>
                <c:pt idx="2">
                  <c:v>3Q10</c:v>
                </c:pt>
                <c:pt idx="3">
                  <c:v>4Q10</c:v>
                </c:pt>
                <c:pt idx="4">
                  <c:v>1Q11</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c:v>
                </c:pt>
                <c:pt idx="29">
                  <c:v>2Q17</c:v>
                </c:pt>
                <c:pt idx="30">
                  <c:v>3Q17</c:v>
                </c:pt>
                <c:pt idx="31">
                  <c:v>4Q17</c:v>
                </c:pt>
                <c:pt idx="32">
                  <c:v>1Q18</c:v>
                </c:pt>
                <c:pt idx="33">
                  <c:v>2Q18</c:v>
                </c:pt>
                <c:pt idx="34">
                  <c:v>3Q18</c:v>
                </c:pt>
                <c:pt idx="35">
                  <c:v>4Q18</c:v>
                </c:pt>
                <c:pt idx="36">
                  <c:v>1Q19</c:v>
                </c:pt>
                <c:pt idx="37">
                  <c:v>2Q19</c:v>
                </c:pt>
                <c:pt idx="38">
                  <c:v>3Q19</c:v>
                </c:pt>
                <c:pt idx="39">
                  <c:v>4Q19</c:v>
                </c:pt>
                <c:pt idx="40">
                  <c:v>1Q20</c:v>
                </c:pt>
                <c:pt idx="41">
                  <c:v>2Q20</c:v>
                </c:pt>
                <c:pt idx="42">
                  <c:v>3Q20</c:v>
                </c:pt>
                <c:pt idx="43">
                  <c:v>4Q20</c:v>
                </c:pt>
                <c:pt idx="44">
                  <c:v>1Q21</c:v>
                </c:pt>
                <c:pt idx="45">
                  <c:v>2Q21</c:v>
                </c:pt>
                <c:pt idx="46">
                  <c:v>3Q21</c:v>
                </c:pt>
                <c:pt idx="47">
                  <c:v>4Q21</c:v>
                </c:pt>
                <c:pt idx="48">
                  <c:v>1Q22</c:v>
                </c:pt>
                <c:pt idx="49">
                  <c:v>2Q22</c:v>
                </c:pt>
                <c:pt idx="50">
                  <c:v>3Q22</c:v>
                </c:pt>
                <c:pt idx="51">
                  <c:v>4Q22</c:v>
                </c:pt>
                <c:pt idx="52">
                  <c:v>1Q23</c:v>
                </c:pt>
                <c:pt idx="53">
                  <c:v>2Q23</c:v>
                </c:pt>
                <c:pt idx="54">
                  <c:v>3Q23</c:v>
                </c:pt>
                <c:pt idx="55">
                  <c:v>4Q23</c:v>
                </c:pt>
                <c:pt idx="56">
                  <c:v>1Q24</c:v>
                </c:pt>
                <c:pt idx="57">
                  <c:v>2Q24</c:v>
                </c:pt>
                <c:pt idx="58">
                  <c:v>3Q24</c:v>
                </c:pt>
                <c:pt idx="59">
                  <c:v>4Q24</c:v>
                </c:pt>
                <c:pt idx="60">
                  <c:v>1Q25</c:v>
                </c:pt>
                <c:pt idx="61">
                  <c:v>2Q25</c:v>
                </c:pt>
                <c:pt idx="62">
                  <c:v>3Q25</c:v>
                </c:pt>
                <c:pt idx="63">
                  <c:v>4Q25</c:v>
                </c:pt>
              </c:strCache>
            </c:strRef>
          </c:cat>
          <c:val>
            <c:numRef>
              <c:f>'Org customer adds'!$C$12:$BN$12</c:f>
              <c:numCache>
                <c:formatCode>General</c:formatCode>
                <c:ptCount val="64"/>
                <c:pt idx="0">
                  <c:v>389</c:v>
                </c:pt>
                <c:pt idx="1">
                  <c:v>412</c:v>
                </c:pt>
                <c:pt idx="2">
                  <c:v>313</c:v>
                </c:pt>
                <c:pt idx="3">
                  <c:v>283</c:v>
                </c:pt>
                <c:pt idx="4">
                  <c:v>640</c:v>
                </c:pt>
                <c:pt idx="5">
                  <c:v>475</c:v>
                </c:pt>
                <c:pt idx="6">
                  <c:v>572</c:v>
                </c:pt>
                <c:pt idx="7">
                  <c:v>233</c:v>
                </c:pt>
                <c:pt idx="8">
                  <c:v>314</c:v>
                </c:pt>
                <c:pt idx="9" formatCode="_(* #,##0_);_(* \(#,##0\);_(* &quot;-&quot;??_);_(@_)">
                  <c:v>592</c:v>
                </c:pt>
                <c:pt idx="10" formatCode="_(* #,##0_);_(* \(#,##0\);_(* &quot;-&quot;??_);_(@_)">
                  <c:v>688</c:v>
                </c:pt>
                <c:pt idx="11" formatCode="_(* #,##0_);_(* \(#,##0\);_(* &quot;-&quot;??_);_(@_)">
                  <c:v>254</c:v>
                </c:pt>
                <c:pt idx="12">
                  <c:v>421</c:v>
                </c:pt>
                <c:pt idx="13" formatCode="_(* #,##0_);_(* \(#,##0\);_(* &quot;-&quot;??_);_(@_)">
                  <c:v>473</c:v>
                </c:pt>
                <c:pt idx="14" formatCode="_(* #,##0_);_(* \(#,##0\);_(* &quot;-&quot;??_);_(@_)">
                  <c:v>516</c:v>
                </c:pt>
                <c:pt idx="15" formatCode="_(* #,##0_);_(* \(#,##0\);_(* &quot;-&quot;??_);_(@_)">
                  <c:v>303</c:v>
                </c:pt>
                <c:pt idx="16">
                  <c:v>326</c:v>
                </c:pt>
                <c:pt idx="17" formatCode="_(* #,##0_);_(* \(#,##0\);_(* &quot;-&quot;??_);_(@_)">
                  <c:v>729</c:v>
                </c:pt>
                <c:pt idx="18" formatCode="_(* #,##0_);_(* \(#,##0\);_(* &quot;-&quot;??_);_(@_)">
                  <c:v>473</c:v>
                </c:pt>
                <c:pt idx="19" formatCode="_(* #,##0_);_(* \(#,##0\);_(* &quot;-&quot;??_);_(@_)">
                  <c:v>265</c:v>
                </c:pt>
                <c:pt idx="20">
                  <c:v>453</c:v>
                </c:pt>
                <c:pt idx="21" formatCode="_(* #,##0_);_(* \(#,##0\);_(* &quot;-&quot;??_);_(@_)">
                  <c:v>310</c:v>
                </c:pt>
                <c:pt idx="22" formatCode="_(* #,##0_);_(* \(#,##0\);_(* &quot;-&quot;??_);_(@_)">
                  <c:v>346</c:v>
                </c:pt>
                <c:pt idx="23" formatCode="_(* #,##0_);_(* \(#,##0\);_(* &quot;-&quot;??_);_(@_)">
                  <c:v>318</c:v>
                </c:pt>
                <c:pt idx="24" formatCode="_(* #,##0_);_(* \(#,##0\);_(* &quot;-&quot;??_);_(@_)">
                  <c:v>383</c:v>
                </c:pt>
                <c:pt idx="25" formatCode="_(* #,##0_);_(* \(#,##0\);_(* &quot;-&quot;??_);_(@_)">
                  <c:v>369</c:v>
                </c:pt>
                <c:pt idx="26" formatCode="_(* #,##0_);_(* \(#,##0\);_(* &quot;-&quot;??_);_(@_)">
                  <c:v>397</c:v>
                </c:pt>
                <c:pt idx="27" formatCode="_(* #,##0_);_(* \(#,##0\);_(* &quot;-&quot;??_);_(@_)">
                  <c:v>222</c:v>
                </c:pt>
                <c:pt idx="28" formatCode="_(* #,##0_);_(* \(#,##0\);_(* &quot;-&quot;??_);_(@_)">
                  <c:v>196</c:v>
                </c:pt>
                <c:pt idx="29" formatCode="_(* #,##0_);_(* \(#,##0\);_(* &quot;-&quot;??_);_(@_)">
                  <c:v>152</c:v>
                </c:pt>
                <c:pt idx="30" formatCode="_(* #,##0_);_(* \(#,##0\);_(* &quot;-&quot;??_);_(@_)">
                  <c:v>206</c:v>
                </c:pt>
                <c:pt idx="31" formatCode="_(* #,##0_);_(* \(#,##0\);_(* &quot;-&quot;??_);_(@_)">
                  <c:v>392</c:v>
                </c:pt>
                <c:pt idx="32" formatCode="_(* #,##0_);_(* \(#,##0\);_(* &quot;-&quot;??_);_(@_)">
                  <c:v>137</c:v>
                </c:pt>
                <c:pt idx="33" formatCode="_(* #,##0_);_(* \(#,##0\);_(* &quot;-&quot;??_);_(@_)">
                  <c:v>324</c:v>
                </c:pt>
                <c:pt idx="34" formatCode="_(* #,##0_);_(* \(#,##0\);_(* &quot;-&quot;??_);_(@_)">
                  <c:v>657</c:v>
                </c:pt>
                <c:pt idx="35" formatCode="_(* #,##0_);_(* \(#,##0\);_(* &quot;-&quot;??_);_(@_)">
                  <c:v>265</c:v>
                </c:pt>
                <c:pt idx="36" formatCode="_(* #,##0_);_(* \(#,##0\);_(* &quot;-&quot;??_);_(@_)">
                  <c:v>158</c:v>
                </c:pt>
                <c:pt idx="37">
                  <c:v>423</c:v>
                </c:pt>
                <c:pt idx="38">
                  <c:v>662</c:v>
                </c:pt>
                <c:pt idx="39">
                  <c:v>220</c:v>
                </c:pt>
                <c:pt idx="40" formatCode="_(* #,##0_);_(* \(#,##0\);_(* &quot;-&quot;??_);_(@_)">
                  <c:v>229</c:v>
                </c:pt>
                <c:pt idx="41">
                  <c:v>468</c:v>
                </c:pt>
                <c:pt idx="42">
                  <c:v>557</c:v>
                </c:pt>
                <c:pt idx="43">
                  <c:v>626</c:v>
                </c:pt>
                <c:pt idx="44" formatCode="_(* #,##0_);_(* \(#,##0\);_(* &quot;-&quot;??_);_(@_)">
                  <c:v>699</c:v>
                </c:pt>
                <c:pt idx="45">
                  <c:v>700</c:v>
                </c:pt>
                <c:pt idx="46" formatCode="_(* #,##0_);_(* \(#,##0\);_(* &quot;-&quot;??_);_(@_)">
                  <c:v>850</c:v>
                </c:pt>
                <c:pt idx="47">
                  <c:v>400</c:v>
                </c:pt>
                <c:pt idx="48" formatCode="_(* #,##0_);_(* \(#,##0\);_(* &quot;-&quot;??_);_(@_)">
                  <c:v>400</c:v>
                </c:pt>
                <c:pt idx="49" formatCode="_(* #,##0_);_(* \(#,##0\);_(* &quot;-&quot;??_);_(@_)">
                  <c:v>750</c:v>
                </c:pt>
                <c:pt idx="50">
                  <c:v>400</c:v>
                </c:pt>
                <c:pt idx="51">
                  <c:v>250</c:v>
                </c:pt>
                <c:pt idx="52" formatCode="_(* #,##0_);_(* \(#,##0\);_(* &quot;-&quot;??_);_(@_)">
                  <c:v>450</c:v>
                </c:pt>
                <c:pt idx="53" formatCode="_(* #,##0_);_(* \(#,##0\);_(* &quot;-&quot;??_);_(@_)">
                  <c:v>250</c:v>
                </c:pt>
                <c:pt idx="54" formatCode="_(* #,##0_);_(* \(#,##0\);_(* &quot;-&quot;??_);_(@_)">
                  <c:v>500</c:v>
                </c:pt>
                <c:pt idx="55" formatCode="_(* #,##0_);_(* \(#,##0\);_(* &quot;-&quot;??_);_(@_)">
                  <c:v>300</c:v>
                </c:pt>
                <c:pt idx="56" formatCode="_(* #,##0_);_(* \(#,##0\);_(* &quot;-&quot;??_);_(@_)">
                  <c:v>0</c:v>
                </c:pt>
                <c:pt idx="57" formatCode="_(* #,##0_);_(* \(#,##0\);_(* &quot;-&quot;??_);_(@_)">
                  <c:v>150</c:v>
                </c:pt>
                <c:pt idx="58" formatCode="_(* #,##0_);_(* \(#,##0\);_(* &quot;-&quot;??_);_(@_)">
                  <c:v>50</c:v>
                </c:pt>
                <c:pt idx="59" formatCode="_(* #,##0_);_(* \(#,##0\);_(* &quot;-&quot;??_);_(@_)">
                  <c:v>150</c:v>
                </c:pt>
                <c:pt idx="60" formatCode="#,##0_);\(#,##0\)">
                  <c:v>300</c:v>
                </c:pt>
                <c:pt idx="61" formatCode="#,##0_);\(#,##0\)">
                  <c:v>350</c:v>
                </c:pt>
                <c:pt idx="62" formatCode="#,##0_);\(#,##0\)">
                  <c:v>450</c:v>
                </c:pt>
                <c:pt idx="63" formatCode="#,##0_);\(#,##0\)">
                  <c:v>-350</c:v>
                </c:pt>
              </c:numCache>
            </c:numRef>
          </c:val>
          <c:smooth val="0"/>
          <c:extLst>
            <c:ext xmlns:c16="http://schemas.microsoft.com/office/drawing/2014/chart" uri="{C3380CC4-5D6E-409C-BE32-E72D297353CC}">
              <c16:uniqueId val="{00000000-32D7-4AD5-BECF-31E98CD62074}"/>
            </c:ext>
          </c:extLst>
        </c:ser>
        <c:dLbls>
          <c:showLegendKey val="0"/>
          <c:showVal val="0"/>
          <c:showCatName val="0"/>
          <c:showSerName val="0"/>
          <c:showPercent val="0"/>
          <c:showBubbleSize val="0"/>
        </c:dLbls>
        <c:marker val="1"/>
        <c:smooth val="0"/>
        <c:axId val="2113267791"/>
        <c:axId val="369416399"/>
      </c:lineChart>
      <c:lineChart>
        <c:grouping val="standard"/>
        <c:varyColors val="0"/>
        <c:ser>
          <c:idx val="1"/>
          <c:order val="1"/>
          <c:tx>
            <c:strRef>
              <c:f>'Org customer adds'!$B$13</c:f>
              <c:strCache>
                <c:ptCount val="1"/>
                <c:pt idx="0">
                  <c:v>ARPU Y/Y Growth</c:v>
                </c:pt>
              </c:strCache>
            </c:strRef>
          </c:tx>
          <c:spPr>
            <a:ln w="28575" cap="rnd">
              <a:solidFill>
                <a:srgbClr val="00B050"/>
              </a:solidFill>
              <a:round/>
            </a:ln>
            <a:effectLst/>
          </c:spPr>
          <c:marker>
            <c:symbol val="none"/>
          </c:marker>
          <c:cat>
            <c:strRef>
              <c:f>'Org customer adds'!$C$11:$BN$11</c:f>
              <c:strCache>
                <c:ptCount val="64"/>
                <c:pt idx="0">
                  <c:v>1Q10</c:v>
                </c:pt>
                <c:pt idx="1">
                  <c:v>2Q10</c:v>
                </c:pt>
                <c:pt idx="2">
                  <c:v>3Q10</c:v>
                </c:pt>
                <c:pt idx="3">
                  <c:v>4Q10</c:v>
                </c:pt>
                <c:pt idx="4">
                  <c:v>1Q11</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c:v>
                </c:pt>
                <c:pt idx="29">
                  <c:v>2Q17</c:v>
                </c:pt>
                <c:pt idx="30">
                  <c:v>3Q17</c:v>
                </c:pt>
                <c:pt idx="31">
                  <c:v>4Q17</c:v>
                </c:pt>
                <c:pt idx="32">
                  <c:v>1Q18</c:v>
                </c:pt>
                <c:pt idx="33">
                  <c:v>2Q18</c:v>
                </c:pt>
                <c:pt idx="34">
                  <c:v>3Q18</c:v>
                </c:pt>
                <c:pt idx="35">
                  <c:v>4Q18</c:v>
                </c:pt>
                <c:pt idx="36">
                  <c:v>1Q19</c:v>
                </c:pt>
                <c:pt idx="37">
                  <c:v>2Q19</c:v>
                </c:pt>
                <c:pt idx="38">
                  <c:v>3Q19</c:v>
                </c:pt>
                <c:pt idx="39">
                  <c:v>4Q19</c:v>
                </c:pt>
                <c:pt idx="40">
                  <c:v>1Q20</c:v>
                </c:pt>
                <c:pt idx="41">
                  <c:v>2Q20</c:v>
                </c:pt>
                <c:pt idx="42">
                  <c:v>3Q20</c:v>
                </c:pt>
                <c:pt idx="43">
                  <c:v>4Q20</c:v>
                </c:pt>
                <c:pt idx="44">
                  <c:v>1Q21</c:v>
                </c:pt>
                <c:pt idx="45">
                  <c:v>2Q21</c:v>
                </c:pt>
                <c:pt idx="46">
                  <c:v>3Q21</c:v>
                </c:pt>
                <c:pt idx="47">
                  <c:v>4Q21</c:v>
                </c:pt>
                <c:pt idx="48">
                  <c:v>1Q22</c:v>
                </c:pt>
                <c:pt idx="49">
                  <c:v>2Q22</c:v>
                </c:pt>
                <c:pt idx="50">
                  <c:v>3Q22</c:v>
                </c:pt>
                <c:pt idx="51">
                  <c:v>4Q22</c:v>
                </c:pt>
                <c:pt idx="52">
                  <c:v>1Q23</c:v>
                </c:pt>
                <c:pt idx="53">
                  <c:v>2Q23</c:v>
                </c:pt>
                <c:pt idx="54">
                  <c:v>3Q23</c:v>
                </c:pt>
                <c:pt idx="55">
                  <c:v>4Q23</c:v>
                </c:pt>
                <c:pt idx="56">
                  <c:v>1Q24</c:v>
                </c:pt>
                <c:pt idx="57">
                  <c:v>2Q24</c:v>
                </c:pt>
                <c:pt idx="58">
                  <c:v>3Q24</c:v>
                </c:pt>
                <c:pt idx="59">
                  <c:v>4Q24</c:v>
                </c:pt>
                <c:pt idx="60">
                  <c:v>1Q25</c:v>
                </c:pt>
                <c:pt idx="61">
                  <c:v>2Q25</c:v>
                </c:pt>
                <c:pt idx="62">
                  <c:v>3Q25</c:v>
                </c:pt>
                <c:pt idx="63">
                  <c:v>4Q25</c:v>
                </c:pt>
              </c:strCache>
            </c:strRef>
          </c:cat>
          <c:val>
            <c:numRef>
              <c:f>'Org customer adds'!$C$13:$BN$13</c:f>
              <c:numCache>
                <c:formatCode>0.0%</c:formatCode>
                <c:ptCount val="64"/>
                <c:pt idx="0">
                  <c:v>0.10669610007358354</c:v>
                </c:pt>
                <c:pt idx="1">
                  <c:v>0.10997532604864291</c:v>
                </c:pt>
                <c:pt idx="2">
                  <c:v>0.11241379310344835</c:v>
                </c:pt>
                <c:pt idx="3">
                  <c:v>9.4676549865229109E-2</c:v>
                </c:pt>
                <c:pt idx="4">
                  <c:v>9.4082446808510634E-2</c:v>
                </c:pt>
                <c:pt idx="5">
                  <c:v>5.4620514449031488E-2</c:v>
                </c:pt>
                <c:pt idx="6">
                  <c:v>4.6497210167389946E-2</c:v>
                </c:pt>
                <c:pt idx="7">
                  <c:v>5.0169282856263431E-2</c:v>
                </c:pt>
                <c:pt idx="8">
                  <c:v>7.2318444241871838E-2</c:v>
                </c:pt>
                <c:pt idx="9">
                  <c:v>0.10448660042155966</c:v>
                </c:pt>
                <c:pt idx="10">
                  <c:v>0.21475118483412325</c:v>
                </c:pt>
                <c:pt idx="11">
                  <c:v>0.31858147713950768</c:v>
                </c:pt>
                <c:pt idx="12">
                  <c:v>0.3131198639841315</c:v>
                </c:pt>
                <c:pt idx="13">
                  <c:v>0.32742639040348953</c:v>
                </c:pt>
                <c:pt idx="14">
                  <c:v>0.22360399902462813</c:v>
                </c:pt>
                <c:pt idx="15">
                  <c:v>0.13380751278061798</c:v>
                </c:pt>
                <c:pt idx="16">
                  <c:v>0.12645662494605103</c:v>
                </c:pt>
                <c:pt idx="17">
                  <c:v>0.12281782706921329</c:v>
                </c:pt>
                <c:pt idx="18">
                  <c:v>0.11518533280191301</c:v>
                </c:pt>
                <c:pt idx="19">
                  <c:v>0.16094883356204659</c:v>
                </c:pt>
                <c:pt idx="20">
                  <c:v>0.15191570881226046</c:v>
                </c:pt>
                <c:pt idx="21">
                  <c:v>0.13865008231205422</c:v>
                </c:pt>
                <c:pt idx="22">
                  <c:v>0.15010721944245886</c:v>
                </c:pt>
                <c:pt idx="23">
                  <c:v>0.11972306653157716</c:v>
                </c:pt>
                <c:pt idx="24">
                  <c:v>0.17295858972226852</c:v>
                </c:pt>
                <c:pt idx="25">
                  <c:v>0.16032128514056221</c:v>
                </c:pt>
                <c:pt idx="26">
                  <c:v>0.14962709757613424</c:v>
                </c:pt>
                <c:pt idx="27">
                  <c:v>0.14763987332227413</c:v>
                </c:pt>
                <c:pt idx="28">
                  <c:v>9.2726499361973636E-2</c:v>
                </c:pt>
                <c:pt idx="29">
                  <c:v>0.10660390419493293</c:v>
                </c:pt>
                <c:pt idx="30">
                  <c:v>0.11082578726854986</c:v>
                </c:pt>
                <c:pt idx="31">
                  <c:v>0.10919842312746386</c:v>
                </c:pt>
                <c:pt idx="32">
                  <c:v>0.10276372129233158</c:v>
                </c:pt>
                <c:pt idx="33">
                  <c:v>8.4073564368822629E-2</c:v>
                </c:pt>
                <c:pt idx="34">
                  <c:v>7.5313298454799948E-2</c:v>
                </c:pt>
                <c:pt idx="35">
                  <c:v>2.4404691387276412E-2</c:v>
                </c:pt>
                <c:pt idx="36">
                  <c:v>4.9417578538650808E-3</c:v>
                </c:pt>
                <c:pt idx="37">
                  <c:v>1.038661281015596E-3</c:v>
                </c:pt>
                <c:pt idx="38">
                  <c:v>-5.0916496945010437E-3</c:v>
                </c:pt>
                <c:pt idx="39">
                  <c:v>3.3190701977564574E-2</c:v>
                </c:pt>
                <c:pt idx="40">
                  <c:v>6.1819459079732964E-2</c:v>
                </c:pt>
                <c:pt idx="41">
                  <c:v>5.1187456767350703E-2</c:v>
                </c:pt>
                <c:pt idx="42">
                  <c:v>7.733424314795867E-2</c:v>
                </c:pt>
                <c:pt idx="43">
                  <c:v>7.9583613163196842E-2</c:v>
                </c:pt>
                <c:pt idx="44">
                  <c:v>9.1630830301025368E-2</c:v>
                </c:pt>
                <c:pt idx="45">
                  <c:v>0.11318271550778669</c:v>
                </c:pt>
                <c:pt idx="46">
                  <c:v>9.2578908476723232E-2</c:v>
                </c:pt>
                <c:pt idx="47">
                  <c:v>7.827890098496626E-2</c:v>
                </c:pt>
                <c:pt idx="48">
                  <c:v>4.5454545454545414E-2</c:v>
                </c:pt>
                <c:pt idx="49">
                  <c:v>3.9408866995073843E-2</c:v>
                </c:pt>
                <c:pt idx="50">
                  <c:v>5.3140096618357502E-2</c:v>
                </c:pt>
                <c:pt idx="51">
                  <c:v>6.7307692307692291E-2</c:v>
                </c:pt>
                <c:pt idx="52">
                  <c:v>6.7632850241545972E-2</c:v>
                </c:pt>
                <c:pt idx="53">
                  <c:v>7.5999999999999998E-2</c:v>
                </c:pt>
                <c:pt idx="54">
                  <c:v>6.8807339449541205E-2</c:v>
                </c:pt>
                <c:pt idx="55">
                  <c:v>9.4594594594594517E-2</c:v>
                </c:pt>
                <c:pt idx="56">
                  <c:v>0.12669683257918551</c:v>
                </c:pt>
                <c:pt idx="57">
                  <c:v>0.13215859030836996</c:v>
                </c:pt>
                <c:pt idx="58">
                  <c:v>0.17596566523605151</c:v>
                </c:pt>
                <c:pt idx="59">
                  <c:v>0.17695473251028804</c:v>
                </c:pt>
                <c:pt idx="60">
                  <c:v>0.11244979919678721</c:v>
                </c:pt>
                <c:pt idx="61">
                  <c:v>2.7237354085603016E-2</c:v>
                </c:pt>
                <c:pt idx="62">
                  <c:v>-2.9197080291970767E-2</c:v>
                </c:pt>
                <c:pt idx="63">
                  <c:v>-5.5944055944055937E-2</c:v>
                </c:pt>
              </c:numCache>
            </c:numRef>
          </c:val>
          <c:smooth val="0"/>
          <c:extLst>
            <c:ext xmlns:c16="http://schemas.microsoft.com/office/drawing/2014/chart" uri="{C3380CC4-5D6E-409C-BE32-E72D297353CC}">
              <c16:uniqueId val="{00000001-32D7-4AD5-BECF-31E98CD62074}"/>
            </c:ext>
          </c:extLst>
        </c:ser>
        <c:dLbls>
          <c:showLegendKey val="0"/>
          <c:showVal val="0"/>
          <c:showCatName val="0"/>
          <c:showSerName val="0"/>
          <c:showPercent val="0"/>
          <c:showBubbleSize val="0"/>
        </c:dLbls>
        <c:marker val="1"/>
        <c:smooth val="0"/>
        <c:axId val="243071471"/>
        <c:axId val="369420975"/>
      </c:lineChart>
      <c:catAx>
        <c:axId val="21132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69416399"/>
        <c:crosses val="autoZero"/>
        <c:auto val="1"/>
        <c:lblAlgn val="ctr"/>
        <c:lblOffset val="100"/>
        <c:noMultiLvlLbl val="0"/>
      </c:catAx>
      <c:valAx>
        <c:axId val="36941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3267791"/>
        <c:crosses val="autoZero"/>
        <c:crossBetween val="between"/>
      </c:valAx>
      <c:valAx>
        <c:axId val="36942097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3071471"/>
        <c:crosses val="max"/>
        <c:crossBetween val="between"/>
      </c:valAx>
      <c:catAx>
        <c:axId val="243071471"/>
        <c:scaling>
          <c:orientation val="minMax"/>
        </c:scaling>
        <c:delete val="1"/>
        <c:axPos val="b"/>
        <c:numFmt formatCode="General" sourceLinked="1"/>
        <c:majorTickMark val="out"/>
        <c:minorTickMark val="none"/>
        <c:tickLblPos val="nextTo"/>
        <c:crossAx val="3694209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'Org customer adds'!$B$12</c:f>
              <c:strCache>
                <c:ptCount val="1"/>
                <c:pt idx="0">
                  <c:v>Organic 1P Customer Adds</c:v>
                </c:pt>
              </c:strCache>
            </c:strRef>
          </c:tx>
          <c:spPr>
            <a:ln w="28575" cap="rnd">
              <a:solidFill>
                <a:srgbClr val="002060"/>
              </a:solidFill>
              <a:round/>
            </a:ln>
            <a:effectLst/>
          </c:spPr>
          <c:marker>
            <c:symbol val="none"/>
          </c:marker>
          <c:cat>
            <c:strRef>
              <c:f>'Org customer adds'!$C$11:$BE$11</c:f>
              <c:strCache>
                <c:ptCount val="55"/>
                <c:pt idx="0">
                  <c:v>1Q10</c:v>
                </c:pt>
                <c:pt idx="1">
                  <c:v>2Q10</c:v>
                </c:pt>
                <c:pt idx="2">
                  <c:v>3Q10</c:v>
                </c:pt>
                <c:pt idx="3">
                  <c:v>4Q10</c:v>
                </c:pt>
                <c:pt idx="4">
                  <c:v>1Q11</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c:v>
                </c:pt>
                <c:pt idx="29">
                  <c:v>2Q17</c:v>
                </c:pt>
                <c:pt idx="30">
                  <c:v>3Q17</c:v>
                </c:pt>
                <c:pt idx="31">
                  <c:v>4Q17</c:v>
                </c:pt>
                <c:pt idx="32">
                  <c:v>1Q18</c:v>
                </c:pt>
                <c:pt idx="33">
                  <c:v>2Q18</c:v>
                </c:pt>
                <c:pt idx="34">
                  <c:v>3Q18</c:v>
                </c:pt>
                <c:pt idx="35">
                  <c:v>4Q18</c:v>
                </c:pt>
                <c:pt idx="36">
                  <c:v>1Q19</c:v>
                </c:pt>
                <c:pt idx="37">
                  <c:v>2Q19</c:v>
                </c:pt>
                <c:pt idx="38">
                  <c:v>3Q19</c:v>
                </c:pt>
                <c:pt idx="39">
                  <c:v>4Q19</c:v>
                </c:pt>
                <c:pt idx="40">
                  <c:v>1Q20</c:v>
                </c:pt>
                <c:pt idx="41">
                  <c:v>2Q20</c:v>
                </c:pt>
                <c:pt idx="42">
                  <c:v>3Q20</c:v>
                </c:pt>
                <c:pt idx="43">
                  <c:v>4Q20</c:v>
                </c:pt>
                <c:pt idx="44">
                  <c:v>1Q21</c:v>
                </c:pt>
                <c:pt idx="45">
                  <c:v>2Q21</c:v>
                </c:pt>
                <c:pt idx="46">
                  <c:v>3Q21</c:v>
                </c:pt>
                <c:pt idx="47">
                  <c:v>4Q21</c:v>
                </c:pt>
                <c:pt idx="48">
                  <c:v>1Q22</c:v>
                </c:pt>
                <c:pt idx="49">
                  <c:v>2Q22</c:v>
                </c:pt>
                <c:pt idx="50">
                  <c:v>3Q22</c:v>
                </c:pt>
                <c:pt idx="51">
                  <c:v>4Q22</c:v>
                </c:pt>
                <c:pt idx="52">
                  <c:v>1Q23</c:v>
                </c:pt>
                <c:pt idx="53">
                  <c:v>2Q23</c:v>
                </c:pt>
                <c:pt idx="54">
                  <c:v>3Q23</c:v>
                </c:pt>
              </c:strCache>
            </c:strRef>
          </c:cat>
          <c:val>
            <c:numRef>
              <c:f>'Org customer adds'!$C$12:$BE$12</c:f>
              <c:numCache>
                <c:formatCode>General</c:formatCode>
                <c:ptCount val="55"/>
                <c:pt idx="0">
                  <c:v>389</c:v>
                </c:pt>
                <c:pt idx="1">
                  <c:v>412</c:v>
                </c:pt>
                <c:pt idx="2">
                  <c:v>313</c:v>
                </c:pt>
                <c:pt idx="3">
                  <c:v>283</c:v>
                </c:pt>
                <c:pt idx="4">
                  <c:v>640</c:v>
                </c:pt>
                <c:pt idx="5">
                  <c:v>475</c:v>
                </c:pt>
                <c:pt idx="6">
                  <c:v>572</c:v>
                </c:pt>
                <c:pt idx="7">
                  <c:v>233</c:v>
                </c:pt>
                <c:pt idx="8">
                  <c:v>314</c:v>
                </c:pt>
                <c:pt idx="9" formatCode="_(* #,##0_);_(* \(#,##0\);_(* &quot;-&quot;??_);_(@_)">
                  <c:v>592</c:v>
                </c:pt>
                <c:pt idx="10" formatCode="_(* #,##0_);_(* \(#,##0\);_(* &quot;-&quot;??_);_(@_)">
                  <c:v>688</c:v>
                </c:pt>
                <c:pt idx="11" formatCode="_(* #,##0_);_(* \(#,##0\);_(* &quot;-&quot;??_);_(@_)">
                  <c:v>254</c:v>
                </c:pt>
                <c:pt idx="12">
                  <c:v>421</c:v>
                </c:pt>
                <c:pt idx="13" formatCode="_(* #,##0_);_(* \(#,##0\);_(* &quot;-&quot;??_);_(@_)">
                  <c:v>473</c:v>
                </c:pt>
                <c:pt idx="14" formatCode="_(* #,##0_);_(* \(#,##0\);_(* &quot;-&quot;??_);_(@_)">
                  <c:v>516</c:v>
                </c:pt>
                <c:pt idx="15" formatCode="_(* #,##0_);_(* \(#,##0\);_(* &quot;-&quot;??_);_(@_)">
                  <c:v>303</c:v>
                </c:pt>
                <c:pt idx="16">
                  <c:v>326</c:v>
                </c:pt>
                <c:pt idx="17" formatCode="_(* #,##0_);_(* \(#,##0\);_(* &quot;-&quot;??_);_(@_)">
                  <c:v>729</c:v>
                </c:pt>
                <c:pt idx="18" formatCode="_(* #,##0_);_(* \(#,##0\);_(* &quot;-&quot;??_);_(@_)">
                  <c:v>473</c:v>
                </c:pt>
                <c:pt idx="19" formatCode="_(* #,##0_);_(* \(#,##0\);_(* &quot;-&quot;??_);_(@_)">
                  <c:v>265</c:v>
                </c:pt>
                <c:pt idx="20">
                  <c:v>453</c:v>
                </c:pt>
                <c:pt idx="21" formatCode="_(* #,##0_);_(* \(#,##0\);_(* &quot;-&quot;??_);_(@_)">
                  <c:v>310</c:v>
                </c:pt>
                <c:pt idx="22" formatCode="_(* #,##0_);_(* \(#,##0\);_(* &quot;-&quot;??_);_(@_)">
                  <c:v>346</c:v>
                </c:pt>
                <c:pt idx="23" formatCode="_(* #,##0_);_(* \(#,##0\);_(* &quot;-&quot;??_);_(@_)">
                  <c:v>318</c:v>
                </c:pt>
                <c:pt idx="24" formatCode="_(* #,##0_);_(* \(#,##0\);_(* &quot;-&quot;??_);_(@_)">
                  <c:v>383</c:v>
                </c:pt>
                <c:pt idx="25" formatCode="_(* #,##0_);_(* \(#,##0\);_(* &quot;-&quot;??_);_(@_)">
                  <c:v>369</c:v>
                </c:pt>
                <c:pt idx="26" formatCode="_(* #,##0_);_(* \(#,##0\);_(* &quot;-&quot;??_);_(@_)">
                  <c:v>397</c:v>
                </c:pt>
                <c:pt idx="27" formatCode="_(* #,##0_);_(* \(#,##0\);_(* &quot;-&quot;??_);_(@_)">
                  <c:v>222</c:v>
                </c:pt>
                <c:pt idx="28" formatCode="_(* #,##0_);_(* \(#,##0\);_(* &quot;-&quot;??_);_(@_)">
                  <c:v>196</c:v>
                </c:pt>
                <c:pt idx="29" formatCode="_(* #,##0_);_(* \(#,##0\);_(* &quot;-&quot;??_);_(@_)">
                  <c:v>152</c:v>
                </c:pt>
                <c:pt idx="30" formatCode="_(* #,##0_);_(* \(#,##0\);_(* &quot;-&quot;??_);_(@_)">
                  <c:v>206</c:v>
                </c:pt>
                <c:pt idx="31" formatCode="_(* #,##0_);_(* \(#,##0\);_(* &quot;-&quot;??_);_(@_)">
                  <c:v>392</c:v>
                </c:pt>
                <c:pt idx="32" formatCode="_(* #,##0_);_(* \(#,##0\);_(* &quot;-&quot;??_);_(@_)">
                  <c:v>137</c:v>
                </c:pt>
                <c:pt idx="33" formatCode="_(* #,##0_);_(* \(#,##0\);_(* &quot;-&quot;??_);_(@_)">
                  <c:v>324</c:v>
                </c:pt>
                <c:pt idx="34" formatCode="_(* #,##0_);_(* \(#,##0\);_(* &quot;-&quot;??_);_(@_)">
                  <c:v>657</c:v>
                </c:pt>
                <c:pt idx="35" formatCode="_(* #,##0_);_(* \(#,##0\);_(* &quot;-&quot;??_);_(@_)">
                  <c:v>265</c:v>
                </c:pt>
                <c:pt idx="36" formatCode="_(* #,##0_);_(* \(#,##0\);_(* &quot;-&quot;??_);_(@_)">
                  <c:v>158</c:v>
                </c:pt>
                <c:pt idx="37">
                  <c:v>423</c:v>
                </c:pt>
                <c:pt idx="38">
                  <c:v>662</c:v>
                </c:pt>
                <c:pt idx="39">
                  <c:v>220</c:v>
                </c:pt>
                <c:pt idx="40" formatCode="_(* #,##0_);_(* \(#,##0\);_(* &quot;-&quot;??_);_(@_)">
                  <c:v>229</c:v>
                </c:pt>
                <c:pt idx="41">
                  <c:v>468</c:v>
                </c:pt>
                <c:pt idx="42">
                  <c:v>557</c:v>
                </c:pt>
                <c:pt idx="43">
                  <c:v>626</c:v>
                </c:pt>
                <c:pt idx="44" formatCode="_(* #,##0_);_(* \(#,##0\);_(* &quot;-&quot;??_);_(@_)">
                  <c:v>699</c:v>
                </c:pt>
                <c:pt idx="45">
                  <c:v>700</c:v>
                </c:pt>
                <c:pt idx="46" formatCode="_(* #,##0_);_(* \(#,##0\);_(* &quot;-&quot;??_);_(@_)">
                  <c:v>850</c:v>
                </c:pt>
                <c:pt idx="47">
                  <c:v>400</c:v>
                </c:pt>
                <c:pt idx="48" formatCode="_(* #,##0_);_(* \(#,##0\);_(* &quot;-&quot;??_);_(@_)">
                  <c:v>400</c:v>
                </c:pt>
                <c:pt idx="49" formatCode="_(* #,##0_);_(* \(#,##0\);_(* &quot;-&quot;??_);_(@_)">
                  <c:v>750</c:v>
                </c:pt>
                <c:pt idx="50">
                  <c:v>400</c:v>
                </c:pt>
                <c:pt idx="51">
                  <c:v>250</c:v>
                </c:pt>
                <c:pt idx="52" formatCode="_(* #,##0_);_(* \(#,##0\);_(* &quot;-&quot;??_);_(@_)">
                  <c:v>450</c:v>
                </c:pt>
                <c:pt idx="53" formatCode="_(* #,##0_);_(* \(#,##0\);_(* &quot;-&quot;??_);_(@_)">
                  <c:v>250</c:v>
                </c:pt>
                <c:pt idx="54" formatCode="_(* #,##0_);_(* \(#,##0\);_(* &quot;-&quot;??_);_(@_)">
                  <c:v>500</c:v>
                </c:pt>
              </c:numCache>
            </c:numRef>
          </c:val>
          <c:smooth val="0"/>
          <c:extLst>
            <c:ext xmlns:c16="http://schemas.microsoft.com/office/drawing/2014/chart" uri="{C3380CC4-5D6E-409C-BE32-E72D297353CC}">
              <c16:uniqueId val="{00000002-6506-4510-96A4-8023BE5D4D20}"/>
            </c:ext>
          </c:extLst>
        </c:ser>
        <c:dLbls>
          <c:showLegendKey val="0"/>
          <c:showVal val="0"/>
          <c:showCatName val="0"/>
          <c:showSerName val="0"/>
          <c:showPercent val="0"/>
          <c:showBubbleSize val="0"/>
        </c:dLbls>
        <c:smooth val="0"/>
        <c:axId val="2113267791"/>
        <c:axId val="369416399"/>
      </c:lineChart>
      <c:catAx>
        <c:axId val="21132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69416399"/>
        <c:crosses val="autoZero"/>
        <c:auto val="1"/>
        <c:lblAlgn val="ctr"/>
        <c:lblOffset val="100"/>
        <c:noMultiLvlLbl val="0"/>
      </c:catAx>
      <c:valAx>
        <c:axId val="36941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326779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'Org customer adds'!$B$13</c:f>
              <c:strCache>
                <c:ptCount val="1"/>
                <c:pt idx="0">
                  <c:v>ARPU Y/Y Growth</c:v>
                </c:pt>
              </c:strCache>
            </c:strRef>
          </c:tx>
          <c:spPr>
            <a:ln w="28575" cap="rnd">
              <a:solidFill>
                <a:srgbClr val="002060"/>
              </a:solidFill>
              <a:round/>
            </a:ln>
            <a:effectLst/>
          </c:spPr>
          <c:marker>
            <c:symbol val="none"/>
          </c:marker>
          <c:cat>
            <c:strRef>
              <c:f>'Org customer adds'!$C$11:$BE$11</c:f>
              <c:strCache>
                <c:ptCount val="55"/>
                <c:pt idx="0">
                  <c:v>1Q10</c:v>
                </c:pt>
                <c:pt idx="1">
                  <c:v>2Q10</c:v>
                </c:pt>
                <c:pt idx="2">
                  <c:v>3Q10</c:v>
                </c:pt>
                <c:pt idx="3">
                  <c:v>4Q10</c:v>
                </c:pt>
                <c:pt idx="4">
                  <c:v>1Q11</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c:v>
                </c:pt>
                <c:pt idx="29">
                  <c:v>2Q17</c:v>
                </c:pt>
                <c:pt idx="30">
                  <c:v>3Q17</c:v>
                </c:pt>
                <c:pt idx="31">
                  <c:v>4Q17</c:v>
                </c:pt>
                <c:pt idx="32">
                  <c:v>1Q18</c:v>
                </c:pt>
                <c:pt idx="33">
                  <c:v>2Q18</c:v>
                </c:pt>
                <c:pt idx="34">
                  <c:v>3Q18</c:v>
                </c:pt>
                <c:pt idx="35">
                  <c:v>4Q18</c:v>
                </c:pt>
                <c:pt idx="36">
                  <c:v>1Q19</c:v>
                </c:pt>
                <c:pt idx="37">
                  <c:v>2Q19</c:v>
                </c:pt>
                <c:pt idx="38">
                  <c:v>3Q19</c:v>
                </c:pt>
                <c:pt idx="39">
                  <c:v>4Q19</c:v>
                </c:pt>
                <c:pt idx="40">
                  <c:v>1Q20</c:v>
                </c:pt>
                <c:pt idx="41">
                  <c:v>2Q20</c:v>
                </c:pt>
                <c:pt idx="42">
                  <c:v>3Q20</c:v>
                </c:pt>
                <c:pt idx="43">
                  <c:v>4Q20</c:v>
                </c:pt>
                <c:pt idx="44">
                  <c:v>1Q21</c:v>
                </c:pt>
                <c:pt idx="45">
                  <c:v>2Q21</c:v>
                </c:pt>
                <c:pt idx="46">
                  <c:v>3Q21</c:v>
                </c:pt>
                <c:pt idx="47">
                  <c:v>4Q21</c:v>
                </c:pt>
                <c:pt idx="48">
                  <c:v>1Q22</c:v>
                </c:pt>
                <c:pt idx="49">
                  <c:v>2Q22</c:v>
                </c:pt>
                <c:pt idx="50">
                  <c:v>3Q22</c:v>
                </c:pt>
                <c:pt idx="51">
                  <c:v>4Q22</c:v>
                </c:pt>
                <c:pt idx="52">
                  <c:v>1Q23</c:v>
                </c:pt>
                <c:pt idx="53">
                  <c:v>2Q23</c:v>
                </c:pt>
                <c:pt idx="54">
                  <c:v>3Q23</c:v>
                </c:pt>
              </c:strCache>
            </c:strRef>
          </c:cat>
          <c:val>
            <c:numRef>
              <c:f>'Org customer adds'!$C$13:$BE$13</c:f>
              <c:numCache>
                <c:formatCode>0.0%</c:formatCode>
                <c:ptCount val="55"/>
                <c:pt idx="0">
                  <c:v>0.10669610007358354</c:v>
                </c:pt>
                <c:pt idx="1">
                  <c:v>0.10997532604864291</c:v>
                </c:pt>
                <c:pt idx="2">
                  <c:v>0.11241379310344835</c:v>
                </c:pt>
                <c:pt idx="3">
                  <c:v>9.4676549865229109E-2</c:v>
                </c:pt>
                <c:pt idx="4">
                  <c:v>9.4082446808510634E-2</c:v>
                </c:pt>
                <c:pt idx="5">
                  <c:v>5.4620514449031488E-2</c:v>
                </c:pt>
                <c:pt idx="6">
                  <c:v>4.6497210167389946E-2</c:v>
                </c:pt>
                <c:pt idx="7">
                  <c:v>5.0169282856263431E-2</c:v>
                </c:pt>
                <c:pt idx="8">
                  <c:v>7.2318444241871838E-2</c:v>
                </c:pt>
                <c:pt idx="9">
                  <c:v>0.10448660042155966</c:v>
                </c:pt>
                <c:pt idx="10">
                  <c:v>0.21475118483412325</c:v>
                </c:pt>
                <c:pt idx="11">
                  <c:v>0.31858147713950768</c:v>
                </c:pt>
                <c:pt idx="12">
                  <c:v>0.3131198639841315</c:v>
                </c:pt>
                <c:pt idx="13">
                  <c:v>0.32742639040348953</c:v>
                </c:pt>
                <c:pt idx="14">
                  <c:v>0.22360399902462813</c:v>
                </c:pt>
                <c:pt idx="15">
                  <c:v>0.13380751278061798</c:v>
                </c:pt>
                <c:pt idx="16">
                  <c:v>0.12645662494605103</c:v>
                </c:pt>
                <c:pt idx="17">
                  <c:v>0.12281782706921329</c:v>
                </c:pt>
                <c:pt idx="18">
                  <c:v>0.11518533280191301</c:v>
                </c:pt>
                <c:pt idx="19">
                  <c:v>0.16094883356204659</c:v>
                </c:pt>
                <c:pt idx="20">
                  <c:v>0.15191570881226046</c:v>
                </c:pt>
                <c:pt idx="21">
                  <c:v>0.13865008231205422</c:v>
                </c:pt>
                <c:pt idx="22">
                  <c:v>0.15010721944245886</c:v>
                </c:pt>
                <c:pt idx="23">
                  <c:v>0.11972306653157716</c:v>
                </c:pt>
                <c:pt idx="24">
                  <c:v>0.17295858972226852</c:v>
                </c:pt>
                <c:pt idx="25">
                  <c:v>0.16032128514056221</c:v>
                </c:pt>
                <c:pt idx="26">
                  <c:v>0.14962709757613424</c:v>
                </c:pt>
                <c:pt idx="27">
                  <c:v>0.14763987332227413</c:v>
                </c:pt>
                <c:pt idx="28">
                  <c:v>9.2726499361973636E-2</c:v>
                </c:pt>
                <c:pt idx="29">
                  <c:v>0.10660390419493293</c:v>
                </c:pt>
                <c:pt idx="30">
                  <c:v>0.11082578726854986</c:v>
                </c:pt>
                <c:pt idx="31">
                  <c:v>0.10919842312746386</c:v>
                </c:pt>
                <c:pt idx="32">
                  <c:v>0.10276372129233158</c:v>
                </c:pt>
                <c:pt idx="33">
                  <c:v>8.4073564368822629E-2</c:v>
                </c:pt>
                <c:pt idx="34">
                  <c:v>7.5313298454799948E-2</c:v>
                </c:pt>
                <c:pt idx="35">
                  <c:v>2.4404691387276412E-2</c:v>
                </c:pt>
                <c:pt idx="36">
                  <c:v>4.9417578538650808E-3</c:v>
                </c:pt>
                <c:pt idx="37">
                  <c:v>1.038661281015596E-3</c:v>
                </c:pt>
                <c:pt idx="38">
                  <c:v>-5.0916496945010437E-3</c:v>
                </c:pt>
                <c:pt idx="39">
                  <c:v>3.3190701977564574E-2</c:v>
                </c:pt>
                <c:pt idx="40">
                  <c:v>6.1819459079732964E-2</c:v>
                </c:pt>
                <c:pt idx="41">
                  <c:v>5.1187456767350703E-2</c:v>
                </c:pt>
                <c:pt idx="42">
                  <c:v>7.733424314795867E-2</c:v>
                </c:pt>
                <c:pt idx="43">
                  <c:v>7.9583613163196842E-2</c:v>
                </c:pt>
                <c:pt idx="44">
                  <c:v>9.1630830301025368E-2</c:v>
                </c:pt>
                <c:pt idx="45">
                  <c:v>0.11318271550778669</c:v>
                </c:pt>
                <c:pt idx="46">
                  <c:v>9.2578908476723232E-2</c:v>
                </c:pt>
                <c:pt idx="47">
                  <c:v>7.827890098496626E-2</c:v>
                </c:pt>
                <c:pt idx="48">
                  <c:v>4.5454545454545414E-2</c:v>
                </c:pt>
                <c:pt idx="49">
                  <c:v>3.9408866995073843E-2</c:v>
                </c:pt>
                <c:pt idx="50">
                  <c:v>5.3140096618357502E-2</c:v>
                </c:pt>
                <c:pt idx="51">
                  <c:v>6.7307692307692291E-2</c:v>
                </c:pt>
                <c:pt idx="52">
                  <c:v>6.7632850241545972E-2</c:v>
                </c:pt>
                <c:pt idx="53">
                  <c:v>7.5999999999999998E-2</c:v>
                </c:pt>
                <c:pt idx="54">
                  <c:v>6.8807339449541205E-2</c:v>
                </c:pt>
              </c:numCache>
            </c:numRef>
          </c:val>
          <c:smooth val="0"/>
          <c:extLst>
            <c:ext xmlns:c16="http://schemas.microsoft.com/office/drawing/2014/chart" uri="{C3380CC4-5D6E-409C-BE32-E72D297353CC}">
              <c16:uniqueId val="{00000000-9D03-40FA-B65A-F6607AE82EE2}"/>
            </c:ext>
          </c:extLst>
        </c:ser>
        <c:dLbls>
          <c:showLegendKey val="0"/>
          <c:showVal val="0"/>
          <c:showCatName val="0"/>
          <c:showSerName val="0"/>
          <c:showPercent val="0"/>
          <c:showBubbleSize val="0"/>
        </c:dLbls>
        <c:smooth val="0"/>
        <c:axId val="2113267791"/>
        <c:axId val="369416399"/>
      </c:lineChart>
      <c:catAx>
        <c:axId val="21132677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69416399"/>
        <c:crosses val="autoZero"/>
        <c:auto val="1"/>
        <c:lblAlgn val="ctr"/>
        <c:lblOffset val="100"/>
        <c:noMultiLvlLbl val="0"/>
      </c:catAx>
      <c:valAx>
        <c:axId val="3694163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3267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2060"/>
              </a:solidFill>
              <a:round/>
            </a:ln>
            <a:effectLst/>
          </c:spPr>
          <c:marker>
            <c:symbol val="none"/>
          </c:marker>
          <c:dPt>
            <c:idx val="9"/>
            <c:bubble3D val="0"/>
            <c:spPr>
              <a:ln w="28575" cap="rnd">
                <a:solidFill>
                  <a:srgbClr val="002060"/>
                </a:solidFill>
                <a:prstDash val="sysDash"/>
                <a:round/>
              </a:ln>
              <a:effectLst/>
            </c:spPr>
            <c:extLst>
              <c:ext xmlns:c16="http://schemas.microsoft.com/office/drawing/2014/chart" uri="{C3380CC4-5D6E-409C-BE32-E72D297353CC}">
                <c16:uniqueId val="{00000004-929A-49E4-9864-98FDB355BE4A}"/>
              </c:ext>
            </c:extLst>
          </c:dPt>
          <c:dPt>
            <c:idx val="10"/>
            <c:bubble3D val="0"/>
            <c:spPr>
              <a:ln w="28575" cap="rnd">
                <a:solidFill>
                  <a:srgbClr val="00B050"/>
                </a:solidFill>
                <a:prstDash val="sysDash"/>
                <a:round/>
              </a:ln>
              <a:effectLst/>
            </c:spPr>
            <c:extLst>
              <c:ext xmlns:c16="http://schemas.microsoft.com/office/drawing/2014/chart" uri="{C3380CC4-5D6E-409C-BE32-E72D297353CC}">
                <c16:uniqueId val="{00000003-929A-49E4-9864-98FDB355BE4A}"/>
              </c:ext>
            </c:extLst>
          </c:dPt>
          <c:dLbls>
            <c:dLbl>
              <c:idx val="2"/>
              <c:layout>
                <c:manualLayout>
                  <c:x val="-2.2067057794246309E-2"/>
                  <c:y val="-4.48232323232324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9A-49E4-9864-98FDB355BE4A}"/>
                </c:ext>
              </c:extLst>
            </c:dLbl>
            <c:dLbl>
              <c:idx val="3"/>
              <c:layout>
                <c:manualLayout>
                  <c:x val="-4.9844835572024085E-2"/>
                  <c:y val="-3.2196969696969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9A-49E4-9864-98FDB355BE4A}"/>
                </c:ext>
              </c:extLst>
            </c:dLbl>
            <c:dLbl>
              <c:idx val="5"/>
              <c:layout>
                <c:manualLayout>
                  <c:x val="-2.4592146569914057E-3"/>
                  <c:y val="-2.4621212121212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9A-49E4-9864-98FDB355BE4A}"/>
                </c:ext>
              </c:extLst>
            </c:dLbl>
            <c:dLbl>
              <c:idx val="6"/>
              <c:layout>
                <c:manualLayout>
                  <c:x val="-2.0433070866141732E-2"/>
                  <c:y val="-3.47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9A-49E4-9864-98FDB355BE4A}"/>
                </c:ext>
              </c:extLst>
            </c:dLbl>
            <c:dLbl>
              <c:idx val="10"/>
              <c:tx>
                <c:rich>
                  <a:bodyPr/>
                  <a:lstStyle/>
                  <a:p>
                    <a:r>
                      <a:rPr lang="en-US"/>
                      <a:t>15-17%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29A-49E4-9864-98FDB355BE4A}"/>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'Org customer adds'!$D$88:$N$88</c:f>
              <c:strCache>
                <c:ptCount val="11"/>
                <c:pt idx="0">
                  <c:v>2014</c:v>
                </c:pt>
                <c:pt idx="1">
                  <c:v>2015</c:v>
                </c:pt>
                <c:pt idx="2">
                  <c:v>2016</c:v>
                </c:pt>
                <c:pt idx="3">
                  <c:v>2017</c:v>
                </c:pt>
                <c:pt idx="4">
                  <c:v>2018</c:v>
                </c:pt>
                <c:pt idx="5">
                  <c:v>2019</c:v>
                </c:pt>
                <c:pt idx="6">
                  <c:v>2020</c:v>
                </c:pt>
                <c:pt idx="7">
                  <c:v>2021</c:v>
                </c:pt>
                <c:pt idx="8">
                  <c:v>2022</c:v>
                </c:pt>
                <c:pt idx="9">
                  <c:v>2023E</c:v>
                </c:pt>
                <c:pt idx="10">
                  <c:v>2024E</c:v>
                </c:pt>
              </c:strCache>
            </c:strRef>
          </c:cat>
          <c:val>
            <c:numRef>
              <c:f>'Org customer adds'!$D$89:$N$89</c:f>
              <c:numCache>
                <c:formatCode>0%</c:formatCode>
                <c:ptCount val="11"/>
                <c:pt idx="0">
                  <c:v>0.3</c:v>
                </c:pt>
                <c:pt idx="1">
                  <c:v>0.26432284388798832</c:v>
                </c:pt>
                <c:pt idx="2">
                  <c:v>0.17161803713527846</c:v>
                </c:pt>
                <c:pt idx="3">
                  <c:v>0.23066183684250241</c:v>
                </c:pt>
                <c:pt idx="4">
                  <c:v>0.57580867698911553</c:v>
                </c:pt>
                <c:pt idx="5">
                  <c:v>0.35738885105555007</c:v>
                </c:pt>
                <c:pt idx="6">
                  <c:v>0.24699339191261838</c:v>
                </c:pt>
                <c:pt idx="7">
                  <c:v>0.23014230866496543</c:v>
                </c:pt>
                <c:pt idx="8">
                  <c:v>0.23597626500957802</c:v>
                </c:pt>
                <c:pt idx="9">
                  <c:v>0.19173949859376416</c:v>
                </c:pt>
                <c:pt idx="10">
                  <c:v>0.16</c:v>
                </c:pt>
              </c:numCache>
            </c:numRef>
          </c:val>
          <c:smooth val="0"/>
          <c:extLst>
            <c:ext xmlns:c16="http://schemas.microsoft.com/office/drawing/2014/chart" uri="{C3380CC4-5D6E-409C-BE32-E72D297353CC}">
              <c16:uniqueId val="{00000002-929A-49E4-9864-98FDB355BE4A}"/>
            </c:ext>
          </c:extLst>
        </c:ser>
        <c:dLbls>
          <c:showLegendKey val="0"/>
          <c:showVal val="0"/>
          <c:showCatName val="0"/>
          <c:showSerName val="0"/>
          <c:showPercent val="0"/>
          <c:showBubbleSize val="0"/>
        </c:dLbls>
        <c:smooth val="0"/>
        <c:axId val="2113267791"/>
        <c:axId val="369416399"/>
      </c:lineChart>
      <c:catAx>
        <c:axId val="21132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69416399"/>
        <c:crosses val="autoZero"/>
        <c:auto val="1"/>
        <c:lblAlgn val="ctr"/>
        <c:lblOffset val="100"/>
        <c:noMultiLvlLbl val="0"/>
      </c:catAx>
      <c:valAx>
        <c:axId val="369416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326779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2060"/>
              </a:solidFill>
              <a:round/>
            </a:ln>
            <a:effectLst/>
          </c:spPr>
          <c:marker>
            <c:symbol val="none"/>
          </c:marker>
          <c:dPt>
            <c:idx val="9"/>
            <c:bubble3D val="0"/>
            <c:spPr>
              <a:ln w="28575" cap="rnd">
                <a:solidFill>
                  <a:srgbClr val="002060"/>
                </a:solidFill>
                <a:prstDash val="sysDash"/>
                <a:round/>
              </a:ln>
              <a:effectLst/>
            </c:spPr>
            <c:extLst>
              <c:ext xmlns:c16="http://schemas.microsoft.com/office/drawing/2014/chart" uri="{C3380CC4-5D6E-409C-BE32-E72D297353CC}">
                <c16:uniqueId val="{00000001-B386-44E8-8D62-84494EB42619}"/>
              </c:ext>
            </c:extLst>
          </c:dPt>
          <c:dPt>
            <c:idx val="10"/>
            <c:bubble3D val="0"/>
            <c:spPr>
              <a:ln w="28575" cap="rnd">
                <a:solidFill>
                  <a:srgbClr val="00B050"/>
                </a:solidFill>
                <a:prstDash val="sysDash"/>
                <a:round/>
              </a:ln>
              <a:effectLst/>
            </c:spPr>
            <c:extLst>
              <c:ext xmlns:c16="http://schemas.microsoft.com/office/drawing/2014/chart" uri="{C3380CC4-5D6E-409C-BE32-E72D297353CC}">
                <c16:uniqueId val="{00000003-B386-44E8-8D62-84494EB42619}"/>
              </c:ext>
            </c:extLst>
          </c:dPt>
          <c:dLbls>
            <c:dLbl>
              <c:idx val="2"/>
              <c:layout>
                <c:manualLayout>
                  <c:x val="-2.2067057794246309E-2"/>
                  <c:y val="-4.48232323232324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86-44E8-8D62-84494EB42619}"/>
                </c:ext>
              </c:extLst>
            </c:dLbl>
            <c:dLbl>
              <c:idx val="3"/>
              <c:layout>
                <c:manualLayout>
                  <c:x val="-4.9844835572024085E-2"/>
                  <c:y val="-3.2196969696969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86-44E8-8D62-84494EB42619}"/>
                </c:ext>
              </c:extLst>
            </c:dLbl>
            <c:dLbl>
              <c:idx val="5"/>
              <c:layout>
                <c:manualLayout>
                  <c:x val="-2.4592146569914057E-3"/>
                  <c:y val="-2.4621212121212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86-44E8-8D62-84494EB42619}"/>
                </c:ext>
              </c:extLst>
            </c:dLbl>
            <c:dLbl>
              <c:idx val="6"/>
              <c:layout>
                <c:manualLayout>
                  <c:x val="-2.0433070866141732E-2"/>
                  <c:y val="-3.4722222222222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386-44E8-8D62-84494EB42619}"/>
                </c:ext>
              </c:extLst>
            </c:dLbl>
            <c:dLbl>
              <c:idx val="10"/>
              <c:tx>
                <c:rich>
                  <a:bodyPr/>
                  <a:lstStyle/>
                  <a:p>
                    <a:r>
                      <a:rPr lang="en-US"/>
                      <a:t>15-17%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386-44E8-8D62-84494EB42619}"/>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'Org customer adds'!$I$88:$N$88</c:f>
              <c:strCache>
                <c:ptCount val="6"/>
                <c:pt idx="0">
                  <c:v>2019</c:v>
                </c:pt>
                <c:pt idx="1">
                  <c:v>2020</c:v>
                </c:pt>
                <c:pt idx="2">
                  <c:v>2021</c:v>
                </c:pt>
                <c:pt idx="3">
                  <c:v>2022</c:v>
                </c:pt>
                <c:pt idx="4">
                  <c:v>2023E</c:v>
                </c:pt>
                <c:pt idx="5">
                  <c:v>2024E</c:v>
                </c:pt>
              </c:strCache>
            </c:strRef>
          </c:cat>
          <c:val>
            <c:numRef>
              <c:f>'Org customer adds'!$I$89:$N$89</c:f>
              <c:numCache>
                <c:formatCode>0%</c:formatCode>
                <c:ptCount val="6"/>
                <c:pt idx="0">
                  <c:v>0.35738885105555007</c:v>
                </c:pt>
                <c:pt idx="1">
                  <c:v>0.24699339191261838</c:v>
                </c:pt>
                <c:pt idx="2">
                  <c:v>0.23014230866496543</c:v>
                </c:pt>
                <c:pt idx="3">
                  <c:v>0.23597626500957802</c:v>
                </c:pt>
                <c:pt idx="4">
                  <c:v>0.19173949859376416</c:v>
                </c:pt>
                <c:pt idx="5">
                  <c:v>0.16</c:v>
                </c:pt>
              </c:numCache>
            </c:numRef>
          </c:val>
          <c:smooth val="0"/>
          <c:extLst>
            <c:ext xmlns:c16="http://schemas.microsoft.com/office/drawing/2014/chart" uri="{C3380CC4-5D6E-409C-BE32-E72D297353CC}">
              <c16:uniqueId val="{00000008-B386-44E8-8D62-84494EB42619}"/>
            </c:ext>
          </c:extLst>
        </c:ser>
        <c:dLbls>
          <c:showLegendKey val="0"/>
          <c:showVal val="0"/>
          <c:showCatName val="0"/>
          <c:showSerName val="0"/>
          <c:showPercent val="0"/>
          <c:showBubbleSize val="0"/>
        </c:dLbls>
        <c:smooth val="0"/>
        <c:axId val="2113267791"/>
        <c:axId val="369416399"/>
      </c:lineChart>
      <c:catAx>
        <c:axId val="21132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69416399"/>
        <c:crosses val="autoZero"/>
        <c:auto val="1"/>
        <c:lblAlgn val="ctr"/>
        <c:lblOffset val="100"/>
        <c:noMultiLvlLbl val="0"/>
      </c:catAx>
      <c:valAx>
        <c:axId val="369416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3267791"/>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Chart!$C$23</c:f>
              <c:strCache>
                <c:ptCount val="1"/>
                <c:pt idx="0">
                  <c:v>ARPU Y/Y Growth</c:v>
                </c:pt>
              </c:strCache>
            </c:strRef>
          </c:tx>
          <c:spPr>
            <a:ln w="28575" cap="rnd">
              <a:solidFill>
                <a:srgbClr val="002060"/>
              </a:solidFill>
              <a:round/>
            </a:ln>
            <a:effectLst/>
          </c:spPr>
          <c:marker>
            <c:symbol val="none"/>
          </c:marker>
          <c:cat>
            <c:strRef>
              <c:f>Chart!$D$22:$AM$22</c:f>
              <c:strCache>
                <c:ptCount val="36"/>
                <c:pt idx="0">
                  <c:v>1Q14</c:v>
                </c:pt>
                <c:pt idx="1">
                  <c:v>2Q14</c:v>
                </c:pt>
                <c:pt idx="2">
                  <c:v>3Q14</c:v>
                </c:pt>
                <c:pt idx="3">
                  <c:v>4Q14</c:v>
                </c:pt>
                <c:pt idx="4">
                  <c:v>1Q15</c:v>
                </c:pt>
                <c:pt idx="5">
                  <c:v>2Q15</c:v>
                </c:pt>
                <c:pt idx="6">
                  <c:v>3Q15</c:v>
                </c:pt>
                <c:pt idx="7">
                  <c:v>4Q15</c:v>
                </c:pt>
                <c:pt idx="8">
                  <c:v>1Q16</c:v>
                </c:pt>
                <c:pt idx="9">
                  <c:v>2Q16</c:v>
                </c:pt>
                <c:pt idx="10">
                  <c:v>3Q16</c:v>
                </c:pt>
                <c:pt idx="11">
                  <c:v>4Q16</c:v>
                </c:pt>
                <c:pt idx="12">
                  <c:v>1Q17</c:v>
                </c:pt>
                <c:pt idx="13">
                  <c:v>2Q17</c:v>
                </c:pt>
                <c:pt idx="14">
                  <c:v>3Q17</c:v>
                </c:pt>
                <c:pt idx="15">
                  <c:v>4Q17</c:v>
                </c:pt>
                <c:pt idx="16">
                  <c:v>1Q18</c:v>
                </c:pt>
                <c:pt idx="17">
                  <c:v>2Q18</c:v>
                </c:pt>
                <c:pt idx="18">
                  <c:v>3Q18</c:v>
                </c:pt>
                <c:pt idx="19">
                  <c:v>4Q18</c:v>
                </c:pt>
                <c:pt idx="20">
                  <c:v>1Q19</c:v>
                </c:pt>
                <c:pt idx="21">
                  <c:v>2Q19</c:v>
                </c:pt>
                <c:pt idx="22">
                  <c:v>3Q19</c:v>
                </c:pt>
                <c:pt idx="23">
                  <c:v>4Q19</c:v>
                </c:pt>
                <c:pt idx="24">
                  <c:v>1Q20</c:v>
                </c:pt>
                <c:pt idx="25">
                  <c:v>2Q20</c:v>
                </c:pt>
                <c:pt idx="26">
                  <c:v>3Q20</c:v>
                </c:pt>
                <c:pt idx="27">
                  <c:v>4Q20</c:v>
                </c:pt>
                <c:pt idx="28">
                  <c:v>1Q21</c:v>
                </c:pt>
                <c:pt idx="29">
                  <c:v>2Q21</c:v>
                </c:pt>
                <c:pt idx="30">
                  <c:v>3Q21</c:v>
                </c:pt>
                <c:pt idx="31">
                  <c:v>4Q21</c:v>
                </c:pt>
                <c:pt idx="32">
                  <c:v>1Q22</c:v>
                </c:pt>
                <c:pt idx="33">
                  <c:v>2Q22</c:v>
                </c:pt>
                <c:pt idx="34">
                  <c:v>3Q22</c:v>
                </c:pt>
                <c:pt idx="35">
                  <c:v>4Q22</c:v>
                </c:pt>
              </c:strCache>
            </c:strRef>
          </c:cat>
          <c:val>
            <c:numRef>
              <c:f>Chart!$D$23:$AM$23</c:f>
              <c:numCache>
                <c:formatCode>0.0%</c:formatCode>
                <c:ptCount val="36"/>
                <c:pt idx="0">
                  <c:v>0.12645662494605103</c:v>
                </c:pt>
                <c:pt idx="1">
                  <c:v>0.12281782706921329</c:v>
                </c:pt>
                <c:pt idx="2">
                  <c:v>0.11518533280191301</c:v>
                </c:pt>
                <c:pt idx="3">
                  <c:v>0.16094883356204659</c:v>
                </c:pt>
                <c:pt idx="4">
                  <c:v>0.15191570881226046</c:v>
                </c:pt>
                <c:pt idx="5">
                  <c:v>0.13865008231205422</c:v>
                </c:pt>
                <c:pt idx="6">
                  <c:v>0.15010721944245886</c:v>
                </c:pt>
                <c:pt idx="7">
                  <c:v>0.11972306653157716</c:v>
                </c:pt>
                <c:pt idx="8">
                  <c:v>0.17295858972226852</c:v>
                </c:pt>
                <c:pt idx="9">
                  <c:v>0.16032128514056221</c:v>
                </c:pt>
                <c:pt idx="10">
                  <c:v>0.14962709757613424</c:v>
                </c:pt>
                <c:pt idx="11">
                  <c:v>0.14763987332227413</c:v>
                </c:pt>
                <c:pt idx="12">
                  <c:v>9.2726499361973636E-2</c:v>
                </c:pt>
                <c:pt idx="13">
                  <c:v>0.10660390419493293</c:v>
                </c:pt>
                <c:pt idx="14">
                  <c:v>0.11082578726854986</c:v>
                </c:pt>
                <c:pt idx="15">
                  <c:v>0.10919842312746386</c:v>
                </c:pt>
                <c:pt idx="16">
                  <c:v>0.10276372129233158</c:v>
                </c:pt>
                <c:pt idx="17">
                  <c:v>8.4073564368822629E-2</c:v>
                </c:pt>
                <c:pt idx="18">
                  <c:v>7.5313298454799948E-2</c:v>
                </c:pt>
                <c:pt idx="19">
                  <c:v>2.4404691387276412E-2</c:v>
                </c:pt>
                <c:pt idx="20">
                  <c:v>4.9417578538650808E-3</c:v>
                </c:pt>
                <c:pt idx="21">
                  <c:v>1.038661281015596E-3</c:v>
                </c:pt>
                <c:pt idx="22">
                  <c:v>-5.0916496945010437E-3</c:v>
                </c:pt>
                <c:pt idx="23">
                  <c:v>3.3190701977564574E-2</c:v>
                </c:pt>
                <c:pt idx="24">
                  <c:v>6.1819459079732964E-2</c:v>
                </c:pt>
                <c:pt idx="25">
                  <c:v>5.1187456767350703E-2</c:v>
                </c:pt>
                <c:pt idx="26">
                  <c:v>7.733424314795867E-2</c:v>
                </c:pt>
                <c:pt idx="27">
                  <c:v>7.9583613163196842E-2</c:v>
                </c:pt>
                <c:pt idx="28">
                  <c:v>9.1630830301025368E-2</c:v>
                </c:pt>
                <c:pt idx="29">
                  <c:v>0.11318271550778669</c:v>
                </c:pt>
                <c:pt idx="30">
                  <c:v>9.2578908476723232E-2</c:v>
                </c:pt>
                <c:pt idx="31">
                  <c:v>7.827890098496626E-2</c:v>
                </c:pt>
                <c:pt idx="32">
                  <c:v>4.5454545454545414E-2</c:v>
                </c:pt>
                <c:pt idx="33">
                  <c:v>3.9408866995073843E-2</c:v>
                </c:pt>
                <c:pt idx="34">
                  <c:v>5.3140096618357502E-2</c:v>
                </c:pt>
                <c:pt idx="35">
                  <c:v>6.7307692307692291E-2</c:v>
                </c:pt>
              </c:numCache>
            </c:numRef>
          </c:val>
          <c:smooth val="0"/>
          <c:extLst>
            <c:ext xmlns:c16="http://schemas.microsoft.com/office/drawing/2014/chart" uri="{C3380CC4-5D6E-409C-BE32-E72D297353CC}">
              <c16:uniqueId val="{00000000-CD0F-4164-A8EA-7C2EDA6F4DE7}"/>
            </c:ext>
          </c:extLst>
        </c:ser>
        <c:dLbls>
          <c:showLegendKey val="0"/>
          <c:showVal val="0"/>
          <c:showCatName val="0"/>
          <c:showSerName val="0"/>
          <c:showPercent val="0"/>
          <c:showBubbleSize val="0"/>
        </c:dLbls>
        <c:marker val="1"/>
        <c:smooth val="0"/>
        <c:axId val="324702911"/>
        <c:axId val="49676367"/>
      </c:lineChart>
      <c:lineChart>
        <c:grouping val="standard"/>
        <c:varyColors val="0"/>
        <c:ser>
          <c:idx val="1"/>
          <c:order val="1"/>
          <c:tx>
            <c:strRef>
              <c:f>Chart!$C$24</c:f>
              <c:strCache>
                <c:ptCount val="1"/>
                <c:pt idx="0">
                  <c:v>Customer Additions</c:v>
                </c:pt>
              </c:strCache>
            </c:strRef>
          </c:tx>
          <c:spPr>
            <a:ln w="28575" cap="rnd">
              <a:solidFill>
                <a:schemeClr val="bg1">
                  <a:lumMod val="65000"/>
                </a:schemeClr>
              </a:solidFill>
              <a:round/>
            </a:ln>
            <a:effectLst/>
          </c:spPr>
          <c:marker>
            <c:symbol val="none"/>
          </c:marker>
          <c:cat>
            <c:strRef>
              <c:f>Chart!$D$22:$AM$22</c:f>
              <c:strCache>
                <c:ptCount val="36"/>
                <c:pt idx="0">
                  <c:v>1Q14</c:v>
                </c:pt>
                <c:pt idx="1">
                  <c:v>2Q14</c:v>
                </c:pt>
                <c:pt idx="2">
                  <c:v>3Q14</c:v>
                </c:pt>
                <c:pt idx="3">
                  <c:v>4Q14</c:v>
                </c:pt>
                <c:pt idx="4">
                  <c:v>1Q15</c:v>
                </c:pt>
                <c:pt idx="5">
                  <c:v>2Q15</c:v>
                </c:pt>
                <c:pt idx="6">
                  <c:v>3Q15</c:v>
                </c:pt>
                <c:pt idx="7">
                  <c:v>4Q15</c:v>
                </c:pt>
                <c:pt idx="8">
                  <c:v>1Q16</c:v>
                </c:pt>
                <c:pt idx="9">
                  <c:v>2Q16</c:v>
                </c:pt>
                <c:pt idx="10">
                  <c:v>3Q16</c:v>
                </c:pt>
                <c:pt idx="11">
                  <c:v>4Q16</c:v>
                </c:pt>
                <c:pt idx="12">
                  <c:v>1Q17</c:v>
                </c:pt>
                <c:pt idx="13">
                  <c:v>2Q17</c:v>
                </c:pt>
                <c:pt idx="14">
                  <c:v>3Q17</c:v>
                </c:pt>
                <c:pt idx="15">
                  <c:v>4Q17</c:v>
                </c:pt>
                <c:pt idx="16">
                  <c:v>1Q18</c:v>
                </c:pt>
                <c:pt idx="17">
                  <c:v>2Q18</c:v>
                </c:pt>
                <c:pt idx="18">
                  <c:v>3Q18</c:v>
                </c:pt>
                <c:pt idx="19">
                  <c:v>4Q18</c:v>
                </c:pt>
                <c:pt idx="20">
                  <c:v>1Q19</c:v>
                </c:pt>
                <c:pt idx="21">
                  <c:v>2Q19</c:v>
                </c:pt>
                <c:pt idx="22">
                  <c:v>3Q19</c:v>
                </c:pt>
                <c:pt idx="23">
                  <c:v>4Q19</c:v>
                </c:pt>
                <c:pt idx="24">
                  <c:v>1Q20</c:v>
                </c:pt>
                <c:pt idx="25">
                  <c:v>2Q20</c:v>
                </c:pt>
                <c:pt idx="26">
                  <c:v>3Q20</c:v>
                </c:pt>
                <c:pt idx="27">
                  <c:v>4Q20</c:v>
                </c:pt>
                <c:pt idx="28">
                  <c:v>1Q21</c:v>
                </c:pt>
                <c:pt idx="29">
                  <c:v>2Q21</c:v>
                </c:pt>
                <c:pt idx="30">
                  <c:v>3Q21</c:v>
                </c:pt>
                <c:pt idx="31">
                  <c:v>4Q21</c:v>
                </c:pt>
                <c:pt idx="32">
                  <c:v>1Q22</c:v>
                </c:pt>
                <c:pt idx="33">
                  <c:v>2Q22</c:v>
                </c:pt>
                <c:pt idx="34">
                  <c:v>3Q22</c:v>
                </c:pt>
                <c:pt idx="35">
                  <c:v>4Q22</c:v>
                </c:pt>
              </c:strCache>
            </c:strRef>
          </c:cat>
          <c:val>
            <c:numRef>
              <c:f>Chart!$D$24:$AM$24</c:f>
              <c:numCache>
                <c:formatCode>General</c:formatCode>
                <c:ptCount val="36"/>
                <c:pt idx="0">
                  <c:v>326</c:v>
                </c:pt>
                <c:pt idx="1">
                  <c:v>729</c:v>
                </c:pt>
                <c:pt idx="2">
                  <c:v>473</c:v>
                </c:pt>
                <c:pt idx="3">
                  <c:v>765</c:v>
                </c:pt>
                <c:pt idx="4">
                  <c:v>453</c:v>
                </c:pt>
                <c:pt idx="5">
                  <c:v>310</c:v>
                </c:pt>
                <c:pt idx="6">
                  <c:v>346</c:v>
                </c:pt>
                <c:pt idx="7">
                  <c:v>318</c:v>
                </c:pt>
                <c:pt idx="8">
                  <c:v>407</c:v>
                </c:pt>
                <c:pt idx="9">
                  <c:v>369</c:v>
                </c:pt>
                <c:pt idx="10">
                  <c:v>397</c:v>
                </c:pt>
                <c:pt idx="11">
                  <c:v>222</c:v>
                </c:pt>
                <c:pt idx="12">
                  <c:v>196</c:v>
                </c:pt>
                <c:pt idx="13">
                  <c:v>152</c:v>
                </c:pt>
                <c:pt idx="14">
                  <c:v>206</c:v>
                </c:pt>
                <c:pt idx="15">
                  <c:v>392</c:v>
                </c:pt>
                <c:pt idx="16">
                  <c:v>137</c:v>
                </c:pt>
                <c:pt idx="17">
                  <c:v>324</c:v>
                </c:pt>
                <c:pt idx="18">
                  <c:v>657</c:v>
                </c:pt>
                <c:pt idx="19">
                  <c:v>2439</c:v>
                </c:pt>
                <c:pt idx="20">
                  <c:v>158</c:v>
                </c:pt>
                <c:pt idx="21">
                  <c:v>423</c:v>
                </c:pt>
                <c:pt idx="22">
                  <c:v>662</c:v>
                </c:pt>
                <c:pt idx="23">
                  <c:v>220</c:v>
                </c:pt>
                <c:pt idx="24">
                  <c:v>229</c:v>
                </c:pt>
                <c:pt idx="25">
                  <c:v>468</c:v>
                </c:pt>
                <c:pt idx="26">
                  <c:v>557</c:v>
                </c:pt>
                <c:pt idx="27">
                  <c:v>1126</c:v>
                </c:pt>
                <c:pt idx="28">
                  <c:v>699</c:v>
                </c:pt>
                <c:pt idx="29">
                  <c:v>700</c:v>
                </c:pt>
                <c:pt idx="30">
                  <c:v>850</c:v>
                </c:pt>
                <c:pt idx="31">
                  <c:v>2100</c:v>
                </c:pt>
                <c:pt idx="32">
                  <c:v>400</c:v>
                </c:pt>
                <c:pt idx="33">
                  <c:v>750</c:v>
                </c:pt>
                <c:pt idx="34">
                  <c:v>900</c:v>
                </c:pt>
                <c:pt idx="35">
                  <c:v>2750</c:v>
                </c:pt>
              </c:numCache>
            </c:numRef>
          </c:val>
          <c:smooth val="0"/>
          <c:extLst>
            <c:ext xmlns:c16="http://schemas.microsoft.com/office/drawing/2014/chart" uri="{C3380CC4-5D6E-409C-BE32-E72D297353CC}">
              <c16:uniqueId val="{00000001-CD0F-4164-A8EA-7C2EDA6F4DE7}"/>
            </c:ext>
          </c:extLst>
        </c:ser>
        <c:dLbls>
          <c:showLegendKey val="0"/>
          <c:showVal val="0"/>
          <c:showCatName val="0"/>
          <c:showSerName val="0"/>
          <c:showPercent val="0"/>
          <c:showBubbleSize val="0"/>
        </c:dLbls>
        <c:marker val="1"/>
        <c:smooth val="0"/>
        <c:axId val="377043215"/>
        <c:axId val="49668879"/>
      </c:lineChart>
      <c:catAx>
        <c:axId val="324702911"/>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9676367"/>
        <c:crosses val="autoZero"/>
        <c:auto val="1"/>
        <c:lblAlgn val="ctr"/>
        <c:lblOffset val="100"/>
        <c:noMultiLvlLbl val="0"/>
      </c:catAx>
      <c:valAx>
        <c:axId val="4967636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ARPU Y/Y Growth</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24702911"/>
        <c:crosses val="autoZero"/>
        <c:crossBetween val="between"/>
      </c:valAx>
      <c:valAx>
        <c:axId val="49668879"/>
        <c:scaling>
          <c:orientation val="minMax"/>
        </c:scaling>
        <c:delete val="0"/>
        <c:axPos val="r"/>
        <c:title>
          <c:tx>
            <c:rich>
              <a:bodyPr rot="-54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Customer</a:t>
                </a:r>
                <a:r>
                  <a:rPr lang="en-US" baseline="0"/>
                  <a:t> Additions</a:t>
                </a:r>
                <a:endParaRPr lang="en-US"/>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77043215"/>
        <c:crosses val="max"/>
        <c:crossBetween val="between"/>
      </c:valAx>
      <c:catAx>
        <c:axId val="377043215"/>
        <c:scaling>
          <c:orientation val="minMax"/>
        </c:scaling>
        <c:delete val="1"/>
        <c:axPos val="b"/>
        <c:numFmt formatCode="General" sourceLinked="1"/>
        <c:majorTickMark val="out"/>
        <c:minorTickMark val="none"/>
        <c:tickLblPos val="nextTo"/>
        <c:crossAx val="49668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Organic Y/Y Revenue</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Chart!$E$59:$H$59</c:f>
              <c:strCache>
                <c:ptCount val="4"/>
                <c:pt idx="0">
                  <c:v>FY22</c:v>
                </c:pt>
                <c:pt idx="1">
                  <c:v>FY23</c:v>
                </c:pt>
                <c:pt idx="2">
                  <c:v>FY24</c:v>
                </c:pt>
                <c:pt idx="3">
                  <c:v>FY25</c:v>
                </c:pt>
              </c:strCache>
            </c:strRef>
          </c:cat>
          <c:val>
            <c:numRef>
              <c:f>Chart!$E$63:$H$63</c:f>
              <c:numCache>
                <c:formatCode>0.0%</c:formatCode>
                <c:ptCount val="4"/>
                <c:pt idx="0">
                  <c:v>0.12419408424090772</c:v>
                </c:pt>
                <c:pt idx="1">
                  <c:v>0.16708622123648453</c:v>
                </c:pt>
                <c:pt idx="2">
                  <c:v>0.14500568065411334</c:v>
                </c:pt>
                <c:pt idx="3">
                  <c:v>8.4106214671548329E-2</c:v>
                </c:pt>
              </c:numCache>
            </c:numRef>
          </c:val>
          <c:extLst>
            <c:ext xmlns:c16="http://schemas.microsoft.com/office/drawing/2014/chart" uri="{C3380CC4-5D6E-409C-BE32-E72D297353CC}">
              <c16:uniqueId val="{00000000-E8F4-488E-AFED-FC8ADC1184A9}"/>
            </c:ext>
          </c:extLst>
        </c:ser>
        <c:dLbls>
          <c:showLegendKey val="0"/>
          <c:showVal val="0"/>
          <c:showCatName val="0"/>
          <c:showSerName val="0"/>
          <c:showPercent val="0"/>
          <c:showBubbleSize val="0"/>
        </c:dLbls>
        <c:gapWidth val="219"/>
        <c:overlap val="-27"/>
        <c:axId val="2130935056"/>
        <c:axId val="133802528"/>
      </c:barChart>
      <c:catAx>
        <c:axId val="213093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2528"/>
        <c:crosses val="autoZero"/>
        <c:auto val="1"/>
        <c:lblAlgn val="ctr"/>
        <c:lblOffset val="100"/>
        <c:noMultiLvlLbl val="0"/>
      </c:catAx>
      <c:valAx>
        <c:axId val="1338025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3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Chart!$C$68</c:f>
              <c:strCache>
                <c:ptCount val="1"/>
                <c:pt idx="0">
                  <c:v>Gross Margin</c:v>
                </c:pt>
              </c:strCache>
            </c:strRef>
          </c:tx>
          <c:spPr>
            <a:ln w="28575" cap="rnd">
              <a:solidFill>
                <a:schemeClr val="accent1"/>
              </a:solidFill>
              <a:round/>
            </a:ln>
            <a:effectLst/>
          </c:spPr>
          <c:marker>
            <c:symbol val="none"/>
          </c:marker>
          <c:cat>
            <c:strRef>
              <c:f>Chart!$D$67:$S$67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2025E</c:v>
                </c:pt>
              </c:strCache>
            </c:strRef>
          </c:cat>
          <c:val>
            <c:numRef>
              <c:f>Chart!$D$68:$S$68</c:f>
              <c:numCache>
                <c:formatCode>0%</c:formatCode>
                <c:ptCount val="16"/>
                <c:pt idx="0">
                  <c:v>0.71919635849945063</c:v>
                </c:pt>
                <c:pt idx="1">
                  <c:v>0.73932619158515755</c:v>
                </c:pt>
                <c:pt idx="2">
                  <c:v>0.72015147978108063</c:v>
                </c:pt>
                <c:pt idx="3">
                  <c:v>0.70010824687952022</c:v>
                </c:pt>
                <c:pt idx="4">
                  <c:v>0.69223975552377159</c:v>
                </c:pt>
                <c:pt idx="5">
                  <c:v>0.69054618402957391</c:v>
                </c:pt>
                <c:pt idx="6">
                  <c:v>0.67388189037481572</c:v>
                </c:pt>
                <c:pt idx="7">
                  <c:v>0.67475494863215546</c:v>
                </c:pt>
                <c:pt idx="8">
                  <c:v>0.67942313889784078</c:v>
                </c:pt>
                <c:pt idx="9">
                  <c:v>0.67964058984537334</c:v>
                </c:pt>
                <c:pt idx="10">
                  <c:v>0.69328599302690086</c:v>
                </c:pt>
                <c:pt idx="11">
                  <c:v>0.67577009728091031</c:v>
                </c:pt>
                <c:pt idx="12">
                  <c:v>0.67977599112836151</c:v>
                </c:pt>
                <c:pt idx="13">
                  <c:v>0.67983460915237193</c:v>
                </c:pt>
                <c:pt idx="14">
                  <c:v>0.68692073099025508</c:v>
                </c:pt>
                <c:pt idx="15">
                  <c:v>0.7069799934797506</c:v>
                </c:pt>
              </c:numCache>
            </c:numRef>
          </c:val>
          <c:smooth val="0"/>
          <c:extLst>
            <c:ext xmlns:c16="http://schemas.microsoft.com/office/drawing/2014/chart" uri="{C3380CC4-5D6E-409C-BE32-E72D297353CC}">
              <c16:uniqueId val="{00000000-F6F9-44B5-A26F-B73B1D07C2C0}"/>
            </c:ext>
          </c:extLst>
        </c:ser>
        <c:dLbls>
          <c:showLegendKey val="0"/>
          <c:showVal val="0"/>
          <c:showCatName val="0"/>
          <c:showSerName val="0"/>
          <c:showPercent val="0"/>
          <c:showBubbleSize val="0"/>
        </c:dLbls>
        <c:smooth val="0"/>
        <c:axId val="75198224"/>
        <c:axId val="1911820832"/>
      </c:lineChart>
      <c:catAx>
        <c:axId val="7519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820832"/>
        <c:crosses val="autoZero"/>
        <c:auto val="1"/>
        <c:lblAlgn val="ctr"/>
        <c:lblOffset val="100"/>
        <c:noMultiLvlLbl val="0"/>
      </c:catAx>
      <c:valAx>
        <c:axId val="1911820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982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Sheet2!$B$6</c:f>
              <c:strCache>
                <c:ptCount val="1"/>
                <c:pt idx="0">
                  <c:v>Revenue Growth</c:v>
                </c:pt>
              </c:strCache>
            </c:strRef>
          </c:tx>
          <c:spPr>
            <a:ln w="28575" cap="rnd">
              <a:solidFill>
                <a:srgbClr val="002060"/>
              </a:solidFill>
              <a:round/>
            </a:ln>
            <a:effectLst/>
          </c:spPr>
          <c:marker>
            <c:symbol val="none"/>
          </c:marker>
          <c:dPt>
            <c:idx val="17"/>
            <c:marker>
              <c:symbol val="none"/>
            </c:marker>
            <c:bubble3D val="0"/>
            <c:spPr>
              <a:ln w="28575" cap="rnd">
                <a:solidFill>
                  <a:srgbClr val="002060"/>
                </a:solidFill>
                <a:prstDash val="sysDot"/>
                <a:round/>
              </a:ln>
              <a:effectLst/>
            </c:spPr>
            <c:extLst>
              <c:ext xmlns:c16="http://schemas.microsoft.com/office/drawing/2014/chart" uri="{C3380CC4-5D6E-409C-BE32-E72D297353CC}">
                <c16:uniqueId val="{00000003-819F-4A3A-A237-748B2E61FE8A}"/>
              </c:ext>
            </c:extLst>
          </c:dPt>
          <c:cat>
            <c:numRef>
              <c:f>Sheet2!$C$5:$T$5</c:f>
              <c:numCache>
                <c:formatCode>General</c:formatCode>
                <c:ptCount val="18"/>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numCache>
            </c:numRef>
          </c:cat>
          <c:val>
            <c:numRef>
              <c:f>Sheet2!$C$6:$T$6</c:f>
              <c:numCache>
                <c:formatCode>0%</c:formatCode>
                <c:ptCount val="18"/>
                <c:pt idx="0">
                  <c:v>0.43624792073479424</c:v>
                </c:pt>
                <c:pt idx="1">
                  <c:v>0.26884535978649482</c:v>
                </c:pt>
                <c:pt idx="2">
                  <c:v>0.21823160568299071</c:v>
                </c:pt>
                <c:pt idx="3">
                  <c:v>0.2296315600873049</c:v>
                </c:pt>
                <c:pt idx="4">
                  <c:v>0.18150267578021517</c:v>
                </c:pt>
                <c:pt idx="5">
                  <c:v>0.29984079646613004</c:v>
                </c:pt>
                <c:pt idx="6">
                  <c:v>0.3301247218340837</c:v>
                </c:pt>
                <c:pt idx="7">
                  <c:v>0.35386351256711546</c:v>
                </c:pt>
                <c:pt idx="8">
                  <c:v>0.22565163663534205</c:v>
                </c:pt>
                <c:pt idx="9">
                  <c:v>0.23893487147021819</c:v>
                </c:pt>
                <c:pt idx="10">
                  <c:v>0.21938833444782291</c:v>
                </c:pt>
                <c:pt idx="11">
                  <c:v>0.14108487027600303</c:v>
                </c:pt>
                <c:pt idx="12">
                  <c:v>0.12546811385254308</c:v>
                </c:pt>
                <c:pt idx="13">
                  <c:v>0.12441185949081524</c:v>
                </c:pt>
                <c:pt idx="14">
                  <c:v>0.12003983892463554</c:v>
                </c:pt>
                <c:pt idx="15">
                  <c:v>0.23237053385791517</c:v>
                </c:pt>
                <c:pt idx="16">
                  <c:v>0.17026495291687005</c:v>
                </c:pt>
                <c:pt idx="17">
                  <c:v>0.19081785417244257</c:v>
                </c:pt>
              </c:numCache>
            </c:numRef>
          </c:val>
          <c:smooth val="0"/>
          <c:extLst>
            <c:ext xmlns:c16="http://schemas.microsoft.com/office/drawing/2014/chart" uri="{C3380CC4-5D6E-409C-BE32-E72D297353CC}">
              <c16:uniqueId val="{00000000-819F-4A3A-A237-748B2E61FE8A}"/>
            </c:ext>
          </c:extLst>
        </c:ser>
        <c:ser>
          <c:idx val="1"/>
          <c:order val="1"/>
          <c:tx>
            <c:strRef>
              <c:f>Sheet2!$B$7</c:f>
              <c:strCache>
                <c:ptCount val="1"/>
                <c:pt idx="0">
                  <c:v>EBITDA Margin</c:v>
                </c:pt>
              </c:strCache>
            </c:strRef>
          </c:tx>
          <c:spPr>
            <a:ln w="28575" cap="rnd">
              <a:solidFill>
                <a:srgbClr val="00B050"/>
              </a:solidFill>
              <a:round/>
            </a:ln>
            <a:effectLst/>
          </c:spPr>
          <c:marker>
            <c:symbol val="none"/>
          </c:marker>
          <c:dPt>
            <c:idx val="17"/>
            <c:marker>
              <c:symbol val="none"/>
            </c:marker>
            <c:bubble3D val="0"/>
            <c:spPr>
              <a:ln w="28575" cap="rnd">
                <a:solidFill>
                  <a:srgbClr val="00B050"/>
                </a:solidFill>
                <a:prstDash val="sysDot"/>
                <a:round/>
              </a:ln>
              <a:effectLst/>
            </c:spPr>
            <c:extLst>
              <c:ext xmlns:c16="http://schemas.microsoft.com/office/drawing/2014/chart" uri="{C3380CC4-5D6E-409C-BE32-E72D297353CC}">
                <c16:uniqueId val="{00000002-819F-4A3A-A237-748B2E61FE8A}"/>
              </c:ext>
            </c:extLst>
          </c:dPt>
          <c:cat>
            <c:numRef>
              <c:f>Sheet2!$C$5:$T$5</c:f>
              <c:numCache>
                <c:formatCode>General</c:formatCode>
                <c:ptCount val="18"/>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numCache>
            </c:numRef>
          </c:cat>
          <c:val>
            <c:numRef>
              <c:f>Sheet2!$C$7:$T$7</c:f>
              <c:numCache>
                <c:formatCode>0.0%</c:formatCode>
                <c:ptCount val="18"/>
                <c:pt idx="0">
                  <c:v>-3.7212347046679091E-2</c:v>
                </c:pt>
                <c:pt idx="1">
                  <c:v>4.0876260020636561E-3</c:v>
                </c:pt>
                <c:pt idx="2">
                  <c:v>2.4855849105775808E-2</c:v>
                </c:pt>
                <c:pt idx="3">
                  <c:v>9.4420600858369105E-2</c:v>
                </c:pt>
                <c:pt idx="4">
                  <c:v>0.11603919546157813</c:v>
                </c:pt>
                <c:pt idx="5">
                  <c:v>9.3325743069571671E-2</c:v>
                </c:pt>
                <c:pt idx="6">
                  <c:v>0.11703369387596296</c:v>
                </c:pt>
                <c:pt idx="7">
                  <c:v>0.13194624057629489</c:v>
                </c:pt>
                <c:pt idx="8">
                  <c:v>0.1398313364127334</c:v>
                </c:pt>
                <c:pt idx="9">
                  <c:v>0.14269672844724257</c:v>
                </c:pt>
                <c:pt idx="10">
                  <c:v>0.13710649525336921</c:v>
                </c:pt>
                <c:pt idx="11">
                  <c:v>0.14786957191951616</c:v>
                </c:pt>
                <c:pt idx="12">
                  <c:v>0.2066588785046729</c:v>
                </c:pt>
                <c:pt idx="13">
                  <c:v>0.24993192989495708</c:v>
                </c:pt>
                <c:pt idx="14">
                  <c:v>0.27826504174263506</c:v>
                </c:pt>
                <c:pt idx="15">
                  <c:v>0.27776191613285023</c:v>
                </c:pt>
                <c:pt idx="16">
                  <c:v>0.29335846964236206</c:v>
                </c:pt>
                <c:pt idx="17">
                  <c:v>0.30047555491073652</c:v>
                </c:pt>
              </c:numCache>
            </c:numRef>
          </c:val>
          <c:smooth val="0"/>
          <c:extLst>
            <c:ext xmlns:c16="http://schemas.microsoft.com/office/drawing/2014/chart" uri="{C3380CC4-5D6E-409C-BE32-E72D297353CC}">
              <c16:uniqueId val="{00000001-819F-4A3A-A237-748B2E61FE8A}"/>
            </c:ext>
          </c:extLst>
        </c:ser>
        <c:dLbls>
          <c:showLegendKey val="0"/>
          <c:showVal val="0"/>
          <c:showCatName val="0"/>
          <c:showSerName val="0"/>
          <c:showPercent val="0"/>
          <c:showBubbleSize val="0"/>
        </c:dLbls>
        <c:smooth val="0"/>
        <c:axId val="240022047"/>
        <c:axId val="230238351"/>
      </c:lineChart>
      <c:catAx>
        <c:axId val="2400220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0238351"/>
        <c:crosses val="autoZero"/>
        <c:auto val="1"/>
        <c:lblAlgn val="ctr"/>
        <c:lblOffset val="100"/>
        <c:noMultiLvlLbl val="0"/>
      </c:catAx>
      <c:valAx>
        <c:axId val="23023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002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Sheet2!$B$12</c:f>
              <c:strCache>
                <c:ptCount val="1"/>
                <c:pt idx="0">
                  <c:v>Organic Customer Adds</c:v>
                </c:pt>
              </c:strCache>
            </c:strRef>
          </c:tx>
          <c:spPr>
            <a:ln w="28575" cap="rnd">
              <a:solidFill>
                <a:srgbClr val="002060"/>
              </a:solidFill>
              <a:round/>
            </a:ln>
            <a:effectLst/>
          </c:spPr>
          <c:marker>
            <c:symbol val="none"/>
          </c:marker>
          <c:cat>
            <c:strRef>
              <c:f>Sheet2!$C$11:$AX$11</c:f>
              <c:strCache>
                <c:ptCount val="48"/>
                <c:pt idx="0">
                  <c:v>1Q10</c:v>
                </c:pt>
                <c:pt idx="1">
                  <c:v>2Q10</c:v>
                </c:pt>
                <c:pt idx="2">
                  <c:v>3Q10</c:v>
                </c:pt>
                <c:pt idx="3">
                  <c:v>4Q10</c:v>
                </c:pt>
                <c:pt idx="4">
                  <c:v>1Q11</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c:v>
                </c:pt>
                <c:pt idx="29">
                  <c:v>2Q17</c:v>
                </c:pt>
                <c:pt idx="30">
                  <c:v>3Q17</c:v>
                </c:pt>
                <c:pt idx="31">
                  <c:v>4Q17</c:v>
                </c:pt>
                <c:pt idx="32">
                  <c:v>1Q18</c:v>
                </c:pt>
                <c:pt idx="33">
                  <c:v>2Q18</c:v>
                </c:pt>
                <c:pt idx="34">
                  <c:v>3Q18</c:v>
                </c:pt>
                <c:pt idx="35">
                  <c:v>4Q18</c:v>
                </c:pt>
                <c:pt idx="36">
                  <c:v>1Q19</c:v>
                </c:pt>
                <c:pt idx="37">
                  <c:v>2Q19</c:v>
                </c:pt>
                <c:pt idx="38">
                  <c:v>3Q19</c:v>
                </c:pt>
                <c:pt idx="39">
                  <c:v>4Q19</c:v>
                </c:pt>
                <c:pt idx="40">
                  <c:v>1Q20</c:v>
                </c:pt>
                <c:pt idx="41">
                  <c:v>2Q20</c:v>
                </c:pt>
                <c:pt idx="42">
                  <c:v>3Q20</c:v>
                </c:pt>
                <c:pt idx="43">
                  <c:v>4Q20</c:v>
                </c:pt>
                <c:pt idx="44">
                  <c:v>1Q21</c:v>
                </c:pt>
                <c:pt idx="45">
                  <c:v>2Q21</c:v>
                </c:pt>
                <c:pt idx="46">
                  <c:v>3Q21</c:v>
                </c:pt>
                <c:pt idx="47">
                  <c:v>4Q21</c:v>
                </c:pt>
              </c:strCache>
            </c:strRef>
          </c:cat>
          <c:val>
            <c:numRef>
              <c:f>Sheet2!$C$12:$AX$12</c:f>
              <c:numCache>
                <c:formatCode>General</c:formatCode>
                <c:ptCount val="48"/>
                <c:pt idx="0">
                  <c:v>389</c:v>
                </c:pt>
                <c:pt idx="1">
                  <c:v>412</c:v>
                </c:pt>
                <c:pt idx="2">
                  <c:v>313</c:v>
                </c:pt>
                <c:pt idx="3">
                  <c:v>283</c:v>
                </c:pt>
                <c:pt idx="4">
                  <c:v>640</c:v>
                </c:pt>
                <c:pt idx="5">
                  <c:v>475</c:v>
                </c:pt>
                <c:pt idx="6">
                  <c:v>572</c:v>
                </c:pt>
                <c:pt idx="7">
                  <c:v>233</c:v>
                </c:pt>
                <c:pt idx="8">
                  <c:v>314</c:v>
                </c:pt>
                <c:pt idx="9" formatCode="_(* #,##0_);_(* \(#,##0\);_(* &quot;-&quot;??_);_(@_)">
                  <c:v>592</c:v>
                </c:pt>
                <c:pt idx="10" formatCode="_(* #,##0_);_(* \(#,##0\);_(* &quot;-&quot;??_);_(@_)">
                  <c:v>688</c:v>
                </c:pt>
                <c:pt idx="11" formatCode="_(* #,##0_);_(* \(#,##0\);_(* &quot;-&quot;??_);_(@_)">
                  <c:v>254</c:v>
                </c:pt>
                <c:pt idx="12">
                  <c:v>421</c:v>
                </c:pt>
                <c:pt idx="13" formatCode="_(* #,##0_);_(* \(#,##0\);_(* &quot;-&quot;??_);_(@_)">
                  <c:v>473</c:v>
                </c:pt>
                <c:pt idx="14" formatCode="_(* #,##0_);_(* \(#,##0\);_(* &quot;-&quot;??_);_(@_)">
                  <c:v>516</c:v>
                </c:pt>
                <c:pt idx="15" formatCode="_(* #,##0_);_(* \(#,##0\);_(* &quot;-&quot;??_);_(@_)">
                  <c:v>303</c:v>
                </c:pt>
                <c:pt idx="16">
                  <c:v>326</c:v>
                </c:pt>
                <c:pt idx="17" formatCode="_(* #,##0_);_(* \(#,##0\);_(* &quot;-&quot;??_);_(@_)">
                  <c:v>729</c:v>
                </c:pt>
                <c:pt idx="18" formatCode="_(* #,##0_);_(* \(#,##0\);_(* &quot;-&quot;??_);_(@_)">
                  <c:v>473</c:v>
                </c:pt>
                <c:pt idx="19" formatCode="_(* #,##0_);_(* \(#,##0\);_(* &quot;-&quot;??_);_(@_)">
                  <c:v>265</c:v>
                </c:pt>
                <c:pt idx="20">
                  <c:v>453</c:v>
                </c:pt>
                <c:pt idx="21" formatCode="_(* #,##0_);_(* \(#,##0\);_(* &quot;-&quot;??_);_(@_)">
                  <c:v>310</c:v>
                </c:pt>
                <c:pt idx="22" formatCode="_(* #,##0_);_(* \(#,##0\);_(* &quot;-&quot;??_);_(@_)">
                  <c:v>346</c:v>
                </c:pt>
                <c:pt idx="23" formatCode="_(* #,##0_);_(* \(#,##0\);_(* &quot;-&quot;??_);_(@_)">
                  <c:v>318</c:v>
                </c:pt>
                <c:pt idx="24" formatCode="_(* #,##0_);_(* \(#,##0\);_(* &quot;-&quot;??_);_(@_)">
                  <c:v>383</c:v>
                </c:pt>
                <c:pt idx="25" formatCode="_(* #,##0_);_(* \(#,##0\);_(* &quot;-&quot;??_);_(@_)">
                  <c:v>369</c:v>
                </c:pt>
                <c:pt idx="26" formatCode="_(* #,##0_);_(* \(#,##0\);_(* &quot;-&quot;??_);_(@_)">
                  <c:v>397</c:v>
                </c:pt>
                <c:pt idx="27" formatCode="_(* #,##0_);_(* \(#,##0\);_(* &quot;-&quot;??_);_(@_)">
                  <c:v>222</c:v>
                </c:pt>
                <c:pt idx="28" formatCode="_(* #,##0_);_(* \(#,##0\);_(* &quot;-&quot;??_);_(@_)">
                  <c:v>196</c:v>
                </c:pt>
                <c:pt idx="29" formatCode="_(* #,##0_);_(* \(#,##0\);_(* &quot;-&quot;??_);_(@_)">
                  <c:v>152</c:v>
                </c:pt>
                <c:pt idx="30" formatCode="_(* #,##0_);_(* \(#,##0\);_(* &quot;-&quot;??_);_(@_)">
                  <c:v>206</c:v>
                </c:pt>
                <c:pt idx="31" formatCode="_(* #,##0_);_(* \(#,##0\);_(* &quot;-&quot;??_);_(@_)">
                  <c:v>392</c:v>
                </c:pt>
                <c:pt idx="32" formatCode="_(* #,##0_);_(* \(#,##0\);_(* &quot;-&quot;??_);_(@_)">
                  <c:v>137</c:v>
                </c:pt>
                <c:pt idx="33" formatCode="_(* #,##0_);_(* \(#,##0\);_(* &quot;-&quot;??_);_(@_)">
                  <c:v>324</c:v>
                </c:pt>
                <c:pt idx="34" formatCode="_(* #,##0_);_(* \(#,##0\);_(* &quot;-&quot;??_);_(@_)">
                  <c:v>657</c:v>
                </c:pt>
                <c:pt idx="35" formatCode="_(* #,##0_);_(* \(#,##0\);_(* &quot;-&quot;??_);_(@_)">
                  <c:v>265</c:v>
                </c:pt>
                <c:pt idx="36" formatCode="_(* #,##0_);_(* \(#,##0\);_(* &quot;-&quot;??_);_(@_)">
                  <c:v>158</c:v>
                </c:pt>
                <c:pt idx="37">
                  <c:v>423</c:v>
                </c:pt>
                <c:pt idx="38">
                  <c:v>662</c:v>
                </c:pt>
                <c:pt idx="39">
                  <c:v>220</c:v>
                </c:pt>
                <c:pt idx="40" formatCode="_(* #,##0_);_(* \(#,##0\);_(* &quot;-&quot;??_);_(@_)">
                  <c:v>699</c:v>
                </c:pt>
                <c:pt idx="41">
                  <c:v>700</c:v>
                </c:pt>
                <c:pt idx="42" formatCode="_(* #,##0_);_(* \(#,##0\);_(* &quot;-&quot;??_);_(@_)">
                  <c:v>850</c:v>
                </c:pt>
                <c:pt idx="43">
                  <c:v>400</c:v>
                </c:pt>
                <c:pt idx="44" formatCode="_(* #,##0_);_(* \(#,##0\);_(* &quot;-&quot;??_);_(@_)">
                  <c:v>400</c:v>
                </c:pt>
                <c:pt idx="45" formatCode="_(* #,##0_);_(* \(#,##0\);_(* &quot;-&quot;??_);_(@_)">
                  <c:v>750</c:v>
                </c:pt>
                <c:pt idx="46">
                  <c:v>400</c:v>
                </c:pt>
                <c:pt idx="47">
                  <c:v>250</c:v>
                </c:pt>
              </c:numCache>
            </c:numRef>
          </c:val>
          <c:smooth val="0"/>
          <c:extLst>
            <c:ext xmlns:c16="http://schemas.microsoft.com/office/drawing/2014/chart" uri="{C3380CC4-5D6E-409C-BE32-E72D297353CC}">
              <c16:uniqueId val="{00000000-5656-4184-A890-24DCD60F7A7E}"/>
            </c:ext>
          </c:extLst>
        </c:ser>
        <c:dLbls>
          <c:showLegendKey val="0"/>
          <c:showVal val="0"/>
          <c:showCatName val="0"/>
          <c:showSerName val="0"/>
          <c:showPercent val="0"/>
          <c:showBubbleSize val="0"/>
        </c:dLbls>
        <c:marker val="1"/>
        <c:smooth val="0"/>
        <c:axId val="2113267791"/>
        <c:axId val="369416399"/>
      </c:lineChart>
      <c:lineChart>
        <c:grouping val="standard"/>
        <c:varyColors val="0"/>
        <c:ser>
          <c:idx val="1"/>
          <c:order val="1"/>
          <c:tx>
            <c:strRef>
              <c:f>Sheet2!$B$13</c:f>
              <c:strCache>
                <c:ptCount val="1"/>
                <c:pt idx="0">
                  <c:v>ARPU Y/Y Growth</c:v>
                </c:pt>
              </c:strCache>
            </c:strRef>
          </c:tx>
          <c:spPr>
            <a:ln w="28575" cap="rnd">
              <a:solidFill>
                <a:srgbClr val="00B050"/>
              </a:solidFill>
              <a:round/>
            </a:ln>
            <a:effectLst/>
          </c:spPr>
          <c:marker>
            <c:symbol val="none"/>
          </c:marker>
          <c:cat>
            <c:strRef>
              <c:f>Sheet2!$C$11:$AX$11</c:f>
              <c:strCache>
                <c:ptCount val="48"/>
                <c:pt idx="0">
                  <c:v>1Q10</c:v>
                </c:pt>
                <c:pt idx="1">
                  <c:v>2Q10</c:v>
                </c:pt>
                <c:pt idx="2">
                  <c:v>3Q10</c:v>
                </c:pt>
                <c:pt idx="3">
                  <c:v>4Q10</c:v>
                </c:pt>
                <c:pt idx="4">
                  <c:v>1Q11</c:v>
                </c:pt>
                <c:pt idx="5">
                  <c:v>2Q11</c:v>
                </c:pt>
                <c:pt idx="6">
                  <c:v>3Q11</c:v>
                </c:pt>
                <c:pt idx="7">
                  <c:v>4Q11</c:v>
                </c:pt>
                <c:pt idx="8">
                  <c:v>1Q12</c:v>
                </c:pt>
                <c:pt idx="9">
                  <c:v>2Q12</c:v>
                </c:pt>
                <c:pt idx="10">
                  <c:v>3Q12</c:v>
                </c:pt>
                <c:pt idx="11">
                  <c:v>4Q12</c:v>
                </c:pt>
                <c:pt idx="12">
                  <c:v>1Q13</c:v>
                </c:pt>
                <c:pt idx="13">
                  <c:v>2Q13</c:v>
                </c:pt>
                <c:pt idx="14">
                  <c:v>3Q13</c:v>
                </c:pt>
                <c:pt idx="15">
                  <c:v>4Q13</c:v>
                </c:pt>
                <c:pt idx="16">
                  <c:v>1Q14</c:v>
                </c:pt>
                <c:pt idx="17">
                  <c:v>2Q14</c:v>
                </c:pt>
                <c:pt idx="18">
                  <c:v>3Q14</c:v>
                </c:pt>
                <c:pt idx="19">
                  <c:v>4Q14</c:v>
                </c:pt>
                <c:pt idx="20">
                  <c:v>1Q15</c:v>
                </c:pt>
                <c:pt idx="21">
                  <c:v>2Q15</c:v>
                </c:pt>
                <c:pt idx="22">
                  <c:v>3Q15</c:v>
                </c:pt>
                <c:pt idx="23">
                  <c:v>4Q15</c:v>
                </c:pt>
                <c:pt idx="24">
                  <c:v>1Q16</c:v>
                </c:pt>
                <c:pt idx="25">
                  <c:v>2Q16</c:v>
                </c:pt>
                <c:pt idx="26">
                  <c:v>3Q16</c:v>
                </c:pt>
                <c:pt idx="27">
                  <c:v>4Q16</c:v>
                </c:pt>
                <c:pt idx="28">
                  <c:v>1Q17</c:v>
                </c:pt>
                <c:pt idx="29">
                  <c:v>2Q17</c:v>
                </c:pt>
                <c:pt idx="30">
                  <c:v>3Q17</c:v>
                </c:pt>
                <c:pt idx="31">
                  <c:v>4Q17</c:v>
                </c:pt>
                <c:pt idx="32">
                  <c:v>1Q18</c:v>
                </c:pt>
                <c:pt idx="33">
                  <c:v>2Q18</c:v>
                </c:pt>
                <c:pt idx="34">
                  <c:v>3Q18</c:v>
                </c:pt>
                <c:pt idx="35">
                  <c:v>4Q18</c:v>
                </c:pt>
                <c:pt idx="36">
                  <c:v>1Q19</c:v>
                </c:pt>
                <c:pt idx="37">
                  <c:v>2Q19</c:v>
                </c:pt>
                <c:pt idx="38">
                  <c:v>3Q19</c:v>
                </c:pt>
                <c:pt idx="39">
                  <c:v>4Q19</c:v>
                </c:pt>
                <c:pt idx="40">
                  <c:v>1Q20</c:v>
                </c:pt>
                <c:pt idx="41">
                  <c:v>2Q20</c:v>
                </c:pt>
                <c:pt idx="42">
                  <c:v>3Q20</c:v>
                </c:pt>
                <c:pt idx="43">
                  <c:v>4Q20</c:v>
                </c:pt>
                <c:pt idx="44">
                  <c:v>1Q21</c:v>
                </c:pt>
                <c:pt idx="45">
                  <c:v>2Q21</c:v>
                </c:pt>
                <c:pt idx="46">
                  <c:v>3Q21</c:v>
                </c:pt>
                <c:pt idx="47">
                  <c:v>4Q21</c:v>
                </c:pt>
              </c:strCache>
            </c:strRef>
          </c:cat>
          <c:val>
            <c:numRef>
              <c:f>Sheet2!$C$13:$AX$13</c:f>
              <c:numCache>
                <c:formatCode>0.0%</c:formatCode>
                <c:ptCount val="48"/>
                <c:pt idx="0">
                  <c:v>0.10669610007358354</c:v>
                </c:pt>
                <c:pt idx="1">
                  <c:v>0.10997532604864291</c:v>
                </c:pt>
                <c:pt idx="2">
                  <c:v>0.11241379310344835</c:v>
                </c:pt>
                <c:pt idx="3">
                  <c:v>9.4676549865229109E-2</c:v>
                </c:pt>
                <c:pt idx="4">
                  <c:v>9.4082446808510634E-2</c:v>
                </c:pt>
                <c:pt idx="5">
                  <c:v>5.4620514449031488E-2</c:v>
                </c:pt>
                <c:pt idx="6">
                  <c:v>4.6497210167389946E-2</c:v>
                </c:pt>
                <c:pt idx="7">
                  <c:v>5.0169282856263431E-2</c:v>
                </c:pt>
                <c:pt idx="8">
                  <c:v>7.2318444241871838E-2</c:v>
                </c:pt>
                <c:pt idx="9">
                  <c:v>0.10448660042155966</c:v>
                </c:pt>
                <c:pt idx="10">
                  <c:v>0.21475118483412325</c:v>
                </c:pt>
                <c:pt idx="11">
                  <c:v>0.31858147713950768</c:v>
                </c:pt>
                <c:pt idx="12">
                  <c:v>0.3131198639841315</c:v>
                </c:pt>
                <c:pt idx="13">
                  <c:v>0.32742639040348953</c:v>
                </c:pt>
                <c:pt idx="14">
                  <c:v>0.22360399902462813</c:v>
                </c:pt>
                <c:pt idx="15">
                  <c:v>0.13380751278061798</c:v>
                </c:pt>
                <c:pt idx="16">
                  <c:v>0.12645662494605103</c:v>
                </c:pt>
                <c:pt idx="17">
                  <c:v>0.12281782706921329</c:v>
                </c:pt>
                <c:pt idx="18">
                  <c:v>0.11518533280191301</c:v>
                </c:pt>
                <c:pt idx="19">
                  <c:v>0.16094883356204659</c:v>
                </c:pt>
                <c:pt idx="20">
                  <c:v>0.15191570881226046</c:v>
                </c:pt>
                <c:pt idx="21">
                  <c:v>0.13865008231205422</c:v>
                </c:pt>
                <c:pt idx="22">
                  <c:v>0.15010721944245886</c:v>
                </c:pt>
                <c:pt idx="23">
                  <c:v>0.11972306653157716</c:v>
                </c:pt>
                <c:pt idx="24">
                  <c:v>0.17295858972226852</c:v>
                </c:pt>
                <c:pt idx="25">
                  <c:v>0.16032128514056221</c:v>
                </c:pt>
                <c:pt idx="26">
                  <c:v>0.14962709757613424</c:v>
                </c:pt>
                <c:pt idx="27">
                  <c:v>0.14763987332227413</c:v>
                </c:pt>
                <c:pt idx="28">
                  <c:v>9.2726499361973636E-2</c:v>
                </c:pt>
                <c:pt idx="29">
                  <c:v>0.10660390419493293</c:v>
                </c:pt>
                <c:pt idx="30">
                  <c:v>0.11082578726854986</c:v>
                </c:pt>
                <c:pt idx="31">
                  <c:v>0.10919842312746386</c:v>
                </c:pt>
                <c:pt idx="32">
                  <c:v>0.10276372129233158</c:v>
                </c:pt>
                <c:pt idx="33">
                  <c:v>8.4073564368822629E-2</c:v>
                </c:pt>
                <c:pt idx="34">
                  <c:v>7.5313298454799948E-2</c:v>
                </c:pt>
                <c:pt idx="35">
                  <c:v>2.4404691387276412E-2</c:v>
                </c:pt>
                <c:pt idx="36">
                  <c:v>4.9417578538650808E-3</c:v>
                </c:pt>
                <c:pt idx="37">
                  <c:v>1.038661281015596E-3</c:v>
                </c:pt>
                <c:pt idx="38">
                  <c:v>-5.0916496945010437E-3</c:v>
                </c:pt>
                <c:pt idx="39">
                  <c:v>3.3190701977564574E-2</c:v>
                </c:pt>
                <c:pt idx="40">
                  <c:v>6.1819459079732964E-2</c:v>
                </c:pt>
                <c:pt idx="41">
                  <c:v>5.1187456767350703E-2</c:v>
                </c:pt>
                <c:pt idx="42">
                  <c:v>7.733424314795867E-2</c:v>
                </c:pt>
                <c:pt idx="43">
                  <c:v>7.9583613163196842E-2</c:v>
                </c:pt>
                <c:pt idx="44">
                  <c:v>9.1630830301025368E-2</c:v>
                </c:pt>
                <c:pt idx="45">
                  <c:v>0.11318271550778669</c:v>
                </c:pt>
                <c:pt idx="46">
                  <c:v>9.2578908476723232E-2</c:v>
                </c:pt>
                <c:pt idx="47">
                  <c:v>7.827890098496626E-2</c:v>
                </c:pt>
              </c:numCache>
            </c:numRef>
          </c:val>
          <c:smooth val="0"/>
          <c:extLst>
            <c:ext xmlns:c16="http://schemas.microsoft.com/office/drawing/2014/chart" uri="{C3380CC4-5D6E-409C-BE32-E72D297353CC}">
              <c16:uniqueId val="{00000001-5656-4184-A890-24DCD60F7A7E}"/>
            </c:ext>
          </c:extLst>
        </c:ser>
        <c:dLbls>
          <c:showLegendKey val="0"/>
          <c:showVal val="0"/>
          <c:showCatName val="0"/>
          <c:showSerName val="0"/>
          <c:showPercent val="0"/>
          <c:showBubbleSize val="0"/>
        </c:dLbls>
        <c:marker val="1"/>
        <c:smooth val="0"/>
        <c:axId val="243071471"/>
        <c:axId val="369420975"/>
      </c:lineChart>
      <c:catAx>
        <c:axId val="21132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69416399"/>
        <c:crosses val="autoZero"/>
        <c:auto val="1"/>
        <c:lblAlgn val="ctr"/>
        <c:lblOffset val="100"/>
        <c:noMultiLvlLbl val="0"/>
      </c:catAx>
      <c:valAx>
        <c:axId val="36941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3267791"/>
        <c:crosses val="autoZero"/>
        <c:crossBetween val="between"/>
      </c:valAx>
      <c:valAx>
        <c:axId val="36942097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3071471"/>
        <c:crosses val="max"/>
        <c:crossBetween val="between"/>
      </c:valAx>
      <c:catAx>
        <c:axId val="243071471"/>
        <c:scaling>
          <c:orientation val="minMax"/>
        </c:scaling>
        <c:delete val="1"/>
        <c:axPos val="b"/>
        <c:numFmt formatCode="General" sourceLinked="1"/>
        <c:majorTickMark val="out"/>
        <c:minorTickMark val="none"/>
        <c:tickLblPos val="nextTo"/>
        <c:crossAx val="3694209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Charts!$A$3</c:f>
              <c:strCache>
                <c:ptCount val="1"/>
                <c:pt idx="0">
                  <c:v>Organic Y/Y ARPU Change</c:v>
                </c:pt>
              </c:strCache>
            </c:strRef>
          </c:tx>
          <c:spPr>
            <a:ln w="28575" cap="rnd" cmpd="sng" algn="ctr">
              <a:solidFill>
                <a:schemeClr val="accent1">
                  <a:shade val="95000"/>
                  <a:satMod val="105000"/>
                </a:schemeClr>
              </a:solidFill>
              <a:prstDash val="solid"/>
              <a:round/>
            </a:ln>
            <a:effectLst/>
          </c:spPr>
          <c:marker>
            <c:symbol val="triangle"/>
            <c:size val="8"/>
            <c:spPr>
              <a:solidFill>
                <a:schemeClr val="accent1"/>
              </a:solidFill>
              <a:ln w="9525" cap="flat" cmpd="sng" algn="ctr">
                <a:solidFill>
                  <a:schemeClr val="accent1">
                    <a:shade val="95000"/>
                    <a:satMod val="105000"/>
                  </a:schemeClr>
                </a:solidFill>
                <a:prstDash val="solid"/>
                <a:round/>
              </a:ln>
              <a:effectLst/>
            </c:spPr>
          </c:marker>
          <c:cat>
            <c:strRef>
              <c:f>Charts!$F$1:$AI$1</c:f>
              <c:strCache>
                <c:ptCount val="30"/>
                <c:pt idx="0">
                  <c:v>1Q14</c:v>
                </c:pt>
                <c:pt idx="1">
                  <c:v>2Q14</c:v>
                </c:pt>
                <c:pt idx="2">
                  <c:v>3Q14</c:v>
                </c:pt>
                <c:pt idx="3">
                  <c:v>4Q14</c:v>
                </c:pt>
                <c:pt idx="4">
                  <c:v>1Q15</c:v>
                </c:pt>
                <c:pt idx="5">
                  <c:v>2Q15</c:v>
                </c:pt>
                <c:pt idx="6">
                  <c:v>3Q15</c:v>
                </c:pt>
                <c:pt idx="7">
                  <c:v>4Q15</c:v>
                </c:pt>
                <c:pt idx="8">
                  <c:v>1Q16</c:v>
                </c:pt>
                <c:pt idx="9">
                  <c:v>2Q16</c:v>
                </c:pt>
                <c:pt idx="10">
                  <c:v>3Q16</c:v>
                </c:pt>
                <c:pt idx="11">
                  <c:v>4Q16</c:v>
                </c:pt>
                <c:pt idx="12">
                  <c:v>1Q17</c:v>
                </c:pt>
                <c:pt idx="13">
                  <c:v>2Q17</c:v>
                </c:pt>
                <c:pt idx="14">
                  <c:v>3Q17</c:v>
                </c:pt>
                <c:pt idx="15">
                  <c:v>4Q17</c:v>
                </c:pt>
                <c:pt idx="16">
                  <c:v>1Q18</c:v>
                </c:pt>
                <c:pt idx="17">
                  <c:v>2Q18</c:v>
                </c:pt>
                <c:pt idx="18">
                  <c:v>3Q18</c:v>
                </c:pt>
                <c:pt idx="19">
                  <c:v>4Q18</c:v>
                </c:pt>
                <c:pt idx="20">
                  <c:v>1Q19</c:v>
                </c:pt>
                <c:pt idx="21">
                  <c:v>2Q19</c:v>
                </c:pt>
                <c:pt idx="22">
                  <c:v>3Q19</c:v>
                </c:pt>
                <c:pt idx="23">
                  <c:v>4Q19</c:v>
                </c:pt>
                <c:pt idx="24">
                  <c:v>1Q20</c:v>
                </c:pt>
                <c:pt idx="25">
                  <c:v>2Q20</c:v>
                </c:pt>
                <c:pt idx="26">
                  <c:v>3Q20</c:v>
                </c:pt>
                <c:pt idx="27">
                  <c:v>4Q20</c:v>
                </c:pt>
                <c:pt idx="28">
                  <c:v>1Q21</c:v>
                </c:pt>
                <c:pt idx="29">
                  <c:v>2Q21</c:v>
                </c:pt>
              </c:strCache>
            </c:strRef>
          </c:cat>
          <c:val>
            <c:numRef>
              <c:f>Charts!$F$3:$AI$3</c:f>
              <c:numCache>
                <c:formatCode>0.0%_);\(0.0%\);0.0%_);@_)</c:formatCode>
                <c:ptCount val="30"/>
                <c:pt idx="0">
                  <c:v>0.12645662494605103</c:v>
                </c:pt>
                <c:pt idx="1">
                  <c:v>0.12281782706921329</c:v>
                </c:pt>
                <c:pt idx="2">
                  <c:v>0.11518533280191301</c:v>
                </c:pt>
                <c:pt idx="3">
                  <c:v>0.14000000000000001</c:v>
                </c:pt>
                <c:pt idx="4">
                  <c:v>0.15191570881226046</c:v>
                </c:pt>
                <c:pt idx="5">
                  <c:v>0.13865008231205422</c:v>
                </c:pt>
                <c:pt idx="6">
                  <c:v>0.13</c:v>
                </c:pt>
                <c:pt idx="7">
                  <c:v>0.14000000000000001</c:v>
                </c:pt>
                <c:pt idx="8">
                  <c:v>0.13</c:v>
                </c:pt>
                <c:pt idx="9">
                  <c:v>0.11</c:v>
                </c:pt>
                <c:pt idx="10">
                  <c:v>0.11</c:v>
                </c:pt>
                <c:pt idx="11" formatCode="0%">
                  <c:v>0.1</c:v>
                </c:pt>
                <c:pt idx="12" formatCode="0.0%">
                  <c:v>9.2726499361973636E-2</c:v>
                </c:pt>
                <c:pt idx="13" formatCode="0.0%">
                  <c:v>0.10660390419493293</c:v>
                </c:pt>
                <c:pt idx="14" formatCode="0.0%">
                  <c:v>0.11082578726854986</c:v>
                </c:pt>
                <c:pt idx="15" formatCode="0.0%">
                  <c:v>0.10919842312746386</c:v>
                </c:pt>
                <c:pt idx="16" formatCode="0.0%">
                  <c:v>0.10276372129233158</c:v>
                </c:pt>
                <c:pt idx="17" formatCode="0.0%">
                  <c:v>8.4073564368822629E-2</c:v>
                </c:pt>
                <c:pt idx="18" formatCode="0.0%">
                  <c:v>7.5313298454799948E-2</c:v>
                </c:pt>
                <c:pt idx="19" formatCode="0.0%">
                  <c:v>2.4404691387276412E-2</c:v>
                </c:pt>
                <c:pt idx="20" formatCode="0.0%">
                  <c:v>6.2E-2</c:v>
                </c:pt>
                <c:pt idx="21" formatCode="0.0%">
                  <c:v>0.06</c:v>
                </c:pt>
                <c:pt idx="22" formatCode="0%">
                  <c:v>0.05</c:v>
                </c:pt>
                <c:pt idx="23" formatCode="0%">
                  <c:v>0.06</c:v>
                </c:pt>
                <c:pt idx="24" formatCode="0.0%">
                  <c:v>6.2E-2</c:v>
                </c:pt>
                <c:pt idx="25" formatCode="0.0%">
                  <c:v>5.0999999999999997E-2</c:v>
                </c:pt>
                <c:pt idx="26" formatCode="0%">
                  <c:v>7.733424314795867E-2</c:v>
                </c:pt>
                <c:pt idx="27" formatCode="0%">
                  <c:v>7.9583613163196842E-2</c:v>
                </c:pt>
                <c:pt idx="28" formatCode="0.0%">
                  <c:v>9.1630830301025368E-2</c:v>
                </c:pt>
                <c:pt idx="29" formatCode="0.0%">
                  <c:v>0.11318271550778669</c:v>
                </c:pt>
              </c:numCache>
            </c:numRef>
          </c:val>
          <c:smooth val="0"/>
          <c:extLst>
            <c:ext xmlns:c16="http://schemas.microsoft.com/office/drawing/2014/chart" uri="{C3380CC4-5D6E-409C-BE32-E72D297353CC}">
              <c16:uniqueId val="{00000000-351F-4929-8BCD-1DA1910B01C9}"/>
            </c:ext>
          </c:extLst>
        </c:ser>
        <c:dLbls>
          <c:showLegendKey val="0"/>
          <c:showVal val="0"/>
          <c:showCatName val="0"/>
          <c:showSerName val="0"/>
          <c:showPercent val="0"/>
          <c:showBubbleSize val="0"/>
        </c:dLbls>
        <c:marker val="1"/>
        <c:smooth val="0"/>
        <c:axId val="-54631248"/>
        <c:axId val="-54624720"/>
      </c:lineChart>
      <c:lineChart>
        <c:grouping val="standard"/>
        <c:varyColors val="0"/>
        <c:ser>
          <c:idx val="1"/>
          <c:order val="1"/>
          <c:tx>
            <c:strRef>
              <c:f>Charts!$A$4</c:f>
              <c:strCache>
                <c:ptCount val="1"/>
                <c:pt idx="0">
                  <c:v>Customer Additions</c:v>
                </c:pt>
              </c:strCache>
            </c:strRef>
          </c:tx>
          <c:spPr>
            <a:ln w="28575" cap="rnd" cmpd="sng" algn="ctr">
              <a:solidFill>
                <a:schemeClr val="accent2">
                  <a:shade val="95000"/>
                  <a:satMod val="105000"/>
                </a:schemeClr>
              </a:solidFill>
              <a:prstDash val="solid"/>
              <a:round/>
            </a:ln>
            <a:effectLst/>
          </c:spPr>
          <c:marker>
            <c:spPr>
              <a:solidFill>
                <a:schemeClr val="accent2"/>
              </a:solidFill>
              <a:ln w="9525" cap="flat" cmpd="sng" algn="ctr">
                <a:solidFill>
                  <a:schemeClr val="accent2">
                    <a:shade val="95000"/>
                    <a:satMod val="105000"/>
                  </a:schemeClr>
                </a:solidFill>
                <a:prstDash val="solid"/>
                <a:round/>
              </a:ln>
              <a:effectLst/>
            </c:spPr>
          </c:marker>
          <c:dPt>
            <c:idx val="24"/>
            <c:bubble3D val="0"/>
            <c:extLst>
              <c:ext xmlns:c16="http://schemas.microsoft.com/office/drawing/2014/chart" uri="{C3380CC4-5D6E-409C-BE32-E72D297353CC}">
                <c16:uniqueId val="{00000000-3F2E-4572-83B7-0F778E6631DA}"/>
              </c:ext>
            </c:extLst>
          </c:dPt>
          <c:cat>
            <c:strRef>
              <c:f>Charts!$F$1:$AI$1</c:f>
              <c:strCache>
                <c:ptCount val="30"/>
                <c:pt idx="0">
                  <c:v>1Q14</c:v>
                </c:pt>
                <c:pt idx="1">
                  <c:v>2Q14</c:v>
                </c:pt>
                <c:pt idx="2">
                  <c:v>3Q14</c:v>
                </c:pt>
                <c:pt idx="3">
                  <c:v>4Q14</c:v>
                </c:pt>
                <c:pt idx="4">
                  <c:v>1Q15</c:v>
                </c:pt>
                <c:pt idx="5">
                  <c:v>2Q15</c:v>
                </c:pt>
                <c:pt idx="6">
                  <c:v>3Q15</c:v>
                </c:pt>
                <c:pt idx="7">
                  <c:v>4Q15</c:v>
                </c:pt>
                <c:pt idx="8">
                  <c:v>1Q16</c:v>
                </c:pt>
                <c:pt idx="9">
                  <c:v>2Q16</c:v>
                </c:pt>
                <c:pt idx="10">
                  <c:v>3Q16</c:v>
                </c:pt>
                <c:pt idx="11">
                  <c:v>4Q16</c:v>
                </c:pt>
                <c:pt idx="12">
                  <c:v>1Q17</c:v>
                </c:pt>
                <c:pt idx="13">
                  <c:v>2Q17</c:v>
                </c:pt>
                <c:pt idx="14">
                  <c:v>3Q17</c:v>
                </c:pt>
                <c:pt idx="15">
                  <c:v>4Q17</c:v>
                </c:pt>
                <c:pt idx="16">
                  <c:v>1Q18</c:v>
                </c:pt>
                <c:pt idx="17">
                  <c:v>2Q18</c:v>
                </c:pt>
                <c:pt idx="18">
                  <c:v>3Q18</c:v>
                </c:pt>
                <c:pt idx="19">
                  <c:v>4Q18</c:v>
                </c:pt>
                <c:pt idx="20">
                  <c:v>1Q19</c:v>
                </c:pt>
                <c:pt idx="21">
                  <c:v>2Q19</c:v>
                </c:pt>
                <c:pt idx="22">
                  <c:v>3Q19</c:v>
                </c:pt>
                <c:pt idx="23">
                  <c:v>4Q19</c:v>
                </c:pt>
                <c:pt idx="24">
                  <c:v>1Q20</c:v>
                </c:pt>
                <c:pt idx="25">
                  <c:v>2Q20</c:v>
                </c:pt>
                <c:pt idx="26">
                  <c:v>3Q20</c:v>
                </c:pt>
                <c:pt idx="27">
                  <c:v>4Q20</c:v>
                </c:pt>
                <c:pt idx="28">
                  <c:v>1Q21</c:v>
                </c:pt>
                <c:pt idx="29">
                  <c:v>2Q21</c:v>
                </c:pt>
              </c:strCache>
            </c:strRef>
          </c:cat>
          <c:val>
            <c:numRef>
              <c:f>Charts!$F$4:$AI$4</c:f>
              <c:numCache>
                <c:formatCode>_(* #,##0_);_(* \(#,##0\);_(* "-"??_);_(@_)</c:formatCode>
                <c:ptCount val="30"/>
                <c:pt idx="0">
                  <c:v>326</c:v>
                </c:pt>
                <c:pt idx="1">
                  <c:v>729</c:v>
                </c:pt>
                <c:pt idx="2">
                  <c:v>473</c:v>
                </c:pt>
                <c:pt idx="3">
                  <c:v>247</c:v>
                </c:pt>
                <c:pt idx="4">
                  <c:v>453</c:v>
                </c:pt>
                <c:pt idx="5">
                  <c:v>310</c:v>
                </c:pt>
                <c:pt idx="6">
                  <c:v>346</c:v>
                </c:pt>
                <c:pt idx="7">
                  <c:v>318</c:v>
                </c:pt>
                <c:pt idx="8">
                  <c:v>383</c:v>
                </c:pt>
                <c:pt idx="9">
                  <c:v>369</c:v>
                </c:pt>
                <c:pt idx="10">
                  <c:v>397</c:v>
                </c:pt>
                <c:pt idx="11">
                  <c:v>222</c:v>
                </c:pt>
                <c:pt idx="12">
                  <c:v>196</c:v>
                </c:pt>
                <c:pt idx="13">
                  <c:v>152</c:v>
                </c:pt>
                <c:pt idx="14">
                  <c:v>206</c:v>
                </c:pt>
                <c:pt idx="15">
                  <c:v>392</c:v>
                </c:pt>
                <c:pt idx="16">
                  <c:v>137</c:v>
                </c:pt>
                <c:pt idx="17">
                  <c:v>324</c:v>
                </c:pt>
                <c:pt idx="18">
                  <c:v>657</c:v>
                </c:pt>
                <c:pt idx="19">
                  <c:v>265</c:v>
                </c:pt>
                <c:pt idx="20">
                  <c:v>158</c:v>
                </c:pt>
                <c:pt idx="21">
                  <c:v>423</c:v>
                </c:pt>
                <c:pt idx="22">
                  <c:v>662</c:v>
                </c:pt>
                <c:pt idx="23">
                  <c:v>220</c:v>
                </c:pt>
                <c:pt idx="24">
                  <c:v>229</c:v>
                </c:pt>
                <c:pt idx="25">
                  <c:v>468</c:v>
                </c:pt>
                <c:pt idx="26">
                  <c:v>557</c:v>
                </c:pt>
                <c:pt idx="27">
                  <c:v>1126</c:v>
                </c:pt>
                <c:pt idx="28">
                  <c:v>699</c:v>
                </c:pt>
                <c:pt idx="29">
                  <c:v>700</c:v>
                </c:pt>
              </c:numCache>
            </c:numRef>
          </c:val>
          <c:smooth val="0"/>
          <c:extLst>
            <c:ext xmlns:c16="http://schemas.microsoft.com/office/drawing/2014/chart" uri="{C3380CC4-5D6E-409C-BE32-E72D297353CC}">
              <c16:uniqueId val="{00000001-351F-4929-8BCD-1DA1910B01C9}"/>
            </c:ext>
          </c:extLst>
        </c:ser>
        <c:dLbls>
          <c:showLegendKey val="0"/>
          <c:showVal val="0"/>
          <c:showCatName val="0"/>
          <c:showSerName val="0"/>
          <c:showPercent val="0"/>
          <c:showBubbleSize val="0"/>
        </c:dLbls>
        <c:marker val="1"/>
        <c:smooth val="0"/>
        <c:axId val="-54619280"/>
        <c:axId val="-54625808"/>
      </c:lineChart>
      <c:catAx>
        <c:axId val="-54631248"/>
        <c:scaling>
          <c:orientation val="minMax"/>
        </c:scaling>
        <c:delete val="0"/>
        <c:axPos val="b"/>
        <c:numFmt formatCode="General"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crossAx val="-54624720"/>
        <c:crosses val="autoZero"/>
        <c:auto val="1"/>
        <c:lblAlgn val="ctr"/>
        <c:lblOffset val="100"/>
        <c:noMultiLvlLbl val="0"/>
      </c:catAx>
      <c:valAx>
        <c:axId val="-54624720"/>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000000"/>
                    </a:solidFill>
                    <a:latin typeface="Arial" panose="020B0604020202020204" pitchFamily="34" charset="0"/>
                    <a:ea typeface="Calibri"/>
                    <a:cs typeface="Arial" panose="020B0604020202020204" pitchFamily="34" charset="0"/>
                  </a:defRPr>
                </a:pPr>
                <a:r>
                  <a:rPr lang="en-US">
                    <a:latin typeface="Arial" panose="020B0604020202020204" pitchFamily="34" charset="0"/>
                    <a:cs typeface="Arial" panose="020B0604020202020204" pitchFamily="34" charset="0"/>
                  </a:rPr>
                  <a:t>ARPU Growth</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title>
        <c:numFmt formatCode="0.0%_);\(0.0%\);0.0%_);@_)" sourceLinked="1"/>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0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crossAx val="-54631248"/>
        <c:crosses val="autoZero"/>
        <c:crossBetween val="between"/>
      </c:valAx>
      <c:catAx>
        <c:axId val="-54619280"/>
        <c:scaling>
          <c:orientation val="minMax"/>
        </c:scaling>
        <c:delete val="1"/>
        <c:axPos val="b"/>
        <c:numFmt formatCode="General" sourceLinked="1"/>
        <c:majorTickMark val="out"/>
        <c:minorTickMark val="none"/>
        <c:tickLblPos val="nextTo"/>
        <c:crossAx val="-54625808"/>
        <c:crosses val="autoZero"/>
        <c:auto val="1"/>
        <c:lblAlgn val="ctr"/>
        <c:lblOffset val="100"/>
        <c:noMultiLvlLbl val="0"/>
      </c:catAx>
      <c:valAx>
        <c:axId val="-54625808"/>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000000"/>
                    </a:solidFill>
                    <a:latin typeface="Arial" panose="020B0604020202020204" pitchFamily="34" charset="0"/>
                    <a:ea typeface="Calibri"/>
                    <a:cs typeface="Arial" panose="020B0604020202020204" pitchFamily="34" charset="0"/>
                  </a:defRPr>
                </a:pPr>
                <a:r>
                  <a:rPr lang="en-US">
                    <a:latin typeface="Arial" panose="020B0604020202020204" pitchFamily="34" charset="0"/>
                    <a:cs typeface="Arial" panose="020B0604020202020204" pitchFamily="34" charset="0"/>
                  </a:rPr>
                  <a:t>Customer Adds</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title>
        <c:numFmt formatCode="_(* #,##0_);_(* \(#,##0\);_(* &quot;-&quot;??_);_(@_)"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0" spcFirstLastPara="1" vertOverflow="ellipsis" wrap="square" anchor="ctr" anchorCtr="1"/>
          <a:lstStyle/>
          <a:p>
            <a:pPr>
              <a:defRPr sz="10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crossAx val="-54619280"/>
        <c:crosses val="max"/>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Charts!$E$10</c:f>
              <c:strCache>
                <c:ptCount val="1"/>
                <c:pt idx="0">
                  <c:v>Y/Y ARPU Change</c:v>
                </c:pt>
              </c:strCache>
            </c:strRef>
          </c:tx>
          <c:spPr>
            <a:ln w="28575" cap="rnd">
              <a:solidFill>
                <a:schemeClr val="accent1"/>
              </a:solidFill>
              <a:round/>
            </a:ln>
            <a:effectLst/>
          </c:spPr>
          <c:marker>
            <c:symbol val="none"/>
          </c:marker>
          <c:cat>
            <c:strRef>
              <c:f>Charts!$F$9:$AJ$9</c:f>
              <c:strCache>
                <c:ptCount val="31"/>
                <c:pt idx="0">
                  <c:v>1Q14</c:v>
                </c:pt>
                <c:pt idx="1">
                  <c:v>2Q14</c:v>
                </c:pt>
                <c:pt idx="2">
                  <c:v>3Q14</c:v>
                </c:pt>
                <c:pt idx="3">
                  <c:v>4Q14</c:v>
                </c:pt>
                <c:pt idx="4">
                  <c:v>1Q15</c:v>
                </c:pt>
                <c:pt idx="5">
                  <c:v>2Q15</c:v>
                </c:pt>
                <c:pt idx="6">
                  <c:v>3Q15</c:v>
                </c:pt>
                <c:pt idx="7">
                  <c:v>4Q15</c:v>
                </c:pt>
                <c:pt idx="8">
                  <c:v>1Q16</c:v>
                </c:pt>
                <c:pt idx="9">
                  <c:v>2Q16</c:v>
                </c:pt>
                <c:pt idx="10">
                  <c:v>3Q16</c:v>
                </c:pt>
                <c:pt idx="11">
                  <c:v>4Q16</c:v>
                </c:pt>
                <c:pt idx="12">
                  <c:v>1Q17</c:v>
                </c:pt>
                <c:pt idx="13">
                  <c:v>2Q17</c:v>
                </c:pt>
                <c:pt idx="14">
                  <c:v>3Q17</c:v>
                </c:pt>
                <c:pt idx="15">
                  <c:v>4Q17</c:v>
                </c:pt>
                <c:pt idx="16">
                  <c:v>1Q18</c:v>
                </c:pt>
                <c:pt idx="17">
                  <c:v>2Q18</c:v>
                </c:pt>
                <c:pt idx="18">
                  <c:v>3Q18</c:v>
                </c:pt>
                <c:pt idx="19">
                  <c:v>4Q18</c:v>
                </c:pt>
                <c:pt idx="20">
                  <c:v>1Q19</c:v>
                </c:pt>
                <c:pt idx="21">
                  <c:v>2Q19</c:v>
                </c:pt>
                <c:pt idx="22">
                  <c:v>3Q19</c:v>
                </c:pt>
                <c:pt idx="23">
                  <c:v>4Q19</c:v>
                </c:pt>
                <c:pt idx="24">
                  <c:v>1Q20</c:v>
                </c:pt>
                <c:pt idx="25">
                  <c:v>2Q20</c:v>
                </c:pt>
                <c:pt idx="26">
                  <c:v>3Q20</c:v>
                </c:pt>
                <c:pt idx="27">
                  <c:v>4Q20</c:v>
                </c:pt>
                <c:pt idx="28">
                  <c:v>1Q21</c:v>
                </c:pt>
                <c:pt idx="29">
                  <c:v>2Q21</c:v>
                </c:pt>
                <c:pt idx="30">
                  <c:v>3Q21</c:v>
                </c:pt>
              </c:strCache>
            </c:strRef>
          </c:cat>
          <c:val>
            <c:numRef>
              <c:f>Charts!$F$10:$AJ$10</c:f>
              <c:numCache>
                <c:formatCode>0.0%_);\(0.0%\);0.0%_);@_)</c:formatCode>
                <c:ptCount val="31"/>
                <c:pt idx="0">
                  <c:v>0.12645662494605103</c:v>
                </c:pt>
                <c:pt idx="1">
                  <c:v>0.12281782706921329</c:v>
                </c:pt>
                <c:pt idx="2">
                  <c:v>0.11518533280191301</c:v>
                </c:pt>
                <c:pt idx="3">
                  <c:v>0.14000000000000001</c:v>
                </c:pt>
                <c:pt idx="4">
                  <c:v>0.15191570881226046</c:v>
                </c:pt>
                <c:pt idx="5">
                  <c:v>0.13865008231205422</c:v>
                </c:pt>
                <c:pt idx="6">
                  <c:v>0.13</c:v>
                </c:pt>
                <c:pt idx="7">
                  <c:v>0.14000000000000001</c:v>
                </c:pt>
                <c:pt idx="8">
                  <c:v>0.13</c:v>
                </c:pt>
                <c:pt idx="9">
                  <c:v>0.11</c:v>
                </c:pt>
                <c:pt idx="10">
                  <c:v>0.11</c:v>
                </c:pt>
                <c:pt idx="11" formatCode="0%">
                  <c:v>0.1</c:v>
                </c:pt>
                <c:pt idx="12" formatCode="0.0%">
                  <c:v>9.2726499361973636E-2</c:v>
                </c:pt>
                <c:pt idx="13" formatCode="0.0%">
                  <c:v>0.10660390419493293</c:v>
                </c:pt>
                <c:pt idx="14" formatCode="0.0%">
                  <c:v>0.11082578726854986</c:v>
                </c:pt>
                <c:pt idx="15" formatCode="0.0%">
                  <c:v>0.10919842312746386</c:v>
                </c:pt>
                <c:pt idx="16" formatCode="0.0%">
                  <c:v>0.10276372129233158</c:v>
                </c:pt>
                <c:pt idx="17" formatCode="0.0%">
                  <c:v>8.4073564368822629E-2</c:v>
                </c:pt>
                <c:pt idx="18" formatCode="0.0%">
                  <c:v>7.5313298454799948E-2</c:v>
                </c:pt>
                <c:pt idx="19" formatCode="0.0%">
                  <c:v>2.4404691387276412E-2</c:v>
                </c:pt>
                <c:pt idx="20" formatCode="0.0%">
                  <c:v>4.9417578538650808E-3</c:v>
                </c:pt>
                <c:pt idx="21" formatCode="0.0%">
                  <c:v>1.038661281015596E-3</c:v>
                </c:pt>
                <c:pt idx="22" formatCode="0.0%">
                  <c:v>-5.0916496945010437E-3</c:v>
                </c:pt>
                <c:pt idx="23" formatCode="0.0%">
                  <c:v>3.3190701977564574E-2</c:v>
                </c:pt>
                <c:pt idx="24" formatCode="0.0%">
                  <c:v>6.1819459079732964E-2</c:v>
                </c:pt>
                <c:pt idx="25" formatCode="0.0%">
                  <c:v>5.1187456767350703E-2</c:v>
                </c:pt>
                <c:pt idx="26" formatCode="0%">
                  <c:v>7.733424314795867E-2</c:v>
                </c:pt>
                <c:pt idx="27" formatCode="0%">
                  <c:v>7.9583613163196842E-2</c:v>
                </c:pt>
                <c:pt idx="28" formatCode="0.0%">
                  <c:v>9.1630830301025368E-2</c:v>
                </c:pt>
                <c:pt idx="29" formatCode="0.0%">
                  <c:v>0.11318271550778669</c:v>
                </c:pt>
                <c:pt idx="30" formatCode="0.0%">
                  <c:v>9.2578908476723232E-2</c:v>
                </c:pt>
              </c:numCache>
            </c:numRef>
          </c:val>
          <c:smooth val="0"/>
          <c:extLst>
            <c:ext xmlns:c16="http://schemas.microsoft.com/office/drawing/2014/chart" uri="{C3380CC4-5D6E-409C-BE32-E72D297353CC}">
              <c16:uniqueId val="{00000000-2F7D-4259-A1FD-56AADE745DAC}"/>
            </c:ext>
          </c:extLst>
        </c:ser>
        <c:dLbls>
          <c:showLegendKey val="0"/>
          <c:showVal val="0"/>
          <c:showCatName val="0"/>
          <c:showSerName val="0"/>
          <c:showPercent val="0"/>
          <c:showBubbleSize val="0"/>
        </c:dLbls>
        <c:marker val="1"/>
        <c:smooth val="0"/>
        <c:axId val="1483014543"/>
        <c:axId val="1888361663"/>
      </c:lineChart>
      <c:lineChart>
        <c:grouping val="standard"/>
        <c:varyColors val="0"/>
        <c:ser>
          <c:idx val="1"/>
          <c:order val="1"/>
          <c:tx>
            <c:strRef>
              <c:f>Charts!$E$11</c:f>
              <c:strCache>
                <c:ptCount val="1"/>
                <c:pt idx="0">
                  <c:v>Customer Additions</c:v>
                </c:pt>
              </c:strCache>
            </c:strRef>
          </c:tx>
          <c:spPr>
            <a:ln w="28575" cap="rnd">
              <a:solidFill>
                <a:schemeClr val="accent2"/>
              </a:solidFill>
              <a:round/>
            </a:ln>
            <a:effectLst/>
          </c:spPr>
          <c:marker>
            <c:symbol val="none"/>
          </c:marker>
          <c:cat>
            <c:strRef>
              <c:f>Charts!$F$9:$AJ$9</c:f>
              <c:strCache>
                <c:ptCount val="31"/>
                <c:pt idx="0">
                  <c:v>1Q14</c:v>
                </c:pt>
                <c:pt idx="1">
                  <c:v>2Q14</c:v>
                </c:pt>
                <c:pt idx="2">
                  <c:v>3Q14</c:v>
                </c:pt>
                <c:pt idx="3">
                  <c:v>4Q14</c:v>
                </c:pt>
                <c:pt idx="4">
                  <c:v>1Q15</c:v>
                </c:pt>
                <c:pt idx="5">
                  <c:v>2Q15</c:v>
                </c:pt>
                <c:pt idx="6">
                  <c:v>3Q15</c:v>
                </c:pt>
                <c:pt idx="7">
                  <c:v>4Q15</c:v>
                </c:pt>
                <c:pt idx="8">
                  <c:v>1Q16</c:v>
                </c:pt>
                <c:pt idx="9">
                  <c:v>2Q16</c:v>
                </c:pt>
                <c:pt idx="10">
                  <c:v>3Q16</c:v>
                </c:pt>
                <c:pt idx="11">
                  <c:v>4Q16</c:v>
                </c:pt>
                <c:pt idx="12">
                  <c:v>1Q17</c:v>
                </c:pt>
                <c:pt idx="13">
                  <c:v>2Q17</c:v>
                </c:pt>
                <c:pt idx="14">
                  <c:v>3Q17</c:v>
                </c:pt>
                <c:pt idx="15">
                  <c:v>4Q17</c:v>
                </c:pt>
                <c:pt idx="16">
                  <c:v>1Q18</c:v>
                </c:pt>
                <c:pt idx="17">
                  <c:v>2Q18</c:v>
                </c:pt>
                <c:pt idx="18">
                  <c:v>3Q18</c:v>
                </c:pt>
                <c:pt idx="19">
                  <c:v>4Q18</c:v>
                </c:pt>
                <c:pt idx="20">
                  <c:v>1Q19</c:v>
                </c:pt>
                <c:pt idx="21">
                  <c:v>2Q19</c:v>
                </c:pt>
                <c:pt idx="22">
                  <c:v>3Q19</c:v>
                </c:pt>
                <c:pt idx="23">
                  <c:v>4Q19</c:v>
                </c:pt>
                <c:pt idx="24">
                  <c:v>1Q20</c:v>
                </c:pt>
                <c:pt idx="25">
                  <c:v>2Q20</c:v>
                </c:pt>
                <c:pt idx="26">
                  <c:v>3Q20</c:v>
                </c:pt>
                <c:pt idx="27">
                  <c:v>4Q20</c:v>
                </c:pt>
                <c:pt idx="28">
                  <c:v>1Q21</c:v>
                </c:pt>
                <c:pt idx="29">
                  <c:v>2Q21</c:v>
                </c:pt>
                <c:pt idx="30">
                  <c:v>3Q21</c:v>
                </c:pt>
              </c:strCache>
            </c:strRef>
          </c:cat>
          <c:val>
            <c:numRef>
              <c:f>Charts!$F$11:$AJ$11</c:f>
              <c:numCache>
                <c:formatCode>_(* #,##0_);_(* \(#,##0\);_(* "-"??_);_(@_)</c:formatCode>
                <c:ptCount val="31"/>
                <c:pt idx="0">
                  <c:v>326</c:v>
                </c:pt>
                <c:pt idx="1">
                  <c:v>729</c:v>
                </c:pt>
                <c:pt idx="2">
                  <c:v>473</c:v>
                </c:pt>
                <c:pt idx="3">
                  <c:v>247</c:v>
                </c:pt>
                <c:pt idx="4">
                  <c:v>453</c:v>
                </c:pt>
                <c:pt idx="5">
                  <c:v>310</c:v>
                </c:pt>
                <c:pt idx="6">
                  <c:v>346</c:v>
                </c:pt>
                <c:pt idx="7">
                  <c:v>318</c:v>
                </c:pt>
                <c:pt idx="8">
                  <c:v>383</c:v>
                </c:pt>
                <c:pt idx="9">
                  <c:v>369</c:v>
                </c:pt>
                <c:pt idx="10">
                  <c:v>397</c:v>
                </c:pt>
                <c:pt idx="11">
                  <c:v>222</c:v>
                </c:pt>
                <c:pt idx="12">
                  <c:v>196</c:v>
                </c:pt>
                <c:pt idx="13">
                  <c:v>152</c:v>
                </c:pt>
                <c:pt idx="14">
                  <c:v>206</c:v>
                </c:pt>
                <c:pt idx="15">
                  <c:v>392</c:v>
                </c:pt>
                <c:pt idx="16">
                  <c:v>137</c:v>
                </c:pt>
                <c:pt idx="17">
                  <c:v>324</c:v>
                </c:pt>
                <c:pt idx="18">
                  <c:v>657</c:v>
                </c:pt>
                <c:pt idx="19">
                  <c:v>265</c:v>
                </c:pt>
                <c:pt idx="20">
                  <c:v>158</c:v>
                </c:pt>
                <c:pt idx="21">
                  <c:v>423</c:v>
                </c:pt>
                <c:pt idx="22">
                  <c:v>662</c:v>
                </c:pt>
                <c:pt idx="23">
                  <c:v>220</c:v>
                </c:pt>
                <c:pt idx="24">
                  <c:v>239</c:v>
                </c:pt>
                <c:pt idx="25">
                  <c:v>458</c:v>
                </c:pt>
                <c:pt idx="26">
                  <c:v>557</c:v>
                </c:pt>
                <c:pt idx="27">
                  <c:v>1126</c:v>
                </c:pt>
                <c:pt idx="28">
                  <c:v>699</c:v>
                </c:pt>
                <c:pt idx="29">
                  <c:v>700</c:v>
                </c:pt>
                <c:pt idx="30">
                  <c:v>850</c:v>
                </c:pt>
              </c:numCache>
            </c:numRef>
          </c:val>
          <c:smooth val="0"/>
          <c:extLst>
            <c:ext xmlns:c16="http://schemas.microsoft.com/office/drawing/2014/chart" uri="{C3380CC4-5D6E-409C-BE32-E72D297353CC}">
              <c16:uniqueId val="{00000001-2F7D-4259-A1FD-56AADE745DAC}"/>
            </c:ext>
          </c:extLst>
        </c:ser>
        <c:dLbls>
          <c:showLegendKey val="0"/>
          <c:showVal val="0"/>
          <c:showCatName val="0"/>
          <c:showSerName val="0"/>
          <c:showPercent val="0"/>
          <c:showBubbleSize val="0"/>
        </c:dLbls>
        <c:marker val="1"/>
        <c:smooth val="0"/>
        <c:axId val="1176446511"/>
        <c:axId val="1888356255"/>
      </c:lineChart>
      <c:catAx>
        <c:axId val="1483014543"/>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8361663"/>
        <c:crosses val="autoZero"/>
        <c:auto val="1"/>
        <c:lblAlgn val="ctr"/>
        <c:lblOffset val="100"/>
        <c:noMultiLvlLbl val="0"/>
      </c:catAx>
      <c:valAx>
        <c:axId val="1888361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a:solidFill>
                      <a:sysClr val="windowText" lastClr="000000"/>
                    </a:solidFill>
                  </a:rPr>
                  <a:t>ARPU</a:t>
                </a:r>
                <a:r>
                  <a:rPr lang="en-US" sz="1100" baseline="0">
                    <a:solidFill>
                      <a:sysClr val="windowText" lastClr="000000"/>
                    </a:solidFill>
                  </a:rPr>
                  <a:t> Growth</a:t>
                </a:r>
                <a:endParaRPr lang="en-US" sz="1100">
                  <a:solidFill>
                    <a:sysClr val="windowText" lastClr="000000"/>
                  </a:solidFill>
                </a:endParaRP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0%_);\(0.0%\);0.0%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483014543"/>
        <c:crosses val="autoZero"/>
        <c:crossBetween val="between"/>
      </c:valAx>
      <c:valAx>
        <c:axId val="1888356255"/>
        <c:scaling>
          <c:orientation val="minMax"/>
        </c:scaling>
        <c:delete val="0"/>
        <c:axPos val="r"/>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sz="1100">
                    <a:solidFill>
                      <a:sysClr val="windowText" lastClr="000000"/>
                    </a:solidFill>
                  </a:rPr>
                  <a:t>Customer</a:t>
                </a:r>
                <a:r>
                  <a:rPr lang="en-US" sz="1100" baseline="0">
                    <a:solidFill>
                      <a:sysClr val="windowText" lastClr="000000"/>
                    </a:solidFill>
                  </a:rPr>
                  <a:t> Additions</a:t>
                </a:r>
                <a:endParaRPr lang="en-US" sz="1100">
                  <a:solidFill>
                    <a:sysClr val="windowText" lastClr="000000"/>
                  </a:solidFill>
                </a:endParaRP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176446511"/>
        <c:crosses val="max"/>
        <c:crossBetween val="between"/>
      </c:valAx>
      <c:catAx>
        <c:axId val="1176446511"/>
        <c:scaling>
          <c:orientation val="minMax"/>
        </c:scaling>
        <c:delete val="1"/>
        <c:axPos val="b"/>
        <c:numFmt formatCode="General" sourceLinked="1"/>
        <c:majorTickMark val="out"/>
        <c:minorTickMark val="none"/>
        <c:tickLblPos val="nextTo"/>
        <c:crossAx val="1888356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SPSC Growth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Sheet3!$B$3</c:f>
              <c:strCache>
                <c:ptCount val="1"/>
                <c:pt idx="0">
                  <c:v>Total Revenue Growth</c:v>
                </c:pt>
              </c:strCache>
            </c:strRef>
          </c:tx>
          <c:spPr>
            <a:ln w="28575" cap="rnd">
              <a:solidFill>
                <a:schemeClr val="accent1"/>
              </a:solidFill>
              <a:round/>
            </a:ln>
            <a:effectLst/>
          </c:spPr>
          <c:marker>
            <c:symbol val="none"/>
          </c:marker>
          <c:cat>
            <c:strRef>
              <c:f>Sheet3!$C$2:$BL$2</c:f>
              <c:strCache>
                <c:ptCount val="62"/>
                <c:pt idx="0">
                  <c:v>1Q09</c:v>
                </c:pt>
                <c:pt idx="1">
                  <c:v>2Q09</c:v>
                </c:pt>
                <c:pt idx="2">
                  <c:v>3Q09</c:v>
                </c:pt>
                <c:pt idx="3">
                  <c:v>4Q09</c:v>
                </c:pt>
                <c:pt idx="4">
                  <c:v>1Q10</c:v>
                </c:pt>
                <c:pt idx="5">
                  <c:v>2Q10</c:v>
                </c:pt>
                <c:pt idx="6">
                  <c:v>3Q10</c:v>
                </c:pt>
                <c:pt idx="7">
                  <c:v>4Q10</c:v>
                </c:pt>
                <c:pt idx="8">
                  <c:v>1Q11</c:v>
                </c:pt>
                <c:pt idx="9">
                  <c:v>2Q11</c:v>
                </c:pt>
                <c:pt idx="10">
                  <c:v>3Q11</c:v>
                </c:pt>
                <c:pt idx="11">
                  <c:v>4Q11</c:v>
                </c:pt>
                <c:pt idx="12">
                  <c:v>1Q12</c:v>
                </c:pt>
                <c:pt idx="13">
                  <c:v>2Q12</c:v>
                </c:pt>
                <c:pt idx="14">
                  <c:v>3Q12</c:v>
                </c:pt>
                <c:pt idx="15">
                  <c:v>4Q12</c:v>
                </c:pt>
                <c:pt idx="16">
                  <c:v>1Q13</c:v>
                </c:pt>
                <c:pt idx="17">
                  <c:v>2Q13</c:v>
                </c:pt>
                <c:pt idx="18">
                  <c:v>3Q13</c:v>
                </c:pt>
                <c:pt idx="19">
                  <c:v>4Q13</c:v>
                </c:pt>
                <c:pt idx="20">
                  <c:v>1Q14</c:v>
                </c:pt>
                <c:pt idx="21">
                  <c:v>2Q14</c:v>
                </c:pt>
                <c:pt idx="22">
                  <c:v>3Q14</c:v>
                </c:pt>
                <c:pt idx="23">
                  <c:v>4Q14</c:v>
                </c:pt>
                <c:pt idx="24">
                  <c:v>1Q15</c:v>
                </c:pt>
                <c:pt idx="25">
                  <c:v>2Q15</c:v>
                </c:pt>
                <c:pt idx="26">
                  <c:v>3Q15</c:v>
                </c:pt>
                <c:pt idx="27">
                  <c:v>4Q15</c:v>
                </c:pt>
                <c:pt idx="28">
                  <c:v>1Q16</c:v>
                </c:pt>
                <c:pt idx="29">
                  <c:v>2Q16</c:v>
                </c:pt>
                <c:pt idx="30">
                  <c:v>3Q16</c:v>
                </c:pt>
                <c:pt idx="31">
                  <c:v>4Q16</c:v>
                </c:pt>
                <c:pt idx="32">
                  <c:v>1Q17</c:v>
                </c:pt>
                <c:pt idx="33">
                  <c:v>2Q17</c:v>
                </c:pt>
                <c:pt idx="34">
                  <c:v>3Q17</c:v>
                </c:pt>
                <c:pt idx="35">
                  <c:v>4Q17</c:v>
                </c:pt>
                <c:pt idx="36">
                  <c:v>1Q18</c:v>
                </c:pt>
                <c:pt idx="37">
                  <c:v>2Q18</c:v>
                </c:pt>
                <c:pt idx="38">
                  <c:v>3Q18</c:v>
                </c:pt>
                <c:pt idx="39">
                  <c:v>4Q18</c:v>
                </c:pt>
                <c:pt idx="40">
                  <c:v>1Q19</c:v>
                </c:pt>
                <c:pt idx="41">
                  <c:v>2Q19</c:v>
                </c:pt>
                <c:pt idx="42">
                  <c:v>3Q19</c:v>
                </c:pt>
                <c:pt idx="43">
                  <c:v>4Q19</c:v>
                </c:pt>
                <c:pt idx="44">
                  <c:v>1Q20</c:v>
                </c:pt>
                <c:pt idx="45">
                  <c:v>2Q20</c:v>
                </c:pt>
                <c:pt idx="46">
                  <c:v>3Q20</c:v>
                </c:pt>
                <c:pt idx="47">
                  <c:v>4Q20</c:v>
                </c:pt>
                <c:pt idx="48">
                  <c:v>1Q21</c:v>
                </c:pt>
                <c:pt idx="49">
                  <c:v>2Q21</c:v>
                </c:pt>
                <c:pt idx="50">
                  <c:v>3Q21</c:v>
                </c:pt>
                <c:pt idx="51">
                  <c:v>4Q21</c:v>
                </c:pt>
                <c:pt idx="52">
                  <c:v>1Q22</c:v>
                </c:pt>
                <c:pt idx="53">
                  <c:v>2Q22</c:v>
                </c:pt>
                <c:pt idx="54">
                  <c:v>3Q22</c:v>
                </c:pt>
                <c:pt idx="55">
                  <c:v>4Q22</c:v>
                </c:pt>
                <c:pt idx="56">
                  <c:v>1Q23</c:v>
                </c:pt>
                <c:pt idx="57">
                  <c:v>2Q23</c:v>
                </c:pt>
                <c:pt idx="58">
                  <c:v>3Q23</c:v>
                </c:pt>
                <c:pt idx="59">
                  <c:v>4Q23</c:v>
                </c:pt>
                <c:pt idx="60">
                  <c:v>1Q24</c:v>
                </c:pt>
                <c:pt idx="61">
                  <c:v>2Q24</c:v>
                </c:pt>
              </c:strCache>
            </c:strRef>
          </c:cat>
          <c:val>
            <c:numRef>
              <c:f>Sheet3!$C$3:$BL$3</c:f>
              <c:numCache>
                <c:formatCode>0%</c:formatCode>
                <c:ptCount val="62"/>
                <c:pt idx="0">
                  <c:v>0.22624694552249536</c:v>
                </c:pt>
                <c:pt idx="1">
                  <c:v>0.2654890587925125</c:v>
                </c:pt>
                <c:pt idx="2">
                  <c:v>0.19321278176863999</c:v>
                </c:pt>
                <c:pt idx="3">
                  <c:v>0.2352722772277227</c:v>
                </c:pt>
                <c:pt idx="4">
                  <c:v>0.20067987340288362</c:v>
                </c:pt>
                <c:pt idx="5">
                  <c:v>0.1399999999999999</c:v>
                </c:pt>
                <c:pt idx="6">
                  <c:v>0.19275482665559474</c:v>
                </c:pt>
                <c:pt idx="7">
                  <c:v>0.19416892094980454</c:v>
                </c:pt>
                <c:pt idx="8">
                  <c:v>0.23489212144879423</c:v>
                </c:pt>
                <c:pt idx="9">
                  <c:v>0.27348318713450293</c:v>
                </c:pt>
                <c:pt idx="10">
                  <c:v>0.35140544774171101</c:v>
                </c:pt>
                <c:pt idx="11">
                  <c:v>0.33014514640489967</c:v>
                </c:pt>
                <c:pt idx="12">
                  <c:v>0.30713890426120649</c:v>
                </c:pt>
                <c:pt idx="13">
                  <c:v>0.27868264332352721</c:v>
                </c:pt>
                <c:pt idx="14">
                  <c:v>0.30510657479554393</c:v>
                </c:pt>
                <c:pt idx="15">
                  <c:v>0.41819099280938565</c:v>
                </c:pt>
                <c:pt idx="16">
                  <c:v>0.43655497762187001</c:v>
                </c:pt>
                <c:pt idx="17">
                  <c:v>0.43976207844677617</c:v>
                </c:pt>
                <c:pt idx="18">
                  <c:v>0.33260966102531198</c:v>
                </c:pt>
                <c:pt idx="19">
                  <c:v>0.2441291585127201</c:v>
                </c:pt>
                <c:pt idx="20">
                  <c:v>0.2183816099696867</c:v>
                </c:pt>
                <c:pt idx="21">
                  <c:v>0.21209759139449691</c:v>
                </c:pt>
                <c:pt idx="22">
                  <c:v>0.2035693127962086</c:v>
                </c:pt>
                <c:pt idx="23">
                  <c:v>0.26557752118113886</c:v>
                </c:pt>
                <c:pt idx="24">
                  <c:v>0.27751477245239986</c:v>
                </c:pt>
                <c:pt idx="25">
                  <c:v>0.24906752411575561</c:v>
                </c:pt>
                <c:pt idx="26">
                  <c:v>0.24143235095059379</c:v>
                </c:pt>
                <c:pt idx="27">
                  <c:v>0.19620360431614037</c:v>
                </c:pt>
                <c:pt idx="28">
                  <c:v>0.23340546388964034</c:v>
                </c:pt>
                <c:pt idx="29">
                  <c:v>0.21894146115430169</c:v>
                </c:pt>
                <c:pt idx="30">
                  <c:v>0.22129156960896079</c:v>
                </c:pt>
                <c:pt idx="31">
                  <c:v>0.20574761499952765</c:v>
                </c:pt>
                <c:pt idx="32">
                  <c:v>0.13888462466282148</c:v>
                </c:pt>
                <c:pt idx="33">
                  <c:v>0.14641718231927525</c:v>
                </c:pt>
                <c:pt idx="34">
                  <c:v>0.13931499066634201</c:v>
                </c:pt>
                <c:pt idx="35">
                  <c:v>0.13981316464620752</c:v>
                </c:pt>
                <c:pt idx="36">
                  <c:v>0.13787260263421408</c:v>
                </c:pt>
                <c:pt idx="37">
                  <c:v>0.12539606513889923</c:v>
                </c:pt>
                <c:pt idx="38">
                  <c:v>0.11964381121994649</c:v>
                </c:pt>
                <c:pt idx="39">
                  <c:v>0.12008591065292107</c:v>
                </c:pt>
                <c:pt idx="40">
                  <c:v>0.13270831923102966</c:v>
                </c:pt>
                <c:pt idx="41">
                  <c:v>0.12175279501072178</c:v>
                </c:pt>
                <c:pt idx="42">
                  <c:v>0.12820512820512819</c:v>
                </c:pt>
                <c:pt idx="43">
                  <c:v>0.11572504563653374</c:v>
                </c:pt>
                <c:pt idx="44">
                  <c:v>0.10843517494845667</c:v>
                </c:pt>
                <c:pt idx="45">
                  <c:v>0.10278860044652638</c:v>
                </c:pt>
                <c:pt idx="46">
                  <c:v>0.12165858335213176</c:v>
                </c:pt>
                <c:pt idx="47">
                  <c:v>0.14539480015948736</c:v>
                </c:pt>
                <c:pt idx="48">
                  <c:v>0.2143357774423118</c:v>
                </c:pt>
                <c:pt idx="49">
                  <c:v>0.25096264538922641</c:v>
                </c:pt>
                <c:pt idx="50">
                  <c:v>0.23040084467740107</c:v>
                </c:pt>
                <c:pt idx="51">
                  <c:v>0.23344696787823493</c:v>
                </c:pt>
                <c:pt idx="52">
                  <c:v>0.16759162652340898</c:v>
                </c:pt>
                <c:pt idx="53">
                  <c:v>0.1548461481504988</c:v>
                </c:pt>
                <c:pt idx="54">
                  <c:v>0.16957307916270792</c:v>
                </c:pt>
                <c:pt idx="55">
                  <c:v>0.18745377398886687</c:v>
                </c:pt>
                <c:pt idx="56">
                  <c:v>0.19654349624024414</c:v>
                </c:pt>
                <c:pt idx="57">
                  <c:v>0.19452636978145788</c:v>
                </c:pt>
                <c:pt idx="58">
                  <c:v>0.18495711266006332</c:v>
                </c:pt>
                <c:pt idx="59">
                  <c:v>0.18806241702043969</c:v>
                </c:pt>
                <c:pt idx="60">
                  <c:v>0.18835605555025903</c:v>
                </c:pt>
                <c:pt idx="61">
                  <c:v>0.17773892773892763</c:v>
                </c:pt>
              </c:numCache>
            </c:numRef>
          </c:val>
          <c:smooth val="0"/>
          <c:extLst>
            <c:ext xmlns:c16="http://schemas.microsoft.com/office/drawing/2014/chart" uri="{C3380CC4-5D6E-409C-BE32-E72D297353CC}">
              <c16:uniqueId val="{00000000-8C55-45D3-A20D-647B7D0F63A2}"/>
            </c:ext>
          </c:extLst>
        </c:ser>
        <c:ser>
          <c:idx val="1"/>
          <c:order val="1"/>
          <c:tx>
            <c:strRef>
              <c:f>Sheet3!$B$4</c:f>
              <c:strCache>
                <c:ptCount val="1"/>
                <c:pt idx="0">
                  <c:v>Customer Count Growth</c:v>
                </c:pt>
              </c:strCache>
            </c:strRef>
          </c:tx>
          <c:spPr>
            <a:ln w="28575" cap="rnd">
              <a:solidFill>
                <a:schemeClr val="accent2"/>
              </a:solidFill>
              <a:round/>
            </a:ln>
            <a:effectLst/>
          </c:spPr>
          <c:marker>
            <c:symbol val="none"/>
          </c:marker>
          <c:cat>
            <c:strRef>
              <c:f>Sheet3!$C$2:$BL$2</c:f>
              <c:strCache>
                <c:ptCount val="62"/>
                <c:pt idx="0">
                  <c:v>1Q09</c:v>
                </c:pt>
                <c:pt idx="1">
                  <c:v>2Q09</c:v>
                </c:pt>
                <c:pt idx="2">
                  <c:v>3Q09</c:v>
                </c:pt>
                <c:pt idx="3">
                  <c:v>4Q09</c:v>
                </c:pt>
                <c:pt idx="4">
                  <c:v>1Q10</c:v>
                </c:pt>
                <c:pt idx="5">
                  <c:v>2Q10</c:v>
                </c:pt>
                <c:pt idx="6">
                  <c:v>3Q10</c:v>
                </c:pt>
                <c:pt idx="7">
                  <c:v>4Q10</c:v>
                </c:pt>
                <c:pt idx="8">
                  <c:v>1Q11</c:v>
                </c:pt>
                <c:pt idx="9">
                  <c:v>2Q11</c:v>
                </c:pt>
                <c:pt idx="10">
                  <c:v>3Q11</c:v>
                </c:pt>
                <c:pt idx="11">
                  <c:v>4Q11</c:v>
                </c:pt>
                <c:pt idx="12">
                  <c:v>1Q12</c:v>
                </c:pt>
                <c:pt idx="13">
                  <c:v>2Q12</c:v>
                </c:pt>
                <c:pt idx="14">
                  <c:v>3Q12</c:v>
                </c:pt>
                <c:pt idx="15">
                  <c:v>4Q12</c:v>
                </c:pt>
                <c:pt idx="16">
                  <c:v>1Q13</c:v>
                </c:pt>
                <c:pt idx="17">
                  <c:v>2Q13</c:v>
                </c:pt>
                <c:pt idx="18">
                  <c:v>3Q13</c:v>
                </c:pt>
                <c:pt idx="19">
                  <c:v>4Q13</c:v>
                </c:pt>
                <c:pt idx="20">
                  <c:v>1Q14</c:v>
                </c:pt>
                <c:pt idx="21">
                  <c:v>2Q14</c:v>
                </c:pt>
                <c:pt idx="22">
                  <c:v>3Q14</c:v>
                </c:pt>
                <c:pt idx="23">
                  <c:v>4Q14</c:v>
                </c:pt>
                <c:pt idx="24">
                  <c:v>1Q15</c:v>
                </c:pt>
                <c:pt idx="25">
                  <c:v>2Q15</c:v>
                </c:pt>
                <c:pt idx="26">
                  <c:v>3Q15</c:v>
                </c:pt>
                <c:pt idx="27">
                  <c:v>4Q15</c:v>
                </c:pt>
                <c:pt idx="28">
                  <c:v>1Q16</c:v>
                </c:pt>
                <c:pt idx="29">
                  <c:v>2Q16</c:v>
                </c:pt>
                <c:pt idx="30">
                  <c:v>3Q16</c:v>
                </c:pt>
                <c:pt idx="31">
                  <c:v>4Q16</c:v>
                </c:pt>
                <c:pt idx="32">
                  <c:v>1Q17</c:v>
                </c:pt>
                <c:pt idx="33">
                  <c:v>2Q17</c:v>
                </c:pt>
                <c:pt idx="34">
                  <c:v>3Q17</c:v>
                </c:pt>
                <c:pt idx="35">
                  <c:v>4Q17</c:v>
                </c:pt>
                <c:pt idx="36">
                  <c:v>1Q18</c:v>
                </c:pt>
                <c:pt idx="37">
                  <c:v>2Q18</c:v>
                </c:pt>
                <c:pt idx="38">
                  <c:v>3Q18</c:v>
                </c:pt>
                <c:pt idx="39">
                  <c:v>4Q18</c:v>
                </c:pt>
                <c:pt idx="40">
                  <c:v>1Q19</c:v>
                </c:pt>
                <c:pt idx="41">
                  <c:v>2Q19</c:v>
                </c:pt>
                <c:pt idx="42">
                  <c:v>3Q19</c:v>
                </c:pt>
                <c:pt idx="43">
                  <c:v>4Q19</c:v>
                </c:pt>
                <c:pt idx="44">
                  <c:v>1Q20</c:v>
                </c:pt>
                <c:pt idx="45">
                  <c:v>2Q20</c:v>
                </c:pt>
                <c:pt idx="46">
                  <c:v>3Q20</c:v>
                </c:pt>
                <c:pt idx="47">
                  <c:v>4Q20</c:v>
                </c:pt>
                <c:pt idx="48">
                  <c:v>1Q21</c:v>
                </c:pt>
                <c:pt idx="49">
                  <c:v>2Q21</c:v>
                </c:pt>
                <c:pt idx="50">
                  <c:v>3Q21</c:v>
                </c:pt>
                <c:pt idx="51">
                  <c:v>4Q21</c:v>
                </c:pt>
                <c:pt idx="52">
                  <c:v>1Q22</c:v>
                </c:pt>
                <c:pt idx="53">
                  <c:v>2Q22</c:v>
                </c:pt>
                <c:pt idx="54">
                  <c:v>3Q22</c:v>
                </c:pt>
                <c:pt idx="55">
                  <c:v>4Q22</c:v>
                </c:pt>
                <c:pt idx="56">
                  <c:v>1Q23</c:v>
                </c:pt>
                <c:pt idx="57">
                  <c:v>2Q23</c:v>
                </c:pt>
                <c:pt idx="58">
                  <c:v>3Q23</c:v>
                </c:pt>
                <c:pt idx="59">
                  <c:v>4Q23</c:v>
                </c:pt>
                <c:pt idx="60">
                  <c:v>1Q24</c:v>
                </c:pt>
                <c:pt idx="61">
                  <c:v>2Q24</c:v>
                </c:pt>
              </c:strCache>
            </c:strRef>
          </c:cat>
          <c:val>
            <c:numRef>
              <c:f>Sheet3!$C$4:$BL$4</c:f>
              <c:numCache>
                <c:formatCode>0%</c:formatCode>
                <c:ptCount val="62"/>
                <c:pt idx="0">
                  <c:v>5.0163132137031052E-2</c:v>
                </c:pt>
                <c:pt idx="1">
                  <c:v>7.8591726898089354E-2</c:v>
                </c:pt>
                <c:pt idx="2">
                  <c:v>9.0302003388816887E-2</c:v>
                </c:pt>
                <c:pt idx="3">
                  <c:v>9.2000793965859362E-2</c:v>
                </c:pt>
                <c:pt idx="4">
                  <c:v>0.10601941747572807</c:v>
                </c:pt>
                <c:pt idx="5">
                  <c:v>0.10000000000000009</c:v>
                </c:pt>
                <c:pt idx="6">
                  <c:v>0.1076880884907212</c:v>
                </c:pt>
                <c:pt idx="7">
                  <c:v>0.12696537308006905</c:v>
                </c:pt>
                <c:pt idx="8">
                  <c:v>0.1446629213483146</c:v>
                </c:pt>
                <c:pt idx="9">
                  <c:v>0.29820399864452729</c:v>
                </c:pt>
                <c:pt idx="10">
                  <c:v>0.31187587686721141</c:v>
                </c:pt>
                <c:pt idx="11">
                  <c:v>0.30072580645161295</c:v>
                </c:pt>
                <c:pt idx="12">
                  <c:v>0.26096625766871173</c:v>
                </c:pt>
                <c:pt idx="13">
                  <c:v>0.11165492038632219</c:v>
                </c:pt>
                <c:pt idx="14">
                  <c:v>0.11493457473578261</c:v>
                </c:pt>
                <c:pt idx="15">
                  <c:v>0.11457622915245835</c:v>
                </c:pt>
                <c:pt idx="16">
                  <c:v>0.11889557866569356</c:v>
                </c:pt>
                <c:pt idx="17">
                  <c:v>0.10777810390372755</c:v>
                </c:pt>
                <c:pt idx="18">
                  <c:v>9.3889296394515709E-2</c:v>
                </c:pt>
                <c:pt idx="19">
                  <c:v>9.5288424097457858E-2</c:v>
                </c:pt>
                <c:pt idx="20">
                  <c:v>8.7944341776279966E-2</c:v>
                </c:pt>
                <c:pt idx="21">
                  <c:v>9.9305813152456235E-2</c:v>
                </c:pt>
                <c:pt idx="22">
                  <c:v>9.4444731005312921E-2</c:v>
                </c:pt>
                <c:pt idx="23">
                  <c:v>0.11645505332656181</c:v>
                </c:pt>
                <c:pt idx="24">
                  <c:v>0.12090327737809758</c:v>
                </c:pt>
                <c:pt idx="25">
                  <c:v>9.6456977584960191E-2</c:v>
                </c:pt>
                <c:pt idx="26">
                  <c:v>8.8321236685832805E-2</c:v>
                </c:pt>
                <c:pt idx="27">
                  <c:v>6.4913797024973796E-2</c:v>
                </c:pt>
                <c:pt idx="28">
                  <c:v>6.155286147263328E-2</c:v>
                </c:pt>
                <c:pt idx="29">
                  <c:v>6.3307834344500158E-2</c:v>
                </c:pt>
                <c:pt idx="30">
                  <c:v>6.4567815693746811E-2</c:v>
                </c:pt>
                <c:pt idx="31">
                  <c:v>5.9589918838103273E-2</c:v>
                </c:pt>
                <c:pt idx="32">
                  <c:v>4.9712390309442744E-2</c:v>
                </c:pt>
                <c:pt idx="33">
                  <c:v>3.9981807657322399E-2</c:v>
                </c:pt>
                <c:pt idx="34">
                  <c:v>3.1566529715657099E-2</c:v>
                </c:pt>
                <c:pt idx="35">
                  <c:v>3.81374722838137E-2</c:v>
                </c:pt>
                <c:pt idx="36">
                  <c:v>3.5478580856765696E-2</c:v>
                </c:pt>
                <c:pt idx="37">
                  <c:v>4.2102333717648044E-2</c:v>
                </c:pt>
                <c:pt idx="38">
                  <c:v>5.9544934737174149E-2</c:v>
                </c:pt>
                <c:pt idx="39">
                  <c:v>0.13813055803658103</c:v>
                </c:pt>
                <c:pt idx="40">
                  <c:v>0.13821075401730543</c:v>
                </c:pt>
                <c:pt idx="41">
                  <c:v>0.14027926140698921</c:v>
                </c:pt>
                <c:pt idx="42">
                  <c:v>0.13703524507797082</c:v>
                </c:pt>
                <c:pt idx="43">
                  <c:v>4.9918111095946571E-2</c:v>
                </c:pt>
                <c:pt idx="44">
                  <c:v>5.2060001357496777E-2</c:v>
                </c:pt>
                <c:pt idx="45">
                  <c:v>5.2828799892937095E-2</c:v>
                </c:pt>
                <c:pt idx="46">
                  <c:v>4.8247193217897832E-2</c:v>
                </c:pt>
                <c:pt idx="47">
                  <c:v>7.7345552630723624E-2</c:v>
                </c:pt>
                <c:pt idx="48">
                  <c:v>9.1935483870967838E-2</c:v>
                </c:pt>
                <c:pt idx="49">
                  <c:v>9.794076522181272E-2</c:v>
                </c:pt>
                <c:pt idx="50">
                  <c:v>0.10538641686182659</c:v>
                </c:pt>
                <c:pt idx="51">
                  <c:v>0.13118759615094566</c:v>
                </c:pt>
                <c:pt idx="52">
                  <c:v>0.11964549483013287</c:v>
                </c:pt>
                <c:pt idx="53">
                  <c:v>0.11866859623733728</c:v>
                </c:pt>
                <c:pt idx="54">
                  <c:v>0.11723163841807915</c:v>
                </c:pt>
                <c:pt idx="55">
                  <c:v>0.12799999999999989</c:v>
                </c:pt>
                <c:pt idx="56">
                  <c:v>0.12796833773087068</c:v>
                </c:pt>
                <c:pt idx="57">
                  <c:v>0.11254851228978002</c:v>
                </c:pt>
                <c:pt idx="58">
                  <c:v>0.12515802781289498</c:v>
                </c:pt>
                <c:pt idx="59">
                  <c:v>5.9101654846335672E-2</c:v>
                </c:pt>
                <c:pt idx="60">
                  <c:v>4.7953216374269081E-2</c:v>
                </c:pt>
                <c:pt idx="61">
                  <c:v>4.5348837209302273E-2</c:v>
                </c:pt>
              </c:numCache>
            </c:numRef>
          </c:val>
          <c:smooth val="0"/>
          <c:extLst>
            <c:ext xmlns:c16="http://schemas.microsoft.com/office/drawing/2014/chart" uri="{C3380CC4-5D6E-409C-BE32-E72D297353CC}">
              <c16:uniqueId val="{00000001-8C55-45D3-A20D-647B7D0F63A2}"/>
            </c:ext>
          </c:extLst>
        </c:ser>
        <c:ser>
          <c:idx val="2"/>
          <c:order val="2"/>
          <c:tx>
            <c:strRef>
              <c:f>Sheet3!$B$5</c:f>
              <c:strCache>
                <c:ptCount val="1"/>
                <c:pt idx="0">
                  <c:v>ARPU Growth</c:v>
                </c:pt>
              </c:strCache>
            </c:strRef>
          </c:tx>
          <c:spPr>
            <a:ln w="28575" cap="rnd">
              <a:solidFill>
                <a:schemeClr val="accent3"/>
              </a:solidFill>
              <a:round/>
            </a:ln>
            <a:effectLst/>
          </c:spPr>
          <c:marker>
            <c:symbol val="none"/>
          </c:marker>
          <c:cat>
            <c:strRef>
              <c:f>Sheet3!$C$2:$BL$2</c:f>
              <c:strCache>
                <c:ptCount val="62"/>
                <c:pt idx="0">
                  <c:v>1Q09</c:v>
                </c:pt>
                <c:pt idx="1">
                  <c:v>2Q09</c:v>
                </c:pt>
                <c:pt idx="2">
                  <c:v>3Q09</c:v>
                </c:pt>
                <c:pt idx="3">
                  <c:v>4Q09</c:v>
                </c:pt>
                <c:pt idx="4">
                  <c:v>1Q10</c:v>
                </c:pt>
                <c:pt idx="5">
                  <c:v>2Q10</c:v>
                </c:pt>
                <c:pt idx="6">
                  <c:v>3Q10</c:v>
                </c:pt>
                <c:pt idx="7">
                  <c:v>4Q10</c:v>
                </c:pt>
                <c:pt idx="8">
                  <c:v>1Q11</c:v>
                </c:pt>
                <c:pt idx="9">
                  <c:v>2Q11</c:v>
                </c:pt>
                <c:pt idx="10">
                  <c:v>3Q11</c:v>
                </c:pt>
                <c:pt idx="11">
                  <c:v>4Q11</c:v>
                </c:pt>
                <c:pt idx="12">
                  <c:v>1Q12</c:v>
                </c:pt>
                <c:pt idx="13">
                  <c:v>2Q12</c:v>
                </c:pt>
                <c:pt idx="14">
                  <c:v>3Q12</c:v>
                </c:pt>
                <c:pt idx="15">
                  <c:v>4Q12</c:v>
                </c:pt>
                <c:pt idx="16">
                  <c:v>1Q13</c:v>
                </c:pt>
                <c:pt idx="17">
                  <c:v>2Q13</c:v>
                </c:pt>
                <c:pt idx="18">
                  <c:v>3Q13</c:v>
                </c:pt>
                <c:pt idx="19">
                  <c:v>4Q13</c:v>
                </c:pt>
                <c:pt idx="20">
                  <c:v>1Q14</c:v>
                </c:pt>
                <c:pt idx="21">
                  <c:v>2Q14</c:v>
                </c:pt>
                <c:pt idx="22">
                  <c:v>3Q14</c:v>
                </c:pt>
                <c:pt idx="23">
                  <c:v>4Q14</c:v>
                </c:pt>
                <c:pt idx="24">
                  <c:v>1Q15</c:v>
                </c:pt>
                <c:pt idx="25">
                  <c:v>2Q15</c:v>
                </c:pt>
                <c:pt idx="26">
                  <c:v>3Q15</c:v>
                </c:pt>
                <c:pt idx="27">
                  <c:v>4Q15</c:v>
                </c:pt>
                <c:pt idx="28">
                  <c:v>1Q16</c:v>
                </c:pt>
                <c:pt idx="29">
                  <c:v>2Q16</c:v>
                </c:pt>
                <c:pt idx="30">
                  <c:v>3Q16</c:v>
                </c:pt>
                <c:pt idx="31">
                  <c:v>4Q16</c:v>
                </c:pt>
                <c:pt idx="32">
                  <c:v>1Q17</c:v>
                </c:pt>
                <c:pt idx="33">
                  <c:v>2Q17</c:v>
                </c:pt>
                <c:pt idx="34">
                  <c:v>3Q17</c:v>
                </c:pt>
                <c:pt idx="35">
                  <c:v>4Q17</c:v>
                </c:pt>
                <c:pt idx="36">
                  <c:v>1Q18</c:v>
                </c:pt>
                <c:pt idx="37">
                  <c:v>2Q18</c:v>
                </c:pt>
                <c:pt idx="38">
                  <c:v>3Q18</c:v>
                </c:pt>
                <c:pt idx="39">
                  <c:v>4Q18</c:v>
                </c:pt>
                <c:pt idx="40">
                  <c:v>1Q19</c:v>
                </c:pt>
                <c:pt idx="41">
                  <c:v>2Q19</c:v>
                </c:pt>
                <c:pt idx="42">
                  <c:v>3Q19</c:v>
                </c:pt>
                <c:pt idx="43">
                  <c:v>4Q19</c:v>
                </c:pt>
                <c:pt idx="44">
                  <c:v>1Q20</c:v>
                </c:pt>
                <c:pt idx="45">
                  <c:v>2Q20</c:v>
                </c:pt>
                <c:pt idx="46">
                  <c:v>3Q20</c:v>
                </c:pt>
                <c:pt idx="47">
                  <c:v>4Q20</c:v>
                </c:pt>
                <c:pt idx="48">
                  <c:v>1Q21</c:v>
                </c:pt>
                <c:pt idx="49">
                  <c:v>2Q21</c:v>
                </c:pt>
                <c:pt idx="50">
                  <c:v>3Q21</c:v>
                </c:pt>
                <c:pt idx="51">
                  <c:v>4Q21</c:v>
                </c:pt>
                <c:pt idx="52">
                  <c:v>1Q22</c:v>
                </c:pt>
                <c:pt idx="53">
                  <c:v>2Q22</c:v>
                </c:pt>
                <c:pt idx="54">
                  <c:v>3Q22</c:v>
                </c:pt>
                <c:pt idx="55">
                  <c:v>4Q22</c:v>
                </c:pt>
                <c:pt idx="56">
                  <c:v>1Q23</c:v>
                </c:pt>
                <c:pt idx="57">
                  <c:v>2Q23</c:v>
                </c:pt>
                <c:pt idx="58">
                  <c:v>3Q23</c:v>
                </c:pt>
                <c:pt idx="59">
                  <c:v>4Q23</c:v>
                </c:pt>
                <c:pt idx="60">
                  <c:v>1Q24</c:v>
                </c:pt>
                <c:pt idx="61">
                  <c:v>2Q24</c:v>
                </c:pt>
              </c:strCache>
            </c:strRef>
          </c:cat>
          <c:val>
            <c:numRef>
              <c:f>Sheet3!$C$5:$BL$5</c:f>
              <c:numCache>
                <c:formatCode>0%</c:formatCode>
                <c:ptCount val="62"/>
                <c:pt idx="0">
                  <c:v>0.125</c:v>
                </c:pt>
                <c:pt idx="1">
                  <c:v>0.10432074737251851</c:v>
                </c:pt>
                <c:pt idx="2">
                  <c:v>6.9715971966064272E-2</c:v>
                </c:pt>
                <c:pt idx="3">
                  <c:v>0.11119430924747276</c:v>
                </c:pt>
                <c:pt idx="4">
                  <c:v>0.10669610007358354</c:v>
                </c:pt>
                <c:pt idx="5">
                  <c:v>0.10997532604864291</c:v>
                </c:pt>
                <c:pt idx="6">
                  <c:v>0.11241379310344835</c:v>
                </c:pt>
                <c:pt idx="7">
                  <c:v>9.4676549865229109E-2</c:v>
                </c:pt>
                <c:pt idx="8">
                  <c:v>9.4082446808510634E-2</c:v>
                </c:pt>
                <c:pt idx="9">
                  <c:v>5.4620514449031488E-2</c:v>
                </c:pt>
                <c:pt idx="10">
                  <c:v>4.6497210167389946E-2</c:v>
                </c:pt>
                <c:pt idx="11">
                  <c:v>5.0169282856263431E-2</c:v>
                </c:pt>
                <c:pt idx="12">
                  <c:v>7.2318444241871838E-2</c:v>
                </c:pt>
                <c:pt idx="13">
                  <c:v>0.10448660042155966</c:v>
                </c:pt>
                <c:pt idx="14">
                  <c:v>0.21475118483412325</c:v>
                </c:pt>
                <c:pt idx="15">
                  <c:v>0.31858147713950768</c:v>
                </c:pt>
                <c:pt idx="16">
                  <c:v>0.3131198639841315</c:v>
                </c:pt>
                <c:pt idx="17">
                  <c:v>0.32742639040348953</c:v>
                </c:pt>
                <c:pt idx="18">
                  <c:v>0.22360399902462813</c:v>
                </c:pt>
                <c:pt idx="19">
                  <c:v>0.13380751278061798</c:v>
                </c:pt>
                <c:pt idx="20">
                  <c:v>0.12645662494605103</c:v>
                </c:pt>
                <c:pt idx="21">
                  <c:v>0.12281782706921329</c:v>
                </c:pt>
                <c:pt idx="22">
                  <c:v>0.11518533280191301</c:v>
                </c:pt>
                <c:pt idx="23">
                  <c:v>0.16094883356204659</c:v>
                </c:pt>
                <c:pt idx="24">
                  <c:v>0.15191570881226046</c:v>
                </c:pt>
                <c:pt idx="25">
                  <c:v>0.13865008231205422</c:v>
                </c:pt>
                <c:pt idx="26">
                  <c:v>0.15010721944245886</c:v>
                </c:pt>
                <c:pt idx="27">
                  <c:v>0.11972306653157716</c:v>
                </c:pt>
                <c:pt idx="28">
                  <c:v>0.17295858972226852</c:v>
                </c:pt>
                <c:pt idx="29">
                  <c:v>0.16032128514056221</c:v>
                </c:pt>
                <c:pt idx="30">
                  <c:v>0.14962709757613424</c:v>
                </c:pt>
                <c:pt idx="31">
                  <c:v>0.14763987332227413</c:v>
                </c:pt>
                <c:pt idx="32">
                  <c:v>9.2726499361973636E-2</c:v>
                </c:pt>
                <c:pt idx="33">
                  <c:v>0.10660390419493293</c:v>
                </c:pt>
                <c:pt idx="34">
                  <c:v>0.11082578726854986</c:v>
                </c:pt>
                <c:pt idx="35">
                  <c:v>0.10919842312746386</c:v>
                </c:pt>
                <c:pt idx="36">
                  <c:v>0.10276372129233158</c:v>
                </c:pt>
                <c:pt idx="37">
                  <c:v>8.4073564368822629E-2</c:v>
                </c:pt>
                <c:pt idx="38">
                  <c:v>7.5313298454799948E-2</c:v>
                </c:pt>
                <c:pt idx="39">
                  <c:v>2.4404691387276412E-2</c:v>
                </c:pt>
                <c:pt idx="40">
                  <c:v>4.9417578538650808E-3</c:v>
                </c:pt>
                <c:pt idx="41">
                  <c:v>1.038661281015596E-3</c:v>
                </c:pt>
                <c:pt idx="42">
                  <c:v>-5.0916496945010437E-3</c:v>
                </c:pt>
                <c:pt idx="43">
                  <c:v>3.3190701977564574E-2</c:v>
                </c:pt>
                <c:pt idx="44">
                  <c:v>6.1819459079732964E-2</c:v>
                </c:pt>
                <c:pt idx="45">
                  <c:v>5.1187456767350703E-2</c:v>
                </c:pt>
                <c:pt idx="46">
                  <c:v>7.733424314795867E-2</c:v>
                </c:pt>
                <c:pt idx="47">
                  <c:v>7.9583613163196842E-2</c:v>
                </c:pt>
                <c:pt idx="48">
                  <c:v>9.1630830301025368E-2</c:v>
                </c:pt>
                <c:pt idx="49">
                  <c:v>0.11318271550778669</c:v>
                </c:pt>
                <c:pt idx="50">
                  <c:v>9.2578908476723232E-2</c:v>
                </c:pt>
                <c:pt idx="51">
                  <c:v>7.827890098496626E-2</c:v>
                </c:pt>
                <c:pt idx="52">
                  <c:v>4.5454545454545414E-2</c:v>
                </c:pt>
                <c:pt idx="53">
                  <c:v>3.9408866995073843E-2</c:v>
                </c:pt>
                <c:pt idx="54">
                  <c:v>5.3140096618357502E-2</c:v>
                </c:pt>
                <c:pt idx="55">
                  <c:v>6.7307692307692291E-2</c:v>
                </c:pt>
                <c:pt idx="56">
                  <c:v>6.7632850241545972E-2</c:v>
                </c:pt>
                <c:pt idx="57">
                  <c:v>7.5829383886255819E-2</c:v>
                </c:pt>
                <c:pt idx="58">
                  <c:v>6.8807339449541205E-2</c:v>
                </c:pt>
                <c:pt idx="59">
                  <c:v>9.4594594594594517E-2</c:v>
                </c:pt>
                <c:pt idx="60">
                  <c:v>0.12669683257918551</c:v>
                </c:pt>
                <c:pt idx="61">
                  <c:v>0.13215859030836996</c:v>
                </c:pt>
              </c:numCache>
            </c:numRef>
          </c:val>
          <c:smooth val="0"/>
          <c:extLst>
            <c:ext xmlns:c16="http://schemas.microsoft.com/office/drawing/2014/chart" uri="{C3380CC4-5D6E-409C-BE32-E72D297353CC}">
              <c16:uniqueId val="{00000002-8C55-45D3-A20D-647B7D0F63A2}"/>
            </c:ext>
          </c:extLst>
        </c:ser>
        <c:dLbls>
          <c:showLegendKey val="0"/>
          <c:showVal val="0"/>
          <c:showCatName val="0"/>
          <c:showSerName val="0"/>
          <c:showPercent val="0"/>
          <c:showBubbleSize val="0"/>
        </c:dLbls>
        <c:smooth val="0"/>
        <c:axId val="2044181759"/>
        <c:axId val="92886000"/>
      </c:lineChart>
      <c:catAx>
        <c:axId val="204418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6000"/>
        <c:crosses val="autoZero"/>
        <c:auto val="1"/>
        <c:lblAlgn val="ctr"/>
        <c:lblOffset val="100"/>
        <c:noMultiLvlLbl val="0"/>
      </c:catAx>
      <c:valAx>
        <c:axId val="9288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81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71</xdr:col>
      <xdr:colOff>0</xdr:colOff>
      <xdr:row>95</xdr:row>
      <xdr:rowOff>33337</xdr:rowOff>
    </xdr:from>
    <xdr:to>
      <xdr:col>88</xdr:col>
      <xdr:colOff>333375</xdr:colOff>
      <xdr:row>112</xdr:row>
      <xdr:rowOff>23812</xdr:rowOff>
    </xdr:to>
    <xdr:graphicFrame macro="">
      <xdr:nvGraphicFramePr>
        <xdr:cNvPr id="2" name="Chart 1">
          <a:extLst>
            <a:ext uri="{FF2B5EF4-FFF2-40B4-BE49-F238E27FC236}">
              <a16:creationId xmlns:a16="http://schemas.microsoft.com/office/drawing/2014/main" id="{D2C5334D-4223-4CBC-96C3-2D83CFF24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15</xdr:row>
      <xdr:rowOff>147637</xdr:rowOff>
    </xdr:from>
    <xdr:to>
      <xdr:col>13</xdr:col>
      <xdr:colOff>28575</xdr:colOff>
      <xdr:row>43</xdr:row>
      <xdr:rowOff>104775</xdr:rowOff>
    </xdr:to>
    <xdr:graphicFrame macro="">
      <xdr:nvGraphicFramePr>
        <xdr:cNvPr id="2" name="Chart 1">
          <a:extLst>
            <a:ext uri="{FF2B5EF4-FFF2-40B4-BE49-F238E27FC236}">
              <a16:creationId xmlns:a16="http://schemas.microsoft.com/office/drawing/2014/main" id="{564B276D-825B-4C8E-BA5C-94893496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345544</xdr:colOff>
      <xdr:row>19</xdr:row>
      <xdr:rowOff>138287</xdr:rowOff>
    </xdr:from>
    <xdr:to>
      <xdr:col>28</xdr:col>
      <xdr:colOff>317500</xdr:colOff>
      <xdr:row>50</xdr:row>
      <xdr:rowOff>52916</xdr:rowOff>
    </xdr:to>
    <xdr:graphicFrame macro="">
      <xdr:nvGraphicFramePr>
        <xdr:cNvPr id="3" name="Chart 2">
          <a:extLst>
            <a:ext uri="{FF2B5EF4-FFF2-40B4-BE49-F238E27FC236}">
              <a16:creationId xmlns:a16="http://schemas.microsoft.com/office/drawing/2014/main" id="{B8B7EDDC-898C-4D41-AC4F-5C2BFC220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402167</xdr:colOff>
      <xdr:row>49</xdr:row>
      <xdr:rowOff>120649</xdr:rowOff>
    </xdr:from>
    <xdr:to>
      <xdr:col>28</xdr:col>
      <xdr:colOff>286456</xdr:colOff>
      <xdr:row>80</xdr:row>
      <xdr:rowOff>119238</xdr:rowOff>
    </xdr:to>
    <xdr:graphicFrame macro="">
      <xdr:nvGraphicFramePr>
        <xdr:cNvPr id="4" name="Chart 3">
          <a:extLst>
            <a:ext uri="{FF2B5EF4-FFF2-40B4-BE49-F238E27FC236}">
              <a16:creationId xmlns:a16="http://schemas.microsoft.com/office/drawing/2014/main" id="{F162E4BE-BE83-4C70-B485-4802D861D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444500</xdr:colOff>
      <xdr:row>48</xdr:row>
      <xdr:rowOff>155223</xdr:rowOff>
    </xdr:from>
    <xdr:to>
      <xdr:col>43</xdr:col>
      <xdr:colOff>328789</xdr:colOff>
      <xdr:row>79</xdr:row>
      <xdr:rowOff>153812</xdr:rowOff>
    </xdr:to>
    <xdr:graphicFrame macro="">
      <xdr:nvGraphicFramePr>
        <xdr:cNvPr id="5" name="Chart 4">
          <a:extLst>
            <a:ext uri="{FF2B5EF4-FFF2-40B4-BE49-F238E27FC236}">
              <a16:creationId xmlns:a16="http://schemas.microsoft.com/office/drawing/2014/main" id="{02A730B0-E04A-4161-B90A-046AEB6D4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268112</xdr:colOff>
      <xdr:row>92</xdr:row>
      <xdr:rowOff>60678</xdr:rowOff>
    </xdr:from>
    <xdr:to>
      <xdr:col>21</xdr:col>
      <xdr:colOff>152401</xdr:colOff>
      <xdr:row>123</xdr:row>
      <xdr:rowOff>59267</xdr:rowOff>
    </xdr:to>
    <xdr:graphicFrame macro="">
      <xdr:nvGraphicFramePr>
        <xdr:cNvPr id="6" name="Chart 5">
          <a:extLst>
            <a:ext uri="{FF2B5EF4-FFF2-40B4-BE49-F238E27FC236}">
              <a16:creationId xmlns:a16="http://schemas.microsoft.com/office/drawing/2014/main" id="{F1D4C519-B20E-46AD-A5FF-26D491CE0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94</xdr:row>
      <xdr:rowOff>0</xdr:rowOff>
    </xdr:from>
    <xdr:to>
      <xdr:col>35</xdr:col>
      <xdr:colOff>491067</xdr:colOff>
      <xdr:row>124</xdr:row>
      <xdr:rowOff>160867</xdr:rowOff>
    </xdr:to>
    <xdr:graphicFrame macro="">
      <xdr:nvGraphicFramePr>
        <xdr:cNvPr id="7" name="Chart 6">
          <a:extLst>
            <a:ext uri="{FF2B5EF4-FFF2-40B4-BE49-F238E27FC236}">
              <a16:creationId xmlns:a16="http://schemas.microsoft.com/office/drawing/2014/main" id="{54AB9D50-B066-4043-A0E4-254A61E94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203198</xdr:colOff>
      <xdr:row>27</xdr:row>
      <xdr:rowOff>84136</xdr:rowOff>
    </xdr:from>
    <xdr:to>
      <xdr:col>17</xdr:col>
      <xdr:colOff>57149</xdr:colOff>
      <xdr:row>56</xdr:row>
      <xdr:rowOff>28574</xdr:rowOff>
    </xdr:to>
    <xdr:graphicFrame macro="">
      <xdr:nvGraphicFramePr>
        <xdr:cNvPr id="3" name="Chart 2">
          <a:extLst>
            <a:ext uri="{FF2B5EF4-FFF2-40B4-BE49-F238E27FC236}">
              <a16:creationId xmlns:a16="http://schemas.microsoft.com/office/drawing/2014/main" id="{C59FC3E7-BB5D-4B40-B08E-0B5626A8A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406400</xdr:colOff>
      <xdr:row>44</xdr:row>
      <xdr:rowOff>38100</xdr:rowOff>
    </xdr:from>
    <xdr:to>
      <xdr:col>16</xdr:col>
      <xdr:colOff>101600</xdr:colOff>
      <xdr:row>61</xdr:row>
      <xdr:rowOff>82550</xdr:rowOff>
    </xdr:to>
    <xdr:graphicFrame macro="">
      <xdr:nvGraphicFramePr>
        <xdr:cNvPr id="2" name="Chart 1">
          <a:extLst>
            <a:ext uri="{FF2B5EF4-FFF2-40B4-BE49-F238E27FC236}">
              <a16:creationId xmlns:a16="http://schemas.microsoft.com/office/drawing/2014/main" id="{FE027C63-CFBC-449B-9E4C-62D0E9D8B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279400</xdr:colOff>
      <xdr:row>69</xdr:row>
      <xdr:rowOff>44450</xdr:rowOff>
    </xdr:from>
    <xdr:to>
      <xdr:col>13</xdr:col>
      <xdr:colOff>584200</xdr:colOff>
      <xdr:row>86</xdr:row>
      <xdr:rowOff>88900</xdr:rowOff>
    </xdr:to>
    <xdr:graphicFrame macro="">
      <xdr:nvGraphicFramePr>
        <xdr:cNvPr id="4" name="Chart 3">
          <a:extLst>
            <a:ext uri="{FF2B5EF4-FFF2-40B4-BE49-F238E27FC236}">
              <a16:creationId xmlns:a16="http://schemas.microsoft.com/office/drawing/2014/main" id="{296BF099-2D09-45F8-A808-B528A0CEA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15</xdr:row>
      <xdr:rowOff>147637</xdr:rowOff>
    </xdr:from>
    <xdr:to>
      <xdr:col>13</xdr:col>
      <xdr:colOff>28575</xdr:colOff>
      <xdr:row>43</xdr:row>
      <xdr:rowOff>104775</xdr:rowOff>
    </xdr:to>
    <xdr:graphicFrame macro="">
      <xdr:nvGraphicFramePr>
        <xdr:cNvPr id="2" name="Chart 1">
          <a:extLst>
            <a:ext uri="{FF2B5EF4-FFF2-40B4-BE49-F238E27FC236}">
              <a16:creationId xmlns:a16="http://schemas.microsoft.com/office/drawing/2014/main" id="{116A319E-F2A4-4452-8B99-EC2DA8B2F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366711</xdr:colOff>
      <xdr:row>17</xdr:row>
      <xdr:rowOff>152399</xdr:rowOff>
    </xdr:from>
    <xdr:to>
      <xdr:col>25</xdr:col>
      <xdr:colOff>571500</xdr:colOff>
      <xdr:row>45</xdr:row>
      <xdr:rowOff>57150</xdr:rowOff>
    </xdr:to>
    <xdr:graphicFrame macro="">
      <xdr:nvGraphicFramePr>
        <xdr:cNvPr id="6" name="Chart 5">
          <a:extLst>
            <a:ext uri="{FF2B5EF4-FFF2-40B4-BE49-F238E27FC236}">
              <a16:creationId xmlns:a16="http://schemas.microsoft.com/office/drawing/2014/main" id="{EBC4DA3F-360D-405F-BB75-2B2E25989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33</xdr:col>
      <xdr:colOff>95250</xdr:colOff>
      <xdr:row>17</xdr:row>
      <xdr:rowOff>14286</xdr:rowOff>
    </xdr:from>
    <xdr:to>
      <xdr:col>45</xdr:col>
      <xdr:colOff>133350</xdr:colOff>
      <xdr:row>44</xdr:row>
      <xdr:rowOff>19051</xdr:rowOff>
    </xdr:to>
    <xdr:graphicFrame macro="">
      <xdr:nvGraphicFramePr>
        <xdr:cNvPr id="11506" name="Chart 1">
          <a:extLst>
            <a:ext uri="{FF2B5EF4-FFF2-40B4-BE49-F238E27FC236}">
              <a16:creationId xmlns:a16="http://schemas.microsoft.com/office/drawing/2014/main" id="{00000000-0008-0000-0500-0000F2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471486</xdr:colOff>
      <xdr:row>16</xdr:row>
      <xdr:rowOff>19049</xdr:rowOff>
    </xdr:from>
    <xdr:to>
      <xdr:col>31</xdr:col>
      <xdr:colOff>190500</xdr:colOff>
      <xdr:row>47</xdr:row>
      <xdr:rowOff>19050</xdr:rowOff>
    </xdr:to>
    <xdr:graphicFrame macro="">
      <xdr:nvGraphicFramePr>
        <xdr:cNvPr id="2" name="Chart 1">
          <a:extLst>
            <a:ext uri="{FF2B5EF4-FFF2-40B4-BE49-F238E27FC236}">
              <a16:creationId xmlns:a16="http://schemas.microsoft.com/office/drawing/2014/main" id="{DD415B00-1BFA-4E1C-955F-27F86D464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457200</xdr:colOff>
      <xdr:row>15</xdr:row>
      <xdr:rowOff>133350</xdr:rowOff>
    </xdr:from>
    <xdr:to>
      <xdr:col>20</xdr:col>
      <xdr:colOff>38100</xdr:colOff>
      <xdr:row>40</xdr:row>
      <xdr:rowOff>85725</xdr:rowOff>
    </xdr:to>
    <xdr:graphicFrame macro="">
      <xdr:nvGraphicFramePr>
        <xdr:cNvPr id="2" name="Chart 1">
          <a:extLst>
            <a:ext uri="{FF2B5EF4-FFF2-40B4-BE49-F238E27FC236}">
              <a16:creationId xmlns:a16="http://schemas.microsoft.com/office/drawing/2014/main" id="{E2F5F02D-56DA-4025-A374-83BD7BB5E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123\Plan2001\FSSEP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23\FORECAST\2001\WeeklyCashFlo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zetacorporate-my.sharepoint.com/Accounting/Corporate%20Accountant/CSF's/AgriStats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zetacorporate-my.sharepoint.com/Accounting/Finance/FY%202004/Month%20End/1004%20Oct/0410FI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123\Plan2001\BUDG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4604640\Shipping%20data%20by%20country_MM_updated%20by%20K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TERRACO\SYS\EXCEL\YEAR\ACCO197.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Monthly%20Telco%20Expense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yc01fs01\Finance\Users\rbarnette\Library\Caches\TemporaryItems\Outlook%20Temp\Reuibd01\ibdshare2\corpfin\EMPLOYEE\Frazzo\Projects\French%20M&amp;A\Decaux\Update%20Valo%2019%2006%2000\Valuation%20Model%20Decaux%2019%2006%2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SSBexempt2001%20%20%20%20%20%20%20%20%20%20%20%20%20%20%20%20%20%20%20%20%20%20%20%20%20%20%20%20note%20asked%20need%20mgmt%20reoprt%20&amp;%201099%20may%20be.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U"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Documents%20and%20Settings\bbukhar\Local%20Settings\Temporary%20Internet%20Files\OLK1B5\Res\Transfer\Schneider\PVF\Economic%20&amp;%20Industry%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Documents%20and%20Settings\jkaplan\Local%20Settings\Temporary%20Internet%20Files\OLKC7\CB%20Consumer%20Confidence.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2010CommissionPlans-Final2xl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HOME\research\GOLDRES\MODELS\GLG\GLAMIS_Q2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nymail.thinkequity.com/Documents%20and%20Settings/tmadda/Local%20Settings/Temporary%20Internet%20Files/OLK2/Companies/cmrc/Model/cmr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zetacorporate-my.sharepoint.com/Volumes/dept/Finance/Accounting/Close_Process/Journal%20Entries/2013/2013-05%20May/FB-US-640-Accrual%20-%20Partnerships%20and%20Platform%20Marketing.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EARNING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plfile01\Users\Documents%20and%20Settings\admin\My%20Documents\Stew's%20Portfolio\Suresh\XPRT\AMAT%20-%20XPR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plfile01\Users\Research\Sbalaraman\Stks\NVL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Defer%20Revenue%20Dec-01V2.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7131%20Nonemployee%20Stock%20Option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C)%207115%20Stock%20Options%20Testing%20&amp;%20Disclosure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ssjo0001\VOL1\Clients\R\Rapleaf%20(Liveramp)\2013\Tax%20Return\PBC\&#51228;&#54408;&#483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TECH AID"/>
      <sheetName val="TAC STAFFING SERVICES"/>
      <sheetName val="TAC AUTO"/>
      <sheetName val="EDP TEMPS"/>
      <sheetName val="TAC ENGIN. RES."/>
      <sheetName val="THIRD PARTY"/>
      <sheetName val="TAC NATIONWIDE"/>
      <sheetName val="TAC ENTERT."/>
      <sheetName val="INTL"/>
      <sheetName val="SMD"/>
      <sheetName val="TOTAL CORP."/>
      <sheetName val="PAV"/>
      <sheetName val="AREA SALES"/>
      <sheetName val="TOTAL FEE (2)"/>
      <sheetName val="SMD FEE (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 (2)"/>
      <sheetName val="Sheet1"/>
      <sheetName val="Fleet Debits"/>
      <sheetName val="wells fargo"/>
      <sheetName val="Wires"/>
      <sheetName val="Interrest"/>
      <sheetName val="ORIG"/>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put"/>
      <sheetName val="Jan-00 New"/>
      <sheetName val="Graphs"/>
      <sheetName val="History Graphs"/>
      <sheetName val="History"/>
      <sheetName val="Sheet1"/>
      <sheetName val="Variance Sum "/>
      <sheetName val="Avg Var Sum"/>
      <sheetName val="Avg Co Report"/>
      <sheetName val="Input New"/>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BS"/>
      <sheetName val="Notes"/>
      <sheetName val="CFmthlynew"/>
      <sheetName val="CFYTD"/>
      <sheetName val="EQUITY"/>
      <sheetName val="8"/>
      <sheetName val="9&amp;10"/>
      <sheetName val="GM Analysis Draft"/>
      <sheetName val="13"/>
      <sheetName val="13a"/>
      <sheetName val="14"/>
      <sheetName val="14a"/>
      <sheetName val="15"/>
      <sheetName val="16"/>
      <sheetName val="Page 18A"/>
      <sheetName val="Page 18B"/>
      <sheetName val="Page 18C"/>
      <sheetName val="19"/>
      <sheetName val="Agri Stats"/>
      <sheetName val="12"/>
      <sheetName val="12a"/>
      <sheetName val="12b"/>
      <sheetName val="12c"/>
      <sheetName val="12d"/>
      <sheetName val="17"/>
      <sheetName val="17a"/>
      <sheetName val="17b"/>
      <sheetName val="17c"/>
      <sheetName val="CFAA"/>
      <sheetName val="icr"/>
      <sheetName val="icrdet"/>
      <sheetName val="ICRNEW"/>
      <sheetName val="BANKIS"/>
      <sheetName val="02 BANK IS SALES bud"/>
      <sheetName val="FCSinterim"/>
      <sheetName val="EBITDA AgStar"/>
      <sheetName val="EBITDA"/>
      <sheetName val="USBank-oLD"/>
      <sheetName val="USBank2004"/>
      <sheetName val="JF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MENU"/>
      <sheetName val="SALARY INPUT"/>
      <sheetName val="AUTOMATION"/>
      <sheetName val="OPERATING EXPS."/>
      <sheetName val="SUMMARY"/>
      <sheetName val="MONTHLY SALARY"/>
      <sheetName val="Oracle"/>
      <sheetName val="Module1"/>
      <sheetName val="Module2"/>
      <sheetName val="Module3"/>
      <sheetName val="Module4"/>
      <sheetName val="Module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y resul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고용BS"/>
      <sheetName val="대차대조"/>
      <sheetName val="손익계산"/>
      <sheetName val="잉 여 금"/>
      <sheetName val="제조원가"/>
      <sheetName val="시 산 표"/>
      <sheetName val="시산표(2)"/>
      <sheetName val="현금예금"/>
      <sheetName val="유가증권"/>
      <sheetName val="외상매출"/>
      <sheetName val="받을어음"/>
      <sheetName val="받을어음(2)"/>
      <sheetName val="받을어음(3)"/>
      <sheetName val="당좌자산"/>
      <sheetName val="상품수불"/>
      <sheetName val="원 재 료"/>
      <sheetName val="미 착 품"/>
      <sheetName val="기타유동"/>
      <sheetName val="투자기타"/>
      <sheetName val="유형고정"/>
      <sheetName val="지급어음"/>
      <sheetName val="유동부채"/>
      <sheetName val="고정부채"/>
      <sheetName val="자 본 금"/>
      <sheetName val="매 출 액"/>
      <sheetName val="매출원가"/>
      <sheetName val="영업외수"/>
      <sheetName val="영업외비"/>
      <sheetName val="특별이익"/>
      <sheetName val="특별손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taCom wan order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 Comps"/>
      <sheetName val="Model"/>
      <sheetName val="Graph Valo Theoretical"/>
      <sheetName val="Graph Full Value"/>
      <sheetName val="Graph Strategique"/>
      <sheetName val="Graphs EBITDA"/>
      <sheetName val="Graphs EBITDA-Capex"/>
      <sheetName val="Summary Valuation"/>
      <sheetName val="__FDSCACHE__"/>
      <sheetName val="EU Notes"/>
      <sheetName val="US Comps"/>
      <sheetName val="Notes US"/>
      <sheetName val="Historical Multiples"/>
      <sheetName val="US Deals"/>
      <sheetName val="EU Deals"/>
      <sheetName val="Assumptions"/>
      <sheetName val="Sales"/>
      <sheetName val="EBITDA"/>
      <sheetName val="Capex &amp; Depr."/>
      <sheetName val="DCF"/>
      <sheetName val="WACC"/>
      <sheetName val="Debt capacity "/>
      <sheetName val="Implied Multiples"/>
      <sheetName val="Summary Valuation ALL"/>
      <sheetName val="PV Data"/>
      <sheetName val="EU_Comps"/>
      <sheetName val="Graph_Valo_Theoretical"/>
      <sheetName val="Graph_Full_Value"/>
      <sheetName val="Graph_Strategique"/>
      <sheetName val="Graphs_EBITDA"/>
      <sheetName val="Graphs_EBITDA-Capex"/>
      <sheetName val="Summary_Valuation"/>
      <sheetName val="EU_Notes"/>
      <sheetName val="US_Comps"/>
      <sheetName val="Notes_US"/>
      <sheetName val="Historical_Multiples"/>
      <sheetName val="US_Deals"/>
      <sheetName val="EU_Deals"/>
      <sheetName val="Capex_&amp;_Depr_"/>
      <sheetName val="Debt_capacity_"/>
      <sheetName val="Implied_Multiples"/>
      <sheetName val="Summary_Valuation_ALL"/>
      <sheetName val="3. Contribution Analysis"/>
      <sheetName val="Valuation Model Decaux 19 06 00"/>
      <sheetName val="CW"/>
      <sheetName val="Master"/>
      <sheetName val="Reserves"/>
      <sheetName val="Gross Sales"/>
      <sheetName val="Interest Cover"/>
      <sheetName val="COMBINED"/>
      <sheetName val="VALSTAT"/>
      <sheetName val="MC CHRZ"/>
      <sheetName val="PPT Output"/>
      <sheetName val="Brokers"/>
      <sheetName val="Target Prices"/>
      <sheetName val="Goodwill"/>
      <sheetName val="Input"/>
      <sheetName val="#REF"/>
      <sheetName val="SVB Warrant Amort 10-23-01"/>
      <sheetName val="Details"/>
      <sheetName val="OH"/>
      <sheetName val="K1DB"/>
      <sheetName val=".2 PPV Summary"/>
      <sheetName val="SVB_Warrant_Amort_10-23-01"/>
      <sheetName val="_2_PPV_Summary"/>
      <sheetName val="Binning Q208"/>
      <sheetName val="Sheet2"/>
      <sheetName val="Cash Flow"/>
      <sheetName val="Sheet1"/>
    </sheetNames>
    <sheetDataSet>
      <sheetData sheetId="0" refreshError="1">
        <row r="326">
          <cell r="DK326" t="str">
            <v>Comparable Company Analysis</v>
          </cell>
          <cell r="FQ326" t="str">
            <v>Comparable Company Analysis</v>
          </cell>
        </row>
        <row r="328">
          <cell r="DK328" t="str">
            <v>Selected European Companies in the Outdoor Advertising Industry</v>
          </cell>
          <cell r="FQ328" t="str">
            <v>Selected European Companies in the Outdoor Advertising Industry</v>
          </cell>
        </row>
        <row r="329">
          <cell r="DK329" t="str">
            <v>(figures in Local Currency Millions except per share data)</v>
          </cell>
          <cell r="FQ329" t="str">
            <v>(figures in Local Currency Millions except per share data)</v>
          </cell>
        </row>
        <row r="330">
          <cell r="GF330" t="str">
            <v>Market Value +</v>
          </cell>
          <cell r="GV330" t="str">
            <v>Market Value as</v>
          </cell>
        </row>
        <row r="331">
          <cell r="DS331" t="str">
            <v>Latest Twelve Months</v>
          </cell>
          <cell r="FB331" t="str">
            <v>Assets</v>
          </cell>
          <cell r="FL331" t="str">
            <v>Stock</v>
          </cell>
          <cell r="FY331" t="str">
            <v>5 YR</v>
          </cell>
          <cell r="GC331" t="str">
            <v>Market</v>
          </cell>
          <cell r="GF331" t="str">
            <v>Net Debt</v>
          </cell>
          <cell r="GV331" t="str">
            <v>a Multiple of:</v>
          </cell>
        </row>
        <row r="332">
          <cell r="DO332" t="str">
            <v>LTM</v>
          </cell>
          <cell r="DQ332" t="str">
            <v>Order</v>
          </cell>
          <cell r="DU332" t="str">
            <v>EBITDA -</v>
          </cell>
          <cell r="DY332" t="str">
            <v>Free</v>
          </cell>
          <cell r="EA332" t="str">
            <v>FCF</v>
          </cell>
          <cell r="EC332" t="str">
            <v>Gross</v>
          </cell>
          <cell r="EE332" t="str">
            <v xml:space="preserve">Gross </v>
          </cell>
          <cell r="EI332" t="str">
            <v>EBITDA</v>
          </cell>
          <cell r="EM332" t="str">
            <v>EBITA</v>
          </cell>
          <cell r="EQ332" t="str">
            <v>EBIT</v>
          </cell>
          <cell r="ET332" t="str">
            <v>Net</v>
          </cell>
          <cell r="EX332" t="str">
            <v>Consensus</v>
          </cell>
          <cell r="EZ332" t="str">
            <v>Cash</v>
          </cell>
          <cell r="FB332" t="str">
            <v>Less</v>
          </cell>
          <cell r="FD332" t="str">
            <v>Net</v>
          </cell>
          <cell r="FF332" t="str">
            <v>Book</v>
          </cell>
          <cell r="FH332" t="str">
            <v>EPS (a)</v>
          </cell>
          <cell r="FL332" t="str">
            <v>Price</v>
          </cell>
          <cell r="FN332" t="str">
            <v xml:space="preserve">Shares </v>
          </cell>
          <cell r="FS332" t="str">
            <v>Net</v>
          </cell>
          <cell r="FU332" t="str">
            <v>Net</v>
          </cell>
          <cell r="FW332" t="str">
            <v>Div.</v>
          </cell>
          <cell r="FY332" t="str">
            <v>Rev</v>
          </cell>
          <cell r="GA332" t="str">
            <v>Market</v>
          </cell>
          <cell r="GC332" t="str">
            <v xml:space="preserve"> Value +</v>
          </cell>
          <cell r="GM332" t="str">
            <v>as a Multiple of:</v>
          </cell>
          <cell r="GV332" t="str">
            <v>Consensus</v>
          </cell>
          <cell r="GX332" t="str">
            <v>Cash</v>
          </cell>
          <cell r="HA332" t="str">
            <v>FY1</v>
          </cell>
          <cell r="HD332" t="str">
            <v>FY2</v>
          </cell>
          <cell r="HG332" t="str">
            <v>Book</v>
          </cell>
          <cell r="HJ332" t="str">
            <v>Net Inc.</v>
          </cell>
        </row>
        <row r="333">
          <cell r="DN333" t="str">
            <v>LC</v>
          </cell>
          <cell r="DO333" t="str">
            <v>as of</v>
          </cell>
          <cell r="DQ333" t="str">
            <v>Backlog</v>
          </cell>
          <cell r="DS333" t="str">
            <v>Revenue</v>
          </cell>
          <cell r="DU333" t="str">
            <v>Capex</v>
          </cell>
          <cell r="DW333" t="str">
            <v>Marg.</v>
          </cell>
          <cell r="DY333" t="str">
            <v>Cash Flow</v>
          </cell>
          <cell r="EA333" t="str">
            <v>Marg.</v>
          </cell>
          <cell r="EC333" t="str">
            <v>Profit</v>
          </cell>
          <cell r="EE333" t="str">
            <v>Marg.</v>
          </cell>
          <cell r="EG333" t="str">
            <v xml:space="preserve">EBITDA </v>
          </cell>
          <cell r="EI333" t="str">
            <v>Marg.</v>
          </cell>
          <cell r="EK333" t="str">
            <v xml:space="preserve">EBITA </v>
          </cell>
          <cell r="EM333" t="str">
            <v>Marg.</v>
          </cell>
          <cell r="EO333" t="str">
            <v>EBIT</v>
          </cell>
          <cell r="EQ333" t="str">
            <v>Marg.</v>
          </cell>
          <cell r="ET333" t="str">
            <v>Inc.</v>
          </cell>
          <cell r="EV333" t="str">
            <v>EPS</v>
          </cell>
          <cell r="EX333" t="str">
            <v>EPS</v>
          </cell>
          <cell r="EZ333" t="str">
            <v>EPS</v>
          </cell>
          <cell r="FB333" t="str">
            <v>Cash</v>
          </cell>
          <cell r="FD333" t="str">
            <v>Cap</v>
          </cell>
          <cell r="FF333" t="str">
            <v>Value</v>
          </cell>
          <cell r="FH333" t="str">
            <v>FY1</v>
          </cell>
          <cell r="FJ333" t="str">
            <v>FY2</v>
          </cell>
          <cell r="FL333">
            <v>36696</v>
          </cell>
          <cell r="FN333" t="str">
            <v>Outs. (m)</v>
          </cell>
          <cell r="FS333" t="str">
            <v xml:space="preserve">Debt </v>
          </cell>
          <cell r="FU333" t="str">
            <v>Gearing</v>
          </cell>
          <cell r="FW333" t="str">
            <v>Yield</v>
          </cell>
          <cell r="FY333" t="str">
            <v>Grwth</v>
          </cell>
          <cell r="GA333" t="str">
            <v>Value</v>
          </cell>
          <cell r="GC333" t="str">
            <v>Net Debt</v>
          </cell>
          <cell r="GF333" t="str">
            <v>Rev.</v>
          </cell>
          <cell r="GH333" t="str">
            <v>EBITDA - Capex</v>
          </cell>
          <cell r="GJ333" t="str">
            <v>FCF</v>
          </cell>
          <cell r="GL333" t="str">
            <v>EBITDA</v>
          </cell>
          <cell r="GN333" t="str">
            <v>EBITA</v>
          </cell>
          <cell r="GP333" t="str">
            <v>EBIT</v>
          </cell>
          <cell r="GT333" t="str">
            <v>EPS</v>
          </cell>
          <cell r="GV333" t="str">
            <v>EPS</v>
          </cell>
          <cell r="GX333" t="str">
            <v>EPS</v>
          </cell>
          <cell r="HA333" t="str">
            <v>EPS</v>
          </cell>
          <cell r="HD333" t="str">
            <v>EPS</v>
          </cell>
          <cell r="HG333" t="str">
            <v>Value</v>
          </cell>
          <cell r="HJ333" t="str">
            <v>+ DA</v>
          </cell>
        </row>
        <row r="335">
          <cell r="DK335" t="str">
            <v>Giraudy</v>
          </cell>
          <cell r="DM335" t="str">
            <v>option</v>
          </cell>
          <cell r="DN335" t="str">
            <v>FRF</v>
          </cell>
          <cell r="DO335">
            <v>35338</v>
          </cell>
          <cell r="DQ335">
            <v>0</v>
          </cell>
          <cell r="DS335">
            <v>1221.7639999999999</v>
          </cell>
          <cell r="EC335" t="e">
            <v>#VALUE!</v>
          </cell>
          <cell r="EE335" t="e">
            <v>#VALUE!</v>
          </cell>
          <cell r="EG335">
            <v>136.42500000000001</v>
          </cell>
          <cell r="EI335">
            <v>0.11166231776349608</v>
          </cell>
          <cell r="EK335">
            <v>0</v>
          </cell>
          <cell r="EM335">
            <v>0</v>
          </cell>
          <cell r="EO335">
            <v>71.548000000000002</v>
          </cell>
          <cell r="EQ335">
            <v>5.8561227863973733E-2</v>
          </cell>
          <cell r="ET335">
            <v>35.148492506459945</v>
          </cell>
          <cell r="EV335">
            <v>18.394339484821241</v>
          </cell>
          <cell r="EX335">
            <v>0</v>
          </cell>
          <cell r="EZ335">
            <v>0</v>
          </cell>
          <cell r="FB335">
            <v>1124.452</v>
          </cell>
          <cell r="FD335">
            <v>596.90899999999999</v>
          </cell>
          <cell r="FF335">
            <v>510.41</v>
          </cell>
          <cell r="FH335" t="str">
            <v>NA</v>
          </cell>
          <cell r="FJ335">
            <v>28.2</v>
          </cell>
          <cell r="FL335">
            <v>390</v>
          </cell>
          <cell r="FN335">
            <v>1.910852</v>
          </cell>
          <cell r="FQ335" t="str">
            <v>Giraudy</v>
          </cell>
          <cell r="FS335">
            <v>86.498999999999995</v>
          </cell>
          <cell r="FU335">
            <v>0.14491153592926223</v>
          </cell>
          <cell r="FW335" t="e">
            <v>#VALUE!</v>
          </cell>
          <cell r="FY335" t="e">
            <v>#VALUE!</v>
          </cell>
          <cell r="GA335">
            <v>745.23227999999995</v>
          </cell>
          <cell r="GC335">
            <v>831.73127999999997</v>
          </cell>
          <cell r="GF335">
            <v>0.68076263500970735</v>
          </cell>
          <cell r="GG335" t="str">
            <v>x</v>
          </cell>
          <cell r="GL335">
            <v>6.0966192413413953</v>
          </cell>
          <cell r="GM335" t="str">
            <v>x</v>
          </cell>
          <cell r="GN335" t="e">
            <v>#DIV/0!</v>
          </cell>
          <cell r="GO335" t="str">
            <v>x</v>
          </cell>
          <cell r="GP335">
            <v>11.624801252306144</v>
          </cell>
          <cell r="GQ335" t="str">
            <v>x</v>
          </cell>
          <cell r="GT335">
            <v>21.202174740866486</v>
          </cell>
          <cell r="GU335" t="str">
            <v>x</v>
          </cell>
          <cell r="GV335" t="e">
            <v>#DIV/0!</v>
          </cell>
          <cell r="GW335" t="str">
            <v>x</v>
          </cell>
          <cell r="HA335" t="str">
            <v>NA</v>
          </cell>
          <cell r="HD335">
            <v>13.829787234042554</v>
          </cell>
          <cell r="HE335" t="str">
            <v>x</v>
          </cell>
          <cell r="HG335">
            <v>1.4600659861679823</v>
          </cell>
          <cell r="HH335" t="str">
            <v>x</v>
          </cell>
          <cell r="HJ335">
            <v>7.2416985406060537</v>
          </cell>
          <cell r="HK335" t="str">
            <v>x</v>
          </cell>
        </row>
        <row r="336">
          <cell r="DK336" t="str">
            <v xml:space="preserve"> -</v>
          </cell>
          <cell r="DL336" t="str">
            <v>French second largest outdoor advertising operator</v>
          </cell>
          <cell r="ET336" t="str">
            <v xml:space="preserve"> </v>
          </cell>
          <cell r="EW336">
            <v>0</v>
          </cell>
          <cell r="EY336">
            <v>0</v>
          </cell>
          <cell r="FA336">
            <v>0</v>
          </cell>
          <cell r="FL336">
            <v>0</v>
          </cell>
          <cell r="FN336">
            <v>0</v>
          </cell>
          <cell r="FQ336" t="str">
            <v xml:space="preserve"> -</v>
          </cell>
          <cell r="FR336" t="str">
            <v>French second largest outdoor advertising operator</v>
          </cell>
        </row>
        <row r="337">
          <cell r="DL337">
            <v>0</v>
          </cell>
          <cell r="EW337">
            <v>0</v>
          </cell>
          <cell r="EY337">
            <v>0</v>
          </cell>
          <cell r="FA337">
            <v>0</v>
          </cell>
          <cell r="FL337">
            <v>0</v>
          </cell>
          <cell r="FN337">
            <v>0</v>
          </cell>
          <cell r="FR337">
            <v>0</v>
          </cell>
        </row>
        <row r="338">
          <cell r="EW338">
            <v>0</v>
          </cell>
          <cell r="EY338">
            <v>0</v>
          </cell>
          <cell r="FA338">
            <v>0</v>
          </cell>
          <cell r="FL338">
            <v>0</v>
          </cell>
          <cell r="FN338">
            <v>0</v>
          </cell>
        </row>
        <row r="339">
          <cell r="DO339" t="str">
            <v>FY1</v>
          </cell>
          <cell r="DS339">
            <v>1270</v>
          </cell>
          <cell r="EG339">
            <v>143.87700000000001</v>
          </cell>
          <cell r="EI339">
            <v>0.11328897637795277</v>
          </cell>
          <cell r="EK339">
            <v>0</v>
          </cell>
          <cell r="EM339">
            <v>0</v>
          </cell>
          <cell r="EO339">
            <v>79</v>
          </cell>
          <cell r="EQ339">
            <v>6.2204724409448818E-2</v>
          </cell>
          <cell r="ET339">
            <v>44</v>
          </cell>
          <cell r="FH339" t="str">
            <v>NA</v>
          </cell>
          <cell r="GF339">
            <v>0.65490651968503932</v>
          </cell>
          <cell r="GL339">
            <v>5.7808494755937359</v>
          </cell>
          <cell r="GN339">
            <v>0</v>
          </cell>
          <cell r="GP339">
            <v>10.52824405063291</v>
          </cell>
          <cell r="GT339" t="str">
            <v>NA</v>
          </cell>
          <cell r="GV339" t="str">
            <v>NA</v>
          </cell>
        </row>
        <row r="340">
          <cell r="DO340" t="str">
            <v>FY2</v>
          </cell>
          <cell r="DS340">
            <v>1320</v>
          </cell>
          <cell r="EG340">
            <v>156.87700000000001</v>
          </cell>
          <cell r="EI340">
            <v>0.11884621212121213</v>
          </cell>
          <cell r="EK340">
            <v>0</v>
          </cell>
          <cell r="EM340">
            <v>0</v>
          </cell>
          <cell r="EO340">
            <v>92</v>
          </cell>
          <cell r="EQ340">
            <v>6.9696969696969702E-2</v>
          </cell>
          <cell r="ET340">
            <v>52</v>
          </cell>
          <cell r="FJ340">
            <v>28.2</v>
          </cell>
          <cell r="GF340">
            <v>0.63009945454545457</v>
          </cell>
          <cell r="GL340">
            <v>5.3018051084607682</v>
          </cell>
          <cell r="GN340">
            <v>1.3697098451389276</v>
          </cell>
          <cell r="GP340">
            <v>9.0405573913043469</v>
          </cell>
          <cell r="GT340">
            <v>13.829787234042554</v>
          </cell>
          <cell r="GV340">
            <v>0</v>
          </cell>
        </row>
        <row r="342">
          <cell r="DK342" t="str">
            <v>Dauphin  O.T.A.</v>
          </cell>
          <cell r="DM342" t="str">
            <v>option</v>
          </cell>
          <cell r="DN342" t="str">
            <v>FRF</v>
          </cell>
          <cell r="DO342">
            <v>35611</v>
          </cell>
          <cell r="DQ342">
            <v>0</v>
          </cell>
          <cell r="DS342">
            <v>1410.9905429999999</v>
          </cell>
          <cell r="EC342" t="e">
            <v>#VALUE!</v>
          </cell>
          <cell r="EE342" t="e">
            <v>#VALUE!</v>
          </cell>
          <cell r="EG342">
            <v>250.51607800000005</v>
          </cell>
          <cell r="EI342">
            <v>0.1775462487986357</v>
          </cell>
          <cell r="EK342">
            <v>0</v>
          </cell>
          <cell r="EM342">
            <v>0</v>
          </cell>
          <cell r="EO342">
            <v>187.85408400000006</v>
          </cell>
          <cell r="EQ342">
            <v>0.13313631684631361</v>
          </cell>
          <cell r="ET342">
            <v>69.937694433668995</v>
          </cell>
          <cell r="EV342">
            <v>21.979162298450341</v>
          </cell>
          <cell r="EX342">
            <v>0</v>
          </cell>
          <cell r="EZ342">
            <v>0</v>
          </cell>
          <cell r="FB342" t="e">
            <v>#VALUE!</v>
          </cell>
          <cell r="FD342">
            <v>750.73310500000002</v>
          </cell>
          <cell r="FF342">
            <v>567.54972199999997</v>
          </cell>
          <cell r="FH342">
            <v>20.73</v>
          </cell>
          <cell r="FJ342">
            <v>24.03</v>
          </cell>
          <cell r="FL342">
            <v>610</v>
          </cell>
          <cell r="FN342">
            <v>3.1819999999999999</v>
          </cell>
          <cell r="FQ342" t="str">
            <v>Dauphin  O.T.A.</v>
          </cell>
          <cell r="FS342">
            <v>183.18338299999999</v>
          </cell>
          <cell r="FU342">
            <v>0.24400600130721556</v>
          </cell>
          <cell r="FW342" t="e">
            <v>#VALUE!</v>
          </cell>
          <cell r="FY342">
            <v>0.40790857019100812</v>
          </cell>
          <cell r="GA342">
            <v>1941.02</v>
          </cell>
          <cell r="GC342">
            <v>2124.203383</v>
          </cell>
          <cell r="GF342">
            <v>1.5054696103657728</v>
          </cell>
          <cell r="GL342">
            <v>8.4793095914586356</v>
          </cell>
          <cell r="GN342" t="e">
            <v>#DIV/0!</v>
          </cell>
          <cell r="GP342">
            <v>11.307730648006563</v>
          </cell>
          <cell r="GT342">
            <v>27.75356001820909</v>
          </cell>
          <cell r="GV342" t="e">
            <v>#DIV/0!</v>
          </cell>
          <cell r="HA342">
            <v>29.42595272551857</v>
          </cell>
          <cell r="HD342">
            <v>25.384935497295047</v>
          </cell>
          <cell r="HG342">
            <v>3.4199999132410817</v>
          </cell>
          <cell r="HJ342">
            <v>12.871822021776817</v>
          </cell>
        </row>
        <row r="343">
          <cell r="DK343" t="str">
            <v xml:space="preserve"> -</v>
          </cell>
          <cell r="DL343" t="str">
            <v>French largest outdoor advertising operator</v>
          </cell>
          <cell r="FL343">
            <v>0</v>
          </cell>
          <cell r="FN343">
            <v>0</v>
          </cell>
          <cell r="FQ343" t="str">
            <v xml:space="preserve"> -</v>
          </cell>
          <cell r="FR343" t="str">
            <v>French largest outdoor advertising operator</v>
          </cell>
        </row>
        <row r="344">
          <cell r="DL344">
            <v>0</v>
          </cell>
          <cell r="EV344" t="str">
            <v xml:space="preserve"> </v>
          </cell>
          <cell r="EX344" t="str">
            <v xml:space="preserve"> </v>
          </cell>
          <cell r="EZ344" t="str">
            <v xml:space="preserve"> </v>
          </cell>
          <cell r="FL344">
            <v>0</v>
          </cell>
          <cell r="FN344">
            <v>0</v>
          </cell>
          <cell r="FR344">
            <v>0</v>
          </cell>
        </row>
        <row r="345">
          <cell r="FL345">
            <v>0</v>
          </cell>
          <cell r="FN345">
            <v>0</v>
          </cell>
        </row>
        <row r="346">
          <cell r="DO346" t="str">
            <v>FY1</v>
          </cell>
          <cell r="DS346">
            <v>1419</v>
          </cell>
          <cell r="EG346">
            <v>217</v>
          </cell>
          <cell r="EI346">
            <v>0.1529245947850599</v>
          </cell>
          <cell r="EK346">
            <v>0</v>
          </cell>
          <cell r="EM346">
            <v>0</v>
          </cell>
          <cell r="EO346">
            <v>148</v>
          </cell>
          <cell r="EQ346">
            <v>0.10429880197322058</v>
          </cell>
          <cell r="ET346">
            <v>76</v>
          </cell>
          <cell r="FH346">
            <v>20.73</v>
          </cell>
          <cell r="GF346">
            <v>1.4969720810429881</v>
          </cell>
          <cell r="GL346">
            <v>9.78895568202765</v>
          </cell>
          <cell r="GN346">
            <v>0</v>
          </cell>
          <cell r="GP346">
            <v>14.352725560810811</v>
          </cell>
          <cell r="GT346">
            <v>29.42595272551857</v>
          </cell>
          <cell r="GV346">
            <v>0</v>
          </cell>
        </row>
        <row r="347">
          <cell r="DO347" t="str">
            <v>FY2</v>
          </cell>
          <cell r="DS347">
            <v>1569</v>
          </cell>
          <cell r="EG347">
            <v>255</v>
          </cell>
          <cell r="EI347">
            <v>0.16252390057361377</v>
          </cell>
          <cell r="EK347">
            <v>0</v>
          </cell>
          <cell r="EM347">
            <v>0</v>
          </cell>
          <cell r="EO347">
            <v>178</v>
          </cell>
          <cell r="EQ347">
            <v>0.11344805608667942</v>
          </cell>
          <cell r="ET347">
            <v>86</v>
          </cell>
          <cell r="FJ347">
            <v>24.03</v>
          </cell>
          <cell r="GF347">
            <v>1.3538581153601019</v>
          </cell>
          <cell r="GL347">
            <v>8.330209345098039</v>
          </cell>
          <cell r="GN347" t="str">
            <v>NM</v>
          </cell>
          <cell r="GP347">
            <v>11.933726870786517</v>
          </cell>
          <cell r="GT347">
            <v>25.384935497295047</v>
          </cell>
          <cell r="GV347">
            <v>0</v>
          </cell>
        </row>
        <row r="349">
          <cell r="DK349" t="str">
            <v>Affichage Holding</v>
          </cell>
          <cell r="DN349" t="str">
            <v>CHF</v>
          </cell>
          <cell r="DO349">
            <v>36160</v>
          </cell>
          <cell r="DQ349" t="e">
            <v>#VALUE!</v>
          </cell>
          <cell r="DS349">
            <v>246.7</v>
          </cell>
          <cell r="DU349" t="str">
            <v>n.a.</v>
          </cell>
          <cell r="DW349" t="str">
            <v>n.a.</v>
          </cell>
          <cell r="DY349" t="str">
            <v>n.a.</v>
          </cell>
          <cell r="EA349" t="str">
            <v>n.a.</v>
          </cell>
          <cell r="EC349" t="e">
            <v>#VALUE!</v>
          </cell>
          <cell r="EE349" t="e">
            <v>#VALUE!</v>
          </cell>
          <cell r="EG349">
            <v>49.108850000000004</v>
          </cell>
          <cell r="EI349">
            <v>0.19906303202269965</v>
          </cell>
          <cell r="EK349">
            <v>29.208850000000002</v>
          </cell>
          <cell r="EM349">
            <v>0.11839825699229835</v>
          </cell>
          <cell r="EO349">
            <v>29.05</v>
          </cell>
          <cell r="EQ349">
            <v>0.11775435751925416</v>
          </cell>
          <cell r="ET349">
            <v>22.8</v>
          </cell>
          <cell r="EV349">
            <v>30</v>
          </cell>
          <cell r="EZ349">
            <v>75.199999999999989</v>
          </cell>
          <cell r="FB349">
            <v>0</v>
          </cell>
          <cell r="FD349">
            <v>46.300000000000011</v>
          </cell>
          <cell r="FF349">
            <v>186.3</v>
          </cell>
          <cell r="FH349">
            <v>0</v>
          </cell>
          <cell r="FJ349">
            <v>0</v>
          </cell>
          <cell r="FL349">
            <v>780</v>
          </cell>
          <cell r="FN349">
            <v>0.75</v>
          </cell>
          <cell r="FQ349" t="str">
            <v>Affichage Holding</v>
          </cell>
          <cell r="FS349">
            <v>-140</v>
          </cell>
          <cell r="FU349">
            <v>-3.023758099352051</v>
          </cell>
          <cell r="FW349" t="e">
            <v>#VALUE!</v>
          </cell>
          <cell r="FY349">
            <v>-0.20704938559910802</v>
          </cell>
          <cell r="GA349">
            <v>585</v>
          </cell>
          <cell r="GC349">
            <v>445</v>
          </cell>
          <cell r="GE349" t="str">
            <v>LTM</v>
          </cell>
          <cell r="GF349">
            <v>1.8038102959059588</v>
          </cell>
          <cell r="GH349" t="str">
            <v>n.m.</v>
          </cell>
          <cell r="GJ349" t="str">
            <v>n.m.</v>
          </cell>
          <cell r="GL349">
            <v>9.0615031710170353</v>
          </cell>
          <cell r="GN349">
            <v>15.235108537309753</v>
          </cell>
          <cell r="GP349">
            <v>15.3184165232358</v>
          </cell>
          <cell r="GT349">
            <v>26</v>
          </cell>
          <cell r="GX349">
            <v>10.372340425531917</v>
          </cell>
          <cell r="HA349" t="e">
            <v>#DIV/0!</v>
          </cell>
          <cell r="HB349" t="str">
            <v>x (a)</v>
          </cell>
          <cell r="HD349" t="e">
            <v>#DIV/0!</v>
          </cell>
          <cell r="HE349" t="str">
            <v>x (a)</v>
          </cell>
          <cell r="HG349">
            <v>3.1400966183574877</v>
          </cell>
          <cell r="HH349" t="str">
            <v>x</v>
          </cell>
          <cell r="HJ349">
            <v>13.649456296657515</v>
          </cell>
        </row>
        <row r="350">
          <cell r="DK350" t="str">
            <v xml:space="preserve"> -</v>
          </cell>
          <cell r="DL350" t="str">
            <v>Swiss outdoor advertising operator</v>
          </cell>
          <cell r="FL350">
            <v>0</v>
          </cell>
          <cell r="FN350">
            <v>0</v>
          </cell>
        </row>
        <row r="351">
          <cell r="DL351">
            <v>0</v>
          </cell>
          <cell r="FL351">
            <v>0</v>
          </cell>
          <cell r="FN351">
            <v>0</v>
          </cell>
          <cell r="FR351">
            <v>0</v>
          </cell>
        </row>
        <row r="352">
          <cell r="FL352">
            <v>0</v>
          </cell>
          <cell r="FN352">
            <v>0</v>
          </cell>
        </row>
        <row r="353">
          <cell r="DO353" t="str">
            <v>FY1</v>
          </cell>
          <cell r="DS353">
            <v>268.66000000000003</v>
          </cell>
          <cell r="DU353" t="str">
            <v>n.a.</v>
          </cell>
          <cell r="DW353" t="str">
            <v>n.a.</v>
          </cell>
          <cell r="DY353" t="str">
            <v>n.a.</v>
          </cell>
          <cell r="EA353" t="str">
            <v>n.a.</v>
          </cell>
          <cell r="EG353">
            <v>53.856898459667612</v>
          </cell>
          <cell r="EI353">
            <v>0.20046489414005661</v>
          </cell>
          <cell r="EK353">
            <v>32.185499999999998</v>
          </cell>
          <cell r="EM353">
            <v>0.11980011910965531</v>
          </cell>
          <cell r="EO353">
            <v>32.01</v>
          </cell>
          <cell r="EQ353">
            <v>0.11914687709372439</v>
          </cell>
          <cell r="ET353">
            <v>25.4</v>
          </cell>
          <cell r="EV353">
            <v>33.200000000000003</v>
          </cell>
          <cell r="EX353">
            <v>32.6</v>
          </cell>
          <cell r="EZ353">
            <v>62.329197946223488</v>
          </cell>
          <cell r="GE353" t="str">
            <v>FY1</v>
          </cell>
          <cell r="GF353">
            <v>1.6563686443832351</v>
          </cell>
          <cell r="GH353" t="str">
            <v>n.m.</v>
          </cell>
          <cell r="GJ353" t="str">
            <v>n.m.</v>
          </cell>
          <cell r="GL353">
            <v>8.2626369643853863</v>
          </cell>
          <cell r="GN353">
            <v>13.826101816035171</v>
          </cell>
          <cell r="GP353">
            <v>13.901905654482976</v>
          </cell>
          <cell r="GT353">
            <v>23.493975903614455</v>
          </cell>
          <cell r="GV353">
            <v>23.926380368098158</v>
          </cell>
          <cell r="GX353">
            <v>12.514199214836198</v>
          </cell>
        </row>
        <row r="354">
          <cell r="DO354" t="str">
            <v>FY2</v>
          </cell>
          <cell r="DS354">
            <v>293.14999999999998</v>
          </cell>
          <cell r="DU354" t="str">
            <v>n.a.</v>
          </cell>
          <cell r="DW354" t="str">
            <v>n.a.</v>
          </cell>
          <cell r="DY354" t="str">
            <v>n.a.</v>
          </cell>
          <cell r="EA354" t="str">
            <v>n.a.</v>
          </cell>
          <cell r="EG354">
            <v>59.872378800162139</v>
          </cell>
          <cell r="EI354">
            <v>0.20423803104268171</v>
          </cell>
          <cell r="EK354">
            <v>36.225499999999997</v>
          </cell>
          <cell r="EM354">
            <v>0.12357325601228041</v>
          </cell>
          <cell r="EO354">
            <v>36.049999999999997</v>
          </cell>
          <cell r="EQ354">
            <v>0.12297458638922054</v>
          </cell>
          <cell r="ET354">
            <v>27.1</v>
          </cell>
          <cell r="EV354">
            <v>35.299999999999997</v>
          </cell>
          <cell r="EX354">
            <v>36.1</v>
          </cell>
          <cell r="EZ354">
            <v>67.06317173354951</v>
          </cell>
          <cell r="GE354" t="str">
            <v>FY2</v>
          </cell>
          <cell r="GF354">
            <v>1.5179942009210303</v>
          </cell>
          <cell r="GH354" t="str">
            <v>n.m.</v>
          </cell>
          <cell r="GJ354" t="str">
            <v>n.m.</v>
          </cell>
          <cell r="GL354">
            <v>7.4324756910910459</v>
          </cell>
          <cell r="GN354">
            <v>12.284164469779576</v>
          </cell>
          <cell r="GP354">
            <v>12.343966712898753</v>
          </cell>
          <cell r="GT354">
            <v>22.09631728045326</v>
          </cell>
          <cell r="GV354">
            <v>21.606648199445981</v>
          </cell>
          <cell r="GX354">
            <v>11.630824785607203</v>
          </cell>
        </row>
        <row r="355">
          <cell r="DO355" t="str">
            <v>FY3</v>
          </cell>
          <cell r="DS355">
            <v>280.2</v>
          </cell>
          <cell r="DW355">
            <v>0</v>
          </cell>
          <cell r="EG355">
            <v>58.775500000000001</v>
          </cell>
          <cell r="EI355">
            <v>0.20976266952177017</v>
          </cell>
          <cell r="EK355">
            <v>36.775500000000001</v>
          </cell>
          <cell r="EM355">
            <v>0.13124732334047109</v>
          </cell>
          <cell r="EO355">
            <v>36.6</v>
          </cell>
          <cell r="EQ355">
            <v>0.13062098501070665</v>
          </cell>
          <cell r="ET355">
            <v>28.8</v>
          </cell>
          <cell r="EV355">
            <v>37.5</v>
          </cell>
          <cell r="EX355">
            <v>34.799999999999997</v>
          </cell>
          <cell r="EZ355">
            <v>67.067333333333337</v>
          </cell>
          <cell r="GE355" t="str">
            <v>FY3</v>
          </cell>
          <cell r="GF355">
            <v>1.5881513204853677</v>
          </cell>
          <cell r="GL355">
            <v>7.5711818699968525</v>
          </cell>
          <cell r="GN355">
            <v>12.100447308670175</v>
          </cell>
          <cell r="GP355">
            <v>12.158469945355192</v>
          </cell>
          <cell r="GT355">
            <v>20.8</v>
          </cell>
          <cell r="GV355">
            <v>22.413793103448278</v>
          </cell>
          <cell r="GX355">
            <v>11.630103080486277</v>
          </cell>
        </row>
        <row r="357">
          <cell r="DK357" t="str">
            <v>Primesight Plc</v>
          </cell>
          <cell r="DM357" t="str">
            <v>option</v>
          </cell>
          <cell r="DN357" t="str">
            <v>GBP</v>
          </cell>
          <cell r="DO357">
            <v>35611</v>
          </cell>
          <cell r="DQ357" t="e">
            <v>#VALUE!</v>
          </cell>
          <cell r="DS357">
            <v>12.302000000000001</v>
          </cell>
          <cell r="EC357" t="e">
            <v>#VALUE!</v>
          </cell>
          <cell r="EE357" t="e">
            <v>#VALUE!</v>
          </cell>
          <cell r="EG357">
            <v>1.1850000000000001</v>
          </cell>
          <cell r="EI357">
            <v>9.6325800682815793E-2</v>
          </cell>
          <cell r="EK357">
            <v>0</v>
          </cell>
          <cell r="EM357">
            <v>0</v>
          </cell>
          <cell r="EO357">
            <v>0.80700000000000016</v>
          </cell>
          <cell r="EQ357">
            <v>6.5599089578930264E-2</v>
          </cell>
          <cell r="ET357">
            <v>0.48000000000000009</v>
          </cell>
          <cell r="EV357">
            <v>8.8764605155419798E-2</v>
          </cell>
          <cell r="EX357">
            <v>0</v>
          </cell>
          <cell r="FB357" t="e">
            <v>#VALUE!</v>
          </cell>
          <cell r="FD357">
            <v>0.95799999999999985</v>
          </cell>
          <cell r="FF357">
            <v>-0.78700000000000003</v>
          </cell>
          <cell r="FH357">
            <v>9.2999999999999999E-2</v>
          </cell>
          <cell r="FJ357">
            <v>0.1673</v>
          </cell>
          <cell r="FL357">
            <v>2.2999999999999998</v>
          </cell>
          <cell r="FN357">
            <v>6.0750000000000002</v>
          </cell>
          <cell r="FQ357" t="str">
            <v>Primesight Plc</v>
          </cell>
          <cell r="FS357">
            <v>1.7449999999999999</v>
          </cell>
          <cell r="FU357">
            <v>1.8215031315240084</v>
          </cell>
          <cell r="FW357" t="e">
            <v>#VALUE!</v>
          </cell>
          <cell r="FY357">
            <v>-0.59886822486581148</v>
          </cell>
          <cell r="GA357">
            <v>13.9725</v>
          </cell>
          <cell r="GC357">
            <v>15.717499999999999</v>
          </cell>
          <cell r="GF357">
            <v>1.2776377824743943</v>
          </cell>
          <cell r="GL357">
            <v>13.263713080168776</v>
          </cell>
          <cell r="GN357" t="e">
            <v>#DIV/0!</v>
          </cell>
          <cell r="GP357">
            <v>19.476456009913253</v>
          </cell>
          <cell r="GT357">
            <v>25.911228872959914</v>
          </cell>
          <cell r="GV357" t="e">
            <v>#DIV/0!</v>
          </cell>
          <cell r="HA357">
            <v>24.731182795698924</v>
          </cell>
          <cell r="HD357">
            <v>13.747758517632994</v>
          </cell>
          <cell r="HG357" t="str">
            <v>NM</v>
          </cell>
          <cell r="HJ357">
            <v>15.80599547511312</v>
          </cell>
        </row>
        <row r="358">
          <cell r="DK358" t="str">
            <v xml:space="preserve"> -</v>
          </cell>
          <cell r="DL358" t="str">
            <v>UK illuminated advertising panel operator</v>
          </cell>
          <cell r="FL358">
            <v>0</v>
          </cell>
          <cell r="FN358">
            <v>0</v>
          </cell>
          <cell r="FQ358" t="str">
            <v xml:space="preserve"> -</v>
          </cell>
          <cell r="FR358" t="str">
            <v>UK illuminated advertising panel operator</v>
          </cell>
        </row>
        <row r="359">
          <cell r="DL359">
            <v>0</v>
          </cell>
          <cell r="FL359">
            <v>0</v>
          </cell>
          <cell r="FN359">
            <v>0</v>
          </cell>
          <cell r="FR359">
            <v>0</v>
          </cell>
        </row>
        <row r="360">
          <cell r="FL360">
            <v>0</v>
          </cell>
          <cell r="FN360">
            <v>0</v>
          </cell>
        </row>
        <row r="361">
          <cell r="DO361" t="str">
            <v>FY1</v>
          </cell>
          <cell r="DS361">
            <v>0</v>
          </cell>
          <cell r="EG361">
            <v>0</v>
          </cell>
          <cell r="EI361">
            <v>0</v>
          </cell>
          <cell r="EK361">
            <v>0</v>
          </cell>
          <cell r="EM361" t="str">
            <v>n.a.</v>
          </cell>
          <cell r="EO361">
            <v>0</v>
          </cell>
          <cell r="EQ361">
            <v>0</v>
          </cell>
          <cell r="ET361">
            <v>0</v>
          </cell>
          <cell r="FH361">
            <v>9.2999999999999999E-2</v>
          </cell>
          <cell r="GF361">
            <v>0</v>
          </cell>
          <cell r="GL361">
            <v>0</v>
          </cell>
          <cell r="GN361">
            <v>0</v>
          </cell>
          <cell r="GP361">
            <v>0</v>
          </cell>
          <cell r="GT361">
            <v>24.731182795698924</v>
          </cell>
          <cell r="GV361" t="str">
            <v>NM</v>
          </cell>
        </row>
        <row r="362">
          <cell r="DO362" t="str">
            <v>FY2</v>
          </cell>
          <cell r="DS362">
            <v>0</v>
          </cell>
          <cell r="EG362">
            <v>0</v>
          </cell>
          <cell r="EI362">
            <v>0</v>
          </cell>
          <cell r="EK362">
            <v>0</v>
          </cell>
          <cell r="EM362" t="str">
            <v>n.a.</v>
          </cell>
          <cell r="EO362">
            <v>0</v>
          </cell>
          <cell r="EQ362">
            <v>0</v>
          </cell>
          <cell r="ET362">
            <v>0</v>
          </cell>
          <cell r="FJ362">
            <v>0.1673</v>
          </cell>
          <cell r="GF362">
            <v>0</v>
          </cell>
          <cell r="GL362">
            <v>0</v>
          </cell>
          <cell r="GN362" t="str">
            <v>NM</v>
          </cell>
          <cell r="GP362">
            <v>0</v>
          </cell>
          <cell r="GT362">
            <v>13.747758517632994</v>
          </cell>
          <cell r="GV362">
            <v>0</v>
          </cell>
        </row>
        <row r="364">
          <cell r="DK364" t="str">
            <v>Maiden Group Plc</v>
          </cell>
          <cell r="DN364" t="str">
            <v>GBP</v>
          </cell>
          <cell r="DO364">
            <v>36160</v>
          </cell>
          <cell r="DQ364" t="e">
            <v>#VALUE!</v>
          </cell>
          <cell r="DS364">
            <v>65.323999999999998</v>
          </cell>
          <cell r="DU364">
            <v>6.8250000000000002</v>
          </cell>
          <cell r="DW364">
            <v>0.10447921131590228</v>
          </cell>
          <cell r="DY364">
            <v>6.3410000000000002</v>
          </cell>
          <cell r="EA364">
            <v>9.7069989590349653E-2</v>
          </cell>
          <cell r="EC364" t="e">
            <v>#VALUE!</v>
          </cell>
          <cell r="EE364" t="e">
            <v>#VALUE!</v>
          </cell>
          <cell r="EG364">
            <v>12.022</v>
          </cell>
          <cell r="EI364">
            <v>0.18403649500949115</v>
          </cell>
          <cell r="EK364">
            <v>8.875</v>
          </cell>
          <cell r="EM364">
            <v>0.13586124548404874</v>
          </cell>
          <cell r="EO364">
            <v>6.8390000000000004</v>
          </cell>
          <cell r="EQ364">
            <v>0.1046935276468067</v>
          </cell>
          <cell r="ET364">
            <v>2.39</v>
          </cell>
          <cell r="EV364">
            <v>6.0804166393069126E-2</v>
          </cell>
          <cell r="EZ364">
            <v>0.18404396302719361</v>
          </cell>
          <cell r="FB364" t="e">
            <v>#VALUE!</v>
          </cell>
          <cell r="FD364">
            <v>13.186999999999998</v>
          </cell>
          <cell r="FF364">
            <v>-10.111000000000001</v>
          </cell>
          <cell r="FH364">
            <v>0.11334</v>
          </cell>
          <cell r="FJ364">
            <v>0.14530000000000001</v>
          </cell>
          <cell r="FL364">
            <v>4.5</v>
          </cell>
          <cell r="FN364">
            <v>42.056220000000003</v>
          </cell>
          <cell r="FQ364" t="str">
            <v>Maiden Group Plc</v>
          </cell>
          <cell r="FS364">
            <v>23.297999999999998</v>
          </cell>
          <cell r="FU364">
            <v>1.7667399711837417</v>
          </cell>
          <cell r="FW364" t="e">
            <v>#VALUE!</v>
          </cell>
          <cell r="FY364">
            <v>-0.47474394807597475</v>
          </cell>
          <cell r="GA364">
            <v>189.25299000000001</v>
          </cell>
          <cell r="GC364">
            <v>212.55099000000001</v>
          </cell>
          <cell r="GE364" t="str">
            <v>LTM</v>
          </cell>
          <cell r="GF364">
            <v>3.2537963076357852</v>
          </cell>
          <cell r="GH364">
            <v>31.1430021978022</v>
          </cell>
          <cell r="GJ364">
            <v>33.520105661567577</v>
          </cell>
          <cell r="GL364">
            <v>17.680168857095325</v>
          </cell>
          <cell r="GN364">
            <v>23.949407323943664</v>
          </cell>
          <cell r="GP364">
            <v>31.079249890334843</v>
          </cell>
          <cell r="GT364">
            <v>74.008086401673637</v>
          </cell>
          <cell r="GX364">
            <v>24.450679750550133</v>
          </cell>
          <cell r="HA364">
            <v>39.703546850185283</v>
          </cell>
          <cell r="HB364" t="str">
            <v>(a)</v>
          </cell>
          <cell r="HD364">
            <v>30.97040605643496</v>
          </cell>
          <cell r="HE364" t="str">
            <v>(a)</v>
          </cell>
          <cell r="HG364" t="str">
            <v>NM</v>
          </cell>
          <cell r="HJ364">
            <v>24.990491218803644</v>
          </cell>
        </row>
        <row r="365">
          <cell r="DK365" t="str">
            <v xml:space="preserve"> -</v>
          </cell>
          <cell r="DL365" t="str">
            <v>UK main large advertising panel operator</v>
          </cell>
          <cell r="FL365">
            <v>0</v>
          </cell>
          <cell r="FN365">
            <v>0</v>
          </cell>
        </row>
        <row r="366">
          <cell r="DL366">
            <v>0</v>
          </cell>
          <cell r="FL366">
            <v>0</v>
          </cell>
          <cell r="FN366">
            <v>0</v>
          </cell>
          <cell r="FR366">
            <v>0</v>
          </cell>
        </row>
        <row r="367">
          <cell r="FL367">
            <v>0</v>
          </cell>
          <cell r="FN367">
            <v>0</v>
          </cell>
        </row>
        <row r="368">
          <cell r="DO368" t="str">
            <v>FY1</v>
          </cell>
          <cell r="DS368">
            <v>67</v>
          </cell>
          <cell r="DU368">
            <v>5.2696619925295458</v>
          </cell>
          <cell r="DW368">
            <v>7.8651671530291734E-2</v>
          </cell>
          <cell r="DY368">
            <v>5.2696619925295458</v>
          </cell>
          <cell r="EA368">
            <v>7.8651671530291734E-2</v>
          </cell>
          <cell r="EG368">
            <v>10.600000000000001</v>
          </cell>
          <cell r="EI368">
            <v>0.15820895522388062</v>
          </cell>
          <cell r="EK368">
            <v>6.9</v>
          </cell>
          <cell r="EM368">
            <v>0.10298507462686568</v>
          </cell>
          <cell r="EO368">
            <v>3.4</v>
          </cell>
          <cell r="EQ368">
            <v>5.0746268656716415E-2</v>
          </cell>
          <cell r="ET368">
            <v>5.0999999999999996</v>
          </cell>
          <cell r="EV368">
            <v>8.1097829930434143E-2</v>
          </cell>
          <cell r="EX368">
            <v>8.6959999999999996E-2</v>
          </cell>
          <cell r="EZ368">
            <v>0.25229723872180909</v>
          </cell>
          <cell r="GE368" t="str">
            <v>FY1</v>
          </cell>
          <cell r="GF368">
            <v>3.1724028358208956</v>
          </cell>
          <cell r="GH368">
            <v>40.334843164764571</v>
          </cell>
          <cell r="GJ368">
            <v>40.334843164764571</v>
          </cell>
          <cell r="GL368">
            <v>20.051980188679245</v>
          </cell>
          <cell r="GN368">
            <v>30.804491304347827</v>
          </cell>
          <cell r="GP368">
            <v>62.514997058823532</v>
          </cell>
          <cell r="GT368">
            <v>55.488537780358705</v>
          </cell>
          <cell r="GV368">
            <v>51.747930082796692</v>
          </cell>
          <cell r="GX368">
            <v>17.836104837286157</v>
          </cell>
        </row>
        <row r="369">
          <cell r="DO369" t="str">
            <v>FY2</v>
          </cell>
          <cell r="DS369">
            <v>79.599999999999994</v>
          </cell>
          <cell r="DU369">
            <v>5.6024640985873395</v>
          </cell>
          <cell r="DW369">
            <v>7.038271480637362E-2</v>
          </cell>
          <cell r="DY369">
            <v>5.6024640985873395</v>
          </cell>
          <cell r="EA369">
            <v>7.038271480637362E-2</v>
          </cell>
          <cell r="EG369">
            <v>11.935223880597015</v>
          </cell>
          <cell r="EI369">
            <v>0.15820895522388062</v>
          </cell>
          <cell r="EK369">
            <v>7.5394029850746263</v>
          </cell>
          <cell r="EM369">
            <v>9.4716117902947566E-2</v>
          </cell>
          <cell r="EO369">
            <v>4.0394029850746263</v>
          </cell>
          <cell r="EQ369">
            <v>5.0746268656716415E-2</v>
          </cell>
          <cell r="ET369">
            <v>5.9</v>
          </cell>
          <cell r="EV369">
            <v>0.10015582364001235</v>
          </cell>
          <cell r="EX369">
            <v>0.1273</v>
          </cell>
          <cell r="EZ369">
            <v>0.28790024992279256</v>
          </cell>
          <cell r="GE369" t="str">
            <v>FY2</v>
          </cell>
          <cell r="GF369">
            <v>2.6702385678391964</v>
          </cell>
          <cell r="GH369">
            <v>37.93884017098739</v>
          </cell>
          <cell r="GJ369">
            <v>37.93884017098739</v>
          </cell>
          <cell r="GL369">
            <v>17.808714115999301</v>
          </cell>
          <cell r="GN369">
            <v>28.192018707685001</v>
          </cell>
          <cell r="GP369">
            <v>52.619407072125341</v>
          </cell>
          <cell r="GT369">
            <v>44.929988456529905</v>
          </cell>
          <cell r="GV369">
            <v>35.349567949725056</v>
          </cell>
          <cell r="GX369">
            <v>15.630413663089158</v>
          </cell>
        </row>
        <row r="370">
          <cell r="DO370" t="str">
            <v>FY3</v>
          </cell>
          <cell r="DS370" t="e">
            <v>#REF!</v>
          </cell>
          <cell r="EG370">
            <v>11.935223880597015</v>
          </cell>
          <cell r="EI370">
            <v>0</v>
          </cell>
          <cell r="EK370" t="e">
            <v>#REF!</v>
          </cell>
          <cell r="EM370">
            <v>9.4716117902947566E-2</v>
          </cell>
          <cell r="EO370" t="e">
            <v>#REF!</v>
          </cell>
          <cell r="EQ370" t="e">
            <v>#REF!</v>
          </cell>
          <cell r="ET370">
            <v>5.9</v>
          </cell>
          <cell r="EV370">
            <v>0.10015582364001235</v>
          </cell>
          <cell r="EX370">
            <v>0.1182</v>
          </cell>
          <cell r="EZ370" t="e">
            <v>#REF!</v>
          </cell>
          <cell r="GE370" t="str">
            <v>FY3</v>
          </cell>
          <cell r="GF370" t="e">
            <v>#REF!</v>
          </cell>
          <cell r="GL370">
            <v>17.808714115999301</v>
          </cell>
          <cell r="GN370" t="e">
            <v>#REF!</v>
          </cell>
          <cell r="GP370" t="e">
            <v>#REF!</v>
          </cell>
          <cell r="GT370">
            <v>44.929988456529905</v>
          </cell>
          <cell r="GV370">
            <v>38.071065989847718</v>
          </cell>
          <cell r="GX370" t="e">
            <v>#REF!</v>
          </cell>
        </row>
        <row r="372">
          <cell r="DK372" t="str">
            <v>More Group Plc</v>
          </cell>
          <cell r="DM372" t="str">
            <v>option</v>
          </cell>
          <cell r="DN372" t="str">
            <v>GBP</v>
          </cell>
          <cell r="DO372">
            <v>35795</v>
          </cell>
          <cell r="DQ372" t="e">
            <v>#VALUE!</v>
          </cell>
          <cell r="DS372">
            <v>145.649</v>
          </cell>
          <cell r="EC372" t="e">
            <v>#VALUE!</v>
          </cell>
          <cell r="EE372" t="e">
            <v>#VALUE!</v>
          </cell>
          <cell r="EG372">
            <v>39.027000000000001</v>
          </cell>
          <cell r="EI372">
            <v>0.2679524061270589</v>
          </cell>
          <cell r="EK372">
            <v>0</v>
          </cell>
          <cell r="EM372">
            <v>0</v>
          </cell>
          <cell r="EO372">
            <v>28.427</v>
          </cell>
          <cell r="EQ372">
            <v>0.1951747008218388</v>
          </cell>
          <cell r="ET372">
            <v>18.015000000000001</v>
          </cell>
          <cell r="EV372">
            <v>0.4330203976764147</v>
          </cell>
          <cell r="EX372">
            <v>0</v>
          </cell>
          <cell r="EZ372">
            <v>0</v>
          </cell>
          <cell r="FB372" t="e">
            <v>#VALUE!</v>
          </cell>
          <cell r="FD372">
            <v>60.052999999999997</v>
          </cell>
          <cell r="FF372">
            <v>23.481999999999999</v>
          </cell>
          <cell r="FH372">
            <v>0.50749999999999995</v>
          </cell>
          <cell r="FJ372">
            <v>0.58650000000000002</v>
          </cell>
          <cell r="FL372">
            <v>11.1</v>
          </cell>
          <cell r="FN372">
            <v>42.352004000000001</v>
          </cell>
          <cell r="FQ372" t="str">
            <v>More Group Plc</v>
          </cell>
          <cell r="FS372">
            <v>36.570999999999998</v>
          </cell>
          <cell r="FU372">
            <v>0.60897873545035219</v>
          </cell>
          <cell r="FW372" t="e">
            <v>#VALUE!</v>
          </cell>
          <cell r="FY372" t="e">
            <v>#VALUE!</v>
          </cell>
          <cell r="GA372">
            <v>470.10724440000001</v>
          </cell>
          <cell r="GC372">
            <v>506.67824440000004</v>
          </cell>
          <cell r="GF372">
            <v>3.4787622599537245</v>
          </cell>
          <cell r="GL372">
            <v>12.982761790555257</v>
          </cell>
          <cell r="GN372" t="e">
            <v>#DIV/0!</v>
          </cell>
          <cell r="GP372">
            <v>17.823838055369897</v>
          </cell>
          <cell r="GT372">
            <v>25.633896369691922</v>
          </cell>
          <cell r="GV372" t="e">
            <v>#DIV/0!</v>
          </cell>
          <cell r="HA372">
            <v>21.871921182266011</v>
          </cell>
          <cell r="HD372">
            <v>18.925831202046034</v>
          </cell>
          <cell r="HG372">
            <v>20.019897981432589</v>
          </cell>
          <cell r="HJ372">
            <v>16.428699786825092</v>
          </cell>
        </row>
        <row r="373">
          <cell r="DK373" t="str">
            <v xml:space="preserve"> -</v>
          </cell>
          <cell r="DL373" t="str">
            <v>UK  andd international outdoor advertising operator</v>
          </cell>
          <cell r="FL373">
            <v>0</v>
          </cell>
          <cell r="FN373">
            <v>0</v>
          </cell>
          <cell r="FQ373" t="str">
            <v xml:space="preserve"> -</v>
          </cell>
          <cell r="FR373" t="str">
            <v>UK  andd international outdoor advertising operator</v>
          </cell>
        </row>
        <row r="374">
          <cell r="DL374">
            <v>0</v>
          </cell>
          <cell r="FL374">
            <v>0</v>
          </cell>
          <cell r="FN374">
            <v>0</v>
          </cell>
          <cell r="FR374">
            <v>0</v>
          </cell>
        </row>
        <row r="375">
          <cell r="FL375">
            <v>0</v>
          </cell>
          <cell r="FN375">
            <v>0</v>
          </cell>
        </row>
        <row r="376">
          <cell r="DO376" t="str">
            <v>FY1</v>
          </cell>
          <cell r="DS376">
            <v>172.6</v>
          </cell>
          <cell r="EG376">
            <v>48.400000000000006</v>
          </cell>
          <cell r="EI376">
            <v>0.28041714947856322</v>
          </cell>
          <cell r="EK376">
            <v>0</v>
          </cell>
          <cell r="EM376">
            <v>0</v>
          </cell>
          <cell r="EO376">
            <v>35.200000000000003</v>
          </cell>
          <cell r="EQ376">
            <v>0.20393974507531867</v>
          </cell>
          <cell r="ET376">
            <v>23.9</v>
          </cell>
          <cell r="FH376">
            <v>0.50749999999999995</v>
          </cell>
          <cell r="GF376">
            <v>2.935563409038239</v>
          </cell>
          <cell r="GL376">
            <v>10.468558768595042</v>
          </cell>
          <cell r="GN376">
            <v>0</v>
          </cell>
          <cell r="GP376">
            <v>14.394268306818182</v>
          </cell>
          <cell r="GT376">
            <v>21.871921182266011</v>
          </cell>
          <cell r="GV376">
            <v>0</v>
          </cell>
        </row>
        <row r="377">
          <cell r="DO377" t="str">
            <v>FY2</v>
          </cell>
          <cell r="DS377">
            <v>199</v>
          </cell>
          <cell r="EG377">
            <v>54.7</v>
          </cell>
          <cell r="EI377">
            <v>0.27487437185929647</v>
          </cell>
          <cell r="EK377">
            <v>0</v>
          </cell>
          <cell r="EM377">
            <v>0</v>
          </cell>
          <cell r="EO377">
            <v>40.200000000000003</v>
          </cell>
          <cell r="EQ377">
            <v>0.20201005025125629</v>
          </cell>
          <cell r="ET377">
            <v>27.1</v>
          </cell>
          <cell r="FJ377">
            <v>0.58650000000000002</v>
          </cell>
          <cell r="GF377">
            <v>2.5461218311557792</v>
          </cell>
          <cell r="GL377">
            <v>9.2628563875685561</v>
          </cell>
          <cell r="GN377" t="str">
            <v>NM</v>
          </cell>
          <cell r="GP377">
            <v>12.603936427860697</v>
          </cell>
          <cell r="GT377">
            <v>18.925831202046034</v>
          </cell>
          <cell r="GV377">
            <v>0</v>
          </cell>
        </row>
        <row r="379">
          <cell r="DK379">
            <v>0</v>
          </cell>
          <cell r="DM379" t="str">
            <v>option</v>
          </cell>
          <cell r="DO379">
            <v>0</v>
          </cell>
          <cell r="DQ379">
            <v>0</v>
          </cell>
          <cell r="DS379">
            <v>0</v>
          </cell>
          <cell r="EC379" t="e">
            <v>#VALUE!</v>
          </cell>
          <cell r="EE379" t="e">
            <v>#VALUE!</v>
          </cell>
          <cell r="EG379">
            <v>0</v>
          </cell>
          <cell r="EI379" t="e">
            <v>#DIV/0!</v>
          </cell>
          <cell r="EK379">
            <v>0</v>
          </cell>
          <cell r="EM379">
            <v>0</v>
          </cell>
          <cell r="EO379">
            <v>0</v>
          </cell>
          <cell r="EQ379" t="e">
            <v>#DIV/0!</v>
          </cell>
          <cell r="ET379">
            <v>0</v>
          </cell>
          <cell r="FB379">
            <v>0</v>
          </cell>
          <cell r="FD379">
            <v>0</v>
          </cell>
          <cell r="FF379">
            <v>0</v>
          </cell>
          <cell r="FJ379">
            <v>0</v>
          </cell>
          <cell r="FL379">
            <v>0</v>
          </cell>
          <cell r="FN379">
            <v>0</v>
          </cell>
          <cell r="FQ379">
            <v>0</v>
          </cell>
          <cell r="FS379">
            <v>0</v>
          </cell>
          <cell r="FU379" t="e">
            <v>#DIV/0!</v>
          </cell>
          <cell r="FW379" t="e">
            <v>#DIV/0!</v>
          </cell>
          <cell r="FY379" t="e">
            <v>#DIV/0!</v>
          </cell>
          <cell r="GA379">
            <v>0</v>
          </cell>
          <cell r="GC379">
            <v>0</v>
          </cell>
          <cell r="GF379" t="e">
            <v>#DIV/0!</v>
          </cell>
          <cell r="GL379" t="e">
            <v>#DIV/0!</v>
          </cell>
          <cell r="GN379" t="e">
            <v>#DIV/0!</v>
          </cell>
          <cell r="GP379" t="e">
            <v>#DIV/0!</v>
          </cell>
          <cell r="GT379" t="e">
            <v>#DIV/0!</v>
          </cell>
          <cell r="GV379" t="e">
            <v>#DIV/0!</v>
          </cell>
          <cell r="HA379" t="e">
            <v>#DIV/0!</v>
          </cell>
          <cell r="HD379" t="e">
            <v>#DIV/0!</v>
          </cell>
          <cell r="HG379" t="e">
            <v>#DIV/0!</v>
          </cell>
          <cell r="HJ379" t="e">
            <v>#DIV/0!</v>
          </cell>
        </row>
        <row r="380">
          <cell r="DK380" t="str">
            <v xml:space="preserve"> -</v>
          </cell>
          <cell r="DL380">
            <v>0</v>
          </cell>
          <cell r="FL380">
            <v>0</v>
          </cell>
          <cell r="FN380">
            <v>0</v>
          </cell>
          <cell r="FQ380" t="str">
            <v xml:space="preserve"> -</v>
          </cell>
          <cell r="FR380">
            <v>0</v>
          </cell>
        </row>
        <row r="381">
          <cell r="DL381">
            <v>0</v>
          </cell>
          <cell r="FL381">
            <v>0</v>
          </cell>
          <cell r="FN381">
            <v>0</v>
          </cell>
          <cell r="FR381">
            <v>0</v>
          </cell>
        </row>
        <row r="382">
          <cell r="FL382">
            <v>0</v>
          </cell>
          <cell r="FN382">
            <v>0</v>
          </cell>
        </row>
        <row r="383">
          <cell r="DO383" t="str">
            <v>FY1</v>
          </cell>
          <cell r="DS383">
            <v>0</v>
          </cell>
          <cell r="EG383">
            <v>0</v>
          </cell>
          <cell r="EI383">
            <v>0</v>
          </cell>
          <cell r="EK383">
            <v>0</v>
          </cell>
          <cell r="EM383">
            <v>0</v>
          </cell>
          <cell r="EO383">
            <v>0</v>
          </cell>
          <cell r="EQ383">
            <v>0</v>
          </cell>
          <cell r="ET383">
            <v>0</v>
          </cell>
          <cell r="GF383">
            <v>0</v>
          </cell>
          <cell r="GL383">
            <v>0</v>
          </cell>
          <cell r="GN383">
            <v>0</v>
          </cell>
          <cell r="GP383">
            <v>0</v>
          </cell>
          <cell r="GT383">
            <v>0</v>
          </cell>
          <cell r="GV383">
            <v>0</v>
          </cell>
        </row>
        <row r="384">
          <cell r="DO384" t="str">
            <v>FY2</v>
          </cell>
          <cell r="DS384">
            <v>0</v>
          </cell>
          <cell r="EG384">
            <v>0</v>
          </cell>
          <cell r="EI384">
            <v>0</v>
          </cell>
          <cell r="EK384">
            <v>0</v>
          </cell>
          <cell r="EM384">
            <v>0</v>
          </cell>
          <cell r="EO384">
            <v>0</v>
          </cell>
          <cell r="EQ384">
            <v>0</v>
          </cell>
          <cell r="ET384">
            <v>0</v>
          </cell>
          <cell r="FJ384">
            <v>0</v>
          </cell>
          <cell r="GF384">
            <v>0</v>
          </cell>
          <cell r="GL384">
            <v>0</v>
          </cell>
          <cell r="GN384">
            <v>0</v>
          </cell>
          <cell r="GP384">
            <v>0</v>
          </cell>
          <cell r="GT384">
            <v>0</v>
          </cell>
          <cell r="GV384">
            <v>0</v>
          </cell>
        </row>
        <row r="386">
          <cell r="DK386">
            <v>0</v>
          </cell>
          <cell r="DM386" t="str">
            <v>option</v>
          </cell>
          <cell r="DO386">
            <v>0</v>
          </cell>
          <cell r="DQ386" t="e">
            <v>#VALUE!</v>
          </cell>
          <cell r="DS386">
            <v>0</v>
          </cell>
          <cell r="EC386" t="e">
            <v>#VALUE!</v>
          </cell>
          <cell r="EE386" t="e">
            <v>#VALUE!</v>
          </cell>
          <cell r="EG386">
            <v>0</v>
          </cell>
          <cell r="EI386" t="e">
            <v>#DIV/0!</v>
          </cell>
          <cell r="EK386">
            <v>0</v>
          </cell>
          <cell r="EM386">
            <v>0</v>
          </cell>
          <cell r="EO386">
            <v>0</v>
          </cell>
          <cell r="EQ386" t="e">
            <v>#DIV/0!</v>
          </cell>
          <cell r="ET386">
            <v>0</v>
          </cell>
          <cell r="FB386" t="e">
            <v>#VALUE!</v>
          </cell>
          <cell r="FD386">
            <v>0</v>
          </cell>
          <cell r="FF386">
            <v>0</v>
          </cell>
          <cell r="FJ386">
            <v>0</v>
          </cell>
          <cell r="FL386">
            <v>0</v>
          </cell>
          <cell r="FN386">
            <v>0</v>
          </cell>
          <cell r="FQ386">
            <v>0</v>
          </cell>
          <cell r="FS386">
            <v>0</v>
          </cell>
          <cell r="FU386" t="e">
            <v>#DIV/0!</v>
          </cell>
          <cell r="FW386" t="e">
            <v>#DIV/0!</v>
          </cell>
          <cell r="FY386" t="e">
            <v>#VALUE!</v>
          </cell>
          <cell r="GA386">
            <v>0</v>
          </cell>
          <cell r="GC386">
            <v>0</v>
          </cell>
          <cell r="GF386" t="e">
            <v>#DIV/0!</v>
          </cell>
          <cell r="GL386" t="e">
            <v>#DIV/0!</v>
          </cell>
          <cell r="GN386" t="e">
            <v>#DIV/0!</v>
          </cell>
          <cell r="GP386" t="e">
            <v>#DIV/0!</v>
          </cell>
          <cell r="GT386" t="e">
            <v>#DIV/0!</v>
          </cell>
          <cell r="GV386" t="e">
            <v>#DIV/0!</v>
          </cell>
          <cell r="HA386" t="e">
            <v>#DIV/0!</v>
          </cell>
          <cell r="HB386" t="str">
            <v>x</v>
          </cell>
          <cell r="HD386" t="e">
            <v>#DIV/0!</v>
          </cell>
          <cell r="HE386" t="str">
            <v>x</v>
          </cell>
          <cell r="HG386" t="e">
            <v>#DIV/0!</v>
          </cell>
          <cell r="HH386" t="str">
            <v>x</v>
          </cell>
          <cell r="HJ386" t="e">
            <v>#DIV/0!</v>
          </cell>
          <cell r="HK386" t="str">
            <v>x</v>
          </cell>
        </row>
        <row r="387">
          <cell r="DK387" t="str">
            <v xml:space="preserve"> -</v>
          </cell>
          <cell r="DL387">
            <v>0</v>
          </cell>
          <cell r="FL387">
            <v>0</v>
          </cell>
          <cell r="FN387">
            <v>0</v>
          </cell>
          <cell r="FQ387" t="str">
            <v xml:space="preserve"> -</v>
          </cell>
          <cell r="FR387">
            <v>0</v>
          </cell>
        </row>
        <row r="388">
          <cell r="DL388">
            <v>0</v>
          </cell>
          <cell r="FL388">
            <v>0</v>
          </cell>
          <cell r="FN388">
            <v>0</v>
          </cell>
          <cell r="FR388">
            <v>0</v>
          </cell>
        </row>
        <row r="389">
          <cell r="FL389">
            <v>0</v>
          </cell>
          <cell r="FN389">
            <v>0</v>
          </cell>
        </row>
        <row r="390">
          <cell r="DO390" t="str">
            <v>FY1</v>
          </cell>
          <cell r="DS390">
            <v>0</v>
          </cell>
          <cell r="EG390">
            <v>0</v>
          </cell>
          <cell r="EI390">
            <v>0</v>
          </cell>
          <cell r="EK390">
            <v>0</v>
          </cell>
          <cell r="EM390">
            <v>0</v>
          </cell>
          <cell r="EO390">
            <v>0</v>
          </cell>
          <cell r="EQ390">
            <v>0</v>
          </cell>
          <cell r="ET390">
            <v>0</v>
          </cell>
          <cell r="GF390">
            <v>0</v>
          </cell>
          <cell r="GL390">
            <v>0</v>
          </cell>
          <cell r="GN390">
            <v>0</v>
          </cell>
          <cell r="GP390">
            <v>0</v>
          </cell>
          <cell r="GT390">
            <v>0</v>
          </cell>
          <cell r="GV390">
            <v>0</v>
          </cell>
        </row>
        <row r="391">
          <cell r="DO391" t="str">
            <v>FY2</v>
          </cell>
          <cell r="DS391">
            <v>0</v>
          </cell>
          <cell r="EG391">
            <v>0</v>
          </cell>
          <cell r="EI391">
            <v>0</v>
          </cell>
          <cell r="EK391">
            <v>0</v>
          </cell>
          <cell r="EM391">
            <v>0</v>
          </cell>
          <cell r="EO391">
            <v>0</v>
          </cell>
          <cell r="EQ391">
            <v>0</v>
          </cell>
          <cell r="ET391">
            <v>0</v>
          </cell>
          <cell r="FJ391">
            <v>0</v>
          </cell>
          <cell r="GF391">
            <v>0</v>
          </cell>
          <cell r="GL391">
            <v>0</v>
          </cell>
          <cell r="GN391">
            <v>0</v>
          </cell>
          <cell r="GP391">
            <v>0</v>
          </cell>
          <cell r="GT391">
            <v>0</v>
          </cell>
          <cell r="GV391">
            <v>0</v>
          </cell>
        </row>
        <row r="393">
          <cell r="DK393">
            <v>0</v>
          </cell>
          <cell r="DM393" t="str">
            <v>option</v>
          </cell>
          <cell r="DO393">
            <v>0</v>
          </cell>
          <cell r="DQ393" t="e">
            <v>#VALUE!</v>
          </cell>
          <cell r="DS393">
            <v>0</v>
          </cell>
          <cell r="EC393">
            <v>0</v>
          </cell>
          <cell r="EE393" t="e">
            <v>#DIV/0!</v>
          </cell>
          <cell r="EG393">
            <v>0</v>
          </cell>
          <cell r="EI393" t="e">
            <v>#DIV/0!</v>
          </cell>
          <cell r="EK393">
            <v>0</v>
          </cell>
          <cell r="EM393">
            <v>0</v>
          </cell>
          <cell r="EO393">
            <v>0</v>
          </cell>
          <cell r="EQ393" t="e">
            <v>#DIV/0!</v>
          </cell>
          <cell r="ET393">
            <v>0</v>
          </cell>
          <cell r="FB393" t="e">
            <v>#VALUE!</v>
          </cell>
          <cell r="FD393">
            <v>0</v>
          </cell>
          <cell r="FF393">
            <v>0</v>
          </cell>
          <cell r="FJ393">
            <v>0</v>
          </cell>
          <cell r="FL393">
            <v>0</v>
          </cell>
          <cell r="FN393">
            <v>0</v>
          </cell>
          <cell r="FQ393">
            <v>0</v>
          </cell>
          <cell r="FS393">
            <v>0</v>
          </cell>
          <cell r="FU393" t="e">
            <v>#DIV/0!</v>
          </cell>
          <cell r="FW393" t="e">
            <v>#VALUE!</v>
          </cell>
          <cell r="FY393" t="e">
            <v>#VALUE!</v>
          </cell>
          <cell r="GA393">
            <v>0</v>
          </cell>
          <cell r="GC393">
            <v>0</v>
          </cell>
          <cell r="GF393" t="e">
            <v>#DIV/0!</v>
          </cell>
          <cell r="GL393" t="e">
            <v>#DIV/0!</v>
          </cell>
          <cell r="GN393" t="e">
            <v>#DIV/0!</v>
          </cell>
          <cell r="GP393" t="e">
            <v>#DIV/0!</v>
          </cell>
          <cell r="GT393" t="e">
            <v>#DIV/0!</v>
          </cell>
          <cell r="GV393" t="e">
            <v>#DIV/0!</v>
          </cell>
          <cell r="HA393" t="e">
            <v>#DIV/0!</v>
          </cell>
          <cell r="HD393" t="e">
            <v>#DIV/0!</v>
          </cell>
          <cell r="HG393" t="e">
            <v>#DIV/0!</v>
          </cell>
          <cell r="HJ393" t="e">
            <v>#DIV/0!</v>
          </cell>
        </row>
        <row r="394">
          <cell r="DK394" t="str">
            <v xml:space="preserve"> -</v>
          </cell>
          <cell r="DL394">
            <v>0</v>
          </cell>
          <cell r="FL394">
            <v>0</v>
          </cell>
          <cell r="FN394">
            <v>0</v>
          </cell>
          <cell r="FQ394" t="str">
            <v xml:space="preserve"> -</v>
          </cell>
          <cell r="FR394">
            <v>0</v>
          </cell>
        </row>
        <row r="395">
          <cell r="DL395">
            <v>0</v>
          </cell>
          <cell r="FL395">
            <v>0</v>
          </cell>
          <cell r="FN395">
            <v>0</v>
          </cell>
          <cell r="FR395">
            <v>0</v>
          </cell>
        </row>
        <row r="396">
          <cell r="FL396">
            <v>0</v>
          </cell>
          <cell r="FN396">
            <v>0</v>
          </cell>
        </row>
        <row r="397">
          <cell r="DO397" t="str">
            <v>FY1</v>
          </cell>
          <cell r="DS397">
            <v>0</v>
          </cell>
          <cell r="EG397">
            <v>0</v>
          </cell>
          <cell r="EI397">
            <v>0</v>
          </cell>
          <cell r="EK397">
            <v>0</v>
          </cell>
          <cell r="EM397">
            <v>0</v>
          </cell>
          <cell r="EO397">
            <v>0</v>
          </cell>
          <cell r="EQ397">
            <v>0</v>
          </cell>
          <cell r="ET397">
            <v>0</v>
          </cell>
          <cell r="GF397">
            <v>0</v>
          </cell>
          <cell r="GL397">
            <v>0</v>
          </cell>
          <cell r="GN397">
            <v>0</v>
          </cell>
          <cell r="GP397">
            <v>0</v>
          </cell>
          <cell r="GT397">
            <v>0</v>
          </cell>
          <cell r="GV397">
            <v>0</v>
          </cell>
        </row>
        <row r="398">
          <cell r="DO398" t="str">
            <v>FY2</v>
          </cell>
          <cell r="DS398">
            <v>0</v>
          </cell>
          <cell r="EG398">
            <v>0</v>
          </cell>
          <cell r="EI398">
            <v>0</v>
          </cell>
          <cell r="EK398">
            <v>0</v>
          </cell>
          <cell r="EM398">
            <v>0</v>
          </cell>
          <cell r="EO398">
            <v>0</v>
          </cell>
          <cell r="EQ398">
            <v>0</v>
          </cell>
          <cell r="ET398">
            <v>0</v>
          </cell>
          <cell r="FJ398">
            <v>0</v>
          </cell>
          <cell r="GF398">
            <v>0</v>
          </cell>
          <cell r="GL398">
            <v>0</v>
          </cell>
          <cell r="GN398">
            <v>0</v>
          </cell>
          <cell r="GP398">
            <v>0</v>
          </cell>
          <cell r="GT398">
            <v>0</v>
          </cell>
          <cell r="GV398">
            <v>0</v>
          </cell>
        </row>
        <row r="400">
          <cell r="DK400">
            <v>0</v>
          </cell>
          <cell r="DM400" t="str">
            <v>option</v>
          </cell>
          <cell r="DO400">
            <v>0</v>
          </cell>
          <cell r="DQ400" t="e">
            <v>#VALUE!</v>
          </cell>
          <cell r="DS400">
            <v>0</v>
          </cell>
          <cell r="EC400" t="e">
            <v>#VALUE!</v>
          </cell>
          <cell r="EE400" t="e">
            <v>#VALUE!</v>
          </cell>
          <cell r="EG400">
            <v>0</v>
          </cell>
          <cell r="EI400" t="e">
            <v>#DIV/0!</v>
          </cell>
          <cell r="EK400">
            <v>0</v>
          </cell>
          <cell r="EM400">
            <v>0</v>
          </cell>
          <cell r="EO400">
            <v>0</v>
          </cell>
          <cell r="EQ400" t="e">
            <v>#DIV/0!</v>
          </cell>
          <cell r="ET400">
            <v>0</v>
          </cell>
          <cell r="FB400" t="e">
            <v>#VALUE!</v>
          </cell>
          <cell r="FD400">
            <v>0</v>
          </cell>
          <cell r="FF400">
            <v>0</v>
          </cell>
          <cell r="FJ400">
            <v>0</v>
          </cell>
          <cell r="FL400">
            <v>0</v>
          </cell>
          <cell r="FN400">
            <v>0</v>
          </cell>
          <cell r="FQ400">
            <v>0</v>
          </cell>
          <cell r="FS400">
            <v>0</v>
          </cell>
          <cell r="FU400" t="e">
            <v>#DIV/0!</v>
          </cell>
          <cell r="FW400" t="e">
            <v>#VALUE!</v>
          </cell>
          <cell r="FY400" t="e">
            <v>#VALUE!</v>
          </cell>
          <cell r="GA400">
            <v>0</v>
          </cell>
          <cell r="GC400">
            <v>0</v>
          </cell>
          <cell r="GF400" t="e">
            <v>#DIV/0!</v>
          </cell>
          <cell r="GL400" t="e">
            <v>#DIV/0!</v>
          </cell>
          <cell r="GN400" t="e">
            <v>#DIV/0!</v>
          </cell>
          <cell r="GP400" t="e">
            <v>#DIV/0!</v>
          </cell>
          <cell r="GT400" t="e">
            <v>#DIV/0!</v>
          </cell>
          <cell r="GV400" t="e">
            <v>#DIV/0!</v>
          </cell>
          <cell r="HA400" t="e">
            <v>#DIV/0!</v>
          </cell>
          <cell r="HD400" t="e">
            <v>#DIV/0!</v>
          </cell>
          <cell r="HG400" t="e">
            <v>#DIV/0!</v>
          </cell>
          <cell r="HJ400" t="e">
            <v>#DIV/0!</v>
          </cell>
        </row>
        <row r="401">
          <cell r="DK401" t="str">
            <v xml:space="preserve"> -</v>
          </cell>
          <cell r="DL401">
            <v>0</v>
          </cell>
          <cell r="FL401">
            <v>0</v>
          </cell>
          <cell r="FN401">
            <v>0</v>
          </cell>
          <cell r="FQ401" t="str">
            <v xml:space="preserve"> -</v>
          </cell>
          <cell r="FR401">
            <v>0</v>
          </cell>
        </row>
        <row r="402">
          <cell r="DL402">
            <v>0</v>
          </cell>
          <cell r="FL402">
            <v>0</v>
          </cell>
          <cell r="FN402">
            <v>0</v>
          </cell>
          <cell r="FR402">
            <v>0</v>
          </cell>
        </row>
        <row r="403">
          <cell r="FL403">
            <v>0</v>
          </cell>
          <cell r="FN403">
            <v>0</v>
          </cell>
        </row>
        <row r="404">
          <cell r="DO404" t="str">
            <v>FY1</v>
          </cell>
          <cell r="DS404">
            <v>0</v>
          </cell>
          <cell r="EG404">
            <v>0</v>
          </cell>
          <cell r="EI404">
            <v>0</v>
          </cell>
          <cell r="EK404">
            <v>0</v>
          </cell>
          <cell r="EM404">
            <v>0</v>
          </cell>
          <cell r="EO404">
            <v>0</v>
          </cell>
          <cell r="EQ404">
            <v>0</v>
          </cell>
          <cell r="ET404">
            <v>0</v>
          </cell>
          <cell r="GF404">
            <v>0</v>
          </cell>
          <cell r="GL404">
            <v>0</v>
          </cell>
          <cell r="GN404">
            <v>0</v>
          </cell>
          <cell r="GP404">
            <v>0</v>
          </cell>
          <cell r="GT404">
            <v>0</v>
          </cell>
          <cell r="GV404">
            <v>0</v>
          </cell>
        </row>
        <row r="405">
          <cell r="DO405" t="str">
            <v>FY2</v>
          </cell>
          <cell r="DS405">
            <v>0</v>
          </cell>
          <cell r="EG405">
            <v>0</v>
          </cell>
          <cell r="EI405">
            <v>0</v>
          </cell>
          <cell r="EK405">
            <v>0</v>
          </cell>
          <cell r="EM405">
            <v>0</v>
          </cell>
          <cell r="EO405">
            <v>0</v>
          </cell>
          <cell r="EQ405">
            <v>0</v>
          </cell>
          <cell r="ET405">
            <v>0</v>
          </cell>
          <cell r="FJ405">
            <v>0</v>
          </cell>
          <cell r="GF405">
            <v>0</v>
          </cell>
          <cell r="GL405">
            <v>0</v>
          </cell>
          <cell r="GN405">
            <v>0</v>
          </cell>
          <cell r="GP405">
            <v>0</v>
          </cell>
          <cell r="GT405">
            <v>0</v>
          </cell>
          <cell r="GV405">
            <v>0</v>
          </cell>
        </row>
        <row r="407">
          <cell r="DK407">
            <v>0</v>
          </cell>
          <cell r="DM407" t="str">
            <v>option</v>
          </cell>
          <cell r="DO407">
            <v>0</v>
          </cell>
          <cell r="DQ407" t="e">
            <v>#VALUE!</v>
          </cell>
          <cell r="DS407">
            <v>0</v>
          </cell>
          <cell r="EC407" t="e">
            <v>#VALUE!</v>
          </cell>
          <cell r="EE407" t="e">
            <v>#VALUE!</v>
          </cell>
          <cell r="EG407">
            <v>0</v>
          </cell>
          <cell r="EI407" t="e">
            <v>#DIV/0!</v>
          </cell>
          <cell r="EK407">
            <v>0</v>
          </cell>
          <cell r="EM407">
            <v>0</v>
          </cell>
          <cell r="EO407">
            <v>0</v>
          </cell>
          <cell r="EQ407" t="e">
            <v>#DIV/0!</v>
          </cell>
          <cell r="ET407">
            <v>0</v>
          </cell>
          <cell r="FB407" t="e">
            <v>#VALUE!</v>
          </cell>
          <cell r="FD407">
            <v>0</v>
          </cell>
          <cell r="FF407">
            <v>0</v>
          </cell>
          <cell r="FJ407">
            <v>0</v>
          </cell>
          <cell r="FL407">
            <v>0</v>
          </cell>
          <cell r="FN407">
            <v>0</v>
          </cell>
          <cell r="FQ407">
            <v>0</v>
          </cell>
          <cell r="FS407">
            <v>0</v>
          </cell>
          <cell r="FU407" t="e">
            <v>#DIV/0!</v>
          </cell>
          <cell r="FW407" t="e">
            <v>#VALUE!</v>
          </cell>
          <cell r="FY407" t="e">
            <v>#VALUE!</v>
          </cell>
          <cell r="GA407">
            <v>0</v>
          </cell>
          <cell r="GC407">
            <v>0</v>
          </cell>
          <cell r="GF407" t="e">
            <v>#DIV/0!</v>
          </cell>
          <cell r="GL407" t="e">
            <v>#DIV/0!</v>
          </cell>
          <cell r="GN407" t="e">
            <v>#DIV/0!</v>
          </cell>
          <cell r="GP407" t="e">
            <v>#DIV/0!</v>
          </cell>
          <cell r="GT407" t="e">
            <v>#DIV/0!</v>
          </cell>
          <cell r="GV407" t="e">
            <v>#DIV/0!</v>
          </cell>
          <cell r="HA407" t="e">
            <v>#DIV/0!</v>
          </cell>
          <cell r="HD407" t="e">
            <v>#DIV/0!</v>
          </cell>
          <cell r="HG407" t="e">
            <v>#DIV/0!</v>
          </cell>
          <cell r="HJ407" t="e">
            <v>#DIV/0!</v>
          </cell>
        </row>
        <row r="408">
          <cell r="DK408" t="str">
            <v xml:space="preserve"> -</v>
          </cell>
          <cell r="DL408">
            <v>0</v>
          </cell>
          <cell r="FL408">
            <v>0</v>
          </cell>
          <cell r="FN408">
            <v>0</v>
          </cell>
          <cell r="FQ408" t="str">
            <v xml:space="preserve"> -</v>
          </cell>
          <cell r="FR408">
            <v>0</v>
          </cell>
        </row>
        <row r="409">
          <cell r="DL409">
            <v>0</v>
          </cell>
          <cell r="FL409">
            <v>0</v>
          </cell>
          <cell r="FN409">
            <v>0</v>
          </cell>
          <cell r="FR409">
            <v>0</v>
          </cell>
        </row>
        <row r="410">
          <cell r="FL410">
            <v>0</v>
          </cell>
          <cell r="FN410">
            <v>0</v>
          </cell>
        </row>
        <row r="411">
          <cell r="DO411" t="str">
            <v>FY1</v>
          </cell>
          <cell r="DS411">
            <v>0</v>
          </cell>
          <cell r="EG411">
            <v>0</v>
          </cell>
          <cell r="EI411">
            <v>0</v>
          </cell>
          <cell r="EK411">
            <v>0</v>
          </cell>
          <cell r="EM411">
            <v>0</v>
          </cell>
          <cell r="EO411">
            <v>0</v>
          </cell>
          <cell r="EQ411">
            <v>0</v>
          </cell>
          <cell r="ET411">
            <v>0</v>
          </cell>
          <cell r="GF411">
            <v>0</v>
          </cell>
          <cell r="GL411">
            <v>0</v>
          </cell>
          <cell r="GN411">
            <v>0</v>
          </cell>
          <cell r="GP411">
            <v>0</v>
          </cell>
          <cell r="GT411">
            <v>0</v>
          </cell>
          <cell r="GV411">
            <v>0</v>
          </cell>
        </row>
        <row r="412">
          <cell r="DO412" t="str">
            <v>FY2</v>
          </cell>
          <cell r="DS412">
            <v>0</v>
          </cell>
          <cell r="EG412">
            <v>0</v>
          </cell>
          <cell r="EI412">
            <v>0</v>
          </cell>
          <cell r="EK412">
            <v>0</v>
          </cell>
          <cell r="EM412">
            <v>0</v>
          </cell>
          <cell r="EO412">
            <v>0</v>
          </cell>
          <cell r="EQ412">
            <v>0</v>
          </cell>
          <cell r="ET412">
            <v>0</v>
          </cell>
          <cell r="FJ412">
            <v>0</v>
          </cell>
          <cell r="GF412">
            <v>0</v>
          </cell>
          <cell r="GL412">
            <v>0</v>
          </cell>
          <cell r="GN412">
            <v>0</v>
          </cell>
          <cell r="GP412">
            <v>0</v>
          </cell>
          <cell r="GT412">
            <v>0</v>
          </cell>
          <cell r="GV412">
            <v>0</v>
          </cell>
        </row>
        <row r="414">
          <cell r="DK414">
            <v>0</v>
          </cell>
          <cell r="DM414" t="str">
            <v>option</v>
          </cell>
          <cell r="DO414">
            <v>0</v>
          </cell>
          <cell r="DQ414" t="e">
            <v>#VALUE!</v>
          </cell>
          <cell r="DS414">
            <v>0</v>
          </cell>
          <cell r="EC414" t="e">
            <v>#VALUE!</v>
          </cell>
          <cell r="EE414" t="e">
            <v>#VALUE!</v>
          </cell>
          <cell r="EG414">
            <v>0</v>
          </cell>
          <cell r="EI414" t="e">
            <v>#DIV/0!</v>
          </cell>
          <cell r="EK414">
            <v>0</v>
          </cell>
          <cell r="EM414">
            <v>0</v>
          </cell>
          <cell r="EO414">
            <v>0</v>
          </cell>
          <cell r="EQ414" t="e">
            <v>#DIV/0!</v>
          </cell>
          <cell r="ET414">
            <v>0</v>
          </cell>
          <cell r="FB414" t="e">
            <v>#VALUE!</v>
          </cell>
          <cell r="FD414">
            <v>0</v>
          </cell>
          <cell r="FF414">
            <v>0</v>
          </cell>
          <cell r="FJ414">
            <v>0</v>
          </cell>
          <cell r="FL414">
            <v>0</v>
          </cell>
          <cell r="FN414">
            <v>0</v>
          </cell>
          <cell r="FQ414">
            <v>0</v>
          </cell>
          <cell r="FS414">
            <v>0</v>
          </cell>
          <cell r="FU414" t="e">
            <v>#DIV/0!</v>
          </cell>
          <cell r="FW414" t="e">
            <v>#VALUE!</v>
          </cell>
          <cell r="FY414" t="e">
            <v>#VALUE!</v>
          </cell>
          <cell r="GA414">
            <v>0</v>
          </cell>
          <cell r="GC414">
            <v>0</v>
          </cell>
          <cell r="GF414" t="e">
            <v>#DIV/0!</v>
          </cell>
          <cell r="GL414" t="e">
            <v>#DIV/0!</v>
          </cell>
          <cell r="GN414" t="e">
            <v>#DIV/0!</v>
          </cell>
          <cell r="GP414" t="e">
            <v>#DIV/0!</v>
          </cell>
          <cell r="GT414" t="e">
            <v>#DIV/0!</v>
          </cell>
          <cell r="GV414" t="e">
            <v>#DIV/0!</v>
          </cell>
          <cell r="HA414" t="e">
            <v>#DIV/0!</v>
          </cell>
          <cell r="HD414" t="e">
            <v>#DIV/0!</v>
          </cell>
          <cell r="HG414" t="e">
            <v>#DIV/0!</v>
          </cell>
          <cell r="HJ414" t="e">
            <v>#DIV/0!</v>
          </cell>
        </row>
        <row r="415">
          <cell r="DK415" t="str">
            <v xml:space="preserve"> -</v>
          </cell>
          <cell r="DL415">
            <v>0</v>
          </cell>
          <cell r="FL415">
            <v>0</v>
          </cell>
          <cell r="FN415">
            <v>0</v>
          </cell>
          <cell r="FQ415" t="str">
            <v xml:space="preserve"> -</v>
          </cell>
          <cell r="FR415">
            <v>0</v>
          </cell>
        </row>
        <row r="416">
          <cell r="DL416">
            <v>0</v>
          </cell>
          <cell r="FL416">
            <v>0</v>
          </cell>
          <cell r="FN416">
            <v>0</v>
          </cell>
          <cell r="FR416">
            <v>0</v>
          </cell>
        </row>
        <row r="417">
          <cell r="FL417">
            <v>0</v>
          </cell>
          <cell r="FN417">
            <v>0</v>
          </cell>
        </row>
        <row r="418">
          <cell r="DO418" t="str">
            <v>FY1</v>
          </cell>
          <cell r="DS418">
            <v>0</v>
          </cell>
          <cell r="EG418">
            <v>0</v>
          </cell>
          <cell r="EI418">
            <v>0</v>
          </cell>
          <cell r="EK418">
            <v>0</v>
          </cell>
          <cell r="EM418">
            <v>0</v>
          </cell>
          <cell r="EO418">
            <v>0</v>
          </cell>
          <cell r="EQ418">
            <v>0</v>
          </cell>
          <cell r="ET418">
            <v>0</v>
          </cell>
          <cell r="GF418">
            <v>0</v>
          </cell>
          <cell r="GL418">
            <v>0</v>
          </cell>
          <cell r="GN418">
            <v>0</v>
          </cell>
          <cell r="GP418">
            <v>0</v>
          </cell>
          <cell r="GT418">
            <v>0</v>
          </cell>
          <cell r="GV418">
            <v>0</v>
          </cell>
        </row>
        <row r="419">
          <cell r="DO419" t="str">
            <v>FY2</v>
          </cell>
          <cell r="DS419">
            <v>0</v>
          </cell>
          <cell r="EG419">
            <v>0</v>
          </cell>
          <cell r="EI419">
            <v>0</v>
          </cell>
          <cell r="EK419">
            <v>0</v>
          </cell>
          <cell r="EM419">
            <v>0</v>
          </cell>
          <cell r="EO419">
            <v>0</v>
          </cell>
          <cell r="EQ419">
            <v>0</v>
          </cell>
          <cell r="ET419">
            <v>0</v>
          </cell>
          <cell r="FJ419">
            <v>0</v>
          </cell>
          <cell r="GF419">
            <v>0</v>
          </cell>
          <cell r="GL419">
            <v>0</v>
          </cell>
          <cell r="GN419">
            <v>0</v>
          </cell>
          <cell r="GP419">
            <v>0</v>
          </cell>
          <cell r="GT419">
            <v>0</v>
          </cell>
          <cell r="GV419">
            <v>0</v>
          </cell>
        </row>
        <row r="421">
          <cell r="DK421">
            <v>0</v>
          </cell>
          <cell r="DM421" t="str">
            <v>option</v>
          </cell>
          <cell r="DO421">
            <v>0</v>
          </cell>
          <cell r="DQ421" t="e">
            <v>#VALUE!</v>
          </cell>
          <cell r="DS421">
            <v>0</v>
          </cell>
          <cell r="EC421" t="e">
            <v>#VALUE!</v>
          </cell>
          <cell r="EE421" t="e">
            <v>#VALUE!</v>
          </cell>
          <cell r="EG421">
            <v>0</v>
          </cell>
          <cell r="EI421" t="e">
            <v>#DIV/0!</v>
          </cell>
          <cell r="EK421">
            <v>0</v>
          </cell>
          <cell r="EM421">
            <v>0</v>
          </cell>
          <cell r="EO421">
            <v>0</v>
          </cell>
          <cell r="EQ421" t="e">
            <v>#DIV/0!</v>
          </cell>
          <cell r="ET421">
            <v>0</v>
          </cell>
          <cell r="FB421" t="e">
            <v>#VALUE!</v>
          </cell>
          <cell r="FD421">
            <v>0</v>
          </cell>
          <cell r="FF421">
            <v>0</v>
          </cell>
          <cell r="FJ421">
            <v>0</v>
          </cell>
          <cell r="FL421">
            <v>0</v>
          </cell>
          <cell r="FN421">
            <v>0</v>
          </cell>
          <cell r="FQ421">
            <v>0</v>
          </cell>
          <cell r="FS421">
            <v>0</v>
          </cell>
          <cell r="FU421" t="e">
            <v>#DIV/0!</v>
          </cell>
          <cell r="FW421" t="e">
            <v>#VALUE!</v>
          </cell>
          <cell r="FY421" t="e">
            <v>#VALUE!</v>
          </cell>
          <cell r="GA421">
            <v>0</v>
          </cell>
          <cell r="GC421">
            <v>0</v>
          </cell>
          <cell r="GF421" t="e">
            <v>#DIV/0!</v>
          </cell>
          <cell r="GL421" t="e">
            <v>#DIV/0!</v>
          </cell>
          <cell r="GN421" t="e">
            <v>#DIV/0!</v>
          </cell>
          <cell r="GP421" t="e">
            <v>#DIV/0!</v>
          </cell>
          <cell r="GT421" t="e">
            <v>#DIV/0!</v>
          </cell>
          <cell r="GV421" t="e">
            <v>#DIV/0!</v>
          </cell>
          <cell r="HA421" t="e">
            <v>#DIV/0!</v>
          </cell>
          <cell r="HD421" t="e">
            <v>#DIV/0!</v>
          </cell>
          <cell r="HG421" t="e">
            <v>#DIV/0!</v>
          </cell>
          <cell r="HJ421" t="e">
            <v>#DIV/0!</v>
          </cell>
        </row>
        <row r="422">
          <cell r="DK422" t="str">
            <v xml:space="preserve"> -</v>
          </cell>
          <cell r="DL422">
            <v>0</v>
          </cell>
          <cell r="FL422">
            <v>0</v>
          </cell>
          <cell r="FN422">
            <v>0</v>
          </cell>
          <cell r="FQ422" t="str">
            <v xml:space="preserve"> -</v>
          </cell>
          <cell r="FR422">
            <v>0</v>
          </cell>
        </row>
        <row r="423">
          <cell r="DL423">
            <v>0</v>
          </cell>
          <cell r="FL423">
            <v>0</v>
          </cell>
          <cell r="FN423">
            <v>0</v>
          </cell>
          <cell r="FR423">
            <v>0</v>
          </cell>
        </row>
        <row r="424">
          <cell r="FL424">
            <v>0</v>
          </cell>
          <cell r="FN424">
            <v>0</v>
          </cell>
        </row>
        <row r="425">
          <cell r="DO425" t="str">
            <v>FY1</v>
          </cell>
          <cell r="DS425">
            <v>0</v>
          </cell>
          <cell r="EG425">
            <v>0</v>
          </cell>
          <cell r="EI425">
            <v>0</v>
          </cell>
          <cell r="EK425">
            <v>0</v>
          </cell>
          <cell r="EM425">
            <v>0</v>
          </cell>
          <cell r="EO425">
            <v>0</v>
          </cell>
          <cell r="EQ425">
            <v>0</v>
          </cell>
          <cell r="ET425">
            <v>0</v>
          </cell>
          <cell r="GF425">
            <v>0</v>
          </cell>
          <cell r="GL425">
            <v>0</v>
          </cell>
          <cell r="GN425">
            <v>0</v>
          </cell>
          <cell r="GP425">
            <v>0</v>
          </cell>
          <cell r="GT425">
            <v>0</v>
          </cell>
          <cell r="GV425">
            <v>0</v>
          </cell>
        </row>
        <row r="426">
          <cell r="DO426" t="str">
            <v>FY2</v>
          </cell>
          <cell r="DS426">
            <v>0</v>
          </cell>
          <cell r="EG426">
            <v>0</v>
          </cell>
          <cell r="EI426">
            <v>0</v>
          </cell>
          <cell r="EK426">
            <v>0</v>
          </cell>
          <cell r="EM426">
            <v>0</v>
          </cell>
          <cell r="EO426">
            <v>0</v>
          </cell>
          <cell r="EQ426">
            <v>0</v>
          </cell>
          <cell r="ET426">
            <v>0</v>
          </cell>
          <cell r="FJ426">
            <v>0</v>
          </cell>
          <cell r="GF426">
            <v>0</v>
          </cell>
          <cell r="GL426">
            <v>0</v>
          </cell>
          <cell r="GN426">
            <v>0</v>
          </cell>
          <cell r="GP426">
            <v>0</v>
          </cell>
          <cell r="GT426">
            <v>0</v>
          </cell>
          <cell r="GV426">
            <v>0</v>
          </cell>
        </row>
        <row r="428">
          <cell r="DK428">
            <v>0</v>
          </cell>
          <cell r="DM428" t="str">
            <v>option</v>
          </cell>
          <cell r="DO428">
            <v>0</v>
          </cell>
          <cell r="DQ428" t="e">
            <v>#VALUE!</v>
          </cell>
          <cell r="DS428">
            <v>0</v>
          </cell>
          <cell r="EC428" t="e">
            <v>#VALUE!</v>
          </cell>
          <cell r="EE428" t="e">
            <v>#VALUE!</v>
          </cell>
          <cell r="EG428">
            <v>0</v>
          </cell>
          <cell r="EI428" t="e">
            <v>#DIV/0!</v>
          </cell>
          <cell r="EK428">
            <v>0</v>
          </cell>
          <cell r="EM428">
            <v>0</v>
          </cell>
          <cell r="EO428">
            <v>0</v>
          </cell>
          <cell r="EQ428" t="e">
            <v>#DIV/0!</v>
          </cell>
          <cell r="ET428">
            <v>0</v>
          </cell>
          <cell r="FB428" t="e">
            <v>#VALUE!</v>
          </cell>
          <cell r="FD428">
            <v>0</v>
          </cell>
          <cell r="FF428">
            <v>0</v>
          </cell>
          <cell r="FJ428">
            <v>0</v>
          </cell>
          <cell r="FL428">
            <v>0</v>
          </cell>
          <cell r="FN428">
            <v>0</v>
          </cell>
          <cell r="FQ428">
            <v>0</v>
          </cell>
          <cell r="FS428">
            <v>0</v>
          </cell>
          <cell r="FU428" t="e">
            <v>#DIV/0!</v>
          </cell>
          <cell r="FW428" t="e">
            <v>#VALUE!</v>
          </cell>
          <cell r="FY428" t="e">
            <v>#VALUE!</v>
          </cell>
          <cell r="GA428">
            <v>0</v>
          </cell>
          <cell r="GC428">
            <v>0</v>
          </cell>
          <cell r="GF428" t="e">
            <v>#DIV/0!</v>
          </cell>
          <cell r="GL428" t="e">
            <v>#DIV/0!</v>
          </cell>
          <cell r="GN428" t="e">
            <v>#DIV/0!</v>
          </cell>
          <cell r="GP428" t="e">
            <v>#DIV/0!</v>
          </cell>
          <cell r="GT428" t="e">
            <v>#DIV/0!</v>
          </cell>
          <cell r="GV428" t="e">
            <v>#DIV/0!</v>
          </cell>
          <cell r="HA428" t="e">
            <v>#DIV/0!</v>
          </cell>
          <cell r="HD428" t="e">
            <v>#DIV/0!</v>
          </cell>
          <cell r="HG428" t="e">
            <v>#DIV/0!</v>
          </cell>
          <cell r="HJ428" t="e">
            <v>#DIV/0!</v>
          </cell>
        </row>
        <row r="429">
          <cell r="DK429" t="str">
            <v xml:space="preserve"> -</v>
          </cell>
          <cell r="DL429">
            <v>0</v>
          </cell>
          <cell r="FL429">
            <v>0</v>
          </cell>
          <cell r="FN429">
            <v>0</v>
          </cell>
          <cell r="FQ429" t="str">
            <v xml:space="preserve"> -</v>
          </cell>
          <cell r="FR429">
            <v>0</v>
          </cell>
        </row>
        <row r="430">
          <cell r="DL430">
            <v>0</v>
          </cell>
          <cell r="FL430">
            <v>0</v>
          </cell>
          <cell r="FN430">
            <v>0</v>
          </cell>
          <cell r="FR430">
            <v>0</v>
          </cell>
        </row>
        <row r="431">
          <cell r="FL431">
            <v>0</v>
          </cell>
          <cell r="FN431">
            <v>0</v>
          </cell>
        </row>
        <row r="432">
          <cell r="DO432" t="str">
            <v>FY1</v>
          </cell>
          <cell r="DS432">
            <v>0</v>
          </cell>
          <cell r="EG432">
            <v>0</v>
          </cell>
          <cell r="EI432">
            <v>0</v>
          </cell>
          <cell r="EK432">
            <v>0</v>
          </cell>
          <cell r="EM432">
            <v>0</v>
          </cell>
          <cell r="EO432">
            <v>0</v>
          </cell>
          <cell r="EQ432">
            <v>0</v>
          </cell>
          <cell r="ET432">
            <v>0</v>
          </cell>
          <cell r="GF432">
            <v>0</v>
          </cell>
          <cell r="GL432">
            <v>0</v>
          </cell>
          <cell r="GN432">
            <v>0</v>
          </cell>
          <cell r="GP432">
            <v>0</v>
          </cell>
          <cell r="GT432">
            <v>0</v>
          </cell>
          <cell r="GV432">
            <v>0</v>
          </cell>
        </row>
        <row r="433">
          <cell r="DO433" t="str">
            <v>FY2</v>
          </cell>
          <cell r="DS433">
            <v>0</v>
          </cell>
          <cell r="EG433">
            <v>0</v>
          </cell>
          <cell r="EI433">
            <v>0</v>
          </cell>
          <cell r="EK433">
            <v>0</v>
          </cell>
          <cell r="EM433">
            <v>0</v>
          </cell>
          <cell r="EO433">
            <v>0</v>
          </cell>
          <cell r="EQ433">
            <v>0</v>
          </cell>
          <cell r="ET433">
            <v>0</v>
          </cell>
          <cell r="FJ433">
            <v>0</v>
          </cell>
          <cell r="GF433">
            <v>0</v>
          </cell>
          <cell r="GL433">
            <v>0</v>
          </cell>
          <cell r="GN433">
            <v>0</v>
          </cell>
          <cell r="GP433">
            <v>0</v>
          </cell>
          <cell r="GT433">
            <v>0</v>
          </cell>
          <cell r="GV433">
            <v>0</v>
          </cell>
        </row>
        <row r="435">
          <cell r="DK435">
            <v>0</v>
          </cell>
          <cell r="DM435" t="str">
            <v>option</v>
          </cell>
          <cell r="DO435">
            <v>0</v>
          </cell>
          <cell r="DQ435" t="e">
            <v>#VALUE!</v>
          </cell>
          <cell r="DS435">
            <v>0</v>
          </cell>
          <cell r="EC435" t="e">
            <v>#VALUE!</v>
          </cell>
          <cell r="EE435" t="e">
            <v>#VALUE!</v>
          </cell>
          <cell r="EG435">
            <v>0</v>
          </cell>
          <cell r="EI435" t="e">
            <v>#DIV/0!</v>
          </cell>
          <cell r="EK435">
            <v>0</v>
          </cell>
          <cell r="EM435">
            <v>0</v>
          </cell>
          <cell r="EO435">
            <v>0</v>
          </cell>
          <cell r="EQ435" t="e">
            <v>#DIV/0!</v>
          </cell>
          <cell r="ET435">
            <v>0</v>
          </cell>
          <cell r="FB435" t="e">
            <v>#VALUE!</v>
          </cell>
          <cell r="FD435">
            <v>0</v>
          </cell>
          <cell r="FF435">
            <v>0</v>
          </cell>
          <cell r="FJ435">
            <v>0</v>
          </cell>
          <cell r="FL435">
            <v>0</v>
          </cell>
          <cell r="FN435">
            <v>0</v>
          </cell>
          <cell r="FQ435">
            <v>0</v>
          </cell>
          <cell r="FS435">
            <v>0</v>
          </cell>
          <cell r="FU435" t="e">
            <v>#DIV/0!</v>
          </cell>
          <cell r="FW435" t="e">
            <v>#VALUE!</v>
          </cell>
          <cell r="FY435" t="e">
            <v>#VALUE!</v>
          </cell>
          <cell r="GA435">
            <v>0</v>
          </cell>
          <cell r="GC435">
            <v>0</v>
          </cell>
          <cell r="GF435" t="e">
            <v>#DIV/0!</v>
          </cell>
          <cell r="GL435" t="e">
            <v>#DIV/0!</v>
          </cell>
          <cell r="GN435" t="e">
            <v>#DIV/0!</v>
          </cell>
          <cell r="GP435" t="e">
            <v>#DIV/0!</v>
          </cell>
          <cell r="GT435" t="e">
            <v>#DIV/0!</v>
          </cell>
          <cell r="GV435" t="e">
            <v>#DIV/0!</v>
          </cell>
          <cell r="HA435" t="e">
            <v>#DIV/0!</v>
          </cell>
          <cell r="HD435" t="e">
            <v>#DIV/0!</v>
          </cell>
          <cell r="HG435" t="e">
            <v>#DIV/0!</v>
          </cell>
          <cell r="HJ435" t="e">
            <v>#DIV/0!</v>
          </cell>
        </row>
        <row r="436">
          <cell r="DK436" t="str">
            <v xml:space="preserve"> -</v>
          </cell>
          <cell r="DL436">
            <v>0</v>
          </cell>
          <cell r="FL436">
            <v>0</v>
          </cell>
          <cell r="FN436">
            <v>0</v>
          </cell>
          <cell r="FQ436" t="str">
            <v xml:space="preserve"> -</v>
          </cell>
          <cell r="FR436">
            <v>0</v>
          </cell>
        </row>
        <row r="437">
          <cell r="DL437">
            <v>0</v>
          </cell>
          <cell r="FL437">
            <v>0</v>
          </cell>
          <cell r="FN437">
            <v>0</v>
          </cell>
          <cell r="FR437">
            <v>0</v>
          </cell>
        </row>
        <row r="438">
          <cell r="FL438">
            <v>0</v>
          </cell>
          <cell r="FN438">
            <v>0</v>
          </cell>
        </row>
        <row r="439">
          <cell r="DO439" t="str">
            <v>FY1</v>
          </cell>
          <cell r="DS439">
            <v>0</v>
          </cell>
          <cell r="EG439">
            <v>0</v>
          </cell>
          <cell r="EI439">
            <v>0</v>
          </cell>
          <cell r="EK439">
            <v>0</v>
          </cell>
          <cell r="EM439">
            <v>0</v>
          </cell>
          <cell r="EO439">
            <v>0</v>
          </cell>
          <cell r="EQ439">
            <v>0</v>
          </cell>
          <cell r="ET439">
            <v>0</v>
          </cell>
          <cell r="GF439">
            <v>0</v>
          </cell>
          <cell r="GL439">
            <v>0</v>
          </cell>
          <cell r="GN439">
            <v>0</v>
          </cell>
          <cell r="GP439">
            <v>0</v>
          </cell>
          <cell r="GT439">
            <v>0</v>
          </cell>
          <cell r="GV439">
            <v>0</v>
          </cell>
        </row>
        <row r="440">
          <cell r="DO440" t="str">
            <v>FY2</v>
          </cell>
          <cell r="DS440">
            <v>0</v>
          </cell>
          <cell r="EG440">
            <v>0</v>
          </cell>
          <cell r="EI440">
            <v>0</v>
          </cell>
          <cell r="EK440">
            <v>0</v>
          </cell>
          <cell r="EM440">
            <v>0</v>
          </cell>
          <cell r="EO440">
            <v>0</v>
          </cell>
          <cell r="EQ440">
            <v>0</v>
          </cell>
          <cell r="ET440">
            <v>0</v>
          </cell>
          <cell r="FJ440">
            <v>0</v>
          </cell>
          <cell r="GF440">
            <v>0</v>
          </cell>
          <cell r="GL440">
            <v>0</v>
          </cell>
          <cell r="GN440">
            <v>0</v>
          </cell>
          <cell r="GP440">
            <v>0</v>
          </cell>
          <cell r="GT440">
            <v>0</v>
          </cell>
          <cell r="GV440">
            <v>0</v>
          </cell>
        </row>
        <row r="443">
          <cell r="GC443" t="e">
            <v>#REF!</v>
          </cell>
        </row>
        <row r="444">
          <cell r="EB444" t="str">
            <v xml:space="preserve">     Mean:</v>
          </cell>
          <cell r="EE444" t="e">
            <v>#NAME?</v>
          </cell>
          <cell r="EI444">
            <v>0.1915497635160954</v>
          </cell>
          <cell r="EM444">
            <v>0.12712975123817355</v>
          </cell>
          <cell r="EQ444">
            <v>0.11122394258303042</v>
          </cell>
          <cell r="GC444" t="str">
            <v xml:space="preserve">     Mean:</v>
          </cell>
          <cell r="GF444">
            <v>2.5288033017708722</v>
          </cell>
          <cell r="GH444">
            <v>31.1430021978022</v>
          </cell>
          <cell r="GJ444">
            <v>33.520105661567577</v>
          </cell>
          <cell r="GL444">
            <v>13.370836014056181</v>
          </cell>
          <cell r="GN444">
            <v>19.592257930626708</v>
          </cell>
          <cell r="GP444">
            <v>23.198833206785324</v>
          </cell>
          <cell r="GT444">
            <v>50.004043200836819</v>
          </cell>
          <cell r="GX444">
            <v>17.411510088041027</v>
          </cell>
          <cell r="HA444" t="e">
            <v>#DIV/0!</v>
          </cell>
          <cell r="HB444" t="str">
            <v>x</v>
          </cell>
          <cell r="HD444" t="e">
            <v>#DIV/0!</v>
          </cell>
          <cell r="HE444" t="str">
            <v>x</v>
          </cell>
          <cell r="HG444">
            <v>3.1400966183574877</v>
          </cell>
          <cell r="HH444" t="str">
            <v>x</v>
          </cell>
          <cell r="HJ444" t="e">
            <v>#NAME?</v>
          </cell>
          <cell r="HK444" t="str">
            <v>x</v>
          </cell>
        </row>
        <row r="445">
          <cell r="EI445">
            <v>0.1793369246819686</v>
          </cell>
          <cell r="EM445">
            <v>0.1113925968682605</v>
          </cell>
          <cell r="EQ445">
            <v>8.4946572875220394E-2</v>
          </cell>
          <cell r="GF445">
            <v>2.4143857401020652</v>
          </cell>
          <cell r="GH445">
            <v>40.334843164764571</v>
          </cell>
          <cell r="GJ445">
            <v>40.334843164764571</v>
          </cell>
          <cell r="GL445">
            <v>14.157308576532316</v>
          </cell>
          <cell r="GN445">
            <v>22.315296560191499</v>
          </cell>
          <cell r="GP445">
            <v>38.208451356653256</v>
          </cell>
          <cell r="GT445">
            <v>39.491256841986583</v>
          </cell>
          <cell r="GV445">
            <v>37.837155225447425</v>
          </cell>
          <cell r="GX445">
            <v>15.175152026061177</v>
          </cell>
          <cell r="HA445">
            <v>39.491256841986583</v>
          </cell>
        </row>
        <row r="446">
          <cell r="EI446">
            <v>0.18122349313328118</v>
          </cell>
          <cell r="EM446">
            <v>0.10914468695761398</v>
          </cell>
          <cell r="EQ446">
            <v>8.6860427522968478E-2</v>
          </cell>
          <cell r="GF446">
            <v>2.0941163843801132</v>
          </cell>
          <cell r="GH446">
            <v>37.93884017098739</v>
          </cell>
          <cell r="GJ446">
            <v>37.93884017098739</v>
          </cell>
          <cell r="GL446">
            <v>12.620594903545173</v>
          </cell>
          <cell r="GN446">
            <v>20.238091588732289</v>
          </cell>
          <cell r="GP446">
            <v>32.481686892512045</v>
          </cell>
          <cell r="GT446">
            <v>33.513152868491581</v>
          </cell>
          <cell r="GV446">
            <v>28.478108074585521</v>
          </cell>
          <cell r="GX446">
            <v>13.63061922434818</v>
          </cell>
          <cell r="HD446">
            <v>33.513152868491581</v>
          </cell>
        </row>
        <row r="447">
          <cell r="EI447">
            <v>0.20976266952177017</v>
          </cell>
          <cell r="EM447">
            <v>0.11298172062170933</v>
          </cell>
          <cell r="EQ447" t="e">
            <v>#REF!</v>
          </cell>
          <cell r="GF447" t="e">
            <v>#REF!</v>
          </cell>
          <cell r="GL447">
            <v>12.689947992998077</v>
          </cell>
          <cell r="GN447" t="e">
            <v>#REF!</v>
          </cell>
          <cell r="GP447" t="e">
            <v>#REF!</v>
          </cell>
          <cell r="GT447">
            <v>32.864994228264955</v>
          </cell>
          <cell r="GV447">
            <v>30.242429546647998</v>
          </cell>
          <cell r="GX447" t="e">
            <v>#REF!</v>
          </cell>
        </row>
        <row r="449">
          <cell r="EE449" t="e">
            <v>#NAME?</v>
          </cell>
          <cell r="EI449" t="e">
            <v>#NAME?</v>
          </cell>
          <cell r="EM449" t="e">
            <v>#NAME?</v>
          </cell>
          <cell r="EO449" t="str">
            <v xml:space="preserve">     Median:</v>
          </cell>
          <cell r="EQ449" t="e">
            <v>#NAME?</v>
          </cell>
          <cell r="GC449" t="str">
            <v xml:space="preserve">     Median:</v>
          </cell>
          <cell r="GF449" t="e">
            <v>#NAME?</v>
          </cell>
          <cell r="GL449" t="e">
            <v>#NAME?</v>
          </cell>
          <cell r="GN449" t="e">
            <v>#NAME?</v>
          </cell>
          <cell r="GP449" t="e">
            <v>#NAME?</v>
          </cell>
          <cell r="GT449" t="e">
            <v>#NAME?</v>
          </cell>
          <cell r="GV449" t="e">
            <v>#NAME?</v>
          </cell>
          <cell r="HA449" t="e">
            <v>#NAME?</v>
          </cell>
          <cell r="HD449" t="e">
            <v>#NAME?</v>
          </cell>
          <cell r="HG449" t="e">
            <v>#NAME?</v>
          </cell>
          <cell r="HJ449" t="e">
            <v>#NAME?</v>
          </cell>
        </row>
        <row r="450">
          <cell r="EI450" t="e">
            <v>#NAME?</v>
          </cell>
          <cell r="EM450" t="e">
            <v>#NAME?</v>
          </cell>
          <cell r="EQ450" t="e">
            <v>#NAME?</v>
          </cell>
          <cell r="GF450" t="e">
            <v>#NAME?</v>
          </cell>
          <cell r="GL450" t="e">
            <v>#NAME?</v>
          </cell>
          <cell r="GN450" t="e">
            <v>#NAME?</v>
          </cell>
          <cell r="GP450" t="e">
            <v>#NAME?</v>
          </cell>
          <cell r="GT450" t="e">
            <v>#NAME?</v>
          </cell>
          <cell r="GV450" t="e">
            <v>#NAME?</v>
          </cell>
        </row>
        <row r="451">
          <cell r="EI451" t="e">
            <v>#NAME?</v>
          </cell>
          <cell r="EM451" t="e">
            <v>#NAME?</v>
          </cell>
          <cell r="EQ451" t="e">
            <v>#NAME?</v>
          </cell>
          <cell r="GF451" t="e">
            <v>#NAME?</v>
          </cell>
          <cell r="GL451" t="e">
            <v>#NAME?</v>
          </cell>
          <cell r="GN451" t="e">
            <v>#NAME?</v>
          </cell>
          <cell r="GP451" t="e">
            <v>#NAME?</v>
          </cell>
          <cell r="GT451" t="e">
            <v>#NAME?</v>
          </cell>
          <cell r="GV451" t="e">
            <v>#NAME?</v>
          </cell>
        </row>
        <row r="453">
          <cell r="EE453" t="e">
            <v>#NAME?</v>
          </cell>
          <cell r="EI453" t="e">
            <v>#NAME?</v>
          </cell>
          <cell r="EM453" t="e">
            <v>#NAME?</v>
          </cell>
          <cell r="EO453" t="str">
            <v xml:space="preserve">     High:</v>
          </cell>
          <cell r="EQ453" t="e">
            <v>#NAME?</v>
          </cell>
          <cell r="GC453" t="str">
            <v xml:space="preserve">     High:</v>
          </cell>
          <cell r="GF453" t="e">
            <v>#NAME?</v>
          </cell>
          <cell r="GL453" t="e">
            <v>#NAME?</v>
          </cell>
          <cell r="GN453" t="e">
            <v>#NAME?</v>
          </cell>
          <cell r="GP453" t="e">
            <v>#NAME?</v>
          </cell>
          <cell r="GT453" t="e">
            <v>#NAME?</v>
          </cell>
          <cell r="GV453" t="e">
            <v>#NAME?</v>
          </cell>
          <cell r="HA453" t="e">
            <v>#NAME?</v>
          </cell>
          <cell r="HD453" t="e">
            <v>#NAME?</v>
          </cell>
          <cell r="HG453" t="e">
            <v>#NAME?</v>
          </cell>
          <cell r="HJ453" t="e">
            <v>#NAME?</v>
          </cell>
        </row>
        <row r="455">
          <cell r="EE455" t="e">
            <v>#NAME?</v>
          </cell>
          <cell r="EI455" t="e">
            <v>#NAME?</v>
          </cell>
          <cell r="EM455" t="e">
            <v>#NAME?</v>
          </cell>
          <cell r="EO455" t="str">
            <v xml:space="preserve">     Low:</v>
          </cell>
          <cell r="EQ455" t="e">
            <v>#NAME?</v>
          </cell>
          <cell r="GC455" t="str">
            <v xml:space="preserve">     Low:</v>
          </cell>
          <cell r="GF455" t="e">
            <v>#NAME?</v>
          </cell>
          <cell r="GL455" t="e">
            <v>#NAME?</v>
          </cell>
          <cell r="GN455" t="e">
            <v>#NAME?</v>
          </cell>
          <cell r="GP455" t="e">
            <v>#NAME?</v>
          </cell>
          <cell r="GT455" t="e">
            <v>#NAME?</v>
          </cell>
          <cell r="GV455" t="e">
            <v>#NAME?</v>
          </cell>
          <cell r="HA455" t="e">
            <v>#NAME?</v>
          </cell>
          <cell r="HD455" t="e">
            <v>#NAME?</v>
          </cell>
          <cell r="HG455" t="e">
            <v>#NAME?</v>
          </cell>
          <cell r="HJ455" t="e">
            <v>#NAME?</v>
          </cell>
        </row>
        <row r="459">
          <cell r="GA459" t="str">
            <v>JCDecaux</v>
          </cell>
          <cell r="GM459" t="str">
            <v>Derived from</v>
          </cell>
        </row>
        <row r="460">
          <cell r="GA460" t="str">
            <v>Implied Firm Value</v>
          </cell>
          <cell r="GM460" t="str">
            <v>multiples of:</v>
          </cell>
          <cell r="HA460" t="str">
            <v>FY1</v>
          </cell>
          <cell r="HD460" t="str">
            <v>FY2</v>
          </cell>
          <cell r="HG460" t="str">
            <v>Book</v>
          </cell>
          <cell r="HJ460" t="str">
            <v>Net Inc.</v>
          </cell>
        </row>
        <row r="461">
          <cell r="GF461" t="str">
            <v>Rev.</v>
          </cell>
          <cell r="GH461" t="str">
            <v>EBITDA - Capex</v>
          </cell>
          <cell r="GJ461" t="str">
            <v>FCF</v>
          </cell>
          <cell r="GL461" t="str">
            <v>EBITDA</v>
          </cell>
          <cell r="GN461" t="str">
            <v>EBITA</v>
          </cell>
          <cell r="GP461" t="str">
            <v>EBIT</v>
          </cell>
          <cell r="HA461" t="str">
            <v>EPS</v>
          </cell>
          <cell r="HD461" t="str">
            <v>EPS</v>
          </cell>
          <cell r="HG461" t="str">
            <v>Value</v>
          </cell>
          <cell r="HJ461" t="str">
            <v>+ DA</v>
          </cell>
        </row>
        <row r="463">
          <cell r="DK463" t="str">
            <v>JCDecaux</v>
          </cell>
          <cell r="DM463">
            <v>0</v>
          </cell>
          <cell r="DN463" t="str">
            <v>FRF</v>
          </cell>
          <cell r="DO463">
            <v>36160</v>
          </cell>
          <cell r="DQ463">
            <v>0</v>
          </cell>
          <cell r="DS463">
            <v>7056</v>
          </cell>
          <cell r="DU463">
            <v>843</v>
          </cell>
          <cell r="DW463">
            <v>0.11947278911564625</v>
          </cell>
          <cell r="DY463">
            <v>432</v>
          </cell>
          <cell r="EA463">
            <v>6.1224489795918366E-2</v>
          </cell>
          <cell r="EC463">
            <v>0</v>
          </cell>
          <cell r="EE463">
            <v>0</v>
          </cell>
          <cell r="EG463">
            <v>1894</v>
          </cell>
          <cell r="EI463">
            <v>0.26842403628117911</v>
          </cell>
          <cell r="EK463">
            <v>1185.9000000000001</v>
          </cell>
          <cell r="EM463">
            <v>0.16806972789115648</v>
          </cell>
          <cell r="EO463">
            <v>1162.9000000000001</v>
          </cell>
          <cell r="EQ463">
            <v>0.16481009070294786</v>
          </cell>
          <cell r="ET463">
            <v>758.9362900000001</v>
          </cell>
          <cell r="FB463">
            <v>0</v>
          </cell>
          <cell r="FD463">
            <v>0</v>
          </cell>
          <cell r="FF463">
            <v>2528</v>
          </cell>
          <cell r="GE463" t="str">
            <v>LTM</v>
          </cell>
          <cell r="GF463">
            <v>17843.236097295274</v>
          </cell>
          <cell r="GH463">
            <v>26253.550852747256</v>
          </cell>
          <cell r="GJ463">
            <v>14480.685645797194</v>
          </cell>
          <cell r="GL463">
            <v>25324.363410622405</v>
          </cell>
          <cell r="GN463">
            <v>23234.458679930216</v>
          </cell>
          <cell r="GP463">
            <v>26977.923136170655</v>
          </cell>
          <cell r="HA463" t="e">
            <v>#DIV/0!</v>
          </cell>
          <cell r="HD463" t="e">
            <v>#DIV/0!</v>
          </cell>
          <cell r="HG463">
            <v>7938.1642512077287</v>
          </cell>
          <cell r="HJ463" t="e">
            <v>#DIV/0!</v>
          </cell>
        </row>
        <row r="464">
          <cell r="FL464">
            <v>0</v>
          </cell>
          <cell r="FN464">
            <v>0</v>
          </cell>
        </row>
        <row r="465">
          <cell r="DL465">
            <v>0</v>
          </cell>
          <cell r="FL465">
            <v>0</v>
          </cell>
          <cell r="FN465">
            <v>0</v>
          </cell>
        </row>
        <row r="466">
          <cell r="DK466" t="str">
            <v xml:space="preserve"> -  Pro forma financials</v>
          </cell>
          <cell r="FL466">
            <v>0</v>
          </cell>
          <cell r="FN466">
            <v>0</v>
          </cell>
        </row>
        <row r="467">
          <cell r="DO467" t="str">
            <v>FY1</v>
          </cell>
          <cell r="DS467">
            <v>7714</v>
          </cell>
          <cell r="DU467">
            <v>906.17324448301497</v>
          </cell>
          <cell r="DW467">
            <v>0.11747125284975564</v>
          </cell>
          <cell r="DY467">
            <v>867.17324448301497</v>
          </cell>
          <cell r="EA467">
            <v>0.11241551004446655</v>
          </cell>
          <cell r="EG467">
            <v>2031.415</v>
          </cell>
          <cell r="EI467">
            <v>0.26334132745657246</v>
          </cell>
          <cell r="EK467">
            <v>1203.237067939499</v>
          </cell>
          <cell r="EM467">
            <v>0.15598095254595526</v>
          </cell>
          <cell r="EO467">
            <v>1056.237067939499</v>
          </cell>
          <cell r="EQ467">
            <v>0.13692469120294257</v>
          </cell>
          <cell r="ET467">
            <v>471.00223330401769</v>
          </cell>
          <cell r="FF467">
            <v>2905.135500826229</v>
          </cell>
          <cell r="FH467">
            <v>0</v>
          </cell>
          <cell r="GE467" t="str">
            <v>FY1</v>
          </cell>
          <cell r="GF467">
            <v>18624.57159914733</v>
          </cell>
          <cell r="GH467">
            <v>36550.355696328268</v>
          </cell>
          <cell r="GJ467">
            <v>34977.296812902452</v>
          </cell>
          <cell r="GL467">
            <v>28759.369001996394</v>
          </cell>
          <cell r="GN467">
            <v>26850.592003285205</v>
          </cell>
          <cell r="GP467">
            <v>40357.182631460404</v>
          </cell>
          <cell r="HA467">
            <v>0</v>
          </cell>
        </row>
        <row r="468">
          <cell r="DO468" t="str">
            <v>FY2</v>
          </cell>
          <cell r="DS468">
            <v>8695</v>
          </cell>
          <cell r="DU468">
            <v>1641.2567281348788</v>
          </cell>
          <cell r="DW468">
            <v>0.18875868063655882</v>
          </cell>
          <cell r="DY468">
            <v>1574.2567281348788</v>
          </cell>
          <cell r="EA468">
            <v>0.18105310271821493</v>
          </cell>
          <cell r="EG468">
            <v>2592.415</v>
          </cell>
          <cell r="EI468">
            <v>0.29815008625646922</v>
          </cell>
          <cell r="EK468">
            <v>1715.2690437163919</v>
          </cell>
          <cell r="EM468">
            <v>0.197270735332535</v>
          </cell>
          <cell r="EO468">
            <v>1457.2690437163919</v>
          </cell>
          <cell r="EQ468">
            <v>0.16759850991562875</v>
          </cell>
          <cell r="ET468">
            <v>621.53240208059606</v>
          </cell>
          <cell r="FF468">
            <v>3337.4983764826657</v>
          </cell>
          <cell r="FJ468">
            <v>0</v>
          </cell>
          <cell r="GE468" t="str">
            <v>FY2</v>
          </cell>
          <cell r="GF468">
            <v>18208.341962185084</v>
          </cell>
          <cell r="GH468">
            <v>62267.376688266871</v>
          </cell>
          <cell r="GJ468">
            <v>59725.474396810714</v>
          </cell>
          <cell r="GL468">
            <v>32717.81953687406</v>
          </cell>
          <cell r="GN468">
            <v>34713.772006049585</v>
          </cell>
          <cell r="GP468">
            <v>47334.556796146288</v>
          </cell>
          <cell r="HD468">
            <v>0</v>
          </cell>
        </row>
        <row r="469">
          <cell r="DO469" t="str">
            <v>FY3</v>
          </cell>
          <cell r="DS469">
            <v>9543.7000000000007</v>
          </cell>
          <cell r="EG469">
            <v>3053.9155000000001</v>
          </cell>
          <cell r="EI469">
            <v>0.31999282249022915</v>
          </cell>
          <cell r="EK469">
            <v>1883.9997532181274</v>
          </cell>
          <cell r="EM469">
            <v>0.19740768813124127</v>
          </cell>
          <cell r="EO469">
            <v>1736.9997532181274</v>
          </cell>
          <cell r="EQ469">
            <v>0.18200485694417545</v>
          </cell>
          <cell r="ET469">
            <v>879.0676753320173</v>
          </cell>
          <cell r="GE469" t="str">
            <v>FY3</v>
          </cell>
          <cell r="GF469" t="e">
            <v>#REF!</v>
          </cell>
          <cell r="GL469">
            <v>38754.028870010719</v>
          </cell>
          <cell r="GN469" t="e">
            <v>#REF!</v>
          </cell>
          <cell r="GP469" t="e">
            <v>#REF!</v>
          </cell>
        </row>
        <row r="473">
          <cell r="GA473" t="str">
            <v>JCDecaux</v>
          </cell>
          <cell r="GP473" t="str">
            <v>Derived from</v>
          </cell>
        </row>
        <row r="474">
          <cell r="GA474" t="str">
            <v>Implied Equity Value</v>
          </cell>
          <cell r="GP474" t="str">
            <v>multiple of:</v>
          </cell>
          <cell r="HA474" t="str">
            <v>FY1</v>
          </cell>
          <cell r="HD474" t="str">
            <v>FY2</v>
          </cell>
          <cell r="HG474" t="str">
            <v>Book</v>
          </cell>
          <cell r="HJ474" t="str">
            <v>Net Inc.</v>
          </cell>
        </row>
        <row r="475">
          <cell r="GF475" t="str">
            <v>Rev.</v>
          </cell>
          <cell r="GH475" t="str">
            <v>EBITDA - Capex</v>
          </cell>
          <cell r="GJ475" t="str">
            <v>FCF</v>
          </cell>
          <cell r="GL475" t="str">
            <v>EBITDA</v>
          </cell>
          <cell r="GN475" t="str">
            <v>EBITA</v>
          </cell>
          <cell r="GP475" t="str">
            <v>EBIT</v>
          </cell>
          <cell r="GT475" t="str">
            <v>EPS</v>
          </cell>
          <cell r="GV475" t="str">
            <v>Consensus EPS</v>
          </cell>
          <cell r="HA475" t="str">
            <v>EPS</v>
          </cell>
          <cell r="HD475" t="str">
            <v>EPS</v>
          </cell>
          <cell r="HG475" t="str">
            <v>Value</v>
          </cell>
          <cell r="HJ475" t="str">
            <v>+ DA</v>
          </cell>
        </row>
        <row r="477">
          <cell r="FW477" t="e">
            <v>#DIV/0!</v>
          </cell>
          <cell r="FY477" t="e">
            <v>#DIV/0!</v>
          </cell>
          <cell r="GE477" t="str">
            <v>LTM</v>
          </cell>
          <cell r="GF477">
            <v>12081.207097295273</v>
          </cell>
          <cell r="GH477">
            <v>20491.521852747253</v>
          </cell>
          <cell r="GJ477">
            <v>8718.6566457971931</v>
          </cell>
          <cell r="GL477">
            <v>19562.334410622403</v>
          </cell>
          <cell r="GN477">
            <v>17472.429679930217</v>
          </cell>
          <cell r="GP477">
            <v>21215.894136170653</v>
          </cell>
          <cell r="GT477">
            <v>37949.883031842823</v>
          </cell>
          <cell r="HA477">
            <v>0</v>
          </cell>
          <cell r="HD477">
            <v>0</v>
          </cell>
          <cell r="HG477">
            <v>0</v>
          </cell>
          <cell r="HJ477" t="e">
            <v>#DIV/0!</v>
          </cell>
        </row>
        <row r="478">
          <cell r="GE478" t="str">
            <v>LTM</v>
          </cell>
        </row>
        <row r="481">
          <cell r="GE481" t="str">
            <v>FY1</v>
          </cell>
          <cell r="GF481">
            <v>12862.542599147329</v>
          </cell>
          <cell r="GH481">
            <v>30788.326696328266</v>
          </cell>
          <cell r="GJ481">
            <v>29215.26781290245</v>
          </cell>
          <cell r="GL481">
            <v>22997.340001996396</v>
          </cell>
          <cell r="GN481">
            <v>21088.563003285206</v>
          </cell>
          <cell r="GP481">
            <v>34595.153631460402</v>
          </cell>
          <cell r="GT481">
            <v>18600.470168558251</v>
          </cell>
          <cell r="GV481">
            <v>17821.384613056522</v>
          </cell>
          <cell r="HA481">
            <v>0</v>
          </cell>
        </row>
        <row r="482">
          <cell r="GE482" t="str">
            <v>FY2</v>
          </cell>
          <cell r="GF482">
            <v>12446.312962185084</v>
          </cell>
          <cell r="GH482">
            <v>56505.347688266869</v>
          </cell>
          <cell r="GJ482">
            <v>53963.445396810712</v>
          </cell>
          <cell r="GL482">
            <v>26955.790536874061</v>
          </cell>
          <cell r="GN482">
            <v>28951.743006049583</v>
          </cell>
          <cell r="GP482">
            <v>41572.527796146285</v>
          </cell>
          <cell r="GT482">
            <v>20829.51040364779</v>
          </cell>
          <cell r="GV482">
            <v>17700.066918307955</v>
          </cell>
          <cell r="HD482">
            <v>0</v>
          </cell>
        </row>
        <row r="483">
          <cell r="GE483" t="str">
            <v>FY3</v>
          </cell>
          <cell r="GF483" t="e">
            <v>#REF!</v>
          </cell>
          <cell r="GK483">
            <v>-5762.0290000000005</v>
          </cell>
          <cell r="GL483">
            <v>32991.999870010717</v>
          </cell>
          <cell r="GN483" t="e">
            <v>#REF!</v>
          </cell>
          <cell r="GP483" t="e">
            <v>#REF!</v>
          </cell>
          <cell r="GT483">
            <v>28890.55407604104</v>
          </cell>
          <cell r="GV483">
            <v>26585.14223796417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ow r="326">
          <cell r="DK326" t="str">
            <v>Comparable Company Analysis</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dNot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etail-budget run1_ Updated"/>
      <sheetName val="BBD Aggregate FY"/>
      <sheetName val="BBD Aggregate Q4"/>
      <sheetName val="BBD Aggregate Q3"/>
      <sheetName val="BBD Aggregate Q2"/>
      <sheetName val="BBD Aggregate Q1"/>
      <sheetName val="Product Metrics &amp; LTV Tmpl-July"/>
      <sheetName val="F03_09 Variance Analysis-Unit"/>
      <sheetName val="F03_09 Variance Analysis_Agg"/>
      <sheetName val="LTV Table"/>
      <sheetName val="Allocations"/>
      <sheetName val="Executive Summary-Unit"/>
      <sheetName val="Executive Summary-2002,2003 UN"/>
      <sheetName val="Executive Summary-Aggregate"/>
      <sheetName val="Fcst Product P&amp;Ls"/>
      <sheetName val="Prod Profit - Unit"/>
      <sheetName val="Access Input-V.1_Updated"/>
      <sheetName val="Revenue Discount"/>
      <sheetName val="BD &amp; PP"/>
      <sheetName val="Variance Analysis"/>
      <sheetName val="Prod Profit - Aggregate-2002 "/>
      <sheetName val="Prod Profit - Aggregate-2003"/>
      <sheetName val="MAC Analysis Reconciliation"/>
      <sheetName val="MAC Analysis"/>
      <sheetName val="Fcst Product P&amp;Ls-2002 a"/>
      <sheetName val="BBD Aggregate FY OLD"/>
      <sheetName val="SAM Package"/>
      <sheetName val="Cust Supp-Version One"/>
      <sheetName val="SAM Calculations"/>
      <sheetName val="Pre-Post-Install"/>
      <sheetName val="Contigency to take out"/>
    </sheetNames>
    <sheetDataSet>
      <sheetData sheetId="0" refreshError="1">
        <row r="4">
          <cell r="E4" t="str">
            <v>B04_r1</v>
          </cell>
          <cell r="F4" t="str">
            <v>B04_r1</v>
          </cell>
          <cell r="G4" t="str">
            <v>B04_r1</v>
          </cell>
          <cell r="H4" t="str">
            <v>B04_r1</v>
          </cell>
          <cell r="I4" t="str">
            <v>B04_r1</v>
          </cell>
          <cell r="J4" t="str">
            <v>B04_r1</v>
          </cell>
          <cell r="K4" t="str">
            <v>B04_r1</v>
          </cell>
          <cell r="L4" t="str">
            <v>B04_r1</v>
          </cell>
          <cell r="M4" t="str">
            <v>B04_r1</v>
          </cell>
          <cell r="N4" t="str">
            <v>B04_r1</v>
          </cell>
        </row>
        <row r="5">
          <cell r="E5" t="str">
            <v>Jan 04</v>
          </cell>
          <cell r="F5" t="str">
            <v>Feb 04</v>
          </cell>
          <cell r="G5" t="str">
            <v>Mar 04</v>
          </cell>
          <cell r="H5" t="str">
            <v>Apr 04</v>
          </cell>
          <cell r="I5" t="str">
            <v>May 04</v>
          </cell>
          <cell r="J5" t="str">
            <v>Jun 04</v>
          </cell>
          <cell r="K5" t="str">
            <v>Jul 04</v>
          </cell>
          <cell r="L5" t="str">
            <v>Aug 04</v>
          </cell>
          <cell r="M5" t="str">
            <v>Sep 04</v>
          </cell>
          <cell r="N5" t="str">
            <v>Oct 04</v>
          </cell>
        </row>
        <row r="8">
          <cell r="E8">
            <v>3238319.7459</v>
          </cell>
          <cell r="F8">
            <v>3251494.9308000002</v>
          </cell>
          <cell r="G8">
            <v>3261293.3023000001</v>
          </cell>
          <cell r="H8">
            <v>3248902.8442000002</v>
          </cell>
          <cell r="I8">
            <v>3236867.3968000002</v>
          </cell>
          <cell r="J8">
            <v>3222754.9015000002</v>
          </cell>
          <cell r="K8">
            <v>3199583.8627999998</v>
          </cell>
          <cell r="L8">
            <v>3171520.3147999998</v>
          </cell>
          <cell r="M8">
            <v>3150878.1420999998</v>
          </cell>
          <cell r="N8">
            <v>3151436.7601000001</v>
          </cell>
        </row>
        <row r="9">
          <cell r="E9">
            <v>182047.962</v>
          </cell>
          <cell r="F9">
            <v>181360.7292</v>
          </cell>
          <cell r="G9">
            <v>180703.0901</v>
          </cell>
          <cell r="H9">
            <v>178881.74489999999</v>
          </cell>
          <cell r="I9">
            <v>177138.8309</v>
          </cell>
          <cell r="J9">
            <v>175470.9705</v>
          </cell>
          <cell r="K9">
            <v>172682.90640000001</v>
          </cell>
          <cell r="L9">
            <v>170014.9025</v>
          </cell>
          <cell r="M9">
            <v>167461.7886</v>
          </cell>
          <cell r="N9">
            <v>166210.64300000001</v>
          </cell>
        </row>
        <row r="10">
          <cell r="E10">
            <v>486303.27929999999</v>
          </cell>
          <cell r="F10">
            <v>549964.52110000001</v>
          </cell>
          <cell r="G10">
            <v>614099.79709999997</v>
          </cell>
          <cell r="H10">
            <v>693559.34950000001</v>
          </cell>
          <cell r="I10">
            <v>726454.06700000004</v>
          </cell>
          <cell r="J10">
            <v>768586.69700000004</v>
          </cell>
          <cell r="K10">
            <v>800443.82209999999</v>
          </cell>
          <cell r="L10">
            <v>833174.44180000003</v>
          </cell>
          <cell r="M10">
            <v>870459.47979999997</v>
          </cell>
          <cell r="N10">
            <v>914905.69720000005</v>
          </cell>
        </row>
        <row r="11">
          <cell r="E11">
            <v>138881.4639</v>
          </cell>
          <cell r="F11">
            <v>133539.86919999999</v>
          </cell>
          <cell r="G11">
            <v>128403.7203</v>
          </cell>
          <cell r="H11">
            <v>123465.11569999999</v>
          </cell>
          <cell r="I11">
            <v>118716.4574</v>
          </cell>
          <cell r="J11">
            <v>114150.43979999999</v>
          </cell>
          <cell r="K11">
            <v>109760.0383</v>
          </cell>
          <cell r="L11">
            <v>105538.4984</v>
          </cell>
          <cell r="M11">
            <v>101479.3253</v>
          </cell>
          <cell r="N11">
            <v>97576.274399999995</v>
          </cell>
        </row>
        <row r="12">
          <cell r="E12">
            <v>4045552.4511000002</v>
          </cell>
          <cell r="F12">
            <v>4116360.0502999998</v>
          </cell>
          <cell r="G12">
            <v>4184499.9098</v>
          </cell>
          <cell r="H12">
            <v>4244809.0543</v>
          </cell>
          <cell r="I12">
            <v>4259176.7521000002</v>
          </cell>
          <cell r="J12">
            <v>4280963.0088</v>
          </cell>
          <cell r="K12">
            <v>4282470.6295999996</v>
          </cell>
          <cell r="L12">
            <v>4280248.1574999997</v>
          </cell>
          <cell r="M12">
            <v>4290278.7357999999</v>
          </cell>
          <cell r="N12">
            <v>4330129.3746999996</v>
          </cell>
        </row>
        <row r="14">
          <cell r="E14">
            <v>342553.74959999998</v>
          </cell>
          <cell r="F14">
            <v>345579.06829999998</v>
          </cell>
          <cell r="G14">
            <v>348643.2475</v>
          </cell>
          <cell r="H14">
            <v>351580.88650000002</v>
          </cell>
          <cell r="I14">
            <v>354177.0808</v>
          </cell>
          <cell r="J14">
            <v>356670.07010000001</v>
          </cell>
          <cell r="K14">
            <v>359255.99560000002</v>
          </cell>
          <cell r="L14">
            <v>361637.77990000002</v>
          </cell>
          <cell r="M14">
            <v>364016.48859999998</v>
          </cell>
          <cell r="N14">
            <v>366592.71879999997</v>
          </cell>
        </row>
        <row r="15">
          <cell r="E15">
            <v>3343.0853000000002</v>
          </cell>
          <cell r="F15">
            <v>3357.9985999999999</v>
          </cell>
          <cell r="G15">
            <v>3372.7375000000002</v>
          </cell>
          <cell r="H15">
            <v>3386.9576999999999</v>
          </cell>
          <cell r="I15">
            <v>3399.2892000000002</v>
          </cell>
          <cell r="J15">
            <v>3410.8984</v>
          </cell>
          <cell r="K15">
            <v>3421.8220000000001</v>
          </cell>
          <cell r="L15">
            <v>3431.9184</v>
          </cell>
          <cell r="M15">
            <v>3441.0998</v>
          </cell>
          <cell r="N15">
            <v>3449.6100999999999</v>
          </cell>
        </row>
        <row r="16">
          <cell r="E16">
            <v>358323.91249999998</v>
          </cell>
          <cell r="F16">
            <v>378075.92969999998</v>
          </cell>
          <cell r="G16">
            <v>397511.1</v>
          </cell>
          <cell r="H16">
            <v>416638.04359999998</v>
          </cell>
          <cell r="I16">
            <v>435458.77169999998</v>
          </cell>
          <cell r="J16">
            <v>453978.25309999997</v>
          </cell>
          <cell r="K16">
            <v>472201.79399999999</v>
          </cell>
          <cell r="L16">
            <v>490134.4339</v>
          </cell>
          <cell r="M16">
            <v>507780.25</v>
          </cell>
          <cell r="N16">
            <v>525143.94709999999</v>
          </cell>
        </row>
        <row r="17">
          <cell r="E17">
            <v>2901.7420000000002</v>
          </cell>
          <cell r="F17">
            <v>3133.4331999999999</v>
          </cell>
          <cell r="G17">
            <v>3311.248</v>
          </cell>
          <cell r="H17">
            <v>3436.3359</v>
          </cell>
          <cell r="I17">
            <v>3632.1549</v>
          </cell>
          <cell r="J17">
            <v>3774.8629000000001</v>
          </cell>
          <cell r="K17">
            <v>3890.0596</v>
          </cell>
          <cell r="L17">
            <v>4051.7318</v>
          </cell>
          <cell r="M17">
            <v>4185.4881999999998</v>
          </cell>
          <cell r="N17">
            <v>4291.9242000000004</v>
          </cell>
        </row>
        <row r="18">
          <cell r="E18">
            <v>13337.3068</v>
          </cell>
          <cell r="F18">
            <v>13371.9535</v>
          </cell>
          <cell r="G18">
            <v>13327.077600000001</v>
          </cell>
          <cell r="H18">
            <v>13307.304899999999</v>
          </cell>
          <cell r="I18">
            <v>13311.4401</v>
          </cell>
          <cell r="J18">
            <v>13207.407499999999</v>
          </cell>
          <cell r="K18">
            <v>13081.174999999999</v>
          </cell>
          <cell r="L18">
            <v>13065.433999999999</v>
          </cell>
          <cell r="M18">
            <v>13024.9743</v>
          </cell>
          <cell r="N18">
            <v>12936.2343</v>
          </cell>
        </row>
        <row r="19">
          <cell r="E19">
            <v>14631.593500000001</v>
          </cell>
          <cell r="F19">
            <v>14342.266799999999</v>
          </cell>
          <cell r="G19">
            <v>14063.290999999999</v>
          </cell>
          <cell r="H19">
            <v>13794.0005</v>
          </cell>
          <cell r="I19">
            <v>13533.4133</v>
          </cell>
          <cell r="J19">
            <v>13281.7628</v>
          </cell>
          <cell r="K19">
            <v>13038.7341</v>
          </cell>
          <cell r="L19">
            <v>12803.933800000001</v>
          </cell>
          <cell r="M19">
            <v>12577.029399999999</v>
          </cell>
          <cell r="N19">
            <v>12357.8349</v>
          </cell>
        </row>
        <row r="20">
          <cell r="E20">
            <v>664.93629999999996</v>
          </cell>
          <cell r="F20">
            <v>650.74990000000003</v>
          </cell>
          <cell r="G20">
            <v>636.86620000000005</v>
          </cell>
          <cell r="H20">
            <v>623.27880000000005</v>
          </cell>
          <cell r="I20">
            <v>609.98119999999994</v>
          </cell>
          <cell r="J20">
            <v>596.96730000000002</v>
          </cell>
          <cell r="K20">
            <v>584.23099999999999</v>
          </cell>
          <cell r="L20">
            <v>571.76649999999995</v>
          </cell>
          <cell r="M20">
            <v>559.56799999999998</v>
          </cell>
          <cell r="N20">
            <v>547.62959999999998</v>
          </cell>
        </row>
        <row r="21">
          <cell r="E21">
            <v>269138.1202</v>
          </cell>
          <cell r="F21">
            <v>280402.51429999998</v>
          </cell>
          <cell r="G21">
            <v>291221.11979999999</v>
          </cell>
          <cell r="H21">
            <v>301208.29330000002</v>
          </cell>
          <cell r="I21">
            <v>311676.1925</v>
          </cell>
          <cell r="J21">
            <v>322194.34240000002</v>
          </cell>
          <cell r="K21">
            <v>330945.3455</v>
          </cell>
          <cell r="L21">
            <v>339430.01150000002</v>
          </cell>
          <cell r="M21">
            <v>347697.9987</v>
          </cell>
          <cell r="N21">
            <v>358186.50290000002</v>
          </cell>
        </row>
        <row r="22">
          <cell r="E22">
            <v>80572.687699999995</v>
          </cell>
          <cell r="F22">
            <v>85824.884300000005</v>
          </cell>
          <cell r="G22">
            <v>90932.165299999993</v>
          </cell>
          <cell r="H22">
            <v>95915.188099999999</v>
          </cell>
          <cell r="I22">
            <v>100709.31510000001</v>
          </cell>
          <cell r="J22">
            <v>105364.2395</v>
          </cell>
          <cell r="K22">
            <v>106616.7475</v>
          </cell>
          <cell r="L22">
            <v>107809.4985</v>
          </cell>
          <cell r="M22">
            <v>108954.886</v>
          </cell>
          <cell r="N22">
            <v>113524.1032</v>
          </cell>
        </row>
        <row r="23">
          <cell r="E23">
            <v>5147.2707</v>
          </cell>
          <cell r="F23">
            <v>4999.6801999999998</v>
          </cell>
          <cell r="G23">
            <v>4859.4050999999999</v>
          </cell>
          <cell r="H23">
            <v>4739.8586999999998</v>
          </cell>
          <cell r="I23">
            <v>4627.8558999999996</v>
          </cell>
          <cell r="J23">
            <v>4522.87</v>
          </cell>
          <cell r="K23">
            <v>4429.8562000000002</v>
          </cell>
          <cell r="L23">
            <v>4344.4767000000002</v>
          </cell>
          <cell r="M23">
            <v>4265.0117</v>
          </cell>
          <cell r="N23">
            <v>4195.3032000000003</v>
          </cell>
        </row>
        <row r="24">
          <cell r="E24">
            <v>32948.555</v>
          </cell>
          <cell r="F24">
            <v>35027.940300000002</v>
          </cell>
          <cell r="G24">
            <v>37062.563900000001</v>
          </cell>
          <cell r="H24">
            <v>40252.8387</v>
          </cell>
          <cell r="I24">
            <v>43377.495699999999</v>
          </cell>
          <cell r="J24">
            <v>46437.8845</v>
          </cell>
          <cell r="K24">
            <v>49483.792999999998</v>
          </cell>
          <cell r="L24">
            <v>52469.977899999998</v>
          </cell>
          <cell r="M24">
            <v>55397.610099999998</v>
          </cell>
          <cell r="N24">
            <v>58325.019099999998</v>
          </cell>
        </row>
        <row r="25">
          <cell r="E25">
            <v>1123562.9595999999</v>
          </cell>
          <cell r="F25">
            <v>1164766.4191000001</v>
          </cell>
          <cell r="G25">
            <v>1204940.8219000001</v>
          </cell>
          <cell r="H25">
            <v>1244882.9867</v>
          </cell>
          <cell r="I25">
            <v>1284512.9904</v>
          </cell>
          <cell r="J25">
            <v>1323439.5585</v>
          </cell>
          <cell r="K25">
            <v>1356949.5534999999</v>
          </cell>
          <cell r="L25">
            <v>1389750.9628999999</v>
          </cell>
          <cell r="M25">
            <v>1421900.4047999999</v>
          </cell>
          <cell r="N25">
            <v>1459550.8274000001</v>
          </cell>
        </row>
        <row r="26">
          <cell r="E26">
            <v>161128.58960000001</v>
          </cell>
          <cell r="F26">
            <v>160913.8149</v>
          </cell>
          <cell r="G26">
            <v>160909.07879999999</v>
          </cell>
          <cell r="H26">
            <v>160521.84109999999</v>
          </cell>
          <cell r="I26">
            <v>160121.54209999999</v>
          </cell>
          <cell r="J26">
            <v>159465.1594</v>
          </cell>
          <cell r="K26">
            <v>158960.05129999999</v>
          </cell>
          <cell r="L26">
            <v>158157.66329999999</v>
          </cell>
          <cell r="M26">
            <v>157377.9645</v>
          </cell>
          <cell r="N26">
            <v>156814.658</v>
          </cell>
        </row>
        <row r="28">
          <cell r="E28">
            <v>19312.955359193918</v>
          </cell>
          <cell r="F28">
            <v>18821.581785993189</v>
          </cell>
          <cell r="G28">
            <v>18346.824710436929</v>
          </cell>
          <cell r="H28">
            <v>17948.393783192176</v>
          </cell>
          <cell r="I28">
            <v>17564.363973799642</v>
          </cell>
          <cell r="J28">
            <v>17194.214759927319</v>
          </cell>
          <cell r="K28">
            <v>16743.624435009617</v>
          </cell>
          <cell r="L28">
            <v>16310.364507204133</v>
          </cell>
          <cell r="M28">
            <v>15893.768422775782</v>
          </cell>
          <cell r="N28">
            <v>15434.003293032711</v>
          </cell>
        </row>
        <row r="29">
          <cell r="E29">
            <v>7750.4609630945279</v>
          </cell>
          <cell r="F29">
            <v>7750.4609630945279</v>
          </cell>
          <cell r="G29">
            <v>7750.4609630945279</v>
          </cell>
          <cell r="H29">
            <v>7750.4609630945279</v>
          </cell>
          <cell r="I29">
            <v>7750.4609630945279</v>
          </cell>
          <cell r="J29">
            <v>7750.4609630945279</v>
          </cell>
          <cell r="K29">
            <v>7750.4609630945279</v>
          </cell>
          <cell r="L29">
            <v>7750.4609630945279</v>
          </cell>
          <cell r="M29">
            <v>7750.4609630945279</v>
          </cell>
          <cell r="N29">
            <v>7750.4609630945279</v>
          </cell>
        </row>
        <row r="30">
          <cell r="E30">
            <v>530.56784204257087</v>
          </cell>
          <cell r="F30">
            <v>491.80559809443315</v>
          </cell>
          <cell r="G30">
            <v>455.91463147578713</v>
          </cell>
          <cell r="H30">
            <v>422.68225497704077</v>
          </cell>
          <cell r="I30">
            <v>391.91153599672009</v>
          </cell>
          <cell r="J30">
            <v>363.42012953346023</v>
          </cell>
          <cell r="K30">
            <v>337.0391976230344</v>
          </cell>
          <cell r="L30">
            <v>312.61240881708454</v>
          </cell>
          <cell r="M30">
            <v>289.9950117745384</v>
          </cell>
          <cell r="N30">
            <v>269.05297747588457</v>
          </cell>
        </row>
        <row r="31">
          <cell r="E31">
            <v>20241.172003654294</v>
          </cell>
          <cell r="F31">
            <v>19279.35129205916</v>
          </cell>
          <cell r="G31">
            <v>18363.33156673046</v>
          </cell>
          <cell r="H31">
            <v>17490.931828322173</v>
          </cell>
          <cell r="I31">
            <v>16660.074934599998</v>
          </cell>
          <cell r="J31">
            <v>15868.782654864592</v>
          </cell>
          <cell r="K31">
            <v>15115.170959878491</v>
          </cell>
          <cell r="L31">
            <v>14397.445536082205</v>
          </cell>
          <cell r="M31">
            <v>13713.897513419075</v>
          </cell>
          <cell r="N31">
            <v>13062.899396597046</v>
          </cell>
        </row>
        <row r="32">
          <cell r="E32">
            <v>1991.1977032491354</v>
          </cell>
          <cell r="F32">
            <v>1818.7433865605065</v>
          </cell>
          <cell r="G32">
            <v>1661.9667350253892</v>
          </cell>
          <cell r="H32">
            <v>1519.4425063571007</v>
          </cell>
          <cell r="I32">
            <v>1389.8750257495658</v>
          </cell>
          <cell r="J32">
            <v>1272.0864070154432</v>
          </cell>
          <cell r="K32">
            <v>1272.0864070154432</v>
          </cell>
          <cell r="L32">
            <v>1272.0864070154432</v>
          </cell>
          <cell r="M32">
            <v>1272.0864070154432</v>
          </cell>
          <cell r="N32">
            <v>1272.0864070154432</v>
          </cell>
        </row>
        <row r="33">
          <cell r="B33" t="str">
            <v>E3</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row>
        <row r="34">
          <cell r="B34" t="str">
            <v>Verizon</v>
          </cell>
          <cell r="E34">
            <v>4721.0471095700914</v>
          </cell>
          <cell r="F34">
            <v>4584.0596195481394</v>
          </cell>
          <cell r="G34">
            <v>4451.0620564200308</v>
          </cell>
          <cell r="H34">
            <v>4321.9382087228387</v>
          </cell>
          <cell r="I34">
            <v>4196.5752497935255</v>
          </cell>
          <cell r="J34">
            <v>4074.8636391825416</v>
          </cell>
          <cell r="K34">
            <v>4074.8636391825416</v>
          </cell>
          <cell r="L34">
            <v>4074.8636391825416</v>
          </cell>
          <cell r="M34">
            <v>4074.8636391825416</v>
          </cell>
          <cell r="N34">
            <v>4074.8636391825416</v>
          </cell>
          <cell r="O34">
            <v>4074.8636391825416</v>
          </cell>
          <cell r="P34">
            <v>4074.8636391825416</v>
          </cell>
          <cell r="Q34">
            <v>4451.0620564200308</v>
          </cell>
          <cell r="R34">
            <v>4074.8636391825416</v>
          </cell>
          <cell r="S34">
            <v>4074.8636391825416</v>
          </cell>
          <cell r="T34">
            <v>4074.8636391825416</v>
          </cell>
          <cell r="U34">
            <v>4074.8636391825416</v>
          </cell>
        </row>
        <row r="35">
          <cell r="B35" t="str">
            <v>Palm OS - GA</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row>
        <row r="36">
          <cell r="B36" t="str">
            <v>Pocket PC (Jornada &amp; Ipaq)</v>
          </cell>
          <cell r="E36">
            <v>995.39445827922168</v>
          </cell>
          <cell r="F36">
            <v>893.16958363523463</v>
          </cell>
          <cell r="G36">
            <v>800.23787941342823</v>
          </cell>
          <cell r="H36">
            <v>715.75451193905883</v>
          </cell>
          <cell r="I36">
            <v>638.951450598723</v>
          </cell>
          <cell r="J36">
            <v>569.13048574387221</v>
          </cell>
          <cell r="K36">
            <v>569.13048574387221</v>
          </cell>
          <cell r="L36">
            <v>569.13048574387221</v>
          </cell>
          <cell r="M36">
            <v>569.13048574387221</v>
          </cell>
          <cell r="N36">
            <v>569.13048574387221</v>
          </cell>
          <cell r="O36">
            <v>569.13048574387221</v>
          </cell>
          <cell r="P36">
            <v>569.13048574387221</v>
          </cell>
          <cell r="Q36">
            <v>800.23787941342823</v>
          </cell>
          <cell r="R36">
            <v>569.13048574387221</v>
          </cell>
          <cell r="S36">
            <v>569.13048574387221</v>
          </cell>
          <cell r="T36">
            <v>569.13048574387221</v>
          </cell>
          <cell r="U36">
            <v>569.13048574387221</v>
          </cell>
        </row>
        <row r="37">
          <cell r="B37" t="str">
            <v>Jornada - Go America</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row>
        <row r="38">
          <cell r="B38" t="str">
            <v>1x Laptop Card</v>
          </cell>
          <cell r="E38">
            <v>2232.8543568398882</v>
          </cell>
          <cell r="F38">
            <v>2448.4808826599547</v>
          </cell>
          <cell r="G38">
            <v>2657.8270242328349</v>
          </cell>
          <cell r="H38">
            <v>2918.3572587696117</v>
          </cell>
          <cell r="I38">
            <v>3344.1147680286181</v>
          </cell>
          <cell r="J38">
            <v>3933.1997284742556</v>
          </cell>
          <cell r="K38">
            <v>4608.0394958972047</v>
          </cell>
          <cell r="L38">
            <v>5266.136357472883</v>
          </cell>
          <cell r="M38">
            <v>5907.9779706531535</v>
          </cell>
          <cell r="N38">
            <v>6559.280507721377</v>
          </cell>
          <cell r="O38">
            <v>7194.5256893410115</v>
          </cell>
          <cell r="P38">
            <v>7814.1812054765796</v>
          </cell>
          <cell r="Q38">
            <v>2657.8270242328349</v>
          </cell>
          <cell r="R38">
            <v>3933.1997284742556</v>
          </cell>
          <cell r="S38">
            <v>5907.9779706531535</v>
          </cell>
          <cell r="T38">
            <v>7814.1812054765796</v>
          </cell>
          <cell r="U38">
            <v>7814.1812054765796</v>
          </cell>
        </row>
        <row r="39">
          <cell r="B39" t="str">
            <v>1x Laptop Card - Go America</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row>
        <row r="40">
          <cell r="B40" t="str">
            <v>Boingo</v>
          </cell>
          <cell r="E40">
            <v>468.82415414959792</v>
          </cell>
          <cell r="F40">
            <v>606.68989181051086</v>
          </cell>
          <cell r="G40">
            <v>739.25310109985014</v>
          </cell>
          <cell r="H40">
            <v>921.28182798062517</v>
          </cell>
          <cell r="I40">
            <v>1096.3094499813706</v>
          </cell>
          <cell r="J40">
            <v>1264.6052403667027</v>
          </cell>
          <cell r="K40">
            <v>1410.8383721474706</v>
          </cell>
          <cell r="L40">
            <v>1551.4471527059013</v>
          </cell>
          <cell r="M40">
            <v>1686.647903242854</v>
          </cell>
          <cell r="N40">
            <v>1840.033240297616</v>
          </cell>
          <cell r="O40">
            <v>1987.5191413118102</v>
          </cell>
          <cell r="P40">
            <v>2129.3325076716128</v>
          </cell>
          <cell r="Q40">
            <v>739.25310109985014</v>
          </cell>
          <cell r="R40">
            <v>1264.6052403667027</v>
          </cell>
          <cell r="S40">
            <v>1686.647903242854</v>
          </cell>
          <cell r="T40">
            <v>2129.3325076716128</v>
          </cell>
          <cell r="U40">
            <v>2129.3325076716128</v>
          </cell>
        </row>
        <row r="41">
          <cell r="B41" t="str">
            <v xml:space="preserve">Laptop CDPD </v>
          </cell>
          <cell r="E41">
            <v>713.46225081113323</v>
          </cell>
          <cell r="F41">
            <v>713.46225081113323</v>
          </cell>
          <cell r="G41">
            <v>713.46225081113323</v>
          </cell>
          <cell r="H41">
            <v>713.46225081113323</v>
          </cell>
          <cell r="I41">
            <v>713.46225081113323</v>
          </cell>
          <cell r="J41">
            <v>713.46225081113323</v>
          </cell>
          <cell r="K41">
            <v>713.46225081113323</v>
          </cell>
          <cell r="L41">
            <v>713.46225081113323</v>
          </cell>
          <cell r="M41">
            <v>713.46225081113323</v>
          </cell>
          <cell r="N41">
            <v>713.46225081113323</v>
          </cell>
          <cell r="O41">
            <v>713.46225081113323</v>
          </cell>
          <cell r="P41">
            <v>713.46225081113323</v>
          </cell>
          <cell r="Q41">
            <v>713.46225081113323</v>
          </cell>
          <cell r="R41">
            <v>713.46225081113323</v>
          </cell>
          <cell r="S41">
            <v>713.46225081113323</v>
          </cell>
          <cell r="T41">
            <v>713.46225081113323</v>
          </cell>
          <cell r="U41">
            <v>713.46225081113323</v>
          </cell>
        </row>
        <row r="42">
          <cell r="B42" t="str">
            <v>Go America</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row>
        <row r="43">
          <cell r="B43" t="str">
            <v>Handspring</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row>
        <row r="44">
          <cell r="E44">
            <v>0</v>
          </cell>
          <cell r="F44">
            <v>0</v>
          </cell>
          <cell r="G44">
            <v>0</v>
          </cell>
          <cell r="H44">
            <v>0</v>
          </cell>
          <cell r="I44">
            <v>0</v>
          </cell>
          <cell r="J44">
            <v>0</v>
          </cell>
          <cell r="K44">
            <v>0</v>
          </cell>
          <cell r="L44">
            <v>0</v>
          </cell>
          <cell r="M44">
            <v>0</v>
          </cell>
          <cell r="N44">
            <v>130.53033400315252</v>
          </cell>
        </row>
        <row r="45">
          <cell r="E45">
            <v>0</v>
          </cell>
          <cell r="F45">
            <v>0</v>
          </cell>
          <cell r="G45">
            <v>0</v>
          </cell>
          <cell r="H45">
            <v>0</v>
          </cell>
          <cell r="I45">
            <v>0</v>
          </cell>
          <cell r="J45">
            <v>0</v>
          </cell>
          <cell r="K45">
            <v>0</v>
          </cell>
          <cell r="L45">
            <v>0</v>
          </cell>
          <cell r="M45">
            <v>0</v>
          </cell>
          <cell r="N45">
            <v>242.71844660194174</v>
          </cell>
        </row>
        <row r="46">
          <cell r="E46">
            <v>0</v>
          </cell>
          <cell r="F46">
            <v>0</v>
          </cell>
          <cell r="G46">
            <v>121.35922330097087</v>
          </cell>
          <cell r="H46">
            <v>481.9021585446319</v>
          </cell>
          <cell r="I46">
            <v>886.79821217925428</v>
          </cell>
          <cell r="J46">
            <v>1342.5225360963634</v>
          </cell>
          <cell r="K46">
            <v>1857.3034331032654</v>
          </cell>
          <cell r="L46">
            <v>2440.1004204886071</v>
          </cell>
          <cell r="M46">
            <v>3101.5538062996184</v>
          </cell>
          <cell r="N46">
            <v>3853.4502973782701</v>
          </cell>
        </row>
        <row r="47">
          <cell r="B47" t="str">
            <v>ELNK Wireless</v>
          </cell>
          <cell r="E47">
            <v>58957.936399999999</v>
          </cell>
          <cell r="F47">
            <v>57407.805399999997</v>
          </cell>
          <cell r="G47">
            <v>56061.700199999999</v>
          </cell>
          <cell r="H47">
            <v>55204.6077</v>
          </cell>
          <cell r="I47">
            <v>54632.897799999999</v>
          </cell>
          <cell r="J47">
            <v>54346.748800000001</v>
          </cell>
          <cell r="K47">
            <v>54452.019699999997</v>
          </cell>
          <cell r="L47">
            <v>54658.110200000003</v>
          </cell>
          <cell r="M47">
            <v>54973.844400000002</v>
          </cell>
          <cell r="N47">
            <v>55771.972199999997</v>
          </cell>
          <cell r="O47">
            <v>56935.656600000002</v>
          </cell>
          <cell r="P47">
            <v>58627.779000000002</v>
          </cell>
          <cell r="Q47">
            <v>56061.700199999999</v>
          </cell>
          <cell r="R47">
            <v>54346.748800000001</v>
          </cell>
          <cell r="S47">
            <v>54973.844400000002</v>
          </cell>
          <cell r="T47">
            <v>58627.779000000002</v>
          </cell>
          <cell r="U47">
            <v>58627.779000000002</v>
          </cell>
        </row>
        <row r="48">
          <cell r="B48" t="str">
            <v>ACC</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row>
        <row r="49">
          <cell r="C49" t="str">
            <v>Total Ending Subscribers</v>
          </cell>
          <cell r="E49">
            <v>5389201.9367000004</v>
          </cell>
          <cell r="F49">
            <v>5499448.0897000004</v>
          </cell>
          <cell r="G49">
            <v>5606411.5107000005</v>
          </cell>
          <cell r="H49">
            <v>5705418.4897999996</v>
          </cell>
          <cell r="I49">
            <v>5758444.1824000003</v>
          </cell>
          <cell r="J49">
            <v>5818214.4754999997</v>
          </cell>
          <cell r="K49">
            <v>5852832.2540999996</v>
          </cell>
          <cell r="L49">
            <v>5882814.8938999996</v>
          </cell>
          <cell r="M49">
            <v>5924530.9495000001</v>
          </cell>
          <cell r="N49">
            <v>6002266.8322999999</v>
          </cell>
          <cell r="O49">
            <v>6069043.9945999999</v>
          </cell>
          <cell r="P49">
            <v>6145967.1083000004</v>
          </cell>
          <cell r="Q49">
            <v>5606411.5107000005</v>
          </cell>
          <cell r="R49">
            <v>5818214.4754999997</v>
          </cell>
          <cell r="S49">
            <v>5924530.9495000001</v>
          </cell>
          <cell r="T49">
            <v>6145967.1083000004</v>
          </cell>
          <cell r="U49">
            <v>6145967.1083000004</v>
          </cell>
        </row>
        <row r="50">
          <cell r="E50">
            <v>93338.997300000003</v>
          </cell>
          <cell r="F50">
            <v>124471.5505</v>
          </cell>
          <cell r="G50">
            <v>122346.9479</v>
          </cell>
          <cell r="H50">
            <v>113739.2393</v>
          </cell>
          <cell r="I50">
            <v>68148.814499999993</v>
          </cell>
          <cell r="J50">
            <v>74685.985799999995</v>
          </cell>
          <cell r="K50">
            <v>48749.208100000003</v>
          </cell>
          <cell r="L50">
            <v>44108.516100000001</v>
          </cell>
          <cell r="M50">
            <v>56168.3197</v>
          </cell>
          <cell r="N50">
            <v>93159.043099999995</v>
          </cell>
        </row>
        <row r="51">
          <cell r="C51" t="str">
            <v>Gross Adds</v>
          </cell>
          <cell r="E51">
            <v>308746.75579999998</v>
          </cell>
          <cell r="F51">
            <v>344322.39140000002</v>
          </cell>
          <cell r="G51">
            <v>348415.99290000001</v>
          </cell>
          <cell r="H51">
            <v>341803.78590000002</v>
          </cell>
          <cell r="I51">
            <v>299938.13419999997</v>
          </cell>
          <cell r="J51">
            <v>305444.16560000001</v>
          </cell>
          <cell r="K51">
            <v>278156.15879999998</v>
          </cell>
          <cell r="L51">
            <v>272298.7488</v>
          </cell>
          <cell r="M51">
            <v>282819.42009999999</v>
          </cell>
          <cell r="N51">
            <v>320582.49280000001</v>
          </cell>
          <cell r="O51">
            <v>311938.48320000002</v>
          </cell>
          <cell r="P51">
            <v>323513.05949999997</v>
          </cell>
          <cell r="Q51">
            <v>1001485.1401</v>
          </cell>
          <cell r="R51">
            <v>947186.08570000005</v>
          </cell>
          <cell r="S51">
            <v>833274.32770000002</v>
          </cell>
          <cell r="T51">
            <v>956034.0355</v>
          </cell>
          <cell r="U51">
            <v>3737979.5890000002</v>
          </cell>
        </row>
        <row r="52">
          <cell r="C52" t="str">
            <v>Cannibalization</v>
          </cell>
          <cell r="E52">
            <v>-4070.5551</v>
          </cell>
          <cell r="F52">
            <v>-4296.6832000000004</v>
          </cell>
          <cell r="G52">
            <v>-5229.2214999999997</v>
          </cell>
          <cell r="H52">
            <v>-4242.6314000000002</v>
          </cell>
          <cell r="I52">
            <v>-4219.3485000000001</v>
          </cell>
          <cell r="J52">
            <v>-3748.59</v>
          </cell>
          <cell r="K52">
            <v>-2674.5749999999998</v>
          </cell>
          <cell r="L52">
            <v>-2428.8634000000002</v>
          </cell>
          <cell r="M52">
            <v>-2519.3571999999999</v>
          </cell>
          <cell r="N52">
            <v>-3278.3361</v>
          </cell>
          <cell r="O52">
            <v>-3165.1046999999999</v>
          </cell>
          <cell r="P52">
            <v>-3077.7905000000001</v>
          </cell>
          <cell r="Q52">
            <v>-13596.459800000001</v>
          </cell>
          <cell r="R52">
            <v>-12210.5699</v>
          </cell>
          <cell r="S52">
            <v>-7622.7956000000004</v>
          </cell>
          <cell r="T52">
            <v>-9521.2312999999995</v>
          </cell>
          <cell r="U52">
            <v>-42951.056600000004</v>
          </cell>
        </row>
        <row r="53">
          <cell r="C53" t="str">
            <v>Churn</v>
          </cell>
          <cell r="E53">
            <v>-215407.7585</v>
          </cell>
          <cell r="F53">
            <v>-219850.84090000001</v>
          </cell>
          <cell r="G53">
            <v>-226069.04500000001</v>
          </cell>
          <cell r="H53">
            <v>-228064.5466</v>
          </cell>
          <cell r="I53">
            <v>-231789.31969999999</v>
          </cell>
          <cell r="J53">
            <v>-230758.17980000001</v>
          </cell>
          <cell r="K53">
            <v>-229406.95069999999</v>
          </cell>
          <cell r="L53">
            <v>-228190.23269999999</v>
          </cell>
          <cell r="M53">
            <v>-226651.1004</v>
          </cell>
          <cell r="N53">
            <v>-227423.4497</v>
          </cell>
          <cell r="O53">
            <v>-229558.30590000001</v>
          </cell>
          <cell r="P53">
            <v>-230772.15900000001</v>
          </cell>
          <cell r="Q53">
            <v>-661327.64439999999</v>
          </cell>
          <cell r="R53">
            <v>-690612.04610000004</v>
          </cell>
          <cell r="S53">
            <v>-684248.28379999998</v>
          </cell>
          <cell r="T53">
            <v>-687753.91460000002</v>
          </cell>
          <cell r="U53">
            <v>-2723941.8889000001</v>
          </cell>
        </row>
        <row r="54">
          <cell r="E54">
            <v>-3.9969999999999999E-2</v>
          </cell>
          <cell r="F54">
            <v>-3.9976999999999999E-2</v>
          </cell>
          <cell r="G54">
            <v>-4.0322999999999998E-2</v>
          </cell>
          <cell r="H54">
            <v>-3.9973000000000002E-2</v>
          </cell>
          <cell r="I54">
            <v>-4.0252000000000003E-2</v>
          </cell>
          <cell r="J54">
            <v>-3.9661000000000002E-2</v>
          </cell>
          <cell r="K54">
            <v>-3.9196000000000002E-2</v>
          </cell>
          <cell r="L54">
            <v>-3.8788999999999997E-2</v>
          </cell>
          <cell r="M54">
            <v>-3.8255999999999998E-2</v>
          </cell>
          <cell r="N54">
            <v>-3.789E-2</v>
          </cell>
        </row>
        <row r="56">
          <cell r="A56" t="str">
            <v>Revenue</v>
          </cell>
        </row>
        <row r="57">
          <cell r="A57" t="str">
            <v>Narrowband</v>
          </cell>
        </row>
        <row r="58">
          <cell r="E58">
            <v>67951.23616</v>
          </cell>
          <cell r="F58">
            <v>67254.257645000005</v>
          </cell>
          <cell r="G58">
            <v>66744.948902999997</v>
          </cell>
          <cell r="H58">
            <v>66343.859945999997</v>
          </cell>
          <cell r="I58">
            <v>66040.747015000001</v>
          </cell>
          <cell r="J58">
            <v>65700.560471000004</v>
          </cell>
          <cell r="K58">
            <v>65367.411381999998</v>
          </cell>
          <cell r="L58">
            <v>65123.351995999998</v>
          </cell>
          <cell r="M58">
            <v>64817.015307000001</v>
          </cell>
          <cell r="N58">
            <v>64552.449843000002</v>
          </cell>
        </row>
        <row r="59">
          <cell r="B59" t="str">
            <v>People PC</v>
          </cell>
          <cell r="E59">
            <v>5796.0605020000003</v>
          </cell>
          <cell r="F59">
            <v>6089.9616720000004</v>
          </cell>
          <cell r="G59">
            <v>6440.3247680000004</v>
          </cell>
          <cell r="H59">
            <v>6915.3110239999996</v>
          </cell>
          <cell r="I59">
            <v>7475.9266090000001</v>
          </cell>
          <cell r="J59">
            <v>8050.3843219999999</v>
          </cell>
          <cell r="K59">
            <v>8612.2351920000001</v>
          </cell>
          <cell r="L59">
            <v>9152.8063409999995</v>
          </cell>
          <cell r="M59">
            <v>9703.9749150000007</v>
          </cell>
          <cell r="N59">
            <v>10244.339282000001</v>
          </cell>
          <cell r="O59">
            <v>10684.877251</v>
          </cell>
          <cell r="P59">
            <v>11105.889031000001</v>
          </cell>
          <cell r="Q59">
            <v>18326.346942</v>
          </cell>
          <cell r="R59">
            <v>22441.621954999999</v>
          </cell>
          <cell r="S59">
            <v>27469.016447000002</v>
          </cell>
          <cell r="T59">
            <v>32035.105564000001</v>
          </cell>
          <cell r="U59">
            <v>100272.09090700001</v>
          </cell>
        </row>
        <row r="60">
          <cell r="B60" t="str">
            <v>Mailstation</v>
          </cell>
          <cell r="E60">
            <v>1582.332062</v>
          </cell>
          <cell r="F60">
            <v>1529.1443939999999</v>
          </cell>
          <cell r="G60">
            <v>1477.5981139999999</v>
          </cell>
          <cell r="H60">
            <v>1428.5634660000001</v>
          </cell>
          <cell r="I60">
            <v>1381.1968079999999</v>
          </cell>
          <cell r="J60">
            <v>1335.620889</v>
          </cell>
          <cell r="K60">
            <v>1291.8912459999999</v>
          </cell>
          <cell r="L60">
            <v>1249.7916270000001</v>
          </cell>
          <cell r="M60">
            <v>1209.3146959999999</v>
          </cell>
          <cell r="N60">
            <v>1170.409551</v>
          </cell>
          <cell r="O60">
            <v>1132.989613</v>
          </cell>
          <cell r="P60">
            <v>1097.0113389999999</v>
          </cell>
          <cell r="Q60">
            <v>4589.0745699999998</v>
          </cell>
          <cell r="R60">
            <v>4145.381163</v>
          </cell>
          <cell r="S60">
            <v>3750.99757</v>
          </cell>
          <cell r="T60">
            <v>3400.4105030000001</v>
          </cell>
          <cell r="U60">
            <v>15885.863805000001</v>
          </cell>
        </row>
        <row r="61">
          <cell r="B61" t="str">
            <v xml:space="preserve">Narrowband &amp; People PC </v>
          </cell>
          <cell r="E61">
            <v>75329.628723000002</v>
          </cell>
          <cell r="F61">
            <v>74873.363710999998</v>
          </cell>
          <cell r="G61">
            <v>74662.871784999996</v>
          </cell>
          <cell r="H61">
            <v>74687.734435999999</v>
          </cell>
          <cell r="I61">
            <v>74897.870431999996</v>
          </cell>
          <cell r="J61">
            <v>75086.565682</v>
          </cell>
          <cell r="K61">
            <v>75271.537819999998</v>
          </cell>
          <cell r="L61">
            <v>75525.949963999999</v>
          </cell>
          <cell r="M61">
            <v>75730.304917999994</v>
          </cell>
          <cell r="N61">
            <v>75967.198676</v>
          </cell>
          <cell r="O61">
            <v>76181.905666999999</v>
          </cell>
          <cell r="P61">
            <v>76390.624863000005</v>
          </cell>
          <cell r="Q61">
            <v>224865.86421900001</v>
          </cell>
          <cell r="R61">
            <v>224672.17055099999</v>
          </cell>
          <cell r="S61">
            <v>226527.79270200001</v>
          </cell>
          <cell r="T61">
            <v>228539.72920500001</v>
          </cell>
          <cell r="U61">
            <v>904605.55667700002</v>
          </cell>
        </row>
        <row r="63">
          <cell r="B63" t="str">
            <v>Retail aDSL</v>
          </cell>
          <cell r="E63">
            <v>17802.198925000001</v>
          </cell>
          <cell r="F63">
            <v>17950.903036</v>
          </cell>
          <cell r="G63">
            <v>18113.639411</v>
          </cell>
          <cell r="H63">
            <v>18265.217332</v>
          </cell>
          <cell r="I63">
            <v>18391.695233999999</v>
          </cell>
          <cell r="J63">
            <v>18519.663324000001</v>
          </cell>
          <cell r="K63">
            <v>18655.420549999999</v>
          </cell>
          <cell r="L63">
            <v>18775.309031000001</v>
          </cell>
          <cell r="M63">
            <v>18899.203818000002</v>
          </cell>
          <cell r="N63">
            <v>19037.622614</v>
          </cell>
          <cell r="O63">
            <v>19166.247468000001</v>
          </cell>
          <cell r="P63">
            <v>19302.488215000001</v>
          </cell>
          <cell r="Q63">
            <v>53866.741370999996</v>
          </cell>
          <cell r="R63">
            <v>55176.575889</v>
          </cell>
          <cell r="S63">
            <v>56329.933399000001</v>
          </cell>
          <cell r="T63">
            <v>57506.358297999999</v>
          </cell>
          <cell r="U63">
            <v>222879.60895699999</v>
          </cell>
        </row>
        <row r="64">
          <cell r="B64" t="str">
            <v>Sprint DSL, Wireless, ION</v>
          </cell>
          <cell r="E64">
            <v>1225.6457</v>
          </cell>
          <cell r="F64">
            <v>1260.9539319999999</v>
          </cell>
          <cell r="G64">
            <v>1295.684649</v>
          </cell>
          <cell r="H64">
            <v>1329.8610619999999</v>
          </cell>
          <cell r="I64">
            <v>1363.481241</v>
          </cell>
          <cell r="J64">
            <v>1396.554132</v>
          </cell>
          <cell r="K64">
            <v>1429.0905740000001</v>
          </cell>
          <cell r="L64">
            <v>1461.10049</v>
          </cell>
          <cell r="M64">
            <v>1492.5902390000001</v>
          </cell>
          <cell r="N64">
            <v>1523.5686639999999</v>
          </cell>
          <cell r="O64">
            <v>1554.044404</v>
          </cell>
          <cell r="P64">
            <v>1584.0255529999999</v>
          </cell>
          <cell r="Q64">
            <v>3782.2842810000002</v>
          </cell>
          <cell r="R64">
            <v>4089.8964350000001</v>
          </cell>
          <cell r="S64">
            <v>4382.7813029999998</v>
          </cell>
          <cell r="T64">
            <v>4661.6386210000001</v>
          </cell>
          <cell r="U64">
            <v>16916.600639</v>
          </cell>
        </row>
        <row r="65">
          <cell r="B65" t="str">
            <v>Retail sDSL</v>
          </cell>
          <cell r="E65">
            <v>2809.867655</v>
          </cell>
          <cell r="F65">
            <v>2830.6450920000002</v>
          </cell>
          <cell r="G65">
            <v>2839.1797489999999</v>
          </cell>
          <cell r="H65">
            <v>2847.8359780000001</v>
          </cell>
          <cell r="I65">
            <v>2861.3862389999999</v>
          </cell>
          <cell r="J65">
            <v>2856.754758</v>
          </cell>
          <cell r="K65">
            <v>2845.0243099999998</v>
          </cell>
          <cell r="L65">
            <v>2853.3437610000001</v>
          </cell>
          <cell r="M65">
            <v>2858.0892610000001</v>
          </cell>
          <cell r="N65">
            <v>2852.1969429999999</v>
          </cell>
          <cell r="O65">
            <v>2854.9841839999999</v>
          </cell>
          <cell r="P65">
            <v>2843.868657</v>
          </cell>
          <cell r="Q65">
            <v>8479.6924959999997</v>
          </cell>
          <cell r="R65">
            <v>8565.9769749999996</v>
          </cell>
          <cell r="S65">
            <v>8556.457332</v>
          </cell>
          <cell r="T65">
            <v>8551.0497840000007</v>
          </cell>
          <cell r="U65">
            <v>34153.176588000002</v>
          </cell>
        </row>
        <row r="66">
          <cell r="E66">
            <v>1179.8112960000001</v>
          </cell>
          <cell r="F66">
            <v>1159.0118769999999</v>
          </cell>
          <cell r="G66">
            <v>1138.942276</v>
          </cell>
          <cell r="H66">
            <v>1119.5802510000001</v>
          </cell>
          <cell r="I66">
            <v>1100.8676190000001</v>
          </cell>
          <cell r="J66">
            <v>1082.7779419999999</v>
          </cell>
          <cell r="K66">
            <v>1065.308348</v>
          </cell>
          <cell r="L66">
            <v>1048.43382</v>
          </cell>
          <cell r="M66">
            <v>1032.1287170000001</v>
          </cell>
          <cell r="N66">
            <v>1016.374733</v>
          </cell>
        </row>
        <row r="67">
          <cell r="B67" t="str">
            <v>Frame &amp; Dedicated</v>
          </cell>
          <cell r="E67">
            <v>584.15063699999996</v>
          </cell>
          <cell r="F67">
            <v>575.437726</v>
          </cell>
          <cell r="G67">
            <v>566.51680399999998</v>
          </cell>
          <cell r="H67">
            <v>557.95002399999998</v>
          </cell>
          <cell r="I67">
            <v>549.58814800000005</v>
          </cell>
          <cell r="J67">
            <v>541.33535400000005</v>
          </cell>
          <cell r="K67">
            <v>533.29750999999999</v>
          </cell>
          <cell r="L67">
            <v>525.42838300000005</v>
          </cell>
          <cell r="M67">
            <v>517.71607200000005</v>
          </cell>
          <cell r="N67">
            <v>510.176649</v>
          </cell>
          <cell r="O67">
            <v>502.79624799999999</v>
          </cell>
          <cell r="P67">
            <v>495.57178800000003</v>
          </cell>
          <cell r="Q67">
            <v>1726.105168</v>
          </cell>
          <cell r="R67">
            <v>1648.8735260000001</v>
          </cell>
          <cell r="S67">
            <v>1576.441965</v>
          </cell>
          <cell r="T67">
            <v>1508.5446850000001</v>
          </cell>
          <cell r="U67">
            <v>6459.9653440000002</v>
          </cell>
        </row>
        <row r="68">
          <cell r="B68" t="str">
            <v>Cable - Retail</v>
          </cell>
          <cell r="E68">
            <v>10721.060202999999</v>
          </cell>
          <cell r="F68">
            <v>11204.800662</v>
          </cell>
          <cell r="G68">
            <v>11751.226333000001</v>
          </cell>
          <cell r="H68">
            <v>12233.082273</v>
          </cell>
          <cell r="I68">
            <v>12772.304136000001</v>
          </cell>
          <cell r="J68">
            <v>13305.277542</v>
          </cell>
          <cell r="K68">
            <v>13704.095973</v>
          </cell>
          <cell r="L68">
            <v>14128.367776999999</v>
          </cell>
          <cell r="M68">
            <v>14540.496851</v>
          </cell>
          <cell r="N68">
            <v>15020.672236</v>
          </cell>
          <cell r="O68">
            <v>15528.671057</v>
          </cell>
          <cell r="P68">
            <v>16042.733441</v>
          </cell>
          <cell r="Q68">
            <v>33677.087198000001</v>
          </cell>
          <cell r="R68">
            <v>38310.663951000002</v>
          </cell>
          <cell r="S68">
            <v>42372.960600999999</v>
          </cell>
          <cell r="T68">
            <v>46592.076733000002</v>
          </cell>
          <cell r="U68">
            <v>160952.78848300001</v>
          </cell>
        </row>
        <row r="69">
          <cell r="B69" t="str">
            <v>Cable - Wholesale</v>
          </cell>
          <cell r="E69">
            <v>68.102087999999995</v>
          </cell>
          <cell r="F69">
            <v>68.108461000000005</v>
          </cell>
          <cell r="G69">
            <v>68.110962000000001</v>
          </cell>
          <cell r="H69">
            <v>68.108069999999998</v>
          </cell>
          <cell r="I69">
            <v>68.107406999999995</v>
          </cell>
          <cell r="J69">
            <v>68.110142999999994</v>
          </cell>
          <cell r="K69">
            <v>68.110924999999995</v>
          </cell>
          <cell r="L69">
            <v>68.110000999999997</v>
          </cell>
          <cell r="M69">
            <v>68.110382999999999</v>
          </cell>
          <cell r="N69">
            <v>68.111683999999997</v>
          </cell>
          <cell r="O69">
            <v>68.112070000000003</v>
          </cell>
          <cell r="P69">
            <v>68.112018000000006</v>
          </cell>
          <cell r="Q69">
            <v>204.32151099999999</v>
          </cell>
          <cell r="R69">
            <v>204.32561999999999</v>
          </cell>
          <cell r="S69">
            <v>204.331309</v>
          </cell>
          <cell r="T69">
            <v>204.33577199999999</v>
          </cell>
          <cell r="U69">
            <v>817.314212</v>
          </cell>
        </row>
        <row r="70">
          <cell r="E70">
            <v>613.78571499999998</v>
          </cell>
          <cell r="F70">
            <v>636.94919600000003</v>
          </cell>
          <cell r="G70">
            <v>652.59912399999996</v>
          </cell>
          <cell r="H70">
            <v>664.40241900000001</v>
          </cell>
          <cell r="I70">
            <v>678.23878400000001</v>
          </cell>
          <cell r="J70">
            <v>692.00758199999996</v>
          </cell>
          <cell r="K70">
            <v>690.45677000000001</v>
          </cell>
          <cell r="L70">
            <v>699.44333300000005</v>
          </cell>
          <cell r="M70">
            <v>709.92529400000001</v>
          </cell>
          <cell r="N70">
            <v>738.75721499999997</v>
          </cell>
        </row>
        <row r="71">
          <cell r="B71" t="str">
            <v>BBD - Adjustments - Refunds, Chargebacks, Credits</v>
          </cell>
          <cell r="E71">
            <v>-563.95325500000001</v>
          </cell>
          <cell r="F71">
            <v>-549.59452399999998</v>
          </cell>
          <cell r="G71">
            <v>-538.61594600000001</v>
          </cell>
          <cell r="H71">
            <v>-517.13832000000002</v>
          </cell>
          <cell r="I71">
            <v>-514.01002500000004</v>
          </cell>
          <cell r="J71">
            <v>-515.22396000000003</v>
          </cell>
          <cell r="K71">
            <v>-508.32226700000001</v>
          </cell>
          <cell r="L71">
            <v>-503.39810999999997</v>
          </cell>
          <cell r="M71">
            <v>-506.085261</v>
          </cell>
          <cell r="N71">
            <v>-501.628626</v>
          </cell>
          <cell r="O71">
            <v>-502.12419999999997</v>
          </cell>
          <cell r="P71">
            <v>-509.539783</v>
          </cell>
          <cell r="Q71">
            <v>-1652.1637250000001</v>
          </cell>
          <cell r="R71">
            <v>-1546.3723050000001</v>
          </cell>
          <cell r="S71">
            <v>-1517.805638</v>
          </cell>
          <cell r="T71">
            <v>-1513.2926090000001</v>
          </cell>
          <cell r="U71">
            <v>-6229.6342780000004</v>
          </cell>
        </row>
        <row r="72">
          <cell r="B72" t="str">
            <v>BBD - Deferred Revenue</v>
          </cell>
          <cell r="E72">
            <v>71.801693</v>
          </cell>
          <cell r="F72">
            <v>-495.37101200000001</v>
          </cell>
          <cell r="G72">
            <v>-396.66274900000002</v>
          </cell>
          <cell r="H72">
            <v>-310.65059600000001</v>
          </cell>
          <cell r="I72">
            <v>-256.43716699999999</v>
          </cell>
          <cell r="J72">
            <v>-243.47508500000001</v>
          </cell>
          <cell r="K72">
            <v>-316.12303200000002</v>
          </cell>
          <cell r="L72">
            <v>-332.540412</v>
          </cell>
          <cell r="M72">
            <v>-324.104176</v>
          </cell>
          <cell r="N72">
            <v>-270.17929600000002</v>
          </cell>
          <cell r="O72">
            <v>-286.44060400000001</v>
          </cell>
          <cell r="P72">
            <v>-283.79752100000002</v>
          </cell>
          <cell r="Q72">
            <v>-820.23206700000003</v>
          </cell>
          <cell r="R72">
            <v>-810.56284800000003</v>
          </cell>
          <cell r="S72">
            <v>-972.76761999999997</v>
          </cell>
          <cell r="T72">
            <v>-840.41741999999999</v>
          </cell>
          <cell r="U72">
            <v>-3443.9799560000001</v>
          </cell>
        </row>
        <row r="73">
          <cell r="B73" t="str">
            <v>BBD - Rebates</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4">
          <cell r="E74">
            <v>33621.032469999998</v>
          </cell>
          <cell r="F74">
            <v>34080.112862000002</v>
          </cell>
          <cell r="G74">
            <v>35008.511329000001</v>
          </cell>
          <cell r="H74">
            <v>35754.020174999998</v>
          </cell>
          <cell r="I74">
            <v>36335.088905999997</v>
          </cell>
          <cell r="J74">
            <v>36851.230988000003</v>
          </cell>
          <cell r="K74">
            <v>37422.936870999998</v>
          </cell>
          <cell r="L74">
            <v>38086.475493999998</v>
          </cell>
          <cell r="M74">
            <v>38756.047353000002</v>
          </cell>
          <cell r="N74">
            <v>39393.438649999996</v>
          </cell>
        </row>
        <row r="75">
          <cell r="B75" t="str">
            <v>Web Hosting</v>
          </cell>
        </row>
        <row r="76">
          <cell r="C76" t="str">
            <v>Recurring</v>
          </cell>
          <cell r="E76">
            <v>3781.505439</v>
          </cell>
          <cell r="F76">
            <v>3773.5082830000001</v>
          </cell>
          <cell r="G76">
            <v>3767.531356</v>
          </cell>
          <cell r="H76">
            <v>3769.5958380000002</v>
          </cell>
          <cell r="I76">
            <v>3760.5872129999998</v>
          </cell>
          <cell r="J76">
            <v>3752.3693499999999</v>
          </cell>
          <cell r="K76">
            <v>3736.7608310000001</v>
          </cell>
          <cell r="L76">
            <v>3726.27241</v>
          </cell>
          <cell r="M76">
            <v>3707.3791249999999</v>
          </cell>
          <cell r="N76">
            <v>3688.1436779999999</v>
          </cell>
          <cell r="O76">
            <v>3676.1238229999999</v>
          </cell>
          <cell r="P76">
            <v>3661.9986180000001</v>
          </cell>
          <cell r="Q76">
            <v>11322.545077999999</v>
          </cell>
          <cell r="R76">
            <v>11282.552401000001</v>
          </cell>
          <cell r="S76">
            <v>11170.412366</v>
          </cell>
          <cell r="T76">
            <v>11026.266118</v>
          </cell>
          <cell r="U76">
            <v>44801.775964</v>
          </cell>
        </row>
        <row r="77">
          <cell r="C77" t="str">
            <v>Other</v>
          </cell>
          <cell r="E77">
            <v>304.54050599999999</v>
          </cell>
          <cell r="F77">
            <v>291.188241</v>
          </cell>
          <cell r="G77">
            <v>317.63293599999997</v>
          </cell>
          <cell r="H77">
            <v>273.20721700000001</v>
          </cell>
          <cell r="I77">
            <v>271.18300199999999</v>
          </cell>
          <cell r="J77">
            <v>263.37314300000003</v>
          </cell>
          <cell r="K77">
            <v>270.47942</v>
          </cell>
          <cell r="L77">
            <v>276.43138299999998</v>
          </cell>
          <cell r="M77">
            <v>275.54392200000001</v>
          </cell>
          <cell r="N77">
            <v>240.122714</v>
          </cell>
          <cell r="O77">
            <v>264.70694099999997</v>
          </cell>
          <cell r="P77">
            <v>259.14145500000001</v>
          </cell>
          <cell r="Q77">
            <v>913.36168299999997</v>
          </cell>
          <cell r="R77">
            <v>807.76336100000003</v>
          </cell>
          <cell r="S77">
            <v>822.45472500000005</v>
          </cell>
          <cell r="T77">
            <v>763.97110999999995</v>
          </cell>
          <cell r="U77">
            <v>3307.5508789999999</v>
          </cell>
        </row>
        <row r="78">
          <cell r="C78" t="str">
            <v>Adj - Ref, Chgbks, Credits</v>
          </cell>
          <cell r="E78">
            <v>-27.900845</v>
          </cell>
          <cell r="F78">
            <v>-27.190466000000001</v>
          </cell>
          <cell r="G78">
            <v>-26.647314999999999</v>
          </cell>
          <cell r="H78">
            <v>-26.276216999999999</v>
          </cell>
          <cell r="I78">
            <v>-26.117266000000001</v>
          </cell>
          <cell r="J78">
            <v>-26.178947000000001</v>
          </cell>
          <cell r="K78">
            <v>-26.545718000000001</v>
          </cell>
          <cell r="L78">
            <v>-26.288568000000001</v>
          </cell>
          <cell r="M78">
            <v>-26.428896999999999</v>
          </cell>
          <cell r="N78">
            <v>-26.944623</v>
          </cell>
          <cell r="O78">
            <v>-26.971243000000001</v>
          </cell>
          <cell r="P78">
            <v>-27.369565999999999</v>
          </cell>
          <cell r="Q78">
            <v>-81.738625999999996</v>
          </cell>
          <cell r="R78">
            <v>-78.572430999999995</v>
          </cell>
          <cell r="S78">
            <v>-79.263182999999998</v>
          </cell>
          <cell r="T78">
            <v>-81.285432</v>
          </cell>
          <cell r="U78">
            <v>-320.85967199999999</v>
          </cell>
        </row>
        <row r="79">
          <cell r="E79">
            <v>25.105844000000001</v>
          </cell>
          <cell r="F79">
            <v>3.9985780000000002</v>
          </cell>
          <cell r="G79">
            <v>2.9884629999999999</v>
          </cell>
          <cell r="H79">
            <v>-1.032241</v>
          </cell>
          <cell r="I79">
            <v>4.5043129999999998</v>
          </cell>
          <cell r="J79">
            <v>4.1089310000000001</v>
          </cell>
          <cell r="K79">
            <v>7.8042590000000001</v>
          </cell>
          <cell r="L79">
            <v>5.244211</v>
          </cell>
          <cell r="M79">
            <v>9.4466420000000006</v>
          </cell>
          <cell r="N79">
            <v>9.6177240000000008</v>
          </cell>
        </row>
        <row r="80">
          <cell r="E80">
            <v>4083.2509439999999</v>
          </cell>
          <cell r="F80">
            <v>4041.5046360000001</v>
          </cell>
          <cell r="G80">
            <v>4061.5054409999998</v>
          </cell>
          <cell r="H80">
            <v>4015.4945969999999</v>
          </cell>
          <cell r="I80">
            <v>4010.1572609999998</v>
          </cell>
          <cell r="J80">
            <v>3993.6724770000001</v>
          </cell>
          <cell r="K80">
            <v>3988.4987919999999</v>
          </cell>
          <cell r="L80">
            <v>3981.6594359999999</v>
          </cell>
          <cell r="M80">
            <v>3965.9407930000002</v>
          </cell>
          <cell r="N80">
            <v>3910.939492</v>
          </cell>
        </row>
        <row r="82">
          <cell r="C82" t="str">
            <v>Recurring</v>
          </cell>
          <cell r="E82">
            <v>1787.9954170000001</v>
          </cell>
          <cell r="F82">
            <v>1781.918797</v>
          </cell>
          <cell r="G82">
            <v>1762.3624950000001</v>
          </cell>
          <cell r="H82">
            <v>1774.1837419999999</v>
          </cell>
          <cell r="I82">
            <v>1801.8630290000001</v>
          </cell>
          <cell r="J82">
            <v>1846.3693229999999</v>
          </cell>
          <cell r="K82">
            <v>1799.013438</v>
          </cell>
          <cell r="L82">
            <v>1866.28639</v>
          </cell>
          <cell r="M82">
            <v>1941.234383</v>
          </cell>
          <cell r="N82">
            <v>2052.3962510000001</v>
          </cell>
          <cell r="O82">
            <v>2191.0356489999999</v>
          </cell>
          <cell r="P82">
            <v>2369.772348</v>
          </cell>
          <cell r="Q82">
            <v>5332.2767089999998</v>
          </cell>
          <cell r="R82">
            <v>5422.4160940000002</v>
          </cell>
          <cell r="S82">
            <v>5606.5342110000001</v>
          </cell>
          <cell r="T82">
            <v>6613.204248</v>
          </cell>
          <cell r="U82">
            <v>22974.431261999998</v>
          </cell>
        </row>
        <row r="83">
          <cell r="C83" t="str">
            <v>Other</v>
          </cell>
          <cell r="E83">
            <v>66.618802000000002</v>
          </cell>
          <cell r="F83">
            <v>65.487015999999997</v>
          </cell>
          <cell r="G83">
            <v>64.592071000000004</v>
          </cell>
          <cell r="H83">
            <v>65.888952000000003</v>
          </cell>
          <cell r="I83">
            <v>65.092094000000003</v>
          </cell>
          <cell r="J83">
            <v>65.522576000000001</v>
          </cell>
          <cell r="K83">
            <v>67.686000000000007</v>
          </cell>
          <cell r="L83">
            <v>68.346502999999998</v>
          </cell>
          <cell r="M83">
            <v>69.155052999999995</v>
          </cell>
          <cell r="N83">
            <v>73.259291000000005</v>
          </cell>
          <cell r="O83">
            <v>74.780513999999997</v>
          </cell>
          <cell r="P83">
            <v>77.069256999999993</v>
          </cell>
          <cell r="Q83">
            <v>196.697889</v>
          </cell>
          <cell r="R83">
            <v>196.50362200000001</v>
          </cell>
          <cell r="S83">
            <v>205.187556</v>
          </cell>
          <cell r="T83">
            <v>225.109061</v>
          </cell>
          <cell r="U83">
            <v>823.49812799999995</v>
          </cell>
        </row>
        <row r="84">
          <cell r="C84" t="str">
            <v>Adj - Ref, Chgbks, Credits</v>
          </cell>
          <cell r="E84">
            <v>-148.40875199999999</v>
          </cell>
          <cell r="F84">
            <v>-144.63013799999999</v>
          </cell>
          <cell r="G84">
            <v>-141.741038</v>
          </cell>
          <cell r="H84">
            <v>-153.74382499999999</v>
          </cell>
          <cell r="I84">
            <v>-152.81379100000001</v>
          </cell>
          <cell r="J84">
            <v>-153.174691</v>
          </cell>
          <cell r="K84">
            <v>-169.44075599999999</v>
          </cell>
          <cell r="L84">
            <v>-167.79937000000001</v>
          </cell>
          <cell r="M84">
            <v>-168.695087</v>
          </cell>
          <cell r="N84">
            <v>-186.31920400000001</v>
          </cell>
          <cell r="O84">
            <v>-186.503275</v>
          </cell>
          <cell r="P84">
            <v>-189.257634</v>
          </cell>
          <cell r="Q84">
            <v>-434.77992799999998</v>
          </cell>
          <cell r="R84">
            <v>-459.73230699999999</v>
          </cell>
          <cell r="S84">
            <v>-505.93521299999998</v>
          </cell>
          <cell r="T84">
            <v>-562.08011199999999</v>
          </cell>
          <cell r="U84">
            <v>-1962.5275590000001</v>
          </cell>
        </row>
        <row r="85">
          <cell r="C85" t="str">
            <v>Adj - EW - Deferred Revenue</v>
          </cell>
          <cell r="E85">
            <v>2.5</v>
          </cell>
          <cell r="F85">
            <v>3.0383100000000001</v>
          </cell>
          <cell r="G85">
            <v>9.7781509999999994</v>
          </cell>
          <cell r="H85">
            <v>-5.9106230000000002</v>
          </cell>
          <cell r="I85">
            <v>-13.839644</v>
          </cell>
          <cell r="J85">
            <v>-22.253146999999998</v>
          </cell>
          <cell r="K85">
            <v>23.677942999999999</v>
          </cell>
          <cell r="L85">
            <v>-33.636476000000002</v>
          </cell>
          <cell r="M85">
            <v>-37.473996999999997</v>
          </cell>
          <cell r="N85">
            <v>-55.580933999999999</v>
          </cell>
          <cell r="O85">
            <v>-69.319699</v>
          </cell>
          <cell r="P85">
            <v>-89.368348999999995</v>
          </cell>
          <cell r="Q85">
            <v>15.316461</v>
          </cell>
          <cell r="R85">
            <v>-42.003413999999999</v>
          </cell>
          <cell r="S85">
            <v>-47.43253</v>
          </cell>
          <cell r="T85">
            <v>-214.26898199999999</v>
          </cell>
          <cell r="U85">
            <v>-288.388465</v>
          </cell>
        </row>
        <row r="86">
          <cell r="C86" t="str">
            <v>Equipment</v>
          </cell>
          <cell r="E86">
            <v>220.60949299999999</v>
          </cell>
          <cell r="F86">
            <v>220.43701300000001</v>
          </cell>
          <cell r="G86">
            <v>278.71146399999998</v>
          </cell>
          <cell r="H86">
            <v>453.14345800000001</v>
          </cell>
          <cell r="I86">
            <v>514.59813199999996</v>
          </cell>
          <cell r="J86">
            <v>585.41935699999999</v>
          </cell>
          <cell r="K86">
            <v>631.58724400000006</v>
          </cell>
          <cell r="L86">
            <v>672.22831900000006</v>
          </cell>
          <cell r="M86">
            <v>718.94624399999998</v>
          </cell>
          <cell r="N86">
            <v>977.08907999999997</v>
          </cell>
          <cell r="O86">
            <v>1155.342476</v>
          </cell>
          <cell r="P86">
            <v>1417.6147800000001</v>
          </cell>
          <cell r="Q86">
            <v>719.75797</v>
          </cell>
          <cell r="R86">
            <v>1553.1609470000001</v>
          </cell>
          <cell r="S86">
            <v>2022.7618070000001</v>
          </cell>
          <cell r="T86">
            <v>3550.0463359999999</v>
          </cell>
          <cell r="U86">
            <v>7845.7270600000002</v>
          </cell>
        </row>
        <row r="87">
          <cell r="E87">
            <v>1929.3149599999999</v>
          </cell>
          <cell r="F87">
            <v>1926.2509990000001</v>
          </cell>
          <cell r="G87">
            <v>1973.7031420000001</v>
          </cell>
          <cell r="H87">
            <v>2133.5617040000002</v>
          </cell>
          <cell r="I87">
            <v>2214.899821</v>
          </cell>
          <cell r="J87">
            <v>2321.8834179999999</v>
          </cell>
          <cell r="K87">
            <v>2352.5238690000001</v>
          </cell>
          <cell r="L87">
            <v>2405.4253650000001</v>
          </cell>
          <cell r="M87">
            <v>2523.166596</v>
          </cell>
          <cell r="N87">
            <v>2860.8444840000002</v>
          </cell>
        </row>
        <row r="88">
          <cell r="E88">
            <v>2149.5261</v>
          </cell>
          <cell r="F88">
            <v>2125.1756919999998</v>
          </cell>
          <cell r="G88">
            <v>2159.4047890000002</v>
          </cell>
          <cell r="H88">
            <v>2188.1371410000002</v>
          </cell>
          <cell r="I88">
            <v>2337.8563600000002</v>
          </cell>
          <cell r="J88">
            <v>2339.4451829999998</v>
          </cell>
          <cell r="K88">
            <v>2842.2183799999998</v>
          </cell>
          <cell r="L88">
            <v>2951.2052779999999</v>
          </cell>
          <cell r="M88">
            <v>3047.7096350000002</v>
          </cell>
          <cell r="N88">
            <v>3305.8721799999998</v>
          </cell>
        </row>
        <row r="89">
          <cell r="E89">
            <v>0</v>
          </cell>
          <cell r="F89">
            <v>0</v>
          </cell>
          <cell r="G89">
            <v>0</v>
          </cell>
          <cell r="H89">
            <v>0</v>
          </cell>
          <cell r="I89">
            <v>0</v>
          </cell>
          <cell r="J89">
            <v>0</v>
          </cell>
          <cell r="K89">
            <v>0</v>
          </cell>
          <cell r="L89">
            <v>0</v>
          </cell>
          <cell r="M89">
            <v>0</v>
          </cell>
          <cell r="N89">
            <v>0</v>
          </cell>
        </row>
        <row r="90">
          <cell r="C90" t="str">
            <v>Total Revenue</v>
          </cell>
          <cell r="E90">
            <v>117112.753197</v>
          </cell>
          <cell r="F90">
            <v>117046.407898</v>
          </cell>
          <cell r="G90">
            <v>117865.996486</v>
          </cell>
          <cell r="H90">
            <v>118778.94805200001</v>
          </cell>
          <cell r="I90">
            <v>119795.87278000001</v>
          </cell>
          <cell r="J90">
            <v>120592.797749</v>
          </cell>
          <cell r="K90">
            <v>121877.715732</v>
          </cell>
          <cell r="L90">
            <v>122950.715537</v>
          </cell>
          <cell r="M90">
            <v>124023.16929599999</v>
          </cell>
          <cell r="N90">
            <v>125438.29348199999</v>
          </cell>
          <cell r="O90">
            <v>126735.976802</v>
          </cell>
          <cell r="P90">
            <v>128177.135195</v>
          </cell>
          <cell r="Q90">
            <v>352025.15758100001</v>
          </cell>
          <cell r="R90">
            <v>359167.61858100002</v>
          </cell>
          <cell r="S90">
            <v>368851.60056499997</v>
          </cell>
          <cell r="T90">
            <v>380351.40547900001</v>
          </cell>
          <cell r="U90">
            <v>1460395.7822070001</v>
          </cell>
        </row>
        <row r="92">
          <cell r="A92" t="str">
            <v>Cost of  Revenue</v>
          </cell>
        </row>
        <row r="93">
          <cell r="A93" t="str">
            <v>Narrowband</v>
          </cell>
        </row>
        <row r="94">
          <cell r="B94" t="str">
            <v>Organic</v>
          </cell>
          <cell r="E94">
            <v>13692.479520000001</v>
          </cell>
          <cell r="F94">
            <v>13532.368837</v>
          </cell>
          <cell r="G94">
            <v>13404.135474999999</v>
          </cell>
          <cell r="H94">
            <v>13283.011531</v>
          </cell>
          <cell r="I94">
            <v>13169.485973999999</v>
          </cell>
          <cell r="J94">
            <v>13061.398553000001</v>
          </cell>
          <cell r="K94">
            <v>12974.707809</v>
          </cell>
          <cell r="L94">
            <v>13018.530842</v>
          </cell>
          <cell r="M94">
            <v>12781.821521</v>
          </cell>
          <cell r="N94">
            <v>12633.08764</v>
          </cell>
          <cell r="O94">
            <v>12519.788869</v>
          </cell>
          <cell r="P94">
            <v>12458.010946</v>
          </cell>
          <cell r="Q94">
            <v>40628.983831999998</v>
          </cell>
          <cell r="R94">
            <v>39513.896057999998</v>
          </cell>
          <cell r="S94">
            <v>38775.060171999998</v>
          </cell>
          <cell r="T94">
            <v>37610.887454999996</v>
          </cell>
          <cell r="U94">
            <v>156528.827517</v>
          </cell>
        </row>
        <row r="95">
          <cell r="E95">
            <v>1376.069575</v>
          </cell>
          <cell r="F95">
            <v>1355.112128</v>
          </cell>
          <cell r="G95">
            <v>1528.0261</v>
          </cell>
          <cell r="H95">
            <v>1648.396103</v>
          </cell>
          <cell r="I95">
            <v>1764.257693</v>
          </cell>
          <cell r="J95">
            <v>1782.766895</v>
          </cell>
          <cell r="K95">
            <v>1791.924894</v>
          </cell>
          <cell r="L95">
            <v>1907.5705069999999</v>
          </cell>
          <cell r="M95">
            <v>2210.425299</v>
          </cell>
          <cell r="N95">
            <v>2298.351991</v>
          </cell>
        </row>
        <row r="96">
          <cell r="E96">
            <v>424.81001600000002</v>
          </cell>
          <cell r="F96">
            <v>418.39437500000003</v>
          </cell>
          <cell r="G96">
            <v>408.84527500000002</v>
          </cell>
          <cell r="H96">
            <v>370.608068</v>
          </cell>
          <cell r="I96">
            <v>346.23312499999997</v>
          </cell>
          <cell r="J96">
            <v>316.64246700000001</v>
          </cell>
          <cell r="K96">
            <v>302.98796599999997</v>
          </cell>
          <cell r="L96">
            <v>290.66842100000002</v>
          </cell>
          <cell r="M96">
            <v>277.96719100000001</v>
          </cell>
          <cell r="N96">
            <v>266.03115500000001</v>
          </cell>
        </row>
        <row r="97">
          <cell r="E97">
            <v>15493.359112</v>
          </cell>
          <cell r="F97">
            <v>15305.875339</v>
          </cell>
          <cell r="G97">
            <v>15341.00685</v>
          </cell>
          <cell r="H97">
            <v>15302.015702999999</v>
          </cell>
          <cell r="I97">
            <v>15279.976791999999</v>
          </cell>
          <cell r="J97">
            <v>15160.807916</v>
          </cell>
          <cell r="K97">
            <v>15069.620669</v>
          </cell>
          <cell r="L97">
            <v>15216.769770000001</v>
          </cell>
          <cell r="M97">
            <v>15270.214011</v>
          </cell>
          <cell r="N97">
            <v>15197.470786</v>
          </cell>
        </row>
        <row r="99">
          <cell r="E99">
            <v>11186.34657</v>
          </cell>
          <cell r="F99">
            <v>11028.48436</v>
          </cell>
          <cell r="G99">
            <v>11013.676095000001</v>
          </cell>
          <cell r="H99">
            <v>11002.944351</v>
          </cell>
          <cell r="I99">
            <v>10924.079393</v>
          </cell>
          <cell r="J99">
            <v>10861.799825</v>
          </cell>
          <cell r="K99">
            <v>10806.131824</v>
          </cell>
          <cell r="L99">
            <v>10729.648637</v>
          </cell>
          <cell r="M99">
            <v>10792.760888999999</v>
          </cell>
          <cell r="N99">
            <v>10855.139370999999</v>
          </cell>
        </row>
        <row r="100">
          <cell r="E100">
            <v>136.64778699999999</v>
          </cell>
          <cell r="F100">
            <v>157.14252500000001</v>
          </cell>
          <cell r="G100">
            <v>156.128264</v>
          </cell>
          <cell r="H100">
            <v>163.114127</v>
          </cell>
          <cell r="I100">
            <v>169.571585</v>
          </cell>
          <cell r="J100">
            <v>171.35412500000001</v>
          </cell>
          <cell r="K100">
            <v>176.11065300000001</v>
          </cell>
          <cell r="L100">
            <v>181.604535</v>
          </cell>
          <cell r="M100">
            <v>182.82699299999999</v>
          </cell>
          <cell r="N100">
            <v>186.52610300000001</v>
          </cell>
        </row>
        <row r="101">
          <cell r="B101" t="str">
            <v>Business xDSL</v>
          </cell>
          <cell r="E101">
            <v>1404.677359</v>
          </cell>
          <cell r="F101">
            <v>1460.5089439999999</v>
          </cell>
          <cell r="G101">
            <v>1446.779812</v>
          </cell>
          <cell r="H101">
            <v>1455.384671</v>
          </cell>
          <cell r="I101">
            <v>1487.8513740000001</v>
          </cell>
          <cell r="J101">
            <v>1457.4400169999999</v>
          </cell>
          <cell r="K101">
            <v>1446.7337150000001</v>
          </cell>
          <cell r="L101">
            <v>1488.7401159999999</v>
          </cell>
          <cell r="M101">
            <v>1487.7707620000001</v>
          </cell>
          <cell r="N101">
            <v>1474.9286179999999</v>
          </cell>
          <cell r="O101">
            <v>1496.786938</v>
          </cell>
          <cell r="P101">
            <v>1471.853085</v>
          </cell>
          <cell r="Q101">
            <v>4311.9661150000002</v>
          </cell>
          <cell r="R101">
            <v>4400.6760619999995</v>
          </cell>
          <cell r="S101">
            <v>4423.2445930000004</v>
          </cell>
          <cell r="T101">
            <v>4443.5686400000004</v>
          </cell>
          <cell r="U101">
            <v>17579.455409999999</v>
          </cell>
        </row>
        <row r="102">
          <cell r="B102" t="str">
            <v>Satellite</v>
          </cell>
          <cell r="E102">
            <v>596.83641799999998</v>
          </cell>
          <cell r="F102">
            <v>585.43843600000002</v>
          </cell>
          <cell r="G102">
            <v>573.63475900000003</v>
          </cell>
          <cell r="H102">
            <v>562.54623000000004</v>
          </cell>
          <cell r="I102">
            <v>551.81834300000003</v>
          </cell>
          <cell r="J102">
            <v>541.31675299999995</v>
          </cell>
          <cell r="K102">
            <v>531.27284399999996</v>
          </cell>
          <cell r="L102">
            <v>521.59749699999998</v>
          </cell>
          <cell r="M102">
            <v>512.14766499999996</v>
          </cell>
          <cell r="N102">
            <v>503.08669200000003</v>
          </cell>
          <cell r="O102">
            <v>494.26553999999999</v>
          </cell>
          <cell r="P102">
            <v>485.708304</v>
          </cell>
          <cell r="Q102">
            <v>1755.909613</v>
          </cell>
          <cell r="R102">
            <v>1655.681327</v>
          </cell>
          <cell r="S102">
            <v>1565.018006</v>
          </cell>
          <cell r="T102">
            <v>1483.0605370000001</v>
          </cell>
          <cell r="U102">
            <v>6459.6694820000002</v>
          </cell>
        </row>
        <row r="103">
          <cell r="B103" t="str">
            <v>Frame and Dedicated T-1</v>
          </cell>
          <cell r="E103">
            <v>403.56402300000002</v>
          </cell>
          <cell r="F103">
            <v>394.976336</v>
          </cell>
          <cell r="G103">
            <v>386.534989</v>
          </cell>
          <cell r="H103">
            <v>378.28751599999998</v>
          </cell>
          <cell r="I103">
            <v>370.21551399999998</v>
          </cell>
          <cell r="J103">
            <v>362.309864</v>
          </cell>
          <cell r="K103">
            <v>354.57739400000003</v>
          </cell>
          <cell r="L103">
            <v>347.01112799999999</v>
          </cell>
          <cell r="M103">
            <v>339.60182300000002</v>
          </cell>
          <cell r="N103">
            <v>332.35379</v>
          </cell>
          <cell r="O103">
            <v>325.25746299999997</v>
          </cell>
          <cell r="P103">
            <v>318.31113299999998</v>
          </cell>
          <cell r="Q103">
            <v>1185.0753480000001</v>
          </cell>
          <cell r="R103">
            <v>1110.8128939999999</v>
          </cell>
          <cell r="S103">
            <v>1041.1903440000001</v>
          </cell>
          <cell r="T103">
            <v>975.92238499999996</v>
          </cell>
          <cell r="U103">
            <v>4313.0009710000004</v>
          </cell>
        </row>
        <row r="104">
          <cell r="B104" t="str">
            <v>Cable - Retail</v>
          </cell>
          <cell r="E104">
            <v>8265.4994869999991</v>
          </cell>
          <cell r="F104">
            <v>8588.9051070000005</v>
          </cell>
          <cell r="G104">
            <v>8872.3742199999997</v>
          </cell>
          <cell r="H104">
            <v>9160.2477159999999</v>
          </cell>
          <cell r="I104">
            <v>9428.8167549999998</v>
          </cell>
          <cell r="J104">
            <v>9706.6426009999996</v>
          </cell>
          <cell r="K104">
            <v>9907.9240360000003</v>
          </cell>
          <cell r="L104">
            <v>10133.549496</v>
          </cell>
          <cell r="M104">
            <v>10348.571725</v>
          </cell>
          <cell r="N104">
            <v>10600.20169</v>
          </cell>
          <cell r="O104">
            <v>10895.52809</v>
          </cell>
          <cell r="P104">
            <v>11205.848952</v>
          </cell>
          <cell r="Q104">
            <v>25726.778815000001</v>
          </cell>
          <cell r="R104">
            <v>28295.707072000001</v>
          </cell>
          <cell r="S104">
            <v>30390.045256000001</v>
          </cell>
          <cell r="T104">
            <v>32701.578732000002</v>
          </cell>
          <cell r="U104">
            <v>117114.10987499999</v>
          </cell>
        </row>
        <row r="105">
          <cell r="B105" t="str">
            <v>Cable - Wholesale</v>
          </cell>
          <cell r="E105">
            <v>12.565124000000001</v>
          </cell>
          <cell r="F105">
            <v>14.559037</v>
          </cell>
          <cell r="G105">
            <v>14.556965999999999</v>
          </cell>
          <cell r="H105">
            <v>15.759124999999999</v>
          </cell>
          <cell r="I105">
            <v>16.891697000000001</v>
          </cell>
          <cell r="J105">
            <v>17.528088</v>
          </cell>
          <cell r="K105">
            <v>18.455399</v>
          </cell>
          <cell r="L105">
            <v>19.441272999999999</v>
          </cell>
          <cell r="M105">
            <v>19.946090000000002</v>
          </cell>
          <cell r="N105">
            <v>20.716588999999999</v>
          </cell>
          <cell r="O105">
            <v>21.098379999999999</v>
          </cell>
          <cell r="P105">
            <v>21.216653999999998</v>
          </cell>
          <cell r="Q105">
            <v>41.681125999999999</v>
          </cell>
          <cell r="R105">
            <v>50.178910000000002</v>
          </cell>
          <cell r="S105">
            <v>57.842762</v>
          </cell>
          <cell r="T105">
            <v>63.031624000000001</v>
          </cell>
          <cell r="U105">
            <v>212.734421</v>
          </cell>
        </row>
        <row r="106">
          <cell r="E106">
            <v>0</v>
          </cell>
          <cell r="F106">
            <v>0</v>
          </cell>
          <cell r="G106">
            <v>0</v>
          </cell>
          <cell r="H106">
            <v>0</v>
          </cell>
          <cell r="I106">
            <v>0</v>
          </cell>
          <cell r="J106">
            <v>0</v>
          </cell>
          <cell r="K106">
            <v>0</v>
          </cell>
          <cell r="L106">
            <v>0</v>
          </cell>
          <cell r="M106">
            <v>0</v>
          </cell>
          <cell r="N106">
            <v>0</v>
          </cell>
        </row>
        <row r="107">
          <cell r="E107">
            <v>0</v>
          </cell>
          <cell r="F107">
            <v>0</v>
          </cell>
          <cell r="G107">
            <v>0</v>
          </cell>
          <cell r="H107">
            <v>0</v>
          </cell>
          <cell r="I107">
            <v>0</v>
          </cell>
          <cell r="J107">
            <v>0</v>
          </cell>
          <cell r="K107">
            <v>0</v>
          </cell>
          <cell r="L107">
            <v>0</v>
          </cell>
          <cell r="M107">
            <v>0</v>
          </cell>
          <cell r="N107">
            <v>0</v>
          </cell>
        </row>
        <row r="108">
          <cell r="E108">
            <v>1121.7937179999999</v>
          </cell>
          <cell r="F108">
            <v>1237.743199</v>
          </cell>
          <cell r="G108">
            <v>1216.755807</v>
          </cell>
          <cell r="H108">
            <v>1194.116133</v>
          </cell>
          <cell r="I108">
            <v>1208.488644</v>
          </cell>
          <cell r="J108">
            <v>1159.0920249999999</v>
          </cell>
          <cell r="K108">
            <v>1159.01541</v>
          </cell>
          <cell r="L108">
            <v>1202.307732</v>
          </cell>
          <cell r="M108">
            <v>1200.5329300000001</v>
          </cell>
          <cell r="N108">
            <v>1216.0980609999999</v>
          </cell>
        </row>
        <row r="109">
          <cell r="E109">
            <v>23127.930486000001</v>
          </cell>
          <cell r="F109">
            <v>23467.757943000001</v>
          </cell>
          <cell r="G109">
            <v>23680.440911999998</v>
          </cell>
          <cell r="H109">
            <v>23932.399868</v>
          </cell>
          <cell r="I109">
            <v>24157.733305000002</v>
          </cell>
          <cell r="J109">
            <v>24277.483299</v>
          </cell>
          <cell r="K109">
            <v>24400.221275</v>
          </cell>
          <cell r="L109">
            <v>24623.900412999999</v>
          </cell>
          <cell r="M109">
            <v>24884.158875000001</v>
          </cell>
          <cell r="N109">
            <v>25189.050915</v>
          </cell>
        </row>
        <row r="110">
          <cell r="E110">
            <v>408.28137900000002</v>
          </cell>
          <cell r="F110">
            <v>367.790772</v>
          </cell>
          <cell r="G110">
            <v>374.50797899999998</v>
          </cell>
          <cell r="H110">
            <v>367.04583300000002</v>
          </cell>
          <cell r="I110">
            <v>363.90862800000002</v>
          </cell>
          <cell r="J110">
            <v>357.02220999999997</v>
          </cell>
          <cell r="K110">
            <v>387.49924700000003</v>
          </cell>
          <cell r="L110">
            <v>360.61831899999999</v>
          </cell>
          <cell r="M110">
            <v>315.76100700000001</v>
          </cell>
          <cell r="N110">
            <v>280.74968699999999</v>
          </cell>
        </row>
        <row r="111">
          <cell r="E111">
            <v>1561.205011</v>
          </cell>
          <cell r="F111">
            <v>1603.436543</v>
          </cell>
          <cell r="G111">
            <v>1529.186107</v>
          </cell>
          <cell r="H111">
            <v>1710.8421900000001</v>
          </cell>
          <cell r="I111">
            <v>1795.932779</v>
          </cell>
          <cell r="J111">
            <v>1894.8937940000001</v>
          </cell>
          <cell r="K111">
            <v>1985.2559240000001</v>
          </cell>
          <cell r="L111">
            <v>2072.0062189999999</v>
          </cell>
          <cell r="M111">
            <v>2154.3877670000002</v>
          </cell>
          <cell r="N111">
            <v>2488.7262179999998</v>
          </cell>
        </row>
        <row r="112">
          <cell r="E112">
            <v>341.92441700000001</v>
          </cell>
          <cell r="F112">
            <v>356.22155099999998</v>
          </cell>
          <cell r="G112">
            <v>374.72558099999998</v>
          </cell>
          <cell r="H112">
            <v>395.86662100000001</v>
          </cell>
          <cell r="I112">
            <v>425.47819500000003</v>
          </cell>
          <cell r="J112">
            <v>455.76240100000001</v>
          </cell>
          <cell r="K112">
            <v>525.42791299999999</v>
          </cell>
          <cell r="L112">
            <v>556.97265200000004</v>
          </cell>
          <cell r="M112">
            <v>585.37283100000002</v>
          </cell>
          <cell r="N112">
            <v>621.90765399999998</v>
          </cell>
        </row>
        <row r="113">
          <cell r="E113">
            <v>40932.700403000003</v>
          </cell>
          <cell r="F113">
            <v>41101.082148000001</v>
          </cell>
          <cell r="G113">
            <v>41299.867428999998</v>
          </cell>
          <cell r="H113">
            <v>41708.170213999998</v>
          </cell>
          <cell r="I113">
            <v>42023.029698999999</v>
          </cell>
          <cell r="J113">
            <v>42145.969620000003</v>
          </cell>
          <cell r="K113">
            <v>42368.025027999996</v>
          </cell>
          <cell r="L113">
            <v>42830.267373000002</v>
          </cell>
          <cell r="M113">
            <v>43209.894490999999</v>
          </cell>
          <cell r="N113">
            <v>43777.90526</v>
          </cell>
        </row>
        <row r="116">
          <cell r="E116">
            <v>59836.269611999996</v>
          </cell>
          <cell r="F116">
            <v>59567.488370999999</v>
          </cell>
          <cell r="G116">
            <v>59321.864934999998</v>
          </cell>
          <cell r="H116">
            <v>59385.718733000002</v>
          </cell>
          <cell r="I116">
            <v>59617.893640000002</v>
          </cell>
          <cell r="J116">
            <v>59925.757767000003</v>
          </cell>
          <cell r="K116">
            <v>60201.917151000001</v>
          </cell>
          <cell r="L116">
            <v>60309.180193</v>
          </cell>
          <cell r="M116">
            <v>60460.090906999998</v>
          </cell>
          <cell r="N116">
            <v>60769.727890000002</v>
          </cell>
        </row>
        <row r="117">
          <cell r="E117">
            <v>10493.101984000001</v>
          </cell>
          <cell r="F117">
            <v>10612.354918999999</v>
          </cell>
          <cell r="G117">
            <v>11328.070417000001</v>
          </cell>
          <cell r="H117">
            <v>11821.620306999999</v>
          </cell>
          <cell r="I117">
            <v>12177.355600999999</v>
          </cell>
          <cell r="J117">
            <v>12573.747689</v>
          </cell>
          <cell r="K117">
            <v>13022.715596</v>
          </cell>
          <cell r="L117">
            <v>13462.575081000001</v>
          </cell>
          <cell r="M117">
            <v>13871.888478000001</v>
          </cell>
          <cell r="N117">
            <v>14204.387735</v>
          </cell>
        </row>
        <row r="118">
          <cell r="E118">
            <v>3674.9695649999999</v>
          </cell>
          <cell r="F118">
            <v>3673.7138639999998</v>
          </cell>
          <cell r="G118">
            <v>3686.9974609999999</v>
          </cell>
          <cell r="H118">
            <v>3648.4487640000002</v>
          </cell>
          <cell r="I118">
            <v>3646.2486330000002</v>
          </cell>
          <cell r="J118">
            <v>3636.650267</v>
          </cell>
          <cell r="K118">
            <v>3600.9995450000001</v>
          </cell>
          <cell r="L118">
            <v>3621.0411170000002</v>
          </cell>
          <cell r="M118">
            <v>3650.1797860000001</v>
          </cell>
          <cell r="N118">
            <v>3630.189805</v>
          </cell>
        </row>
        <row r="119">
          <cell r="E119">
            <v>368.10995000000003</v>
          </cell>
          <cell r="F119">
            <v>322.81445600000001</v>
          </cell>
          <cell r="G119">
            <v>444.51703500000002</v>
          </cell>
          <cell r="H119">
            <v>422.719514</v>
          </cell>
          <cell r="I119">
            <v>418.96704199999999</v>
          </cell>
          <cell r="J119">
            <v>426.98962399999999</v>
          </cell>
          <cell r="K119">
            <v>367.267945</v>
          </cell>
          <cell r="L119">
            <v>333.41914700000001</v>
          </cell>
          <cell r="M119">
            <v>368.77882899999997</v>
          </cell>
          <cell r="N119">
            <v>372.11826600000001</v>
          </cell>
        </row>
        <row r="120">
          <cell r="C120" t="str">
            <v>ACC Gross Margin</v>
          </cell>
          <cell r="E120">
            <v>1807.6016830000001</v>
          </cell>
          <cell r="F120">
            <v>1768.9541409999999</v>
          </cell>
          <cell r="G120">
            <v>1784.6792069999999</v>
          </cell>
          <cell r="H120">
            <v>1792.27052</v>
          </cell>
          <cell r="I120">
            <v>1912.3781650000001</v>
          </cell>
          <cell r="J120">
            <v>1883.6827820000001</v>
          </cell>
          <cell r="K120">
            <v>2316.7904669999998</v>
          </cell>
          <cell r="L120">
            <v>2394.232626</v>
          </cell>
          <cell r="M120">
            <v>2462.336804</v>
          </cell>
          <cell r="N120">
            <v>2683.9645260000002</v>
          </cell>
          <cell r="O120">
            <v>2839.4482229999999</v>
          </cell>
          <cell r="P120">
            <v>3046.3691530000001</v>
          </cell>
          <cell r="Q120">
            <v>5361.2350310000002</v>
          </cell>
          <cell r="R120">
            <v>5588.331467</v>
          </cell>
          <cell r="S120">
            <v>7173.3598970000003</v>
          </cell>
          <cell r="T120">
            <v>8569.7819010000003</v>
          </cell>
          <cell r="U120">
            <v>26692.708297000001</v>
          </cell>
        </row>
        <row r="121">
          <cell r="E121">
            <v>76180.052794000003</v>
          </cell>
          <cell r="F121">
            <v>75945.325750000004</v>
          </cell>
          <cell r="G121">
            <v>76566.129056000005</v>
          </cell>
          <cell r="H121">
            <v>77070.777837999995</v>
          </cell>
          <cell r="I121">
            <v>77772.843080999999</v>
          </cell>
          <cell r="J121">
            <v>78446.828127999994</v>
          </cell>
          <cell r="K121">
            <v>79509.690703999993</v>
          </cell>
          <cell r="L121">
            <v>80120.448164000001</v>
          </cell>
          <cell r="M121">
            <v>80813.274804999994</v>
          </cell>
          <cell r="N121">
            <v>81660.388221000001</v>
          </cell>
        </row>
        <row r="122">
          <cell r="E122">
            <v>0.65048499999999998</v>
          </cell>
          <cell r="F122">
            <v>0.64884799999999998</v>
          </cell>
          <cell r="G122">
            <v>0.64960300000000004</v>
          </cell>
          <cell r="H122">
            <v>0.64885899999999996</v>
          </cell>
          <cell r="I122">
            <v>0.64921099999999998</v>
          </cell>
          <cell r="J122">
            <v>0.65051000000000003</v>
          </cell>
          <cell r="K122">
            <v>0.65237299999999998</v>
          </cell>
          <cell r="L122">
            <v>0.65164699999999998</v>
          </cell>
          <cell r="M122">
            <v>0.65159800000000001</v>
          </cell>
          <cell r="N122">
            <v>0.65100000000000002</v>
          </cell>
        </row>
        <row r="126">
          <cell r="E126">
            <v>13538.770732000001</v>
          </cell>
          <cell r="F126">
            <v>13072.905488</v>
          </cell>
          <cell r="G126">
            <v>18303.927587999999</v>
          </cell>
          <cell r="H126">
            <v>12424.406633000001</v>
          </cell>
          <cell r="I126">
            <v>10784.990335</v>
          </cell>
          <cell r="J126">
            <v>10878.520732000001</v>
          </cell>
          <cell r="K126">
            <v>10899.390950000001</v>
          </cell>
          <cell r="L126">
            <v>10787.168044</v>
          </cell>
          <cell r="M126">
            <v>11275.628267</v>
          </cell>
          <cell r="N126">
            <v>11400.171301</v>
          </cell>
        </row>
        <row r="127">
          <cell r="E127">
            <v>781.69081200000005</v>
          </cell>
          <cell r="F127">
            <v>797.50912000000005</v>
          </cell>
          <cell r="G127">
            <v>920.12892599999998</v>
          </cell>
          <cell r="H127">
            <v>886.882744</v>
          </cell>
          <cell r="I127">
            <v>925.89629000000002</v>
          </cell>
          <cell r="J127">
            <v>951.26733200000001</v>
          </cell>
          <cell r="K127">
            <v>970.78020700000002</v>
          </cell>
          <cell r="L127">
            <v>998.07391399999995</v>
          </cell>
          <cell r="M127">
            <v>1008.7426830000001</v>
          </cell>
          <cell r="N127">
            <v>1004.825069</v>
          </cell>
        </row>
        <row r="128">
          <cell r="E128">
            <v>259.06700000000001</v>
          </cell>
          <cell r="F128">
            <v>214.39699999999999</v>
          </cell>
          <cell r="G128">
            <v>216.90899999999999</v>
          </cell>
          <cell r="H128">
            <v>197.887</v>
          </cell>
          <cell r="I128">
            <v>174.60300000000001</v>
          </cell>
          <cell r="J128">
            <v>148.27000000000001</v>
          </cell>
          <cell r="K128">
            <v>109.807</v>
          </cell>
          <cell r="L128">
            <v>101.477</v>
          </cell>
          <cell r="M128">
            <v>90.376999999999995</v>
          </cell>
          <cell r="N128">
            <v>91.533000000000001</v>
          </cell>
        </row>
        <row r="129">
          <cell r="E129">
            <v>14579.528544999999</v>
          </cell>
          <cell r="F129">
            <v>14084.811609</v>
          </cell>
          <cell r="G129">
            <v>19440.965514</v>
          </cell>
          <cell r="H129">
            <v>13509.176377</v>
          </cell>
          <cell r="I129">
            <v>11885.489625</v>
          </cell>
          <cell r="J129">
            <v>11978.058064000001</v>
          </cell>
          <cell r="K129">
            <v>11979.978157</v>
          </cell>
          <cell r="L129">
            <v>11886.718956999999</v>
          </cell>
          <cell r="M129">
            <v>12374.747949000001</v>
          </cell>
          <cell r="N129">
            <v>12496.52937</v>
          </cell>
        </row>
        <row r="131">
          <cell r="E131">
            <v>9377.1191030000009</v>
          </cell>
          <cell r="F131">
            <v>9481.8618399999996</v>
          </cell>
          <cell r="G131">
            <v>15346.552836999999</v>
          </cell>
          <cell r="H131">
            <v>9827.2567589999999</v>
          </cell>
          <cell r="I131">
            <v>9194.4885859999995</v>
          </cell>
          <cell r="J131">
            <v>10111.02246</v>
          </cell>
          <cell r="K131">
            <v>9801.7638210000005</v>
          </cell>
          <cell r="L131">
            <v>9868.4634330000008</v>
          </cell>
          <cell r="M131">
            <v>10160.417864999999</v>
          </cell>
          <cell r="N131">
            <v>9942.6689970000007</v>
          </cell>
        </row>
        <row r="132">
          <cell r="E132">
            <v>2180.9574889999999</v>
          </cell>
          <cell r="F132">
            <v>2108.8748329999999</v>
          </cell>
          <cell r="G132">
            <v>3142.0131710000001</v>
          </cell>
          <cell r="H132">
            <v>2160.354777</v>
          </cell>
          <cell r="I132">
            <v>2044.242076</v>
          </cell>
          <cell r="J132">
            <v>2166.655546</v>
          </cell>
          <cell r="K132">
            <v>2163.4698549999998</v>
          </cell>
          <cell r="L132">
            <v>2168.5291510000002</v>
          </cell>
          <cell r="M132">
            <v>2164.6145350000002</v>
          </cell>
          <cell r="N132">
            <v>2168.5264360000001</v>
          </cell>
        </row>
        <row r="133">
          <cell r="E133">
            <v>0</v>
          </cell>
          <cell r="F133">
            <v>0</v>
          </cell>
          <cell r="G133">
            <v>0</v>
          </cell>
          <cell r="H133">
            <v>0</v>
          </cell>
          <cell r="I133">
            <v>0</v>
          </cell>
          <cell r="J133">
            <v>0</v>
          </cell>
          <cell r="K133">
            <v>0</v>
          </cell>
          <cell r="L133">
            <v>0</v>
          </cell>
          <cell r="M133">
            <v>0</v>
          </cell>
          <cell r="N133">
            <v>0</v>
          </cell>
        </row>
        <row r="134">
          <cell r="E134">
            <v>500.97159199999999</v>
          </cell>
          <cell r="F134">
            <v>505.40453200000002</v>
          </cell>
          <cell r="G134">
            <v>915.16853400000002</v>
          </cell>
          <cell r="H134">
            <v>528.67837999999995</v>
          </cell>
          <cell r="I134">
            <v>521.18605200000002</v>
          </cell>
          <cell r="J134">
            <v>552.88788399999999</v>
          </cell>
          <cell r="K134">
            <v>562.83446900000001</v>
          </cell>
          <cell r="L134">
            <v>568.98458400000004</v>
          </cell>
          <cell r="M134">
            <v>603.95771100000002</v>
          </cell>
          <cell r="N134">
            <v>582.40151700000001</v>
          </cell>
        </row>
        <row r="135">
          <cell r="E135">
            <v>450.49583799999999</v>
          </cell>
          <cell r="F135">
            <v>422.45986699999997</v>
          </cell>
          <cell r="G135">
            <v>518.38075500000002</v>
          </cell>
          <cell r="H135">
            <v>236.37836200000001</v>
          </cell>
          <cell r="I135">
            <v>229.821853</v>
          </cell>
          <cell r="J135">
            <v>237.58240900000001</v>
          </cell>
          <cell r="K135">
            <v>263.40221600000001</v>
          </cell>
          <cell r="L135">
            <v>238.06218999999999</v>
          </cell>
          <cell r="M135">
            <v>246.10002399999999</v>
          </cell>
          <cell r="N135">
            <v>246.182029</v>
          </cell>
        </row>
        <row r="136">
          <cell r="E136">
            <v>12509.544022</v>
          </cell>
          <cell r="F136">
            <v>12518.601073</v>
          </cell>
          <cell r="G136">
            <v>19922.115297</v>
          </cell>
          <cell r="H136">
            <v>12752.668277999999</v>
          </cell>
          <cell r="I136">
            <v>11989.738567</v>
          </cell>
          <cell r="J136">
            <v>13068.148299</v>
          </cell>
          <cell r="K136">
            <v>12791.470362</v>
          </cell>
          <cell r="L136">
            <v>12844.039357</v>
          </cell>
          <cell r="M136">
            <v>13175.090136000001</v>
          </cell>
          <cell r="N136">
            <v>12939.778979000001</v>
          </cell>
        </row>
        <row r="138">
          <cell r="E138">
            <v>435.64773300000002</v>
          </cell>
          <cell r="F138">
            <v>190.35574700000001</v>
          </cell>
          <cell r="G138">
            <v>248.986966</v>
          </cell>
          <cell r="H138">
            <v>245.46876599999999</v>
          </cell>
          <cell r="I138">
            <v>189.26208399999999</v>
          </cell>
          <cell r="J138">
            <v>210.744958</v>
          </cell>
          <cell r="K138">
            <v>725.91850999999997</v>
          </cell>
          <cell r="L138">
            <v>201.91047900000001</v>
          </cell>
          <cell r="M138">
            <v>221.87895900000001</v>
          </cell>
          <cell r="N138">
            <v>256.93998499999998</v>
          </cell>
        </row>
        <row r="139">
          <cell r="E139">
            <v>191.760403</v>
          </cell>
          <cell r="F139">
            <v>254.04524699999999</v>
          </cell>
          <cell r="G139">
            <v>298.34183899999999</v>
          </cell>
          <cell r="H139">
            <v>215.872105</v>
          </cell>
          <cell r="I139">
            <v>214.568535</v>
          </cell>
          <cell r="J139">
            <v>218.25205199999999</v>
          </cell>
          <cell r="K139">
            <v>221.814179</v>
          </cell>
          <cell r="L139">
            <v>216.141413</v>
          </cell>
          <cell r="M139">
            <v>223.493875</v>
          </cell>
          <cell r="N139">
            <v>215.97855899999999</v>
          </cell>
        </row>
        <row r="140">
          <cell r="E140">
            <v>165.51108300000001</v>
          </cell>
          <cell r="F140">
            <v>165.26667800000001</v>
          </cell>
          <cell r="G140">
            <v>347.20437299999998</v>
          </cell>
          <cell r="H140">
            <v>171.30421799999999</v>
          </cell>
          <cell r="I140">
            <v>162.04158200000001</v>
          </cell>
          <cell r="J140">
            <v>166.42375000000001</v>
          </cell>
          <cell r="K140">
            <v>166.238471</v>
          </cell>
          <cell r="L140">
            <v>166.432906</v>
          </cell>
          <cell r="M140">
            <v>166.268719</v>
          </cell>
          <cell r="N140">
            <v>166.32499899999999</v>
          </cell>
        </row>
        <row r="141">
          <cell r="E141">
            <v>1891.898279</v>
          </cell>
          <cell r="F141">
            <v>1993.225396</v>
          </cell>
          <cell r="G141">
            <v>2661.1367100000002</v>
          </cell>
          <cell r="H141">
            <v>2232.5312020000001</v>
          </cell>
          <cell r="I141">
            <v>1820.473491</v>
          </cell>
          <cell r="J141">
            <v>2091.7593179999999</v>
          </cell>
          <cell r="K141">
            <v>1992.59168</v>
          </cell>
          <cell r="L141">
            <v>1901.34934</v>
          </cell>
          <cell r="M141">
            <v>1931.220282</v>
          </cell>
          <cell r="N141">
            <v>1944.272684</v>
          </cell>
        </row>
        <row r="142">
          <cell r="E142">
            <v>1309.447185</v>
          </cell>
          <cell r="F142">
            <v>1308.911636</v>
          </cell>
          <cell r="G142">
            <v>1379.881228</v>
          </cell>
          <cell r="H142">
            <v>1310.016065</v>
          </cell>
          <cell r="I142">
            <v>1301.55198</v>
          </cell>
          <cell r="J142">
            <v>1312.4602199999999</v>
          </cell>
          <cell r="K142">
            <v>1323.127125</v>
          </cell>
          <cell r="L142">
            <v>1323.857088</v>
          </cell>
          <cell r="M142">
            <v>1324.49117</v>
          </cell>
          <cell r="N142">
            <v>1323.9856850000001</v>
          </cell>
        </row>
        <row r="143">
          <cell r="E143">
            <v>15.400126999999999</v>
          </cell>
          <cell r="F143">
            <v>15.370189999999999</v>
          </cell>
          <cell r="G143">
            <v>22.589967000000001</v>
          </cell>
          <cell r="H143">
            <v>16.659146</v>
          </cell>
          <cell r="I143">
            <v>16.142378000000001</v>
          </cell>
          <cell r="J143">
            <v>16.779734000000001</v>
          </cell>
          <cell r="K143">
            <v>16.774650000000001</v>
          </cell>
          <cell r="L143">
            <v>16.808403999999999</v>
          </cell>
          <cell r="M143">
            <v>16.789452000000001</v>
          </cell>
          <cell r="N143">
            <v>16.808617000000002</v>
          </cell>
        </row>
        <row r="144">
          <cell r="E144">
            <v>869.48284899999999</v>
          </cell>
          <cell r="F144">
            <v>1025.2343330000001</v>
          </cell>
          <cell r="G144">
            <v>1099.9166990000001</v>
          </cell>
          <cell r="H144">
            <v>1042.070187</v>
          </cell>
          <cell r="I144">
            <v>950.03947200000005</v>
          </cell>
          <cell r="J144">
            <v>1030.545865</v>
          </cell>
          <cell r="K144">
            <v>939.93518600000004</v>
          </cell>
          <cell r="L144">
            <v>1014.217344</v>
          </cell>
          <cell r="M144">
            <v>958.35049400000003</v>
          </cell>
          <cell r="N144">
            <v>969.47978699999999</v>
          </cell>
        </row>
        <row r="145">
          <cell r="E145">
            <v>0</v>
          </cell>
          <cell r="F145">
            <v>0</v>
          </cell>
          <cell r="G145">
            <v>0</v>
          </cell>
          <cell r="H145">
            <v>0</v>
          </cell>
          <cell r="I145">
            <v>0</v>
          </cell>
          <cell r="J145">
            <v>0</v>
          </cell>
          <cell r="K145">
            <v>0</v>
          </cell>
          <cell r="L145">
            <v>0</v>
          </cell>
          <cell r="M145">
            <v>0</v>
          </cell>
          <cell r="N145">
            <v>0</v>
          </cell>
        </row>
        <row r="146">
          <cell r="E146">
            <v>92.909616999999997</v>
          </cell>
          <cell r="F146">
            <v>92.929795999999996</v>
          </cell>
          <cell r="G146">
            <v>138.71767700000001</v>
          </cell>
          <cell r="H146">
            <v>100.582131</v>
          </cell>
          <cell r="I146">
            <v>100.387568</v>
          </cell>
          <cell r="J146">
            <v>111.50231599999999</v>
          </cell>
          <cell r="K146">
            <v>103.16591099999999</v>
          </cell>
          <cell r="L146">
            <v>103.394637</v>
          </cell>
          <cell r="M146">
            <v>113.612893</v>
          </cell>
          <cell r="N146">
            <v>101.833907</v>
          </cell>
        </row>
        <row r="147">
          <cell r="E147">
            <v>4972.0572769999999</v>
          </cell>
          <cell r="F147">
            <v>5045.3390220000001</v>
          </cell>
          <cell r="G147">
            <v>6196.7754590000004</v>
          </cell>
          <cell r="H147">
            <v>5334.5038199999999</v>
          </cell>
          <cell r="I147">
            <v>4754.4670900000001</v>
          </cell>
          <cell r="J147">
            <v>5158.4682130000001</v>
          </cell>
          <cell r="K147">
            <v>5489.5657110000002</v>
          </cell>
          <cell r="L147">
            <v>4944.1116110000003</v>
          </cell>
          <cell r="M147">
            <v>4956.105845</v>
          </cell>
          <cell r="N147">
            <v>4995.6242220000004</v>
          </cell>
        </row>
        <row r="149">
          <cell r="E149">
            <v>0</v>
          </cell>
          <cell r="F149">
            <v>0</v>
          </cell>
          <cell r="G149">
            <v>0</v>
          </cell>
          <cell r="H149">
            <v>0</v>
          </cell>
          <cell r="I149">
            <v>0</v>
          </cell>
          <cell r="J149">
            <v>0</v>
          </cell>
          <cell r="K149">
            <v>0</v>
          </cell>
          <cell r="L149">
            <v>0</v>
          </cell>
          <cell r="M149">
            <v>0</v>
          </cell>
          <cell r="N149">
            <v>0</v>
          </cell>
        </row>
        <row r="150">
          <cell r="E150">
            <v>0</v>
          </cell>
          <cell r="F150">
            <v>0</v>
          </cell>
          <cell r="G150">
            <v>0</v>
          </cell>
          <cell r="H150">
            <v>0</v>
          </cell>
          <cell r="I150">
            <v>0</v>
          </cell>
          <cell r="J150">
            <v>0</v>
          </cell>
          <cell r="K150">
            <v>0</v>
          </cell>
          <cell r="L150">
            <v>0</v>
          </cell>
          <cell r="M150">
            <v>0</v>
          </cell>
          <cell r="N150">
            <v>0</v>
          </cell>
        </row>
        <row r="151">
          <cell r="E151">
            <v>0</v>
          </cell>
          <cell r="F151">
            <v>0</v>
          </cell>
          <cell r="G151">
            <v>0</v>
          </cell>
          <cell r="H151">
            <v>0</v>
          </cell>
          <cell r="I151">
            <v>0</v>
          </cell>
          <cell r="J151">
            <v>0</v>
          </cell>
          <cell r="K151">
            <v>0</v>
          </cell>
          <cell r="L151">
            <v>0</v>
          </cell>
          <cell r="M151">
            <v>0</v>
          </cell>
          <cell r="N151">
            <v>0</v>
          </cell>
        </row>
        <row r="152">
          <cell r="E152">
            <v>35</v>
          </cell>
          <cell r="F152">
            <v>35</v>
          </cell>
          <cell r="G152">
            <v>35</v>
          </cell>
          <cell r="H152">
            <v>35</v>
          </cell>
          <cell r="I152">
            <v>35</v>
          </cell>
          <cell r="J152">
            <v>35</v>
          </cell>
          <cell r="K152">
            <v>35</v>
          </cell>
          <cell r="L152">
            <v>35</v>
          </cell>
          <cell r="M152">
            <v>35</v>
          </cell>
          <cell r="N152">
            <v>35</v>
          </cell>
        </row>
        <row r="153">
          <cell r="E153">
            <v>0</v>
          </cell>
          <cell r="F153">
            <v>0</v>
          </cell>
          <cell r="G153">
            <v>0</v>
          </cell>
          <cell r="H153">
            <v>0</v>
          </cell>
          <cell r="I153">
            <v>0</v>
          </cell>
          <cell r="J153">
            <v>0</v>
          </cell>
          <cell r="K153">
            <v>0</v>
          </cell>
          <cell r="L153">
            <v>0</v>
          </cell>
          <cell r="M153">
            <v>0</v>
          </cell>
          <cell r="N153">
            <v>0</v>
          </cell>
        </row>
        <row r="154">
          <cell r="E154">
            <v>3666.6666666666702</v>
          </cell>
          <cell r="F154">
            <v>3666.6666666666702</v>
          </cell>
          <cell r="G154">
            <v>3666.6666666666702</v>
          </cell>
          <cell r="H154">
            <v>3763.6666666666702</v>
          </cell>
          <cell r="I154">
            <v>3763.6666666666702</v>
          </cell>
          <cell r="J154">
            <v>3763.6666666666702</v>
          </cell>
          <cell r="K154">
            <v>4333.6666666666706</v>
          </cell>
          <cell r="L154">
            <v>4333.6666666666706</v>
          </cell>
          <cell r="M154">
            <v>4333.6666666666706</v>
          </cell>
          <cell r="N154">
            <v>4403.6666666666697</v>
          </cell>
        </row>
        <row r="155">
          <cell r="E155">
            <v>0</v>
          </cell>
          <cell r="F155">
            <v>0</v>
          </cell>
          <cell r="G155">
            <v>0</v>
          </cell>
          <cell r="H155">
            <v>0</v>
          </cell>
          <cell r="I155">
            <v>0</v>
          </cell>
          <cell r="J155">
            <v>0</v>
          </cell>
          <cell r="K155">
            <v>0</v>
          </cell>
          <cell r="L155">
            <v>0</v>
          </cell>
          <cell r="M155">
            <v>0</v>
          </cell>
          <cell r="N155">
            <v>0</v>
          </cell>
        </row>
        <row r="156">
          <cell r="E156">
            <v>3701.6666666666702</v>
          </cell>
          <cell r="F156">
            <v>3701.6666666666702</v>
          </cell>
          <cell r="G156">
            <v>3701.6666666666702</v>
          </cell>
          <cell r="H156">
            <v>3798.6666666666702</v>
          </cell>
          <cell r="I156">
            <v>3798.6666666666702</v>
          </cell>
          <cell r="J156">
            <v>3798.6666666666702</v>
          </cell>
          <cell r="K156">
            <v>4368.6666666666706</v>
          </cell>
          <cell r="L156">
            <v>4368.6666666666706</v>
          </cell>
          <cell r="M156">
            <v>4368.6666666666706</v>
          </cell>
          <cell r="N156">
            <v>4438.6666666666697</v>
          </cell>
        </row>
        <row r="158">
          <cell r="C158" t="str">
            <v>Earthlink - BD&amp;PP</v>
          </cell>
          <cell r="E158">
            <v>4768.4892019999998</v>
          </cell>
          <cell r="F158">
            <v>4759.3496340000002</v>
          </cell>
          <cell r="G158">
            <v>4909.1697549999999</v>
          </cell>
          <cell r="H158">
            <v>4786.3095309999999</v>
          </cell>
          <cell r="I158">
            <v>4741.9922059999999</v>
          </cell>
          <cell r="J158">
            <v>4806.9347289999996</v>
          </cell>
          <cell r="K158">
            <v>4805.7302159999999</v>
          </cell>
          <cell r="L158">
            <v>4819.3616400000001</v>
          </cell>
          <cell r="M158">
            <v>4828.5558709999996</v>
          </cell>
          <cell r="N158">
            <v>4846.391901</v>
          </cell>
          <cell r="O158">
            <v>4865.2738209999998</v>
          </cell>
          <cell r="P158">
            <v>4882.9048979999998</v>
          </cell>
          <cell r="Q158">
            <v>14437.008590999998</v>
          </cell>
          <cell r="R158">
            <v>14335.236465999998</v>
          </cell>
          <cell r="S158">
            <v>14453.647727</v>
          </cell>
          <cell r="T158">
            <v>14594.570619999999</v>
          </cell>
          <cell r="U158">
            <v>57820.463403999995</v>
          </cell>
        </row>
        <row r="159">
          <cell r="C159" t="str">
            <v>PeoplePC - BD&amp;PP</v>
          </cell>
          <cell r="E159">
            <v>244.83199999999999</v>
          </cell>
          <cell r="F159">
            <v>261.834</v>
          </cell>
          <cell r="G159">
            <v>279.26400000000001</v>
          </cell>
          <cell r="H159">
            <v>307.24299999999999</v>
          </cell>
          <cell r="I159">
            <v>330.18200000000002</v>
          </cell>
          <cell r="J159">
            <v>356.15600000000001</v>
          </cell>
          <cell r="K159">
            <v>379.05</v>
          </cell>
          <cell r="L159">
            <v>403.41300000000001</v>
          </cell>
          <cell r="M159">
            <v>428.32299999999998</v>
          </cell>
          <cell r="N159">
            <v>449.92</v>
          </cell>
          <cell r="O159">
            <v>466.96600000000001</v>
          </cell>
          <cell r="P159">
            <v>485.75799999999998</v>
          </cell>
          <cell r="Q159">
            <v>785.93</v>
          </cell>
          <cell r="R159">
            <v>993.5809999999999</v>
          </cell>
          <cell r="S159">
            <v>1210.7860000000001</v>
          </cell>
          <cell r="T159">
            <v>1402.644</v>
          </cell>
          <cell r="U159">
            <v>4392.9409999999998</v>
          </cell>
        </row>
        <row r="160">
          <cell r="C160" t="str">
            <v>PNL Bad Debt &amp; Pmt Process</v>
          </cell>
          <cell r="E160">
            <v>5013.3212020000001</v>
          </cell>
          <cell r="F160">
            <v>5021.183634</v>
          </cell>
          <cell r="G160">
            <v>5188.433755</v>
          </cell>
          <cell r="H160">
            <v>5093.5525310000003</v>
          </cell>
          <cell r="I160">
            <v>5072.1742059999997</v>
          </cell>
          <cell r="J160">
            <v>5163.0907289999996</v>
          </cell>
          <cell r="K160">
            <v>5184.7802160000001</v>
          </cell>
          <cell r="L160">
            <v>5222.7746399999996</v>
          </cell>
          <cell r="M160">
            <v>5256.8788709999999</v>
          </cell>
          <cell r="N160">
            <v>5296.311901</v>
          </cell>
          <cell r="O160">
            <v>5332.2398210000001</v>
          </cell>
          <cell r="P160">
            <v>5368.6628979999996</v>
          </cell>
          <cell r="Q160">
            <v>15222.938591</v>
          </cell>
          <cell r="R160">
            <v>15328.817466</v>
          </cell>
          <cell r="S160">
            <v>15664.433727</v>
          </cell>
          <cell r="T160">
            <v>15997.214619999999</v>
          </cell>
          <cell r="U160">
            <v>62213.404404000001</v>
          </cell>
        </row>
        <row r="161">
          <cell r="B161" t="str">
            <v>Subtotal General &amp; Admin</v>
          </cell>
          <cell r="E161">
            <v>13687.045145666671</v>
          </cell>
          <cell r="F161">
            <v>13768.189322666669</v>
          </cell>
          <cell r="G161">
            <v>15086.87588066667</v>
          </cell>
          <cell r="H161">
            <v>14226.723017666671</v>
          </cell>
          <cell r="I161">
            <v>13625.307962666669</v>
          </cell>
          <cell r="J161">
            <v>14120.225608666669</v>
          </cell>
          <cell r="K161">
            <v>15043.01259366667</v>
          </cell>
          <cell r="L161">
            <v>14535.552917666671</v>
          </cell>
          <cell r="M161">
            <v>14581.651382666671</v>
          </cell>
          <cell r="N161">
            <v>14730.602789666671</v>
          </cell>
          <cell r="O161">
            <v>14801.38101766667</v>
          </cell>
          <cell r="P161">
            <v>14687.423394666668</v>
          </cell>
          <cell r="Q161">
            <v>42542.110348000009</v>
          </cell>
          <cell r="R161">
            <v>41972.256589000011</v>
          </cell>
          <cell r="S161">
            <v>44160.216895000005</v>
          </cell>
          <cell r="T161">
            <v>44219.407202000009</v>
          </cell>
          <cell r="U161">
            <v>172893.99103400004</v>
          </cell>
        </row>
        <row r="162">
          <cell r="C162" t="str">
            <v>Operating Contribution Margin</v>
          </cell>
          <cell r="E162">
            <v>35403.935081333329</v>
          </cell>
          <cell r="F162">
            <v>35573.723745333336</v>
          </cell>
          <cell r="G162">
            <v>22116.172364333339</v>
          </cell>
          <cell r="H162">
            <v>36582.210165333323</v>
          </cell>
          <cell r="I162">
            <v>40272.306926333331</v>
          </cell>
          <cell r="J162">
            <v>39280.396156333321</v>
          </cell>
          <cell r="K162">
            <v>39695.229591333322</v>
          </cell>
          <cell r="L162">
            <v>40854.136932333335</v>
          </cell>
          <cell r="M162">
            <v>40681.78533733332</v>
          </cell>
          <cell r="N162">
            <v>41493.477082333331</v>
          </cell>
          <cell r="O162">
            <v>43113.373541333334</v>
          </cell>
          <cell r="P162">
            <v>44005.402454333336</v>
          </cell>
          <cell r="Q162">
            <v>93093.831192999991</v>
          </cell>
          <cell r="R162">
            <v>116134.91324899999</v>
          </cell>
          <cell r="S162">
            <v>121231.15186</v>
          </cell>
          <cell r="T162">
            <v>128612.25307899999</v>
          </cell>
          <cell r="U162">
            <v>459072.14938099997</v>
          </cell>
        </row>
        <row r="163">
          <cell r="C163" t="str">
            <v>% OCM</v>
          </cell>
          <cell r="E163">
            <v>0.30230640229061106</v>
          </cell>
          <cell r="F163">
            <v>0.30392836810792201</v>
          </cell>
          <cell r="G163">
            <v>0.18763827587000695</v>
          </cell>
          <cell r="H163">
            <v>0.3079856385772845</v>
          </cell>
          <cell r="I163">
            <v>0.33617441061840003</v>
          </cell>
          <cell r="J163">
            <v>0.32572754666568837</v>
          </cell>
          <cell r="K163">
            <v>0.32569719044144352</v>
          </cell>
          <cell r="L163">
            <v>0.33228059514658909</v>
          </cell>
          <cell r="M163">
            <v>0.32801762419278374</v>
          </cell>
          <cell r="N163">
            <v>0.330787959007809</v>
          </cell>
          <cell r="O163">
            <v>0.34018259557575736</v>
          </cell>
          <cell r="P163">
            <v>0.34331710088064071</v>
          </cell>
          <cell r="Q163">
            <v>0.26445221083831022</v>
          </cell>
          <cell r="R163">
            <v>0.32334460914885921</v>
          </cell>
          <cell r="S163">
            <v>0.32867188775729966</v>
          </cell>
          <cell r="T163">
            <v>0.33814060162872445</v>
          </cell>
          <cell r="U163">
            <v>0.31434776447192586</v>
          </cell>
        </row>
        <row r="165">
          <cell r="C165" t="str">
            <v>Marketing Division</v>
          </cell>
          <cell r="E165">
            <v>15267.059399</v>
          </cell>
          <cell r="F165">
            <v>16765.33337</v>
          </cell>
          <cell r="G165">
            <v>14473.187709</v>
          </cell>
          <cell r="H165">
            <v>13958.934365999999</v>
          </cell>
          <cell r="I165">
            <v>12456.673279000001</v>
          </cell>
          <cell r="J165">
            <v>12556.743418</v>
          </cell>
          <cell r="K165">
            <v>12010.829394</v>
          </cell>
          <cell r="L165">
            <v>11693.109920000001</v>
          </cell>
          <cell r="M165">
            <v>13897.389515000001</v>
          </cell>
          <cell r="N165">
            <v>13015.571667</v>
          </cell>
          <cell r="O165">
            <v>13162.314767</v>
          </cell>
          <cell r="P165">
            <v>12907.570196999999</v>
          </cell>
          <cell r="Q165">
            <v>46505.580478000003</v>
          </cell>
          <cell r="R165">
            <v>38972.351063000002</v>
          </cell>
          <cell r="S165">
            <v>37601.328828999998</v>
          </cell>
          <cell r="T165">
            <v>39085.456631000001</v>
          </cell>
          <cell r="U165">
            <v>162164.717</v>
          </cell>
        </row>
        <row r="166">
          <cell r="C166" t="str">
            <v>Sales Divison</v>
          </cell>
          <cell r="E166">
            <v>12288.748536999999</v>
          </cell>
          <cell r="F166">
            <v>13165.547074</v>
          </cell>
          <cell r="G166">
            <v>13790.407557</v>
          </cell>
          <cell r="H166">
            <v>13861.045818000001</v>
          </cell>
          <cell r="I166">
            <v>13037.769977</v>
          </cell>
          <cell r="J166">
            <v>12505.284062999999</v>
          </cell>
          <cell r="K166">
            <v>13059.779504</v>
          </cell>
          <cell r="L166">
            <v>13740.739317</v>
          </cell>
          <cell r="M166">
            <v>12865.908834</v>
          </cell>
          <cell r="N166">
            <v>13879.56187</v>
          </cell>
          <cell r="O166">
            <v>13450.457677</v>
          </cell>
          <cell r="P166">
            <v>13394.312453</v>
          </cell>
          <cell r="Q166">
            <v>39244.703169</v>
          </cell>
          <cell r="R166">
            <v>39404.099859000002</v>
          </cell>
          <cell r="S166">
            <v>39666.427655</v>
          </cell>
          <cell r="T166">
            <v>40724.331999000002</v>
          </cell>
          <cell r="U166">
            <v>159039.56268199999</v>
          </cell>
        </row>
        <row r="167">
          <cell r="C167" t="str">
            <v>Product Division</v>
          </cell>
          <cell r="E167">
            <v>1753.1026649999999</v>
          </cell>
          <cell r="F167">
            <v>1922.6962120000001</v>
          </cell>
          <cell r="G167">
            <v>2719.6903699999998</v>
          </cell>
          <cell r="H167">
            <v>1987.0553420000001</v>
          </cell>
          <cell r="I167">
            <v>2087.1389250000002</v>
          </cell>
          <cell r="J167">
            <v>2173.3462169999998</v>
          </cell>
          <cell r="K167">
            <v>2052.1080510000002</v>
          </cell>
          <cell r="L167">
            <v>2226.0382549999999</v>
          </cell>
          <cell r="M167">
            <v>2133.0136299999999</v>
          </cell>
          <cell r="N167">
            <v>2106.7366299999999</v>
          </cell>
          <cell r="O167">
            <v>2209.5825070000001</v>
          </cell>
          <cell r="P167">
            <v>2118.6647969999999</v>
          </cell>
          <cell r="Q167">
            <v>6395.4892470000004</v>
          </cell>
          <cell r="R167">
            <v>6247.5404829999998</v>
          </cell>
          <cell r="S167">
            <v>6411.159936</v>
          </cell>
          <cell r="T167">
            <v>6434.9839339999999</v>
          </cell>
          <cell r="U167">
            <v>25489.173599999998</v>
          </cell>
        </row>
        <row r="168">
          <cell r="C168" t="str">
            <v>ELNK Wireless Division</v>
          </cell>
          <cell r="E168">
            <v>940.14981</v>
          </cell>
          <cell r="F168">
            <v>1026.0636340000001</v>
          </cell>
          <cell r="G168">
            <v>1232.038282</v>
          </cell>
          <cell r="H168">
            <v>884.18301599999995</v>
          </cell>
          <cell r="I168">
            <v>909.00903900000003</v>
          </cell>
          <cell r="J168">
            <v>852.07320900000002</v>
          </cell>
          <cell r="K168">
            <v>863.20980499999996</v>
          </cell>
          <cell r="L168">
            <v>919.91319499999997</v>
          </cell>
          <cell r="M168">
            <v>880.32992300000001</v>
          </cell>
          <cell r="N168">
            <v>896.79648799999995</v>
          </cell>
          <cell r="O168">
            <v>974.53593599999999</v>
          </cell>
          <cell r="P168">
            <v>953.63784999999996</v>
          </cell>
          <cell r="Q168">
            <v>3198.251726</v>
          </cell>
          <cell r="R168">
            <v>2645.2652640000001</v>
          </cell>
          <cell r="S168">
            <v>2663.4529219999999</v>
          </cell>
          <cell r="T168">
            <v>2824.9702739999998</v>
          </cell>
          <cell r="U168">
            <v>11331.940186</v>
          </cell>
        </row>
        <row r="169">
          <cell r="E169">
            <v>61.079143999999999</v>
          </cell>
          <cell r="F169">
            <v>61.104458000000001</v>
          </cell>
          <cell r="G169">
            <v>496.57902000000001</v>
          </cell>
          <cell r="H169">
            <v>61.217477000000002</v>
          </cell>
          <cell r="I169">
            <v>60.010795999999999</v>
          </cell>
          <cell r="J169">
            <v>436.49366900000001</v>
          </cell>
          <cell r="K169">
            <v>61.349921000000002</v>
          </cell>
          <cell r="L169">
            <v>61.459190999999997</v>
          </cell>
          <cell r="M169">
            <v>436.42767099999998</v>
          </cell>
          <cell r="N169">
            <v>61.488695999999997</v>
          </cell>
        </row>
        <row r="170">
          <cell r="E170">
            <v>1308.4982520000001</v>
          </cell>
          <cell r="F170">
            <v>1308.309107</v>
          </cell>
          <cell r="G170">
            <v>1440.8501369999999</v>
          </cell>
          <cell r="H170">
            <v>1292.863576</v>
          </cell>
          <cell r="I170">
            <v>1265.420134</v>
          </cell>
          <cell r="J170">
            <v>1280.308698</v>
          </cell>
          <cell r="K170">
            <v>1357.773046</v>
          </cell>
          <cell r="L170">
            <v>1366.632683</v>
          </cell>
          <cell r="M170">
            <v>1319.7920389999999</v>
          </cell>
          <cell r="N170">
            <v>1359.0708609999999</v>
          </cell>
        </row>
        <row r="171">
          <cell r="E171">
            <v>5575.4225489999999</v>
          </cell>
          <cell r="F171">
            <v>6066.0669200000002</v>
          </cell>
          <cell r="G171">
            <v>7579.5519260000001</v>
          </cell>
          <cell r="H171">
            <v>6635.9253150000004</v>
          </cell>
          <cell r="I171">
            <v>7009.7236140000005</v>
          </cell>
          <cell r="J171">
            <v>7839.8705620000001</v>
          </cell>
          <cell r="K171">
            <v>7374.320084</v>
          </cell>
          <cell r="L171">
            <v>7466.3540210000001</v>
          </cell>
          <cell r="M171">
            <v>7775.3657949999997</v>
          </cell>
          <cell r="N171">
            <v>6965.6327410000004</v>
          </cell>
        </row>
        <row r="172">
          <cell r="E172">
            <v>673.822765</v>
          </cell>
          <cell r="F172">
            <v>669.59008800000004</v>
          </cell>
          <cell r="G172">
            <v>1418.990211</v>
          </cell>
          <cell r="H172">
            <v>738.79915000000005</v>
          </cell>
          <cell r="I172">
            <v>672.63074600000004</v>
          </cell>
          <cell r="J172">
            <v>751.56753500000002</v>
          </cell>
          <cell r="K172">
            <v>750.64751699999999</v>
          </cell>
          <cell r="L172">
            <v>776.59728199999995</v>
          </cell>
          <cell r="M172">
            <v>777.16428399999995</v>
          </cell>
          <cell r="N172">
            <v>821.68968099999995</v>
          </cell>
        </row>
        <row r="173">
          <cell r="E173">
            <v>3424.7712459999998</v>
          </cell>
          <cell r="F173">
            <v>3223.230137</v>
          </cell>
          <cell r="G173">
            <v>3933.1088840000002</v>
          </cell>
          <cell r="H173">
            <v>2847.0613239999998</v>
          </cell>
          <cell r="I173">
            <v>2451.5930170000001</v>
          </cell>
          <cell r="J173">
            <v>2328.4291370000001</v>
          </cell>
          <cell r="K173">
            <v>1979.2137760000001</v>
          </cell>
          <cell r="L173">
            <v>1967.465271</v>
          </cell>
          <cell r="M173">
            <v>2002.9965030000001</v>
          </cell>
          <cell r="N173">
            <v>2169.1859890000001</v>
          </cell>
        </row>
        <row r="174">
          <cell r="E174">
            <v>0</v>
          </cell>
          <cell r="F174">
            <v>0</v>
          </cell>
          <cell r="G174">
            <v>0</v>
          </cell>
          <cell r="H174">
            <v>0</v>
          </cell>
          <cell r="I174">
            <v>0</v>
          </cell>
          <cell r="J174">
            <v>0</v>
          </cell>
          <cell r="K174">
            <v>0</v>
          </cell>
          <cell r="L174">
            <v>0</v>
          </cell>
          <cell r="M174">
            <v>0</v>
          </cell>
          <cell r="N174">
            <v>0</v>
          </cell>
        </row>
        <row r="175">
          <cell r="E175">
            <v>47.566000000000003</v>
          </cell>
          <cell r="F175">
            <v>36.472999999999999</v>
          </cell>
          <cell r="G175">
            <v>34.549999999999997</v>
          </cell>
          <cell r="H175">
            <v>31.132000000000001</v>
          </cell>
          <cell r="I175">
            <v>27.972999999999999</v>
          </cell>
          <cell r="J175">
            <v>12.308</v>
          </cell>
          <cell r="K175">
            <v>8.8610000000000007</v>
          </cell>
          <cell r="L175">
            <v>5.6890000000000001</v>
          </cell>
          <cell r="M175">
            <v>2.7290000000000001</v>
          </cell>
          <cell r="N175">
            <v>2.722</v>
          </cell>
        </row>
        <row r="176">
          <cell r="C176" t="str">
            <v>Customer Support - Customer Retention &amp; Loyalty</v>
          </cell>
          <cell r="E176">
            <v>786.02705600000002</v>
          </cell>
          <cell r="F176">
            <v>498.39413200000001</v>
          </cell>
          <cell r="G176">
            <v>776.01769899999999</v>
          </cell>
          <cell r="H176">
            <v>748.54397400000005</v>
          </cell>
          <cell r="I176">
            <v>616.16956600000003</v>
          </cell>
          <cell r="J176">
            <v>622.47706600000004</v>
          </cell>
          <cell r="K176">
            <v>665.62022100000002</v>
          </cell>
          <cell r="L176">
            <v>616.00915299999997</v>
          </cell>
          <cell r="M176">
            <v>728.86166500000002</v>
          </cell>
          <cell r="N176">
            <v>588.93455600000004</v>
          </cell>
          <cell r="O176">
            <v>577.73401000000001</v>
          </cell>
          <cell r="P176">
            <v>537.21061399999996</v>
          </cell>
          <cell r="Q176">
            <v>2060.4388859999999</v>
          </cell>
          <cell r="R176">
            <v>1987.1906059999999</v>
          </cell>
          <cell r="S176">
            <v>2010.491039</v>
          </cell>
          <cell r="T176">
            <v>1703.8791799999999</v>
          </cell>
          <cell r="U176">
            <v>7761.9997100000001</v>
          </cell>
        </row>
        <row r="177">
          <cell r="E177">
            <v>42126.247422</v>
          </cell>
          <cell r="F177">
            <v>44742.808130999998</v>
          </cell>
          <cell r="G177">
            <v>47894.971794999998</v>
          </cell>
          <cell r="H177">
            <v>43046.761358999996</v>
          </cell>
          <cell r="I177">
            <v>40594.112093999996</v>
          </cell>
          <cell r="J177">
            <v>41358.901575000004</v>
          </cell>
          <cell r="K177">
            <v>40183.712317999998</v>
          </cell>
          <cell r="L177">
            <v>40840.007287</v>
          </cell>
          <cell r="M177">
            <v>42819.978857000002</v>
          </cell>
          <cell r="N177">
            <v>41867.391179999999</v>
          </cell>
        </row>
        <row r="178">
          <cell r="E178">
            <v>82902.365134666674</v>
          </cell>
          <cell r="F178">
            <v>85114.410135666665</v>
          </cell>
          <cell r="G178">
            <v>102344.92848666667</v>
          </cell>
          <cell r="H178">
            <v>83535.329031666668</v>
          </cell>
          <cell r="I178">
            <v>78094.648248666665</v>
          </cell>
          <cell r="J178">
            <v>80525.333546666676</v>
          </cell>
          <cell r="K178">
            <v>79998.173430666677</v>
          </cell>
          <cell r="L178">
            <v>80106.318518666667</v>
          </cell>
          <cell r="M178">
            <v>82951.468324666668</v>
          </cell>
          <cell r="N178">
            <v>82034.302318666669</v>
          </cell>
        </row>
        <row r="179">
          <cell r="E179">
            <v>-6722.3123406666709</v>
          </cell>
          <cell r="F179">
            <v>-9169.0843856666615</v>
          </cell>
          <cell r="G179">
            <v>-25778.799430666659</v>
          </cell>
          <cell r="H179">
            <v>-6464.5511936666735</v>
          </cell>
          <cell r="I179">
            <v>-321.80516766666551</v>
          </cell>
          <cell r="J179">
            <v>-2078.5054186666821</v>
          </cell>
          <cell r="K179">
            <v>-488.48272666667617</v>
          </cell>
          <cell r="L179">
            <v>14.129645333334338</v>
          </cell>
          <cell r="M179">
            <v>-2138.1935196666818</v>
          </cell>
          <cell r="N179">
            <v>-373.91409766666766</v>
          </cell>
        </row>
        <row r="181">
          <cell r="E181">
            <v>2873.9155059999998</v>
          </cell>
          <cell r="F181">
            <v>2809.557143</v>
          </cell>
          <cell r="G181">
            <v>2414.076133</v>
          </cell>
          <cell r="H181">
            <v>2385.5526610000002</v>
          </cell>
          <cell r="I181">
            <v>2342.6943270000002</v>
          </cell>
          <cell r="J181">
            <v>2255.9601080000002</v>
          </cell>
          <cell r="K181">
            <v>2203.9206290000002</v>
          </cell>
          <cell r="L181">
            <v>2237.4606749999998</v>
          </cell>
          <cell r="M181">
            <v>1966.831459</v>
          </cell>
          <cell r="N181">
            <v>1992.1026260000001</v>
          </cell>
        </row>
        <row r="183">
          <cell r="E183">
            <v>333.33333299999998</v>
          </cell>
          <cell r="F183">
            <v>333.33333299999998</v>
          </cell>
          <cell r="G183">
            <v>3233.333333</v>
          </cell>
          <cell r="H183">
            <v>266.66666700000002</v>
          </cell>
          <cell r="I183">
            <v>266.66666700000002</v>
          </cell>
          <cell r="J183">
            <v>2766.666667</v>
          </cell>
          <cell r="K183">
            <v>133.33333300000001</v>
          </cell>
          <cell r="L183">
            <v>133.33333300000001</v>
          </cell>
          <cell r="M183">
            <v>133.33333300000001</v>
          </cell>
          <cell r="N183">
            <v>133.33333300000001</v>
          </cell>
        </row>
        <row r="184">
          <cell r="E184">
            <v>1233.333333</v>
          </cell>
          <cell r="F184">
            <v>1233.333333</v>
          </cell>
          <cell r="G184">
            <v>1233.333333</v>
          </cell>
          <cell r="H184">
            <v>0</v>
          </cell>
          <cell r="I184">
            <v>0</v>
          </cell>
          <cell r="J184">
            <v>0</v>
          </cell>
          <cell r="K184">
            <v>0</v>
          </cell>
          <cell r="L184">
            <v>0</v>
          </cell>
          <cell r="M184">
            <v>0</v>
          </cell>
          <cell r="N184">
            <v>0</v>
          </cell>
        </row>
        <row r="185">
          <cell r="E185">
            <v>1566.666667</v>
          </cell>
          <cell r="F185">
            <v>1566.666667</v>
          </cell>
          <cell r="G185">
            <v>4466.6666670000004</v>
          </cell>
          <cell r="H185">
            <v>266.66666700000002</v>
          </cell>
          <cell r="I185">
            <v>266.66666700000002</v>
          </cell>
          <cell r="J185">
            <v>2766.666667</v>
          </cell>
          <cell r="K185">
            <v>133.33333300000001</v>
          </cell>
          <cell r="L185">
            <v>133.33333300000001</v>
          </cell>
          <cell r="M185">
            <v>133.33333300000001</v>
          </cell>
          <cell r="N185">
            <v>133.33333300000001</v>
          </cell>
        </row>
        <row r="186">
          <cell r="E186">
            <v>-11162.89451366667</v>
          </cell>
          <cell r="F186">
            <v>-13545.308195666661</v>
          </cell>
          <cell r="G186">
            <v>-32659.542230666659</v>
          </cell>
          <cell r="H186">
            <v>-9116.7705216666727</v>
          </cell>
          <cell r="I186">
            <v>-2931.1661616666656</v>
          </cell>
          <cell r="J186">
            <v>-7101.1321936666827</v>
          </cell>
          <cell r="K186">
            <v>-2825.7366886666764</v>
          </cell>
          <cell r="L186">
            <v>-2356.6643626666655</v>
          </cell>
          <cell r="M186">
            <v>-4238.3583116666814</v>
          </cell>
          <cell r="N186">
            <v>-2499.3500566666676</v>
          </cell>
        </row>
        <row r="188">
          <cell r="E188">
            <v>-658.29271900000003</v>
          </cell>
          <cell r="F188">
            <v>-658.29271900000003</v>
          </cell>
          <cell r="G188">
            <v>-658.29271900000003</v>
          </cell>
          <cell r="H188">
            <v>-658.29271900000003</v>
          </cell>
          <cell r="I188">
            <v>-658.29271900000003</v>
          </cell>
          <cell r="J188">
            <v>-658.29271900000003</v>
          </cell>
          <cell r="K188">
            <v>-658.29271900000003</v>
          </cell>
          <cell r="L188">
            <v>-658.29271900000003</v>
          </cell>
          <cell r="M188">
            <v>-658.29271900000003</v>
          </cell>
          <cell r="N188">
            <v>-658.29271900000003</v>
          </cell>
        </row>
        <row r="189">
          <cell r="E189">
            <v>0</v>
          </cell>
          <cell r="F189">
            <v>0</v>
          </cell>
          <cell r="G189">
            <v>0</v>
          </cell>
          <cell r="H189">
            <v>0</v>
          </cell>
          <cell r="I189">
            <v>0</v>
          </cell>
          <cell r="J189">
            <v>0</v>
          </cell>
          <cell r="K189">
            <v>0</v>
          </cell>
          <cell r="L189">
            <v>0</v>
          </cell>
          <cell r="M189">
            <v>0</v>
          </cell>
          <cell r="N189">
            <v>0</v>
          </cell>
        </row>
        <row r="190">
          <cell r="E190">
            <v>-10504.601794666669</v>
          </cell>
          <cell r="F190">
            <v>-12887.01547666666</v>
          </cell>
          <cell r="G190">
            <v>-32001.249511666658</v>
          </cell>
          <cell r="H190">
            <v>-8458.4778026666718</v>
          </cell>
          <cell r="I190">
            <v>-2272.8734426666656</v>
          </cell>
          <cell r="J190">
            <v>-6442.8394746666827</v>
          </cell>
          <cell r="K190">
            <v>-2167.4439696666764</v>
          </cell>
          <cell r="L190">
            <v>-1698.3716436666655</v>
          </cell>
          <cell r="M190">
            <v>-3580.0655926666814</v>
          </cell>
          <cell r="N190">
            <v>-1841.0573376666675</v>
          </cell>
        </row>
        <row r="191">
          <cell r="E191">
            <v>-8.9696480595896008E-2</v>
          </cell>
          <cell r="F191">
            <v>-0.11010175970455274</v>
          </cell>
          <cell r="G191">
            <v>-0.27150535748847404</v>
          </cell>
          <cell r="H191">
            <v>-7.1211927209219358E-2</v>
          </cell>
          <cell r="I191">
            <v>-1.8972886042916522E-2</v>
          </cell>
          <cell r="J191">
            <v>-5.3426403524335753E-2</v>
          </cell>
          <cell r="K191">
            <v>-1.7783759374295494E-2</v>
          </cell>
          <cell r="L191">
            <v>-1.3813434401327811E-2</v>
          </cell>
          <cell r="M191">
            <v>-2.8866103107898451E-2</v>
          </cell>
          <cell r="N191">
            <v>-1.4676996047708937E-2</v>
          </cell>
        </row>
        <row r="193">
          <cell r="E193">
            <v>-658.29271900000003</v>
          </cell>
          <cell r="F193">
            <v>-658.29271900000003</v>
          </cell>
          <cell r="G193">
            <v>-658.29271900000003</v>
          </cell>
          <cell r="H193">
            <v>-658.29271900000003</v>
          </cell>
          <cell r="I193">
            <v>-658.29271900000003</v>
          </cell>
          <cell r="J193">
            <v>-658.29271900000003</v>
          </cell>
          <cell r="K193">
            <v>-658.29271900000003</v>
          </cell>
          <cell r="L193">
            <v>-658.29271900000003</v>
          </cell>
          <cell r="M193">
            <v>-658.29271900000003</v>
          </cell>
          <cell r="N193">
            <v>-658.29271900000003</v>
          </cell>
        </row>
        <row r="194">
          <cell r="E194">
            <v>5468.4188679999997</v>
          </cell>
          <cell r="F194">
            <v>5382.9841479999995</v>
          </cell>
          <cell r="G194">
            <v>5236.4101229999997</v>
          </cell>
          <cell r="H194">
            <v>5076.963006</v>
          </cell>
          <cell r="I194">
            <v>2983.4800489999998</v>
          </cell>
          <cell r="J194">
            <v>4828.8365299999996</v>
          </cell>
          <cell r="K194">
            <v>4682.6047449999996</v>
          </cell>
          <cell r="L194">
            <v>4584.074842</v>
          </cell>
          <cell r="M194">
            <v>4462.059698</v>
          </cell>
          <cell r="N194">
            <v>4262.4685550000004</v>
          </cell>
        </row>
        <row r="195">
          <cell r="E195">
            <v>2873.9155059999998</v>
          </cell>
          <cell r="F195">
            <v>2809.557143</v>
          </cell>
          <cell r="G195">
            <v>2414.076133</v>
          </cell>
          <cell r="H195">
            <v>2385.5526610000002</v>
          </cell>
          <cell r="I195">
            <v>2342.6943270000002</v>
          </cell>
          <cell r="J195">
            <v>2255.9601080000002</v>
          </cell>
          <cell r="K195">
            <v>2203.9206290000002</v>
          </cell>
          <cell r="L195">
            <v>2237.4606749999998</v>
          </cell>
          <cell r="M195">
            <v>1966.831459</v>
          </cell>
          <cell r="N195">
            <v>1992.1026260000001</v>
          </cell>
        </row>
        <row r="196">
          <cell r="E196">
            <v>1233.333333</v>
          </cell>
          <cell r="F196">
            <v>1233.333333</v>
          </cell>
          <cell r="G196">
            <v>1233.333333</v>
          </cell>
          <cell r="H196">
            <v>0</v>
          </cell>
          <cell r="I196">
            <v>0</v>
          </cell>
          <cell r="J196">
            <v>0</v>
          </cell>
          <cell r="K196">
            <v>0</v>
          </cell>
          <cell r="L196">
            <v>0</v>
          </cell>
          <cell r="M196">
            <v>0</v>
          </cell>
          <cell r="N196">
            <v>0</v>
          </cell>
        </row>
        <row r="197">
          <cell r="E197">
            <v>-1587.2268066666702</v>
          </cell>
          <cell r="F197">
            <v>-4119.433571666661</v>
          </cell>
          <cell r="G197">
            <v>-23775.72264166666</v>
          </cell>
          <cell r="H197">
            <v>-1654.2548546666726</v>
          </cell>
          <cell r="I197">
            <v>2395.0082143333343</v>
          </cell>
          <cell r="J197">
            <v>-16.335555666682922</v>
          </cell>
          <cell r="K197">
            <v>4060.7886853333234</v>
          </cell>
          <cell r="L197">
            <v>4464.8711543333338</v>
          </cell>
          <cell r="M197">
            <v>2190.5328453333186</v>
          </cell>
          <cell r="N197">
            <v>3755.2211243333331</v>
          </cell>
        </row>
        <row r="198">
          <cell r="E198">
            <v>-1253.8934736666702</v>
          </cell>
          <cell r="F198">
            <v>-3786.100238666661</v>
          </cell>
          <cell r="G198">
            <v>-20542.389308666661</v>
          </cell>
          <cell r="H198">
            <v>-1387.5881876666726</v>
          </cell>
          <cell r="I198">
            <v>2661.6748813333343</v>
          </cell>
          <cell r="J198">
            <v>2750.331111333317</v>
          </cell>
          <cell r="K198">
            <v>4194.1220183333235</v>
          </cell>
          <cell r="L198">
            <v>4598.2044873333334</v>
          </cell>
          <cell r="M198">
            <v>2323.8661783333187</v>
          </cell>
          <cell r="N198">
            <v>3888.5544573333332</v>
          </cell>
        </row>
        <row r="202">
          <cell r="E202">
            <v>153725.80489999999</v>
          </cell>
          <cell r="F202">
            <v>163789.14000000001</v>
          </cell>
          <cell r="G202">
            <v>161785.79149999999</v>
          </cell>
          <cell r="H202">
            <v>138052.80129999999</v>
          </cell>
          <cell r="I202">
            <v>137842.9339</v>
          </cell>
          <cell r="J202">
            <v>134660.06529999999</v>
          </cell>
          <cell r="K202">
            <v>123484.81020000001</v>
          </cell>
          <cell r="L202">
            <v>117083.72960000001</v>
          </cell>
          <cell r="M202">
            <v>123666.7009</v>
          </cell>
          <cell r="N202">
            <v>145651.60829999999</v>
          </cell>
        </row>
        <row r="203">
          <cell r="E203">
            <v>7474</v>
          </cell>
          <cell r="F203">
            <v>7474</v>
          </cell>
          <cell r="G203">
            <v>7474</v>
          </cell>
          <cell r="H203">
            <v>6228.3333000000002</v>
          </cell>
          <cell r="I203">
            <v>6228.3333000000002</v>
          </cell>
          <cell r="J203">
            <v>6228.3333000000002</v>
          </cell>
          <cell r="K203">
            <v>4982.6666999999998</v>
          </cell>
          <cell r="L203">
            <v>4982.6666999999998</v>
          </cell>
          <cell r="M203">
            <v>4982.6666999999998</v>
          </cell>
          <cell r="N203">
            <v>6228.3333000000002</v>
          </cell>
        </row>
        <row r="204">
          <cell r="E204">
            <v>71079.289199999999</v>
          </cell>
          <cell r="F204">
            <v>92960.534299999999</v>
          </cell>
          <cell r="G204">
            <v>98758.284299999999</v>
          </cell>
          <cell r="H204">
            <v>116616.8676</v>
          </cell>
          <cell r="I204">
            <v>73908.333299999998</v>
          </cell>
          <cell r="J204">
            <v>82339.583299999998</v>
          </cell>
          <cell r="K204">
            <v>72226.666700000002</v>
          </cell>
          <cell r="L204">
            <v>72881.666700000002</v>
          </cell>
          <cell r="M204">
            <v>76556.666700000002</v>
          </cell>
          <cell r="N204">
            <v>84416.666700000002</v>
          </cell>
        </row>
        <row r="205">
          <cell r="E205">
            <v>0</v>
          </cell>
          <cell r="F205">
            <v>0</v>
          </cell>
          <cell r="G205">
            <v>0</v>
          </cell>
          <cell r="H205">
            <v>0</v>
          </cell>
          <cell r="I205">
            <v>0</v>
          </cell>
          <cell r="J205">
            <v>0</v>
          </cell>
          <cell r="K205">
            <v>0</v>
          </cell>
          <cell r="L205">
            <v>0</v>
          </cell>
          <cell r="M205">
            <v>0</v>
          </cell>
          <cell r="N205">
            <v>0</v>
          </cell>
        </row>
        <row r="206">
          <cell r="E206">
            <v>232279.09409999999</v>
          </cell>
          <cell r="F206">
            <v>264223.67430000001</v>
          </cell>
          <cell r="G206">
            <v>268018.07579999999</v>
          </cell>
          <cell r="H206">
            <v>260898.00219999999</v>
          </cell>
          <cell r="I206">
            <v>217979.6005</v>
          </cell>
          <cell r="J206">
            <v>223227.98190000001</v>
          </cell>
          <cell r="K206">
            <v>200694.14360000001</v>
          </cell>
          <cell r="L206">
            <v>194948.06299999999</v>
          </cell>
          <cell r="M206">
            <v>205206.0343</v>
          </cell>
          <cell r="N206">
            <v>236296.60829999999</v>
          </cell>
        </row>
        <row r="208">
          <cell r="C208" t="str">
            <v>Retail aDSL</v>
          </cell>
          <cell r="E208">
            <v>15877.716700000001</v>
          </cell>
          <cell r="F208">
            <v>15745.816699999999</v>
          </cell>
          <cell r="G208">
            <v>15886.9167</v>
          </cell>
          <cell r="H208">
            <v>15904.5167</v>
          </cell>
          <cell r="I208">
            <v>15711.316699999999</v>
          </cell>
          <cell r="J208">
            <v>15729.316699999999</v>
          </cell>
          <cell r="K208">
            <v>15937.816699999999</v>
          </cell>
          <cell r="L208">
            <v>15842.816699999999</v>
          </cell>
          <cell r="M208">
            <v>15947.816699999999</v>
          </cell>
          <cell r="N208">
            <v>16260.0167</v>
          </cell>
          <cell r="O208">
            <v>16307.2667</v>
          </cell>
          <cell r="P208">
            <v>16504.466700000001</v>
          </cell>
          <cell r="Q208">
            <v>47510.450100000002</v>
          </cell>
          <cell r="R208">
            <v>47345.150099999999</v>
          </cell>
          <cell r="S208">
            <v>47728.450100000002</v>
          </cell>
          <cell r="T208">
            <v>49071.750099999997</v>
          </cell>
          <cell r="U208">
            <v>191655.80040000001</v>
          </cell>
        </row>
        <row r="209">
          <cell r="C209" t="str">
            <v>Basic aDSL</v>
          </cell>
          <cell r="E209">
            <v>183.33330000000001</v>
          </cell>
          <cell r="F209">
            <v>183.33330000000001</v>
          </cell>
          <cell r="G209">
            <v>183.33330000000001</v>
          </cell>
          <cell r="H209">
            <v>183.33330000000001</v>
          </cell>
          <cell r="I209">
            <v>183.33330000000001</v>
          </cell>
          <cell r="J209">
            <v>183.33330000000001</v>
          </cell>
          <cell r="K209">
            <v>183.33330000000001</v>
          </cell>
          <cell r="L209">
            <v>183.33330000000001</v>
          </cell>
          <cell r="M209">
            <v>183.33330000000001</v>
          </cell>
          <cell r="N209">
            <v>183.33330000000001</v>
          </cell>
          <cell r="O209">
            <v>183.33330000000001</v>
          </cell>
          <cell r="P209">
            <v>183.33330000000001</v>
          </cell>
          <cell r="Q209">
            <v>549.99990000000003</v>
          </cell>
          <cell r="R209">
            <v>549.99990000000003</v>
          </cell>
          <cell r="S209">
            <v>549.99990000000003</v>
          </cell>
          <cell r="T209">
            <v>549.99990000000003</v>
          </cell>
          <cell r="U209">
            <v>2199.9996000000001</v>
          </cell>
        </row>
        <row r="210">
          <cell r="C210" t="str">
            <v>Sprint DSL, Wireless, ION</v>
          </cell>
          <cell r="E210">
            <v>26000</v>
          </cell>
          <cell r="F210">
            <v>26000</v>
          </cell>
          <cell r="G210">
            <v>26000</v>
          </cell>
          <cell r="H210">
            <v>26000</v>
          </cell>
          <cell r="I210">
            <v>26000</v>
          </cell>
          <cell r="J210">
            <v>26000</v>
          </cell>
          <cell r="K210">
            <v>26000</v>
          </cell>
          <cell r="L210">
            <v>26000</v>
          </cell>
          <cell r="M210">
            <v>26000</v>
          </cell>
          <cell r="N210">
            <v>26000</v>
          </cell>
          <cell r="O210">
            <v>26000</v>
          </cell>
          <cell r="P210">
            <v>26000</v>
          </cell>
          <cell r="Q210">
            <v>78000</v>
          </cell>
          <cell r="R210">
            <v>78000</v>
          </cell>
          <cell r="S210">
            <v>78000</v>
          </cell>
          <cell r="T210">
            <v>78000</v>
          </cell>
          <cell r="U210">
            <v>312000</v>
          </cell>
        </row>
        <row r="211">
          <cell r="C211" t="str">
            <v>Biz DSL</v>
          </cell>
          <cell r="E211">
            <v>200</v>
          </cell>
          <cell r="F211">
            <v>300</v>
          </cell>
          <cell r="G211">
            <v>250</v>
          </cell>
          <cell r="H211">
            <v>200</v>
          </cell>
          <cell r="I211">
            <v>275</v>
          </cell>
          <cell r="J211">
            <v>225</v>
          </cell>
          <cell r="K211">
            <v>200</v>
          </cell>
          <cell r="L211">
            <v>250</v>
          </cell>
          <cell r="M211">
            <v>225</v>
          </cell>
          <cell r="N211">
            <v>200</v>
          </cell>
          <cell r="O211">
            <v>225</v>
          </cell>
          <cell r="P211">
            <v>175</v>
          </cell>
          <cell r="Q211">
            <v>750</v>
          </cell>
          <cell r="R211">
            <v>700</v>
          </cell>
          <cell r="S211">
            <v>675</v>
          </cell>
          <cell r="T211">
            <v>600</v>
          </cell>
          <cell r="U211">
            <v>2725</v>
          </cell>
        </row>
        <row r="212">
          <cell r="E212">
            <v>300</v>
          </cell>
          <cell r="F212">
            <v>400</v>
          </cell>
          <cell r="G212">
            <v>320</v>
          </cell>
          <cell r="H212">
            <v>345</v>
          </cell>
          <cell r="I212">
            <v>370</v>
          </cell>
          <cell r="J212">
            <v>260</v>
          </cell>
          <cell r="K212">
            <v>235</v>
          </cell>
          <cell r="L212">
            <v>345</v>
          </cell>
          <cell r="M212">
            <v>320</v>
          </cell>
          <cell r="N212">
            <v>270</v>
          </cell>
        </row>
        <row r="213">
          <cell r="E213">
            <v>200</v>
          </cell>
          <cell r="F213">
            <v>200</v>
          </cell>
          <cell r="G213">
            <v>200</v>
          </cell>
          <cell r="H213">
            <v>200</v>
          </cell>
          <cell r="I213">
            <v>200</v>
          </cell>
          <cell r="J213">
            <v>200</v>
          </cell>
          <cell r="K213">
            <v>200</v>
          </cell>
          <cell r="L213">
            <v>200</v>
          </cell>
          <cell r="M213">
            <v>200</v>
          </cell>
          <cell r="N213">
            <v>200</v>
          </cell>
        </row>
        <row r="214">
          <cell r="E214">
            <v>0</v>
          </cell>
          <cell r="F214">
            <v>0</v>
          </cell>
          <cell r="G214">
            <v>0</v>
          </cell>
          <cell r="H214">
            <v>0</v>
          </cell>
          <cell r="I214">
            <v>0</v>
          </cell>
          <cell r="J214">
            <v>0</v>
          </cell>
          <cell r="K214">
            <v>0</v>
          </cell>
          <cell r="L214">
            <v>0</v>
          </cell>
          <cell r="M214">
            <v>0</v>
          </cell>
          <cell r="N214">
            <v>0</v>
          </cell>
        </row>
        <row r="215">
          <cell r="C215" t="str">
            <v>Cable: Time Warner (Gross)</v>
          </cell>
          <cell r="E215">
            <v>20971.833299999998</v>
          </cell>
          <cell r="F215">
            <v>21015.033299999999</v>
          </cell>
          <cell r="G215">
            <v>20968.2333</v>
          </cell>
          <cell r="H215">
            <v>20215.5</v>
          </cell>
          <cell r="I215">
            <v>21151.7</v>
          </cell>
          <cell r="J215">
            <v>21581.1</v>
          </cell>
          <cell r="K215">
            <v>19839.433300000001</v>
          </cell>
          <cell r="L215">
            <v>19895.2333</v>
          </cell>
          <cell r="M215">
            <v>20001.433300000001</v>
          </cell>
          <cell r="N215">
            <v>22211.966700000001</v>
          </cell>
          <cell r="O215">
            <v>23385.966700000001</v>
          </cell>
          <cell r="P215">
            <v>24042.7667</v>
          </cell>
          <cell r="Q215">
            <v>62955.099900000001</v>
          </cell>
          <cell r="R215">
            <v>62948.3</v>
          </cell>
          <cell r="S215">
            <v>59736.099900000001</v>
          </cell>
          <cell r="T215">
            <v>69640.700100000002</v>
          </cell>
          <cell r="U215">
            <v>255280.19990000001</v>
          </cell>
        </row>
        <row r="216">
          <cell r="E216">
            <v>4370.8297000000002</v>
          </cell>
          <cell r="F216">
            <v>7790.5851000000002</v>
          </cell>
          <cell r="G216">
            <v>7790.5851000000002</v>
          </cell>
          <cell r="H216">
            <v>7790.5851000000002</v>
          </cell>
          <cell r="I216">
            <v>7790.5851000000002</v>
          </cell>
          <cell r="J216">
            <v>7790.5851000000002</v>
          </cell>
          <cell r="K216">
            <v>4370.8297000000002</v>
          </cell>
          <cell r="L216">
            <v>4370.8297000000002</v>
          </cell>
          <cell r="M216">
            <v>4370.8297000000002</v>
          </cell>
          <cell r="N216">
            <v>7790.5851000000002</v>
          </cell>
        </row>
        <row r="217">
          <cell r="E217">
            <v>225</v>
          </cell>
          <cell r="F217">
            <v>225</v>
          </cell>
          <cell r="G217">
            <v>225</v>
          </cell>
          <cell r="H217">
            <v>225</v>
          </cell>
          <cell r="I217">
            <v>225</v>
          </cell>
          <cell r="J217">
            <v>225</v>
          </cell>
          <cell r="K217">
            <v>225</v>
          </cell>
          <cell r="L217">
            <v>225</v>
          </cell>
          <cell r="M217">
            <v>225</v>
          </cell>
          <cell r="N217">
            <v>225</v>
          </cell>
        </row>
        <row r="218">
          <cell r="E218">
            <v>2850</v>
          </cell>
          <cell r="F218">
            <v>2850</v>
          </cell>
          <cell r="G218">
            <v>2850</v>
          </cell>
          <cell r="H218">
            <v>4035.5844000000002</v>
          </cell>
          <cell r="I218">
            <v>4035.5844000000002</v>
          </cell>
          <cell r="J218">
            <v>4035.5844000000002</v>
          </cell>
          <cell r="K218">
            <v>4035.5844000000002</v>
          </cell>
          <cell r="L218">
            <v>4035.5844000000002</v>
          </cell>
          <cell r="M218">
            <v>4035.5844000000002</v>
          </cell>
          <cell r="N218">
            <v>4035.5844000000002</v>
          </cell>
        </row>
        <row r="219">
          <cell r="E219">
            <v>71178.713000000003</v>
          </cell>
          <cell r="F219">
            <v>74709.768400000001</v>
          </cell>
          <cell r="G219">
            <v>74674.068400000004</v>
          </cell>
          <cell r="H219">
            <v>75099.519499999995</v>
          </cell>
          <cell r="I219">
            <v>75942.519499999995</v>
          </cell>
          <cell r="J219">
            <v>76229.919500000004</v>
          </cell>
          <cell r="K219">
            <v>71226.997399999993</v>
          </cell>
          <cell r="L219">
            <v>71347.797399999996</v>
          </cell>
          <cell r="M219">
            <v>71508.997399999993</v>
          </cell>
          <cell r="N219">
            <v>77376.486199999999</v>
          </cell>
        </row>
        <row r="220">
          <cell r="E220">
            <v>4400</v>
          </cell>
          <cell r="F220">
            <v>4500</v>
          </cell>
          <cell r="G220">
            <v>4709.8999999999996</v>
          </cell>
          <cell r="H220">
            <v>4300</v>
          </cell>
          <cell r="I220">
            <v>4275.25</v>
          </cell>
          <cell r="J220">
            <v>4000</v>
          </cell>
          <cell r="K220">
            <v>4120.6293999999998</v>
          </cell>
          <cell r="L220">
            <v>3800</v>
          </cell>
          <cell r="M220">
            <v>3800</v>
          </cell>
          <cell r="N220">
            <v>4000</v>
          </cell>
        </row>
        <row r="222">
          <cell r="E222">
            <v>437.81544831979613</v>
          </cell>
          <cell r="F222">
            <v>437.81544831979613</v>
          </cell>
          <cell r="G222">
            <v>437.81544831979613</v>
          </cell>
          <cell r="H222">
            <v>564.38418856505825</v>
          </cell>
          <cell r="I222">
            <v>564.38418856505825</v>
          </cell>
          <cell r="J222">
            <v>564.38418856505825</v>
          </cell>
          <cell r="K222">
            <v>528.22169135212607</v>
          </cell>
          <cell r="L222">
            <v>528.22169135212607</v>
          </cell>
          <cell r="M222">
            <v>528.22169135212607</v>
          </cell>
          <cell r="N222">
            <v>582.46543717152417</v>
          </cell>
        </row>
        <row r="223">
          <cell r="E223">
            <v>0</v>
          </cell>
          <cell r="F223">
            <v>0</v>
          </cell>
          <cell r="G223">
            <v>0</v>
          </cell>
          <cell r="H223">
            <v>0</v>
          </cell>
          <cell r="I223">
            <v>0</v>
          </cell>
          <cell r="J223">
            <v>0</v>
          </cell>
          <cell r="K223">
            <v>0</v>
          </cell>
          <cell r="L223">
            <v>0</v>
          </cell>
          <cell r="M223">
            <v>0</v>
          </cell>
          <cell r="N223">
            <v>0</v>
          </cell>
        </row>
        <row r="224">
          <cell r="E224">
            <v>0</v>
          </cell>
          <cell r="F224">
            <v>0</v>
          </cell>
          <cell r="G224">
            <v>0</v>
          </cell>
          <cell r="H224">
            <v>0</v>
          </cell>
          <cell r="I224">
            <v>0</v>
          </cell>
          <cell r="J224">
            <v>0</v>
          </cell>
          <cell r="K224">
            <v>0</v>
          </cell>
          <cell r="L224">
            <v>0</v>
          </cell>
          <cell r="M224">
            <v>0</v>
          </cell>
          <cell r="N224">
            <v>0</v>
          </cell>
        </row>
        <row r="225">
          <cell r="E225">
            <v>0</v>
          </cell>
          <cell r="F225">
            <v>0</v>
          </cell>
          <cell r="G225">
            <v>0</v>
          </cell>
          <cell r="H225">
            <v>0</v>
          </cell>
          <cell r="I225">
            <v>0</v>
          </cell>
          <cell r="J225">
            <v>0</v>
          </cell>
          <cell r="K225">
            <v>0</v>
          </cell>
          <cell r="L225">
            <v>0</v>
          </cell>
          <cell r="M225">
            <v>0</v>
          </cell>
          <cell r="N225">
            <v>0</v>
          </cell>
        </row>
        <row r="226">
          <cell r="E226">
            <v>0</v>
          </cell>
          <cell r="F226">
            <v>0</v>
          </cell>
          <cell r="G226">
            <v>0</v>
          </cell>
          <cell r="H226">
            <v>0</v>
          </cell>
          <cell r="I226">
            <v>0</v>
          </cell>
          <cell r="J226">
            <v>0</v>
          </cell>
          <cell r="K226">
            <v>0</v>
          </cell>
          <cell r="L226">
            <v>0</v>
          </cell>
          <cell r="M226">
            <v>0</v>
          </cell>
          <cell r="N226">
            <v>0</v>
          </cell>
        </row>
        <row r="227">
          <cell r="E227">
            <v>0</v>
          </cell>
          <cell r="F227">
            <v>0</v>
          </cell>
          <cell r="G227">
            <v>0</v>
          </cell>
          <cell r="H227">
            <v>0</v>
          </cell>
          <cell r="I227">
            <v>0</v>
          </cell>
          <cell r="J227">
            <v>0</v>
          </cell>
          <cell r="K227">
            <v>0</v>
          </cell>
          <cell r="L227">
            <v>0</v>
          </cell>
          <cell r="M227">
            <v>0</v>
          </cell>
          <cell r="N227">
            <v>0</v>
          </cell>
        </row>
        <row r="228">
          <cell r="E228">
            <v>0</v>
          </cell>
          <cell r="F228">
            <v>0</v>
          </cell>
          <cell r="G228">
            <v>0</v>
          </cell>
          <cell r="H228">
            <v>0</v>
          </cell>
          <cell r="I228">
            <v>0</v>
          </cell>
          <cell r="J228">
            <v>0</v>
          </cell>
          <cell r="K228">
            <v>0</v>
          </cell>
          <cell r="L228">
            <v>0</v>
          </cell>
          <cell r="M228">
            <v>0</v>
          </cell>
          <cell r="N228">
            <v>0</v>
          </cell>
        </row>
        <row r="229">
          <cell r="E229">
            <v>0</v>
          </cell>
          <cell r="F229">
            <v>0</v>
          </cell>
          <cell r="G229">
            <v>0</v>
          </cell>
          <cell r="H229">
            <v>0</v>
          </cell>
          <cell r="I229">
            <v>0</v>
          </cell>
          <cell r="J229">
            <v>0</v>
          </cell>
          <cell r="K229">
            <v>0</v>
          </cell>
          <cell r="L229">
            <v>0</v>
          </cell>
          <cell r="M229">
            <v>0</v>
          </cell>
          <cell r="N229">
            <v>0</v>
          </cell>
        </row>
        <row r="230">
          <cell r="E230">
            <v>0</v>
          </cell>
          <cell r="F230">
            <v>0</v>
          </cell>
          <cell r="G230">
            <v>0</v>
          </cell>
          <cell r="H230">
            <v>0</v>
          </cell>
          <cell r="I230">
            <v>0</v>
          </cell>
          <cell r="J230">
            <v>0</v>
          </cell>
          <cell r="K230">
            <v>0</v>
          </cell>
          <cell r="L230">
            <v>0</v>
          </cell>
          <cell r="M230">
            <v>0</v>
          </cell>
          <cell r="N230">
            <v>0</v>
          </cell>
        </row>
        <row r="231">
          <cell r="E231">
            <v>0</v>
          </cell>
          <cell r="F231">
            <v>0</v>
          </cell>
          <cell r="G231">
            <v>0</v>
          </cell>
          <cell r="H231">
            <v>0</v>
          </cell>
          <cell r="I231">
            <v>0</v>
          </cell>
          <cell r="J231">
            <v>0</v>
          </cell>
          <cell r="K231">
            <v>0</v>
          </cell>
          <cell r="L231">
            <v>0</v>
          </cell>
          <cell r="M231">
            <v>0</v>
          </cell>
          <cell r="N231">
            <v>0</v>
          </cell>
        </row>
        <row r="232">
          <cell r="E232">
            <v>289</v>
          </cell>
          <cell r="F232">
            <v>289</v>
          </cell>
          <cell r="G232">
            <v>289</v>
          </cell>
          <cell r="H232">
            <v>348</v>
          </cell>
          <cell r="I232">
            <v>526</v>
          </cell>
          <cell r="J232">
            <v>707</v>
          </cell>
          <cell r="K232">
            <v>813</v>
          </cell>
          <cell r="L232">
            <v>816</v>
          </cell>
          <cell r="M232">
            <v>819</v>
          </cell>
          <cell r="N232">
            <v>848</v>
          </cell>
        </row>
        <row r="233">
          <cell r="E233">
            <v>0</v>
          </cell>
          <cell r="F233">
            <v>0</v>
          </cell>
          <cell r="G233">
            <v>0</v>
          </cell>
          <cell r="H233">
            <v>0</v>
          </cell>
          <cell r="I233">
            <v>0</v>
          </cell>
          <cell r="J233">
            <v>0</v>
          </cell>
          <cell r="K233">
            <v>0</v>
          </cell>
          <cell r="L233">
            <v>0</v>
          </cell>
          <cell r="M233">
            <v>0</v>
          </cell>
          <cell r="N233">
            <v>0</v>
          </cell>
        </row>
        <row r="234">
          <cell r="E234">
            <v>162.13333333333333</v>
          </cell>
          <cell r="F234">
            <v>162.13333333333333</v>
          </cell>
          <cell r="G234">
            <v>162.13333333333333</v>
          </cell>
          <cell r="H234">
            <v>218.88</v>
          </cell>
          <cell r="I234">
            <v>218.88</v>
          </cell>
          <cell r="J234">
            <v>218.88</v>
          </cell>
          <cell r="K234">
            <v>202.66666666666669</v>
          </cell>
          <cell r="L234">
            <v>202.66666666666669</v>
          </cell>
          <cell r="M234">
            <v>202.66666666666669</v>
          </cell>
          <cell r="N234">
            <v>226.98666666666674</v>
          </cell>
        </row>
        <row r="235">
          <cell r="E235">
            <v>0</v>
          </cell>
          <cell r="F235">
            <v>0</v>
          </cell>
          <cell r="G235">
            <v>0</v>
          </cell>
          <cell r="H235">
            <v>0</v>
          </cell>
          <cell r="I235">
            <v>0</v>
          </cell>
          <cell r="J235">
            <v>0</v>
          </cell>
          <cell r="K235">
            <v>0</v>
          </cell>
          <cell r="L235">
            <v>0</v>
          </cell>
          <cell r="M235">
            <v>0</v>
          </cell>
          <cell r="N235">
            <v>0</v>
          </cell>
        </row>
        <row r="236">
          <cell r="E236">
            <v>0</v>
          </cell>
          <cell r="F236">
            <v>0</v>
          </cell>
          <cell r="G236">
            <v>0</v>
          </cell>
          <cell r="H236">
            <v>0</v>
          </cell>
          <cell r="I236">
            <v>0</v>
          </cell>
          <cell r="J236">
            <v>0</v>
          </cell>
          <cell r="K236">
            <v>0</v>
          </cell>
          <cell r="L236">
            <v>0</v>
          </cell>
          <cell r="M236">
            <v>0</v>
          </cell>
          <cell r="N236">
            <v>0</v>
          </cell>
        </row>
        <row r="237">
          <cell r="E237">
            <v>0</v>
          </cell>
          <cell r="F237">
            <v>0</v>
          </cell>
          <cell r="G237">
            <v>0</v>
          </cell>
          <cell r="H237">
            <v>0</v>
          </cell>
          <cell r="I237">
            <v>0</v>
          </cell>
          <cell r="J237">
            <v>0</v>
          </cell>
          <cell r="K237">
            <v>0</v>
          </cell>
          <cell r="L237">
            <v>0</v>
          </cell>
          <cell r="M237">
            <v>0</v>
          </cell>
          <cell r="N237">
            <v>0</v>
          </cell>
        </row>
        <row r="238">
          <cell r="E238">
            <v>0</v>
          </cell>
          <cell r="F238">
            <v>0</v>
          </cell>
          <cell r="G238">
            <v>0</v>
          </cell>
          <cell r="H238">
            <v>0</v>
          </cell>
          <cell r="I238">
            <v>0</v>
          </cell>
          <cell r="J238">
            <v>0</v>
          </cell>
          <cell r="K238">
            <v>0</v>
          </cell>
          <cell r="L238">
            <v>0</v>
          </cell>
          <cell r="M238">
            <v>0</v>
          </cell>
          <cell r="N238">
            <v>134.44624402324709</v>
          </cell>
        </row>
        <row r="239">
          <cell r="E239">
            <v>0</v>
          </cell>
          <cell r="F239">
            <v>0</v>
          </cell>
          <cell r="G239">
            <v>0</v>
          </cell>
          <cell r="H239">
            <v>0</v>
          </cell>
          <cell r="I239">
            <v>0</v>
          </cell>
          <cell r="J239">
            <v>0</v>
          </cell>
          <cell r="K239">
            <v>0</v>
          </cell>
          <cell r="L239">
            <v>0</v>
          </cell>
          <cell r="M239">
            <v>0</v>
          </cell>
          <cell r="N239">
            <v>250</v>
          </cell>
        </row>
        <row r="240">
          <cell r="E240">
            <v>0</v>
          </cell>
          <cell r="F240">
            <v>0</v>
          </cell>
          <cell r="G240">
            <v>125</v>
          </cell>
          <cell r="H240">
            <v>375</v>
          </cell>
          <cell r="I240">
            <v>431.5</v>
          </cell>
          <cell r="J240">
            <v>496</v>
          </cell>
          <cell r="K240">
            <v>570.5</v>
          </cell>
          <cell r="L240">
            <v>656</v>
          </cell>
          <cell r="M240">
            <v>754.5</v>
          </cell>
          <cell r="N240">
            <v>867.5</v>
          </cell>
        </row>
        <row r="241">
          <cell r="E241">
            <v>888.94870000000003</v>
          </cell>
          <cell r="F241">
            <v>888.94870000000003</v>
          </cell>
          <cell r="G241">
            <v>1013.9487</v>
          </cell>
          <cell r="H241">
            <v>1506.2642000000001</v>
          </cell>
          <cell r="I241">
            <v>1740.7642000000001</v>
          </cell>
          <cell r="J241">
            <v>1986.2642000000001</v>
          </cell>
          <cell r="K241">
            <v>2114.3883999999998</v>
          </cell>
          <cell r="L241">
            <v>2202.8883999999998</v>
          </cell>
          <cell r="M241">
            <v>2304.3883999999998</v>
          </cell>
          <cell r="N241">
            <v>2909.3982999999998</v>
          </cell>
        </row>
        <row r="242">
          <cell r="E242">
            <v>0</v>
          </cell>
          <cell r="F242">
            <v>0</v>
          </cell>
          <cell r="G242">
            <v>0</v>
          </cell>
          <cell r="H242">
            <v>0</v>
          </cell>
          <cell r="I242">
            <v>0</v>
          </cell>
          <cell r="J242">
            <v>0</v>
          </cell>
          <cell r="K242">
            <v>0</v>
          </cell>
          <cell r="L242">
            <v>0</v>
          </cell>
          <cell r="M242">
            <v>0</v>
          </cell>
          <cell r="N242">
            <v>0</v>
          </cell>
        </row>
        <row r="243">
          <cell r="E243">
            <v>308746.75579999998</v>
          </cell>
          <cell r="F243">
            <v>344322.39140000002</v>
          </cell>
          <cell r="G243">
            <v>348415.99290000001</v>
          </cell>
          <cell r="H243">
            <v>341803.78590000002</v>
          </cell>
          <cell r="I243">
            <v>299938.13419999997</v>
          </cell>
          <cell r="J243">
            <v>305444.16560000001</v>
          </cell>
          <cell r="K243">
            <v>278156.15879999998</v>
          </cell>
          <cell r="L243">
            <v>272298.7488</v>
          </cell>
          <cell r="M243">
            <v>282819.42009999999</v>
          </cell>
          <cell r="N243">
            <v>320582.49280000001</v>
          </cell>
        </row>
        <row r="247">
          <cell r="E247">
            <v>-145724.38860000001</v>
          </cell>
          <cell r="F247">
            <v>-146317.27189999999</v>
          </cell>
          <cell r="G247">
            <v>-146758.1986</v>
          </cell>
          <cell r="H247">
            <v>-146200.628</v>
          </cell>
          <cell r="I247">
            <v>-145659.03289999999</v>
          </cell>
          <cell r="J247">
            <v>-145023.9706</v>
          </cell>
          <cell r="K247">
            <v>-143981.2738</v>
          </cell>
          <cell r="L247">
            <v>-142718.4142</v>
          </cell>
          <cell r="M247">
            <v>-141789.51639999999</v>
          </cell>
          <cell r="N247">
            <v>-141814.65419999999</v>
          </cell>
        </row>
        <row r="248">
          <cell r="E248">
            <v>-8192.1582999999991</v>
          </cell>
          <cell r="F248">
            <v>-8161.2327999999998</v>
          </cell>
          <cell r="G248">
            <v>-8131.6391000000003</v>
          </cell>
          <cell r="H248">
            <v>-8049.6785</v>
          </cell>
          <cell r="I248">
            <v>-7971.2474000000002</v>
          </cell>
          <cell r="J248">
            <v>-7896.1936999999998</v>
          </cell>
          <cell r="K248">
            <v>-7770.7308000000003</v>
          </cell>
          <cell r="L248">
            <v>-7650.6706000000004</v>
          </cell>
          <cell r="M248">
            <v>-7535.7804999999998</v>
          </cell>
          <cell r="N248">
            <v>-7479.4789000000001</v>
          </cell>
        </row>
        <row r="249">
          <cell r="E249">
            <v>-25898.648799999999</v>
          </cell>
          <cell r="F249">
            <v>-29299.2925</v>
          </cell>
          <cell r="G249">
            <v>-34623.008399999999</v>
          </cell>
          <cell r="H249">
            <v>-37157.315300000002</v>
          </cell>
          <cell r="I249">
            <v>-41013.6158</v>
          </cell>
          <cell r="J249">
            <v>-40206.953300000001</v>
          </cell>
          <cell r="K249">
            <v>-40369.541499999999</v>
          </cell>
          <cell r="L249">
            <v>-40151.046999999999</v>
          </cell>
          <cell r="M249">
            <v>-39271.628599999996</v>
          </cell>
          <cell r="N249">
            <v>-39970.4493</v>
          </cell>
        </row>
        <row r="250">
          <cell r="E250">
            <v>-5555.2586000000001</v>
          </cell>
          <cell r="F250">
            <v>-5341.5947999999999</v>
          </cell>
          <cell r="G250">
            <v>-5136.1487999999999</v>
          </cell>
          <cell r="H250">
            <v>-4938.6045999999997</v>
          </cell>
          <cell r="I250">
            <v>-4748.6583000000001</v>
          </cell>
          <cell r="J250">
            <v>-4566.0176000000001</v>
          </cell>
          <cell r="K250">
            <v>-4390.4014999999999</v>
          </cell>
          <cell r="L250">
            <v>-4221.5398999999998</v>
          </cell>
          <cell r="M250">
            <v>-4059.1729999999998</v>
          </cell>
          <cell r="N250">
            <v>-3903.0509999999999</v>
          </cell>
        </row>
        <row r="251">
          <cell r="E251">
            <v>-185370.45430000001</v>
          </cell>
          <cell r="F251">
            <v>-189119.39199999999</v>
          </cell>
          <cell r="G251">
            <v>-194648.99489999999</v>
          </cell>
          <cell r="H251">
            <v>-196346.22640000001</v>
          </cell>
          <cell r="I251">
            <v>-199392.55439999999</v>
          </cell>
          <cell r="J251">
            <v>-197693.13519999999</v>
          </cell>
          <cell r="K251">
            <v>-196511.94760000001</v>
          </cell>
          <cell r="L251">
            <v>-194741.67170000001</v>
          </cell>
          <cell r="M251">
            <v>-192656.09849999999</v>
          </cell>
          <cell r="N251">
            <v>-193167.63339999999</v>
          </cell>
        </row>
        <row r="252">
          <cell r="E252">
            <v>-4.5821000000000001E-2</v>
          </cell>
          <cell r="F252">
            <v>-4.5942999999999998E-2</v>
          </cell>
          <cell r="G252">
            <v>-4.6517000000000003E-2</v>
          </cell>
          <cell r="H252">
            <v>-4.6255999999999999E-2</v>
          </cell>
          <cell r="I252">
            <v>-4.6815000000000002E-2</v>
          </cell>
          <cell r="J252">
            <v>-4.6179999999999999E-2</v>
          </cell>
          <cell r="K252">
            <v>-4.5887999999999998E-2</v>
          </cell>
          <cell r="L252">
            <v>-4.5497999999999997E-2</v>
          </cell>
          <cell r="M252">
            <v>-4.4905E-2</v>
          </cell>
          <cell r="N252">
            <v>-4.4609999999999997E-2</v>
          </cell>
        </row>
        <row r="254">
          <cell r="E254">
            <v>-7707.4593999999997</v>
          </cell>
          <cell r="F254">
            <v>-7775.5290000000005</v>
          </cell>
          <cell r="G254">
            <v>-7844.4731000000002</v>
          </cell>
          <cell r="H254">
            <v>-7910.5699000000004</v>
          </cell>
          <cell r="I254">
            <v>-7968.9843000000001</v>
          </cell>
          <cell r="J254">
            <v>-8025.0766000000003</v>
          </cell>
          <cell r="K254">
            <v>-8083.2599</v>
          </cell>
          <cell r="L254">
            <v>-8136.85</v>
          </cell>
          <cell r="M254">
            <v>-8190.3710000000001</v>
          </cell>
          <cell r="N254">
            <v>-8248.3361999999997</v>
          </cell>
        </row>
        <row r="255">
          <cell r="E255">
            <v>-75.219399999999993</v>
          </cell>
          <cell r="F255">
            <v>-75.555000000000007</v>
          </cell>
          <cell r="G255">
            <v>-75.886600000000001</v>
          </cell>
          <cell r="H255">
            <v>-76.206500000000005</v>
          </cell>
          <cell r="I255">
            <v>-76.483999999999995</v>
          </cell>
          <cell r="J255">
            <v>-76.745199999999997</v>
          </cell>
          <cell r="K255">
            <v>-76.991</v>
          </cell>
          <cell r="L255">
            <v>-77.218199999999996</v>
          </cell>
          <cell r="M255">
            <v>-77.424700000000001</v>
          </cell>
          <cell r="N255">
            <v>-77.616200000000006</v>
          </cell>
        </row>
        <row r="256">
          <cell r="E256">
            <v>-5733.1826000000001</v>
          </cell>
          <cell r="F256">
            <v>-6049.2148999999999</v>
          </cell>
          <cell r="G256">
            <v>-6360.1776</v>
          </cell>
          <cell r="H256">
            <v>-6666.2087000000001</v>
          </cell>
          <cell r="I256">
            <v>-6967.3402999999998</v>
          </cell>
          <cell r="J256">
            <v>-7263.652</v>
          </cell>
          <cell r="K256">
            <v>-7555.2286999999997</v>
          </cell>
          <cell r="L256">
            <v>-7842.1508999999996</v>
          </cell>
          <cell r="M256">
            <v>-8124.4840000000004</v>
          </cell>
          <cell r="N256">
            <v>-8402.3032000000003</v>
          </cell>
        </row>
        <row r="257">
          <cell r="E257">
            <v>-63.258000000000003</v>
          </cell>
          <cell r="F257">
            <v>-68.308800000000005</v>
          </cell>
          <cell r="G257">
            <v>-72.185199999999995</v>
          </cell>
          <cell r="H257">
            <v>-74.912099999999995</v>
          </cell>
          <cell r="I257">
            <v>-79.180999999999997</v>
          </cell>
          <cell r="J257">
            <v>-82.292000000000002</v>
          </cell>
          <cell r="K257">
            <v>-84.803299999999993</v>
          </cell>
          <cell r="L257">
            <v>-88.327799999999996</v>
          </cell>
          <cell r="M257">
            <v>-91.243600000000001</v>
          </cell>
          <cell r="N257">
            <v>-93.563900000000004</v>
          </cell>
        </row>
        <row r="258">
          <cell r="E258">
            <v>-290.75330000000002</v>
          </cell>
          <cell r="F258">
            <v>-291.5086</v>
          </cell>
          <cell r="G258">
            <v>-290.53030000000001</v>
          </cell>
          <cell r="H258">
            <v>-290.0992</v>
          </cell>
          <cell r="I258">
            <v>-290.18939999999998</v>
          </cell>
          <cell r="J258">
            <v>-287.92149999999998</v>
          </cell>
          <cell r="K258">
            <v>-285.1696</v>
          </cell>
          <cell r="L258">
            <v>-284.82650000000001</v>
          </cell>
          <cell r="M258">
            <v>-283.94439999999997</v>
          </cell>
          <cell r="N258">
            <v>-282.00990000000002</v>
          </cell>
        </row>
        <row r="259">
          <cell r="E259">
            <v>-373.10559999999998</v>
          </cell>
          <cell r="F259">
            <v>-365.7278</v>
          </cell>
          <cell r="G259">
            <v>-358.6139</v>
          </cell>
          <cell r="H259">
            <v>-351.74700000000001</v>
          </cell>
          <cell r="I259">
            <v>-345.10199999999998</v>
          </cell>
          <cell r="J259">
            <v>-338.685</v>
          </cell>
          <cell r="K259">
            <v>-332.48770000000002</v>
          </cell>
          <cell r="L259">
            <v>-326.50029999999998</v>
          </cell>
          <cell r="M259">
            <v>-320.71420000000001</v>
          </cell>
          <cell r="N259">
            <v>-315.12479999999999</v>
          </cell>
        </row>
        <row r="260">
          <cell r="E260">
            <v>-14.4956</v>
          </cell>
          <cell r="F260">
            <v>-14.186299999999999</v>
          </cell>
          <cell r="G260">
            <v>-13.883699999999999</v>
          </cell>
          <cell r="H260">
            <v>-13.5875</v>
          </cell>
          <cell r="I260">
            <v>-13.297599999999999</v>
          </cell>
          <cell r="J260">
            <v>-13.0139</v>
          </cell>
          <cell r="K260">
            <v>-12.7362</v>
          </cell>
          <cell r="L260">
            <v>-12.464499999999999</v>
          </cell>
          <cell r="M260">
            <v>-12.198600000000001</v>
          </cell>
          <cell r="N260">
            <v>-11.9383</v>
          </cell>
        </row>
        <row r="261">
          <cell r="E261">
            <v>-5921.0385999999999</v>
          </cell>
          <cell r="F261">
            <v>-6168.8553000000002</v>
          </cell>
          <cell r="G261">
            <v>-6406.8645999999999</v>
          </cell>
          <cell r="H261">
            <v>-6325.3742000000002</v>
          </cell>
          <cell r="I261">
            <v>-6545.2</v>
          </cell>
          <cell r="J261">
            <v>-6766.0811999999996</v>
          </cell>
          <cell r="K261">
            <v>-6618.9069</v>
          </cell>
          <cell r="L261">
            <v>-6788.6001999999999</v>
          </cell>
          <cell r="M261">
            <v>-6953.96</v>
          </cell>
          <cell r="N261">
            <v>-6805.5436</v>
          </cell>
        </row>
        <row r="262">
          <cell r="E262">
            <v>-1772.5990999999999</v>
          </cell>
          <cell r="F262">
            <v>-1888.1475</v>
          </cell>
          <cell r="G262">
            <v>-2000.5075999999999</v>
          </cell>
          <cell r="H262">
            <v>-2014.2189000000001</v>
          </cell>
          <cell r="I262">
            <v>-2114.8955999999998</v>
          </cell>
          <cell r="J262">
            <v>-2212.6489999999999</v>
          </cell>
          <cell r="K262">
            <v>-2132.3348999999998</v>
          </cell>
          <cell r="L262">
            <v>-2156.19</v>
          </cell>
          <cell r="M262">
            <v>-2179.0976999999998</v>
          </cell>
          <cell r="N262">
            <v>-2156.9580000000001</v>
          </cell>
        </row>
        <row r="263">
          <cell r="E263">
            <v>-113.24</v>
          </cell>
          <cell r="F263">
            <v>-109.99299999999999</v>
          </cell>
          <cell r="G263">
            <v>-106.90689999999999</v>
          </cell>
          <cell r="H263">
            <v>-99.537000000000006</v>
          </cell>
          <cell r="I263">
            <v>-97.185000000000002</v>
          </cell>
          <cell r="J263">
            <v>-94.9803</v>
          </cell>
          <cell r="K263">
            <v>-88.597099999999998</v>
          </cell>
          <cell r="L263">
            <v>-86.889499999999998</v>
          </cell>
          <cell r="M263">
            <v>-85.300200000000004</v>
          </cell>
          <cell r="N263">
            <v>-79.710800000000006</v>
          </cell>
        </row>
        <row r="264">
          <cell r="E264">
            <v>-724.8682</v>
          </cell>
          <cell r="F264">
            <v>-770.61469999999997</v>
          </cell>
          <cell r="G264">
            <v>-815.37639999999999</v>
          </cell>
          <cell r="H264">
            <v>-845.30960000000005</v>
          </cell>
          <cell r="I264">
            <v>-910.92740000000003</v>
          </cell>
          <cell r="J264">
            <v>-975.19560000000001</v>
          </cell>
          <cell r="K264">
            <v>-989.67589999999996</v>
          </cell>
          <cell r="L264">
            <v>-1049.3996</v>
          </cell>
          <cell r="M264">
            <v>-1107.9521999999999</v>
          </cell>
          <cell r="N264">
            <v>-1108.1754000000001</v>
          </cell>
        </row>
        <row r="265">
          <cell r="E265">
            <v>-22789.172600000002</v>
          </cell>
          <cell r="F265">
            <v>-23577.594400000002</v>
          </cell>
          <cell r="G265">
            <v>-24345.360100000002</v>
          </cell>
          <cell r="H265">
            <v>-24667.725600000002</v>
          </cell>
          <cell r="I265">
            <v>-25408.742300000002</v>
          </cell>
          <cell r="J265">
            <v>-26136.2487</v>
          </cell>
          <cell r="K265">
            <v>-26260.1482</v>
          </cell>
          <cell r="L265">
            <v>-26849.375199999999</v>
          </cell>
          <cell r="M265">
            <v>-27426.649000000001</v>
          </cell>
          <cell r="N265">
            <v>-27581.239300000001</v>
          </cell>
        </row>
        <row r="266">
          <cell r="E266">
            <v>-2.0282999999999999E-2</v>
          </cell>
          <cell r="F266">
            <v>-2.0242E-2</v>
          </cell>
          <cell r="G266">
            <v>-2.0205000000000001E-2</v>
          </cell>
          <cell r="H266">
            <v>-1.9814999999999999E-2</v>
          </cell>
          <cell r="I266">
            <v>-1.9781E-2</v>
          </cell>
          <cell r="J266">
            <v>-1.9748999999999999E-2</v>
          </cell>
          <cell r="K266">
            <v>-1.9352000000000001E-2</v>
          </cell>
          <cell r="L266">
            <v>-1.932E-2</v>
          </cell>
          <cell r="M266">
            <v>-1.9289000000000001E-2</v>
          </cell>
          <cell r="N266">
            <v>-1.8897000000000001E-2</v>
          </cell>
        </row>
        <row r="267">
          <cell r="E267">
            <v>-4721.0676999999996</v>
          </cell>
          <cell r="F267">
            <v>-4714.7748000000001</v>
          </cell>
          <cell r="G267">
            <v>-4714.6360000000004</v>
          </cell>
          <cell r="H267">
            <v>-4687.2377999999999</v>
          </cell>
          <cell r="I267">
            <v>-4675.549</v>
          </cell>
          <cell r="J267">
            <v>-4656.3827000000001</v>
          </cell>
          <cell r="K267">
            <v>-4625.7375000000002</v>
          </cell>
          <cell r="L267">
            <v>-4602.3879999999999</v>
          </cell>
          <cell r="M267">
            <v>-4579.6988000000001</v>
          </cell>
          <cell r="N267">
            <v>-4563.3064999999997</v>
          </cell>
        </row>
        <row r="268">
          <cell r="E268">
            <v>-2.93E-2</v>
          </cell>
          <cell r="F268">
            <v>-2.93E-2</v>
          </cell>
          <cell r="G268">
            <v>-2.93E-2</v>
          </cell>
          <cell r="H268">
            <v>-2.92E-2</v>
          </cell>
          <cell r="I268">
            <v>-2.92E-2</v>
          </cell>
          <cell r="J268">
            <v>-2.92E-2</v>
          </cell>
          <cell r="K268">
            <v>-2.9100000000000001E-2</v>
          </cell>
          <cell r="L268">
            <v>-2.9100000000000001E-2</v>
          </cell>
          <cell r="M268">
            <v>-2.9100000000000001E-2</v>
          </cell>
          <cell r="N268">
            <v>-2.9100000000000001E-2</v>
          </cell>
        </row>
        <row r="270">
          <cell r="E270">
            <v>-946.38709658255175</v>
          </cell>
          <cell r="F270">
            <v>-929.18902152052624</v>
          </cell>
          <cell r="G270">
            <v>-912.57252387605729</v>
          </cell>
          <cell r="H270">
            <v>-962.81511580981146</v>
          </cell>
          <cell r="I270">
            <v>-948.41399795759139</v>
          </cell>
          <cell r="J270">
            <v>-934.53340243737932</v>
          </cell>
          <cell r="K270">
            <v>-978.81201626982977</v>
          </cell>
          <cell r="L270">
            <v>-961.48161915761045</v>
          </cell>
          <cell r="M270">
            <v>-944.81777578047638</v>
          </cell>
          <cell r="N270">
            <v>-1042.2305669145976</v>
          </cell>
        </row>
        <row r="271">
          <cell r="E271">
            <v>0</v>
          </cell>
          <cell r="F271">
            <v>0</v>
          </cell>
          <cell r="G271">
            <v>0</v>
          </cell>
          <cell r="H271">
            <v>0</v>
          </cell>
          <cell r="I271">
            <v>0</v>
          </cell>
          <cell r="J271">
            <v>0</v>
          </cell>
          <cell r="K271">
            <v>0</v>
          </cell>
          <cell r="L271">
            <v>0</v>
          </cell>
          <cell r="M271">
            <v>0</v>
          </cell>
          <cell r="N271">
            <v>0</v>
          </cell>
        </row>
        <row r="272">
          <cell r="E272">
            <v>-41.863223463988753</v>
          </cell>
          <cell r="F272">
            <v>-38.76224394813773</v>
          </cell>
          <cell r="G272">
            <v>-35.890966618646047</v>
          </cell>
          <cell r="H272">
            <v>-33.232376498746333</v>
          </cell>
          <cell r="I272">
            <v>-30.77071898032068</v>
          </cell>
          <cell r="J272">
            <v>-28.491406463259889</v>
          </cell>
          <cell r="K272">
            <v>-26.380931910425822</v>
          </cell>
          <cell r="L272">
            <v>-24.426788805949833</v>
          </cell>
          <cell r="M272">
            <v>-22.617397042546141</v>
          </cell>
          <cell r="N272">
            <v>-20.942034298653834</v>
          </cell>
        </row>
        <row r="273">
          <cell r="E273">
            <v>-1009.9117471748916</v>
          </cell>
          <cell r="F273">
            <v>-961.82071159513475</v>
          </cell>
          <cell r="G273">
            <v>-916.01972532869968</v>
          </cell>
          <cell r="H273">
            <v>-872.39973840828543</v>
          </cell>
          <cell r="I273">
            <v>-830.85689372217644</v>
          </cell>
          <cell r="J273">
            <v>-791.29227973540605</v>
          </cell>
          <cell r="K273">
            <v>-753.61169498610104</v>
          </cell>
          <cell r="L273">
            <v>-717.72542379628658</v>
          </cell>
          <cell r="M273">
            <v>-683.54802266313015</v>
          </cell>
          <cell r="N273">
            <v>-650.99811682202869</v>
          </cell>
        </row>
        <row r="274">
          <cell r="E274">
            <v>-189.69974835749193</v>
          </cell>
          <cell r="F274">
            <v>-172.45431668862901</v>
          </cell>
          <cell r="G274">
            <v>-156.77665153511725</v>
          </cell>
          <cell r="H274">
            <v>-142.5242286682884</v>
          </cell>
          <cell r="I274">
            <v>-129.56748060753489</v>
          </cell>
          <cell r="J274">
            <v>-117.78861873412262</v>
          </cell>
          <cell r="K274">
            <v>0</v>
          </cell>
          <cell r="L274">
            <v>0</v>
          </cell>
          <cell r="M274">
            <v>0</v>
          </cell>
          <cell r="N274">
            <v>0</v>
          </cell>
        </row>
        <row r="275">
          <cell r="E275">
            <v>0</v>
          </cell>
          <cell r="F275">
            <v>0</v>
          </cell>
          <cell r="G275">
            <v>0</v>
          </cell>
          <cell r="H275">
            <v>0</v>
          </cell>
          <cell r="I275">
            <v>0</v>
          </cell>
          <cell r="J275">
            <v>0</v>
          </cell>
          <cell r="K275">
            <v>0</v>
          </cell>
          <cell r="L275">
            <v>0</v>
          </cell>
          <cell r="M275">
            <v>0</v>
          </cell>
          <cell r="N275">
            <v>0</v>
          </cell>
        </row>
        <row r="276">
          <cell r="E276">
            <v>-141.09711472261017</v>
          </cell>
          <cell r="F276">
            <v>-136.9874900219516</v>
          </cell>
          <cell r="G276">
            <v>-132.99756312810834</v>
          </cell>
          <cell r="H276">
            <v>-129.12384769719256</v>
          </cell>
          <cell r="I276">
            <v>-125.36295892931315</v>
          </cell>
          <cell r="J276">
            <v>-121.71161061098364</v>
          </cell>
          <cell r="K276">
            <v>0</v>
          </cell>
          <cell r="L276">
            <v>0</v>
          </cell>
          <cell r="M276">
            <v>0</v>
          </cell>
          <cell r="N276">
            <v>0</v>
          </cell>
        </row>
        <row r="277">
          <cell r="E277">
            <v>0</v>
          </cell>
          <cell r="F277">
            <v>0</v>
          </cell>
          <cell r="G277">
            <v>0</v>
          </cell>
          <cell r="H277">
            <v>0</v>
          </cell>
          <cell r="I277">
            <v>0</v>
          </cell>
          <cell r="J277">
            <v>0</v>
          </cell>
          <cell r="K277">
            <v>0</v>
          </cell>
          <cell r="L277">
            <v>0</v>
          </cell>
          <cell r="M277">
            <v>0</v>
          </cell>
          <cell r="N277">
            <v>0</v>
          </cell>
        </row>
        <row r="278">
          <cell r="E278">
            <v>-112.44736210838579</v>
          </cell>
          <cell r="F278">
            <v>-102.22487464398706</v>
          </cell>
          <cell r="G278">
            <v>-92.931704221806413</v>
          </cell>
          <cell r="H278">
            <v>-84.483367474369459</v>
          </cell>
          <cell r="I278">
            <v>-76.803061340335873</v>
          </cell>
          <cell r="J278">
            <v>-69.820964854850786</v>
          </cell>
          <cell r="K278">
            <v>0</v>
          </cell>
          <cell r="L278">
            <v>0</v>
          </cell>
          <cell r="M278">
            <v>0</v>
          </cell>
          <cell r="N278">
            <v>0</v>
          </cell>
        </row>
        <row r="279">
          <cell r="E279">
            <v>0</v>
          </cell>
          <cell r="F279">
            <v>0</v>
          </cell>
          <cell r="G279">
            <v>0</v>
          </cell>
          <cell r="H279">
            <v>0</v>
          </cell>
          <cell r="I279">
            <v>0</v>
          </cell>
          <cell r="J279">
            <v>0</v>
          </cell>
          <cell r="K279">
            <v>0</v>
          </cell>
          <cell r="L279">
            <v>0</v>
          </cell>
          <cell r="M279">
            <v>0</v>
          </cell>
          <cell r="N279">
            <v>0</v>
          </cell>
        </row>
        <row r="280">
          <cell r="E280">
            <v>-66.904678405331509</v>
          </cell>
          <cell r="F280">
            <v>-73.37347417993351</v>
          </cell>
          <cell r="G280">
            <v>-79.653858427119914</v>
          </cell>
          <cell r="H280">
            <v>-87.469765463223212</v>
          </cell>
          <cell r="I280">
            <v>-100.2424907409934</v>
          </cell>
          <cell r="J280">
            <v>-117.91503955436254</v>
          </cell>
          <cell r="K280">
            <v>-138.160232577051</v>
          </cell>
          <cell r="L280">
            <v>-157.90313842432136</v>
          </cell>
          <cell r="M280">
            <v>-177.15838681972946</v>
          </cell>
          <cell r="N280">
            <v>-196.69746293177619</v>
          </cell>
        </row>
        <row r="281">
          <cell r="E281">
            <v>0</v>
          </cell>
          <cell r="F281">
            <v>0</v>
          </cell>
          <cell r="G281">
            <v>0</v>
          </cell>
          <cell r="H281">
            <v>0</v>
          </cell>
          <cell r="I281">
            <v>0</v>
          </cell>
          <cell r="J281">
            <v>0</v>
          </cell>
          <cell r="K281">
            <v>0</v>
          </cell>
          <cell r="L281">
            <v>0</v>
          </cell>
          <cell r="M281">
            <v>0</v>
          </cell>
          <cell r="N281">
            <v>0</v>
          </cell>
        </row>
        <row r="282">
          <cell r="E282">
            <v>-18.752966165983917</v>
          </cell>
          <cell r="F282">
            <v>-24.26759567242043</v>
          </cell>
          <cell r="G282">
            <v>-29.570124043994003</v>
          </cell>
          <cell r="H282">
            <v>-36.851273119224999</v>
          </cell>
          <cell r="I282">
            <v>-43.852377999254799</v>
          </cell>
          <cell r="J282">
            <v>-50.584209614668069</v>
          </cell>
          <cell r="K282">
            <v>-56.433534885898787</v>
          </cell>
          <cell r="L282">
            <v>-62.057886108236019</v>
          </cell>
          <cell r="M282">
            <v>-67.465916129714117</v>
          </cell>
          <cell r="N282">
            <v>-73.601329611904589</v>
          </cell>
        </row>
        <row r="283">
          <cell r="E283">
            <v>0</v>
          </cell>
          <cell r="F283">
            <v>0</v>
          </cell>
          <cell r="G283">
            <v>0</v>
          </cell>
          <cell r="H283">
            <v>0</v>
          </cell>
          <cell r="I283">
            <v>0</v>
          </cell>
          <cell r="J283">
            <v>0</v>
          </cell>
          <cell r="K283">
            <v>0</v>
          </cell>
          <cell r="L283">
            <v>0</v>
          </cell>
          <cell r="M283">
            <v>0</v>
          </cell>
          <cell r="N283">
            <v>0</v>
          </cell>
        </row>
        <row r="284">
          <cell r="E284">
            <v>0</v>
          </cell>
          <cell r="F284">
            <v>0</v>
          </cell>
          <cell r="G284">
            <v>0</v>
          </cell>
          <cell r="H284">
            <v>0</v>
          </cell>
          <cell r="I284">
            <v>0</v>
          </cell>
          <cell r="J284">
            <v>0</v>
          </cell>
          <cell r="K284">
            <v>0</v>
          </cell>
          <cell r="L284">
            <v>0</v>
          </cell>
          <cell r="M284">
            <v>0</v>
          </cell>
          <cell r="N284">
            <v>0</v>
          </cell>
        </row>
        <row r="285">
          <cell r="E285">
            <v>0</v>
          </cell>
          <cell r="F285">
            <v>0</v>
          </cell>
          <cell r="G285">
            <v>0</v>
          </cell>
          <cell r="H285">
            <v>0</v>
          </cell>
          <cell r="I285">
            <v>0</v>
          </cell>
          <cell r="J285">
            <v>0</v>
          </cell>
          <cell r="K285">
            <v>0</v>
          </cell>
          <cell r="L285">
            <v>0</v>
          </cell>
          <cell r="M285">
            <v>0</v>
          </cell>
          <cell r="N285">
            <v>0</v>
          </cell>
        </row>
        <row r="286">
          <cell r="E286">
            <v>0</v>
          </cell>
          <cell r="F286">
            <v>0</v>
          </cell>
          <cell r="G286">
            <v>0</v>
          </cell>
          <cell r="H286">
            <v>0</v>
          </cell>
          <cell r="I286">
            <v>0</v>
          </cell>
          <cell r="J286">
            <v>0</v>
          </cell>
          <cell r="K286">
            <v>0</v>
          </cell>
          <cell r="L286">
            <v>0</v>
          </cell>
          <cell r="M286">
            <v>0</v>
          </cell>
          <cell r="N286">
            <v>-3.9159100200945756</v>
          </cell>
        </row>
        <row r="287">
          <cell r="E287">
            <v>0</v>
          </cell>
          <cell r="F287">
            <v>0</v>
          </cell>
          <cell r="G287">
            <v>0</v>
          </cell>
          <cell r="H287">
            <v>0</v>
          </cell>
          <cell r="I287">
            <v>0</v>
          </cell>
          <cell r="J287">
            <v>0</v>
          </cell>
          <cell r="K287">
            <v>0</v>
          </cell>
          <cell r="L287">
            <v>0</v>
          </cell>
          <cell r="M287">
            <v>0</v>
          </cell>
          <cell r="N287">
            <v>-7.2815533980582519</v>
          </cell>
        </row>
        <row r="288">
          <cell r="E288">
            <v>0</v>
          </cell>
          <cell r="F288">
            <v>0</v>
          </cell>
          <cell r="G288">
            <v>-3.6407766990291259</v>
          </cell>
          <cell r="H288">
            <v>-14.457064756338957</v>
          </cell>
          <cell r="I288">
            <v>-26.603946365377627</v>
          </cell>
          <cell r="J288">
            <v>-40.275676082890904</v>
          </cell>
          <cell r="K288">
            <v>-55.719102993097962</v>
          </cell>
          <cell r="L288">
            <v>-73.203012614658206</v>
          </cell>
          <cell r="M288">
            <v>-93.046614188988542</v>
          </cell>
          <cell r="N288">
            <v>-115.60350892134809</v>
          </cell>
        </row>
        <row r="289">
          <cell r="E289">
            <v>-2527.0639000000001</v>
          </cell>
          <cell r="F289">
            <v>-2439.0796999999998</v>
          </cell>
          <cell r="G289">
            <v>-2360.0540000000001</v>
          </cell>
          <cell r="H289">
            <v>-2363.3568</v>
          </cell>
          <cell r="I289">
            <v>-2312.4740000000002</v>
          </cell>
          <cell r="J289">
            <v>-2272.4132</v>
          </cell>
          <cell r="K289">
            <v>-2009.1174000000001</v>
          </cell>
          <cell r="L289">
            <v>-1996.7978000000001</v>
          </cell>
          <cell r="M289">
            <v>-1988.6541</v>
          </cell>
          <cell r="N289">
            <v>-2111.2705000000001</v>
          </cell>
        </row>
        <row r="290">
          <cell r="E290">
            <v>-4.2861999999999997E-2</v>
          </cell>
          <cell r="F290">
            <v>-4.2486999999999997E-2</v>
          </cell>
          <cell r="G290">
            <v>-4.2097000000000002E-2</v>
          </cell>
          <cell r="H290">
            <v>-4.2811000000000002E-2</v>
          </cell>
          <cell r="I290">
            <v>-4.2327999999999998E-2</v>
          </cell>
          <cell r="J290">
            <v>-4.1813000000000003E-2</v>
          </cell>
          <cell r="K290">
            <v>-3.6896999999999999E-2</v>
          </cell>
          <cell r="L290">
            <v>-3.6533000000000003E-2</v>
          </cell>
          <cell r="M290">
            <v>-3.6174999999999999E-2</v>
          </cell>
          <cell r="N290">
            <v>-3.7855E-2</v>
          </cell>
        </row>
        <row r="291">
          <cell r="E291">
            <v>-215407.7585</v>
          </cell>
          <cell r="F291">
            <v>-219850.84090000001</v>
          </cell>
          <cell r="G291">
            <v>-226069.04500000001</v>
          </cell>
          <cell r="H291">
            <v>-228064.5466</v>
          </cell>
          <cell r="I291">
            <v>-231789.31969999999</v>
          </cell>
          <cell r="J291">
            <v>-230758.17980000001</v>
          </cell>
          <cell r="K291">
            <v>-229406.95069999999</v>
          </cell>
          <cell r="L291">
            <v>-228190.23269999999</v>
          </cell>
          <cell r="M291">
            <v>-226651.1004</v>
          </cell>
          <cell r="N291">
            <v>-227423.4497</v>
          </cell>
        </row>
        <row r="292">
          <cell r="E292">
            <v>-3.9969999999999999E-2</v>
          </cell>
          <cell r="F292">
            <v>-3.9976999999999999E-2</v>
          </cell>
          <cell r="G292">
            <v>-4.0322999999999998E-2</v>
          </cell>
          <cell r="H292">
            <v>-3.9973000000000002E-2</v>
          </cell>
          <cell r="I292">
            <v>-4.0252000000000003E-2</v>
          </cell>
          <cell r="J292">
            <v>-3.9661000000000002E-2</v>
          </cell>
          <cell r="K292">
            <v>-3.9196000000000002E-2</v>
          </cell>
          <cell r="L292">
            <v>-3.8788999999999997E-2</v>
          </cell>
          <cell r="M292">
            <v>-3.8255999999999998E-2</v>
          </cell>
          <cell r="N292">
            <v>-3.789E-2</v>
          </cell>
        </row>
        <row r="293">
          <cell r="E293">
            <v>-4070.5551</v>
          </cell>
          <cell r="F293">
            <v>-4296.6832000000004</v>
          </cell>
          <cell r="G293">
            <v>-5229.2214999999997</v>
          </cell>
          <cell r="H293">
            <v>-4242.6314000000002</v>
          </cell>
          <cell r="I293">
            <v>-4219.3485000000001</v>
          </cell>
          <cell r="J293">
            <v>-3748.59</v>
          </cell>
          <cell r="K293">
            <v>-2674.5749999999998</v>
          </cell>
          <cell r="L293">
            <v>-2428.8634000000002</v>
          </cell>
          <cell r="M293">
            <v>-2519.3571999999999</v>
          </cell>
          <cell r="N293">
            <v>-3278.3361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I data"/>
      <sheetName val="commercial construction"/>
      <sheetName val="crack spreads"/>
      <sheetName val="pump valve vs interest rates"/>
      <sheetName val="new orders"/>
      <sheetName val="Process Control Inventory level"/>
      <sheetName val="NAHB"/>
      <sheetName val="oil majors huge 1st quarter"/>
      <sheetName val="New Housing Starts Actual"/>
      <sheetName val="NAPM and EIC"/>
      <sheetName val="Capacity Utilization"/>
      <sheetName val="Crack Spread"/>
      <sheetName val="Euro 11 Industrial Confidence"/>
      <sheetName val="Worldwide oil Capex spending"/>
      <sheetName val="Rig Counts"/>
      <sheetName val="NAPM"/>
      <sheetName val="Parker Hannifin vs NAPM"/>
      <sheetName val="IFO Manufacturing Business Clim"/>
      <sheetName val="Leading Economic Indicators"/>
      <sheetName val="Confidence Indicators"/>
      <sheetName val="Japan Tankan Manufacturing surv"/>
      <sheetName val="Industrial Production"/>
      <sheetName val="real industrial production"/>
      <sheetName val="New Orders-Capital Goods"/>
      <sheetName val="Chemical Industry Cap-ex"/>
      <sheetName val="Major Oil companies cap-ex"/>
      <sheetName val="Chemical-Specialty Index"/>
      <sheetName val="Chemical-Major Diversified Inde"/>
      <sheetName val="Chemical-Agriculture Index"/>
      <sheetName val="PC Index vs. FactSet F1250 inde"/>
      <sheetName val="S&amp;P 400 and 600"/>
    </sheetNames>
    <sheetDataSet>
      <sheetData sheetId="0"/>
      <sheetData sheetId="1">
        <row r="3">
          <cell r="A3">
            <v>31078</v>
          </cell>
        </row>
      </sheetData>
      <sheetData sheetId="2">
        <row r="3">
          <cell r="A3">
            <v>33606</v>
          </cell>
        </row>
      </sheetData>
      <sheetData sheetId="3"/>
      <sheetData sheetId="4">
        <row r="7">
          <cell r="D7">
            <v>31077</v>
          </cell>
          <cell r="G7">
            <v>31077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sheetName val="Data"/>
      <sheetName val="Recent Data"/>
      <sheetName val="Confidence 1970"/>
      <sheetName val="Confidence 1984"/>
      <sheetName val="Expectations 1970"/>
      <sheetName val="Expectations 1984"/>
      <sheetName val="Present Sit 1970"/>
      <sheetName val="Present Sit 1984"/>
      <sheetName val="Current Bus 1970"/>
      <sheetName val="Current Empl 1970"/>
      <sheetName val="Future Bus 1970"/>
      <sheetName val="Future Empl 1970"/>
      <sheetName val="ES1 (5)"/>
      <sheetName val="ES1 (4)"/>
      <sheetName val="Chart1 (3)"/>
      <sheetName val="ES1 (3)"/>
      <sheetName val="ES2 (2)"/>
      <sheetName val="ES1 (2)"/>
      <sheetName val="ES Sum"/>
      <sheetName val="EFS"/>
      <sheetName val="ES1"/>
      <sheetName val="ES2"/>
      <sheetName val="Pres Sit"/>
      <sheetName val="Chart1 (2)"/>
      <sheetName val="Chart3"/>
      <sheetName val="Chart1"/>
      <sheetName val="Char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GTNSalesReview"/>
      <sheetName val="RCherichella"/>
      <sheetName val="CWright"/>
      <sheetName val="MGreenberg"/>
      <sheetName val="MLeslie"/>
      <sheetName val="SGodwin"/>
      <sheetName val="SGoldman"/>
      <sheetName val="JKepko"/>
      <sheetName val="KQuigley"/>
      <sheetName val="MBustos"/>
      <sheetName val="TDesai"/>
      <sheetName val="AFinnegan"/>
      <sheetName val="EOpeka"/>
      <sheetName val="SBruder"/>
      <sheetName val="GBenedict"/>
      <sheetName val="CJordan2"/>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g1"/>
      <sheetName val="Quarterly"/>
      <sheetName val="NAV-Prod Tables"/>
      <sheetName val="Rand"/>
      <sheetName val="MarigoldMillenium"/>
      <sheetName val="San Martin"/>
      <sheetName val="ElSauzal"/>
      <sheetName val="Cerro San Pedro"/>
      <sheetName val="Dee"/>
      <sheetName val="Daisy"/>
      <sheetName val="Picacho"/>
      <sheetName val="Imperial"/>
      <sheetName val="Template"/>
      <sheetName val="Tables"/>
      <sheetName val="Tables2"/>
      <sheetName val="Pub Fin"/>
      <sheetName val="DS_Key_Information"/>
      <sheetName val="DS_Cash_Flow"/>
      <sheetName val="DS_Income_Statement"/>
      <sheetName val="DS_Valuation_Measures"/>
      <sheetName val="DS_Quarterly_Estimates_Data"/>
      <sheetName val="DS_Balance_Sheet"/>
      <sheetName val="DS_Industry_Specif"/>
      <sheetName val="RBCGold"/>
      <sheetName val="Sheet1"/>
      <sheetName val="NAV table"/>
      <sheetName val="Prod CF contribution chart"/>
      <sheetName val="production data for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tions"/>
      <sheetName val="Income Statement"/>
      <sheetName val="Balance Sheet"/>
      <sheetName val="Quickview"/>
      <sheetName val="Estimate Changes"/>
      <sheetName val="Report Statistics"/>
      <sheetName val="Universe"/>
      <sheetName val="Competitors"/>
      <sheetName val="Calculations"/>
      <sheetName val="Macros"/>
    </sheetNames>
    <sheetDataSet>
      <sheetData sheetId="0"/>
      <sheetData sheetId="1"/>
      <sheetData sheetId="2">
        <row r="3">
          <cell r="D3" t="str">
            <v>N</v>
          </cell>
          <cell r="E3" t="str">
            <v>N</v>
          </cell>
          <cell r="F3" t="str">
            <v>N</v>
          </cell>
          <cell r="G3" t="str">
            <v>N</v>
          </cell>
          <cell r="H3" t="str">
            <v>N</v>
          </cell>
          <cell r="I3" t="str">
            <v>N</v>
          </cell>
          <cell r="J3" t="str">
            <v>N</v>
          </cell>
          <cell r="K3" t="str">
            <v>N</v>
          </cell>
          <cell r="L3" t="str">
            <v>T</v>
          </cell>
          <cell r="M3" t="str">
            <v>N</v>
          </cell>
          <cell r="N3" t="str">
            <v>N</v>
          </cell>
          <cell r="O3" t="str">
            <v>N</v>
          </cell>
          <cell r="P3" t="str">
            <v>N</v>
          </cell>
          <cell r="Q3" t="str">
            <v>N</v>
          </cell>
          <cell r="R3" t="str">
            <v>N</v>
          </cell>
          <cell r="S3" t="str">
            <v>N</v>
          </cell>
          <cell r="T3" t="str">
            <v>N</v>
          </cell>
          <cell r="U3" t="str">
            <v>T</v>
          </cell>
          <cell r="V3" t="str">
            <v>N</v>
          </cell>
          <cell r="W3" t="str">
            <v>N</v>
          </cell>
          <cell r="X3" t="str">
            <v>N</v>
          </cell>
          <cell r="Y3" t="str">
            <v>N</v>
          </cell>
          <cell r="Z3" t="str">
            <v>N</v>
          </cell>
          <cell r="AA3" t="str">
            <v>N</v>
          </cell>
          <cell r="AB3" t="str">
            <v>N</v>
          </cell>
          <cell r="AC3" t="str">
            <v>Y</v>
          </cell>
          <cell r="AD3" t="str">
            <v>T</v>
          </cell>
          <cell r="AE3" t="str">
            <v>N</v>
          </cell>
          <cell r="AF3" t="str">
            <v>P</v>
          </cell>
          <cell r="AG3" t="str">
            <v>N</v>
          </cell>
          <cell r="AH3" t="str">
            <v>P</v>
          </cell>
          <cell r="AI3" t="str">
            <v>N</v>
          </cell>
          <cell r="AJ3" t="str">
            <v>P</v>
          </cell>
          <cell r="AK3" t="str">
            <v>N</v>
          </cell>
          <cell r="AL3" t="str">
            <v>P</v>
          </cell>
          <cell r="AM3" t="str">
            <v>T</v>
          </cell>
          <cell r="AN3" t="str">
            <v>N</v>
          </cell>
          <cell r="AO3" t="str">
            <v>P</v>
          </cell>
          <cell r="AP3" t="str">
            <v>N</v>
          </cell>
          <cell r="AQ3" t="str">
            <v>P</v>
          </cell>
          <cell r="AR3" t="str">
            <v>N</v>
          </cell>
          <cell r="AS3" t="str">
            <v>P</v>
          </cell>
          <cell r="AT3" t="str">
            <v>N</v>
          </cell>
          <cell r="AU3" t="str">
            <v>P</v>
          </cell>
          <cell r="AV3" t="str">
            <v>T</v>
          </cell>
          <cell r="AW3" t="str">
            <v>N</v>
          </cell>
          <cell r="AX3" t="str">
            <v>P</v>
          </cell>
          <cell r="AY3" t="str">
            <v>N</v>
          </cell>
          <cell r="AZ3" t="str">
            <v>P</v>
          </cell>
          <cell r="BA3" t="str">
            <v>N</v>
          </cell>
          <cell r="BB3" t="str">
            <v>P</v>
          </cell>
          <cell r="BC3" t="str">
            <v>N</v>
          </cell>
          <cell r="BD3" t="str">
            <v>P</v>
          </cell>
          <cell r="BE3" t="str">
            <v>T</v>
          </cell>
        </row>
        <row r="4">
          <cell r="D4" t="str">
            <v>Y1Q1E</v>
          </cell>
          <cell r="E4" t="str">
            <v>Y1Q1A</v>
          </cell>
          <cell r="F4" t="str">
            <v>Y1Q2E</v>
          </cell>
          <cell r="G4" t="str">
            <v>Y1Q2A</v>
          </cell>
          <cell r="H4" t="str">
            <v>Y1Q3E</v>
          </cell>
          <cell r="I4" t="str">
            <v>Y1Q3A</v>
          </cell>
          <cell r="J4" t="str">
            <v>Y1Q4E</v>
          </cell>
          <cell r="K4" t="str">
            <v>Y1Q4A</v>
          </cell>
          <cell r="L4" t="str">
            <v>Y1T</v>
          </cell>
          <cell r="M4" t="str">
            <v>Y2Q1E</v>
          </cell>
          <cell r="N4" t="str">
            <v>Y2Q1A</v>
          </cell>
          <cell r="O4" t="str">
            <v>Y2Q2E</v>
          </cell>
          <cell r="P4" t="str">
            <v>Y2Q2A</v>
          </cell>
          <cell r="Q4" t="str">
            <v>Y2Q3E</v>
          </cell>
          <cell r="R4" t="str">
            <v>Y2Q3A</v>
          </cell>
          <cell r="S4" t="str">
            <v>Y2Q4E</v>
          </cell>
          <cell r="T4" t="str">
            <v>Y2Q4A</v>
          </cell>
          <cell r="U4" t="str">
            <v>Y2T</v>
          </cell>
          <cell r="V4" t="str">
            <v>Y3Q1E</v>
          </cell>
          <cell r="W4" t="str">
            <v>Y3Q1A</v>
          </cell>
          <cell r="X4" t="str">
            <v>Y3Q2E</v>
          </cell>
          <cell r="Y4" t="str">
            <v>Y3Q2A</v>
          </cell>
          <cell r="Z4" t="str">
            <v>Y3Q3E</v>
          </cell>
          <cell r="AA4" t="str">
            <v>Y3Q3A</v>
          </cell>
          <cell r="AB4" t="str">
            <v>Y3Q4E</v>
          </cell>
          <cell r="AC4" t="str">
            <v>Y3Q4A</v>
          </cell>
          <cell r="AD4" t="str">
            <v>Y3T</v>
          </cell>
          <cell r="AE4" t="str">
            <v>Y4Q1E</v>
          </cell>
          <cell r="AF4" t="str">
            <v>Y4Q1A</v>
          </cell>
          <cell r="AG4" t="str">
            <v>Y4Q2E</v>
          </cell>
          <cell r="AH4" t="str">
            <v>Y4Q2A</v>
          </cell>
          <cell r="AI4" t="str">
            <v>Y4Q3E</v>
          </cell>
          <cell r="AJ4" t="str">
            <v>Y4Q3A</v>
          </cell>
          <cell r="AK4" t="str">
            <v>Y4Q4E</v>
          </cell>
          <cell r="AL4" t="str">
            <v>Y4Q4A</v>
          </cell>
          <cell r="AM4" t="str">
            <v>Y4T</v>
          </cell>
          <cell r="AN4" t="str">
            <v>Y5Q1E</v>
          </cell>
          <cell r="AO4" t="str">
            <v>Y5Q1A</v>
          </cell>
          <cell r="AP4" t="str">
            <v>Y5Q2E</v>
          </cell>
          <cell r="AQ4" t="str">
            <v>Y5Q2A</v>
          </cell>
          <cell r="AR4" t="str">
            <v>Y5Q3E</v>
          </cell>
          <cell r="AS4" t="str">
            <v>Y5Q3A</v>
          </cell>
          <cell r="AT4" t="str">
            <v>Y5Q4E</v>
          </cell>
          <cell r="AU4" t="str">
            <v>Y5Q4A</v>
          </cell>
          <cell r="AV4" t="str">
            <v>Y5T</v>
          </cell>
          <cell r="AW4" t="str">
            <v>Y6Q1E</v>
          </cell>
          <cell r="AX4" t="str">
            <v>Y6Q1A</v>
          </cell>
          <cell r="AY4" t="str">
            <v>Y6Q2E</v>
          </cell>
          <cell r="AZ4" t="str">
            <v>Y6Q2A</v>
          </cell>
          <cell r="BA4" t="str">
            <v>Y6Q3E</v>
          </cell>
          <cell r="BB4" t="str">
            <v>Y6Q3A</v>
          </cell>
          <cell r="BC4" t="str">
            <v>Y6Q4E</v>
          </cell>
          <cell r="BD4" t="str">
            <v>Y6Q4A</v>
          </cell>
          <cell r="BE4" t="str">
            <v>Y6T</v>
          </cell>
        </row>
        <row r="6">
          <cell r="D6">
            <v>35885</v>
          </cell>
          <cell r="E6">
            <v>35885</v>
          </cell>
          <cell r="F6">
            <v>35976</v>
          </cell>
          <cell r="G6">
            <v>35976</v>
          </cell>
          <cell r="H6">
            <v>36068</v>
          </cell>
          <cell r="I6">
            <v>36068</v>
          </cell>
          <cell r="J6">
            <v>36160</v>
          </cell>
          <cell r="K6">
            <v>36160</v>
          </cell>
          <cell r="L6">
            <v>36160</v>
          </cell>
          <cell r="M6">
            <v>36250</v>
          </cell>
          <cell r="N6">
            <v>36250</v>
          </cell>
          <cell r="O6">
            <v>36341</v>
          </cell>
          <cell r="P6">
            <v>36341</v>
          </cell>
          <cell r="Q6">
            <v>36433</v>
          </cell>
          <cell r="R6">
            <v>36433</v>
          </cell>
          <cell r="S6">
            <v>36525</v>
          </cell>
          <cell r="T6">
            <v>36525</v>
          </cell>
          <cell r="U6">
            <v>36525</v>
          </cell>
          <cell r="V6">
            <v>36616</v>
          </cell>
          <cell r="W6">
            <v>36616</v>
          </cell>
          <cell r="X6">
            <v>36707</v>
          </cell>
          <cell r="Y6">
            <v>36707</v>
          </cell>
          <cell r="Z6">
            <v>36799</v>
          </cell>
          <cell r="AA6">
            <v>36799</v>
          </cell>
          <cell r="AB6">
            <v>36891</v>
          </cell>
          <cell r="AC6">
            <v>36891</v>
          </cell>
          <cell r="AD6">
            <v>36891</v>
          </cell>
          <cell r="AE6">
            <v>36981</v>
          </cell>
          <cell r="AF6">
            <v>36981</v>
          </cell>
          <cell r="AG6">
            <v>37072</v>
          </cell>
          <cell r="AH6">
            <v>37072</v>
          </cell>
          <cell r="AI6">
            <v>37164</v>
          </cell>
          <cell r="AJ6">
            <v>37164</v>
          </cell>
          <cell r="AK6">
            <v>37256</v>
          </cell>
          <cell r="AL6">
            <v>37256</v>
          </cell>
          <cell r="AM6">
            <v>37256</v>
          </cell>
          <cell r="AN6">
            <v>37346</v>
          </cell>
          <cell r="AO6">
            <v>37346</v>
          </cell>
          <cell r="AP6">
            <v>37437</v>
          </cell>
          <cell r="AQ6">
            <v>37437</v>
          </cell>
          <cell r="AR6">
            <v>37529</v>
          </cell>
          <cell r="AS6">
            <v>37529</v>
          </cell>
          <cell r="AT6">
            <v>37621</v>
          </cell>
          <cell r="AU6">
            <v>37621</v>
          </cell>
          <cell r="AV6">
            <v>37621</v>
          </cell>
          <cell r="AW6">
            <v>37711</v>
          </cell>
          <cell r="AX6">
            <v>37711</v>
          </cell>
          <cell r="AY6">
            <v>37802</v>
          </cell>
          <cell r="AZ6">
            <v>37802</v>
          </cell>
          <cell r="BA6">
            <v>37894</v>
          </cell>
          <cell r="BB6">
            <v>37894</v>
          </cell>
          <cell r="BC6">
            <v>37986</v>
          </cell>
          <cell r="BD6">
            <v>37986</v>
          </cell>
          <cell r="BE6">
            <v>37986</v>
          </cell>
        </row>
      </sheetData>
      <sheetData sheetId="3"/>
      <sheetData sheetId="4"/>
      <sheetData sheetId="5"/>
      <sheetData sheetId="6"/>
      <sheetData sheetId="7"/>
      <sheetData sheetId="8"/>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ADI"/>
      <sheetName val="Accruals"/>
      <sheetName val="A. Cybersource Jan"/>
      <sheetName val="B. Cybersource Feb"/>
      <sheetName val="C. Cybersource Mar"/>
      <sheetName val="D. Cybersource Apr"/>
      <sheetName val="E. Cybersource May"/>
      <sheetName val="F. GMG May"/>
      <sheetName val="G. GMG Card Prod"/>
      <sheetName val="H. Accenture"/>
      <sheetName val="email support"/>
    </sheetNames>
    <sheetDataSet>
      <sheetData sheetId="0">
        <row r="1">
          <cell r="A1" t="str">
            <v>No</v>
          </cell>
        </row>
        <row r="2">
          <cell r="A2" t="str">
            <v>Yes</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9'96_oh"/>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PRT New"/>
      <sheetName val="AMAT_Balance"/>
      <sheetName val="AMAT_CFlow"/>
      <sheetName val="Cap IQ Formulas"/>
      <sheetName val="Revenue Model"/>
      <sheetName val="AMAT_Income"/>
      <sheetName val="Sheet1"/>
      <sheetName val="ModelToWizard"/>
      <sheetName val="XPRT"/>
      <sheetName val="Chart1"/>
      <sheetName val="Quarterly Figures"/>
      <sheetName val="AMAT_FC"/>
      <sheetName val="AMAT_Q"/>
      <sheetName val="Earnings Report"/>
      <sheetName val="AMAT_EPS"/>
      <sheetName val="Partners Upload Sheet"/>
      <sheetName val="__FDSCACHE__"/>
      <sheetName val="Competitors"/>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ToWizard"/>
      <sheetName val="XPRT"/>
      <sheetName val="Sheet1"/>
      <sheetName val="Revenue Model"/>
      <sheetName val="NVLS_FC"/>
      <sheetName val="NVLS_Eps"/>
      <sheetName val="NVLS_Q"/>
      <sheetName val="NVLS_Income"/>
      <sheetName val="NVLS_Balance"/>
      <sheetName val="__FDSCACHE__"/>
      <sheetName val="NVLS_CFlow"/>
      <sheetName val="Chart_Data"/>
      <sheetName val="Earnings Report"/>
      <sheetName val="Admin"/>
      <sheetName val="Module2"/>
      <sheetName val="Module1"/>
    </sheetNames>
    <sheetDataSet>
      <sheetData sheetId="0" refreshError="1"/>
      <sheetData sheetId="1" refreshError="1"/>
      <sheetData sheetId="2" refreshError="1"/>
      <sheetData sheetId="3" refreshError="1"/>
      <sheetData sheetId="4" refreshError="1">
        <row r="11">
          <cell r="G11">
            <v>0.10651732279141272</v>
          </cell>
        </row>
        <row r="15">
          <cell r="G15">
            <v>136.08802571917045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l def"/>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piegel FV"/>
      <sheetName val="Barrens FV"/>
      <sheetName val="Exp-vested over periods"/>
      <sheetName val="1-24"/>
      <sheetName val="1-12"/>
      <sheetName val="1-48"/>
      <sheetName val="SO97"/>
      <sheetName val="Tickmarks"/>
      <sheetName val="FAS 123"/>
      <sheetName val="XREF"/>
      <sheetName val="Summary-Final"/>
      <sheetName val="Repairs &amp; Maintenance"/>
      <sheetName val="Rollforwar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Summary"/>
      <sheetName val="Option Activity"/>
      <sheetName val="Grants"/>
      <sheetName val="Cheap Stock"/>
      <sheetName val="FAS123"/>
      <sheetName val="Warrants"/>
      <sheetName val="Nonemployee"/>
      <sheetName val="BCF"/>
      <sheetName val="Volatility"/>
      <sheetName val="Tickmarks"/>
      <sheetName val="Weighted Avg Calc"/>
      <sheetName val="Cheap Stock Detail"/>
      <sheetName val="Cheap Stock Summary"/>
      <sheetName val="FAS 123"/>
      <sheetName val="Warrants and Franchise"/>
      <sheetName val="BCF - Series B"/>
      <sheetName val="BCF - Series C"/>
      <sheetName val="Accel Amort 4yr "/>
      <sheetName val="Comp stock prices"/>
      <sheetName val="Tickmarks "/>
      <sheetName val="Lead"/>
      <sheetName val="Exp-vested over periods"/>
    </sheetNames>
    <sheetDataSet>
      <sheetData sheetId="0"/>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통계자료"/>
      <sheetName val="6월인원"/>
      <sheetName val="ASP"/>
      <sheetName val="CHIP_O"/>
      <sheetName val="FAB_I"/>
      <sheetName val="FAB_O"/>
      <sheetName val="FRT_O"/>
      <sheetName val="PKG_I"/>
      <sheetName val="FT_금액"/>
      <sheetName val="YIELD"/>
      <sheetName val="Credit Calc"/>
      <sheetName val="256D OUT TA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hyperlink" Target="https://needham.bluematrix.com/sellside/Preference.action?exceltoolkit&amp;from=3"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B5C8-B1EF-4539-9821-F666DB11A17D}">
  <dimension ref="A1:B1"/>
  <sheetViews>
    <sheetView workbookViewId="0"/>
  </sheetViews>
  <sheetFormatPr defaultRowHeight="12.75"/>
  <sheetData>
    <row r="1" spans="1:2">
      <c r="B1" t="s">
        <v>422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B2:V39"/>
  <sheetViews>
    <sheetView showGridLines="0" zoomScaleNormal="100" workbookViewId="0">
      <selection activeCell="P6" sqref="P6"/>
    </sheetView>
  </sheetViews>
  <sheetFormatPr defaultRowHeight="12.75"/>
  <cols>
    <col min="2" max="2" width="2.53125" customWidth="1"/>
    <col min="3" max="3" width="26" bestFit="1" customWidth="1"/>
    <col min="4" max="12" width="10.19921875" customWidth="1"/>
    <col min="13" max="13" width="0.796875" customWidth="1"/>
    <col min="14" max="14" width="10.19921875" customWidth="1"/>
    <col min="15" max="15" width="6" style="377" customWidth="1"/>
    <col min="16" max="16" width="12.53125" bestFit="1" customWidth="1"/>
    <col min="17" max="17" width="10.796875" bestFit="1" customWidth="1"/>
    <col min="18" max="18" width="14.53125" bestFit="1" customWidth="1"/>
    <col min="19" max="19" width="12.19921875" customWidth="1"/>
  </cols>
  <sheetData>
    <row r="2" spans="2:22" ht="15">
      <c r="B2" s="514" t="s">
        <v>522</v>
      </c>
      <c r="C2" s="515"/>
      <c r="D2" s="784"/>
      <c r="E2" s="784"/>
      <c r="F2" s="784"/>
      <c r="G2" s="784"/>
      <c r="H2" s="784"/>
      <c r="I2" s="784"/>
      <c r="J2" s="784"/>
      <c r="K2" s="784"/>
      <c r="L2" s="94"/>
      <c r="M2" s="94"/>
      <c r="N2" s="94"/>
    </row>
    <row r="3" spans="2:22" ht="2.65" customHeight="1">
      <c r="B3" s="514"/>
      <c r="C3" s="515"/>
      <c r="D3" s="94"/>
      <c r="E3" s="94"/>
      <c r="F3" s="94"/>
      <c r="G3" s="94"/>
      <c r="H3" s="94"/>
      <c r="I3" s="94"/>
      <c r="J3" s="94"/>
      <c r="K3" s="94"/>
      <c r="L3" s="94"/>
      <c r="M3" s="94"/>
      <c r="N3" s="94"/>
    </row>
    <row r="4" spans="2:22" ht="4.1500000000000004" customHeight="1">
      <c r="B4" s="94"/>
      <c r="C4" s="94"/>
      <c r="D4" s="94"/>
      <c r="E4" s="94"/>
      <c r="F4" s="94"/>
      <c r="G4" s="94"/>
      <c r="H4" s="94"/>
      <c r="I4" s="94"/>
      <c r="J4" s="94"/>
      <c r="K4" s="94"/>
      <c r="L4" s="94"/>
      <c r="M4" s="94"/>
      <c r="N4" s="94"/>
    </row>
    <row r="5" spans="2:22" ht="13.15">
      <c r="B5" s="624"/>
      <c r="C5" s="625"/>
      <c r="D5" s="626" t="str">
        <f>IS!CL3</f>
        <v>4Q24</v>
      </c>
      <c r="E5" s="626" t="str">
        <f>K5</f>
        <v>4Q25</v>
      </c>
      <c r="F5" s="627" t="s">
        <v>125</v>
      </c>
      <c r="G5" s="626" t="str">
        <f>IS!CP3</f>
        <v>3Q25</v>
      </c>
      <c r="H5" s="626" t="str">
        <f>K5</f>
        <v>4Q25</v>
      </c>
      <c r="I5" s="627" t="s">
        <v>125</v>
      </c>
      <c r="J5" s="626" t="s">
        <v>516</v>
      </c>
      <c r="K5" s="626" t="str">
        <f>IS!CQ3</f>
        <v>4Q25</v>
      </c>
      <c r="L5" s="627" t="s">
        <v>125</v>
      </c>
      <c r="M5" s="610"/>
      <c r="N5" s="610"/>
      <c r="P5" s="95"/>
      <c r="Q5" s="527"/>
      <c r="R5" s="527"/>
    </row>
    <row r="6" spans="2:22" ht="13.15">
      <c r="B6" s="473" t="s">
        <v>471</v>
      </c>
      <c r="C6" s="470"/>
      <c r="D6" s="44">
        <f>IS!CL4</f>
        <v>170907</v>
      </c>
      <c r="E6" s="44">
        <f>K6</f>
        <v>192652</v>
      </c>
      <c r="F6" s="474">
        <f t="shared" ref="F6:F37" si="0">E6/D6-1</f>
        <v>0.12723293955192005</v>
      </c>
      <c r="G6" s="44">
        <f>IS!CP4</f>
        <v>189904</v>
      </c>
      <c r="H6" s="44">
        <f>K6</f>
        <v>192652</v>
      </c>
      <c r="I6" s="475">
        <f>H6/G6-1</f>
        <v>1.4470469289746379E-2</v>
      </c>
      <c r="J6" s="44">
        <v>193547.38541999998</v>
      </c>
      <c r="K6" s="44">
        <f>IS!CQ4</f>
        <v>192652</v>
      </c>
      <c r="L6" s="475">
        <f>K6/J6-1</f>
        <v>-4.6261819453514708E-3</v>
      </c>
      <c r="M6" s="611"/>
      <c r="N6" s="611"/>
      <c r="P6" s="405"/>
      <c r="R6" s="254"/>
    </row>
    <row r="7" spans="2:22">
      <c r="B7" s="896" t="s">
        <v>570</v>
      </c>
      <c r="C7" s="477"/>
      <c r="D7" s="478">
        <f>IS!CL20</f>
        <v>52766</v>
      </c>
      <c r="E7" s="478">
        <f>K7</f>
        <v>55144</v>
      </c>
      <c r="F7" s="479">
        <f t="shared" si="0"/>
        <v>4.5066899139597494E-2</v>
      </c>
      <c r="G7" s="478">
        <f>IS!CP20</f>
        <v>54761</v>
      </c>
      <c r="H7" s="478">
        <f>K7</f>
        <v>55144</v>
      </c>
      <c r="I7" s="479">
        <f>H7/G7-1</f>
        <v>6.9940285969942728E-3</v>
      </c>
      <c r="J7" s="478">
        <v>58451.310396840003</v>
      </c>
      <c r="K7" s="478">
        <f>IS!CQ20</f>
        <v>55144</v>
      </c>
      <c r="L7" s="479">
        <f>K7/J7-1</f>
        <v>-5.6582313970138132E-2</v>
      </c>
      <c r="M7" s="612"/>
      <c r="N7" s="612"/>
      <c r="P7" s="254"/>
      <c r="Q7" s="254"/>
      <c r="R7" s="254"/>
      <c r="S7" s="254"/>
      <c r="V7" s="254"/>
    </row>
    <row r="8" spans="2:22" ht="13.15">
      <c r="B8" s="917" t="s">
        <v>6</v>
      </c>
      <c r="C8" s="480"/>
      <c r="D8" s="481">
        <f>D6-D7</f>
        <v>118141</v>
      </c>
      <c r="E8" s="481">
        <f>E6-E7</f>
        <v>137508</v>
      </c>
      <c r="F8" s="482">
        <f t="shared" si="0"/>
        <v>0.16393123471106552</v>
      </c>
      <c r="G8" s="481">
        <f>G6-G7</f>
        <v>135143</v>
      </c>
      <c r="H8" s="481">
        <f>K8</f>
        <v>137508</v>
      </c>
      <c r="I8" s="482">
        <f>H8/G8-1</f>
        <v>1.7499981501076567E-2</v>
      </c>
      <c r="J8" s="481">
        <v>135096.07502315997</v>
      </c>
      <c r="K8" s="481">
        <f>K6-K7</f>
        <v>137508</v>
      </c>
      <c r="L8" s="482">
        <f>K8/J8-1</f>
        <v>1.7853405263080768E-2</v>
      </c>
      <c r="M8" s="612"/>
      <c r="N8" s="612"/>
      <c r="P8" s="254"/>
      <c r="Q8" s="254"/>
      <c r="R8" s="254"/>
    </row>
    <row r="9" spans="2:22" s="2" customFormat="1">
      <c r="B9" s="483"/>
      <c r="C9" s="467" t="s">
        <v>7</v>
      </c>
      <c r="D9" s="468">
        <f>D8/D6</f>
        <v>0.69125898880677794</v>
      </c>
      <c r="E9" s="468">
        <f>K9</f>
        <v>0.71376367751178293</v>
      </c>
      <c r="F9" s="472"/>
      <c r="G9" s="468">
        <f>G8/G6</f>
        <v>0.71163851209031936</v>
      </c>
      <c r="H9" s="468">
        <f>K9</f>
        <v>0.71376367751178293</v>
      </c>
      <c r="I9" s="472"/>
      <c r="J9" s="468">
        <v>0.69799999999999995</v>
      </c>
      <c r="K9" s="468">
        <f>K8/K6</f>
        <v>0.71376367751178293</v>
      </c>
      <c r="L9" s="472"/>
      <c r="M9" s="613"/>
      <c r="N9" s="785">
        <f>K9-D9*1000</f>
        <v>-690.5452251292661</v>
      </c>
      <c r="O9" s="378"/>
      <c r="P9" s="40"/>
      <c r="Q9" s="40"/>
    </row>
    <row r="10" spans="2:22" ht="12.75" customHeight="1">
      <c r="B10" s="484"/>
      <c r="C10" s="477"/>
      <c r="D10" s="478"/>
      <c r="E10" s="485"/>
      <c r="F10" s="479"/>
      <c r="G10" s="478"/>
      <c r="H10" s="478"/>
      <c r="I10" s="479"/>
      <c r="J10" s="478"/>
      <c r="K10" s="478"/>
      <c r="L10" s="479"/>
      <c r="M10" s="612"/>
      <c r="N10" s="612"/>
      <c r="P10" s="608"/>
      <c r="R10" s="254"/>
    </row>
    <row r="11" spans="2:22" ht="13.15">
      <c r="B11" s="473" t="s">
        <v>8</v>
      </c>
      <c r="C11" s="477"/>
      <c r="D11" s="486"/>
      <c r="E11" s="487"/>
      <c r="F11" s="488"/>
      <c r="G11" s="486"/>
      <c r="H11" s="486"/>
      <c r="I11" s="488"/>
      <c r="J11" s="486"/>
      <c r="K11" s="486"/>
      <c r="L11" s="488"/>
      <c r="M11" s="614"/>
      <c r="N11" s="614"/>
      <c r="P11" s="608"/>
    </row>
    <row r="12" spans="2:22">
      <c r="B12" s="896" t="s">
        <v>9</v>
      </c>
      <c r="C12" s="470"/>
      <c r="D12" s="489">
        <f>IS!CL25</f>
        <v>36449</v>
      </c>
      <c r="E12" s="489">
        <f>K12</f>
        <v>40067</v>
      </c>
      <c r="F12" s="488">
        <f t="shared" si="0"/>
        <v>9.9261982496090528E-2</v>
      </c>
      <c r="G12" s="489">
        <f>IS!CP25</f>
        <v>38836</v>
      </c>
      <c r="H12" s="489">
        <f>K12</f>
        <v>40067</v>
      </c>
      <c r="I12" s="488">
        <f>H12/G12-1</f>
        <v>3.1697394170357329E-2</v>
      </c>
      <c r="J12" s="489">
        <v>40064.308781939995</v>
      </c>
      <c r="K12" s="489">
        <f>IS!CQ25</f>
        <v>40067</v>
      </c>
      <c r="L12" s="488">
        <f>K12/J12-1</f>
        <v>6.7172457027808719E-5</v>
      </c>
      <c r="M12" s="614"/>
      <c r="N12" s="489">
        <f>K12-J12</f>
        <v>2.6912180600047577</v>
      </c>
      <c r="O12" s="380"/>
      <c r="P12" s="85"/>
    </row>
    <row r="13" spans="2:22">
      <c r="B13" s="896" t="s">
        <v>11</v>
      </c>
      <c r="C13" s="470"/>
      <c r="D13" s="490">
        <f>IS!CL27</f>
        <v>15049</v>
      </c>
      <c r="E13" s="490">
        <f>K13</f>
        <v>14797</v>
      </c>
      <c r="F13" s="488">
        <f t="shared" si="0"/>
        <v>-1.6745298690942878E-2</v>
      </c>
      <c r="G13" s="490">
        <f>IS!CP27</f>
        <v>14922</v>
      </c>
      <c r="H13" s="490">
        <f>K13</f>
        <v>14797</v>
      </c>
      <c r="I13" s="488">
        <f>H13/G13-1</f>
        <v>-8.376893177858169E-3</v>
      </c>
      <c r="J13" s="490">
        <v>16451.527760699999</v>
      </c>
      <c r="K13" s="490">
        <f>IS!CQ27</f>
        <v>14797</v>
      </c>
      <c r="L13" s="488">
        <f>K13/J13-1</f>
        <v>-0.10056985495610893</v>
      </c>
      <c r="M13" s="614"/>
      <c r="N13" s="489">
        <f t="shared" ref="N13:N14" si="1">K13-J13</f>
        <v>-1654.5277606999989</v>
      </c>
      <c r="P13" s="85"/>
      <c r="S13" s="254"/>
    </row>
    <row r="14" spans="2:22">
      <c r="B14" s="897" t="s">
        <v>12</v>
      </c>
      <c r="C14" s="469"/>
      <c r="D14" s="492">
        <f>IS!CL29</f>
        <v>21744</v>
      </c>
      <c r="E14" s="492">
        <f>K14</f>
        <v>27969</v>
      </c>
      <c r="F14" s="493">
        <f t="shared" si="0"/>
        <v>0.28628587196467992</v>
      </c>
      <c r="G14" s="492">
        <f>IS!CP29</f>
        <v>26248</v>
      </c>
      <c r="H14" s="492">
        <f>K14</f>
        <v>27969</v>
      </c>
      <c r="I14" s="493">
        <f>H14/G14-1</f>
        <v>6.5566900335263689E-2</v>
      </c>
      <c r="J14" s="492">
        <v>24580.517948339999</v>
      </c>
      <c r="K14" s="492">
        <f>IS!CQ29</f>
        <v>27969</v>
      </c>
      <c r="L14" s="493">
        <f>K14/J14-1</f>
        <v>0.13785234545429237</v>
      </c>
      <c r="M14" s="615"/>
      <c r="N14" s="489">
        <f t="shared" si="1"/>
        <v>3388.4820516600012</v>
      </c>
      <c r="P14" s="85"/>
    </row>
    <row r="15" spans="2:22">
      <c r="B15" s="494" t="s">
        <v>126</v>
      </c>
      <c r="C15" s="477"/>
      <c r="D15" s="366">
        <f>SUM(D12:D14)</f>
        <v>73242</v>
      </c>
      <c r="E15" s="366">
        <f>K15</f>
        <v>82833</v>
      </c>
      <c r="F15" s="488">
        <f t="shared" si="0"/>
        <v>0.13094945523060542</v>
      </c>
      <c r="G15" s="366">
        <f>SUM(G12:G14)</f>
        <v>80006</v>
      </c>
      <c r="H15" s="366">
        <f>K15</f>
        <v>82833</v>
      </c>
      <c r="I15" s="488">
        <f>H15/G15-1</f>
        <v>3.5334849886258457E-2</v>
      </c>
      <c r="J15" s="366">
        <v>81096.354490979997</v>
      </c>
      <c r="K15" s="366">
        <f>SUM(K12:K14)</f>
        <v>82833</v>
      </c>
      <c r="L15" s="488">
        <f>K15/J15-1</f>
        <v>2.1414594033486001E-2</v>
      </c>
      <c r="M15" s="614"/>
      <c r="N15" s="614"/>
      <c r="P15" s="85"/>
      <c r="S15" s="254"/>
    </row>
    <row r="16" spans="2:22" ht="12.75" customHeight="1">
      <c r="B16" s="484"/>
      <c r="C16" s="477"/>
      <c r="D16" s="373"/>
      <c r="E16" s="495"/>
      <c r="F16" s="496"/>
      <c r="G16" s="373"/>
      <c r="H16" s="495"/>
      <c r="I16" s="496"/>
      <c r="J16" s="373"/>
      <c r="K16" s="373"/>
      <c r="L16" s="496"/>
      <c r="M16" s="616"/>
      <c r="N16" s="616"/>
    </row>
    <row r="17" spans="2:20" ht="13.15">
      <c r="B17" s="497" t="s">
        <v>14</v>
      </c>
      <c r="C17" s="477"/>
      <c r="D17" s="498">
        <f>D8-D15</f>
        <v>44899</v>
      </c>
      <c r="E17" s="498">
        <f>K17</f>
        <v>54675</v>
      </c>
      <c r="F17" s="488">
        <f t="shared" si="0"/>
        <v>0.2177331343682487</v>
      </c>
      <c r="G17" s="498">
        <f>G8-G15</f>
        <v>55137</v>
      </c>
      <c r="H17" s="498">
        <f>K17</f>
        <v>54675</v>
      </c>
      <c r="I17" s="488">
        <f>H17/G17-1</f>
        <v>-8.3791283530115779E-3</v>
      </c>
      <c r="J17" s="498">
        <v>53999.72053217997</v>
      </c>
      <c r="K17" s="498">
        <f>K8-K15</f>
        <v>54675</v>
      </c>
      <c r="L17" s="488">
        <f>K17/J17-1</f>
        <v>1.2505240048744648E-2</v>
      </c>
      <c r="M17" s="614"/>
      <c r="N17" s="489">
        <f t="shared" ref="N17" si="2">K17-J17</f>
        <v>675.27946782002982</v>
      </c>
      <c r="P17" s="85"/>
      <c r="Q17" s="85"/>
    </row>
    <row r="18" spans="2:20">
      <c r="B18" s="499"/>
      <c r="C18" s="2" t="s">
        <v>15</v>
      </c>
      <c r="D18" s="5">
        <f>D17/D6</f>
        <v>0.26271012890051315</v>
      </c>
      <c r="E18" s="5">
        <f>K18</f>
        <v>0.28380188111205695</v>
      </c>
      <c r="F18" s="512">
        <f>E18/D18-1</f>
        <v>8.0285264598728645E-2</v>
      </c>
      <c r="G18" s="5">
        <f>G17/G6</f>
        <v>0.29034143567276099</v>
      </c>
      <c r="H18" s="5">
        <f>K18</f>
        <v>0.28380188111205695</v>
      </c>
      <c r="I18" s="512">
        <f>H18/G18-1</f>
        <v>-2.2523669573896621E-2</v>
      </c>
      <c r="J18" s="5">
        <v>0.27899999999999986</v>
      </c>
      <c r="K18" s="5">
        <f>K17/K6</f>
        <v>0.28380188111205695</v>
      </c>
      <c r="L18" s="512">
        <f>K18/J18-1</f>
        <v>1.7211043412391103E-2</v>
      </c>
      <c r="M18" s="545"/>
      <c r="N18" s="545"/>
      <c r="P18" s="162"/>
    </row>
    <row r="19" spans="2:20">
      <c r="B19" s="499"/>
      <c r="C19" s="84"/>
      <c r="D19" s="495"/>
      <c r="E19" s="487"/>
      <c r="F19" s="496"/>
      <c r="G19" s="495"/>
      <c r="H19" s="495"/>
      <c r="I19" s="496"/>
      <c r="J19" s="495"/>
      <c r="K19" s="495"/>
      <c r="L19" s="496"/>
      <c r="M19" s="616"/>
      <c r="N19" s="616"/>
    </row>
    <row r="20" spans="2:20">
      <c r="B20" s="484" t="s">
        <v>565</v>
      </c>
      <c r="C20" s="84"/>
      <c r="D20" s="373">
        <f>IS!CL40</f>
        <v>20155</v>
      </c>
      <c r="E20" s="373">
        <f>K20</f>
        <v>19989</v>
      </c>
      <c r="F20" s="475">
        <f t="shared" si="0"/>
        <v>-8.2361696849416743E-3</v>
      </c>
      <c r="G20" s="373">
        <f>IS!CP40</f>
        <v>23946</v>
      </c>
      <c r="H20" s="373">
        <f>K20</f>
        <v>19989</v>
      </c>
      <c r="I20" s="475">
        <f>H20/G20-1</f>
        <v>-0.16524680531195191</v>
      </c>
      <c r="J20" s="373">
        <v>24500</v>
      </c>
      <c r="K20" s="373">
        <f>IS!CQ40</f>
        <v>19989</v>
      </c>
      <c r="L20" s="475">
        <f>K20/J20-1</f>
        <v>-0.18412244897959185</v>
      </c>
      <c r="M20" s="611"/>
      <c r="N20" s="611"/>
    </row>
    <row r="21" spans="2:20">
      <c r="B21" s="499"/>
      <c r="C21" s="84"/>
      <c r="D21" s="495"/>
      <c r="E21" s="495"/>
      <c r="F21" s="496"/>
      <c r="G21" s="495"/>
      <c r="H21" s="495"/>
      <c r="I21" s="496"/>
      <c r="J21" s="495"/>
      <c r="K21" s="495"/>
      <c r="L21" s="496"/>
      <c r="M21" s="616"/>
      <c r="N21" s="616"/>
    </row>
    <row r="22" spans="2:20" ht="13.15">
      <c r="B22" s="476" t="s">
        <v>17</v>
      </c>
      <c r="C22" s="500"/>
      <c r="D22" s="489">
        <f>D17-D20</f>
        <v>24744</v>
      </c>
      <c r="E22" s="489">
        <f>K22</f>
        <v>34686</v>
      </c>
      <c r="F22" s="488">
        <f t="shared" si="0"/>
        <v>0.4017943743937924</v>
      </c>
      <c r="G22" s="489">
        <f>G17-G20</f>
        <v>31191</v>
      </c>
      <c r="H22" s="489">
        <f>K22</f>
        <v>34686</v>
      </c>
      <c r="I22" s="488">
        <f>H22/G22-1</f>
        <v>0.11205155333269223</v>
      </c>
      <c r="J22" s="489">
        <v>29499.72053217997</v>
      </c>
      <c r="K22" s="489">
        <f>K17-K20</f>
        <v>34686</v>
      </c>
      <c r="L22" s="488">
        <f>K22/J22-1</f>
        <v>0.17580774916706554</v>
      </c>
      <c r="M22" s="614"/>
      <c r="N22" s="614"/>
      <c r="T22" s="72"/>
    </row>
    <row r="23" spans="2:20">
      <c r="B23" s="499"/>
      <c r="C23" s="2" t="s">
        <v>127</v>
      </c>
      <c r="D23" s="5">
        <f>D22/D6</f>
        <v>0.1447804946549878</v>
      </c>
      <c r="E23" s="5">
        <f>K23</f>
        <v>0.18004484770466955</v>
      </c>
      <c r="F23" s="512">
        <f t="shared" si="0"/>
        <v>0.24357116014637725</v>
      </c>
      <c r="G23" s="5">
        <f>G22/G6</f>
        <v>0.1642461454208442</v>
      </c>
      <c r="H23" s="5">
        <f>K23</f>
        <v>0.18004484770466955</v>
      </c>
      <c r="I23" s="512">
        <f>H23/G23-1</f>
        <v>9.6189181446813876E-2</v>
      </c>
      <c r="J23" s="5">
        <v>0.15241601155275361</v>
      </c>
      <c r="K23" s="5">
        <f>K22/K6</f>
        <v>0.18004484770466955</v>
      </c>
      <c r="L23" s="512">
        <f>K23/J23-1</f>
        <v>0.18127253082169226</v>
      </c>
      <c r="M23" s="545"/>
      <c r="N23" s="545"/>
      <c r="T23" s="72"/>
    </row>
    <row r="24" spans="2:20">
      <c r="B24" s="484"/>
      <c r="C24" s="477"/>
      <c r="D24" s="254"/>
      <c r="E24" s="366"/>
      <c r="F24" s="488"/>
      <c r="G24" s="254"/>
      <c r="H24" s="366"/>
      <c r="I24" s="488"/>
      <c r="J24" s="254"/>
      <c r="K24" s="254"/>
      <c r="L24" s="488"/>
      <c r="M24" s="614"/>
      <c r="N24" s="614"/>
      <c r="T24" s="72"/>
    </row>
    <row r="25" spans="2:20">
      <c r="B25" s="476" t="s">
        <v>508</v>
      </c>
      <c r="C25" s="470"/>
      <c r="D25" s="366">
        <f>IS!CL47</f>
        <v>-373</v>
      </c>
      <c r="E25" s="366">
        <f>K25</f>
        <v>1292</v>
      </c>
      <c r="F25" s="488">
        <f t="shared" si="0"/>
        <v>-4.463806970509383</v>
      </c>
      <c r="G25" s="366">
        <f>IS!CP47</f>
        <v>1260</v>
      </c>
      <c r="H25" s="366">
        <f>K25</f>
        <v>1292</v>
      </c>
      <c r="I25" s="488">
        <f>H25/G25-1</f>
        <v>2.5396825396825307E-2</v>
      </c>
      <c r="J25" s="366">
        <v>900</v>
      </c>
      <c r="K25" s="366">
        <f>IS!CQ47</f>
        <v>1292</v>
      </c>
      <c r="L25" s="488">
        <f>K25/J25-1</f>
        <v>0.43555555555555547</v>
      </c>
      <c r="M25" s="614"/>
      <c r="N25" s="614"/>
    </row>
    <row r="26" spans="2:20">
      <c r="B26" s="476" t="s">
        <v>509</v>
      </c>
      <c r="C26" s="470"/>
      <c r="D26" s="366">
        <f>IS!CL50</f>
        <v>2234</v>
      </c>
      <c r="E26" s="366">
        <f>K26</f>
        <v>1036</v>
      </c>
      <c r="F26" s="488">
        <f t="shared" si="0"/>
        <v>-0.53625783348254252</v>
      </c>
      <c r="G26" s="366">
        <f>IS!CP50</f>
        <v>1065</v>
      </c>
      <c r="H26" s="366">
        <f>K26</f>
        <v>1036</v>
      </c>
      <c r="I26" s="488">
        <f t="shared" ref="I26" si="3">H26/G26-1</f>
        <v>-2.7230046948356845E-2</v>
      </c>
      <c r="J26" s="366">
        <v>900</v>
      </c>
      <c r="K26" s="366">
        <f>IS!CQ50</f>
        <v>1036</v>
      </c>
      <c r="L26" s="488">
        <f t="shared" ref="L26" si="4">K26/J26-1</f>
        <v>0.1511111111111112</v>
      </c>
      <c r="M26" s="614"/>
      <c r="N26" s="614"/>
    </row>
    <row r="27" spans="2:20" ht="13.15">
      <c r="B27" s="476"/>
      <c r="C27" s="471"/>
      <c r="D27" s="501"/>
      <c r="E27" s="501"/>
      <c r="F27" s="502"/>
      <c r="G27" s="501"/>
      <c r="H27" s="501"/>
      <c r="I27" s="502"/>
      <c r="J27" s="501"/>
      <c r="K27" s="501"/>
      <c r="L27" s="502"/>
      <c r="M27" s="617"/>
      <c r="N27" s="617"/>
      <c r="T27" s="72"/>
    </row>
    <row r="28" spans="2:20">
      <c r="B28" s="476" t="s">
        <v>21</v>
      </c>
      <c r="C28" s="470"/>
      <c r="D28" s="253">
        <f>IS!CL55</f>
        <v>47133</v>
      </c>
      <c r="E28" s="253">
        <f>K28</f>
        <v>55711</v>
      </c>
      <c r="F28" s="475">
        <f t="shared" si="0"/>
        <v>0.18199562938917535</v>
      </c>
      <c r="G28" s="253">
        <f>IS!CP55</f>
        <v>56202</v>
      </c>
      <c r="H28" s="253">
        <f>K28</f>
        <v>55711</v>
      </c>
      <c r="I28" s="475">
        <f>H28/G28-1</f>
        <v>-8.7363439023522282E-3</v>
      </c>
      <c r="J28" s="253">
        <v>54899.72053217997</v>
      </c>
      <c r="K28" s="253">
        <f>IS!CQ55</f>
        <v>55711</v>
      </c>
      <c r="L28" s="475">
        <f>K28/J28-1</f>
        <v>1.4777479010015915E-2</v>
      </c>
      <c r="M28" s="611"/>
      <c r="N28" s="611"/>
    </row>
    <row r="29" spans="2:20">
      <c r="B29" s="506" t="s">
        <v>22</v>
      </c>
      <c r="C29" s="469"/>
      <c r="D29" s="503">
        <f>IS!CL56</f>
        <v>13183</v>
      </c>
      <c r="E29" s="503">
        <f>K29</f>
        <v>12481</v>
      </c>
      <c r="F29" s="504">
        <f t="shared" si="0"/>
        <v>-5.3250398240157759E-2</v>
      </c>
      <c r="G29" s="503">
        <f>IS!CP56</f>
        <v>13247</v>
      </c>
      <c r="H29" s="503">
        <f>K29</f>
        <v>12481</v>
      </c>
      <c r="I29" s="504">
        <f>H29/G29-1</f>
        <v>-5.7824413074658465E-2</v>
      </c>
      <c r="J29" s="503">
        <v>16469.916159653989</v>
      </c>
      <c r="K29" s="503">
        <f>IS!CQ56</f>
        <v>12481</v>
      </c>
      <c r="L29" s="504">
        <f>K29/J29-1</f>
        <v>-0.24219407803820847</v>
      </c>
      <c r="M29" s="611"/>
      <c r="N29" s="611"/>
    </row>
    <row r="30" spans="2:20" ht="13.15">
      <c r="B30" s="505" t="s">
        <v>128</v>
      </c>
      <c r="C30" s="477"/>
      <c r="D30" s="44">
        <f>D28-D29</f>
        <v>33950</v>
      </c>
      <c r="E30" s="44">
        <f>K30</f>
        <v>43230</v>
      </c>
      <c r="F30" s="475">
        <f t="shared" si="0"/>
        <v>0.27334315169366707</v>
      </c>
      <c r="G30" s="44">
        <f>G28-G29</f>
        <v>42955</v>
      </c>
      <c r="H30" s="44">
        <f>K30</f>
        <v>43230</v>
      </c>
      <c r="I30" s="475">
        <f>H30/G30-1</f>
        <v>6.4020486555698142E-3</v>
      </c>
      <c r="J30" s="44">
        <v>38429.804372525978</v>
      </c>
      <c r="K30" s="44">
        <f>K28-K29</f>
        <v>43230</v>
      </c>
      <c r="L30" s="475">
        <f>K30/J30-1</f>
        <v>0.12490814631639791</v>
      </c>
      <c r="M30" s="611"/>
      <c r="N30" s="611"/>
    </row>
    <row r="31" spans="2:20">
      <c r="B31" s="476"/>
      <c r="C31" s="470"/>
      <c r="D31" s="253"/>
      <c r="E31" s="253"/>
      <c r="F31" s="475"/>
      <c r="G31" s="253"/>
      <c r="H31" s="253"/>
      <c r="I31" s="475"/>
      <c r="J31" s="253"/>
      <c r="K31" s="253"/>
      <c r="L31" s="475"/>
      <c r="M31" s="611"/>
      <c r="N31" s="611"/>
    </row>
    <row r="32" spans="2:20">
      <c r="B32" s="476" t="s">
        <v>129</v>
      </c>
      <c r="C32" s="470"/>
      <c r="D32" s="253">
        <f>D22+D25</f>
        <v>24371</v>
      </c>
      <c r="E32" s="253">
        <f t="shared" ref="E32:E37" si="5">K32</f>
        <v>35978</v>
      </c>
      <c r="F32" s="475">
        <f t="shared" si="0"/>
        <v>0.47626277132657657</v>
      </c>
      <c r="G32" s="253">
        <f>G22+G25</f>
        <v>32451</v>
      </c>
      <c r="H32" s="253">
        <f>K32</f>
        <v>35978</v>
      </c>
      <c r="I32" s="475">
        <f t="shared" ref="I32:I37" si="6">H32/G32-1</f>
        <v>0.10868694339157492</v>
      </c>
      <c r="J32" s="253">
        <v>30399.72053217997</v>
      </c>
      <c r="K32" s="253">
        <f>K22+K25</f>
        <v>35978</v>
      </c>
      <c r="L32" s="475">
        <f t="shared" ref="L32:L37" si="7">K32/J32-1</f>
        <v>0.18349772202395997</v>
      </c>
      <c r="M32" s="611"/>
      <c r="N32" s="611"/>
    </row>
    <row r="33" spans="2:15">
      <c r="B33" s="506" t="s">
        <v>22</v>
      </c>
      <c r="C33" s="507"/>
      <c r="D33" s="503">
        <f>IS!CL62</f>
        <v>6812</v>
      </c>
      <c r="E33" s="503">
        <f t="shared" si="5"/>
        <v>10137</v>
      </c>
      <c r="F33" s="493">
        <f t="shared" si="0"/>
        <v>0.48810921902524962</v>
      </c>
      <c r="G33" s="503">
        <f>IS!CP62</f>
        <v>6882</v>
      </c>
      <c r="H33" s="503">
        <f>K33</f>
        <v>10137</v>
      </c>
      <c r="I33" s="493">
        <f t="shared" si="6"/>
        <v>0.47297297297297303</v>
      </c>
      <c r="J33" s="503">
        <v>9119.9161596539907</v>
      </c>
      <c r="K33" s="503">
        <f>IS!CQ62</f>
        <v>10137</v>
      </c>
      <c r="L33" s="493">
        <f t="shared" si="7"/>
        <v>0.11152337615180419</v>
      </c>
      <c r="M33" s="615"/>
      <c r="N33" s="615"/>
    </row>
    <row r="34" spans="2:15" s="886" customFormat="1" ht="17.25" customHeight="1">
      <c r="B34" s="881" t="s">
        <v>130</v>
      </c>
      <c r="C34" s="882"/>
      <c r="D34" s="883">
        <f>D32-D33</f>
        <v>17559</v>
      </c>
      <c r="E34" s="883">
        <f t="shared" si="5"/>
        <v>25841</v>
      </c>
      <c r="F34" s="893">
        <f t="shared" si="0"/>
        <v>0.47166695142092374</v>
      </c>
      <c r="G34" s="883">
        <f>G32-G33</f>
        <v>25569</v>
      </c>
      <c r="H34" s="883">
        <f>K34</f>
        <v>25841</v>
      </c>
      <c r="I34" s="893">
        <f t="shared" si="6"/>
        <v>1.0637881810004357E-2</v>
      </c>
      <c r="J34" s="883">
        <v>21279.804372525978</v>
      </c>
      <c r="K34" s="883">
        <f>K32-K33</f>
        <v>25841</v>
      </c>
      <c r="L34" s="893">
        <f t="shared" si="7"/>
        <v>0.21434387025488411</v>
      </c>
      <c r="M34" s="884"/>
      <c r="N34" s="884"/>
      <c r="O34" s="885"/>
    </row>
    <row r="35" spans="2:15" ht="17.25" customHeight="1">
      <c r="B35" s="508" t="s">
        <v>28</v>
      </c>
      <c r="C35" s="509"/>
      <c r="D35" s="915">
        <f>D30/D37</f>
        <v>0.89681952662721898</v>
      </c>
      <c r="E35" s="915">
        <f t="shared" si="5"/>
        <v>1.1447713370230119</v>
      </c>
      <c r="F35" s="510">
        <f t="shared" si="0"/>
        <v>0.27647904961246361</v>
      </c>
      <c r="G35" s="915">
        <f>G30/G37</f>
        <v>1.130603005816861</v>
      </c>
      <c r="H35" s="915">
        <f>K35</f>
        <v>1.1447713370230119</v>
      </c>
      <c r="I35" s="510">
        <f t="shared" si="6"/>
        <v>1.2531658887563468E-2</v>
      </c>
      <c r="J35" s="915">
        <v>1.0035725686816384</v>
      </c>
      <c r="K35" s="915">
        <f>K30/K37</f>
        <v>1.1447713370230119</v>
      </c>
      <c r="L35" s="510">
        <f t="shared" si="7"/>
        <v>0.14069612178306334</v>
      </c>
      <c r="M35" s="615"/>
      <c r="N35" s="618">
        <f>K35-J35</f>
        <v>0.14119876834137357</v>
      </c>
    </row>
    <row r="36" spans="2:15" s="254" customFormat="1">
      <c r="B36" s="491" t="s">
        <v>30</v>
      </c>
      <c r="C36" s="607"/>
      <c r="D36" s="916">
        <f>D34/D37</f>
        <v>0.46383664412510567</v>
      </c>
      <c r="E36" s="916">
        <f t="shared" si="5"/>
        <v>0.6842941503588168</v>
      </c>
      <c r="F36" s="511">
        <f t="shared" si="0"/>
        <v>0.47529126692769341</v>
      </c>
      <c r="G36" s="916">
        <f>G34/G37</f>
        <v>0.67299239333561445</v>
      </c>
      <c r="H36" s="916">
        <f>H34/H37</f>
        <v>0.6842941503588168</v>
      </c>
      <c r="I36" s="511">
        <f t="shared" si="6"/>
        <v>1.6793290882808343E-2</v>
      </c>
      <c r="J36" s="916">
        <v>0.55571003505930527</v>
      </c>
      <c r="K36" s="916">
        <f>K34/K37</f>
        <v>0.6842941503588168</v>
      </c>
      <c r="L36" s="511">
        <f t="shared" si="7"/>
        <v>0.23138706733231662</v>
      </c>
      <c r="M36" s="616"/>
      <c r="N36" s="616"/>
      <c r="O36" s="377"/>
    </row>
    <row r="37" spans="2:15" s="892" customFormat="1" ht="18" customHeight="1">
      <c r="B37" s="887" t="s">
        <v>131</v>
      </c>
      <c r="C37" s="888"/>
      <c r="D37" s="894">
        <f>IS!CL73</f>
        <v>37856</v>
      </c>
      <c r="E37" s="894">
        <f t="shared" si="5"/>
        <v>37763</v>
      </c>
      <c r="F37" s="890">
        <f t="shared" si="0"/>
        <v>-2.4566779374471936E-3</v>
      </c>
      <c r="G37" s="889">
        <f>IS!CP73</f>
        <v>37993</v>
      </c>
      <c r="H37" s="889">
        <f>K37</f>
        <v>37763</v>
      </c>
      <c r="I37" s="890">
        <f t="shared" si="6"/>
        <v>-6.0537467428209979E-3</v>
      </c>
      <c r="J37" s="889">
        <v>38293</v>
      </c>
      <c r="K37" s="889">
        <f>IS!CQ73</f>
        <v>37763</v>
      </c>
      <c r="L37" s="890">
        <f t="shared" si="7"/>
        <v>-1.3840649727104193E-2</v>
      </c>
      <c r="M37" s="891"/>
      <c r="N37" s="891"/>
      <c r="O37" s="885"/>
    </row>
    <row r="38" spans="2:15" ht="6.75" customHeight="1"/>
    <row r="39" spans="2:15">
      <c r="B39" s="2" t="s">
        <v>168</v>
      </c>
      <c r="C39" s="254"/>
    </row>
  </sheetData>
  <phoneticPr fontId="8" type="noConversion"/>
  <pageMargins left="0.75" right="0.75" top="1" bottom="1" header="0.5" footer="0.5"/>
  <pageSetup scale="65" orientation="portrait" r:id="rId1"/>
  <headerFooter alignWithMargins="0"/>
  <ignoredErrors>
    <ignoredError sqref="E8:F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4DD3-E8BA-4677-82BC-3743B219C474}">
  <sheetPr>
    <pageSetUpPr fitToPage="1"/>
  </sheetPr>
  <dimension ref="A1:M18"/>
  <sheetViews>
    <sheetView showGridLines="0" topLeftCell="B1" workbookViewId="0">
      <selection activeCell="K14" sqref="K14"/>
    </sheetView>
  </sheetViews>
  <sheetFormatPr defaultColWidth="9.19921875" defaultRowHeight="14.25" outlineLevelCol="1"/>
  <cols>
    <col min="1" max="2" width="22" style="644" customWidth="1"/>
    <col min="3" max="3" width="18.46484375" style="644" customWidth="1"/>
    <col min="4" max="5" width="11.796875" style="644" customWidth="1"/>
    <col min="6" max="6" width="7.796875" style="644" customWidth="1"/>
    <col min="7" max="7" width="8.796875" style="644" hidden="1" customWidth="1"/>
    <col min="8" max="8" width="8.796875" style="644" hidden="1" customWidth="1" outlineLevel="1"/>
    <col min="9" max="9" width="7.53125" style="644" hidden="1" customWidth="1" collapsed="1"/>
    <col min="10" max="10" width="15" style="644" hidden="1" customWidth="1"/>
    <col min="11" max="13" width="22" style="644" customWidth="1"/>
    <col min="14" max="16384" width="9.19921875" style="644"/>
  </cols>
  <sheetData>
    <row r="1" spans="1:13">
      <c r="A1" s="643"/>
      <c r="B1" s="643"/>
      <c r="C1" s="643"/>
      <c r="D1" s="643"/>
      <c r="E1" s="643"/>
      <c r="F1" s="643"/>
      <c r="G1" s="643"/>
      <c r="H1" s="643"/>
      <c r="I1" s="643"/>
      <c r="J1" s="643"/>
      <c r="K1" s="643"/>
      <c r="L1" s="643"/>
      <c r="M1" s="643"/>
    </row>
    <row r="2" spans="1:13">
      <c r="A2" s="643"/>
      <c r="B2" s="643"/>
      <c r="C2" s="643"/>
      <c r="D2" s="643"/>
      <c r="E2" s="643"/>
      <c r="F2" s="643"/>
      <c r="G2" s="643"/>
      <c r="H2" s="643"/>
      <c r="I2" s="643"/>
      <c r="J2" s="643"/>
      <c r="K2" s="643"/>
      <c r="L2" s="643"/>
      <c r="M2" s="643"/>
    </row>
    <row r="3" spans="1:13" ht="8.65" customHeight="1">
      <c r="A3" s="643"/>
      <c r="B3" s="643"/>
      <c r="C3" s="643"/>
      <c r="D3" s="643"/>
      <c r="E3" s="643"/>
      <c r="F3" s="643"/>
      <c r="G3" s="643"/>
      <c r="H3" s="643"/>
      <c r="I3" s="643"/>
      <c r="J3" s="643"/>
      <c r="K3" s="643"/>
      <c r="L3" s="643"/>
      <c r="M3" s="643"/>
    </row>
    <row r="4" spans="1:13" ht="23.25">
      <c r="A4" s="643"/>
      <c r="B4" s="643"/>
      <c r="C4" s="686"/>
      <c r="D4" s="687" t="s">
        <v>566</v>
      </c>
      <c r="E4" s="687" t="s">
        <v>567</v>
      </c>
      <c r="F4" s="688" t="s">
        <v>452</v>
      </c>
      <c r="G4" s="687" t="s">
        <v>568</v>
      </c>
      <c r="H4" s="687" t="str">
        <f>LEFT(G4,4)&amp;" Result"</f>
        <v>3Q26 Result</v>
      </c>
      <c r="I4" s="688" t="str">
        <f>LEFT(G4,4)&amp;" Beat"</f>
        <v>3Q26 Beat</v>
      </c>
      <c r="J4" s="689" t="s">
        <v>445</v>
      </c>
      <c r="K4" s="643"/>
      <c r="L4" s="643"/>
      <c r="M4" s="643"/>
    </row>
    <row r="5" spans="1:13">
      <c r="A5" s="643"/>
      <c r="B5" s="643"/>
      <c r="C5" s="905" t="s">
        <v>117</v>
      </c>
      <c r="D5" s="674">
        <f>IS!CR4*1.075/1000</f>
        <v>807.86787500000003</v>
      </c>
      <c r="E5" s="674">
        <f>AVERAGE(798.5,806.9)</f>
        <v>802.7</v>
      </c>
      <c r="F5" s="675">
        <f>E5-D5</f>
        <v>-5.1678749999999809</v>
      </c>
      <c r="G5" s="676">
        <f>AVERAGE(191.7,193.2)</f>
        <v>192.45</v>
      </c>
      <c r="H5" s="674">
        <f>Comparison!K6/1000</f>
        <v>192.65199999999999</v>
      </c>
      <c r="I5" s="675">
        <f>H5-G5</f>
        <v>0.20199999999999818</v>
      </c>
      <c r="J5" s="675">
        <f>F5-I5</f>
        <v>-5.3698749999999791</v>
      </c>
      <c r="K5" s="643"/>
      <c r="L5" s="643"/>
      <c r="M5" s="643"/>
    </row>
    <row r="6" spans="1:13">
      <c r="A6" s="645"/>
      <c r="B6" s="645"/>
      <c r="C6" s="907" t="s">
        <v>446</v>
      </c>
      <c r="D6" s="677">
        <f>D5/(IS!CR4/1000)-1</f>
        <v>7.4999999999999956E-2</v>
      </c>
      <c r="E6" s="677">
        <f>E5/(IS!CR4/1000)-1</f>
        <v>6.8123299246179325E-2</v>
      </c>
      <c r="F6" s="678"/>
      <c r="G6" s="679"/>
      <c r="H6" s="677"/>
      <c r="I6" s="678"/>
      <c r="J6" s="680"/>
      <c r="K6" s="645"/>
      <c r="L6" s="645"/>
      <c r="M6" s="645"/>
    </row>
    <row r="7" spans="1:13">
      <c r="A7" s="643"/>
      <c r="B7" s="643"/>
      <c r="C7" s="905" t="s">
        <v>448</v>
      </c>
      <c r="D7" s="674">
        <f>D8*D5</f>
        <v>264.87688250000002</v>
      </c>
      <c r="E7" s="674">
        <v>263.25</v>
      </c>
      <c r="F7" s="675">
        <f>E7-D7</f>
        <v>-1.626882500000022</v>
      </c>
      <c r="G7" s="676">
        <f>AVERAGE(57.9,59.9)</f>
        <v>58.9</v>
      </c>
      <c r="H7" s="674">
        <f>IS!CP52/1000</f>
        <v>60.48</v>
      </c>
      <c r="I7" s="675">
        <f>H7-G7</f>
        <v>1.5799999999999983</v>
      </c>
      <c r="J7" s="675">
        <f>F7-I7</f>
        <v>-3.2068825000000203</v>
      </c>
      <c r="K7" s="643"/>
      <c r="L7" s="643"/>
      <c r="M7" s="643"/>
    </row>
    <row r="8" spans="1:13">
      <c r="A8" s="645"/>
      <c r="B8" s="645"/>
      <c r="C8" s="908" t="s">
        <v>447</v>
      </c>
      <c r="D8" s="677">
        <f>IS!CR53+0.02</f>
        <v>0.3278715377808531</v>
      </c>
      <c r="E8" s="677">
        <f>E7/E5</f>
        <v>0.32795564968232216</v>
      </c>
      <c r="F8" s="678"/>
      <c r="G8" s="797"/>
      <c r="H8" s="677"/>
      <c r="I8" s="678"/>
      <c r="J8" s="680"/>
      <c r="K8" s="645"/>
      <c r="L8" s="645"/>
      <c r="M8" s="645"/>
    </row>
    <row r="9" spans="1:13">
      <c r="A9" s="645"/>
      <c r="B9" s="645"/>
      <c r="C9" s="906" t="s">
        <v>118</v>
      </c>
      <c r="D9" s="681" t="s">
        <v>554</v>
      </c>
      <c r="E9" s="681">
        <v>4.46</v>
      </c>
      <c r="F9" s="683" t="s">
        <v>554</v>
      </c>
      <c r="G9" s="682">
        <v>0.98</v>
      </c>
      <c r="H9" s="681">
        <f>Comparison!K35</f>
        <v>1.1447713370230119</v>
      </c>
      <c r="I9" s="683">
        <f>H9-G9</f>
        <v>0.16477133702301194</v>
      </c>
      <c r="J9" s="684" t="e">
        <f>F9-I9</f>
        <v>#VALUE!</v>
      </c>
      <c r="K9" s="645"/>
      <c r="L9" s="645"/>
      <c r="M9" s="645"/>
    </row>
    <row r="10" spans="1:13">
      <c r="A10" s="643"/>
      <c r="B10" s="643"/>
      <c r="C10" s="643"/>
      <c r="D10" s="671"/>
      <c r="E10" s="643"/>
      <c r="F10" s="643"/>
      <c r="G10" s="643"/>
      <c r="H10" s="643"/>
      <c r="I10" s="643"/>
      <c r="J10" s="643"/>
      <c r="K10" s="643"/>
      <c r="L10" s="643"/>
      <c r="M10" s="643"/>
    </row>
    <row r="11" spans="1:13" s="670" customFormat="1" ht="13.5"/>
    <row r="12" spans="1:13" s="670" customFormat="1" ht="13.5"/>
    <row r="13" spans="1:13" s="670" customFormat="1" ht="13.5"/>
    <row r="14" spans="1:13" s="670" customFormat="1" ht="13.5"/>
    <row r="15" spans="1:13" s="670" customFormat="1" ht="13.5"/>
    <row r="16" spans="1:13" s="670" customFormat="1" ht="13.5"/>
    <row r="17" s="670" customFormat="1" ht="13.5"/>
    <row r="18" s="670" customFormat="1" ht="13.5"/>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DC113"/>
  <sheetViews>
    <sheetView showGridLines="0" zoomScale="93" zoomScaleNormal="100" workbookViewId="0">
      <pane xSplit="3" ySplit="3" topLeftCell="CL4" activePane="bottomRight" state="frozen"/>
      <selection pane="topRight" activeCell="D1" sqref="D1"/>
      <selection pane="bottomLeft" activeCell="A5" sqref="A5"/>
      <selection pane="bottomRight" activeCell="CN10" sqref="CN10"/>
    </sheetView>
  </sheetViews>
  <sheetFormatPr defaultRowHeight="12.75" outlineLevelRow="1" outlineLevelCol="2"/>
  <cols>
    <col min="1" max="1" width="4.796875" customWidth="1"/>
    <col min="2" max="2" width="2.46484375" customWidth="1"/>
    <col min="3" max="3" width="30.53125" customWidth="1"/>
    <col min="4" max="5" width="10.265625" hidden="1" customWidth="1" outlineLevel="2"/>
    <col min="6" max="6" width="8.53125" hidden="1" customWidth="1" outlineLevel="2" collapsed="1"/>
    <col min="7" max="10" width="9.46484375" hidden="1" customWidth="1" outlineLevel="2"/>
    <col min="11" max="11" width="8" hidden="1" customWidth="1" outlineLevel="2"/>
    <col min="12" max="12" width="7.265625" hidden="1" customWidth="1" outlineLevel="2"/>
    <col min="13" max="14" width="6.73046875" hidden="1" customWidth="1" outlineLevel="2"/>
    <col min="15" max="15" width="7.73046875" hidden="1" customWidth="1" outlineLevel="2"/>
    <col min="16" max="16" width="8" hidden="1" customWidth="1" outlineLevel="2"/>
    <col min="17" max="17" width="8.19921875" hidden="1" customWidth="1" outlineLevel="2"/>
    <col min="18" max="20" width="7.73046875" hidden="1" customWidth="1" outlineLevel="2"/>
    <col min="21" max="21" width="8.46484375" hidden="1" customWidth="1" outlineLevel="2"/>
    <col min="22" max="24" width="7.73046875" hidden="1" customWidth="1" outlineLevel="2"/>
    <col min="25" max="25" width="8.265625" hidden="1" customWidth="1" outlineLevel="2"/>
    <col min="26" max="26" width="8.19921875" hidden="1" customWidth="1" outlineLevel="2"/>
    <col min="27" max="30" width="7.73046875" hidden="1" customWidth="1" outlineLevel="2"/>
    <col min="31" max="31" width="8.46484375" hidden="1" customWidth="1" outlineLevel="2"/>
    <col min="32" max="34" width="7.73046875" hidden="1" customWidth="1" outlineLevel="2"/>
    <col min="35" max="35" width="8.73046875" hidden="1" customWidth="1" outlineLevel="2"/>
    <col min="36" max="36" width="8.796875" hidden="1" customWidth="1" outlineLevel="1"/>
    <col min="37" max="40" width="8.73046875" hidden="1" customWidth="1" outlineLevel="1"/>
    <col min="41" max="41" width="9" hidden="1" customWidth="1" collapsed="1"/>
    <col min="42" max="45" width="8.73046875" hidden="1" customWidth="1" outlineLevel="1"/>
    <col min="46" max="46" width="9.19921875" hidden="1" customWidth="1" collapsed="1"/>
    <col min="47" max="50" width="8.73046875" hidden="1" customWidth="1" outlineLevel="1"/>
    <col min="51" max="51" width="9.19921875" hidden="1" customWidth="1" collapsed="1"/>
    <col min="52" max="54" width="8.73046875" hidden="1" customWidth="1" outlineLevel="1"/>
    <col min="55" max="55" width="8.796875" hidden="1" customWidth="1" outlineLevel="1"/>
    <col min="56" max="56" width="9.19921875" hidden="1" customWidth="1" collapsed="1"/>
    <col min="57" max="60" width="8.796875" hidden="1" customWidth="1" outlineLevel="1"/>
    <col min="61" max="61" width="9.265625" hidden="1" customWidth="1" collapsed="1"/>
    <col min="62" max="62" width="8.796875" hidden="1" customWidth="1" outlineLevel="1"/>
    <col min="63" max="65" width="9" hidden="1" customWidth="1" outlineLevel="1"/>
    <col min="66" max="66" width="9" customWidth="1" collapsed="1"/>
    <col min="67" max="70" width="9" hidden="1" customWidth="1" outlineLevel="1"/>
    <col min="71" max="71" width="10.19921875" customWidth="1" collapsed="1"/>
    <col min="72" max="72" width="9.46484375" hidden="1" customWidth="1" outlineLevel="1"/>
    <col min="73" max="74" width="9.19921875" hidden="1" customWidth="1" outlineLevel="1"/>
    <col min="75" max="75" width="9.53125" hidden="1" customWidth="1" outlineLevel="1"/>
    <col min="76" max="76" width="10.19921875" customWidth="1" collapsed="1"/>
    <col min="77" max="79" width="10.19921875" hidden="1" customWidth="1" outlineLevel="1"/>
    <col min="80" max="80" width="11.265625" hidden="1" customWidth="1" outlineLevel="1"/>
    <col min="81" max="81" width="10.19921875" customWidth="1" collapsed="1"/>
    <col min="82" max="82" width="11.265625" hidden="1" customWidth="1" outlineLevel="1"/>
    <col min="83" max="85" width="10" hidden="1" customWidth="1" outlineLevel="1"/>
    <col min="86" max="86" width="10" customWidth="1" collapsed="1"/>
    <col min="87" max="88" width="10" customWidth="1" outlineLevel="1"/>
    <col min="89" max="89" width="8.73046875" bestFit="1" customWidth="1" outlineLevel="1"/>
    <col min="90" max="90" width="10" customWidth="1" outlineLevel="1"/>
    <col min="91" max="91" width="10" customWidth="1"/>
    <col min="92" max="95" width="10" customWidth="1" outlineLevel="1"/>
    <col min="96" max="96" width="10" customWidth="1"/>
    <col min="97" max="100" width="10" customWidth="1" outlineLevel="1"/>
    <col min="101" max="101" width="10" customWidth="1"/>
  </cols>
  <sheetData>
    <row r="1" spans="2:101">
      <c r="T1" s="254"/>
      <c r="CI1" s="86"/>
      <c r="CJ1" s="408"/>
      <c r="CN1" s="86"/>
      <c r="CO1" s="408"/>
      <c r="CP1" s="86"/>
      <c r="CQ1" s="85"/>
      <c r="CR1" s="85"/>
      <c r="CS1" s="86"/>
      <c r="CT1" s="408"/>
      <c r="CU1" s="86"/>
      <c r="CW1" s="85"/>
    </row>
    <row r="2" spans="2:101" ht="15.4" thickBot="1">
      <c r="B2" s="42" t="s">
        <v>522</v>
      </c>
      <c r="R2" s="97"/>
      <c r="Z2" s="85"/>
      <c r="AA2" s="86"/>
      <c r="AC2" s="86"/>
      <c r="AE2" s="85"/>
      <c r="AF2" s="85"/>
      <c r="AG2" s="85"/>
      <c r="AH2" s="85"/>
      <c r="AI2" s="85"/>
      <c r="AJ2" s="85"/>
      <c r="AK2" s="85"/>
      <c r="AL2" s="85"/>
      <c r="AM2" s="85"/>
      <c r="AN2" s="85"/>
      <c r="AO2" s="85"/>
      <c r="AP2" s="85"/>
      <c r="AQ2" s="85"/>
      <c r="AR2" s="85"/>
      <c r="AS2" s="85"/>
      <c r="AT2" s="85"/>
      <c r="AU2" s="85"/>
      <c r="AV2" s="85"/>
      <c r="AW2" s="85"/>
      <c r="AX2" s="85"/>
      <c r="AY2" s="85"/>
      <c r="AZ2" s="85"/>
      <c r="CB2" s="407"/>
      <c r="CC2" s="72"/>
      <c r="CD2" s="407"/>
      <c r="CE2" s="407"/>
      <c r="CF2" s="407"/>
      <c r="CG2" s="407"/>
      <c r="CH2" s="407"/>
      <c r="CI2" s="397"/>
      <c r="CK2" s="407"/>
      <c r="CL2" s="407"/>
      <c r="CM2" s="86"/>
      <c r="CN2" s="397"/>
      <c r="CR2" s="85"/>
      <c r="CS2" s="397"/>
    </row>
    <row r="3" spans="2:101" ht="13.5" thickBot="1">
      <c r="B3" s="619" t="s">
        <v>461</v>
      </c>
      <c r="C3" s="620"/>
      <c r="D3" s="621">
        <v>2005</v>
      </c>
      <c r="E3" s="621">
        <v>2006</v>
      </c>
      <c r="F3" s="621">
        <v>2007</v>
      </c>
      <c r="G3" s="622" t="s">
        <v>513</v>
      </c>
      <c r="H3" s="622" t="s">
        <v>514</v>
      </c>
      <c r="I3" s="622" t="s">
        <v>514</v>
      </c>
      <c r="J3" s="622" t="s">
        <v>515</v>
      </c>
      <c r="K3" s="621">
        <v>2008</v>
      </c>
      <c r="L3" s="622" t="s">
        <v>465</v>
      </c>
      <c r="M3" s="622" t="s">
        <v>466</v>
      </c>
      <c r="N3" s="622" t="s">
        <v>466</v>
      </c>
      <c r="O3" s="622" t="s">
        <v>468</v>
      </c>
      <c r="P3" s="621">
        <v>2009</v>
      </c>
      <c r="Q3" s="786" t="s">
        <v>511</v>
      </c>
      <c r="R3" s="622" t="s">
        <v>512</v>
      </c>
      <c r="S3" s="622" t="s">
        <v>436</v>
      </c>
      <c r="T3" s="622" t="s">
        <v>437</v>
      </c>
      <c r="U3" s="621">
        <v>2010</v>
      </c>
      <c r="V3" s="622" t="s">
        <v>438</v>
      </c>
      <c r="W3" s="622" t="s">
        <v>439</v>
      </c>
      <c r="X3" s="622" t="s">
        <v>440</v>
      </c>
      <c r="Y3" s="622" t="s">
        <v>441</v>
      </c>
      <c r="Z3" s="621">
        <v>2011</v>
      </c>
      <c r="AA3" s="622" t="s">
        <v>183</v>
      </c>
      <c r="AB3" s="622" t="s">
        <v>186</v>
      </c>
      <c r="AC3" s="622" t="s">
        <v>187</v>
      </c>
      <c r="AD3" s="622" t="s">
        <v>188</v>
      </c>
      <c r="AE3" s="621">
        <v>2012</v>
      </c>
      <c r="AF3" s="622" t="s">
        <v>184</v>
      </c>
      <c r="AG3" s="622" t="s">
        <v>185</v>
      </c>
      <c r="AH3" s="622" t="s">
        <v>158</v>
      </c>
      <c r="AI3" s="622" t="s">
        <v>159</v>
      </c>
      <c r="AJ3" s="621">
        <v>2013</v>
      </c>
      <c r="AK3" s="622" t="s">
        <v>160</v>
      </c>
      <c r="AL3" s="622" t="s">
        <v>161</v>
      </c>
      <c r="AM3" s="622" t="s">
        <v>162</v>
      </c>
      <c r="AN3" s="622" t="s">
        <v>164</v>
      </c>
      <c r="AO3" s="621">
        <v>2014</v>
      </c>
      <c r="AP3" s="622" t="s">
        <v>177</v>
      </c>
      <c r="AQ3" s="622" t="s">
        <v>167</v>
      </c>
      <c r="AR3" s="622" t="s">
        <v>171</v>
      </c>
      <c r="AS3" s="622" t="s">
        <v>174</v>
      </c>
      <c r="AT3" s="621">
        <v>2015</v>
      </c>
      <c r="AU3" s="622" t="s">
        <v>178</v>
      </c>
      <c r="AV3" s="622" t="s">
        <v>179</v>
      </c>
      <c r="AW3" s="622" t="s">
        <v>180</v>
      </c>
      <c r="AX3" s="622" t="s">
        <v>181</v>
      </c>
      <c r="AY3" s="621">
        <v>2016</v>
      </c>
      <c r="AZ3" s="622" t="s">
        <v>324</v>
      </c>
      <c r="BA3" s="622" t="s">
        <v>325</v>
      </c>
      <c r="BB3" s="622" t="s">
        <v>326</v>
      </c>
      <c r="BC3" s="622" t="s">
        <v>327</v>
      </c>
      <c r="BD3" s="623">
        <v>2017</v>
      </c>
      <c r="BE3" s="622" t="s">
        <v>329</v>
      </c>
      <c r="BF3" s="622" t="s">
        <v>330</v>
      </c>
      <c r="BG3" s="622" t="s">
        <v>331</v>
      </c>
      <c r="BH3" s="622" t="s">
        <v>332</v>
      </c>
      <c r="BI3" s="621">
        <v>2018</v>
      </c>
      <c r="BJ3" s="622" t="s">
        <v>345</v>
      </c>
      <c r="BK3" s="622" t="s">
        <v>350</v>
      </c>
      <c r="BL3" s="622" t="s">
        <v>351</v>
      </c>
      <c r="BM3" s="622" t="s">
        <v>352</v>
      </c>
      <c r="BN3" s="621">
        <v>2019</v>
      </c>
      <c r="BO3" s="622" t="s">
        <v>359</v>
      </c>
      <c r="BP3" s="622" t="s">
        <v>360</v>
      </c>
      <c r="BQ3" s="622" t="s">
        <v>361</v>
      </c>
      <c r="BR3" s="622" t="s">
        <v>362</v>
      </c>
      <c r="BS3" s="621">
        <v>2020</v>
      </c>
      <c r="BT3" s="622" t="s">
        <v>369</v>
      </c>
      <c r="BU3" s="622" t="s">
        <v>371</v>
      </c>
      <c r="BV3" s="622" t="s">
        <v>372</v>
      </c>
      <c r="BW3" s="622" t="s">
        <v>373</v>
      </c>
      <c r="BX3" s="621">
        <v>2021</v>
      </c>
      <c r="BY3" s="622" t="s">
        <v>374</v>
      </c>
      <c r="BZ3" s="622" t="s">
        <v>375</v>
      </c>
      <c r="CA3" s="622" t="s">
        <v>378</v>
      </c>
      <c r="CB3" s="622" t="s">
        <v>379</v>
      </c>
      <c r="CC3" s="621">
        <v>2022</v>
      </c>
      <c r="CD3" s="622" t="s">
        <v>444</v>
      </c>
      <c r="CE3" s="622" t="s">
        <v>449</v>
      </c>
      <c r="CF3" s="622" t="s">
        <v>450</v>
      </c>
      <c r="CG3" s="622" t="s">
        <v>451</v>
      </c>
      <c r="CH3" s="621">
        <v>2023</v>
      </c>
      <c r="CI3" s="622" t="s">
        <v>455</v>
      </c>
      <c r="CJ3" s="622" t="s">
        <v>456</v>
      </c>
      <c r="CK3" s="622" t="s">
        <v>458</v>
      </c>
      <c r="CL3" s="622" t="s">
        <v>484</v>
      </c>
      <c r="CM3" s="621">
        <v>2024</v>
      </c>
      <c r="CN3" s="622" t="s">
        <v>507</v>
      </c>
      <c r="CO3" s="622" t="s">
        <v>523</v>
      </c>
      <c r="CP3" s="622" t="s">
        <v>549</v>
      </c>
      <c r="CQ3" s="622" t="s">
        <v>569</v>
      </c>
      <c r="CR3" s="621">
        <v>2025</v>
      </c>
      <c r="CS3" s="622" t="s">
        <v>517</v>
      </c>
      <c r="CT3" s="622" t="s">
        <v>518</v>
      </c>
      <c r="CU3" s="622" t="s">
        <v>519</v>
      </c>
      <c r="CV3" s="622" t="s">
        <v>520</v>
      </c>
      <c r="CW3" s="621" t="s">
        <v>510</v>
      </c>
    </row>
    <row r="4" spans="2:101" s="1" customFormat="1" ht="16.149999999999999" customHeight="1">
      <c r="B4" s="895" t="s">
        <v>471</v>
      </c>
      <c r="C4" s="899"/>
      <c r="D4" s="900">
        <v>13827</v>
      </c>
      <c r="E4" s="900">
        <v>19859</v>
      </c>
      <c r="F4" s="900">
        <v>25198</v>
      </c>
      <c r="G4" s="901">
        <v>6957</v>
      </c>
      <c r="H4" s="901">
        <v>7586</v>
      </c>
      <c r="I4" s="901">
        <v>8074</v>
      </c>
      <c r="J4" s="901">
        <v>8080</v>
      </c>
      <c r="K4" s="900">
        <f>SUM(G4:J4)</f>
        <v>30697</v>
      </c>
      <c r="L4" s="901">
        <v>8531</v>
      </c>
      <c r="M4" s="901">
        <v>9600</v>
      </c>
      <c r="N4" s="901">
        <v>9634</v>
      </c>
      <c r="O4" s="901">
        <v>9981</v>
      </c>
      <c r="P4" s="900">
        <f>SUM(L4:O4)</f>
        <v>37746</v>
      </c>
      <c r="Q4" s="901">
        <v>10243</v>
      </c>
      <c r="R4" s="901">
        <v>10944</v>
      </c>
      <c r="S4" s="901">
        <v>11491</v>
      </c>
      <c r="T4" s="901">
        <v>11919</v>
      </c>
      <c r="U4" s="900">
        <f>SUM(Q4:T4)</f>
        <v>44597</v>
      </c>
      <c r="V4" s="901">
        <v>12649</v>
      </c>
      <c r="W4" s="901">
        <v>13937</v>
      </c>
      <c r="X4" s="901">
        <v>15529</v>
      </c>
      <c r="Y4" s="901">
        <v>15854</v>
      </c>
      <c r="Z4" s="900">
        <f>SUM(V4:Y4)</f>
        <v>57969</v>
      </c>
      <c r="AA4" s="901">
        <v>16534</v>
      </c>
      <c r="AB4" s="901">
        <v>17821</v>
      </c>
      <c r="AC4" s="901">
        <v>20267</v>
      </c>
      <c r="AD4" s="901">
        <v>22484</v>
      </c>
      <c r="AE4" s="900">
        <f>SUM(AA4:AD4)</f>
        <v>77106</v>
      </c>
      <c r="AF4" s="901">
        <v>23752</v>
      </c>
      <c r="AG4" s="901">
        <v>25658</v>
      </c>
      <c r="AH4" s="901">
        <v>27008</v>
      </c>
      <c r="AI4" s="901">
        <v>27973</v>
      </c>
      <c r="AJ4" s="900">
        <f>SUM(AF4:AI4)</f>
        <v>104391</v>
      </c>
      <c r="AK4" s="901">
        <v>28939</v>
      </c>
      <c r="AL4" s="901">
        <v>31100</v>
      </c>
      <c r="AM4" s="901">
        <v>32506</v>
      </c>
      <c r="AN4" s="901">
        <v>35402</v>
      </c>
      <c r="AO4" s="900">
        <f>SUM(AK4:AN4)</f>
        <v>127947</v>
      </c>
      <c r="AP4" s="901">
        <v>36970</v>
      </c>
      <c r="AQ4" s="901">
        <v>38846</v>
      </c>
      <c r="AR4" s="901">
        <v>40354</v>
      </c>
      <c r="AS4" s="901">
        <v>42348</v>
      </c>
      <c r="AT4" s="900">
        <f>SUM(AP4:AS4)</f>
        <v>158518</v>
      </c>
      <c r="AU4" s="901">
        <v>45599</v>
      </c>
      <c r="AV4" s="901">
        <v>47351</v>
      </c>
      <c r="AW4" s="901">
        <v>49284</v>
      </c>
      <c r="AX4" s="901">
        <v>51061</v>
      </c>
      <c r="AY4" s="902">
        <f>SUM(AU4:AX4)</f>
        <v>193295</v>
      </c>
      <c r="AZ4" s="901">
        <v>51932</v>
      </c>
      <c r="BA4" s="901">
        <v>54284</v>
      </c>
      <c r="BB4" s="901">
        <v>56150</v>
      </c>
      <c r="BC4" s="901">
        <v>58200</v>
      </c>
      <c r="BD4" s="900">
        <f>SUM(AZ4:BC4)</f>
        <v>220566</v>
      </c>
      <c r="BE4" s="901">
        <v>59092</v>
      </c>
      <c r="BF4" s="901">
        <v>61091</v>
      </c>
      <c r="BG4" s="901">
        <v>62868</v>
      </c>
      <c r="BH4" s="901">
        <v>65189</v>
      </c>
      <c r="BI4" s="900">
        <f>SUM(BE4:BH4)</f>
        <v>248240</v>
      </c>
      <c r="BJ4" s="901">
        <v>66934</v>
      </c>
      <c r="BK4" s="901">
        <v>68529</v>
      </c>
      <c r="BL4" s="901">
        <v>70928</v>
      </c>
      <c r="BM4" s="901">
        <v>72733</v>
      </c>
      <c r="BN4" s="900">
        <f>SUM(BJ4:BM4)</f>
        <v>279124</v>
      </c>
      <c r="BO4" s="901">
        <v>74192</v>
      </c>
      <c r="BP4" s="901">
        <v>75573</v>
      </c>
      <c r="BQ4" s="901">
        <f>79557</f>
        <v>79557</v>
      </c>
      <c r="BR4" s="901">
        <v>83308</v>
      </c>
      <c r="BS4" s="900">
        <f>SUM(BO4:BR4)</f>
        <v>312630</v>
      </c>
      <c r="BT4" s="901">
        <v>90094</v>
      </c>
      <c r="BU4" s="901">
        <v>94539</v>
      </c>
      <c r="BV4" s="901">
        <v>97887</v>
      </c>
      <c r="BW4" s="901">
        <v>102756</v>
      </c>
      <c r="BX4" s="900">
        <f>SUM(BT4:BW4)</f>
        <v>385276</v>
      </c>
      <c r="BY4" s="901">
        <v>105193</v>
      </c>
      <c r="BZ4" s="901">
        <v>109178</v>
      </c>
      <c r="CA4" s="901">
        <v>114486</v>
      </c>
      <c r="CB4" s="901">
        <v>122018</v>
      </c>
      <c r="CC4" s="900">
        <f>SUM(BY4:CB4)</f>
        <v>450875</v>
      </c>
      <c r="CD4" s="901">
        <v>125868</v>
      </c>
      <c r="CE4" s="903">
        <v>130416</v>
      </c>
      <c r="CF4" s="901">
        <v>135661</v>
      </c>
      <c r="CG4" s="901">
        <v>144965</v>
      </c>
      <c r="CH4" s="900">
        <f>SUM(CD4:CG4)</f>
        <v>536910</v>
      </c>
      <c r="CI4" s="903">
        <v>149576</v>
      </c>
      <c r="CJ4" s="903">
        <v>153596</v>
      </c>
      <c r="CK4" s="901">
        <v>163686</v>
      </c>
      <c r="CL4" s="901">
        <v>170907</v>
      </c>
      <c r="CM4" s="904">
        <f>SUM(CI4:CL4)</f>
        <v>637765</v>
      </c>
      <c r="CN4" s="903">
        <v>181549</v>
      </c>
      <c r="CO4" s="903">
        <v>187400</v>
      </c>
      <c r="CP4" s="903">
        <v>189904</v>
      </c>
      <c r="CQ4" s="901">
        <v>192652</v>
      </c>
      <c r="CR4" s="904">
        <f>SUM(CN4:CQ4)</f>
        <v>751505</v>
      </c>
      <c r="CS4" s="903">
        <f>CS7+CS16</f>
        <v>192631.6145</v>
      </c>
      <c r="CT4" s="903">
        <f>CT7+CT16</f>
        <v>197698.72</v>
      </c>
      <c r="CU4" s="903">
        <f>CU7+CU16</f>
        <v>204419.38880000002</v>
      </c>
      <c r="CV4" s="903">
        <f>CV7+CV16</f>
        <v>207966.86399999997</v>
      </c>
      <c r="CW4" s="904">
        <f>SUM(CS4:CV4)</f>
        <v>802716.5872999999</v>
      </c>
    </row>
    <row r="5" spans="2:101" s="2" customFormat="1" ht="10.15">
      <c r="B5" s="11"/>
      <c r="C5" s="2" t="s">
        <v>0</v>
      </c>
      <c r="D5" s="34"/>
      <c r="E5" s="34">
        <f>E4/D4-1</f>
        <v>0.43624792073479424</v>
      </c>
      <c r="F5" s="34">
        <f>F4/E4-1</f>
        <v>0.26884535978649482</v>
      </c>
      <c r="G5" s="37"/>
      <c r="H5" s="37"/>
      <c r="I5" s="37"/>
      <c r="J5" s="37"/>
      <c r="K5" s="34">
        <f t="shared" ref="K5:AP5" si="0">K4/F4-1</f>
        <v>0.21823160568299071</v>
      </c>
      <c r="L5" s="37">
        <f t="shared" si="0"/>
        <v>0.22624694552249536</v>
      </c>
      <c r="M5" s="37">
        <f t="shared" si="0"/>
        <v>0.2654890587925125</v>
      </c>
      <c r="N5" s="37">
        <f t="shared" si="0"/>
        <v>0.19321278176863999</v>
      </c>
      <c r="O5" s="37">
        <f t="shared" si="0"/>
        <v>0.2352722772277227</v>
      </c>
      <c r="P5" s="34">
        <f t="shared" si="0"/>
        <v>0.2296315600873049</v>
      </c>
      <c r="Q5" s="37">
        <f t="shared" si="0"/>
        <v>0.20067987340288362</v>
      </c>
      <c r="R5" s="37">
        <f t="shared" si="0"/>
        <v>0.1399999999999999</v>
      </c>
      <c r="S5" s="37">
        <f t="shared" si="0"/>
        <v>0.19275482665559474</v>
      </c>
      <c r="T5" s="37">
        <f t="shared" si="0"/>
        <v>0.19416892094980454</v>
      </c>
      <c r="U5" s="34">
        <f t="shared" si="0"/>
        <v>0.18150267578021517</v>
      </c>
      <c r="V5" s="37">
        <f t="shared" si="0"/>
        <v>0.23489212144879423</v>
      </c>
      <c r="W5" s="37">
        <f t="shared" si="0"/>
        <v>0.27348318713450293</v>
      </c>
      <c r="X5" s="37">
        <f t="shared" si="0"/>
        <v>0.35140544774171101</v>
      </c>
      <c r="Y5" s="37">
        <f t="shared" si="0"/>
        <v>0.33014514640489967</v>
      </c>
      <c r="Z5" s="34">
        <f t="shared" si="0"/>
        <v>0.29984079646613004</v>
      </c>
      <c r="AA5" s="37">
        <f t="shared" si="0"/>
        <v>0.30713890426120649</v>
      </c>
      <c r="AB5" s="37">
        <f t="shared" si="0"/>
        <v>0.27868264332352721</v>
      </c>
      <c r="AC5" s="37">
        <f t="shared" si="0"/>
        <v>0.30510657479554393</v>
      </c>
      <c r="AD5" s="37">
        <f t="shared" si="0"/>
        <v>0.41819099280938565</v>
      </c>
      <c r="AE5" s="34">
        <f t="shared" si="0"/>
        <v>0.3301247218340837</v>
      </c>
      <c r="AF5" s="37">
        <f t="shared" si="0"/>
        <v>0.43655497762187001</v>
      </c>
      <c r="AG5" s="37">
        <f t="shared" si="0"/>
        <v>0.43976207844677617</v>
      </c>
      <c r="AH5" s="37">
        <f t="shared" si="0"/>
        <v>0.33260966102531198</v>
      </c>
      <c r="AI5" s="37">
        <f t="shared" si="0"/>
        <v>0.2441291585127201</v>
      </c>
      <c r="AJ5" s="34">
        <f t="shared" si="0"/>
        <v>0.35386351256711546</v>
      </c>
      <c r="AK5" s="37">
        <f t="shared" si="0"/>
        <v>0.2183816099696867</v>
      </c>
      <c r="AL5" s="37">
        <f t="shared" si="0"/>
        <v>0.21209759139449691</v>
      </c>
      <c r="AM5" s="37">
        <f t="shared" si="0"/>
        <v>0.2035693127962086</v>
      </c>
      <c r="AN5" s="37">
        <f t="shared" si="0"/>
        <v>0.26557752118113886</v>
      </c>
      <c r="AO5" s="34">
        <f t="shared" si="0"/>
        <v>0.22565163663534205</v>
      </c>
      <c r="AP5" s="37">
        <f t="shared" si="0"/>
        <v>0.27751477245239986</v>
      </c>
      <c r="AQ5" s="37">
        <f t="shared" ref="AQ5:BV5" si="1">AQ4/AL4-1</f>
        <v>0.24906752411575561</v>
      </c>
      <c r="AR5" s="37">
        <f t="shared" si="1"/>
        <v>0.24143235095059379</v>
      </c>
      <c r="AS5" s="37">
        <f t="shared" si="1"/>
        <v>0.19620360431614037</v>
      </c>
      <c r="AT5" s="34">
        <f t="shared" si="1"/>
        <v>0.23893487147021819</v>
      </c>
      <c r="AU5" s="37">
        <f t="shared" si="1"/>
        <v>0.23340546388964034</v>
      </c>
      <c r="AV5" s="37">
        <f t="shared" si="1"/>
        <v>0.21894146115430169</v>
      </c>
      <c r="AW5" s="37">
        <f t="shared" si="1"/>
        <v>0.22129156960896079</v>
      </c>
      <c r="AX5" s="37">
        <f t="shared" si="1"/>
        <v>0.20574761499952765</v>
      </c>
      <c r="AY5" s="34">
        <f t="shared" si="1"/>
        <v>0.21938833444782291</v>
      </c>
      <c r="AZ5" s="37">
        <f t="shared" si="1"/>
        <v>0.13888462466282148</v>
      </c>
      <c r="BA5" s="37">
        <f t="shared" si="1"/>
        <v>0.14641718231927525</v>
      </c>
      <c r="BB5" s="37">
        <f t="shared" si="1"/>
        <v>0.13931499066634201</v>
      </c>
      <c r="BC5" s="37">
        <f t="shared" si="1"/>
        <v>0.13981316464620752</v>
      </c>
      <c r="BD5" s="34">
        <f t="shared" si="1"/>
        <v>0.14108487027600303</v>
      </c>
      <c r="BE5" s="37">
        <f t="shared" si="1"/>
        <v>0.13787260263421408</v>
      </c>
      <c r="BF5" s="37">
        <f t="shared" si="1"/>
        <v>0.12539606513889923</v>
      </c>
      <c r="BG5" s="122">
        <f t="shared" si="1"/>
        <v>0.11964381121994649</v>
      </c>
      <c r="BH5" s="122">
        <f t="shared" si="1"/>
        <v>0.12008591065292107</v>
      </c>
      <c r="BI5" s="34">
        <f t="shared" si="1"/>
        <v>0.12546811385254308</v>
      </c>
      <c r="BJ5" s="37">
        <f t="shared" si="1"/>
        <v>0.13270831923102966</v>
      </c>
      <c r="BK5" s="37">
        <f t="shared" si="1"/>
        <v>0.12175279501072178</v>
      </c>
      <c r="BL5" s="37">
        <f t="shared" si="1"/>
        <v>0.12820512820512819</v>
      </c>
      <c r="BM5" s="37">
        <f t="shared" si="1"/>
        <v>0.11572504563653374</v>
      </c>
      <c r="BN5" s="34">
        <f t="shared" si="1"/>
        <v>0.12441185949081524</v>
      </c>
      <c r="BO5" s="37">
        <f t="shared" si="1"/>
        <v>0.10843517494845667</v>
      </c>
      <c r="BP5" s="37">
        <f t="shared" si="1"/>
        <v>0.10278860044652638</v>
      </c>
      <c r="BQ5" s="37">
        <f t="shared" si="1"/>
        <v>0.12165858335213176</v>
      </c>
      <c r="BR5" s="37">
        <f t="shared" si="1"/>
        <v>0.14539480015948736</v>
      </c>
      <c r="BS5" s="34">
        <f t="shared" si="1"/>
        <v>0.12003983892463554</v>
      </c>
      <c r="BT5" s="122">
        <f t="shared" si="1"/>
        <v>0.2143357774423118</v>
      </c>
      <c r="BU5" s="37">
        <f t="shared" si="1"/>
        <v>0.25096264538922641</v>
      </c>
      <c r="BV5" s="37">
        <f t="shared" si="1"/>
        <v>0.23040084467740107</v>
      </c>
      <c r="BW5" s="528">
        <f t="shared" ref="BW5:CW5" si="2">BW4/BR4-1</f>
        <v>0.23344696787823493</v>
      </c>
      <c r="BX5" s="34">
        <f t="shared" si="2"/>
        <v>0.23237053385791517</v>
      </c>
      <c r="BY5" s="37">
        <f t="shared" si="2"/>
        <v>0.16759162652340898</v>
      </c>
      <c r="BZ5" s="37">
        <f t="shared" si="2"/>
        <v>0.1548461481504988</v>
      </c>
      <c r="CA5" s="37">
        <f t="shared" si="2"/>
        <v>0.16957307916270792</v>
      </c>
      <c r="CB5" s="5">
        <f t="shared" si="2"/>
        <v>0.18745377398886687</v>
      </c>
      <c r="CC5" s="34">
        <f t="shared" si="2"/>
        <v>0.17026495291687005</v>
      </c>
      <c r="CD5" s="5">
        <f t="shared" si="2"/>
        <v>0.19654349624024414</v>
      </c>
      <c r="CE5" s="5">
        <f t="shared" si="2"/>
        <v>0.19452636978145788</v>
      </c>
      <c r="CF5" s="5">
        <f t="shared" si="2"/>
        <v>0.18495711266006332</v>
      </c>
      <c r="CG5" s="5">
        <f t="shared" si="2"/>
        <v>0.18806241702043969</v>
      </c>
      <c r="CH5" s="146">
        <f t="shared" si="2"/>
        <v>0.19081785417244257</v>
      </c>
      <c r="CI5" s="5">
        <f t="shared" si="2"/>
        <v>0.18835605555025903</v>
      </c>
      <c r="CJ5" s="5">
        <f t="shared" si="2"/>
        <v>0.17773892773892763</v>
      </c>
      <c r="CK5" s="5">
        <f t="shared" si="2"/>
        <v>0.20658111026750503</v>
      </c>
      <c r="CL5" s="5">
        <f t="shared" si="2"/>
        <v>0.17895354050977819</v>
      </c>
      <c r="CM5" s="146">
        <f t="shared" si="2"/>
        <v>0.18784340019742607</v>
      </c>
      <c r="CN5" s="5">
        <f t="shared" si="2"/>
        <v>0.21375755468791779</v>
      </c>
      <c r="CO5" s="5">
        <f t="shared" si="2"/>
        <v>0.22008385635042571</v>
      </c>
      <c r="CP5" s="5">
        <f t="shared" si="2"/>
        <v>0.16017252544505944</v>
      </c>
      <c r="CQ5" s="5">
        <f t="shared" si="2"/>
        <v>0.12723293955192005</v>
      </c>
      <c r="CR5" s="146">
        <f t="shared" si="2"/>
        <v>0.17834155213911074</v>
      </c>
      <c r="CS5" s="5">
        <f t="shared" si="2"/>
        <v>6.1044756512016018E-2</v>
      </c>
      <c r="CT5" s="5">
        <f t="shared" si="2"/>
        <v>5.4955816435432236E-2</v>
      </c>
      <c r="CU5" s="5">
        <f t="shared" si="2"/>
        <v>7.6435403151065895E-2</v>
      </c>
      <c r="CV5" s="5">
        <f t="shared" si="2"/>
        <v>7.9494965014637708E-2</v>
      </c>
      <c r="CW5" s="146">
        <f t="shared" si="2"/>
        <v>6.8145371354814577E-2</v>
      </c>
    </row>
    <row r="6" spans="2:101" s="2" customFormat="1" ht="10.15">
      <c r="B6" s="11"/>
      <c r="C6" s="2" t="s">
        <v>1</v>
      </c>
      <c r="D6" s="34"/>
      <c r="E6" s="34"/>
      <c r="F6" s="34"/>
      <c r="G6" s="37"/>
      <c r="H6" s="37">
        <f>H4/G4-1</f>
        <v>9.0412534138277989E-2</v>
      </c>
      <c r="I6" s="37">
        <f>I4/H4-1</f>
        <v>6.43290271552861E-2</v>
      </c>
      <c r="J6" s="37">
        <f>J4/I4-1</f>
        <v>7.4312608372562039E-4</v>
      </c>
      <c r="K6" s="34"/>
      <c r="L6" s="37">
        <f>L4/J4-1</f>
        <v>5.5816831683168422E-2</v>
      </c>
      <c r="M6" s="37">
        <f>M4/L4-1</f>
        <v>0.12530770132458091</v>
      </c>
      <c r="N6" s="37">
        <f>N4/M4-1</f>
        <v>3.5416666666667762E-3</v>
      </c>
      <c r="O6" s="37">
        <f>O4/N4-1</f>
        <v>3.6018268631928585E-2</v>
      </c>
      <c r="P6" s="34"/>
      <c r="Q6" s="37">
        <f>Q4/O4-1</f>
        <v>2.6249874762047876E-2</v>
      </c>
      <c r="R6" s="37">
        <f>R4/Q4-1</f>
        <v>6.8436981353119153E-2</v>
      </c>
      <c r="S6" s="37">
        <f>S4/R4-1</f>
        <v>4.9981725146198919E-2</v>
      </c>
      <c r="T6" s="37">
        <f>T4/S4-1</f>
        <v>3.7246540771038283E-2</v>
      </c>
      <c r="U6" s="34"/>
      <c r="V6" s="37">
        <f>V4/T4-1</f>
        <v>6.1246748888329483E-2</v>
      </c>
      <c r="W6" s="37">
        <f>W4/V4-1</f>
        <v>0.10182623132263413</v>
      </c>
      <c r="X6" s="37">
        <f>X4/W4-1</f>
        <v>0.11422831312334081</v>
      </c>
      <c r="Y6" s="37">
        <f>Y4/X4-1</f>
        <v>2.092858522763863E-2</v>
      </c>
      <c r="Z6" s="34"/>
      <c r="AA6" s="37">
        <f>AA4/Y4-1</f>
        <v>4.2891383877885714E-2</v>
      </c>
      <c r="AB6" s="37">
        <f>AB4/AA4-1</f>
        <v>7.7839603241804722E-2</v>
      </c>
      <c r="AC6" s="37">
        <f>AC4/AB4-1</f>
        <v>0.13725380169462986</v>
      </c>
      <c r="AD6" s="37">
        <f>AD4/AC4-1</f>
        <v>0.10938964819657571</v>
      </c>
      <c r="AE6" s="34"/>
      <c r="AF6" s="37">
        <f>AF4/AD4-1</f>
        <v>5.6395659135385134E-2</v>
      </c>
      <c r="AG6" s="37">
        <f>AG4/AF4-1</f>
        <v>8.0245874031660502E-2</v>
      </c>
      <c r="AH6" s="37">
        <f>AH4/AG4-1</f>
        <v>5.2615168758282094E-2</v>
      </c>
      <c r="AI6" s="37">
        <f>AI4/AH4-1</f>
        <v>3.5730154028436045E-2</v>
      </c>
      <c r="AJ6" s="34"/>
      <c r="AK6" s="37">
        <f>AK4/AI4-1</f>
        <v>3.4533299967826059E-2</v>
      </c>
      <c r="AL6" s="37">
        <f>AL4/AK4-1</f>
        <v>7.4674314938318442E-2</v>
      </c>
      <c r="AM6" s="37">
        <f>AM4/AL4-1</f>
        <v>4.5209003215433974E-2</v>
      </c>
      <c r="AN6" s="37">
        <f>AN4/AM4-1</f>
        <v>8.9091244693287441E-2</v>
      </c>
      <c r="AO6" s="34"/>
      <c r="AP6" s="37">
        <f>AP4/AN4-1</f>
        <v>4.4291282978362823E-2</v>
      </c>
      <c r="AQ6" s="37">
        <f>AQ4/AP4-1</f>
        <v>5.0743846361914979E-2</v>
      </c>
      <c r="AR6" s="37">
        <f>AR4/AQ4-1</f>
        <v>3.8819955722596999E-2</v>
      </c>
      <c r="AS6" s="37">
        <f>AS4/AR4-1</f>
        <v>4.941269762600986E-2</v>
      </c>
      <c r="AT6" s="34"/>
      <c r="AU6" s="37">
        <f>AU4/AS4-1</f>
        <v>7.6768678568055249E-2</v>
      </c>
      <c r="AV6" s="37">
        <f>AV4/AU4-1</f>
        <v>3.8421895217000346E-2</v>
      </c>
      <c r="AW6" s="37">
        <f>AW4/AV4-1</f>
        <v>4.0822791493315913E-2</v>
      </c>
      <c r="AX6" s="37">
        <f>AX4/AW4-1</f>
        <v>3.6056326596867194E-2</v>
      </c>
      <c r="AY6" s="34"/>
      <c r="AZ6" s="37">
        <f>AZ4/AX4-1</f>
        <v>1.7058028632420008E-2</v>
      </c>
      <c r="BA6" s="37">
        <f>BA4/AZ4-1</f>
        <v>4.528999460833405E-2</v>
      </c>
      <c r="BB6" s="37">
        <f>BB4/BA4-1</f>
        <v>3.4374769729570431E-2</v>
      </c>
      <c r="BC6" s="37">
        <f>BC4/BB4-1</f>
        <v>3.65093499554765E-2</v>
      </c>
      <c r="BD6" s="34"/>
      <c r="BE6" s="37">
        <f>BE4/BC4-1</f>
        <v>1.5326460481099646E-2</v>
      </c>
      <c r="BF6" s="37">
        <f>BF4/BE4-1</f>
        <v>3.38286062411155E-2</v>
      </c>
      <c r="BG6" s="122">
        <f>BG4/BF4-1</f>
        <v>2.9087754333698923E-2</v>
      </c>
      <c r="BH6" s="122">
        <f>BH4/BG4-1</f>
        <v>3.6918623146910967E-2</v>
      </c>
      <c r="BI6" s="34"/>
      <c r="BJ6" s="37">
        <f>BJ4/BH4-1</f>
        <v>2.6768319808556651E-2</v>
      </c>
      <c r="BK6" s="37">
        <f>BK4/BJ4-1</f>
        <v>2.3829443929841432E-2</v>
      </c>
      <c r="BL6" s="37">
        <f>BL4/BK4-1</f>
        <v>3.5007077295743372E-2</v>
      </c>
      <c r="BM6" s="37">
        <f>BM4/BL4-1</f>
        <v>2.5448341980599976E-2</v>
      </c>
      <c r="BN6" s="34"/>
      <c r="BO6" s="37">
        <f>BO4/BM4-1</f>
        <v>2.0059670300963894E-2</v>
      </c>
      <c r="BP6" s="37">
        <f>BP4/BO4-1</f>
        <v>1.8613866724175088E-2</v>
      </c>
      <c r="BQ6" s="37">
        <f>BQ4/BP4-1</f>
        <v>5.2717240284228417E-2</v>
      </c>
      <c r="BR6" s="122">
        <f>BR4/BQ4-1</f>
        <v>4.714858529104915E-2</v>
      </c>
      <c r="BS6" s="34"/>
      <c r="BT6" s="122">
        <f>BT4/BR4-1</f>
        <v>8.1456762855908194E-2</v>
      </c>
      <c r="BU6" s="37">
        <f>BU4/BT4-1</f>
        <v>4.9337358758629879E-2</v>
      </c>
      <c r="BV6" s="37">
        <f>BV4/BU4-1</f>
        <v>3.5413956145083025E-2</v>
      </c>
      <c r="BW6" s="37">
        <f>BW4/BV4-1</f>
        <v>4.9741027919948611E-2</v>
      </c>
      <c r="BX6" s="34"/>
      <c r="BY6" s="37">
        <f>BY4/BW4-1</f>
        <v>2.3716376659270511E-2</v>
      </c>
      <c r="BZ6" s="37">
        <f>BZ4/BY4-1</f>
        <v>3.7882748852109849E-2</v>
      </c>
      <c r="CA6" s="37">
        <f>CA4/BZ4-1</f>
        <v>4.8617853413691403E-2</v>
      </c>
      <c r="CB6" s="37">
        <f>CB4/CA4-1</f>
        <v>6.5789703544538281E-2</v>
      </c>
      <c r="CC6" s="34"/>
      <c r="CD6" s="37">
        <f>CD4/CB4-1</f>
        <v>3.155272172958079E-2</v>
      </c>
      <c r="CE6" s="37">
        <f>CE4/CD4-1</f>
        <v>3.6133091810468088E-2</v>
      </c>
      <c r="CF6" s="37">
        <f>CF4/CE4-1</f>
        <v>4.0217457980615823E-2</v>
      </c>
      <c r="CG6" s="37">
        <f>CG4/CF4-1</f>
        <v>6.8582717214232591E-2</v>
      </c>
      <c r="CH6" s="34"/>
      <c r="CI6" s="5">
        <f>CI4/CG4-1</f>
        <v>3.1807677715310678E-2</v>
      </c>
      <c r="CJ6" s="5">
        <f>CJ4/CI4-1</f>
        <v>2.687596940685677E-2</v>
      </c>
      <c r="CK6" s="37">
        <f>CK4/CJ4-1</f>
        <v>6.5691814891012834E-2</v>
      </c>
      <c r="CL6" s="37">
        <f>CL4/CK4-1</f>
        <v>4.411495179795466E-2</v>
      </c>
      <c r="CM6" s="146"/>
      <c r="CN6" s="5">
        <f>CN4/CL4-1</f>
        <v>6.2267783063303384E-2</v>
      </c>
      <c r="CO6" s="5">
        <f>CO4/CN4-1</f>
        <v>3.2228213870635569E-2</v>
      </c>
      <c r="CP6" s="5">
        <f>CP4/CO4-1</f>
        <v>1.336179295624329E-2</v>
      </c>
      <c r="CQ6" s="37">
        <f>CQ4/CP4-1</f>
        <v>1.4470469289746379E-2</v>
      </c>
      <c r="CR6" s="146"/>
      <c r="CS6" s="5">
        <f>CS4/CQ4-1</f>
        <v>-1.0581514855800833E-4</v>
      </c>
      <c r="CT6" s="5">
        <f>CT4/CS4-1</f>
        <v>2.6304641183392041E-2</v>
      </c>
      <c r="CU6" s="5">
        <f>CU4/CT4-1</f>
        <v>3.3994498295183861E-2</v>
      </c>
      <c r="CV6" s="5">
        <f>CV4/CU4-1</f>
        <v>1.7353907673947289E-2</v>
      </c>
      <c r="CW6" s="146"/>
    </row>
    <row r="7" spans="2:101" ht="19.05" customHeight="1" outlineLevel="1">
      <c r="B7" s="14"/>
      <c r="C7" t="s">
        <v>133</v>
      </c>
      <c r="D7" s="50"/>
      <c r="E7" s="50"/>
      <c r="F7" s="50"/>
      <c r="G7" s="45"/>
      <c r="H7" s="45"/>
      <c r="I7" s="45"/>
      <c r="J7" s="45"/>
      <c r="K7" s="50"/>
      <c r="L7" s="45"/>
      <c r="M7" s="45"/>
      <c r="N7" s="45"/>
      <c r="O7" s="45"/>
      <c r="P7" s="50"/>
      <c r="Q7" s="45"/>
      <c r="R7" s="45"/>
      <c r="S7" s="45"/>
      <c r="T7" s="45"/>
      <c r="U7" s="50"/>
      <c r="V7" s="45">
        <f>V4</f>
        <v>12649</v>
      </c>
      <c r="W7" s="45">
        <f>W4-W9</f>
        <v>13687</v>
      </c>
      <c r="X7" s="45">
        <f>X4-X9</f>
        <v>14579</v>
      </c>
      <c r="Y7" s="45">
        <f>Y4-Y9</f>
        <v>14904</v>
      </c>
      <c r="Z7" s="50">
        <f>SUM(V7:Y7)</f>
        <v>55819</v>
      </c>
      <c r="AA7" s="45">
        <f>AA4-AA9</f>
        <v>15584</v>
      </c>
      <c r="AB7" s="45">
        <f>AB4-AB9</f>
        <v>17221</v>
      </c>
      <c r="AC7" s="45">
        <f>AC4-AC9</f>
        <v>18467</v>
      </c>
      <c r="AD7" s="45">
        <f>AD4-AD9</f>
        <v>19384</v>
      </c>
      <c r="AE7" s="50">
        <f>SUM(AA7:AD7)</f>
        <v>70656</v>
      </c>
      <c r="AF7" s="45">
        <f>AF4-AF9</f>
        <v>20752</v>
      </c>
      <c r="AG7" s="45">
        <f>AG4-AG9</f>
        <v>22658</v>
      </c>
      <c r="AH7" s="45">
        <f>AH4-AH9</f>
        <v>25508</v>
      </c>
      <c r="AI7" s="45">
        <f>AI4-AI9</f>
        <v>27973</v>
      </c>
      <c r="AJ7" s="50">
        <f>SUM(AF7:AI7)</f>
        <v>96891</v>
      </c>
      <c r="AK7" s="45">
        <f>AK4-AK9</f>
        <v>28939</v>
      </c>
      <c r="AL7" s="45">
        <f>AL4-AL9</f>
        <v>31100</v>
      </c>
      <c r="AM7" s="45">
        <f>AM4-AM9</f>
        <v>32506</v>
      </c>
      <c r="AN7" s="45">
        <f>AN4-AN9</f>
        <v>35402</v>
      </c>
      <c r="AO7" s="50">
        <f>SUM(AK7:AN7)</f>
        <v>127947</v>
      </c>
      <c r="AP7" s="45">
        <f>AP4-AP9</f>
        <v>36970</v>
      </c>
      <c r="AQ7" s="45">
        <f>AQ4-AQ9</f>
        <v>38846</v>
      </c>
      <c r="AR7" s="45">
        <f>AR4-AR9</f>
        <v>40354</v>
      </c>
      <c r="AS7" s="45">
        <f>AS4-AS9</f>
        <v>42348</v>
      </c>
      <c r="AT7" s="50">
        <f>SUM(AP7:AS7)</f>
        <v>158518</v>
      </c>
      <c r="AU7" s="45">
        <f>AU14+AU18</f>
        <v>44031.509999999995</v>
      </c>
      <c r="AV7" s="45">
        <f>AV14+AV18</f>
        <v>45500.914799999999</v>
      </c>
      <c r="AW7" s="45">
        <f>AW14+AW18</f>
        <v>46907.623800000001</v>
      </c>
      <c r="AX7" s="45">
        <f>AX14+AX18</f>
        <v>48781.035600000017</v>
      </c>
      <c r="AY7" s="50">
        <f>SUM(AU7:AX7)</f>
        <v>185221.08419999998</v>
      </c>
      <c r="AZ7" s="253">
        <f>AZ14+AZ18</f>
        <v>51932</v>
      </c>
      <c r="BA7" s="45">
        <f>BA14+BA18</f>
        <v>54284</v>
      </c>
      <c r="BB7" s="45">
        <f>BB14+BB18</f>
        <v>56150</v>
      </c>
      <c r="BC7" s="45">
        <f>BC14+BC18</f>
        <v>58200</v>
      </c>
      <c r="BD7" s="50">
        <f>SUM(AZ7:BC7)</f>
        <v>220566</v>
      </c>
      <c r="BE7" s="45">
        <f>BE14+BE18</f>
        <v>59092</v>
      </c>
      <c r="BF7" s="45">
        <f>BF14+BF18</f>
        <v>61091</v>
      </c>
      <c r="BG7" s="45">
        <f>BG14+BG18</f>
        <v>62868</v>
      </c>
      <c r="BH7" s="45">
        <f>BH14+BH18</f>
        <v>65189</v>
      </c>
      <c r="BI7" s="50">
        <f>SUM(BE7:BH7)</f>
        <v>248240</v>
      </c>
      <c r="BJ7" s="45">
        <f>BJ14+BJ18</f>
        <v>65809</v>
      </c>
      <c r="BK7" s="45">
        <f>BK14+BK18</f>
        <v>67404</v>
      </c>
      <c r="BL7" s="45">
        <f>BL14+BL18</f>
        <v>69803</v>
      </c>
      <c r="BM7" s="45">
        <f>BM14+BM18</f>
        <v>71733</v>
      </c>
      <c r="BN7" s="50">
        <f>SUM(BJ7:BM7)</f>
        <v>274749</v>
      </c>
      <c r="BO7" s="45">
        <f>BO14+BO18</f>
        <v>74192</v>
      </c>
      <c r="BP7" s="45">
        <f>BP14+BP18</f>
        <v>75573</v>
      </c>
      <c r="BQ7" s="45">
        <f>BQ14+BQ18</f>
        <v>79557</v>
      </c>
      <c r="BR7" s="45">
        <f>BR14+BR18</f>
        <v>83308</v>
      </c>
      <c r="BS7" s="50">
        <f>SUM(BO7:BR7)</f>
        <v>312630</v>
      </c>
      <c r="BT7" s="45">
        <f>BT14+BT18</f>
        <v>88644</v>
      </c>
      <c r="BU7" s="45">
        <f>BU14+BU18</f>
        <v>92639</v>
      </c>
      <c r="BV7" s="45">
        <f>BV14+BV18</f>
        <v>95537</v>
      </c>
      <c r="BW7" s="45">
        <f>BW14+BW18</f>
        <v>99406</v>
      </c>
      <c r="BX7" s="50">
        <f>SUM(BT7:BW7)</f>
        <v>376226</v>
      </c>
      <c r="BY7" s="45">
        <f>BY14+BY18</f>
        <v>104493</v>
      </c>
      <c r="BZ7" s="45">
        <f>BZ14+BZ18</f>
        <v>108428</v>
      </c>
      <c r="CA7" s="45">
        <f>CA14+CA18</f>
        <v>112736</v>
      </c>
      <c r="CB7" s="45">
        <f>CB14+CB18</f>
        <v>118268</v>
      </c>
      <c r="CC7" s="50">
        <f>SUM(BY7:CB7)</f>
        <v>443925</v>
      </c>
      <c r="CD7" s="45">
        <f>CD14+CD18</f>
        <v>122368</v>
      </c>
      <c r="CE7" s="45">
        <f>CE14+CE18</f>
        <v>126641</v>
      </c>
      <c r="CF7" s="45">
        <f>CF14+CF18</f>
        <v>132711</v>
      </c>
      <c r="CG7" s="45">
        <f>CG14+CG18</f>
        <v>138765</v>
      </c>
      <c r="CH7" s="50">
        <f>SUM(CD7:CG7)</f>
        <v>520485</v>
      </c>
      <c r="CI7" s="64">
        <f>CI14+CI18</f>
        <v>145576</v>
      </c>
      <c r="CJ7" s="64">
        <f>CJ14+CJ18</f>
        <v>148996</v>
      </c>
      <c r="CK7" s="45">
        <f>CK14+CK18</f>
        <v>160736</v>
      </c>
      <c r="CL7" s="45">
        <f>CL14+CL18</f>
        <v>164707</v>
      </c>
      <c r="CM7" s="112">
        <f>SUM(CI7:CL7)</f>
        <v>620015</v>
      </c>
      <c r="CN7" s="64">
        <f>CN14+CN18</f>
        <v>167349</v>
      </c>
      <c r="CO7" s="64">
        <f>CO14+CO18</f>
        <v>170950</v>
      </c>
      <c r="CP7" s="64">
        <f>CP14+CP18</f>
        <v>177654</v>
      </c>
      <c r="CQ7" s="45">
        <f>CQ14+CQ18</f>
        <v>182952</v>
      </c>
      <c r="CR7" s="112">
        <f>SUM(CN7:CQ7)</f>
        <v>698905</v>
      </c>
      <c r="CS7" s="64">
        <f>CS14+CS18</f>
        <v>188631.6145</v>
      </c>
      <c r="CT7" s="64">
        <f>CT14+CT18</f>
        <v>197698.72</v>
      </c>
      <c r="CU7" s="64">
        <f>CU14+CU18</f>
        <v>204419.38880000002</v>
      </c>
      <c r="CV7" s="64">
        <f>CV14+CV18</f>
        <v>207966.86399999997</v>
      </c>
      <c r="CW7" s="112">
        <f>SUM(CS7:CV7)</f>
        <v>798716.5872999999</v>
      </c>
    </row>
    <row r="8" spans="2:101" s="2" customFormat="1" ht="10.15" outlineLevel="1">
      <c r="B8" s="26"/>
      <c r="C8" s="2" t="s">
        <v>134</v>
      </c>
      <c r="D8" s="107"/>
      <c r="E8" s="107"/>
      <c r="F8" s="107"/>
      <c r="G8" s="108"/>
      <c r="H8" s="108"/>
      <c r="I8" s="108"/>
      <c r="J8" s="108"/>
      <c r="K8" s="107"/>
      <c r="L8" s="108"/>
      <c r="M8" s="108"/>
      <c r="N8" s="108"/>
      <c r="O8" s="108"/>
      <c r="P8" s="107"/>
      <c r="Q8" s="108"/>
      <c r="R8" s="108"/>
      <c r="S8" s="108"/>
      <c r="T8" s="108"/>
      <c r="U8" s="107"/>
      <c r="V8" s="110"/>
      <c r="W8" s="37">
        <f t="shared" ref="W8:AI8" si="3">W7/R4-1</f>
        <v>0.25063961988304095</v>
      </c>
      <c r="X8" s="37">
        <f t="shared" si="3"/>
        <v>0.26873205117048116</v>
      </c>
      <c r="Y8" s="37">
        <f t="shared" si="3"/>
        <v>0.25044047319405993</v>
      </c>
      <c r="Z8" s="34">
        <f t="shared" si="3"/>
        <v>0.25163127564634391</v>
      </c>
      <c r="AA8" s="122">
        <f t="shared" si="3"/>
        <v>0.23203415289746232</v>
      </c>
      <c r="AB8" s="122">
        <f>AB7/W4-1</f>
        <v>0.23563177154337378</v>
      </c>
      <c r="AC8" s="122">
        <f t="shared" si="3"/>
        <v>0.18919441045785312</v>
      </c>
      <c r="AD8" s="122">
        <f t="shared" si="3"/>
        <v>0.22265674277784786</v>
      </c>
      <c r="AE8" s="34">
        <f>AE7/Z4-1</f>
        <v>0.21885835532784759</v>
      </c>
      <c r="AF8" s="122">
        <f t="shared" si="3"/>
        <v>0.25511068102092649</v>
      </c>
      <c r="AG8" s="122">
        <f t="shared" si="3"/>
        <v>0.27142135682621626</v>
      </c>
      <c r="AH8" s="122">
        <f t="shared" si="3"/>
        <v>0.25859772043222984</v>
      </c>
      <c r="AI8" s="122">
        <f t="shared" si="3"/>
        <v>0.2441291585127201</v>
      </c>
      <c r="AJ8" s="152">
        <f t="shared" ref="AJ8:AP8" si="4">AJ7/AE4-1</f>
        <v>0.2565948175239281</v>
      </c>
      <c r="AK8" s="122">
        <f t="shared" si="4"/>
        <v>0.2183816099696867</v>
      </c>
      <c r="AL8" s="122">
        <f t="shared" si="4"/>
        <v>0.21209759139449691</v>
      </c>
      <c r="AM8" s="122">
        <f t="shared" si="4"/>
        <v>0.2035693127962086</v>
      </c>
      <c r="AN8" s="122">
        <f t="shared" si="4"/>
        <v>0.26557752118113886</v>
      </c>
      <c r="AO8" s="152">
        <f t="shared" si="4"/>
        <v>0.22565163663534205</v>
      </c>
      <c r="AP8" s="122">
        <f t="shared" si="4"/>
        <v>0.27751477245239986</v>
      </c>
      <c r="AQ8" s="122">
        <f>AQ7/AL4-1</f>
        <v>0.24906752411575561</v>
      </c>
      <c r="AR8" s="122">
        <f>AR7/AM4-1</f>
        <v>0.24143235095059379</v>
      </c>
      <c r="AS8" s="122">
        <f>AS7/AN4-1</f>
        <v>0.19620360431614037</v>
      </c>
      <c r="AT8" s="34">
        <f>AT7/AO4-1</f>
        <v>0.23893487147021819</v>
      </c>
      <c r="AU8" s="122">
        <f>AU7/AP7-1</f>
        <v>0.19100649175006756</v>
      </c>
      <c r="AV8" s="122">
        <f>AV7/AQ7-1</f>
        <v>0.17131531689234403</v>
      </c>
      <c r="AW8" s="122">
        <f>AW7/AR7-1</f>
        <v>0.16240332556871695</v>
      </c>
      <c r="AX8" s="122">
        <f>AX7/AS7-1</f>
        <v>0.15190884103145419</v>
      </c>
      <c r="AY8" s="34">
        <f t="shared" ref="AY8:BD8" si="5">AY7/AT4-1</f>
        <v>0.16845458686079806</v>
      </c>
      <c r="AZ8" s="37">
        <f t="shared" si="5"/>
        <v>0.13888462466282148</v>
      </c>
      <c r="BA8" s="122">
        <f t="shared" si="5"/>
        <v>0.14641718231927525</v>
      </c>
      <c r="BB8" s="122">
        <f t="shared" si="5"/>
        <v>0.13931499066634201</v>
      </c>
      <c r="BC8" s="122">
        <f t="shared" si="5"/>
        <v>0.13981316464620752</v>
      </c>
      <c r="BD8" s="34">
        <f t="shared" si="5"/>
        <v>0.14108487027600303</v>
      </c>
      <c r="BE8" s="122">
        <f t="shared" ref="BE8" si="6">BE7/AZ4-1</f>
        <v>0.13787260263421408</v>
      </c>
      <c r="BF8" s="122">
        <f t="shared" ref="BF8" si="7">BF7/BA4-1</f>
        <v>0.12539606513889923</v>
      </c>
      <c r="BG8" s="122">
        <f t="shared" ref="BG8" si="8">BG7/BB4-1</f>
        <v>0.11964381121994649</v>
      </c>
      <c r="BH8" s="122">
        <f t="shared" ref="BH8" si="9">BH7/BC4-1</f>
        <v>0.12008591065292107</v>
      </c>
      <c r="BI8" s="34">
        <f t="shared" ref="BI8" si="10">BI7/BD4-1</f>
        <v>0.12546811385254308</v>
      </c>
      <c r="BJ8" s="122">
        <f t="shared" ref="BJ8" si="11">BJ7/BE4-1</f>
        <v>0.11367020916536918</v>
      </c>
      <c r="BK8" s="122">
        <f t="shared" ref="BK8" si="12">BK7/BF4-1</f>
        <v>0.10333764384279198</v>
      </c>
      <c r="BL8" s="122">
        <f t="shared" ref="BL8" si="13">BL7/BG4-1</f>
        <v>0.11031049182413954</v>
      </c>
      <c r="BM8" s="122">
        <f t="shared" ref="BM8" si="14">BM7/BH4-1</f>
        <v>0.10038503428492529</v>
      </c>
      <c r="BN8" s="34">
        <f t="shared" ref="BN8" si="15">BN7/BI4-1</f>
        <v>0.10678778601353534</v>
      </c>
      <c r="BO8" s="122">
        <f t="shared" ref="BO8" si="16">BO7/BJ4-1</f>
        <v>0.10843517494845667</v>
      </c>
      <c r="BP8" s="122">
        <f t="shared" ref="BP8" si="17">BP7/BK4-1</f>
        <v>0.10278860044652638</v>
      </c>
      <c r="BQ8" s="122">
        <f t="shared" ref="BQ8" si="18">BQ7/BL4-1</f>
        <v>0.12165858335213176</v>
      </c>
      <c r="BR8" s="122">
        <f t="shared" ref="BR8" si="19">BR7/BM4-1</f>
        <v>0.14539480015948736</v>
      </c>
      <c r="BS8" s="34">
        <f t="shared" ref="BS8" si="20">BS7/BN4-1</f>
        <v>0.12003983892463554</v>
      </c>
      <c r="BT8" s="122">
        <f t="shared" ref="BT8" si="21">BT7/BO4-1</f>
        <v>0.19479189130903607</v>
      </c>
      <c r="BU8" s="122">
        <f t="shared" ref="BU8" si="22">BU7/BP4-1</f>
        <v>0.22582139123761125</v>
      </c>
      <c r="BV8" s="122">
        <f t="shared" ref="BV8" si="23">BV7/BQ4-1</f>
        <v>0.20086227484696506</v>
      </c>
      <c r="BW8" s="122">
        <f t="shared" ref="BW8" si="24">BW7/BR4-1</f>
        <v>0.1932347433619821</v>
      </c>
      <c r="BX8" s="34">
        <f t="shared" ref="BX8" si="25">BX7/BS4-1</f>
        <v>0.20342257620829729</v>
      </c>
      <c r="BY8" s="122">
        <f t="shared" ref="BY8:BZ8" si="26">BY7/BT4-1</f>
        <v>0.15982196372677415</v>
      </c>
      <c r="BZ8" s="122">
        <f t="shared" si="26"/>
        <v>0.14691291424703024</v>
      </c>
      <c r="CA8" s="122">
        <f t="shared" ref="CA8" si="27">CA7/BV4-1</f>
        <v>0.15169532215718129</v>
      </c>
      <c r="CB8" s="122">
        <f t="shared" ref="CB8" si="28">CB7/BW4-1</f>
        <v>0.15095955467320632</v>
      </c>
      <c r="CC8" s="34">
        <f t="shared" ref="CC8" si="29">CC7/BX4-1</f>
        <v>0.15222593673107077</v>
      </c>
      <c r="CD8" s="122">
        <f>CD7/BY4-1</f>
        <v>0.16327132033500336</v>
      </c>
      <c r="CE8" s="122">
        <f t="shared" ref="CE8" si="30">CE7/BZ4-1</f>
        <v>0.15994980673762105</v>
      </c>
      <c r="CF8" s="122">
        <f t="shared" ref="CF8" si="31">CF7/CA4-1</f>
        <v>0.15918976992820077</v>
      </c>
      <c r="CG8" s="122">
        <f t="shared" ref="CG8" si="32">CG7/CB4-1</f>
        <v>0.13725024176760803</v>
      </c>
      <c r="CH8" s="34">
        <f t="shared" ref="CH8" si="33">CH7/CC4-1</f>
        <v>0.15438868866093713</v>
      </c>
      <c r="CI8" s="449">
        <f t="shared" ref="CI8" si="34">CI7/CD4-1</f>
        <v>0.15657673117869519</v>
      </c>
      <c r="CJ8" s="449">
        <f t="shared" ref="CJ8:CL8" si="35">CJ7/CE4-1</f>
        <v>0.14246718194086605</v>
      </c>
      <c r="CK8" s="122">
        <f t="shared" si="35"/>
        <v>0.18483573023934663</v>
      </c>
      <c r="CL8" s="122">
        <f t="shared" si="35"/>
        <v>0.13618459628186108</v>
      </c>
      <c r="CM8" s="146">
        <f t="shared" ref="CM8" si="36">CM7/CH4-1</f>
        <v>0.15478385576726073</v>
      </c>
      <c r="CN8" s="449">
        <f t="shared" ref="CN8:CO8" si="37">CN7/CI4-1</f>
        <v>0.11882253837514045</v>
      </c>
      <c r="CO8" s="449">
        <f t="shared" si="37"/>
        <v>0.1129847131435715</v>
      </c>
      <c r="CP8" s="449">
        <f t="shared" ref="CP8:CQ8" si="38">CP7/CK4-1</f>
        <v>8.5334115318353332E-2</v>
      </c>
      <c r="CQ8" s="122">
        <f t="shared" si="38"/>
        <v>7.0476926047499555E-2</v>
      </c>
      <c r="CR8" s="146">
        <f t="shared" ref="CR8" si="39">CR7/CM4-1</f>
        <v>9.5866032159180881E-2</v>
      </c>
      <c r="CS8" s="449">
        <f t="shared" ref="CS8" si="40">CS7/CN4-1</f>
        <v>3.9012137219152976E-2</v>
      </c>
      <c r="CT8" s="449">
        <f t="shared" ref="CT8" si="41">CT7/CO4-1</f>
        <v>5.4955816435432236E-2</v>
      </c>
      <c r="CU8" s="449">
        <f t="shared" ref="CU8" si="42">CU7/CP4-1</f>
        <v>7.6435403151065895E-2</v>
      </c>
      <c r="CV8" s="449">
        <f t="shared" ref="CV8" si="43">CV7/CQ4-1</f>
        <v>7.9494965014637708E-2</v>
      </c>
      <c r="CW8" s="146">
        <f t="shared" ref="CW8" si="44">CW7/CR4-1</f>
        <v>6.2822718810919387E-2</v>
      </c>
    </row>
    <row r="9" spans="2:101" ht="13.15" outlineLevel="1">
      <c r="B9" s="14"/>
      <c r="C9" s="4"/>
      <c r="D9" s="50"/>
      <c r="E9" s="50"/>
      <c r="F9" s="50"/>
      <c r="G9" s="45"/>
      <c r="H9" s="45"/>
      <c r="I9" s="45"/>
      <c r="J9" s="45"/>
      <c r="K9" s="50"/>
      <c r="L9" s="45"/>
      <c r="M9" s="45"/>
      <c r="N9" s="45"/>
      <c r="O9" s="45"/>
      <c r="P9" s="50"/>
      <c r="Q9" s="45"/>
      <c r="R9" s="45"/>
      <c r="S9" s="45"/>
      <c r="T9" s="45"/>
      <c r="U9" s="50"/>
      <c r="V9" s="45" t="s">
        <v>457</v>
      </c>
      <c r="W9" s="45">
        <v>250</v>
      </c>
      <c r="X9" s="45">
        <v>950</v>
      </c>
      <c r="Y9" s="45">
        <v>950</v>
      </c>
      <c r="Z9" s="50">
        <f>SUM(V9:Y9)</f>
        <v>2150</v>
      </c>
      <c r="AA9" s="76">
        <v>950</v>
      </c>
      <c r="AB9" s="45">
        <v>600</v>
      </c>
      <c r="AC9" s="45">
        <v>1800</v>
      </c>
      <c r="AD9" s="45">
        <v>3100</v>
      </c>
      <c r="AE9" s="50">
        <f>SUM(AA9:AD9)</f>
        <v>6450</v>
      </c>
      <c r="AF9" s="76">
        <v>3000</v>
      </c>
      <c r="AG9" s="45">
        <v>3000</v>
      </c>
      <c r="AH9" s="45">
        <v>1500</v>
      </c>
      <c r="AI9" s="45"/>
      <c r="AJ9" s="50">
        <f>SUM(AF9:AI9)</f>
        <v>7500</v>
      </c>
      <c r="AK9" s="76"/>
      <c r="AL9" s="45"/>
      <c r="AM9" s="45"/>
      <c r="AN9" s="45"/>
      <c r="AO9" s="50">
        <f>SUM(AK9:AN9)</f>
        <v>0</v>
      </c>
      <c r="AP9" s="76"/>
      <c r="AQ9" s="45"/>
      <c r="AR9" s="45"/>
      <c r="AS9" s="45"/>
      <c r="AT9" s="50">
        <f>SUM(AP9:AS9)</f>
        <v>0</v>
      </c>
      <c r="AU9" s="76"/>
      <c r="AV9" s="45"/>
      <c r="AW9" s="45"/>
      <c r="AX9" s="45"/>
      <c r="AY9" s="50"/>
      <c r="AZ9" s="253"/>
      <c r="BA9" s="45"/>
      <c r="BB9" s="45"/>
      <c r="BC9" s="45"/>
      <c r="BD9" s="50"/>
      <c r="BE9" s="76"/>
      <c r="BF9" s="45"/>
      <c r="BG9" s="45"/>
      <c r="BH9" s="45"/>
      <c r="BI9" s="50"/>
      <c r="BJ9" s="76"/>
      <c r="BK9" s="45"/>
      <c r="BL9" s="45"/>
      <c r="BM9" s="45"/>
      <c r="BN9" s="50"/>
      <c r="BO9" s="76"/>
      <c r="BP9" s="45"/>
      <c r="BQ9" s="45"/>
      <c r="BR9" s="45"/>
      <c r="BS9" s="50"/>
      <c r="BT9" s="76"/>
      <c r="BU9" s="45"/>
      <c r="BV9" s="45"/>
      <c r="BW9" s="45"/>
      <c r="BX9" s="50"/>
      <c r="BY9" s="45"/>
      <c r="BZ9" s="45"/>
      <c r="CA9" s="45"/>
      <c r="CB9" s="45"/>
      <c r="CC9" s="50"/>
      <c r="CD9" s="45"/>
      <c r="CE9" s="45"/>
      <c r="CF9" s="45"/>
      <c r="CG9" s="45"/>
      <c r="CH9" s="50"/>
      <c r="CI9" s="64"/>
      <c r="CJ9" s="64"/>
      <c r="CK9" s="45"/>
      <c r="CL9" s="45"/>
      <c r="CM9" s="112"/>
      <c r="CN9" s="64"/>
      <c r="CO9" s="64"/>
      <c r="CP9" s="64"/>
      <c r="CQ9" s="45"/>
      <c r="CR9" s="112"/>
      <c r="CS9" s="64"/>
      <c r="CT9" s="64"/>
      <c r="CU9" s="64"/>
      <c r="CV9" s="64"/>
      <c r="CW9" s="112"/>
    </row>
    <row r="10" spans="2:101" ht="13.15" outlineLevel="1">
      <c r="B10" s="14"/>
      <c r="C10" t="s">
        <v>112</v>
      </c>
      <c r="D10" s="50"/>
      <c r="E10" s="50"/>
      <c r="F10" s="50"/>
      <c r="G10" s="45"/>
      <c r="H10" s="45"/>
      <c r="I10" s="45"/>
      <c r="J10" s="45"/>
      <c r="K10" s="50">
        <f t="shared" ref="K10:P10" si="45">K11*K4</f>
        <v>25478.51</v>
      </c>
      <c r="L10" s="45">
        <f>L11*L4</f>
        <v>6910.1100000000006</v>
      </c>
      <c r="M10" s="45">
        <f>M11*M4</f>
        <v>7488</v>
      </c>
      <c r="N10" s="45">
        <f>N11*N4</f>
        <v>7803.5400000000009</v>
      </c>
      <c r="O10" s="45">
        <f>P10-(L10+M10+N10)</f>
        <v>7995.1500000000015</v>
      </c>
      <c r="P10" s="50">
        <f t="shared" si="45"/>
        <v>30196.800000000003</v>
      </c>
      <c r="Q10" s="45">
        <f>Q11*Q4</f>
        <v>8399.26</v>
      </c>
      <c r="R10" s="45">
        <f>R11*R4</f>
        <v>9083.52</v>
      </c>
      <c r="S10" s="45">
        <f>S11*S4</f>
        <v>9652.44</v>
      </c>
      <c r="T10" s="45">
        <f>U10-(Q10+R10+S10)</f>
        <v>10326.259999999995</v>
      </c>
      <c r="U10" s="50">
        <f>U11*U4</f>
        <v>37461.479999999996</v>
      </c>
      <c r="V10" s="45">
        <f>V11*V4</f>
        <v>10498.67</v>
      </c>
      <c r="W10" s="45">
        <f>W11*W4</f>
        <v>11707.08</v>
      </c>
      <c r="X10" s="45">
        <f>X11*X4</f>
        <v>13199.65</v>
      </c>
      <c r="Y10" s="45">
        <f>Z10-(V10+W10+X10)</f>
        <v>13868.25</v>
      </c>
      <c r="Z10" s="50">
        <f>Z11*Z4</f>
        <v>49273.65</v>
      </c>
      <c r="AA10" s="45">
        <f>AA11*AA4</f>
        <v>14384.58</v>
      </c>
      <c r="AB10" s="45">
        <f>AB11*AB4</f>
        <v>15326.06</v>
      </c>
      <c r="AC10" s="45">
        <f>AC11*AC4</f>
        <v>17834.96</v>
      </c>
      <c r="AD10" s="45">
        <f>AE10-(AA10+AB10+AC10)</f>
        <v>20307.68</v>
      </c>
      <c r="AE10" s="50">
        <f>AE11*AE4</f>
        <v>67853.279999999999</v>
      </c>
      <c r="AF10" s="45">
        <f>AF4*AF11</f>
        <v>21139.279999999999</v>
      </c>
      <c r="AG10" s="45">
        <f>AG4*AG11</f>
        <v>22579.040000000001</v>
      </c>
      <c r="AH10" s="45">
        <f>AH4*AH11</f>
        <v>24037.119999999999</v>
      </c>
      <c r="AI10" s="45">
        <f>AJ10-(AF10+AG10+AH10)</f>
        <v>25152.550000000003</v>
      </c>
      <c r="AJ10" s="50">
        <f>AJ11*AJ4</f>
        <v>92907.99</v>
      </c>
      <c r="AK10" s="45">
        <f>AK4*AK11</f>
        <v>26001.314399999999</v>
      </c>
      <c r="AL10" s="45">
        <f>AL4*AL11</f>
        <v>28087.812599999997</v>
      </c>
      <c r="AM10" s="45">
        <f>AM4*AM11</f>
        <v>29325.286399999997</v>
      </c>
      <c r="AN10" s="45">
        <f>AO10-(AK10+AL10+AM10)</f>
        <v>31737.886600000013</v>
      </c>
      <c r="AO10" s="50">
        <f>AO11*AO4</f>
        <v>115152.3</v>
      </c>
      <c r="AP10" s="45">
        <f>AP4*AP11</f>
        <v>33273</v>
      </c>
      <c r="AQ10" s="45">
        <f>AQ4*AQ11</f>
        <v>35349.86</v>
      </c>
      <c r="AR10" s="45">
        <f>AR4*AR11</f>
        <v>36722.14</v>
      </c>
      <c r="AS10" s="45">
        <f>AT10-(AP10+AQ10+AR10)</f>
        <v>38589.344000000012</v>
      </c>
      <c r="AT10" s="50">
        <f>AT11*AT4</f>
        <v>143934.34400000001</v>
      </c>
      <c r="AU10" s="45">
        <f>AU11*AU4</f>
        <v>41495.090000000004</v>
      </c>
      <c r="AV10" s="45">
        <f>AV11*AV4</f>
        <v>43562.92</v>
      </c>
      <c r="AW10" s="45">
        <f>AW11*AW4</f>
        <v>45341.279999999999</v>
      </c>
      <c r="AX10" s="45">
        <f>AY10-(AU10+AV10+AW10)</f>
        <v>46657.709999999992</v>
      </c>
      <c r="AY10" s="50">
        <v>177057</v>
      </c>
      <c r="AZ10" s="45">
        <f>AZ11*AZ4</f>
        <v>47777.440000000002</v>
      </c>
      <c r="BA10" s="45">
        <f>BA11*BA4</f>
        <v>49941.279999999999</v>
      </c>
      <c r="BB10" s="45">
        <f>BB11*BB4</f>
        <v>51658</v>
      </c>
      <c r="BC10" s="45">
        <f>BD10-(AZ10+BA10+BB10)</f>
        <v>54543.28</v>
      </c>
      <c r="BD10" s="50">
        <v>203920</v>
      </c>
      <c r="BE10" s="45">
        <v>54860</v>
      </c>
      <c r="BF10" s="45">
        <v>56430</v>
      </c>
      <c r="BG10" s="45">
        <v>58644</v>
      </c>
      <c r="BH10" s="45">
        <f>BI10-(BE10+BF10+BG10)</f>
        <v>60720</v>
      </c>
      <c r="BI10" s="50">
        <f>230654</f>
        <v>230654</v>
      </c>
      <c r="BJ10" s="45">
        <f>BJ4*BJ11</f>
        <v>62917.96</v>
      </c>
      <c r="BK10" s="45">
        <f t="shared" ref="BK10:BM10" si="46">BK4*BK11</f>
        <v>64417.259999999995</v>
      </c>
      <c r="BL10" s="45">
        <f t="shared" si="46"/>
        <v>66672.319999999992</v>
      </c>
      <c r="BM10" s="45">
        <f t="shared" si="46"/>
        <v>68369.01999999999</v>
      </c>
      <c r="BN10" s="50">
        <f>SUM(BJ10:BM10)</f>
        <v>262376.55999999994</v>
      </c>
      <c r="BO10" s="45">
        <f t="shared" ref="BO10:BQ10" si="47">BO11*BO4</f>
        <v>69740.479999999996</v>
      </c>
      <c r="BP10" s="45">
        <f t="shared" si="47"/>
        <v>71038.62</v>
      </c>
      <c r="BQ10" s="45">
        <f t="shared" si="47"/>
        <v>75579.149999999994</v>
      </c>
      <c r="BR10" s="45">
        <f>BR11*BR4</f>
        <v>78309.51999999999</v>
      </c>
      <c r="BS10" s="50">
        <f>SUM(BO10:BR10)</f>
        <v>294667.76999999996</v>
      </c>
      <c r="BT10" s="45">
        <f>BT4*BT11</f>
        <v>82886.48000000001</v>
      </c>
      <c r="BU10" s="45">
        <f>BU11*BU4</f>
        <v>86975.88</v>
      </c>
      <c r="BV10" s="45">
        <f>BV11*BV4</f>
        <v>90056.040000000008</v>
      </c>
      <c r="BW10" s="45">
        <f>BW11*BW4</f>
        <v>94535.52</v>
      </c>
      <c r="BX10" s="50">
        <f>SUM(BT10:BW10)</f>
        <v>354453.92000000004</v>
      </c>
      <c r="BY10" s="45">
        <v>97567</v>
      </c>
      <c r="BZ10" s="45">
        <v>101163</v>
      </c>
      <c r="CA10" s="45">
        <v>106553</v>
      </c>
      <c r="CB10" s="45">
        <f>419047-SUM(BY10:CA10)</f>
        <v>113764</v>
      </c>
      <c r="CC10" s="50">
        <f>SUM(BY10:CB10)</f>
        <v>419047</v>
      </c>
      <c r="CD10" s="45">
        <v>117301</v>
      </c>
      <c r="CE10" s="45">
        <v>121523</v>
      </c>
      <c r="CF10" s="45">
        <v>127371</v>
      </c>
      <c r="CG10" s="45">
        <f>502013-SUM(CD10:CF10)</f>
        <v>135818</v>
      </c>
      <c r="CH10" s="50">
        <f>SUM(CD10:CG10)</f>
        <v>502013</v>
      </c>
      <c r="CI10" s="64">
        <v>139684</v>
      </c>
      <c r="CJ10" s="64">
        <f>CJ11*CJ4</f>
        <v>144380.24</v>
      </c>
      <c r="CK10" s="45">
        <f>CK4*CK11</f>
        <v>153864.84</v>
      </c>
      <c r="CL10" s="45">
        <f>CG10*1.19</f>
        <v>161623.41999999998</v>
      </c>
      <c r="CM10" s="112">
        <f>SUM(CI10:CL10)</f>
        <v>599552.5</v>
      </c>
      <c r="CN10" s="45">
        <v>172329</v>
      </c>
      <c r="CO10" s="64">
        <f>CO11*CO4</f>
        <v>179904</v>
      </c>
      <c r="CP10" s="64">
        <f>CP11*CP4</f>
        <v>182307.84</v>
      </c>
      <c r="CQ10" s="64">
        <f>CQ11*CQ4</f>
        <v>184945.91999999998</v>
      </c>
      <c r="CR10" s="112">
        <f>SUM(CN10:CQ10)</f>
        <v>719486.76</v>
      </c>
      <c r="CS10" s="64">
        <f>CS14+CS16</f>
        <v>185031.6145</v>
      </c>
      <c r="CT10" s="64">
        <f>CT14+CT16</f>
        <v>189798.72</v>
      </c>
      <c r="CU10" s="64">
        <f>CU14+CU16</f>
        <v>195069.38880000002</v>
      </c>
      <c r="CV10" s="64">
        <f>CV14+CV16</f>
        <v>198816.86399999997</v>
      </c>
      <c r="CW10" s="112">
        <f>SUM(CS10:CV10)</f>
        <v>768716.5872999999</v>
      </c>
    </row>
    <row r="11" spans="2:101" s="2" customFormat="1" ht="10.15" outlineLevel="1">
      <c r="B11" s="26"/>
      <c r="C11" s="2" t="s">
        <v>113</v>
      </c>
      <c r="D11" s="107"/>
      <c r="E11" s="107"/>
      <c r="F11" s="107"/>
      <c r="G11" s="108"/>
      <c r="H11" s="108"/>
      <c r="I11" s="108"/>
      <c r="J11" s="108"/>
      <c r="K11" s="109">
        <v>0.83</v>
      </c>
      <c r="L11" s="110">
        <v>0.81</v>
      </c>
      <c r="M11" s="110">
        <v>0.78</v>
      </c>
      <c r="N11" s="110">
        <v>0.81</v>
      </c>
      <c r="O11" s="110">
        <v>0.82</v>
      </c>
      <c r="P11" s="109">
        <v>0.8</v>
      </c>
      <c r="Q11" s="110">
        <v>0.82</v>
      </c>
      <c r="R11" s="110">
        <v>0.83</v>
      </c>
      <c r="S11" s="110">
        <v>0.84</v>
      </c>
      <c r="T11" s="110">
        <f>T10/T4</f>
        <v>0.8663696618843858</v>
      </c>
      <c r="U11" s="109">
        <v>0.84</v>
      </c>
      <c r="V11" s="110">
        <v>0.83</v>
      </c>
      <c r="W11" s="110">
        <v>0.84</v>
      </c>
      <c r="X11" s="110">
        <v>0.85</v>
      </c>
      <c r="Y11" s="110">
        <f>Y10/Y4</f>
        <v>0.87474769774189476</v>
      </c>
      <c r="Z11" s="109">
        <v>0.85</v>
      </c>
      <c r="AA11" s="110">
        <v>0.87</v>
      </c>
      <c r="AB11" s="110">
        <v>0.86</v>
      </c>
      <c r="AC11" s="110">
        <v>0.88</v>
      </c>
      <c r="AD11" s="110">
        <f>AD10/AD4</f>
        <v>0.90320583526062981</v>
      </c>
      <c r="AE11" s="109">
        <v>0.88</v>
      </c>
      <c r="AF11" s="110">
        <v>0.89</v>
      </c>
      <c r="AG11" s="110">
        <v>0.88</v>
      </c>
      <c r="AH11" s="110">
        <v>0.89</v>
      </c>
      <c r="AI11" s="110">
        <f>AI10/AI4</f>
        <v>0.89917241625853517</v>
      </c>
      <c r="AJ11" s="109">
        <v>0.89</v>
      </c>
      <c r="AK11" s="110">
        <v>0.89848696914198833</v>
      </c>
      <c r="AL11" s="110">
        <v>0.90314509967845646</v>
      </c>
      <c r="AM11" s="110">
        <v>0.90214995385467289</v>
      </c>
      <c r="AN11" s="110">
        <f>AN10/AN4</f>
        <v>0.89649981921925348</v>
      </c>
      <c r="AO11" s="109">
        <v>0.9</v>
      </c>
      <c r="AP11" s="110">
        <v>0.9</v>
      </c>
      <c r="AQ11" s="110">
        <v>0.91</v>
      </c>
      <c r="AR11" s="110">
        <v>0.91</v>
      </c>
      <c r="AS11" s="110">
        <f>AS10/AS4</f>
        <v>0.91124360064229748</v>
      </c>
      <c r="AT11" s="109">
        <v>0.90800000000000003</v>
      </c>
      <c r="AU11" s="110">
        <v>0.91</v>
      </c>
      <c r="AV11" s="110">
        <v>0.92</v>
      </c>
      <c r="AW11" s="110">
        <v>0.92</v>
      </c>
      <c r="AX11" s="110">
        <f>AX10/AX4</f>
        <v>0.9137641252619414</v>
      </c>
      <c r="AY11" s="109">
        <f>AY10/AY4</f>
        <v>0.91599368840373518</v>
      </c>
      <c r="AZ11" s="110">
        <v>0.92</v>
      </c>
      <c r="BA11" s="110">
        <v>0.92</v>
      </c>
      <c r="BB11" s="110">
        <v>0.92</v>
      </c>
      <c r="BC11" s="110">
        <f>BC10/BC4</f>
        <v>0.93716975945017178</v>
      </c>
      <c r="BD11" s="109">
        <f>BD10/BD4</f>
        <v>0.92453052601035512</v>
      </c>
      <c r="BE11" s="110">
        <f t="shared" ref="BE11:BF11" si="48">BE10/BE4</f>
        <v>0.92838286062411157</v>
      </c>
      <c r="BF11" s="110">
        <f t="shared" si="48"/>
        <v>0.92370398258335928</v>
      </c>
      <c r="BG11" s="110">
        <f>BG10/BG4</f>
        <v>0.93281160526818097</v>
      </c>
      <c r="BH11" s="110">
        <f>BH10/BH4</f>
        <v>0.93144548926966209</v>
      </c>
      <c r="BI11" s="109">
        <f>BI10/BI4</f>
        <v>0.92915726716081215</v>
      </c>
      <c r="BJ11" s="110">
        <v>0.94</v>
      </c>
      <c r="BK11" s="110">
        <v>0.94</v>
      </c>
      <c r="BL11" s="110">
        <v>0.94</v>
      </c>
      <c r="BM11" s="110">
        <v>0.94</v>
      </c>
      <c r="BN11" s="109"/>
      <c r="BO11" s="110">
        <v>0.94</v>
      </c>
      <c r="BP11" s="110">
        <v>0.94</v>
      </c>
      <c r="BQ11" s="110">
        <v>0.95</v>
      </c>
      <c r="BR11" s="110">
        <v>0.94</v>
      </c>
      <c r="BS11" s="109"/>
      <c r="BT11" s="110">
        <v>0.92</v>
      </c>
      <c r="BU11" s="524">
        <v>0.92</v>
      </c>
      <c r="BV11" s="110">
        <v>0.92</v>
      </c>
      <c r="BW11" s="110">
        <v>0.92</v>
      </c>
      <c r="BX11" s="109"/>
      <c r="BY11" s="690">
        <f t="shared" ref="BY11" si="49">BY10/BY4</f>
        <v>0.92750468187046664</v>
      </c>
      <c r="BZ11" s="690">
        <f t="shared" ref="BZ11" si="50">BZ10/BZ4</f>
        <v>0.92658777409368187</v>
      </c>
      <c r="CA11" s="690">
        <f t="shared" ref="CA11" si="51">CA10/CA4</f>
        <v>0.93070768478241883</v>
      </c>
      <c r="CB11" s="690">
        <f>CB10/CB4</f>
        <v>0.93235424281663359</v>
      </c>
      <c r="CC11" s="109"/>
      <c r="CD11" s="690">
        <f t="shared" ref="CD11:CF11" si="52">CD10/CD4</f>
        <v>0.93193663202720312</v>
      </c>
      <c r="CE11" s="690">
        <f t="shared" si="52"/>
        <v>0.93181051404735615</v>
      </c>
      <c r="CF11" s="690">
        <f t="shared" si="52"/>
        <v>0.93889179646324294</v>
      </c>
      <c r="CG11" s="690">
        <f>CG10/CG4</f>
        <v>0.93690201083020042</v>
      </c>
      <c r="CH11" s="109"/>
      <c r="CI11" s="690">
        <f>CI10/CI4</f>
        <v>0.93386639567845109</v>
      </c>
      <c r="CJ11" s="691">
        <v>0.94</v>
      </c>
      <c r="CK11" s="690">
        <v>0.94</v>
      </c>
      <c r="CL11" s="690">
        <f>CL10/CL4</f>
        <v>0.9456805163041887</v>
      </c>
      <c r="CM11" s="647"/>
      <c r="CN11" s="691">
        <v>0.95</v>
      </c>
      <c r="CO11" s="691">
        <v>0.96</v>
      </c>
      <c r="CP11" s="691">
        <v>0.96</v>
      </c>
      <c r="CQ11" s="909">
        <v>0.96</v>
      </c>
      <c r="CR11" s="647"/>
      <c r="CS11" s="691">
        <f>CS10/CS4</f>
        <v>0.96054645536909</v>
      </c>
      <c r="CT11" s="691">
        <f>CT10/CT4</f>
        <v>0.96004020663360901</v>
      </c>
      <c r="CU11" s="691">
        <f>CU10/CU4</f>
        <v>0.95426069877770814</v>
      </c>
      <c r="CV11" s="691">
        <f>CV10/CV4</f>
        <v>0.95600260626135136</v>
      </c>
      <c r="CW11" s="647"/>
    </row>
    <row r="12" spans="2:101" s="2" customFormat="1" ht="10.15" outlineLevel="1">
      <c r="B12" s="26"/>
      <c r="C12" s="2" t="s">
        <v>0</v>
      </c>
      <c r="D12" s="107"/>
      <c r="E12" s="107"/>
      <c r="F12" s="107"/>
      <c r="G12" s="108"/>
      <c r="H12" s="108"/>
      <c r="I12" s="108"/>
      <c r="J12" s="108"/>
      <c r="K12" s="109" t="e">
        <f t="shared" ref="K12:T12" si="53">K10/F10-1</f>
        <v>#DIV/0!</v>
      </c>
      <c r="L12" s="110" t="e">
        <f t="shared" si="53"/>
        <v>#DIV/0!</v>
      </c>
      <c r="M12" s="110" t="e">
        <f t="shared" si="53"/>
        <v>#DIV/0!</v>
      </c>
      <c r="N12" s="110" t="e">
        <f t="shared" si="53"/>
        <v>#DIV/0!</v>
      </c>
      <c r="O12" s="110" t="e">
        <f t="shared" si="53"/>
        <v>#DIV/0!</v>
      </c>
      <c r="P12" s="34">
        <f t="shared" si="53"/>
        <v>0.18518704586728196</v>
      </c>
      <c r="Q12" s="37">
        <f t="shared" si="53"/>
        <v>0.21550308171649935</v>
      </c>
      <c r="R12" s="37">
        <f t="shared" si="53"/>
        <v>0.21307692307692316</v>
      </c>
      <c r="S12" s="37">
        <f>S10/N10-1</f>
        <v>0.23693093134654264</v>
      </c>
      <c r="T12" s="37">
        <f t="shared" si="53"/>
        <v>0.29156551159140132</v>
      </c>
      <c r="U12" s="34">
        <f t="shared" ref="U12:AE12" si="54">U10/P10-1</f>
        <v>0.2405778095692257</v>
      </c>
      <c r="V12" s="37">
        <f t="shared" si="54"/>
        <v>0.24995178146646246</v>
      </c>
      <c r="W12" s="37">
        <f t="shared" si="54"/>
        <v>0.28882635806383417</v>
      </c>
      <c r="X12" s="37">
        <f t="shared" si="54"/>
        <v>0.36749360783387397</v>
      </c>
      <c r="Y12" s="37">
        <f t="shared" si="54"/>
        <v>0.34300802032875466</v>
      </c>
      <c r="Z12" s="34">
        <f t="shared" si="54"/>
        <v>0.31531509166215566</v>
      </c>
      <c r="AA12" s="37">
        <f t="shared" si="54"/>
        <v>0.3701335502496983</v>
      </c>
      <c r="AB12" s="37">
        <f t="shared" si="54"/>
        <v>0.30912746816456371</v>
      </c>
      <c r="AC12" s="37">
        <f>AC10/X10-1</f>
        <v>0.35116915978832774</v>
      </c>
      <c r="AD12" s="37">
        <f>AD10/Y10-1</f>
        <v>0.4643289528238963</v>
      </c>
      <c r="AE12" s="34">
        <f t="shared" si="54"/>
        <v>0.37707030025175725</v>
      </c>
      <c r="AF12" s="37">
        <f t="shared" ref="AF12:AO12" si="55">AF10/AA10-1</f>
        <v>0.46957922998099355</v>
      </c>
      <c r="AG12" s="37">
        <f t="shared" si="55"/>
        <v>0.4732449174804223</v>
      </c>
      <c r="AH12" s="37">
        <f t="shared" si="55"/>
        <v>0.34775295262787242</v>
      </c>
      <c r="AI12" s="37">
        <f t="shared" si="55"/>
        <v>0.23857328852926596</v>
      </c>
      <c r="AJ12" s="34">
        <f t="shared" si="55"/>
        <v>0.36924832520992368</v>
      </c>
      <c r="AK12" s="37">
        <f>AK10/AF10-1</f>
        <v>0.22999999999999998</v>
      </c>
      <c r="AL12" s="37">
        <f>AL10/AG10-1</f>
        <v>0.24397727272727265</v>
      </c>
      <c r="AM12" s="37">
        <f>AM10/AH10-1</f>
        <v>0.21999999999999997</v>
      </c>
      <c r="AN12" s="37">
        <f>AN10/AI10-1</f>
        <v>0.26181586360031117</v>
      </c>
      <c r="AO12" s="34">
        <f t="shared" si="55"/>
        <v>0.23942300333911004</v>
      </c>
      <c r="AP12" s="37">
        <f>AP10/AK10-1</f>
        <v>0.27966607718877468</v>
      </c>
      <c r="AQ12" s="37">
        <f>AQ10/AL10-1</f>
        <v>0.25854798675209056</v>
      </c>
      <c r="AR12" s="37">
        <f>AR10/AM10-1</f>
        <v>0.25223465848231252</v>
      </c>
      <c r="AS12" s="37">
        <f>AS10/AN10-1</f>
        <v>0.21587629593458812</v>
      </c>
      <c r="AT12" s="34">
        <f t="shared" ref="AT12:AY12" si="56">AT10/AO10-1</f>
        <v>0.24994762588328689</v>
      </c>
      <c r="AU12" s="37">
        <f t="shared" si="56"/>
        <v>0.24710996904396976</v>
      </c>
      <c r="AV12" s="37">
        <f t="shared" si="56"/>
        <v>0.23233642226588724</v>
      </c>
      <c r="AW12" s="37">
        <f t="shared" si="56"/>
        <v>0.23471235608818009</v>
      </c>
      <c r="AX12" s="37">
        <f t="shared" si="56"/>
        <v>0.20908274574452412</v>
      </c>
      <c r="AY12" s="34">
        <f t="shared" si="56"/>
        <v>0.2301233679155823</v>
      </c>
      <c r="AZ12" s="37">
        <f t="shared" ref="AZ12:BI12" si="57">AZ10/AU10-1</f>
        <v>0.15139984031845688</v>
      </c>
      <c r="BA12" s="37">
        <f t="shared" si="57"/>
        <v>0.14641718231927525</v>
      </c>
      <c r="BB12" s="37">
        <f t="shared" si="57"/>
        <v>0.13931499066634201</v>
      </c>
      <c r="BC12" s="37">
        <f t="shared" si="57"/>
        <v>0.16900893764396074</v>
      </c>
      <c r="BD12" s="34">
        <f t="shared" si="57"/>
        <v>0.15171950275899859</v>
      </c>
      <c r="BE12" s="37">
        <f t="shared" si="57"/>
        <v>0.14824067593408086</v>
      </c>
      <c r="BF12" s="37">
        <f t="shared" si="57"/>
        <v>0.12992698625265509</v>
      </c>
      <c r="BG12" s="37">
        <f t="shared" si="57"/>
        <v>0.13523558790506796</v>
      </c>
      <c r="BH12" s="37">
        <f t="shared" si="57"/>
        <v>0.11324438134266956</v>
      </c>
      <c r="BI12" s="34">
        <f t="shared" si="57"/>
        <v>0.13110043154178119</v>
      </c>
      <c r="BJ12" s="37">
        <f t="shared" ref="BJ12" si="58">BJ10/BE10-1</f>
        <v>0.14688224571636899</v>
      </c>
      <c r="BK12" s="37">
        <f t="shared" ref="BK12" si="59">BK10/BF10-1</f>
        <v>0.14154279638490164</v>
      </c>
      <c r="BL12" s="37">
        <f t="shared" ref="BL12" si="60">BL10/BG10-1</f>
        <v>0.13689925653093238</v>
      </c>
      <c r="BM12" s="37">
        <f t="shared" ref="BM12" si="61">BM10/BH10-1</f>
        <v>0.12597200263504593</v>
      </c>
      <c r="BN12" s="34">
        <f t="shared" ref="BN12" si="62">BN10/BI10-1</f>
        <v>0.13753310152869647</v>
      </c>
      <c r="BO12" s="37">
        <f t="shared" ref="BO12" si="63">BO10/BJ10-1</f>
        <v>0.10843517494845667</v>
      </c>
      <c r="BP12" s="37">
        <f t="shared" ref="BP12" si="64">BP10/BK10-1</f>
        <v>0.10278860044652638</v>
      </c>
      <c r="BQ12" s="37">
        <f t="shared" ref="BQ12" si="65">BQ10/BL10-1</f>
        <v>0.13359112147289909</v>
      </c>
      <c r="BR12" s="37">
        <f t="shared" ref="BR12" si="66">BR10/BM10-1</f>
        <v>0.14539480015948736</v>
      </c>
      <c r="BS12" s="34">
        <f t="shared" ref="BS12" si="67">BS10/BN10-1</f>
        <v>0.12307200765190318</v>
      </c>
      <c r="BT12" s="37">
        <f t="shared" ref="BT12" si="68">BT10/BO10-1</f>
        <v>0.18849884600736933</v>
      </c>
      <c r="BU12" s="37">
        <f t="shared" ref="BU12" si="69">BU10/BP10-1</f>
        <v>0.22434641889158335</v>
      </c>
      <c r="BV12" s="37">
        <f t="shared" ref="BV12" si="70">BV10/BQ10-1</f>
        <v>0.19154608116127281</v>
      </c>
      <c r="BW12" s="37">
        <f t="shared" ref="BW12" si="71">BW10/BR10-1</f>
        <v>0.2072034153701876</v>
      </c>
      <c r="BX12" s="34">
        <f t="shared" ref="BX12" si="72">BX10/BS10-1</f>
        <v>0.20289341450542797</v>
      </c>
      <c r="BY12" s="37">
        <f>BY10/BT10-1</f>
        <v>0.17711597838392934</v>
      </c>
      <c r="BZ12" s="37">
        <f t="shared" ref="BZ12" si="73">BZ10/BU10-1</f>
        <v>0.16311556721242715</v>
      </c>
      <c r="CA12" s="37">
        <f t="shared" ref="CA12" si="74">CA10/BV10-1</f>
        <v>0.18318549205583534</v>
      </c>
      <c r="CB12" s="37">
        <f t="shared" ref="CB12" si="75">CB10/BW10-1</f>
        <v>0.20339952644254766</v>
      </c>
      <c r="CC12" s="34">
        <f t="shared" ref="CC12" si="76">CC10/BX10-1</f>
        <v>0.18223265805608801</v>
      </c>
      <c r="CD12" s="37">
        <f>CD10/BY10-1</f>
        <v>0.2022610103826088</v>
      </c>
      <c r="CE12" s="37">
        <f t="shared" ref="CE12" si="77">CE10/BZ10-1</f>
        <v>0.20125935371627968</v>
      </c>
      <c r="CF12" s="37">
        <f t="shared" ref="CF12" si="78">CF10/CA10-1</f>
        <v>0.19537694856081012</v>
      </c>
      <c r="CG12" s="37">
        <f t="shared" ref="CG12" si="79">CG10/CB10-1</f>
        <v>0.19385745930171239</v>
      </c>
      <c r="CH12" s="34">
        <f t="shared" ref="CH12" si="80">CH10/CC10-1</f>
        <v>0.19798733793584011</v>
      </c>
      <c r="CI12" s="5">
        <f>CI10/CD10-1</f>
        <v>0.19081678758066856</v>
      </c>
      <c r="CJ12" s="5">
        <f t="shared" ref="CJ12:CL12" si="81">CJ10/CE10-1</f>
        <v>0.18808982661718354</v>
      </c>
      <c r="CK12" s="37">
        <f t="shared" si="81"/>
        <v>0.20800527592623119</v>
      </c>
      <c r="CL12" s="37">
        <f t="shared" si="81"/>
        <v>0.18999999999999995</v>
      </c>
      <c r="CM12" s="146">
        <f t="shared" ref="CM12" si="82">CM10/CH10-1</f>
        <v>0.19429676123925077</v>
      </c>
      <c r="CN12" s="5">
        <f>CN10/CI10-1</f>
        <v>0.23370607943644228</v>
      </c>
      <c r="CO12" s="5">
        <f t="shared" ref="CO12" si="83">CO10/CJ10-1</f>
        <v>0.24604308733660507</v>
      </c>
      <c r="CP12" s="5">
        <f t="shared" ref="CP12:CQ12" si="84">CP10/CK10-1</f>
        <v>0.18485704726303953</v>
      </c>
      <c r="CQ12" s="37">
        <f t="shared" si="84"/>
        <v>0.14430148798979747</v>
      </c>
      <c r="CR12" s="146">
        <f t="shared" ref="CR12" si="85">CR10/CM10-1</f>
        <v>0.20003962955704457</v>
      </c>
      <c r="CS12" s="5">
        <f>CS10/CN10-1</f>
        <v>7.3711415374080991E-2</v>
      </c>
      <c r="CT12" s="5">
        <f t="shared" ref="CT12" si="86">CT10/CO10-1</f>
        <v>5.4999999999999938E-2</v>
      </c>
      <c r="CU12" s="5">
        <f t="shared" ref="CU12" si="87">CU10/CP10-1</f>
        <v>7.0000000000000062E-2</v>
      </c>
      <c r="CV12" s="5">
        <f t="shared" ref="CV12" si="88">CV10/CQ10-1</f>
        <v>7.4999999999999956E-2</v>
      </c>
      <c r="CW12" s="146">
        <f t="shared" ref="CW12" si="89">CW10/CR10-1</f>
        <v>6.8423534715218226E-2</v>
      </c>
    </row>
    <row r="13" spans="2:101" s="2" customFormat="1" ht="10.15" outlineLevel="1">
      <c r="B13" s="26"/>
      <c r="C13" s="2" t="s">
        <v>1</v>
      </c>
      <c r="D13" s="107"/>
      <c r="E13" s="107"/>
      <c r="F13" s="107"/>
      <c r="G13" s="108"/>
      <c r="H13" s="108"/>
      <c r="I13" s="108"/>
      <c r="J13" s="108"/>
      <c r="K13" s="109"/>
      <c r="L13" s="110">
        <f>L4/J4-1</f>
        <v>5.5816831683168422E-2</v>
      </c>
      <c r="M13" s="110">
        <f>M4/L4-1</f>
        <v>0.12530770132458091</v>
      </c>
      <c r="N13" s="110">
        <f>N4/M4-1</f>
        <v>3.5416666666667762E-3</v>
      </c>
      <c r="O13" s="110">
        <f>O4/N4-1</f>
        <v>3.6018268631928585E-2</v>
      </c>
      <c r="P13" s="34"/>
      <c r="Q13" s="37">
        <f>Q4/O4-1</f>
        <v>2.6249874762047876E-2</v>
      </c>
      <c r="R13" s="37">
        <f>R4/Q4-1</f>
        <v>6.8436981353119153E-2</v>
      </c>
      <c r="S13" s="37">
        <f>S4/R4-1</f>
        <v>4.9981725146198919E-2</v>
      </c>
      <c r="T13" s="37">
        <f>T4/S4-1</f>
        <v>3.7246540771038283E-2</v>
      </c>
      <c r="U13" s="34"/>
      <c r="V13" s="37">
        <f>V4/T4-1</f>
        <v>6.1246748888329483E-2</v>
      </c>
      <c r="W13" s="37">
        <f>W4/V4-1</f>
        <v>0.10182623132263413</v>
      </c>
      <c r="X13" s="37">
        <f>X4/W4-1</f>
        <v>0.11422831312334081</v>
      </c>
      <c r="Y13" s="37">
        <f>Y4/X4-1</f>
        <v>2.092858522763863E-2</v>
      </c>
      <c r="Z13" s="109"/>
      <c r="AA13" s="37">
        <f>AA4/Y4-1</f>
        <v>4.2891383877885714E-2</v>
      </c>
      <c r="AB13" s="37">
        <f>AB4/AA4-1</f>
        <v>7.7839603241804722E-2</v>
      </c>
      <c r="AC13" s="37">
        <f>AC4/AB4-1</f>
        <v>0.13725380169462986</v>
      </c>
      <c r="AD13" s="37">
        <f>AD4/AC4-1</f>
        <v>0.10938964819657571</v>
      </c>
      <c r="AE13" s="109"/>
      <c r="AF13" s="37">
        <f>AF10/AD10-1</f>
        <v>4.0950024818196873E-2</v>
      </c>
      <c r="AG13" s="37">
        <f>AG10/AF10-1</f>
        <v>6.8108279941417216E-2</v>
      </c>
      <c r="AH13" s="37">
        <f>AH10/AG10-1</f>
        <v>6.4576704766898807E-2</v>
      </c>
      <c r="AI13" s="37">
        <f>AI10/AH10-1</f>
        <v>4.6404477741093908E-2</v>
      </c>
      <c r="AJ13" s="109"/>
      <c r="AK13" s="37">
        <f>AK10/AI10-1</f>
        <v>3.3744666047776262E-2</v>
      </c>
      <c r="AL13" s="37">
        <f>AL10/AK10-1</f>
        <v>8.0245874031660502E-2</v>
      </c>
      <c r="AM13" s="37">
        <f>AM10/AL10-1</f>
        <v>4.4057321857808196E-2</v>
      </c>
      <c r="AN13" s="37">
        <f>AN10/AM10-1</f>
        <v>8.2270303078779694E-2</v>
      </c>
      <c r="AO13" s="109"/>
      <c r="AP13" s="37">
        <f>AP10/AN10-1</f>
        <v>4.8368482103026578E-2</v>
      </c>
      <c r="AQ13" s="37">
        <f>AQ10/AP10-1</f>
        <v>6.2418777988158647E-2</v>
      </c>
      <c r="AR13" s="37">
        <f>AR10/AQ10-1</f>
        <v>3.8819955722596777E-2</v>
      </c>
      <c r="AS13" s="37">
        <f>AS10/AR10-1</f>
        <v>5.08468188400788E-2</v>
      </c>
      <c r="AT13" s="107"/>
      <c r="AU13" s="37">
        <f>AU4/AS4-1</f>
        <v>7.6768678568055249E-2</v>
      </c>
      <c r="AV13" s="37">
        <f>AV4/AU4-1</f>
        <v>3.8421895217000346E-2</v>
      </c>
      <c r="AW13" s="37">
        <f>AW4/AV4-1</f>
        <v>4.0822791493315913E-2</v>
      </c>
      <c r="AX13" s="37">
        <f>AX4/AW4-1</f>
        <v>3.6056326596867194E-2</v>
      </c>
      <c r="AY13" s="109"/>
      <c r="AZ13" s="37">
        <f>AZ4/AX4-1</f>
        <v>1.7058028632420008E-2</v>
      </c>
      <c r="BA13" s="37">
        <f>BA4/AZ4-1</f>
        <v>4.528999460833405E-2</v>
      </c>
      <c r="BB13" s="37">
        <f>BB4/BA4-1</f>
        <v>3.4374769729570431E-2</v>
      </c>
      <c r="BC13" s="37">
        <f>BC4/BB4-1</f>
        <v>3.65093499554765E-2</v>
      </c>
      <c r="BD13" s="109"/>
      <c r="BE13" s="37">
        <f>BE4/BC4-1</f>
        <v>1.5326460481099646E-2</v>
      </c>
      <c r="BF13" s="37">
        <f>BF4/BE4-1</f>
        <v>3.38286062411155E-2</v>
      </c>
      <c r="BG13" s="37">
        <f>BG4/BF4-1</f>
        <v>2.9087754333698923E-2</v>
      </c>
      <c r="BH13" s="37">
        <f>BH4/BG4-1</f>
        <v>3.6918623146910967E-2</v>
      </c>
      <c r="BI13" s="109"/>
      <c r="BJ13" s="37">
        <f>BJ4/BH4-1</f>
        <v>2.6768319808556651E-2</v>
      </c>
      <c r="BK13" s="37">
        <f>BK4/BJ4-1</f>
        <v>2.3829443929841432E-2</v>
      </c>
      <c r="BL13" s="37">
        <f>BL4/BK4-1</f>
        <v>3.5007077295743372E-2</v>
      </c>
      <c r="BM13" s="37">
        <f>BM4/BL4-1</f>
        <v>2.5448341980599976E-2</v>
      </c>
      <c r="BN13" s="109"/>
      <c r="BO13" s="37">
        <f>BO4/BM4-1</f>
        <v>2.0059670300963894E-2</v>
      </c>
      <c r="BP13" s="37">
        <f>BP4/BO4-1</f>
        <v>1.8613866724175088E-2</v>
      </c>
      <c r="BQ13" s="37">
        <f>BQ4/BP4-1</f>
        <v>5.2717240284228417E-2</v>
      </c>
      <c r="BR13" s="37">
        <f>BR4/BQ4-1</f>
        <v>4.714858529104915E-2</v>
      </c>
      <c r="BS13" s="109"/>
      <c r="BT13" s="37">
        <f>BT4/BR4-1</f>
        <v>8.1456762855908194E-2</v>
      </c>
      <c r="BU13" s="37">
        <f>BU4/BT4-1</f>
        <v>4.9337358758629879E-2</v>
      </c>
      <c r="BV13" s="37">
        <f>BV4/BU4-1</f>
        <v>3.5413956145083025E-2</v>
      </c>
      <c r="BW13" s="37">
        <f>BW4/BV4-1</f>
        <v>4.9741027919948611E-2</v>
      </c>
      <c r="BX13" s="109"/>
      <c r="BY13" s="37">
        <f>BY4/BW4-1</f>
        <v>2.3716376659270511E-2</v>
      </c>
      <c r="BZ13" s="37">
        <f>BZ4/BY4-1</f>
        <v>3.7882748852109849E-2</v>
      </c>
      <c r="CA13" s="37">
        <f>CA4/BZ4-1</f>
        <v>4.8617853413691403E-2</v>
      </c>
      <c r="CB13" s="37">
        <f>CB4/CA4-1</f>
        <v>6.5789703544538281E-2</v>
      </c>
      <c r="CC13" s="109"/>
      <c r="CD13" s="37">
        <f>CD4/CB4-1</f>
        <v>3.155272172958079E-2</v>
      </c>
      <c r="CE13" s="37">
        <f>CE4/CD4-1</f>
        <v>3.6133091810468088E-2</v>
      </c>
      <c r="CF13" s="37">
        <f>CF4/CE4-1</f>
        <v>4.0217457980615823E-2</v>
      </c>
      <c r="CG13" s="37">
        <f>CG4/CF4-1</f>
        <v>6.8582717214232591E-2</v>
      </c>
      <c r="CH13" s="109"/>
      <c r="CI13" s="5">
        <f>CI4/CG4-1</f>
        <v>3.1807677715310678E-2</v>
      </c>
      <c r="CJ13" s="5">
        <f>CJ4/CI4-1</f>
        <v>2.687596940685677E-2</v>
      </c>
      <c r="CK13" s="37">
        <f>CK4/CJ4-1</f>
        <v>6.5691814891012834E-2</v>
      </c>
      <c r="CL13" s="37">
        <f>CL4/CK4-1</f>
        <v>4.411495179795466E-2</v>
      </c>
      <c r="CM13" s="647"/>
      <c r="CN13" s="5">
        <f>CN4/CL4-1</f>
        <v>6.2267783063303384E-2</v>
      </c>
      <c r="CO13" s="5">
        <f>CO4/CN4-1</f>
        <v>3.2228213870635569E-2</v>
      </c>
      <c r="CP13" s="5">
        <f>CP4/CO4-1</f>
        <v>1.336179295624329E-2</v>
      </c>
      <c r="CQ13" s="37">
        <f>CQ4/CP4-1</f>
        <v>1.4470469289746379E-2</v>
      </c>
      <c r="CR13" s="647"/>
      <c r="CS13" s="5">
        <f>CS4/CQ4-1</f>
        <v>-1.0581514855800833E-4</v>
      </c>
      <c r="CT13" s="5">
        <f>CT4/CS4-1</f>
        <v>2.6304641183392041E-2</v>
      </c>
      <c r="CU13" s="5">
        <f>CU4/CT4-1</f>
        <v>3.3994498295183861E-2</v>
      </c>
      <c r="CV13" s="5">
        <f>CV4/CU4-1</f>
        <v>1.7353907673947289E-2</v>
      </c>
      <c r="CW13" s="647"/>
    </row>
    <row r="14" spans="2:101" s="2" customFormat="1" outlineLevel="1">
      <c r="B14" s="26"/>
      <c r="C14" s="201" t="s">
        <v>207</v>
      </c>
      <c r="D14" s="107"/>
      <c r="E14" s="107"/>
      <c r="F14" s="107"/>
      <c r="G14" s="108"/>
      <c r="H14" s="108"/>
      <c r="I14" s="108"/>
      <c r="J14" s="108"/>
      <c r="K14" s="109"/>
      <c r="L14" s="110"/>
      <c r="M14" s="110"/>
      <c r="N14" s="110"/>
      <c r="O14" s="110"/>
      <c r="P14" s="34"/>
      <c r="Q14" s="37"/>
      <c r="R14" s="37"/>
      <c r="S14" s="37"/>
      <c r="T14" s="37"/>
      <c r="U14" s="34"/>
      <c r="V14" s="45"/>
      <c r="W14" s="45">
        <f>R10*(1+W15)</f>
        <v>11263.5648</v>
      </c>
      <c r="X14" s="45">
        <f>S10*(1+X15)</f>
        <v>12065.550000000001</v>
      </c>
      <c r="Y14" s="45">
        <f>T10*(1+Y15)</f>
        <v>12907.824999999993</v>
      </c>
      <c r="Z14" s="109"/>
      <c r="AA14" s="45">
        <f t="shared" ref="AA14:AH14" si="90">V10*(1+AA15)</f>
        <v>13333.3109</v>
      </c>
      <c r="AB14" s="45">
        <f t="shared" si="90"/>
        <v>14750.9208</v>
      </c>
      <c r="AC14" s="45">
        <f t="shared" si="90"/>
        <v>16103.572999999999</v>
      </c>
      <c r="AD14" s="45">
        <f t="shared" si="90"/>
        <v>17196.63</v>
      </c>
      <c r="AE14" s="50">
        <f t="shared" si="90"/>
        <v>61099.326000000001</v>
      </c>
      <c r="AF14" s="45">
        <f t="shared" si="90"/>
        <v>17836.879199999999</v>
      </c>
      <c r="AG14" s="45">
        <f t="shared" si="90"/>
        <v>19310.835599999999</v>
      </c>
      <c r="AH14" s="45">
        <f t="shared" si="90"/>
        <v>22472.049599999998</v>
      </c>
      <c r="AI14" s="45"/>
      <c r="AJ14" s="50"/>
      <c r="AK14" s="37"/>
      <c r="AL14" s="37"/>
      <c r="AM14" s="37"/>
      <c r="AN14" s="45">
        <f>AI10*(1+AN15)</f>
        <v>31189.162000000004</v>
      </c>
      <c r="AO14" s="109"/>
      <c r="AP14" s="45">
        <f>AK10*(1+AP15)</f>
        <v>32241.629856</v>
      </c>
      <c r="AQ14" s="45">
        <f>AL10*(1+AQ15)</f>
        <v>34267.131371999996</v>
      </c>
      <c r="AR14" s="45">
        <f>AM10*(1+AR15)</f>
        <v>35776.849407999995</v>
      </c>
      <c r="AS14" s="45">
        <f>AN10*(1+AS15)</f>
        <v>38085.463920000017</v>
      </c>
      <c r="AT14" s="50">
        <f>SUM(AP14:AS14)</f>
        <v>140371.07455600001</v>
      </c>
      <c r="AU14" s="45">
        <f>AP10*(1+AU15)</f>
        <v>39927.599999999999</v>
      </c>
      <c r="AV14" s="45">
        <f>AQ10*(1+AV15)</f>
        <v>41712.834799999997</v>
      </c>
      <c r="AW14" s="45">
        <f>AR10*(1+AW15)</f>
        <v>42964.9038</v>
      </c>
      <c r="AX14" s="45">
        <f>AS10*(1+AX15)</f>
        <v>44377.745600000009</v>
      </c>
      <c r="AY14" s="50">
        <f>SUM(AU14:AX14)</f>
        <v>168983.08419999998</v>
      </c>
      <c r="AZ14" s="45">
        <f>AZ10-AZ16</f>
        <v>47777.440000000002</v>
      </c>
      <c r="BA14" s="45">
        <f t="shared" ref="BA14:BC14" si="91">BA10-BA16</f>
        <v>49941.279999999999</v>
      </c>
      <c r="BB14" s="45">
        <f t="shared" si="91"/>
        <v>51658</v>
      </c>
      <c r="BC14" s="45">
        <f t="shared" si="91"/>
        <v>54543.28</v>
      </c>
      <c r="BD14" s="50">
        <f>SUM(AZ14:BC14)</f>
        <v>203920</v>
      </c>
      <c r="BE14" s="45">
        <f>BE10-BE16</f>
        <v>54860</v>
      </c>
      <c r="BF14" s="45">
        <f t="shared" ref="BF14:BH14" si="92">BF10-BF16</f>
        <v>56430</v>
      </c>
      <c r="BG14" s="45">
        <f t="shared" si="92"/>
        <v>58644</v>
      </c>
      <c r="BH14" s="45">
        <f t="shared" si="92"/>
        <v>60720</v>
      </c>
      <c r="BI14" s="50">
        <f>SUM(BE14:BH14)</f>
        <v>230654</v>
      </c>
      <c r="BJ14" s="45">
        <f>BJ10-BJ16</f>
        <v>61792.959999999999</v>
      </c>
      <c r="BK14" s="45">
        <f t="shared" ref="BK14:BM14" si="93">BK10-BK16</f>
        <v>63292.259999999995</v>
      </c>
      <c r="BL14" s="45">
        <f t="shared" si="93"/>
        <v>65547.319999999992</v>
      </c>
      <c r="BM14" s="45">
        <f t="shared" si="93"/>
        <v>67369.01999999999</v>
      </c>
      <c r="BN14" s="50">
        <f>SUM(BJ14:BM14)</f>
        <v>258001.55999999997</v>
      </c>
      <c r="BO14" s="45">
        <f>BO10-BO16</f>
        <v>69740.479999999996</v>
      </c>
      <c r="BP14" s="45">
        <f t="shared" ref="BP14:BR14" si="94">BP10-BP16</f>
        <v>71038.62</v>
      </c>
      <c r="BQ14" s="45">
        <f t="shared" si="94"/>
        <v>75579.149999999994</v>
      </c>
      <c r="BR14" s="45">
        <f t="shared" si="94"/>
        <v>78309.51999999999</v>
      </c>
      <c r="BS14" s="50">
        <f>SUM(BO14:BR14)</f>
        <v>294667.76999999996</v>
      </c>
      <c r="BT14" s="45">
        <f>BT10-BT16</f>
        <v>81436.48000000001</v>
      </c>
      <c r="BU14" s="45">
        <f t="shared" ref="BU14:BW14" si="95">BU10-BU16</f>
        <v>85075.88</v>
      </c>
      <c r="BV14" s="45">
        <f t="shared" si="95"/>
        <v>87706.040000000008</v>
      </c>
      <c r="BW14" s="45">
        <f t="shared" si="95"/>
        <v>91185.52</v>
      </c>
      <c r="BX14" s="50">
        <f>SUM(BT14:BW14)</f>
        <v>345403.92000000004</v>
      </c>
      <c r="BY14" s="45">
        <f>BY10-BY16</f>
        <v>96867</v>
      </c>
      <c r="BZ14" s="45">
        <f t="shared" ref="BZ14:CB14" si="96">BZ10-BZ16</f>
        <v>100413</v>
      </c>
      <c r="CA14" s="45">
        <f t="shared" si="96"/>
        <v>104803</v>
      </c>
      <c r="CB14" s="45">
        <f t="shared" si="96"/>
        <v>110014</v>
      </c>
      <c r="CC14" s="50">
        <f>SUM(BY14:CB14)</f>
        <v>412097</v>
      </c>
      <c r="CD14" s="45">
        <f>CD10-CD16</f>
        <v>113801</v>
      </c>
      <c r="CE14" s="45">
        <f t="shared" ref="CE14:CG14" si="97">CE10-CE16</f>
        <v>117748</v>
      </c>
      <c r="CF14" s="45">
        <f t="shared" si="97"/>
        <v>124421</v>
      </c>
      <c r="CG14" s="45">
        <f t="shared" si="97"/>
        <v>129618</v>
      </c>
      <c r="CH14" s="50">
        <f>SUM(CD14:CG14)</f>
        <v>485588</v>
      </c>
      <c r="CI14" s="45">
        <f>CI10-CI16</f>
        <v>135684</v>
      </c>
      <c r="CJ14" s="45">
        <f t="shared" ref="CJ14:CL14" si="98">CJ10-CJ16</f>
        <v>139780.24</v>
      </c>
      <c r="CK14" s="45">
        <f t="shared" si="98"/>
        <v>150914.84</v>
      </c>
      <c r="CL14" s="45">
        <f t="shared" si="98"/>
        <v>155423.41999999998</v>
      </c>
      <c r="CM14" s="112">
        <f>SUM(CI14:CL14)</f>
        <v>581802.5</v>
      </c>
      <c r="CN14" s="45">
        <f>CN10-CN16</f>
        <v>158129</v>
      </c>
      <c r="CO14" s="45">
        <f t="shared" ref="CO14:CP14" si="99">CO10-CO16</f>
        <v>163454</v>
      </c>
      <c r="CP14" s="45">
        <f t="shared" si="99"/>
        <v>170057.84</v>
      </c>
      <c r="CQ14" s="45">
        <f>CQ10-CQ16</f>
        <v>175245.91999999998</v>
      </c>
      <c r="CR14" s="112">
        <f>SUM(CN14:CQ14)</f>
        <v>666886.76</v>
      </c>
      <c r="CS14" s="64">
        <f>CN10*(1+CS15)</f>
        <v>181031.6145</v>
      </c>
      <c r="CT14" s="64">
        <f>CO10*(1+CT15)</f>
        <v>189798.72</v>
      </c>
      <c r="CU14" s="64">
        <f>CP10*(1+CU15)</f>
        <v>195069.38880000002</v>
      </c>
      <c r="CV14" s="64">
        <f>CQ10*(1+CV15)</f>
        <v>198816.86399999997</v>
      </c>
      <c r="CW14" s="112">
        <f>SUM(CS14:CV14)</f>
        <v>764716.5872999999</v>
      </c>
    </row>
    <row r="15" spans="2:101" s="2" customFormat="1" ht="10.15" outlineLevel="1">
      <c r="B15" s="26"/>
      <c r="C15" s="202" t="s">
        <v>0</v>
      </c>
      <c r="D15" s="107"/>
      <c r="E15" s="107"/>
      <c r="F15" s="107"/>
      <c r="G15" s="108"/>
      <c r="H15" s="108"/>
      <c r="I15" s="108"/>
      <c r="J15" s="108"/>
      <c r="K15" s="109"/>
      <c r="L15" s="110"/>
      <c r="M15" s="110"/>
      <c r="N15" s="110"/>
      <c r="O15" s="110"/>
      <c r="P15" s="34"/>
      <c r="Q15" s="37"/>
      <c r="R15" s="37"/>
      <c r="S15" s="37"/>
      <c r="T15" s="37"/>
      <c r="U15" s="34"/>
      <c r="V15" s="37"/>
      <c r="W15" s="37">
        <v>0.24</v>
      </c>
      <c r="X15" s="37">
        <v>0.25</v>
      </c>
      <c r="Y15" s="37">
        <v>0.25</v>
      </c>
      <c r="Z15" s="109"/>
      <c r="AA15" s="37">
        <v>0.27</v>
      </c>
      <c r="AB15" s="37">
        <v>0.26</v>
      </c>
      <c r="AC15" s="37">
        <v>0.22</v>
      </c>
      <c r="AD15" s="37">
        <v>0.24</v>
      </c>
      <c r="AE15" s="109">
        <v>0.24</v>
      </c>
      <c r="AF15" s="37">
        <v>0.24</v>
      </c>
      <c r="AG15" s="37">
        <v>0.26</v>
      </c>
      <c r="AH15" s="37">
        <v>0.26</v>
      </c>
      <c r="AI15" s="5"/>
      <c r="AJ15" s="109"/>
      <c r="AK15" s="233"/>
      <c r="AL15" s="37"/>
      <c r="AM15" s="37"/>
      <c r="AN15" s="37">
        <v>0.24</v>
      </c>
      <c r="AO15" s="109"/>
      <c r="AP15" s="37">
        <v>0.24</v>
      </c>
      <c r="AQ15" s="37">
        <v>0.22</v>
      </c>
      <c r="AR15" s="37">
        <v>0.22</v>
      </c>
      <c r="AS15" s="37">
        <v>0.2</v>
      </c>
      <c r="AT15" s="34"/>
      <c r="AU15" s="110">
        <v>0.2</v>
      </c>
      <c r="AV15" s="110">
        <v>0.18</v>
      </c>
      <c r="AW15" s="110">
        <v>0.17</v>
      </c>
      <c r="AX15" s="110">
        <v>0.15</v>
      </c>
      <c r="AY15" s="109">
        <f t="shared" ref="AY15:BD15" si="100">AY14/AT14-1</f>
        <v>0.20383123613252252</v>
      </c>
      <c r="AZ15" s="37">
        <f>AZ14/AU10-1</f>
        <v>0.15139984031845688</v>
      </c>
      <c r="BA15" s="37">
        <f>BA14/AV10-1</f>
        <v>0.14641718231927525</v>
      </c>
      <c r="BB15" s="37">
        <f>BB14/AW10-1</f>
        <v>0.13931499066634201</v>
      </c>
      <c r="BC15" s="37">
        <f>BC14/AX10-1</f>
        <v>0.16900893764396074</v>
      </c>
      <c r="BD15" s="109">
        <f t="shared" si="100"/>
        <v>0.20674800655579473</v>
      </c>
      <c r="BE15" s="37">
        <f>BE14/AZ10-1</f>
        <v>0.14824067593408086</v>
      </c>
      <c r="BF15" s="37">
        <f>BF14/BA10-1</f>
        <v>0.12992698625265509</v>
      </c>
      <c r="BG15" s="37">
        <f>BG14/BB10-1</f>
        <v>0.13523558790506796</v>
      </c>
      <c r="BH15" s="37">
        <f>BH14/BC10-1</f>
        <v>0.11324438134266956</v>
      </c>
      <c r="BI15" s="109">
        <f t="shared" ref="BI15" si="101">BI14/BD14-1</f>
        <v>0.13110043154178119</v>
      </c>
      <c r="BJ15" s="37">
        <f>BJ14/BE10-1</f>
        <v>0.1263755012759753</v>
      </c>
      <c r="BK15" s="37">
        <f>BK14/BF10-1</f>
        <v>0.12160659223817105</v>
      </c>
      <c r="BL15" s="37">
        <f>BL14/BG10-1</f>
        <v>0.11771570834185918</v>
      </c>
      <c r="BM15" s="37">
        <f>BM14/BH10-1</f>
        <v>0.10950296442687724</v>
      </c>
      <c r="BN15" s="34">
        <f t="shared" ref="BN15" si="102">BN14/BI14-1</f>
        <v>0.11856529693827111</v>
      </c>
      <c r="BO15" s="37">
        <f>BO14/BJ10-1</f>
        <v>0.10843517494845667</v>
      </c>
      <c r="BP15" s="37">
        <f>BP14/BK10-1</f>
        <v>0.10278860044652638</v>
      </c>
      <c r="BQ15" s="37">
        <f>BQ14/BL10-1</f>
        <v>0.13359112147289909</v>
      </c>
      <c r="BR15" s="37">
        <f>BR14/BM10-1</f>
        <v>0.14539480015948736</v>
      </c>
      <c r="BS15" s="34">
        <f t="shared" ref="BS15" si="103">BS14/BN14-1</f>
        <v>0.14211623371579618</v>
      </c>
      <c r="BT15" s="37">
        <f>BT14/BO10-1</f>
        <v>0.16770747778048012</v>
      </c>
      <c r="BU15" s="37">
        <f>BU14/BP10-1</f>
        <v>0.19760040383667388</v>
      </c>
      <c r="BV15" s="37">
        <f>BV14/BQ10-1</f>
        <v>0.16045284976081375</v>
      </c>
      <c r="BW15" s="37">
        <f>BW14/BR10-1</f>
        <v>0.16442445311885479</v>
      </c>
      <c r="BX15" s="34">
        <f t="shared" ref="BX15" si="104">BX14/BS14-1</f>
        <v>0.17218085982053655</v>
      </c>
      <c r="BY15" s="37">
        <f>BY14/BT10-1</f>
        <v>0.16867069273541335</v>
      </c>
      <c r="BZ15" s="37">
        <f>BZ14/BU10-1</f>
        <v>0.15449248688257011</v>
      </c>
      <c r="CA15" s="37">
        <f>CA14/BV10-1</f>
        <v>0.16375314748461056</v>
      </c>
      <c r="CB15" s="37">
        <f>CB14/BW10-1</f>
        <v>0.16373189675161237</v>
      </c>
      <c r="CC15" s="34">
        <f t="shared" ref="CC15" si="105">CC14/BX14-1</f>
        <v>0.19308721221229908</v>
      </c>
      <c r="CD15" s="37">
        <f>CD14/BY10-1</f>
        <v>0.16638822552707366</v>
      </c>
      <c r="CE15" s="37">
        <f>CE14/BZ10-1</f>
        <v>0.16394333896780444</v>
      </c>
      <c r="CF15" s="37">
        <f>CF14/CA10-1</f>
        <v>0.16769119593066351</v>
      </c>
      <c r="CG15" s="37">
        <f>CG14/CB10-1</f>
        <v>0.13935867233922861</v>
      </c>
      <c r="CH15" s="34">
        <f>CH14/CC14-1</f>
        <v>0.17833422713584413</v>
      </c>
      <c r="CI15" s="37">
        <f>CI14/CD10-1</f>
        <v>0.15671648153042184</v>
      </c>
      <c r="CJ15" s="37">
        <f>CJ14/CE10-1</f>
        <v>0.15023690988537131</v>
      </c>
      <c r="CK15" s="37">
        <f>CK14/CF10-1</f>
        <v>0.18484458785751845</v>
      </c>
      <c r="CL15" s="37">
        <f>CL14/CG10-1</f>
        <v>0.14435067516823974</v>
      </c>
      <c r="CM15" s="146">
        <f>CM14/CH14-1</f>
        <v>0.19814019292074758</v>
      </c>
      <c r="CN15" s="37">
        <f>CN14/CI10-1</f>
        <v>0.13204805131582709</v>
      </c>
      <c r="CO15" s="37">
        <f>CO14/CJ10-1</f>
        <v>0.13210782860590897</v>
      </c>
      <c r="CP15" s="37">
        <f>CP14/CK10-1</f>
        <v>0.10524171734101184</v>
      </c>
      <c r="CQ15" s="37">
        <f>CQ14/CL10-1</f>
        <v>8.4285433385829833E-2</v>
      </c>
      <c r="CR15" s="146">
        <f>CR14/CM10-1</f>
        <v>0.11230752936565191</v>
      </c>
      <c r="CS15" s="648">
        <v>5.0500000000000003E-2</v>
      </c>
      <c r="CT15" s="648">
        <v>5.5E-2</v>
      </c>
      <c r="CU15" s="648">
        <v>7.0000000000000007E-2</v>
      </c>
      <c r="CV15" s="648">
        <v>7.4999999999999997E-2</v>
      </c>
      <c r="CW15" s="146">
        <f>CW14/CR10-1</f>
        <v>6.2864016149511759E-2</v>
      </c>
    </row>
    <row r="16" spans="2:101" s="2" customFormat="1" outlineLevel="1">
      <c r="B16" s="26"/>
      <c r="C16" s="201" t="s">
        <v>208</v>
      </c>
      <c r="D16" s="107"/>
      <c r="E16" s="107"/>
      <c r="F16" s="107"/>
      <c r="G16" s="108"/>
      <c r="H16" s="108"/>
      <c r="I16" s="108"/>
      <c r="J16" s="108"/>
      <c r="K16" s="109"/>
      <c r="L16" s="110"/>
      <c r="M16" s="110"/>
      <c r="N16" s="110"/>
      <c r="O16" s="110"/>
      <c r="P16" s="34"/>
      <c r="Q16" s="37"/>
      <c r="R16" s="37"/>
      <c r="S16" s="37"/>
      <c r="T16" s="37"/>
      <c r="U16" s="34"/>
      <c r="V16" s="45"/>
      <c r="W16" s="45">
        <f>W10-W14</f>
        <v>443.51519999999982</v>
      </c>
      <c r="X16" s="45">
        <f>X10-X14</f>
        <v>1134.0999999999985</v>
      </c>
      <c r="Y16" s="45">
        <f>Y10-Y14</f>
        <v>960.42500000000655</v>
      </c>
      <c r="Z16" s="109"/>
      <c r="AA16" s="45">
        <f>AA10-AA14</f>
        <v>1051.2690999999995</v>
      </c>
      <c r="AB16" s="45">
        <v>1000</v>
      </c>
      <c r="AC16" s="45">
        <v>1000</v>
      </c>
      <c r="AD16" s="45">
        <f>AD10-AD14</f>
        <v>3111.0499999999993</v>
      </c>
      <c r="AE16" s="50">
        <f>AE10-AE14</f>
        <v>6753.9539999999979</v>
      </c>
      <c r="AF16" s="45">
        <f>AF10-AF14</f>
        <v>3302.4007999999994</v>
      </c>
      <c r="AG16" s="45">
        <f>AG10-AG14</f>
        <v>3268.2044000000024</v>
      </c>
      <c r="AH16" s="45">
        <f>AH10-AH14</f>
        <v>1565.0704000000005</v>
      </c>
      <c r="AI16" s="45"/>
      <c r="AJ16" s="109"/>
      <c r="AK16" s="37"/>
      <c r="AL16" s="37"/>
      <c r="AM16" s="37"/>
      <c r="AN16" s="45">
        <f>AN10-AN14</f>
        <v>548.72460000000865</v>
      </c>
      <c r="AO16" s="109"/>
      <c r="AP16" s="45">
        <f>AP10-AP14</f>
        <v>1031.3701440000004</v>
      </c>
      <c r="AQ16" s="45">
        <f>AQ10-AQ14</f>
        <v>1082.7286280000044</v>
      </c>
      <c r="AR16" s="45">
        <f>AR10-AR14</f>
        <v>945.29059200000484</v>
      </c>
      <c r="AS16" s="45"/>
      <c r="AT16" s="50">
        <f>SUM(AP16:AS16)</f>
        <v>3059.3893640000097</v>
      </c>
      <c r="AU16" s="76">
        <f>AU10-AU14</f>
        <v>1567.4900000000052</v>
      </c>
      <c r="AV16" s="76">
        <f>AV10-AV14</f>
        <v>1850.0852000000014</v>
      </c>
      <c r="AW16" s="76">
        <f>AW10-AW14</f>
        <v>2376.3761999999988</v>
      </c>
      <c r="AX16" s="76">
        <f>AX10-AX14</f>
        <v>2279.9643999999826</v>
      </c>
      <c r="AY16" s="50">
        <f>SUM(AU16:AX16)</f>
        <v>8073.9157999999879</v>
      </c>
      <c r="AZ16" s="253"/>
      <c r="BA16" s="75"/>
      <c r="BB16" s="75"/>
      <c r="BC16" s="75"/>
      <c r="BD16" s="50">
        <f>SUM(AZ16:BC16)</f>
        <v>0</v>
      </c>
      <c r="BE16" s="75"/>
      <c r="BF16" s="75"/>
      <c r="BG16" s="75"/>
      <c r="BH16" s="75"/>
      <c r="BI16" s="50">
        <f>SUM(BE16:BH16)</f>
        <v>0</v>
      </c>
      <c r="BJ16" s="76">
        <v>1125</v>
      </c>
      <c r="BK16" s="76">
        <v>1125</v>
      </c>
      <c r="BL16" s="76">
        <v>1125</v>
      </c>
      <c r="BM16" s="253">
        <v>1000</v>
      </c>
      <c r="BN16" s="50">
        <f>SUM(BJ16:BM16)</f>
        <v>4375</v>
      </c>
      <c r="BO16" s="75"/>
      <c r="BP16" s="75"/>
      <c r="BQ16" s="75"/>
      <c r="BR16" s="75"/>
      <c r="BS16" s="536">
        <f>SUM(BO16:BR16)</f>
        <v>0</v>
      </c>
      <c r="BT16" s="523">
        <v>1450</v>
      </c>
      <c r="BU16" s="523">
        <v>1900</v>
      </c>
      <c r="BV16" s="523">
        <v>2350</v>
      </c>
      <c r="BW16" s="523">
        <f>2900+450</f>
        <v>3350</v>
      </c>
      <c r="BX16" s="536">
        <f>SUM(BT16:BW16)</f>
        <v>9050</v>
      </c>
      <c r="BY16" s="523">
        <v>700</v>
      </c>
      <c r="BZ16" s="523">
        <v>750</v>
      </c>
      <c r="CA16" s="523">
        <f>750+1000</f>
        <v>1750</v>
      </c>
      <c r="CB16" s="538">
        <f>800+1250+1700</f>
        <v>3750</v>
      </c>
      <c r="CC16" s="536">
        <f>SUM(BY16:CB16)</f>
        <v>6950</v>
      </c>
      <c r="CD16" s="538">
        <f>1600+1900</f>
        <v>3500</v>
      </c>
      <c r="CE16" s="538">
        <f>1675+2100</f>
        <v>3775</v>
      </c>
      <c r="CF16" s="538">
        <f>750+2200</f>
        <v>2950</v>
      </c>
      <c r="CG16" s="538">
        <f>2300+3900</f>
        <v>6200</v>
      </c>
      <c r="CH16" s="787">
        <f>SUM(CD16:CG16)</f>
        <v>16425</v>
      </c>
      <c r="CI16" s="538">
        <v>4000</v>
      </c>
      <c r="CJ16" s="538">
        <f>4000+600</f>
        <v>4600</v>
      </c>
      <c r="CK16" s="538">
        <f>750+2200</f>
        <v>2950</v>
      </c>
      <c r="CL16" s="538">
        <f>2300+3900</f>
        <v>6200</v>
      </c>
      <c r="CM16" s="112">
        <f>SUM(CI16:CL16)</f>
        <v>17750</v>
      </c>
      <c r="CN16" s="538">
        <f>1200+6000+7000</f>
        <v>14200</v>
      </c>
      <c r="CO16" s="538">
        <v>16450</v>
      </c>
      <c r="CP16" s="538">
        <f>6250-3000+10000-1000</f>
        <v>12250</v>
      </c>
      <c r="CQ16" s="538">
        <f>1000+10000-1300</f>
        <v>9700</v>
      </c>
      <c r="CR16" s="112">
        <f>SUM(CN16:CQ16)</f>
        <v>52600</v>
      </c>
      <c r="CS16" s="82">
        <f>5000-500-500</f>
        <v>4000</v>
      </c>
      <c r="CT16" s="82">
        <v>0</v>
      </c>
      <c r="CU16" s="82">
        <v>0</v>
      </c>
      <c r="CV16" s="82">
        <v>0</v>
      </c>
      <c r="CW16" s="112">
        <f>SUM(CS16:CV16)</f>
        <v>4000</v>
      </c>
    </row>
    <row r="17" spans="2:107" s="2" customFormat="1" outlineLevel="1">
      <c r="B17" s="26"/>
      <c r="C17" s="202" t="s">
        <v>0</v>
      </c>
      <c r="D17" s="107"/>
      <c r="E17" s="107"/>
      <c r="F17" s="107"/>
      <c r="G17" s="108"/>
      <c r="H17" s="108"/>
      <c r="I17" s="108"/>
      <c r="J17" s="108"/>
      <c r="K17" s="109"/>
      <c r="L17" s="110"/>
      <c r="M17" s="110"/>
      <c r="N17" s="110"/>
      <c r="O17" s="110"/>
      <c r="P17" s="34"/>
      <c r="Q17" s="37"/>
      <c r="R17" s="37"/>
      <c r="S17" s="37"/>
      <c r="T17" s="37"/>
      <c r="U17" s="34"/>
      <c r="V17" s="37"/>
      <c r="W17" s="37">
        <f>W12-W15</f>
        <v>4.8826358063834174E-2</v>
      </c>
      <c r="X17" s="37">
        <f>X12-X15</f>
        <v>0.11749360783387397</v>
      </c>
      <c r="Y17" s="37">
        <f>Y12-Y15</f>
        <v>9.3008020328754659E-2</v>
      </c>
      <c r="Z17" s="109"/>
      <c r="AA17" s="37">
        <f t="shared" ref="AA17:AH17" si="106">AA12-AA15</f>
        <v>0.10013355024969828</v>
      </c>
      <c r="AB17" s="37">
        <f t="shared" si="106"/>
        <v>4.9127468164563703E-2</v>
      </c>
      <c r="AC17" s="37">
        <f t="shared" si="106"/>
        <v>0.13116915978832774</v>
      </c>
      <c r="AD17" s="37">
        <f t="shared" si="106"/>
        <v>0.22432895282389631</v>
      </c>
      <c r="AE17" s="109">
        <f t="shared" si="106"/>
        <v>0.13707030025175726</v>
      </c>
      <c r="AF17" s="37">
        <f t="shared" si="106"/>
        <v>0.22957922998099356</v>
      </c>
      <c r="AG17" s="37">
        <f t="shared" si="106"/>
        <v>0.21324491748042229</v>
      </c>
      <c r="AH17" s="37">
        <f t="shared" si="106"/>
        <v>8.7752952627872416E-2</v>
      </c>
      <c r="AI17" s="37"/>
      <c r="AJ17" s="109"/>
      <c r="AK17" s="37"/>
      <c r="AL17" s="37"/>
      <c r="AM17" s="37"/>
      <c r="AN17" s="37">
        <f>AN12-AN15</f>
        <v>2.1815863600311181E-2</v>
      </c>
      <c r="AO17" s="109"/>
      <c r="AP17" s="37">
        <f>AP8-AP15</f>
        <v>3.7514772452399869E-2</v>
      </c>
      <c r="AQ17" s="37">
        <f>AQ8-AQ15</f>
        <v>2.9067524115755611E-2</v>
      </c>
      <c r="AR17" s="37">
        <f>AR8-AR15</f>
        <v>2.1432350950593787E-2</v>
      </c>
      <c r="AS17" s="37">
        <v>0</v>
      </c>
      <c r="AT17" s="109"/>
      <c r="AU17" s="37"/>
      <c r="AV17" s="37"/>
      <c r="AW17" s="37"/>
      <c r="AX17" s="37"/>
      <c r="AY17" s="50"/>
      <c r="AZ17" s="37"/>
      <c r="BA17" s="37"/>
      <c r="BB17" s="37"/>
      <c r="BC17" s="37"/>
      <c r="BD17" s="50"/>
      <c r="BE17" s="37"/>
      <c r="BF17" s="37"/>
      <c r="BG17" s="37"/>
      <c r="BH17" s="37"/>
      <c r="BI17" s="50"/>
      <c r="BJ17" s="37"/>
      <c r="BK17" s="37"/>
      <c r="BL17" s="37"/>
      <c r="BM17" s="37"/>
      <c r="BN17" s="50"/>
      <c r="BO17" s="37"/>
      <c r="BP17" s="37"/>
      <c r="BQ17" s="37"/>
      <c r="BR17" s="37"/>
      <c r="BS17" s="50"/>
      <c r="BT17" s="37"/>
      <c r="BU17" s="37"/>
      <c r="BV17" s="37"/>
      <c r="BW17" s="37"/>
      <c r="BX17" s="50"/>
      <c r="BY17" s="37"/>
      <c r="BZ17" s="37"/>
      <c r="CA17" s="37"/>
      <c r="CB17" s="5"/>
      <c r="CC17" s="50"/>
      <c r="CD17" s="5"/>
      <c r="CE17" s="5"/>
      <c r="CF17" s="5"/>
      <c r="CG17" s="5"/>
      <c r="CH17" s="112"/>
      <c r="CI17" s="5"/>
      <c r="CJ17" s="5"/>
      <c r="CK17" s="5"/>
      <c r="CL17" s="5"/>
      <c r="CM17" s="112"/>
      <c r="CN17" s="5"/>
      <c r="CO17" s="5"/>
      <c r="CP17" s="5"/>
      <c r="CQ17" s="5"/>
      <c r="CR17" s="112"/>
      <c r="CS17" s="5"/>
      <c r="CT17" s="5"/>
      <c r="CU17" s="5"/>
      <c r="CV17" s="5"/>
      <c r="CW17" s="112"/>
    </row>
    <row r="18" spans="2:107" ht="13.15" outlineLevel="1">
      <c r="B18" s="14"/>
      <c r="C18" t="s">
        <v>100</v>
      </c>
      <c r="D18" s="50"/>
      <c r="E18" s="50"/>
      <c r="F18" s="50"/>
      <c r="G18" s="45"/>
      <c r="H18" s="45"/>
      <c r="I18" s="45"/>
      <c r="J18" s="45"/>
      <c r="K18" s="50">
        <f t="shared" ref="K18:BC18" si="107">K4-K10</f>
        <v>5218.4900000000016</v>
      </c>
      <c r="L18" s="45">
        <f t="shared" si="107"/>
        <v>1620.8899999999994</v>
      </c>
      <c r="M18" s="45">
        <f t="shared" si="107"/>
        <v>2112</v>
      </c>
      <c r="N18" s="45">
        <f t="shared" si="107"/>
        <v>1830.4599999999991</v>
      </c>
      <c r="O18" s="45">
        <f t="shared" si="107"/>
        <v>1985.8499999999985</v>
      </c>
      <c r="P18" s="50">
        <f t="shared" si="107"/>
        <v>7549.1999999999971</v>
      </c>
      <c r="Q18" s="45">
        <f t="shared" si="107"/>
        <v>1843.7399999999998</v>
      </c>
      <c r="R18" s="45">
        <f t="shared" si="107"/>
        <v>1860.4799999999996</v>
      </c>
      <c r="S18" s="45">
        <f t="shared" si="107"/>
        <v>1838.5599999999995</v>
      </c>
      <c r="T18" s="76">
        <f t="shared" si="107"/>
        <v>1592.7400000000052</v>
      </c>
      <c r="U18" s="50">
        <f t="shared" si="107"/>
        <v>7135.5200000000041</v>
      </c>
      <c r="V18" s="45">
        <f t="shared" si="107"/>
        <v>2150.33</v>
      </c>
      <c r="W18" s="45">
        <f t="shared" si="107"/>
        <v>2229.92</v>
      </c>
      <c r="X18" s="45">
        <f t="shared" si="107"/>
        <v>2329.3500000000004</v>
      </c>
      <c r="Y18" s="45">
        <f t="shared" si="107"/>
        <v>1985.75</v>
      </c>
      <c r="Z18" s="50">
        <f t="shared" si="107"/>
        <v>8695.3499999999985</v>
      </c>
      <c r="AA18" s="45">
        <f t="shared" si="107"/>
        <v>2149.42</v>
      </c>
      <c r="AB18" s="45">
        <f t="shared" si="107"/>
        <v>2494.9400000000005</v>
      </c>
      <c r="AC18" s="45">
        <f t="shared" si="107"/>
        <v>2432.0400000000009</v>
      </c>
      <c r="AD18" s="45">
        <f t="shared" si="107"/>
        <v>2176.3199999999997</v>
      </c>
      <c r="AE18" s="50">
        <f t="shared" si="107"/>
        <v>9252.7200000000012</v>
      </c>
      <c r="AF18" s="45">
        <f t="shared" si="107"/>
        <v>2612.7200000000012</v>
      </c>
      <c r="AG18" s="45">
        <f t="shared" si="107"/>
        <v>3078.9599999999991</v>
      </c>
      <c r="AH18" s="45">
        <f t="shared" si="107"/>
        <v>2970.880000000001</v>
      </c>
      <c r="AI18" s="45">
        <f t="shared" si="107"/>
        <v>2820.4499999999971</v>
      </c>
      <c r="AJ18" s="50">
        <f t="shared" si="107"/>
        <v>11483.009999999995</v>
      </c>
      <c r="AK18" s="45">
        <f t="shared" si="107"/>
        <v>2937.6856000000007</v>
      </c>
      <c r="AL18" s="45">
        <f t="shared" si="107"/>
        <v>3012.1874000000025</v>
      </c>
      <c r="AM18" s="45">
        <f t="shared" si="107"/>
        <v>3180.7136000000028</v>
      </c>
      <c r="AN18" s="45">
        <f t="shared" si="107"/>
        <v>3664.1133999999875</v>
      </c>
      <c r="AO18" s="50">
        <f t="shared" si="107"/>
        <v>12794.699999999997</v>
      </c>
      <c r="AP18" s="45">
        <f t="shared" si="107"/>
        <v>3697</v>
      </c>
      <c r="AQ18" s="45">
        <f t="shared" si="107"/>
        <v>3496.1399999999994</v>
      </c>
      <c r="AR18" s="45">
        <f t="shared" si="107"/>
        <v>3631.8600000000006</v>
      </c>
      <c r="AS18" s="45">
        <f t="shared" si="107"/>
        <v>3758.6559999999881</v>
      </c>
      <c r="AT18" s="50">
        <f t="shared" si="107"/>
        <v>14583.655999999988</v>
      </c>
      <c r="AU18" s="45">
        <f t="shared" si="107"/>
        <v>4103.9099999999962</v>
      </c>
      <c r="AV18" s="45">
        <f t="shared" si="107"/>
        <v>3788.0800000000017</v>
      </c>
      <c r="AW18" s="45">
        <f t="shared" si="107"/>
        <v>3942.7200000000012</v>
      </c>
      <c r="AX18" s="45">
        <f t="shared" si="107"/>
        <v>4403.2900000000081</v>
      </c>
      <c r="AY18" s="50">
        <v>16096</v>
      </c>
      <c r="AZ18" s="45">
        <f>AZ4-AZ10</f>
        <v>4154.5599999999977</v>
      </c>
      <c r="BA18" s="45">
        <f t="shared" si="107"/>
        <v>4342.7200000000012</v>
      </c>
      <c r="BB18" s="45">
        <f t="shared" si="107"/>
        <v>4492</v>
      </c>
      <c r="BC18" s="45">
        <f t="shared" si="107"/>
        <v>3656.7200000000012</v>
      </c>
      <c r="BD18" s="50">
        <v>16165</v>
      </c>
      <c r="BE18" s="45">
        <f>BE4-BE10</f>
        <v>4232</v>
      </c>
      <c r="BF18" s="45">
        <f>BF4-BF10</f>
        <v>4661</v>
      </c>
      <c r="BG18" s="45">
        <f>BG4-BG10</f>
        <v>4224</v>
      </c>
      <c r="BH18" s="45">
        <f>BH4-BH10</f>
        <v>4469</v>
      </c>
      <c r="BI18" s="50">
        <f>SUM(BE18:BH18)</f>
        <v>17586</v>
      </c>
      <c r="BJ18" s="45">
        <f>BJ4-BJ10</f>
        <v>4016.0400000000009</v>
      </c>
      <c r="BK18" s="45">
        <f t="shared" ref="BK18:BM18" si="108">BK4-BK10</f>
        <v>4111.7400000000052</v>
      </c>
      <c r="BL18" s="45">
        <f t="shared" si="108"/>
        <v>4255.6800000000076</v>
      </c>
      <c r="BM18" s="45">
        <f t="shared" si="108"/>
        <v>4363.9800000000105</v>
      </c>
      <c r="BN18" s="50">
        <f>SUM(BJ18:BM18)</f>
        <v>16747.440000000024</v>
      </c>
      <c r="BO18" s="45">
        <f>BO4-BO10</f>
        <v>4451.5200000000041</v>
      </c>
      <c r="BP18" s="45">
        <f t="shared" ref="BP18:BQ18" si="109">BP4-BP10</f>
        <v>4534.3800000000047</v>
      </c>
      <c r="BQ18" s="45">
        <f t="shared" si="109"/>
        <v>3977.8500000000058</v>
      </c>
      <c r="BR18" s="45">
        <f>BR4-BR10</f>
        <v>4998.4800000000105</v>
      </c>
      <c r="BS18" s="50">
        <f>SUM(BO18:BR18)</f>
        <v>17962.230000000025</v>
      </c>
      <c r="BT18" s="45">
        <f>BT4-BT10</f>
        <v>7207.5199999999895</v>
      </c>
      <c r="BU18" s="45">
        <f t="shared" ref="BU18:BW18" si="110">BU4-BU10</f>
        <v>7563.1199999999953</v>
      </c>
      <c r="BV18" s="45">
        <f t="shared" si="110"/>
        <v>7830.9599999999919</v>
      </c>
      <c r="BW18" s="45">
        <f t="shared" si="110"/>
        <v>8220.4799999999959</v>
      </c>
      <c r="BX18" s="50">
        <f>SUM(BT18:BW18)</f>
        <v>30822.079999999973</v>
      </c>
      <c r="BY18" s="523">
        <f>BY4-BY10</f>
        <v>7626</v>
      </c>
      <c r="BZ18" s="523">
        <f t="shared" ref="BZ18:CJ18" si="111">BZ4-BZ10</f>
        <v>8015</v>
      </c>
      <c r="CA18" s="523">
        <f t="shared" si="111"/>
        <v>7933</v>
      </c>
      <c r="CB18" s="538">
        <f t="shared" si="111"/>
        <v>8254</v>
      </c>
      <c r="CC18" s="50">
        <f>SUM(BY18:CB18)</f>
        <v>31828</v>
      </c>
      <c r="CD18" s="538">
        <f t="shared" si="111"/>
        <v>8567</v>
      </c>
      <c r="CE18" s="538">
        <f t="shared" si="111"/>
        <v>8893</v>
      </c>
      <c r="CF18" s="538">
        <f t="shared" si="111"/>
        <v>8290</v>
      </c>
      <c r="CG18" s="538">
        <f t="shared" si="111"/>
        <v>9147</v>
      </c>
      <c r="CH18" s="112">
        <f>SUM(CD18:CG18)</f>
        <v>34897</v>
      </c>
      <c r="CI18" s="538">
        <f t="shared" si="111"/>
        <v>9892</v>
      </c>
      <c r="CJ18" s="538">
        <f t="shared" si="111"/>
        <v>9215.7600000000093</v>
      </c>
      <c r="CK18" s="538">
        <f t="shared" ref="CK18:CL18" si="112">CK4-CK10</f>
        <v>9821.1600000000035</v>
      </c>
      <c r="CL18" s="538">
        <f t="shared" si="112"/>
        <v>9283.5800000000163</v>
      </c>
      <c r="CM18" s="112">
        <f>SUM(CI18:CL18)</f>
        <v>38212.500000000029</v>
      </c>
      <c r="CN18" s="538">
        <v>9220</v>
      </c>
      <c r="CO18" s="538">
        <f t="shared" ref="CO18:CQ18" si="113">CO4-CO10</f>
        <v>7496</v>
      </c>
      <c r="CP18" s="538">
        <f t="shared" si="113"/>
        <v>7596.1600000000035</v>
      </c>
      <c r="CQ18" s="538">
        <f t="shared" si="113"/>
        <v>7706.0800000000163</v>
      </c>
      <c r="CR18" s="112">
        <f>SUM(CN18:CQ18)</f>
        <v>32018.24000000002</v>
      </c>
      <c r="CS18" s="541">
        <v>7600</v>
      </c>
      <c r="CT18" s="541">
        <v>7900</v>
      </c>
      <c r="CU18" s="541">
        <v>9350</v>
      </c>
      <c r="CV18" s="541">
        <v>9150</v>
      </c>
      <c r="CW18" s="112">
        <f>SUM(CS18:CV18)</f>
        <v>34000</v>
      </c>
    </row>
    <row r="19" spans="2:107" s="857" customFormat="1" ht="21" customHeight="1" outlineLevel="1">
      <c r="B19" s="918"/>
      <c r="C19" s="857" t="s">
        <v>114</v>
      </c>
      <c r="D19" s="919"/>
      <c r="E19" s="919"/>
      <c r="F19" s="919"/>
      <c r="G19" s="920"/>
      <c r="H19" s="920"/>
      <c r="I19" s="920"/>
      <c r="J19" s="920"/>
      <c r="K19" s="919"/>
      <c r="L19" s="920"/>
      <c r="M19" s="920"/>
      <c r="N19" s="920"/>
      <c r="O19" s="920"/>
      <c r="P19" s="919"/>
      <c r="Q19" s="920"/>
      <c r="R19" s="920"/>
      <c r="S19" s="920"/>
      <c r="T19" s="920"/>
      <c r="U19" s="919"/>
      <c r="V19" s="920"/>
      <c r="W19" s="920"/>
      <c r="X19" s="920"/>
      <c r="Y19" s="920"/>
      <c r="Z19" s="919"/>
      <c r="AA19" s="920"/>
      <c r="AB19" s="920"/>
      <c r="AC19" s="920"/>
      <c r="AD19" s="920"/>
      <c r="AE19" s="919"/>
      <c r="AF19" s="920"/>
      <c r="AG19" s="920"/>
      <c r="AH19" s="920"/>
      <c r="AI19" s="920"/>
      <c r="AJ19" s="919"/>
      <c r="AK19" s="858">
        <f t="shared" ref="AK19:AT19" si="114">AK18/AK4</f>
        <v>0.10151303085801171</v>
      </c>
      <c r="AL19" s="858">
        <f t="shared" si="114"/>
        <v>9.6854900321543494E-2</v>
      </c>
      <c r="AM19" s="858">
        <f t="shared" si="114"/>
        <v>9.7850046145327108E-2</v>
      </c>
      <c r="AN19" s="858">
        <f t="shared" si="114"/>
        <v>0.10350018078074649</v>
      </c>
      <c r="AO19" s="859">
        <f t="shared" si="114"/>
        <v>9.9999999999999978E-2</v>
      </c>
      <c r="AP19" s="860">
        <f t="shared" si="114"/>
        <v>0.1</v>
      </c>
      <c r="AQ19" s="860">
        <f t="shared" si="114"/>
        <v>8.9999999999999983E-2</v>
      </c>
      <c r="AR19" s="860">
        <f t="shared" si="114"/>
        <v>9.0000000000000011E-2</v>
      </c>
      <c r="AS19" s="860">
        <f t="shared" si="114"/>
        <v>8.8756399357702562E-2</v>
      </c>
      <c r="AT19" s="861">
        <f t="shared" si="114"/>
        <v>9.1999999999999929E-2</v>
      </c>
      <c r="AU19" s="860">
        <f>AU18/AU4</f>
        <v>8.9999999999999913E-2</v>
      </c>
      <c r="AV19" s="860">
        <f>AV18/AV4</f>
        <v>8.0000000000000043E-2</v>
      </c>
      <c r="AW19" s="860">
        <f>AW18/AW4</f>
        <v>8.0000000000000029E-2</v>
      </c>
      <c r="AX19" s="860">
        <f>AX18/AX4</f>
        <v>8.6235874738058563E-2</v>
      </c>
      <c r="AY19" s="919"/>
      <c r="AZ19" s="860">
        <f>AZ18/AZ4</f>
        <v>7.999999999999996E-2</v>
      </c>
      <c r="BA19" s="860">
        <f>BA18/BA4</f>
        <v>8.0000000000000016E-2</v>
      </c>
      <c r="BB19" s="860">
        <f>BB18/BB4</f>
        <v>0.08</v>
      </c>
      <c r="BC19" s="860">
        <f>BC18/BC4</f>
        <v>6.2830240549828192E-2</v>
      </c>
      <c r="BD19" s="919"/>
      <c r="BE19" s="860">
        <f>BE18/BE4</f>
        <v>7.1617139375888442E-2</v>
      </c>
      <c r="BF19" s="860">
        <f>BF18/BF4</f>
        <v>7.6296017416640743E-2</v>
      </c>
      <c r="BG19" s="860">
        <f>BG18/BG4</f>
        <v>6.7188394731819048E-2</v>
      </c>
      <c r="BH19" s="860">
        <f>BH18/BH4</f>
        <v>6.8554510730337942E-2</v>
      </c>
      <c r="BI19" s="919"/>
      <c r="BJ19" s="860">
        <f>BJ18/BJ4</f>
        <v>6.0000000000000012E-2</v>
      </c>
      <c r="BK19" s="860">
        <f>BK18/BK4</f>
        <v>6.0000000000000074E-2</v>
      </c>
      <c r="BL19" s="860">
        <f>BL18/BL4</f>
        <v>6.0000000000000109E-2</v>
      </c>
      <c r="BM19" s="860">
        <f>BM18/BM4</f>
        <v>6.0000000000000143E-2</v>
      </c>
      <c r="BN19" s="919"/>
      <c r="BO19" s="860">
        <f>BO18/BO4</f>
        <v>6.0000000000000053E-2</v>
      </c>
      <c r="BP19" s="860">
        <f>BP18/BP4</f>
        <v>6.000000000000006E-2</v>
      </c>
      <c r="BQ19" s="860">
        <f>BQ18/BQ4</f>
        <v>5.0000000000000072E-2</v>
      </c>
      <c r="BR19" s="860">
        <f>BR18/BR4</f>
        <v>6.0000000000000123E-2</v>
      </c>
      <c r="BS19" s="919"/>
      <c r="BT19" s="860">
        <f>BT18/BT4</f>
        <v>7.9999999999999877E-2</v>
      </c>
      <c r="BU19" s="860">
        <f>BU18/BU4</f>
        <v>7.9999999999999946E-2</v>
      </c>
      <c r="BV19" s="860">
        <f>BV18/BV4</f>
        <v>7.9999999999999918E-2</v>
      </c>
      <c r="BW19" s="860">
        <f>BW18/BW4</f>
        <v>7.999999999999996E-2</v>
      </c>
      <c r="BX19" s="919"/>
      <c r="BY19" s="860">
        <f t="shared" ref="BY19:CI19" si="115">BY18/BY4</f>
        <v>7.2495318129533332E-2</v>
      </c>
      <c r="BZ19" s="860">
        <f t="shared" si="115"/>
        <v>7.3412225906318129E-2</v>
      </c>
      <c r="CA19" s="860">
        <f t="shared" si="115"/>
        <v>6.9292315217581182E-2</v>
      </c>
      <c r="CB19" s="862">
        <f t="shared" si="115"/>
        <v>6.7645757183366392E-2</v>
      </c>
      <c r="CC19" s="921">
        <f t="shared" si="115"/>
        <v>7.0591627391183812E-2</v>
      </c>
      <c r="CD19" s="862">
        <f t="shared" si="115"/>
        <v>6.8063367972796898E-2</v>
      </c>
      <c r="CE19" s="862">
        <f t="shared" si="115"/>
        <v>6.8189485952643847E-2</v>
      </c>
      <c r="CF19" s="862">
        <f t="shared" si="115"/>
        <v>6.1108203536757062E-2</v>
      </c>
      <c r="CG19" s="862">
        <f t="shared" si="115"/>
        <v>6.3097989169799612E-2</v>
      </c>
      <c r="CH19" s="921">
        <f t="shared" si="115"/>
        <v>6.4995995604477469E-2</v>
      </c>
      <c r="CI19" s="862">
        <f t="shared" si="115"/>
        <v>6.6133604321548911E-2</v>
      </c>
      <c r="CJ19" s="862">
        <f t="shared" ref="CJ19" si="116">CJ18/CJ4</f>
        <v>6.000000000000006E-2</v>
      </c>
      <c r="CK19" s="862">
        <f>CK18/CK4</f>
        <v>6.0000000000000019E-2</v>
      </c>
      <c r="CL19" s="862">
        <f>CL18/CL4</f>
        <v>5.4319483695811265E-2</v>
      </c>
      <c r="CM19" s="921">
        <f>CM18/CM4</f>
        <v>5.9916270099488099E-2</v>
      </c>
      <c r="CN19" s="862">
        <f>CN18/CN4</f>
        <v>5.0785187470049412E-2</v>
      </c>
      <c r="CO19" s="862">
        <f t="shared" ref="CO19" si="117">CO18/CO4</f>
        <v>0.04</v>
      </c>
      <c r="CP19" s="862">
        <f t="shared" ref="CP19:CW19" si="118">CP18/CP4</f>
        <v>4.0000000000000022E-2</v>
      </c>
      <c r="CQ19" s="862">
        <f t="shared" si="118"/>
        <v>4.0000000000000084E-2</v>
      </c>
      <c r="CR19" s="921">
        <f t="shared" si="118"/>
        <v>4.2605491646762188E-2</v>
      </c>
      <c r="CS19" s="862">
        <f t="shared" si="118"/>
        <v>3.9453544630909998E-2</v>
      </c>
      <c r="CT19" s="862">
        <f t="shared" si="118"/>
        <v>3.9959793366391043E-2</v>
      </c>
      <c r="CU19" s="862">
        <f t="shared" si="118"/>
        <v>4.5739301222291882E-2</v>
      </c>
      <c r="CV19" s="862">
        <f t="shared" si="118"/>
        <v>4.399739373864868E-2</v>
      </c>
      <c r="CW19" s="921">
        <f t="shared" si="118"/>
        <v>4.2356169709114475E-2</v>
      </c>
    </row>
    <row r="20" spans="2:107" s="254" customFormat="1" ht="17.25" customHeight="1">
      <c r="B20" s="715" t="s">
        <v>570</v>
      </c>
      <c r="D20" s="359">
        <v>3823</v>
      </c>
      <c r="E20" s="359">
        <v>5219</v>
      </c>
      <c r="F20" s="359">
        <f>6379-2</f>
        <v>6377</v>
      </c>
      <c r="G20" s="373">
        <f>1986-4</f>
        <v>1982</v>
      </c>
      <c r="H20" s="373">
        <f>2199-4</f>
        <v>2195</v>
      </c>
      <c r="I20" s="373">
        <f>2435-4</f>
        <v>2431</v>
      </c>
      <c r="J20" s="373">
        <f>2638-7</f>
        <v>2631</v>
      </c>
      <c r="K20" s="359">
        <f>SUM(G20:J20)</f>
        <v>9239</v>
      </c>
      <c r="L20" s="373">
        <f>2837-12</f>
        <v>2825</v>
      </c>
      <c r="M20" s="373">
        <f>2896-11</f>
        <v>2885</v>
      </c>
      <c r="N20" s="373">
        <f>3009-20</f>
        <v>2989</v>
      </c>
      <c r="O20" s="373">
        <f>2973-10</f>
        <v>2963</v>
      </c>
      <c r="P20" s="359">
        <f>SUM(L20:O20)</f>
        <v>11662</v>
      </c>
      <c r="Q20" s="253">
        <f>2981-10</f>
        <v>2971</v>
      </c>
      <c r="R20" s="253">
        <f>3101-24</f>
        <v>3077</v>
      </c>
      <c r="S20" s="253">
        <f>3211-31</f>
        <v>3180</v>
      </c>
      <c r="T20" s="253">
        <f>3333-38</f>
        <v>3295</v>
      </c>
      <c r="U20" s="359">
        <f>SUM(Q20:T20)</f>
        <v>12523</v>
      </c>
      <c r="V20" s="253">
        <f>3321-46</f>
        <v>3275</v>
      </c>
      <c r="W20" s="253">
        <f>3750-72</f>
        <v>3678</v>
      </c>
      <c r="X20" s="253">
        <f>4076-68</f>
        <v>4008</v>
      </c>
      <c r="Y20" s="253">
        <f>4219-69</f>
        <v>4150</v>
      </c>
      <c r="Z20" s="826">
        <f>SUM(V20:Y20)</f>
        <v>15111</v>
      </c>
      <c r="AA20" s="253">
        <f>4448-178</f>
        <v>4270</v>
      </c>
      <c r="AB20" s="253">
        <f>4843-116</f>
        <v>4727</v>
      </c>
      <c r="AC20" s="253">
        <f>5945-122</f>
        <v>5823</v>
      </c>
      <c r="AD20" s="253">
        <f>6804-46</f>
        <v>6758</v>
      </c>
      <c r="AE20" s="359">
        <f>SUM(AA20:AD20)</f>
        <v>21578</v>
      </c>
      <c r="AF20" s="253">
        <f>7066-103</f>
        <v>6963</v>
      </c>
      <c r="AG20" s="253">
        <f>7943-122</f>
        <v>7821</v>
      </c>
      <c r="AH20" s="253">
        <f>8249-128</f>
        <v>8121</v>
      </c>
      <c r="AI20" s="253">
        <f>8523-122</f>
        <v>8401</v>
      </c>
      <c r="AJ20" s="359">
        <f>SUM(AF20:AI20)</f>
        <v>31306</v>
      </c>
      <c r="AK20" s="253">
        <f>9255-153</f>
        <v>9102</v>
      </c>
      <c r="AL20" s="253">
        <f>9627-152</f>
        <v>9475</v>
      </c>
      <c r="AM20" s="253">
        <f>9970-134</f>
        <v>9836</v>
      </c>
      <c r="AN20" s="253">
        <f>11139-175</f>
        <v>10964</v>
      </c>
      <c r="AO20" s="359">
        <f>SUM(AK20:AN20)</f>
        <v>39377</v>
      </c>
      <c r="AP20" s="253">
        <f>11572-172</f>
        <v>11400</v>
      </c>
      <c r="AQ20" s="253">
        <f>12335-288</f>
        <v>12047</v>
      </c>
      <c r="AR20" s="253">
        <f>12700-256</f>
        <v>12444</v>
      </c>
      <c r="AS20" s="253">
        <f>13436-273</f>
        <v>13163</v>
      </c>
      <c r="AT20" s="359">
        <f>SUM(AP20:AS20)</f>
        <v>49054</v>
      </c>
      <c r="AU20" s="253">
        <f>14881-280</f>
        <v>14601</v>
      </c>
      <c r="AV20" s="253">
        <f>15972-317</f>
        <v>15655</v>
      </c>
      <c r="AW20" s="253">
        <f>16171-319</f>
        <v>15852</v>
      </c>
      <c r="AX20" s="253">
        <f>17322-393</f>
        <v>16929</v>
      </c>
      <c r="AY20" s="359">
        <f>SUM(AU20:AX20)</f>
        <v>63037</v>
      </c>
      <c r="AZ20" s="253">
        <f>17330-451</f>
        <v>16879</v>
      </c>
      <c r="BA20" s="253">
        <f>18191-469</f>
        <v>17722</v>
      </c>
      <c r="BB20" s="253">
        <f>18645-494</f>
        <v>18151</v>
      </c>
      <c r="BC20" s="253">
        <f>19459-473</f>
        <v>18986</v>
      </c>
      <c r="BD20" s="359">
        <f>SUM(AZ20:BC20)</f>
        <v>71738</v>
      </c>
      <c r="BE20" s="253">
        <f>19758-548</f>
        <v>19210</v>
      </c>
      <c r="BF20" s="253">
        <f>20402-504</f>
        <v>19898</v>
      </c>
      <c r="BG20" s="118">
        <f>20411-535</f>
        <v>19876</v>
      </c>
      <c r="BH20" s="118">
        <f>21177-581</f>
        <v>20596</v>
      </c>
      <c r="BI20" s="359">
        <f>SUM(BE20:BH20)</f>
        <v>79580</v>
      </c>
      <c r="BJ20" s="118">
        <f>21367-587</f>
        <v>20780</v>
      </c>
      <c r="BK20" s="253">
        <f>23700-662</f>
        <v>23038</v>
      </c>
      <c r="BL20" s="253">
        <f>23263-778</f>
        <v>22485</v>
      </c>
      <c r="BM20" s="253">
        <f>23909-792</f>
        <v>23117</v>
      </c>
      <c r="BN20" s="359">
        <f>SUM(BJ20:BM20)</f>
        <v>89420</v>
      </c>
      <c r="BO20" s="253">
        <f>23544-808</f>
        <v>22736</v>
      </c>
      <c r="BP20" s="253">
        <f>24326-956</f>
        <v>23370</v>
      </c>
      <c r="BQ20" s="253">
        <f>25045-1003</f>
        <v>24042</v>
      </c>
      <c r="BR20" s="118">
        <f>26921-1181</f>
        <v>25740</v>
      </c>
      <c r="BS20" s="359">
        <f>SUM(BO20:BR20)</f>
        <v>95888</v>
      </c>
      <c r="BT20" s="118">
        <f>29970-1503</f>
        <v>28467</v>
      </c>
      <c r="BU20" s="253">
        <f>31730-1746</f>
        <v>29984</v>
      </c>
      <c r="BV20" s="253">
        <f>34343-1696</f>
        <v>32647</v>
      </c>
      <c r="BW20" s="253">
        <f>35635-1815</f>
        <v>33820</v>
      </c>
      <c r="BX20" s="359">
        <f>SUM(BT20:BW20)</f>
        <v>124918</v>
      </c>
      <c r="BY20" s="253">
        <f>35389-2179</f>
        <v>33210</v>
      </c>
      <c r="BZ20" s="253">
        <f>37530-2152</f>
        <v>35378</v>
      </c>
      <c r="CA20" s="253">
        <f>38605-2146</f>
        <v>36459</v>
      </c>
      <c r="CB20" s="253">
        <f>41541-2207</f>
        <v>39334</v>
      </c>
      <c r="CC20" s="359">
        <f>SUM(BY20:CB20)</f>
        <v>144381</v>
      </c>
      <c r="CD20" s="253">
        <f>42964-2503</f>
        <v>40461</v>
      </c>
      <c r="CE20" s="253">
        <f>44544-2586</f>
        <v>41958</v>
      </c>
      <c r="CF20" s="253">
        <f>45521-2506</f>
        <v>43015</v>
      </c>
      <c r="CG20" s="253">
        <f>49040-2574</f>
        <v>46466</v>
      </c>
      <c r="CH20" s="359">
        <f>SUM(CD20:CG20)</f>
        <v>171900</v>
      </c>
      <c r="CI20" s="373">
        <f>51487-4082</f>
        <v>47405</v>
      </c>
      <c r="CJ20" s="373">
        <f>52018-2730</f>
        <v>49288</v>
      </c>
      <c r="CK20" s="253">
        <f>51624-1412</f>
        <v>50212</v>
      </c>
      <c r="CL20" s="253">
        <f>55585-2819</f>
        <v>52766</v>
      </c>
      <c r="CM20" s="826">
        <f>SUM(CI20:CL20)</f>
        <v>199671</v>
      </c>
      <c r="CN20" s="373">
        <f>56914-3111</f>
        <v>53803</v>
      </c>
      <c r="CO20" s="373">
        <f>59826-3328</f>
        <v>56498</v>
      </c>
      <c r="CP20" s="373">
        <f>57932-3171</f>
        <v>54761</v>
      </c>
      <c r="CQ20" s="253">
        <f>56957-1813</f>
        <v>55144</v>
      </c>
      <c r="CR20" s="826">
        <f>SUM(CN20:CQ20)</f>
        <v>220206</v>
      </c>
      <c r="CS20" s="373">
        <f>CS4*(1-CS22)</f>
        <v>55477.904976000005</v>
      </c>
      <c r="CT20" s="373">
        <f>CT4*(1-CT22)</f>
        <v>56344.135200000004</v>
      </c>
      <c r="CU20" s="373">
        <f>CU4*(1-CU22)</f>
        <v>56828.590086400007</v>
      </c>
      <c r="CV20" s="373">
        <f>CV4*(1-CV22)</f>
        <v>57606.821327999998</v>
      </c>
      <c r="CW20" s="826">
        <f>SUM(CS20:CV20)</f>
        <v>226257.45159040001</v>
      </c>
    </row>
    <row r="21" spans="2:107" s="1" customFormat="1" ht="13.15">
      <c r="B21" s="29" t="s">
        <v>6</v>
      </c>
      <c r="C21" s="13"/>
      <c r="D21" s="772">
        <f t="shared" ref="D21:AI21" si="119">D4-D20</f>
        <v>10004</v>
      </c>
      <c r="E21" s="772">
        <f t="shared" si="119"/>
        <v>14640</v>
      </c>
      <c r="F21" s="772">
        <f t="shared" si="119"/>
        <v>18821</v>
      </c>
      <c r="G21" s="773">
        <f t="shared" si="119"/>
        <v>4975</v>
      </c>
      <c r="H21" s="773">
        <f t="shared" si="119"/>
        <v>5391</v>
      </c>
      <c r="I21" s="773">
        <f t="shared" si="119"/>
        <v>5643</v>
      </c>
      <c r="J21" s="773">
        <f t="shared" si="119"/>
        <v>5449</v>
      </c>
      <c r="K21" s="772">
        <f t="shared" si="119"/>
        <v>21458</v>
      </c>
      <c r="L21" s="773">
        <f t="shared" si="119"/>
        <v>5706</v>
      </c>
      <c r="M21" s="773">
        <f t="shared" si="119"/>
        <v>6715</v>
      </c>
      <c r="N21" s="773">
        <f t="shared" si="119"/>
        <v>6645</v>
      </c>
      <c r="O21" s="773">
        <f t="shared" si="119"/>
        <v>7018</v>
      </c>
      <c r="P21" s="772">
        <f t="shared" si="119"/>
        <v>26084</v>
      </c>
      <c r="Q21" s="773">
        <f t="shared" si="119"/>
        <v>7272</v>
      </c>
      <c r="R21" s="773">
        <f t="shared" si="119"/>
        <v>7867</v>
      </c>
      <c r="S21" s="773">
        <f t="shared" si="119"/>
        <v>8311</v>
      </c>
      <c r="T21" s="773">
        <f t="shared" si="119"/>
        <v>8624</v>
      </c>
      <c r="U21" s="772">
        <f t="shared" si="119"/>
        <v>32074</v>
      </c>
      <c r="V21" s="773">
        <f t="shared" si="119"/>
        <v>9374</v>
      </c>
      <c r="W21" s="773">
        <f t="shared" si="119"/>
        <v>10259</v>
      </c>
      <c r="X21" s="773">
        <f t="shared" si="119"/>
        <v>11521</v>
      </c>
      <c r="Y21" s="773">
        <f t="shared" si="119"/>
        <v>11704</v>
      </c>
      <c r="Z21" s="772">
        <f t="shared" si="119"/>
        <v>42858</v>
      </c>
      <c r="AA21" s="773">
        <f t="shared" si="119"/>
        <v>12264</v>
      </c>
      <c r="AB21" s="773">
        <f t="shared" si="119"/>
        <v>13094</v>
      </c>
      <c r="AC21" s="773">
        <f t="shared" si="119"/>
        <v>14444</v>
      </c>
      <c r="AD21" s="773">
        <f t="shared" si="119"/>
        <v>15726</v>
      </c>
      <c r="AE21" s="772">
        <f t="shared" si="119"/>
        <v>55528</v>
      </c>
      <c r="AF21" s="773">
        <f t="shared" si="119"/>
        <v>16789</v>
      </c>
      <c r="AG21" s="773">
        <f t="shared" si="119"/>
        <v>17837</v>
      </c>
      <c r="AH21" s="773">
        <f t="shared" si="119"/>
        <v>18887</v>
      </c>
      <c r="AI21" s="773">
        <f t="shared" si="119"/>
        <v>19572</v>
      </c>
      <c r="AJ21" s="772">
        <f t="shared" ref="AJ21:BO21" si="120">AJ4-AJ20</f>
        <v>73085</v>
      </c>
      <c r="AK21" s="773">
        <f t="shared" si="120"/>
        <v>19837</v>
      </c>
      <c r="AL21" s="773">
        <f t="shared" si="120"/>
        <v>21625</v>
      </c>
      <c r="AM21" s="773">
        <f t="shared" si="120"/>
        <v>22670</v>
      </c>
      <c r="AN21" s="773">
        <f t="shared" si="120"/>
        <v>24438</v>
      </c>
      <c r="AO21" s="772">
        <f t="shared" si="120"/>
        <v>88570</v>
      </c>
      <c r="AP21" s="773">
        <f t="shared" si="120"/>
        <v>25570</v>
      </c>
      <c r="AQ21" s="773">
        <f t="shared" si="120"/>
        <v>26799</v>
      </c>
      <c r="AR21" s="773">
        <f t="shared" si="120"/>
        <v>27910</v>
      </c>
      <c r="AS21" s="773">
        <f t="shared" si="120"/>
        <v>29185</v>
      </c>
      <c r="AT21" s="772">
        <f t="shared" si="120"/>
        <v>109464</v>
      </c>
      <c r="AU21" s="773">
        <f t="shared" si="120"/>
        <v>30998</v>
      </c>
      <c r="AV21" s="773">
        <f t="shared" si="120"/>
        <v>31696</v>
      </c>
      <c r="AW21" s="773">
        <f t="shared" si="120"/>
        <v>33432</v>
      </c>
      <c r="AX21" s="773">
        <f t="shared" si="120"/>
        <v>34132</v>
      </c>
      <c r="AY21" s="772">
        <f t="shared" si="120"/>
        <v>130258</v>
      </c>
      <c r="AZ21" s="773">
        <f t="shared" si="120"/>
        <v>35053</v>
      </c>
      <c r="BA21" s="773">
        <f t="shared" si="120"/>
        <v>36562</v>
      </c>
      <c r="BB21" s="773">
        <f t="shared" si="120"/>
        <v>37999</v>
      </c>
      <c r="BC21" s="773">
        <f t="shared" si="120"/>
        <v>39214</v>
      </c>
      <c r="BD21" s="772">
        <f t="shared" si="120"/>
        <v>148828</v>
      </c>
      <c r="BE21" s="773">
        <f t="shared" si="120"/>
        <v>39882</v>
      </c>
      <c r="BF21" s="773">
        <f t="shared" si="120"/>
        <v>41193</v>
      </c>
      <c r="BG21" s="774">
        <f t="shared" si="120"/>
        <v>42992</v>
      </c>
      <c r="BH21" s="774">
        <f t="shared" si="120"/>
        <v>44593</v>
      </c>
      <c r="BI21" s="772">
        <f t="shared" si="120"/>
        <v>168660</v>
      </c>
      <c r="BJ21" s="774">
        <f t="shared" si="120"/>
        <v>46154</v>
      </c>
      <c r="BK21" s="773">
        <f t="shared" si="120"/>
        <v>45491</v>
      </c>
      <c r="BL21" s="773">
        <f t="shared" si="120"/>
        <v>48443</v>
      </c>
      <c r="BM21" s="773">
        <f t="shared" si="120"/>
        <v>49616</v>
      </c>
      <c r="BN21" s="772">
        <f t="shared" si="120"/>
        <v>189704</v>
      </c>
      <c r="BO21" s="773">
        <f t="shared" si="120"/>
        <v>51456</v>
      </c>
      <c r="BP21" s="773">
        <f t="shared" ref="BP21:CU21" si="121">BP4-BP20</f>
        <v>52203</v>
      </c>
      <c r="BQ21" s="773">
        <f t="shared" si="121"/>
        <v>55515</v>
      </c>
      <c r="BR21" s="774">
        <f t="shared" si="121"/>
        <v>57568</v>
      </c>
      <c r="BS21" s="772">
        <f t="shared" si="121"/>
        <v>216742</v>
      </c>
      <c r="BT21" s="774">
        <f t="shared" si="121"/>
        <v>61627</v>
      </c>
      <c r="BU21" s="773">
        <f t="shared" si="121"/>
        <v>64555</v>
      </c>
      <c r="BV21" s="774">
        <f t="shared" si="121"/>
        <v>65240</v>
      </c>
      <c r="BW21" s="774">
        <f t="shared" si="121"/>
        <v>68936</v>
      </c>
      <c r="BX21" s="772">
        <f t="shared" si="121"/>
        <v>260358</v>
      </c>
      <c r="BY21" s="773">
        <f t="shared" si="121"/>
        <v>71983</v>
      </c>
      <c r="BZ21" s="773">
        <f t="shared" si="121"/>
        <v>73800</v>
      </c>
      <c r="CA21" s="773">
        <f t="shared" si="121"/>
        <v>78027</v>
      </c>
      <c r="CB21" s="773">
        <f t="shared" si="121"/>
        <v>82684</v>
      </c>
      <c r="CC21" s="772">
        <f t="shared" si="121"/>
        <v>306494</v>
      </c>
      <c r="CD21" s="773">
        <f t="shared" si="121"/>
        <v>85407</v>
      </c>
      <c r="CE21" s="773">
        <f t="shared" si="121"/>
        <v>88458</v>
      </c>
      <c r="CF21" s="773">
        <f t="shared" si="121"/>
        <v>92646</v>
      </c>
      <c r="CG21" s="773">
        <f t="shared" si="121"/>
        <v>98499</v>
      </c>
      <c r="CH21" s="772">
        <f t="shared" si="121"/>
        <v>365010</v>
      </c>
      <c r="CI21" s="775">
        <f t="shared" si="121"/>
        <v>102171</v>
      </c>
      <c r="CJ21" s="775">
        <f t="shared" si="121"/>
        <v>104308</v>
      </c>
      <c r="CK21" s="773">
        <f t="shared" si="121"/>
        <v>113474</v>
      </c>
      <c r="CL21" s="773">
        <f t="shared" si="121"/>
        <v>118141</v>
      </c>
      <c r="CM21" s="776">
        <f t="shared" si="121"/>
        <v>438094</v>
      </c>
      <c r="CN21" s="775">
        <f t="shared" si="121"/>
        <v>127746</v>
      </c>
      <c r="CO21" s="775">
        <f t="shared" si="121"/>
        <v>130902</v>
      </c>
      <c r="CP21" s="775">
        <f t="shared" si="121"/>
        <v>135143</v>
      </c>
      <c r="CQ21" s="773">
        <f t="shared" si="121"/>
        <v>137508</v>
      </c>
      <c r="CR21" s="776">
        <f t="shared" si="121"/>
        <v>531299</v>
      </c>
      <c r="CS21" s="775">
        <f t="shared" si="121"/>
        <v>137153.70952400001</v>
      </c>
      <c r="CT21" s="775">
        <f t="shared" si="121"/>
        <v>141354.58480000001</v>
      </c>
      <c r="CU21" s="775">
        <f t="shared" si="121"/>
        <v>147590.7987136</v>
      </c>
      <c r="CV21" s="775">
        <f t="shared" ref="CV21:CW21" si="122">CV4-CV20</f>
        <v>150360.04267199998</v>
      </c>
      <c r="CW21" s="776">
        <f t="shared" si="122"/>
        <v>576459.13570959982</v>
      </c>
    </row>
    <row r="22" spans="2:107" s="2" customFormat="1" ht="10.15">
      <c r="B22" s="11"/>
      <c r="C22" s="2" t="s">
        <v>502</v>
      </c>
      <c r="D22" s="34">
        <f t="shared" ref="D22:AI22" si="123">D21/D4</f>
        <v>0.72351196933535833</v>
      </c>
      <c r="E22" s="39">
        <f t="shared" si="123"/>
        <v>0.73719724054584823</v>
      </c>
      <c r="F22" s="39">
        <f t="shared" si="123"/>
        <v>0.74692435907611721</v>
      </c>
      <c r="G22" s="40">
        <f t="shared" si="123"/>
        <v>0.71510708638781084</v>
      </c>
      <c r="H22" s="40">
        <f t="shared" si="123"/>
        <v>0.71065119957817036</v>
      </c>
      <c r="I22" s="40">
        <f t="shared" si="123"/>
        <v>0.69891008174386926</v>
      </c>
      <c r="J22" s="40">
        <f t="shared" si="123"/>
        <v>0.67438118811881187</v>
      </c>
      <c r="K22" s="39">
        <f t="shared" si="123"/>
        <v>0.69902596344919699</v>
      </c>
      <c r="L22" s="40">
        <f t="shared" si="123"/>
        <v>0.66885476497479779</v>
      </c>
      <c r="M22" s="40">
        <f t="shared" si="123"/>
        <v>0.69947916666666665</v>
      </c>
      <c r="N22" s="40">
        <f t="shared" si="123"/>
        <v>0.68974465434917998</v>
      </c>
      <c r="O22" s="40">
        <f t="shared" si="123"/>
        <v>0.70313595832080955</v>
      </c>
      <c r="P22" s="39">
        <f t="shared" si="123"/>
        <v>0.69104011021035339</v>
      </c>
      <c r="Q22" s="40">
        <f t="shared" si="123"/>
        <v>0.70994825734648048</v>
      </c>
      <c r="R22" s="40">
        <f t="shared" si="123"/>
        <v>0.71884137426900585</v>
      </c>
      <c r="S22" s="40">
        <f t="shared" si="123"/>
        <v>0.72326168305630489</v>
      </c>
      <c r="T22" s="40">
        <f t="shared" si="123"/>
        <v>0.72355063344240289</v>
      </c>
      <c r="U22" s="39">
        <f t="shared" si="123"/>
        <v>0.71919635849945063</v>
      </c>
      <c r="V22" s="40">
        <f t="shared" si="123"/>
        <v>0.74108625187761878</v>
      </c>
      <c r="W22" s="40">
        <f t="shared" si="123"/>
        <v>0.73609815598765871</v>
      </c>
      <c r="X22" s="40">
        <f t="shared" si="123"/>
        <v>0.7419022474080752</v>
      </c>
      <c r="Y22" s="40">
        <f t="shared" si="123"/>
        <v>0.7382364072158446</v>
      </c>
      <c r="Z22" s="39">
        <f t="shared" si="123"/>
        <v>0.73932619158515755</v>
      </c>
      <c r="AA22" s="40">
        <f t="shared" si="123"/>
        <v>0.74174428450465713</v>
      </c>
      <c r="AB22" s="40">
        <f t="shared" si="123"/>
        <v>0.73475113629987099</v>
      </c>
      <c r="AC22" s="40">
        <f t="shared" si="123"/>
        <v>0.71268564661765432</v>
      </c>
      <c r="AD22" s="40">
        <f t="shared" si="123"/>
        <v>0.69943070628002135</v>
      </c>
      <c r="AE22" s="39">
        <f t="shared" si="123"/>
        <v>0.72015147978108063</v>
      </c>
      <c r="AF22" s="40">
        <f t="shared" si="123"/>
        <v>0.70684573930616368</v>
      </c>
      <c r="AG22" s="40">
        <f t="shared" si="123"/>
        <v>0.69518278899368613</v>
      </c>
      <c r="AH22" s="40">
        <f t="shared" si="123"/>
        <v>0.69931131516587675</v>
      </c>
      <c r="AI22" s="40">
        <f t="shared" si="123"/>
        <v>0.69967468630465091</v>
      </c>
      <c r="AJ22" s="39">
        <f t="shared" ref="AJ22:BO22" si="124">AJ21/AJ4</f>
        <v>0.70010824687952022</v>
      </c>
      <c r="AK22" s="40">
        <f t="shared" si="124"/>
        <v>0.68547634679843805</v>
      </c>
      <c r="AL22" s="40">
        <f t="shared" si="124"/>
        <v>0.69533762057877813</v>
      </c>
      <c r="AM22" s="40">
        <f t="shared" si="124"/>
        <v>0.69740970897680432</v>
      </c>
      <c r="AN22" s="40">
        <f t="shared" si="124"/>
        <v>0.69029998305180496</v>
      </c>
      <c r="AO22" s="39">
        <f t="shared" si="124"/>
        <v>0.69223975552377159</v>
      </c>
      <c r="AP22" s="40">
        <f t="shared" si="124"/>
        <v>0.69164187178793612</v>
      </c>
      <c r="AQ22" s="40">
        <f t="shared" si="124"/>
        <v>0.68987797971477116</v>
      </c>
      <c r="AR22" s="40">
        <f t="shared" si="124"/>
        <v>0.69162908261882339</v>
      </c>
      <c r="AS22" s="40">
        <f t="shared" si="124"/>
        <v>0.68917068102389722</v>
      </c>
      <c r="AT22" s="39">
        <f t="shared" si="124"/>
        <v>0.69054618402957391</v>
      </c>
      <c r="AU22" s="234">
        <f t="shared" si="124"/>
        <v>0.67979560955284102</v>
      </c>
      <c r="AV22" s="234">
        <f t="shared" si="124"/>
        <v>0.66938396232392139</v>
      </c>
      <c r="AW22" s="234">
        <f t="shared" si="124"/>
        <v>0.67835402970538106</v>
      </c>
      <c r="AX22" s="234">
        <f t="shared" si="124"/>
        <v>0.66845537690213663</v>
      </c>
      <c r="AY22" s="39">
        <f t="shared" si="124"/>
        <v>0.67388189037481572</v>
      </c>
      <c r="AZ22" s="161">
        <f t="shared" si="124"/>
        <v>0.6749788184549026</v>
      </c>
      <c r="BA22" s="40">
        <f t="shared" si="124"/>
        <v>0.67353179574091815</v>
      </c>
      <c r="BB22" s="40">
        <f t="shared" si="124"/>
        <v>0.67674087266251115</v>
      </c>
      <c r="BC22" s="40">
        <f t="shared" si="124"/>
        <v>0.67378006872852236</v>
      </c>
      <c r="BD22" s="39">
        <f t="shared" si="124"/>
        <v>0.67475494863215546</v>
      </c>
      <c r="BE22" s="40">
        <f t="shared" si="124"/>
        <v>0.67491369390103573</v>
      </c>
      <c r="BF22" s="40">
        <f t="shared" si="124"/>
        <v>0.67428917516491793</v>
      </c>
      <c r="BG22" s="410">
        <f t="shared" si="124"/>
        <v>0.68384551759241585</v>
      </c>
      <c r="BH22" s="410">
        <f t="shared" si="124"/>
        <v>0.68405712620227344</v>
      </c>
      <c r="BI22" s="39">
        <f t="shared" si="124"/>
        <v>0.67942313889784078</v>
      </c>
      <c r="BJ22" s="410">
        <f t="shared" si="124"/>
        <v>0.68954492485134611</v>
      </c>
      <c r="BK22" s="410">
        <f t="shared" si="124"/>
        <v>0.66382115600694591</v>
      </c>
      <c r="BL22" s="410">
        <f t="shared" si="124"/>
        <v>0.68298838258515682</v>
      </c>
      <c r="BM22" s="410">
        <f t="shared" si="124"/>
        <v>0.68216627940549679</v>
      </c>
      <c r="BN22" s="39">
        <f t="shared" si="124"/>
        <v>0.67964058984537334</v>
      </c>
      <c r="BO22" s="410">
        <f t="shared" si="124"/>
        <v>0.69355186543023506</v>
      </c>
      <c r="BP22" s="410">
        <f t="shared" ref="BP22:CR22" si="125">BP21/BP4</f>
        <v>0.69076257393513552</v>
      </c>
      <c r="BQ22" s="410">
        <f t="shared" si="125"/>
        <v>0.69780157622836458</v>
      </c>
      <c r="BR22" s="410">
        <f t="shared" si="125"/>
        <v>0.69102607192586551</v>
      </c>
      <c r="BS22" s="39">
        <f t="shared" si="125"/>
        <v>0.69328599302690086</v>
      </c>
      <c r="BT22" s="410">
        <f t="shared" si="125"/>
        <v>0.68403001309743161</v>
      </c>
      <c r="BU22" s="410">
        <f t="shared" si="125"/>
        <v>0.68283988618453761</v>
      </c>
      <c r="BV22" s="410">
        <f t="shared" si="125"/>
        <v>0.66648278116603843</v>
      </c>
      <c r="BW22" s="410">
        <f t="shared" si="125"/>
        <v>0.6708708007318307</v>
      </c>
      <c r="BX22" s="39">
        <f t="shared" si="125"/>
        <v>0.67577009728091031</v>
      </c>
      <c r="BY22" s="410">
        <f t="shared" si="125"/>
        <v>0.68429458233912899</v>
      </c>
      <c r="BZ22" s="410">
        <f t="shared" si="125"/>
        <v>0.67596035831394607</v>
      </c>
      <c r="CA22" s="410">
        <f t="shared" si="125"/>
        <v>0.68154184791153505</v>
      </c>
      <c r="CB22" s="410">
        <f t="shared" si="125"/>
        <v>0.67763772558147162</v>
      </c>
      <c r="CC22" s="39">
        <f t="shared" si="125"/>
        <v>0.67977599112836151</v>
      </c>
      <c r="CD22" s="410">
        <f t="shared" si="125"/>
        <v>0.67854418915053871</v>
      </c>
      <c r="CE22" s="410">
        <f t="shared" si="125"/>
        <v>0.67827567169672431</v>
      </c>
      <c r="CF22" s="410">
        <f t="shared" si="125"/>
        <v>0.68292287392839501</v>
      </c>
      <c r="CG22" s="410">
        <f t="shared" si="125"/>
        <v>0.6794674576621943</v>
      </c>
      <c r="CH22" s="39">
        <f t="shared" si="125"/>
        <v>0.67983460915237193</v>
      </c>
      <c r="CI22" s="410">
        <f t="shared" si="125"/>
        <v>0.68307081349949195</v>
      </c>
      <c r="CJ22" s="410">
        <f t="shared" si="125"/>
        <v>0.67910622672465426</v>
      </c>
      <c r="CK22" s="410">
        <f t="shared" si="125"/>
        <v>0.69324193883410923</v>
      </c>
      <c r="CL22" s="410">
        <f t="shared" si="125"/>
        <v>0.69125898880677794</v>
      </c>
      <c r="CM22" s="39">
        <f t="shared" si="125"/>
        <v>0.68692073099025508</v>
      </c>
      <c r="CN22" s="410">
        <f t="shared" si="125"/>
        <v>0.70364474604652183</v>
      </c>
      <c r="CO22" s="410">
        <f t="shared" si="125"/>
        <v>0.69851654215581649</v>
      </c>
      <c r="CP22" s="410">
        <f t="shared" si="125"/>
        <v>0.71163851209031936</v>
      </c>
      <c r="CQ22" s="410">
        <f t="shared" si="125"/>
        <v>0.71376367751178293</v>
      </c>
      <c r="CR22" s="39">
        <f t="shared" si="125"/>
        <v>0.7069799934797506</v>
      </c>
      <c r="CS22" s="649">
        <v>0.71199999999999997</v>
      </c>
      <c r="CT22" s="649">
        <v>0.71499999999999997</v>
      </c>
      <c r="CU22" s="649">
        <v>0.72199999999999998</v>
      </c>
      <c r="CV22" s="649">
        <v>0.72299999999999998</v>
      </c>
      <c r="CW22" s="39">
        <f>CW21/CW4</f>
        <v>0.71813532301427241</v>
      </c>
      <c r="CX22" s="384"/>
      <c r="CY22" s="384"/>
      <c r="CZ22" s="384"/>
      <c r="DA22" s="384"/>
      <c r="DB22" s="384"/>
      <c r="DC22" s="384"/>
    </row>
    <row r="23" spans="2:107">
      <c r="B23" s="24"/>
      <c r="D23" s="32"/>
      <c r="E23" s="32"/>
      <c r="F23" s="32"/>
      <c r="K23" s="32"/>
      <c r="P23" s="32"/>
      <c r="R23" s="4"/>
      <c r="T23" s="4"/>
      <c r="U23" s="32"/>
      <c r="V23" s="4"/>
      <c r="Z23" s="32"/>
      <c r="AA23" s="4"/>
      <c r="AE23" s="32"/>
      <c r="AF23" s="4"/>
      <c r="AJ23" s="32"/>
      <c r="AK23" s="4"/>
      <c r="AO23" s="32"/>
      <c r="AP23" s="4"/>
      <c r="AQ23" s="162"/>
      <c r="AT23" s="32"/>
      <c r="AU23" s="242"/>
      <c r="AW23" s="256"/>
      <c r="AY23" s="32"/>
      <c r="AZ23" s="365"/>
      <c r="BB23" s="256"/>
      <c r="BC23" s="256"/>
      <c r="BD23" s="32"/>
      <c r="BE23" s="242"/>
      <c r="BG23" s="142"/>
      <c r="BH23" s="142"/>
      <c r="BI23" s="32"/>
      <c r="BJ23" s="447"/>
      <c r="BN23" s="32"/>
      <c r="BO23" s="242"/>
      <c r="BR23" s="142"/>
      <c r="BS23" s="32"/>
      <c r="BT23" s="447"/>
      <c r="BV23" s="142"/>
      <c r="BW23" s="142"/>
      <c r="BX23" s="32"/>
      <c r="BY23" s="447"/>
      <c r="CB23" s="447"/>
      <c r="CC23" s="32"/>
      <c r="CD23" s="447"/>
      <c r="CH23" s="32"/>
      <c r="CI23" s="447"/>
      <c r="CM23" s="32"/>
      <c r="CN23" s="447"/>
      <c r="CR23" s="32"/>
      <c r="CS23" s="447"/>
      <c r="CW23" s="32"/>
      <c r="CX23" s="95"/>
      <c r="CY23" s="95"/>
      <c r="CZ23" s="95"/>
      <c r="DA23" s="95"/>
      <c r="DB23" s="95"/>
      <c r="DC23" s="95"/>
    </row>
    <row r="24" spans="2:107" s="397" customFormat="1">
      <c r="B24" s="396" t="s">
        <v>8</v>
      </c>
      <c r="D24" s="398"/>
      <c r="E24" s="398"/>
      <c r="F24" s="398"/>
      <c r="K24" s="398"/>
      <c r="P24" s="398"/>
      <c r="R24" s="399"/>
      <c r="T24" s="399"/>
      <c r="U24" s="398"/>
      <c r="V24" s="399"/>
      <c r="Z24" s="398"/>
      <c r="AA24" s="399"/>
      <c r="AE24" s="398"/>
      <c r="AF24" s="399"/>
      <c r="AJ24" s="400"/>
      <c r="AK24" s="401"/>
      <c r="AL24" s="402"/>
      <c r="AM24" s="402"/>
      <c r="AN24" s="402"/>
      <c r="AO24" s="400"/>
      <c r="AP24" s="395"/>
      <c r="AQ24" s="395"/>
      <c r="AR24" s="395"/>
      <c r="AS24" s="395"/>
      <c r="AT24" s="400"/>
      <c r="AU24" s="395"/>
      <c r="AV24" s="395"/>
      <c r="AW24" s="395"/>
      <c r="AX24" s="395"/>
      <c r="AY24" s="400"/>
      <c r="AZ24" s="395"/>
      <c r="BA24" s="395"/>
      <c r="BB24" s="395"/>
      <c r="BC24" s="395"/>
      <c r="BD24" s="400"/>
      <c r="BE24" s="395"/>
      <c r="BF24" s="395"/>
      <c r="BG24" s="445"/>
      <c r="BH24" s="445"/>
      <c r="BI24" s="400"/>
      <c r="BJ24" s="445"/>
      <c r="BK24" s="395"/>
      <c r="BL24" s="395"/>
      <c r="BM24" s="395"/>
      <c r="BN24" s="400"/>
      <c r="BO24" s="395"/>
      <c r="BP24" s="395"/>
      <c r="BQ24" s="395"/>
      <c r="BR24" s="445"/>
      <c r="BS24" s="400"/>
      <c r="BT24" s="445"/>
      <c r="BU24" s="395"/>
      <c r="BV24" s="445"/>
      <c r="BW24" s="445"/>
      <c r="BX24" s="400"/>
      <c r="BY24" s="445"/>
      <c r="BZ24" s="395"/>
      <c r="CA24" s="395"/>
      <c r="CB24" s="445"/>
      <c r="CC24" s="400"/>
      <c r="CD24" s="445"/>
      <c r="CE24" s="395"/>
      <c r="CF24" s="395"/>
      <c r="CG24" s="395"/>
      <c r="CH24" s="400"/>
      <c r="CI24" s="119"/>
      <c r="CJ24" s="98"/>
      <c r="CK24" s="395"/>
      <c r="CL24" s="395"/>
      <c r="CM24" s="650"/>
      <c r="CN24" s="119"/>
      <c r="CO24" s="98"/>
      <c r="CP24" s="98"/>
      <c r="CQ24" s="395"/>
      <c r="CR24" s="650"/>
      <c r="CS24" s="119"/>
      <c r="CT24" s="98"/>
      <c r="CU24" s="98"/>
      <c r="CV24" s="98"/>
      <c r="CW24" s="650"/>
      <c r="CX24" s="403"/>
      <c r="CY24" s="403"/>
      <c r="CZ24" s="403"/>
      <c r="DA24" s="403"/>
      <c r="DB24" s="403"/>
      <c r="DC24" s="403"/>
    </row>
    <row r="25" spans="2:107">
      <c r="B25" s="24"/>
      <c r="C25" s="4" t="s">
        <v>9</v>
      </c>
      <c r="D25" s="50">
        <v>5034</v>
      </c>
      <c r="E25" s="50">
        <v>8098</v>
      </c>
      <c r="F25" s="50">
        <f>11636-33</f>
        <v>11603</v>
      </c>
      <c r="G25" s="64">
        <f>3162-14</f>
        <v>3148</v>
      </c>
      <c r="H25" s="64">
        <f>3240-15</f>
        <v>3225</v>
      </c>
      <c r="I25" s="64">
        <f>3101-15</f>
        <v>3086</v>
      </c>
      <c r="J25" s="64">
        <f>2990-16</f>
        <v>2974</v>
      </c>
      <c r="K25" s="50">
        <f>SUM(G25:J25)</f>
        <v>12433</v>
      </c>
      <c r="L25" s="64">
        <f>3075-15</f>
        <v>3060</v>
      </c>
      <c r="M25" s="64">
        <f>3397-17</f>
        <v>3380</v>
      </c>
      <c r="N25" s="64">
        <f>3533-42</f>
        <v>3491</v>
      </c>
      <c r="O25" s="64">
        <f>3501-17</f>
        <v>3484</v>
      </c>
      <c r="P25" s="50">
        <f>SUM(L25:O25)</f>
        <v>13415</v>
      </c>
      <c r="Q25" s="45">
        <f>3507-17</f>
        <v>3490</v>
      </c>
      <c r="R25" s="76">
        <f>4122-48</f>
        <v>4074</v>
      </c>
      <c r="S25" s="45">
        <f>4139-64</f>
        <v>4075</v>
      </c>
      <c r="T25" s="76">
        <f>4833-82</f>
        <v>4751</v>
      </c>
      <c r="U25" s="50">
        <f>SUM(Q25:T25)</f>
        <v>16390</v>
      </c>
      <c r="V25" s="76">
        <f>5126-89</f>
        <v>5037</v>
      </c>
      <c r="W25" s="45">
        <f>5852-137</f>
        <v>5715</v>
      </c>
      <c r="X25" s="45">
        <f>6404-121</f>
        <v>6283</v>
      </c>
      <c r="Y25" s="45">
        <f>6454-124</f>
        <v>6330</v>
      </c>
      <c r="Z25" s="112">
        <f>SUM(V25:Y25)</f>
        <v>23365</v>
      </c>
      <c r="AA25" s="45">
        <f>6447-98</f>
        <v>6349</v>
      </c>
      <c r="AB25" s="45">
        <f>6972-217</f>
        <v>6755</v>
      </c>
      <c r="AC25" s="45">
        <f>7840-232</f>
        <v>7608</v>
      </c>
      <c r="AD25" s="45">
        <f>8778-268</f>
        <v>8510</v>
      </c>
      <c r="AE25" s="50">
        <f>SUM(AA25:AD25)</f>
        <v>29222</v>
      </c>
      <c r="AF25" s="45">
        <f>9225-342</f>
        <v>8883</v>
      </c>
      <c r="AG25" s="45">
        <f>9647-386</f>
        <v>9261</v>
      </c>
      <c r="AH25" s="45">
        <f>10291-378</f>
        <v>9913</v>
      </c>
      <c r="AI25" s="45">
        <f>10458-375</f>
        <v>10083</v>
      </c>
      <c r="AJ25" s="50">
        <f>SUM(AF25:AI25)</f>
        <v>38140</v>
      </c>
      <c r="AK25" s="45">
        <f>10884-482</f>
        <v>10402</v>
      </c>
      <c r="AL25" s="45">
        <f>11570-472</f>
        <v>11098</v>
      </c>
      <c r="AM25" s="45">
        <f>12046-469</f>
        <v>11577</v>
      </c>
      <c r="AN25" s="45">
        <f>12490-510</f>
        <v>11980</v>
      </c>
      <c r="AO25" s="50">
        <f>SUM(AK25:AN25)</f>
        <v>45057</v>
      </c>
      <c r="AP25" s="45">
        <f>13744-542</f>
        <v>13202</v>
      </c>
      <c r="AQ25" s="45">
        <f>14101-482</f>
        <v>13619</v>
      </c>
      <c r="AR25" s="45">
        <f>13795-466</f>
        <v>13329</v>
      </c>
      <c r="AS25" s="45">
        <f>13734-488</f>
        <v>13246</v>
      </c>
      <c r="AT25" s="50">
        <f>SUM(AP25:AS25)</f>
        <v>53396</v>
      </c>
      <c r="AU25" s="76">
        <f>15889-654</f>
        <v>15235</v>
      </c>
      <c r="AV25" s="45">
        <f>16677-639</f>
        <v>16038</v>
      </c>
      <c r="AW25" s="45">
        <f>16526-620</f>
        <v>15906</v>
      </c>
      <c r="AX25" s="45">
        <f>16794-499</f>
        <v>16295</v>
      </c>
      <c r="AY25" s="50">
        <f>SUM(AU25:AX25)</f>
        <v>63474</v>
      </c>
      <c r="AZ25" s="253">
        <f>17079-517</f>
        <v>16562</v>
      </c>
      <c r="BA25" s="45">
        <f>18741-574</f>
        <v>18167</v>
      </c>
      <c r="BB25" s="45">
        <f>18239-565</f>
        <v>17674</v>
      </c>
      <c r="BC25" s="45">
        <f>19236-541</f>
        <v>18695</v>
      </c>
      <c r="BD25" s="50">
        <f>SUM(AZ25:BC25)</f>
        <v>71098</v>
      </c>
      <c r="BE25" s="45">
        <f>18647-653</f>
        <v>17994</v>
      </c>
      <c r="BF25" s="45">
        <f>18424-710</f>
        <v>17714</v>
      </c>
      <c r="BG25" s="118">
        <f>16952-691</f>
        <v>16261</v>
      </c>
      <c r="BH25" s="118">
        <f>17696-621</f>
        <v>17075</v>
      </c>
      <c r="BI25" s="50">
        <f>SUM(BE25:BH25)</f>
        <v>69044</v>
      </c>
      <c r="BJ25" s="118">
        <f>17922-730</f>
        <v>17192</v>
      </c>
      <c r="BK25" s="45">
        <f>17545-694</f>
        <v>16851</v>
      </c>
      <c r="BL25" s="45">
        <f>16937-784</f>
        <v>16153</v>
      </c>
      <c r="BM25" s="45">
        <f>17736-738</f>
        <v>16998</v>
      </c>
      <c r="BN25" s="50">
        <f>SUM(BJ25:BM25)</f>
        <v>67194</v>
      </c>
      <c r="BO25" s="45">
        <f>18299-846</f>
        <v>17453</v>
      </c>
      <c r="BP25" s="45">
        <f>18611-1010</f>
        <v>17601</v>
      </c>
      <c r="BQ25" s="45">
        <f>19233-1123</f>
        <v>18110</v>
      </c>
      <c r="BR25" s="118">
        <f>19812-1140</f>
        <v>18672</v>
      </c>
      <c r="BS25" s="50">
        <f>SUM(BO25:BR25)</f>
        <v>71836</v>
      </c>
      <c r="BT25" s="118">
        <f>21355-1482</f>
        <v>19873</v>
      </c>
      <c r="BU25" s="45">
        <f>21952-1738</f>
        <v>20214</v>
      </c>
      <c r="BV25" s="118">
        <f>22079-1634</f>
        <v>20445</v>
      </c>
      <c r="BW25" s="118">
        <f>22658-1394</f>
        <v>21264</v>
      </c>
      <c r="BX25" s="50">
        <f>SUM(BT25:BW25)</f>
        <v>81796</v>
      </c>
      <c r="BY25" s="118">
        <f>24655-2032</f>
        <v>22623</v>
      </c>
      <c r="BZ25" s="45">
        <f>24582-1958</f>
        <v>22624</v>
      </c>
      <c r="CA25" s="45">
        <f>25334-1845</f>
        <v>23489</v>
      </c>
      <c r="CB25" s="45">
        <f>27201-1755</f>
        <v>25446</v>
      </c>
      <c r="CC25" s="50">
        <f>SUM(BY25:CB25)</f>
        <v>94182</v>
      </c>
      <c r="CD25" s="118">
        <f>29083-2423</f>
        <v>26660</v>
      </c>
      <c r="CE25" s="118">
        <f>30349-2528</f>
        <v>27821</v>
      </c>
      <c r="CF25" s="45">
        <f>30289-2428</f>
        <v>27861</v>
      </c>
      <c r="CG25" s="45">
        <f>33214-2394</f>
        <v>30820</v>
      </c>
      <c r="CH25" s="50">
        <f>SUM(CD25:CG25)</f>
        <v>113162</v>
      </c>
      <c r="CI25" s="64">
        <f>36432-4444</f>
        <v>31988</v>
      </c>
      <c r="CJ25" s="118">
        <f>35691-2512</f>
        <v>33179</v>
      </c>
      <c r="CK25" s="45">
        <f>37577-2820</f>
        <v>34757</v>
      </c>
      <c r="CL25" s="45">
        <f>39220-2771</f>
        <v>36449</v>
      </c>
      <c r="CM25" s="112">
        <f>SUM(CI25:CL25)</f>
        <v>136373</v>
      </c>
      <c r="CN25" s="64">
        <f>41634-2427</f>
        <v>39207</v>
      </c>
      <c r="CO25" s="118">
        <f>43434-3357</f>
        <v>40077</v>
      </c>
      <c r="CP25" s="64">
        <f>42322-3486</f>
        <v>38836</v>
      </c>
      <c r="CQ25" s="45">
        <f>41740-1673</f>
        <v>40067</v>
      </c>
      <c r="CR25" s="112">
        <f>SUM(CN25:CQ25)</f>
        <v>158187</v>
      </c>
      <c r="CS25" s="64">
        <f>CS26*CS4</f>
        <v>41030.533888499995</v>
      </c>
      <c r="CT25" s="64">
        <f>CT26*CT4</f>
        <v>41121.333760000001</v>
      </c>
      <c r="CU25" s="64">
        <f>CU26*CU4</f>
        <v>41905.974704</v>
      </c>
      <c r="CV25" s="64">
        <f>CV26*CV4</f>
        <v>41801.339663999999</v>
      </c>
      <c r="CW25" s="112">
        <f>SUM(CS25:CV25)</f>
        <v>165859.18201649998</v>
      </c>
      <c r="CX25" s="95"/>
      <c r="CY25" s="95"/>
      <c r="CZ25" s="95"/>
      <c r="DA25" s="95"/>
      <c r="DB25" s="95"/>
      <c r="DC25" s="95"/>
    </row>
    <row r="26" spans="2:107" s="2" customFormat="1" ht="10.15">
      <c r="B26" s="11"/>
      <c r="C26" s="5" t="s">
        <v>10</v>
      </c>
      <c r="D26" s="34">
        <f t="shared" ref="D26:AI26" si="126">D25/D4</f>
        <v>0.36407029724452161</v>
      </c>
      <c r="E26" s="39">
        <f t="shared" si="126"/>
        <v>0.40777481242761471</v>
      </c>
      <c r="F26" s="39">
        <f t="shared" si="126"/>
        <v>0.46047305341693784</v>
      </c>
      <c r="G26" s="40">
        <f t="shared" si="126"/>
        <v>0.45249389104499066</v>
      </c>
      <c r="H26" s="40">
        <f t="shared" si="126"/>
        <v>0.4251252306881097</v>
      </c>
      <c r="I26" s="40">
        <f t="shared" si="126"/>
        <v>0.3822145157295021</v>
      </c>
      <c r="J26" s="40">
        <f t="shared" si="126"/>
        <v>0.36806930693069306</v>
      </c>
      <c r="K26" s="39">
        <f t="shared" si="126"/>
        <v>0.40502329217838878</v>
      </c>
      <c r="L26" s="40">
        <f t="shared" si="126"/>
        <v>0.35869182979721015</v>
      </c>
      <c r="M26" s="40">
        <f t="shared" si="126"/>
        <v>0.35208333333333336</v>
      </c>
      <c r="N26" s="40">
        <f t="shared" si="126"/>
        <v>0.36236246626531038</v>
      </c>
      <c r="O26" s="40">
        <f t="shared" si="126"/>
        <v>0.3490632201182246</v>
      </c>
      <c r="P26" s="39">
        <f t="shared" si="126"/>
        <v>0.35540189688973667</v>
      </c>
      <c r="Q26" s="40">
        <f t="shared" si="126"/>
        <v>0.3407204920433467</v>
      </c>
      <c r="R26" s="40">
        <f t="shared" si="126"/>
        <v>0.37225877192982454</v>
      </c>
      <c r="S26" s="40">
        <f t="shared" si="126"/>
        <v>0.35462535897659037</v>
      </c>
      <c r="T26" s="40">
        <f t="shared" si="126"/>
        <v>0.3986072657102106</v>
      </c>
      <c r="U26" s="39">
        <f t="shared" si="126"/>
        <v>0.36751350987734599</v>
      </c>
      <c r="V26" s="40">
        <f t="shared" si="126"/>
        <v>0.39821329749387302</v>
      </c>
      <c r="W26" s="40">
        <f t="shared" si="126"/>
        <v>0.41005955370596253</v>
      </c>
      <c r="X26" s="40">
        <f t="shared" si="126"/>
        <v>0.40459784918539504</v>
      </c>
      <c r="Y26" s="40">
        <f t="shared" si="126"/>
        <v>0.39926832345149488</v>
      </c>
      <c r="Z26" s="39">
        <f t="shared" si="126"/>
        <v>0.40306025634390796</v>
      </c>
      <c r="AA26" s="40">
        <f t="shared" si="126"/>
        <v>0.38399661303979676</v>
      </c>
      <c r="AB26" s="40">
        <f t="shared" si="126"/>
        <v>0.37904719151562766</v>
      </c>
      <c r="AC26" s="40">
        <f t="shared" si="126"/>
        <v>0.37538856268811366</v>
      </c>
      <c r="AD26" s="40">
        <f t="shared" si="126"/>
        <v>0.3784913716420566</v>
      </c>
      <c r="AE26" s="39">
        <f t="shared" si="126"/>
        <v>0.37898477420693588</v>
      </c>
      <c r="AF26" s="40">
        <f t="shared" si="126"/>
        <v>0.37398955877399798</v>
      </c>
      <c r="AG26" s="40">
        <f t="shared" si="126"/>
        <v>0.36094005768181464</v>
      </c>
      <c r="AH26" s="40">
        <f t="shared" si="126"/>
        <v>0.36703939573459715</v>
      </c>
      <c r="AI26" s="40">
        <f t="shared" si="126"/>
        <v>0.36045472419833413</v>
      </c>
      <c r="AJ26" s="39">
        <f t="shared" ref="AJ26:BO26" si="127">AJ25/AJ4</f>
        <v>0.36535716680556751</v>
      </c>
      <c r="AK26" s="40">
        <f t="shared" si="127"/>
        <v>0.35944573067486785</v>
      </c>
      <c r="AL26" s="40">
        <f t="shared" si="127"/>
        <v>0.35684887459807074</v>
      </c>
      <c r="AM26" s="40">
        <f t="shared" si="127"/>
        <v>0.35614963391373899</v>
      </c>
      <c r="AN26" s="40">
        <f t="shared" si="127"/>
        <v>0.33839896051070562</v>
      </c>
      <c r="AO26" s="39">
        <f t="shared" si="127"/>
        <v>0.35215362611081152</v>
      </c>
      <c r="AP26" s="40">
        <f t="shared" si="127"/>
        <v>0.35710035163646198</v>
      </c>
      <c r="AQ26" s="40">
        <f t="shared" si="127"/>
        <v>0.35058950728517735</v>
      </c>
      <c r="AR26" s="40">
        <f t="shared" si="127"/>
        <v>0.33030182881498737</v>
      </c>
      <c r="AS26" s="40">
        <f t="shared" si="127"/>
        <v>0.31278926985926137</v>
      </c>
      <c r="AT26" s="39">
        <f t="shared" si="127"/>
        <v>0.33684502706317265</v>
      </c>
      <c r="AU26" s="40">
        <f t="shared" si="127"/>
        <v>0.33410820412728348</v>
      </c>
      <c r="AV26" s="40">
        <f t="shared" si="127"/>
        <v>0.33870456801334714</v>
      </c>
      <c r="AW26" s="40">
        <f t="shared" si="127"/>
        <v>0.32274166057949844</v>
      </c>
      <c r="AX26" s="40">
        <f t="shared" si="127"/>
        <v>0.31912810168230155</v>
      </c>
      <c r="AY26" s="39">
        <f t="shared" si="127"/>
        <v>0.32837890271346903</v>
      </c>
      <c r="AZ26" s="161">
        <f t="shared" si="127"/>
        <v>0.31891704536701843</v>
      </c>
      <c r="BA26" s="40">
        <f t="shared" si="127"/>
        <v>0.33466583155257534</v>
      </c>
      <c r="BB26" s="40">
        <f t="shared" si="127"/>
        <v>0.31476402493321459</v>
      </c>
      <c r="BC26" s="40">
        <f t="shared" si="127"/>
        <v>0.32121993127147769</v>
      </c>
      <c r="BD26" s="39">
        <f t="shared" si="127"/>
        <v>0.32234342555062884</v>
      </c>
      <c r="BE26" s="161">
        <f t="shared" si="127"/>
        <v>0.30450822446354836</v>
      </c>
      <c r="BF26" s="40">
        <f t="shared" si="127"/>
        <v>0.28996087803440768</v>
      </c>
      <c r="BG26" s="410">
        <f t="shared" si="127"/>
        <v>0.25865305083667367</v>
      </c>
      <c r="BH26" s="410">
        <f t="shared" si="127"/>
        <v>0.26193069382871342</v>
      </c>
      <c r="BI26" s="39">
        <f t="shared" si="127"/>
        <v>0.2781340638092169</v>
      </c>
      <c r="BJ26" s="410">
        <f t="shared" si="127"/>
        <v>0.25685003137418949</v>
      </c>
      <c r="BK26" s="410">
        <f t="shared" si="127"/>
        <v>0.24589589808694129</v>
      </c>
      <c r="BL26" s="410">
        <f t="shared" si="127"/>
        <v>0.22773798781863297</v>
      </c>
      <c r="BM26" s="410">
        <f t="shared" si="127"/>
        <v>0.23370409580245555</v>
      </c>
      <c r="BN26" s="39">
        <f t="shared" si="127"/>
        <v>0.24073171780284031</v>
      </c>
      <c r="BO26" s="410">
        <f t="shared" si="127"/>
        <v>0.23524099633383652</v>
      </c>
      <c r="BP26" s="410">
        <f t="shared" ref="BP26:CR26" si="128">BP25/BP4</f>
        <v>0.23290063911714501</v>
      </c>
      <c r="BQ26" s="410">
        <f t="shared" si="128"/>
        <v>0.22763553175710496</v>
      </c>
      <c r="BR26" s="410">
        <f t="shared" si="128"/>
        <v>0.22413213616939551</v>
      </c>
      <c r="BS26" s="39">
        <f t="shared" si="128"/>
        <v>0.22977961168154049</v>
      </c>
      <c r="BT26" s="410">
        <f t="shared" si="128"/>
        <v>0.22058072679645704</v>
      </c>
      <c r="BU26" s="410">
        <f t="shared" si="128"/>
        <v>0.21381652016628058</v>
      </c>
      <c r="BV26" s="410">
        <f t="shared" si="128"/>
        <v>0.20886328113028288</v>
      </c>
      <c r="BW26" s="410">
        <f t="shared" si="128"/>
        <v>0.20693682120752072</v>
      </c>
      <c r="BX26" s="39">
        <f t="shared" si="128"/>
        <v>0.21230494502642261</v>
      </c>
      <c r="BY26" s="410">
        <f t="shared" si="128"/>
        <v>0.21506183871550388</v>
      </c>
      <c r="BZ26" s="410">
        <f t="shared" si="128"/>
        <v>0.20722123504735387</v>
      </c>
      <c r="CA26" s="410">
        <f t="shared" si="128"/>
        <v>0.20516919099278513</v>
      </c>
      <c r="CB26" s="410">
        <f t="shared" si="128"/>
        <v>0.20854300185218574</v>
      </c>
      <c r="CC26" s="39">
        <f t="shared" si="128"/>
        <v>0.20888716384807318</v>
      </c>
      <c r="CD26" s="410">
        <f t="shared" si="128"/>
        <v>0.21180919693647313</v>
      </c>
      <c r="CE26" s="410">
        <f t="shared" si="128"/>
        <v>0.2133250521408416</v>
      </c>
      <c r="CF26" s="410">
        <f t="shared" si="128"/>
        <v>0.2053722145642447</v>
      </c>
      <c r="CG26" s="410">
        <f t="shared" si="128"/>
        <v>0.21260304211361364</v>
      </c>
      <c r="CH26" s="39">
        <f t="shared" si="128"/>
        <v>0.210765305172189</v>
      </c>
      <c r="CI26" s="410">
        <f t="shared" si="128"/>
        <v>0.21385783815585388</v>
      </c>
      <c r="CJ26" s="410">
        <f t="shared" si="128"/>
        <v>0.21601473996718665</v>
      </c>
      <c r="CK26" s="410">
        <f t="shared" si="128"/>
        <v>0.21233947924685068</v>
      </c>
      <c r="CL26" s="410">
        <f t="shared" si="128"/>
        <v>0.21326803466212618</v>
      </c>
      <c r="CM26" s="39">
        <f t="shared" si="128"/>
        <v>0.21382954536545593</v>
      </c>
      <c r="CN26" s="410">
        <f t="shared" si="128"/>
        <v>0.21595822615382074</v>
      </c>
      <c r="CO26" s="410">
        <f t="shared" si="128"/>
        <v>0.2138580576307364</v>
      </c>
      <c r="CP26" s="410">
        <f t="shared" si="128"/>
        <v>0.20450332799730389</v>
      </c>
      <c r="CQ26" s="410">
        <f t="shared" si="128"/>
        <v>0.20797603969852377</v>
      </c>
      <c r="CR26" s="39">
        <f t="shared" si="128"/>
        <v>0.21049360949028947</v>
      </c>
      <c r="CS26" s="649">
        <v>0.21299999999999999</v>
      </c>
      <c r="CT26" s="649">
        <v>0.20799999999999999</v>
      </c>
      <c r="CU26" s="649">
        <v>0.20499999999999999</v>
      </c>
      <c r="CV26" s="649">
        <v>0.20100000000000001</v>
      </c>
      <c r="CW26" s="39">
        <f>CW25/CW4</f>
        <v>0.20662234297958179</v>
      </c>
      <c r="CX26" s="384"/>
      <c r="CY26" s="384"/>
      <c r="CZ26" s="384"/>
      <c r="DA26" s="384"/>
      <c r="DB26" s="384"/>
      <c r="DC26" s="384"/>
    </row>
    <row r="27" spans="2:107">
      <c r="B27" s="24"/>
      <c r="C27" s="4" t="s">
        <v>11</v>
      </c>
      <c r="D27" s="50">
        <v>2129</v>
      </c>
      <c r="E27" s="50">
        <v>3190</v>
      </c>
      <c r="F27" s="50">
        <f>3546-2</f>
        <v>3544</v>
      </c>
      <c r="G27" s="64">
        <f>949-1</f>
        <v>948</v>
      </c>
      <c r="H27" s="64">
        <f>954-1</f>
        <v>953</v>
      </c>
      <c r="I27" s="64">
        <f>875-1</f>
        <v>874</v>
      </c>
      <c r="J27" s="64">
        <f>862-1</f>
        <v>861</v>
      </c>
      <c r="K27" s="50">
        <f>SUM(G27:J27)</f>
        <v>3636</v>
      </c>
      <c r="L27" s="64">
        <f>1044-1</f>
        <v>1043</v>
      </c>
      <c r="M27" s="64">
        <f>1059-1</f>
        <v>1058</v>
      </c>
      <c r="N27" s="64">
        <f>1123-1</f>
        <v>1122</v>
      </c>
      <c r="O27" s="64">
        <f>1079-1</f>
        <v>1078</v>
      </c>
      <c r="P27" s="50">
        <f>SUM(L27:O27)</f>
        <v>4301</v>
      </c>
      <c r="Q27" s="45">
        <f>1043-1</f>
        <v>1042</v>
      </c>
      <c r="R27" s="76">
        <f>1067-4</f>
        <v>1063</v>
      </c>
      <c r="S27" s="45">
        <f>1108-7</f>
        <v>1101</v>
      </c>
      <c r="T27" s="76">
        <f>1131-8</f>
        <v>1123</v>
      </c>
      <c r="U27" s="50">
        <f>SUM(Q27:T27)</f>
        <v>4329</v>
      </c>
      <c r="V27" s="76">
        <f>1240-7</f>
        <v>1233</v>
      </c>
      <c r="W27" s="45">
        <f>1414-16</f>
        <v>1398</v>
      </c>
      <c r="X27" s="45">
        <f>1605-18</f>
        <v>1587</v>
      </c>
      <c r="Y27" s="45">
        <f>1579-15</f>
        <v>1564</v>
      </c>
      <c r="Z27" s="112">
        <f>SUM(V27:Y27)</f>
        <v>5782</v>
      </c>
      <c r="AA27" s="45">
        <f>1732-22</f>
        <v>1710</v>
      </c>
      <c r="AB27" s="45">
        <f>1830-29</f>
        <v>1801</v>
      </c>
      <c r="AC27" s="45">
        <f>2088-39</f>
        <v>2049</v>
      </c>
      <c r="AD27" s="45">
        <f>2516-50</f>
        <v>2466</v>
      </c>
      <c r="AE27" s="50">
        <f>SUM(AA27:AD27)</f>
        <v>8026</v>
      </c>
      <c r="AF27" s="45">
        <f>2503-61</f>
        <v>2442</v>
      </c>
      <c r="AG27" s="45">
        <f>2657-63</f>
        <v>2594</v>
      </c>
      <c r="AH27" s="45">
        <f>2806-71</f>
        <v>2735</v>
      </c>
      <c r="AI27" s="45">
        <f>2904-71</f>
        <v>2833</v>
      </c>
      <c r="AJ27" s="50">
        <f>SUM(AF27:AI27)</f>
        <v>10604</v>
      </c>
      <c r="AK27" s="45">
        <f>2974-93</f>
        <v>2881</v>
      </c>
      <c r="AL27" s="45">
        <f>3365-95</f>
        <v>3270</v>
      </c>
      <c r="AM27" s="45">
        <f>3338-134</f>
        <v>3204</v>
      </c>
      <c r="AN27" s="45">
        <f>3817-122</f>
        <v>3695</v>
      </c>
      <c r="AO27" s="50">
        <f>SUM(AK27:AN27)</f>
        <v>13050</v>
      </c>
      <c r="AP27" s="45">
        <f>4069-135</f>
        <v>3934</v>
      </c>
      <c r="AQ27" s="45">
        <f>4495-173</f>
        <v>4322</v>
      </c>
      <c r="AR27" s="45">
        <f>4494-178</f>
        <v>4316</v>
      </c>
      <c r="AS27" s="45">
        <f>4896-154</f>
        <v>4742</v>
      </c>
      <c r="AT27" s="50">
        <f>SUM(AP27:AS27)</f>
        <v>17314</v>
      </c>
      <c r="AU27" s="76">
        <f>5069-138</f>
        <v>4931</v>
      </c>
      <c r="AV27" s="45">
        <f>5542-141</f>
        <v>5401</v>
      </c>
      <c r="AW27" s="45">
        <f>5574-143</f>
        <v>5431</v>
      </c>
      <c r="AX27" s="45">
        <f>5796-196</f>
        <v>5600</v>
      </c>
      <c r="AY27" s="50">
        <f>SUM(AU27:AX27)</f>
        <v>21363</v>
      </c>
      <c r="AZ27" s="253">
        <f>5105-229</f>
        <v>4876</v>
      </c>
      <c r="BA27" s="45">
        <f>5369-228</f>
        <v>5141</v>
      </c>
      <c r="BB27" s="45">
        <f>6549-241</f>
        <v>6308</v>
      </c>
      <c r="BC27" s="45">
        <f>6160-251</f>
        <v>5909</v>
      </c>
      <c r="BD27" s="50">
        <f>SUM(AZ27:BC27)</f>
        <v>22234</v>
      </c>
      <c r="BE27" s="45">
        <f>5132-329</f>
        <v>4803</v>
      </c>
      <c r="BF27" s="45">
        <f>5293-357</f>
        <v>4936</v>
      </c>
      <c r="BG27" s="118">
        <f>5146-287</f>
        <v>4859</v>
      </c>
      <c r="BH27" s="118">
        <f>6516-532</f>
        <v>5984</v>
      </c>
      <c r="BI27" s="50">
        <f>SUM(BE27:BH27)</f>
        <v>20582</v>
      </c>
      <c r="BJ27" s="118">
        <f>6192-523</f>
        <v>5669</v>
      </c>
      <c r="BK27" s="45">
        <f>6509-602</f>
        <v>5907</v>
      </c>
      <c r="BL27" s="45">
        <f>7743-697</f>
        <v>7046</v>
      </c>
      <c r="BM27" s="45">
        <f>7861-829</f>
        <v>7032</v>
      </c>
      <c r="BN27" s="50">
        <f>SUM(BJ27:BM27)</f>
        <v>25654</v>
      </c>
      <c r="BO27" s="45">
        <f>7568-923</f>
        <v>6645</v>
      </c>
      <c r="BP27" s="45">
        <f>7466-883</f>
        <v>6583</v>
      </c>
      <c r="BQ27" s="45">
        <f>8053-983</f>
        <v>7070</v>
      </c>
      <c r="BR27" s="118">
        <f>7937-837</f>
        <v>7100</v>
      </c>
      <c r="BS27" s="50">
        <f>SUM(BO27:BR27)</f>
        <v>27398</v>
      </c>
      <c r="BT27" s="118">
        <f>8706-911</f>
        <v>7795</v>
      </c>
      <c r="BU27" s="45">
        <f>8899-1106</f>
        <v>7793</v>
      </c>
      <c r="BV27" s="118">
        <f>10854-1195</f>
        <v>9659</v>
      </c>
      <c r="BW27" s="118">
        <f>10579-1172</f>
        <v>9407</v>
      </c>
      <c r="BX27" s="50">
        <f>SUM(BT27:BW27)</f>
        <v>34654</v>
      </c>
      <c r="BY27" s="118">
        <f>10701-1474</f>
        <v>9227</v>
      </c>
      <c r="BZ27" s="45">
        <f>11432-1380</f>
        <v>10052</v>
      </c>
      <c r="CA27" s="45">
        <f>11135-1396</f>
        <v>9739</v>
      </c>
      <c r="CB27" s="45">
        <f>12480-1384</f>
        <v>11096</v>
      </c>
      <c r="CC27" s="50">
        <f>SUM(BY27:CB27)</f>
        <v>40114</v>
      </c>
      <c r="CD27" s="118">
        <f>12563-1777</f>
        <v>10786</v>
      </c>
      <c r="CE27" s="118">
        <f>13318-1812</f>
        <v>11506</v>
      </c>
      <c r="CF27" s="45">
        <f>13558-1798</f>
        <v>11760</v>
      </c>
      <c r="CG27" s="45">
        <f>14216-1813</f>
        <v>12403</v>
      </c>
      <c r="CH27" s="50">
        <f>SUM(CD27:CG27)</f>
        <v>46455</v>
      </c>
      <c r="CI27" s="64">
        <f>16009-3242</f>
        <v>12767</v>
      </c>
      <c r="CJ27" s="118">
        <f>14366-1820</f>
        <v>12546</v>
      </c>
      <c r="CK27" s="45">
        <f>15292-1939</f>
        <v>13353</v>
      </c>
      <c r="CL27" s="45">
        <f>17142-2093</f>
        <v>15049</v>
      </c>
      <c r="CM27" s="112">
        <f>SUM(CI27:CL27)</f>
        <v>53715</v>
      </c>
      <c r="CN27" s="64">
        <f>17439-2017</f>
        <v>15422</v>
      </c>
      <c r="CO27" s="118">
        <f>17271-2135</f>
        <v>15136</v>
      </c>
      <c r="CP27" s="64">
        <f>17276-2354</f>
        <v>14922</v>
      </c>
      <c r="CQ27" s="45">
        <f>16694-1897</f>
        <v>14797</v>
      </c>
      <c r="CR27" s="112">
        <f>SUM(CN27:CQ27)</f>
        <v>60277</v>
      </c>
      <c r="CS27" s="64">
        <f>+CS28*CS4</f>
        <v>16181.055618</v>
      </c>
      <c r="CT27" s="64">
        <f>+CT28*CT4</f>
        <v>16013.596320000001</v>
      </c>
      <c r="CU27" s="64">
        <f>+CU28*CU4</f>
        <v>15944.712326400002</v>
      </c>
      <c r="CV27" s="64">
        <f>+CV28*CV4</f>
        <v>16221.415391999997</v>
      </c>
      <c r="CW27" s="112">
        <f>SUM(CS27:CV27)</f>
        <v>64360.779656400002</v>
      </c>
      <c r="CX27" s="95"/>
      <c r="CY27" s="95"/>
      <c r="CZ27" s="95"/>
      <c r="DA27" s="95"/>
      <c r="DB27" s="95"/>
      <c r="DC27" s="95"/>
    </row>
    <row r="28" spans="2:107" s="2" customFormat="1" ht="10.15">
      <c r="B28" s="11"/>
      <c r="C28" s="5" t="s">
        <v>10</v>
      </c>
      <c r="D28" s="34">
        <f t="shared" ref="D28:AI28" si="129">D27/D4</f>
        <v>0.15397410862804659</v>
      </c>
      <c r="E28" s="39">
        <f t="shared" si="129"/>
        <v>0.16063245883478525</v>
      </c>
      <c r="F28" s="39">
        <f t="shared" si="129"/>
        <v>0.14064608302246209</v>
      </c>
      <c r="G28" s="40">
        <f t="shared" si="129"/>
        <v>0.13626563173781803</v>
      </c>
      <c r="H28" s="40">
        <f t="shared" si="129"/>
        <v>0.12562615344054837</v>
      </c>
      <c r="I28" s="40">
        <f t="shared" si="129"/>
        <v>0.10824869952935348</v>
      </c>
      <c r="J28" s="40">
        <f t="shared" si="129"/>
        <v>0.10655940594059406</v>
      </c>
      <c r="K28" s="39">
        <f t="shared" si="129"/>
        <v>0.11844805681336938</v>
      </c>
      <c r="L28" s="40">
        <f t="shared" si="129"/>
        <v>0.12225999296682687</v>
      </c>
      <c r="M28" s="40">
        <f t="shared" si="129"/>
        <v>0.11020833333333334</v>
      </c>
      <c r="N28" s="40">
        <f t="shared" si="129"/>
        <v>0.11646252854473739</v>
      </c>
      <c r="O28" s="40">
        <f t="shared" si="129"/>
        <v>0.10800520989880774</v>
      </c>
      <c r="P28" s="39">
        <f t="shared" si="129"/>
        <v>0.11394584856673555</v>
      </c>
      <c r="Q28" s="40">
        <f t="shared" si="129"/>
        <v>0.10172800937225422</v>
      </c>
      <c r="R28" s="40">
        <f t="shared" si="129"/>
        <v>9.7130847953216373E-2</v>
      </c>
      <c r="S28" s="40">
        <f t="shared" si="129"/>
        <v>9.5814115394656688E-2</v>
      </c>
      <c r="T28" s="40">
        <f t="shared" si="129"/>
        <v>9.4219313700813823E-2</v>
      </c>
      <c r="U28" s="39">
        <f t="shared" si="129"/>
        <v>9.70693095948158E-2</v>
      </c>
      <c r="V28" s="40">
        <f t="shared" si="129"/>
        <v>9.7478061506838479E-2</v>
      </c>
      <c r="W28" s="40">
        <f t="shared" si="129"/>
        <v>0.10030853124775777</v>
      </c>
      <c r="X28" s="40">
        <f t="shared" si="129"/>
        <v>0.10219589155773069</v>
      </c>
      <c r="Y28" s="40">
        <f t="shared" si="129"/>
        <v>9.865018291913713E-2</v>
      </c>
      <c r="Z28" s="39">
        <f t="shared" si="129"/>
        <v>9.9742966068070871E-2</v>
      </c>
      <c r="AA28" s="40">
        <f t="shared" si="129"/>
        <v>0.1034232490625378</v>
      </c>
      <c r="AB28" s="40">
        <f t="shared" si="129"/>
        <v>0.10106054654620952</v>
      </c>
      <c r="AC28" s="40">
        <f t="shared" si="129"/>
        <v>0.10110031085015049</v>
      </c>
      <c r="AD28" s="40">
        <f t="shared" si="129"/>
        <v>0.10967799323963708</v>
      </c>
      <c r="AE28" s="39">
        <f t="shared" si="129"/>
        <v>0.10409047285554951</v>
      </c>
      <c r="AF28" s="40">
        <f t="shared" si="129"/>
        <v>0.10281239474570562</v>
      </c>
      <c r="AG28" s="40">
        <f t="shared" si="129"/>
        <v>0.10109907241406189</v>
      </c>
      <c r="AH28" s="40">
        <f t="shared" si="129"/>
        <v>0.10126629146919432</v>
      </c>
      <c r="AI28" s="40">
        <f t="shared" si="129"/>
        <v>0.10127623065098487</v>
      </c>
      <c r="AJ28" s="39">
        <f t="shared" ref="AJ28:BO28" si="130">AJ27/AJ4</f>
        <v>0.10157963809140634</v>
      </c>
      <c r="AK28" s="40">
        <f t="shared" si="130"/>
        <v>9.9554234769687958E-2</v>
      </c>
      <c r="AL28" s="40">
        <f t="shared" si="130"/>
        <v>0.10514469453376206</v>
      </c>
      <c r="AM28" s="40">
        <f t="shared" si="130"/>
        <v>9.8566418507352482E-2</v>
      </c>
      <c r="AN28" s="40">
        <f t="shared" si="130"/>
        <v>0.10437263431444552</v>
      </c>
      <c r="AO28" s="39">
        <f t="shared" si="130"/>
        <v>0.10199535745269525</v>
      </c>
      <c r="AP28" s="161">
        <f t="shared" si="130"/>
        <v>0.10641060319177711</v>
      </c>
      <c r="AQ28" s="40">
        <f t="shared" si="130"/>
        <v>0.11125984657364979</v>
      </c>
      <c r="AR28" s="40">
        <f t="shared" si="130"/>
        <v>0.10695346186251672</v>
      </c>
      <c r="AS28" s="40">
        <f t="shared" si="130"/>
        <v>0.11197695286672334</v>
      </c>
      <c r="AT28" s="39">
        <f t="shared" si="130"/>
        <v>0.10922418905108568</v>
      </c>
      <c r="AU28" s="40">
        <f t="shared" si="130"/>
        <v>0.10813833636702559</v>
      </c>
      <c r="AV28" s="40">
        <f t="shared" si="130"/>
        <v>0.11406306097020126</v>
      </c>
      <c r="AW28" s="40">
        <f t="shared" si="130"/>
        <v>0.11019803587371155</v>
      </c>
      <c r="AX28" s="40">
        <f t="shared" si="130"/>
        <v>0.10967274436458353</v>
      </c>
      <c r="AY28" s="39">
        <f t="shared" si="130"/>
        <v>0.11052018934788795</v>
      </c>
      <c r="AZ28" s="161">
        <f t="shared" si="130"/>
        <v>9.3892012631903263E-2</v>
      </c>
      <c r="BA28" s="40">
        <f t="shared" si="130"/>
        <v>9.4705622282808932E-2</v>
      </c>
      <c r="BB28" s="40">
        <f t="shared" si="130"/>
        <v>0.11234194122885129</v>
      </c>
      <c r="BC28" s="40">
        <f t="shared" si="130"/>
        <v>0.10152920962199313</v>
      </c>
      <c r="BD28" s="39">
        <f t="shared" si="130"/>
        <v>0.10080429440620949</v>
      </c>
      <c r="BE28" s="161">
        <f t="shared" si="130"/>
        <v>8.1280037906992481E-2</v>
      </c>
      <c r="BF28" s="40">
        <f t="shared" si="130"/>
        <v>8.0797498813245813E-2</v>
      </c>
      <c r="BG28" s="410">
        <f t="shared" si="130"/>
        <v>7.7288922822421585E-2</v>
      </c>
      <c r="BH28" s="410">
        <f t="shared" si="130"/>
        <v>9.1794627928024661E-2</v>
      </c>
      <c r="BI28" s="39">
        <f t="shared" si="130"/>
        <v>8.2911698356429267E-2</v>
      </c>
      <c r="BJ28" s="410">
        <f t="shared" si="130"/>
        <v>8.4695371560044225E-2</v>
      </c>
      <c r="BK28" s="410">
        <f t="shared" si="130"/>
        <v>8.6197084446000966E-2</v>
      </c>
      <c r="BL28" s="410">
        <f t="shared" si="130"/>
        <v>9.9340175953079174E-2</v>
      </c>
      <c r="BM28" s="410">
        <f t="shared" si="130"/>
        <v>9.6682386262081865E-2</v>
      </c>
      <c r="BN28" s="39">
        <f t="shared" si="130"/>
        <v>9.1908972356372076E-2</v>
      </c>
      <c r="BO28" s="410">
        <f t="shared" si="130"/>
        <v>8.95649126590468E-2</v>
      </c>
      <c r="BP28" s="410">
        <f t="shared" ref="BP28:CR28" si="131">BP27/BP4</f>
        <v>8.7107829515832375E-2</v>
      </c>
      <c r="BQ28" s="410">
        <f t="shared" si="131"/>
        <v>8.8867101574971408E-2</v>
      </c>
      <c r="BR28" s="410">
        <f t="shared" si="131"/>
        <v>8.5225908676237583E-2</v>
      </c>
      <c r="BS28" s="39">
        <f t="shared" si="131"/>
        <v>8.7637142948533406E-2</v>
      </c>
      <c r="BT28" s="410">
        <f t="shared" si="131"/>
        <v>8.6520744999667012E-2</v>
      </c>
      <c r="BU28" s="410">
        <f t="shared" si="131"/>
        <v>8.2431589079639087E-2</v>
      </c>
      <c r="BV28" s="410">
        <f t="shared" si="131"/>
        <v>9.8675002809361811E-2</v>
      </c>
      <c r="BW28" s="410">
        <f t="shared" si="131"/>
        <v>9.1546965627311294E-2</v>
      </c>
      <c r="BX28" s="39">
        <f t="shared" si="131"/>
        <v>8.9945908906861577E-2</v>
      </c>
      <c r="BY28" s="410">
        <f t="shared" si="131"/>
        <v>8.7714962022187787E-2</v>
      </c>
      <c r="BZ28" s="410">
        <f t="shared" si="131"/>
        <v>9.2069830918316872E-2</v>
      </c>
      <c r="CA28" s="410">
        <f t="shared" si="131"/>
        <v>8.5067169784951865E-2</v>
      </c>
      <c r="CB28" s="410">
        <f t="shared" si="131"/>
        <v>9.0937402678293366E-2</v>
      </c>
      <c r="CC28" s="39">
        <f t="shared" si="131"/>
        <v>8.8969226504019963E-2</v>
      </c>
      <c r="CD28" s="410">
        <f t="shared" si="131"/>
        <v>8.5692948167921945E-2</v>
      </c>
      <c r="CE28" s="410">
        <f t="shared" si="131"/>
        <v>8.8225371120107962E-2</v>
      </c>
      <c r="CF28" s="410">
        <f t="shared" si="131"/>
        <v>8.6686667502082398E-2</v>
      </c>
      <c r="CG28" s="410">
        <f t="shared" si="131"/>
        <v>8.555858310626703E-2</v>
      </c>
      <c r="CH28" s="39">
        <f t="shared" si="131"/>
        <v>8.6522880929764762E-2</v>
      </c>
      <c r="CI28" s="410">
        <f t="shared" si="131"/>
        <v>8.5354602342621808E-2</v>
      </c>
      <c r="CJ28" s="410">
        <f t="shared" si="131"/>
        <v>8.1681814630589336E-2</v>
      </c>
      <c r="CK28" s="410">
        <f t="shared" si="131"/>
        <v>8.1576921667094321E-2</v>
      </c>
      <c r="CL28" s="410">
        <f t="shared" si="131"/>
        <v>8.8053736827631401E-2</v>
      </c>
      <c r="CM28" s="39">
        <f t="shared" si="131"/>
        <v>8.422381284642462E-2</v>
      </c>
      <c r="CN28" s="410">
        <f t="shared" si="131"/>
        <v>8.4946763683633617E-2</v>
      </c>
      <c r="CO28" s="410">
        <f t="shared" si="131"/>
        <v>8.0768409818569906E-2</v>
      </c>
      <c r="CP28" s="410">
        <f t="shared" si="131"/>
        <v>7.8576543937989726E-2</v>
      </c>
      <c r="CQ28" s="410">
        <f t="shared" si="131"/>
        <v>7.6806884953179833E-2</v>
      </c>
      <c r="CR28" s="39">
        <f t="shared" si="131"/>
        <v>8.0208381847093502E-2</v>
      </c>
      <c r="CS28" s="649">
        <v>8.4000000000000005E-2</v>
      </c>
      <c r="CT28" s="649">
        <v>8.1000000000000003E-2</v>
      </c>
      <c r="CU28" s="649">
        <v>7.8E-2</v>
      </c>
      <c r="CV28" s="649">
        <v>7.8E-2</v>
      </c>
      <c r="CW28" s="39">
        <f>CW27/CW4</f>
        <v>8.0178708992276498E-2</v>
      </c>
      <c r="CX28" s="384"/>
      <c r="CY28" s="384"/>
      <c r="CZ28" s="384"/>
      <c r="DA28" s="384"/>
      <c r="DB28" s="384"/>
      <c r="DC28" s="384"/>
    </row>
    <row r="29" spans="2:107">
      <c r="B29" s="24"/>
      <c r="C29" s="4" t="s">
        <v>12</v>
      </c>
      <c r="D29" s="50">
        <v>3180</v>
      </c>
      <c r="E29" s="50">
        <v>4199</v>
      </c>
      <c r="F29" s="50">
        <f>5458-9</f>
        <v>5449</v>
      </c>
      <c r="G29" s="64">
        <f>1639-17</f>
        <v>1622</v>
      </c>
      <c r="H29" s="64">
        <f>1669-17</f>
        <v>1652</v>
      </c>
      <c r="I29" s="64">
        <f>1684-17</f>
        <v>1667</v>
      </c>
      <c r="J29" s="64">
        <f>1724-23</f>
        <v>1701</v>
      </c>
      <c r="K29" s="50">
        <f>SUM(G29:J29)</f>
        <v>6642</v>
      </c>
      <c r="L29" s="64">
        <f>1652-20</f>
        <v>1632</v>
      </c>
      <c r="M29" s="64">
        <f>1514-21</f>
        <v>1493</v>
      </c>
      <c r="N29" s="64">
        <f>1505-16</f>
        <v>1489</v>
      </c>
      <c r="O29" s="64">
        <f>1668-23</f>
        <v>1645</v>
      </c>
      <c r="P29" s="50">
        <f>SUM(L29:O29)</f>
        <v>6259</v>
      </c>
      <c r="Q29" s="45">
        <f>1665-23</f>
        <v>1642</v>
      </c>
      <c r="R29" s="76">
        <f>1975-99</f>
        <v>1876</v>
      </c>
      <c r="S29" s="45">
        <f>2165-130</f>
        <v>2035</v>
      </c>
      <c r="T29" s="76">
        <f>2180-164</f>
        <v>2016</v>
      </c>
      <c r="U29" s="50">
        <f>SUM(Q29:T29)</f>
        <v>7569</v>
      </c>
      <c r="V29" s="76">
        <f>2455-170</f>
        <v>2285</v>
      </c>
      <c r="W29" s="45">
        <f>2839-262</f>
        <v>2577</v>
      </c>
      <c r="X29" s="45">
        <f>2914-280</f>
        <v>2634</v>
      </c>
      <c r="Y29" s="45">
        <f>2943-274</f>
        <v>2669</v>
      </c>
      <c r="Z29" s="50">
        <f>SUM(V29:Y29)</f>
        <v>10165</v>
      </c>
      <c r="AA29" s="45">
        <f>3188-314</f>
        <v>2874</v>
      </c>
      <c r="AB29" s="45">
        <f>3165-353</f>
        <v>2812</v>
      </c>
      <c r="AC29" s="45">
        <f>3726-322</f>
        <v>3404</v>
      </c>
      <c r="AD29" s="45">
        <f>3445-349</f>
        <v>3096</v>
      </c>
      <c r="AE29" s="50">
        <f>SUM(AA29:AD29)</f>
        <v>12186</v>
      </c>
      <c r="AF29" s="45">
        <f>4047-418</f>
        <v>3629</v>
      </c>
      <c r="AG29" s="45">
        <f>4211-540</f>
        <v>3671</v>
      </c>
      <c r="AH29" s="45">
        <f>4284-508</f>
        <v>3776</v>
      </c>
      <c r="AI29" s="45">
        <f>4647-515</f>
        <v>4132</v>
      </c>
      <c r="AJ29" s="50">
        <f>SUM(AF29:AI29)</f>
        <v>15208</v>
      </c>
      <c r="AK29" s="45">
        <f>4511-611</f>
        <v>3900</v>
      </c>
      <c r="AL29" s="45">
        <f>4842-640</f>
        <v>4202</v>
      </c>
      <c r="AM29" s="45">
        <f>5153-556</f>
        <v>4597</v>
      </c>
      <c r="AN29" s="45">
        <f>5727-598</f>
        <v>5129</v>
      </c>
      <c r="AO29" s="50">
        <f>SUM(AK29:AN29)</f>
        <v>17828</v>
      </c>
      <c r="AP29" s="45">
        <f>5818-650</f>
        <v>5168</v>
      </c>
      <c r="AQ29" s="45">
        <f>6055-704</f>
        <v>5351</v>
      </c>
      <c r="AR29" s="45">
        <f>6276-710</f>
        <v>5566</v>
      </c>
      <c r="AS29" s="45">
        <f>6668-708</f>
        <v>5960</v>
      </c>
      <c r="AT29" s="50">
        <f>SUM(AP29:AS29)</f>
        <v>22045</v>
      </c>
      <c r="AU29" s="76">
        <f>7285-855</f>
        <v>6430</v>
      </c>
      <c r="AV29" s="45">
        <f>7082-968</f>
        <v>6114</v>
      </c>
      <c r="AW29" s="45">
        <f>7149-930</f>
        <v>6219</v>
      </c>
      <c r="AX29" s="45">
        <f>7311-931</f>
        <v>6380</v>
      </c>
      <c r="AY29" s="50">
        <f>SUM(AU29:AX29)</f>
        <v>25143</v>
      </c>
      <c r="AZ29" s="253">
        <f>7827-1103</f>
        <v>6724</v>
      </c>
      <c r="BA29" s="45">
        <f>8139-915</f>
        <v>7224</v>
      </c>
      <c r="BB29" s="45">
        <f>8744-1047</f>
        <v>7697</v>
      </c>
      <c r="BC29" s="253">
        <f>12752-4629</f>
        <v>8123</v>
      </c>
      <c r="BD29" s="359">
        <f>SUM(AZ29:BC29)</f>
        <v>29768</v>
      </c>
      <c r="BE29" s="253">
        <f>10130-2003</f>
        <v>8127</v>
      </c>
      <c r="BF29" s="45">
        <f>9974-1608</f>
        <v>8366</v>
      </c>
      <c r="BG29" s="118">
        <f>11174-1753</f>
        <v>9421</v>
      </c>
      <c r="BH29" s="118">
        <f>10584-798</f>
        <v>9786</v>
      </c>
      <c r="BI29" s="50">
        <f>SUM(BE29:BH29)</f>
        <v>35700</v>
      </c>
      <c r="BJ29" s="118">
        <f>12770-3454+61</f>
        <v>9377</v>
      </c>
      <c r="BK29" s="45">
        <f>10179-917+400</f>
        <v>9662</v>
      </c>
      <c r="BL29" s="45">
        <f>10725-888+22</f>
        <v>9859</v>
      </c>
      <c r="BM29" s="45">
        <f>11045-1015+5</f>
        <v>10035</v>
      </c>
      <c r="BN29" s="50">
        <f>SUM(BJ29:BM29)</f>
        <v>38933</v>
      </c>
      <c r="BO29" s="45">
        <f>11909-1767-72</f>
        <v>10070</v>
      </c>
      <c r="BP29" s="45">
        <f>12743-2160-82</f>
        <v>10501</v>
      </c>
      <c r="BQ29" s="45">
        <f>11939-1784-103</f>
        <v>10052</v>
      </c>
      <c r="BR29" s="118">
        <f>13528-1532+583</f>
        <v>12579</v>
      </c>
      <c r="BS29" s="50">
        <f>SUM(BO29:BR29)</f>
        <v>43202</v>
      </c>
      <c r="BT29" s="118">
        <f>14737-3029</f>
        <v>11708</v>
      </c>
      <c r="BU29" s="45">
        <f>15758-2909</f>
        <v>12849</v>
      </c>
      <c r="BV29" s="118">
        <f>14691-2324</f>
        <v>12367</v>
      </c>
      <c r="BW29" s="118">
        <f>16119-1920</f>
        <v>14199</v>
      </c>
      <c r="BX29" s="50">
        <f>SUM(BT29:BW29)</f>
        <v>51123</v>
      </c>
      <c r="BY29" s="118">
        <f>15468-3330</f>
        <v>12138</v>
      </c>
      <c r="BZ29" s="45">
        <f>17198-3171</f>
        <v>14027</v>
      </c>
      <c r="CA29" s="45">
        <f>16724-2573</f>
        <v>14151</v>
      </c>
      <c r="CB29" s="45">
        <f>17950-2417</f>
        <v>15533</v>
      </c>
      <c r="CC29" s="50">
        <f>SUM(BY29:CB29)</f>
        <v>55849</v>
      </c>
      <c r="CD29" s="118">
        <f>20677-5077</f>
        <v>15600</v>
      </c>
      <c r="CE29" s="118">
        <f>21693-5955</f>
        <v>15738</v>
      </c>
      <c r="CF29" s="45">
        <f>21906-4704</f>
        <v>17202</v>
      </c>
      <c r="CG29" s="45">
        <f>20612-2630</f>
        <v>17982</v>
      </c>
      <c r="CH29" s="50">
        <f>SUM(CD29:CG29)</f>
        <v>66522</v>
      </c>
      <c r="CI29" s="64">
        <f>25907-8250</f>
        <v>17657</v>
      </c>
      <c r="CJ29" s="118">
        <f>23516-4432</f>
        <v>19084</v>
      </c>
      <c r="CK29" s="45">
        <f>27152-4581</f>
        <v>22571</v>
      </c>
      <c r="CL29" s="45">
        <f>26354-4610</f>
        <v>21744</v>
      </c>
      <c r="CM29" s="112">
        <f>SUM(CI29:CL29)</f>
        <v>81056</v>
      </c>
      <c r="CN29" s="64">
        <f>31018-6312</f>
        <v>24706</v>
      </c>
      <c r="CO29" s="118">
        <f>30890-6178</f>
        <v>24712</v>
      </c>
      <c r="CP29" s="64">
        <f>31690-5442</f>
        <v>26248</v>
      </c>
      <c r="CQ29" s="45">
        <f>32996-5027</f>
        <v>27969</v>
      </c>
      <c r="CR29" s="112">
        <f>SUM(CN29:CQ29)</f>
        <v>103635</v>
      </c>
      <c r="CS29" s="64">
        <f>CS30*CS4</f>
        <v>27931.584102499997</v>
      </c>
      <c r="CT29" s="64">
        <f>CT30*CT4</f>
        <v>25107.737440000001</v>
      </c>
      <c r="CU29" s="64">
        <f>CU30*CU4</f>
        <v>25756.842988800003</v>
      </c>
      <c r="CV29" s="64">
        <f>CV30*CV4</f>
        <v>25787.891135999995</v>
      </c>
      <c r="CW29" s="112">
        <f>SUM(CS29:CV29)</f>
        <v>104584.05566729998</v>
      </c>
      <c r="CX29" s="95"/>
      <c r="CY29" s="95"/>
      <c r="CZ29" s="95"/>
      <c r="DA29" s="95"/>
      <c r="DB29" s="95"/>
      <c r="DC29" s="95"/>
    </row>
    <row r="30" spans="2:107" s="2" customFormat="1" ht="10.15">
      <c r="B30" s="11"/>
      <c r="C30" s="5" t="s">
        <v>10</v>
      </c>
      <c r="D30" s="34">
        <f t="shared" ref="D30:AI30" si="132">D29/D4</f>
        <v>0.22998481232371448</v>
      </c>
      <c r="E30" s="39">
        <f t="shared" si="132"/>
        <v>0.21144065662923611</v>
      </c>
      <c r="F30" s="39">
        <f t="shared" si="132"/>
        <v>0.21624732121596951</v>
      </c>
      <c r="G30" s="40">
        <f t="shared" si="132"/>
        <v>0.23314647118010637</v>
      </c>
      <c r="H30" s="40">
        <f t="shared" si="132"/>
        <v>0.21776957553387818</v>
      </c>
      <c r="I30" s="40">
        <f t="shared" si="132"/>
        <v>0.2064651969284122</v>
      </c>
      <c r="J30" s="40">
        <f t="shared" si="132"/>
        <v>0.21051980198019801</v>
      </c>
      <c r="K30" s="39">
        <f t="shared" si="132"/>
        <v>0.21637293546600644</v>
      </c>
      <c r="L30" s="40">
        <f t="shared" si="132"/>
        <v>0.19130230922517877</v>
      </c>
      <c r="M30" s="40">
        <f t="shared" si="132"/>
        <v>0.15552083333333333</v>
      </c>
      <c r="N30" s="40">
        <f t="shared" si="132"/>
        <v>0.15455677807764168</v>
      </c>
      <c r="O30" s="40">
        <f t="shared" si="132"/>
        <v>0.16481314497545335</v>
      </c>
      <c r="P30" s="39">
        <f t="shared" si="132"/>
        <v>0.16581889471732103</v>
      </c>
      <c r="Q30" s="40">
        <f t="shared" si="132"/>
        <v>0.16030459826222787</v>
      </c>
      <c r="R30" s="40">
        <f t="shared" si="132"/>
        <v>0.17141812865497075</v>
      </c>
      <c r="S30" s="40">
        <f t="shared" si="132"/>
        <v>0.1770951179183709</v>
      </c>
      <c r="T30" s="40">
        <f t="shared" si="132"/>
        <v>0.16914170651900326</v>
      </c>
      <c r="U30" s="39">
        <f t="shared" si="132"/>
        <v>0.16971993631858645</v>
      </c>
      <c r="V30" s="40">
        <f t="shared" si="132"/>
        <v>0.18064669143805834</v>
      </c>
      <c r="W30" s="40">
        <f t="shared" si="132"/>
        <v>0.1849034942957595</v>
      </c>
      <c r="X30" s="40">
        <f t="shared" si="132"/>
        <v>0.16961813381415417</v>
      </c>
      <c r="Y30" s="40">
        <f t="shared" si="132"/>
        <v>0.16834868172070139</v>
      </c>
      <c r="Z30" s="39">
        <f t="shared" si="132"/>
        <v>0.17535234349393641</v>
      </c>
      <c r="AA30" s="40">
        <f t="shared" si="132"/>
        <v>0.17382363614370389</v>
      </c>
      <c r="AB30" s="40">
        <f t="shared" si="132"/>
        <v>0.15779136973233826</v>
      </c>
      <c r="AC30" s="40">
        <f t="shared" si="132"/>
        <v>0.16795776385256822</v>
      </c>
      <c r="AD30" s="40">
        <f t="shared" si="132"/>
        <v>0.13769791851983632</v>
      </c>
      <c r="AE30" s="39">
        <f t="shared" si="132"/>
        <v>0.15804217570617071</v>
      </c>
      <c r="AF30" s="40">
        <f t="shared" si="132"/>
        <v>0.15278713371505556</v>
      </c>
      <c r="AG30" s="40">
        <f t="shared" si="132"/>
        <v>0.14307428482344689</v>
      </c>
      <c r="AH30" s="40">
        <f t="shared" si="132"/>
        <v>0.13981042654028436</v>
      </c>
      <c r="AI30" s="40">
        <f t="shared" si="132"/>
        <v>0.14771386694312372</v>
      </c>
      <c r="AJ30" s="39">
        <f t="shared" ref="AJ30:BO30" si="133">AJ29/AJ4</f>
        <v>0.14568305696851261</v>
      </c>
      <c r="AK30" s="40">
        <f t="shared" si="133"/>
        <v>0.13476623241991775</v>
      </c>
      <c r="AL30" s="40">
        <f t="shared" si="133"/>
        <v>0.13511254019292604</v>
      </c>
      <c r="AM30" s="40">
        <f t="shared" si="133"/>
        <v>0.14142004553005599</v>
      </c>
      <c r="AN30" s="40">
        <f t="shared" si="133"/>
        <v>0.1448788204056268</v>
      </c>
      <c r="AO30" s="39">
        <f t="shared" si="133"/>
        <v>0.13933894503192729</v>
      </c>
      <c r="AP30" s="40">
        <f t="shared" si="133"/>
        <v>0.13978901812280228</v>
      </c>
      <c r="AQ30" s="40">
        <f t="shared" si="133"/>
        <v>0.13774906039231838</v>
      </c>
      <c r="AR30" s="40">
        <f t="shared" si="133"/>
        <v>0.13792932546959411</v>
      </c>
      <c r="AS30" s="40">
        <f t="shared" si="133"/>
        <v>0.14073864173042411</v>
      </c>
      <c r="AT30" s="39">
        <f t="shared" si="133"/>
        <v>0.13906938013348641</v>
      </c>
      <c r="AU30" s="40">
        <f t="shared" si="133"/>
        <v>0.14101186429526963</v>
      </c>
      <c r="AV30" s="40">
        <f t="shared" si="133"/>
        <v>0.12912082110198306</v>
      </c>
      <c r="AW30" s="40">
        <f t="shared" si="133"/>
        <v>0.12618699780861942</v>
      </c>
      <c r="AX30" s="40">
        <f t="shared" si="133"/>
        <v>0.1249485909010791</v>
      </c>
      <c r="AY30" s="39">
        <f t="shared" si="133"/>
        <v>0.13007579088957294</v>
      </c>
      <c r="AZ30" s="161">
        <f t="shared" si="133"/>
        <v>0.12947700839559423</v>
      </c>
      <c r="BA30" s="40">
        <f t="shared" si="133"/>
        <v>0.13307788667010537</v>
      </c>
      <c r="BB30" s="40">
        <f t="shared" si="133"/>
        <v>0.13707925200356189</v>
      </c>
      <c r="BC30" s="40">
        <f t="shared" si="133"/>
        <v>0.13957044673539518</v>
      </c>
      <c r="BD30" s="39">
        <f t="shared" si="133"/>
        <v>0.13496187082324565</v>
      </c>
      <c r="BE30" s="161">
        <f t="shared" si="133"/>
        <v>0.1375313071143302</v>
      </c>
      <c r="BF30" s="40">
        <f t="shared" si="133"/>
        <v>0.13694324859635626</v>
      </c>
      <c r="BG30" s="410">
        <f t="shared" si="133"/>
        <v>0.14985366164026215</v>
      </c>
      <c r="BH30" s="410">
        <f t="shared" si="133"/>
        <v>0.1501173510868398</v>
      </c>
      <c r="BI30" s="39">
        <f t="shared" si="133"/>
        <v>0.14381243957460521</v>
      </c>
      <c r="BJ30" s="410">
        <f t="shared" si="133"/>
        <v>0.14009322616308603</v>
      </c>
      <c r="BK30" s="410">
        <f t="shared" si="133"/>
        <v>0.14099140509857142</v>
      </c>
      <c r="BL30" s="410">
        <f t="shared" si="133"/>
        <v>0.13900011279043537</v>
      </c>
      <c r="BM30" s="410">
        <f t="shared" si="133"/>
        <v>0.13797038483219445</v>
      </c>
      <c r="BN30" s="39">
        <f t="shared" si="133"/>
        <v>0.13948281050715811</v>
      </c>
      <c r="BO30" s="410">
        <f t="shared" si="133"/>
        <v>0.13572891956006039</v>
      </c>
      <c r="BP30" s="410">
        <f t="shared" ref="BP30:CR30" si="134">BP29/BP4</f>
        <v>0.13895174202426794</v>
      </c>
      <c r="BQ30" s="410">
        <f t="shared" si="134"/>
        <v>0.12634966124916727</v>
      </c>
      <c r="BR30" s="410">
        <f t="shared" si="134"/>
        <v>0.15099390214625247</v>
      </c>
      <c r="BS30" s="39">
        <f t="shared" si="134"/>
        <v>0.13818891341202061</v>
      </c>
      <c r="BT30" s="410">
        <f t="shared" si="134"/>
        <v>0.12995316003285456</v>
      </c>
      <c r="BU30" s="410">
        <f t="shared" si="134"/>
        <v>0.13591216323422078</v>
      </c>
      <c r="BV30" s="410">
        <f t="shared" si="134"/>
        <v>0.12633955479277126</v>
      </c>
      <c r="BW30" s="410">
        <f t="shared" si="134"/>
        <v>0.13818171201681653</v>
      </c>
      <c r="BX30" s="39">
        <f t="shared" si="134"/>
        <v>0.13269188841246277</v>
      </c>
      <c r="BY30" s="410">
        <f t="shared" si="134"/>
        <v>0.11538790603937524</v>
      </c>
      <c r="BZ30" s="410">
        <f t="shared" si="134"/>
        <v>0.12847826485189323</v>
      </c>
      <c r="CA30" s="410">
        <f t="shared" si="134"/>
        <v>0.12360463288087627</v>
      </c>
      <c r="CB30" s="410">
        <f t="shared" si="134"/>
        <v>0.12730089003261813</v>
      </c>
      <c r="CC30" s="39">
        <f t="shared" si="134"/>
        <v>0.12386803437759911</v>
      </c>
      <c r="CD30" s="410">
        <f t="shared" si="134"/>
        <v>0.12393936504909905</v>
      </c>
      <c r="CE30" s="410">
        <f t="shared" si="134"/>
        <v>0.12067537725432462</v>
      </c>
      <c r="CF30" s="410">
        <f t="shared" si="134"/>
        <v>0.12680136516758686</v>
      </c>
      <c r="CG30" s="410">
        <f t="shared" si="134"/>
        <v>0.12404373469458145</v>
      </c>
      <c r="CH30" s="39">
        <f t="shared" si="134"/>
        <v>0.12389785997653238</v>
      </c>
      <c r="CI30" s="410">
        <f t="shared" si="134"/>
        <v>0.11804701288976842</v>
      </c>
      <c r="CJ30" s="410">
        <f t="shared" si="134"/>
        <v>0.12424802729237741</v>
      </c>
      <c r="CK30" s="410">
        <f t="shared" si="134"/>
        <v>0.13789206163019441</v>
      </c>
      <c r="CL30" s="410">
        <f t="shared" si="134"/>
        <v>0.12722708841650723</v>
      </c>
      <c r="CM30" s="39">
        <f t="shared" si="134"/>
        <v>0.12709383550367298</v>
      </c>
      <c r="CN30" s="410">
        <f t="shared" si="134"/>
        <v>0.13608447306236884</v>
      </c>
      <c r="CO30" s="410">
        <f t="shared" si="134"/>
        <v>0.13186766275346851</v>
      </c>
      <c r="CP30" s="410">
        <f t="shared" si="134"/>
        <v>0.13821720448226471</v>
      </c>
      <c r="CQ30" s="410">
        <f t="shared" si="134"/>
        <v>0.14517887174802235</v>
      </c>
      <c r="CR30" s="39">
        <f t="shared" si="134"/>
        <v>0.13790327409664607</v>
      </c>
      <c r="CS30" s="649">
        <v>0.14499999999999999</v>
      </c>
      <c r="CT30" s="649">
        <v>0.127</v>
      </c>
      <c r="CU30" s="649">
        <v>0.126</v>
      </c>
      <c r="CV30" s="649">
        <v>0.124</v>
      </c>
      <c r="CW30" s="39">
        <f>CW29/CW4</f>
        <v>0.13028764737387158</v>
      </c>
      <c r="CX30" s="384"/>
      <c r="CY30" s="384"/>
      <c r="CZ30" s="384"/>
      <c r="DA30" s="384"/>
      <c r="DB30" s="384"/>
      <c r="DC30" s="384"/>
    </row>
    <row r="31" spans="2:107">
      <c r="B31" s="24"/>
      <c r="C31" s="4" t="s">
        <v>13</v>
      </c>
      <c r="D31" s="50">
        <f t="shared" ref="D31:AI31" si="135">D29+D27+D25</f>
        <v>10343</v>
      </c>
      <c r="E31" s="50">
        <f t="shared" si="135"/>
        <v>15487</v>
      </c>
      <c r="F31" s="50">
        <f t="shared" si="135"/>
        <v>20596</v>
      </c>
      <c r="G31" s="45">
        <f t="shared" si="135"/>
        <v>5718</v>
      </c>
      <c r="H31" s="45">
        <f t="shared" si="135"/>
        <v>5830</v>
      </c>
      <c r="I31" s="45">
        <f t="shared" si="135"/>
        <v>5627</v>
      </c>
      <c r="J31" s="45">
        <f t="shared" si="135"/>
        <v>5536</v>
      </c>
      <c r="K31" s="50">
        <f t="shared" si="135"/>
        <v>22711</v>
      </c>
      <c r="L31" s="45">
        <f t="shared" si="135"/>
        <v>5735</v>
      </c>
      <c r="M31" s="45">
        <f t="shared" si="135"/>
        <v>5931</v>
      </c>
      <c r="N31" s="45">
        <f t="shared" si="135"/>
        <v>6102</v>
      </c>
      <c r="O31" s="45">
        <f t="shared" si="135"/>
        <v>6207</v>
      </c>
      <c r="P31" s="50">
        <f t="shared" si="135"/>
        <v>23975</v>
      </c>
      <c r="Q31" s="45">
        <f t="shared" si="135"/>
        <v>6174</v>
      </c>
      <c r="R31" s="45">
        <f t="shared" si="135"/>
        <v>7013</v>
      </c>
      <c r="S31" s="45">
        <f t="shared" si="135"/>
        <v>7211</v>
      </c>
      <c r="T31" s="76">
        <f t="shared" si="135"/>
        <v>7890</v>
      </c>
      <c r="U31" s="50">
        <f t="shared" si="135"/>
        <v>28288</v>
      </c>
      <c r="V31" s="76">
        <f t="shared" si="135"/>
        <v>8555</v>
      </c>
      <c r="W31" s="45">
        <f t="shared" si="135"/>
        <v>9690</v>
      </c>
      <c r="X31" s="45">
        <f t="shared" si="135"/>
        <v>10504</v>
      </c>
      <c r="Y31" s="45">
        <f t="shared" si="135"/>
        <v>10563</v>
      </c>
      <c r="Z31" s="50">
        <f t="shared" si="135"/>
        <v>39312</v>
      </c>
      <c r="AA31" s="45">
        <f t="shared" si="135"/>
        <v>10933</v>
      </c>
      <c r="AB31" s="45">
        <f t="shared" si="135"/>
        <v>11368</v>
      </c>
      <c r="AC31" s="45">
        <f t="shared" si="135"/>
        <v>13061</v>
      </c>
      <c r="AD31" s="45">
        <f t="shared" si="135"/>
        <v>14072</v>
      </c>
      <c r="AE31" s="50">
        <f t="shared" si="135"/>
        <v>49434</v>
      </c>
      <c r="AF31" s="45">
        <f t="shared" si="135"/>
        <v>14954</v>
      </c>
      <c r="AG31" s="45">
        <f t="shared" si="135"/>
        <v>15526</v>
      </c>
      <c r="AH31" s="45">
        <f t="shared" si="135"/>
        <v>16424</v>
      </c>
      <c r="AI31" s="45">
        <f t="shared" si="135"/>
        <v>17048</v>
      </c>
      <c r="AJ31" s="50">
        <f t="shared" ref="AJ31:BN31" si="136">AJ29+AJ27+AJ25</f>
        <v>63952</v>
      </c>
      <c r="AK31" s="45">
        <f t="shared" si="136"/>
        <v>17183</v>
      </c>
      <c r="AL31" s="45">
        <f t="shared" si="136"/>
        <v>18570</v>
      </c>
      <c r="AM31" s="45">
        <f t="shared" si="136"/>
        <v>19378</v>
      </c>
      <c r="AN31" s="45">
        <f t="shared" si="136"/>
        <v>20804</v>
      </c>
      <c r="AO31" s="50">
        <f t="shared" si="136"/>
        <v>75935</v>
      </c>
      <c r="AP31" s="45">
        <f t="shared" si="136"/>
        <v>22304</v>
      </c>
      <c r="AQ31" s="45">
        <f t="shared" si="136"/>
        <v>23292</v>
      </c>
      <c r="AR31" s="45">
        <f t="shared" si="136"/>
        <v>23211</v>
      </c>
      <c r="AS31" s="45">
        <f t="shared" si="136"/>
        <v>23948</v>
      </c>
      <c r="AT31" s="50">
        <f t="shared" si="136"/>
        <v>92755</v>
      </c>
      <c r="AU31" s="45">
        <f t="shared" si="136"/>
        <v>26596</v>
      </c>
      <c r="AV31" s="45">
        <f t="shared" si="136"/>
        <v>27553</v>
      </c>
      <c r="AW31" s="45">
        <f t="shared" si="136"/>
        <v>27556</v>
      </c>
      <c r="AX31" s="45">
        <f t="shared" si="136"/>
        <v>28275</v>
      </c>
      <c r="AY31" s="50">
        <f t="shared" si="136"/>
        <v>109980</v>
      </c>
      <c r="AZ31" s="253">
        <f t="shared" si="136"/>
        <v>28162</v>
      </c>
      <c r="BA31" s="45">
        <f t="shared" si="136"/>
        <v>30532</v>
      </c>
      <c r="BB31" s="45">
        <f t="shared" si="136"/>
        <v>31679</v>
      </c>
      <c r="BC31" s="253">
        <f t="shared" si="136"/>
        <v>32727</v>
      </c>
      <c r="BD31" s="359">
        <f t="shared" si="136"/>
        <v>123100</v>
      </c>
      <c r="BE31" s="253">
        <f t="shared" si="136"/>
        <v>30924</v>
      </c>
      <c r="BF31" s="45">
        <f t="shared" si="136"/>
        <v>31016</v>
      </c>
      <c r="BG31" s="118">
        <f t="shared" si="136"/>
        <v>30541</v>
      </c>
      <c r="BH31" s="118">
        <f t="shared" si="136"/>
        <v>32845</v>
      </c>
      <c r="BI31" s="50">
        <f t="shared" si="136"/>
        <v>125326</v>
      </c>
      <c r="BJ31" s="118">
        <f>BJ29+BJ27+BJ25</f>
        <v>32238</v>
      </c>
      <c r="BK31" s="45">
        <f t="shared" si="136"/>
        <v>32420</v>
      </c>
      <c r="BL31" s="45">
        <f t="shared" si="136"/>
        <v>33058</v>
      </c>
      <c r="BM31" s="45">
        <f t="shared" si="136"/>
        <v>34065</v>
      </c>
      <c r="BN31" s="50">
        <f t="shared" si="136"/>
        <v>131781</v>
      </c>
      <c r="BO31" s="45">
        <f t="shared" ref="BO31:BS31" si="137">BO29+BO27+BO25</f>
        <v>34168</v>
      </c>
      <c r="BP31" s="45">
        <f t="shared" si="137"/>
        <v>34685</v>
      </c>
      <c r="BQ31" s="45">
        <f t="shared" si="137"/>
        <v>35232</v>
      </c>
      <c r="BR31" s="118">
        <f t="shared" si="137"/>
        <v>38351</v>
      </c>
      <c r="BS31" s="50">
        <f t="shared" si="137"/>
        <v>142436</v>
      </c>
      <c r="BT31" s="118">
        <f t="shared" ref="BT31:BX31" si="138">BT29+BT27+BT25</f>
        <v>39376</v>
      </c>
      <c r="BU31" s="45">
        <f t="shared" si="138"/>
        <v>40856</v>
      </c>
      <c r="BV31" s="118">
        <f t="shared" si="138"/>
        <v>42471</v>
      </c>
      <c r="BW31" s="118">
        <f t="shared" si="138"/>
        <v>44870</v>
      </c>
      <c r="BX31" s="50">
        <f t="shared" si="138"/>
        <v>167573</v>
      </c>
      <c r="BY31" s="118">
        <f t="shared" ref="BY31:CC31" si="139">BY29+BY27+BY25</f>
        <v>43988</v>
      </c>
      <c r="BZ31" s="45">
        <f>BZ29+BZ27+BZ25</f>
        <v>46703</v>
      </c>
      <c r="CA31" s="45">
        <f>CA29+CA27+CA25</f>
        <v>47379</v>
      </c>
      <c r="CB31" s="45">
        <f>CB29+CB27+CB25</f>
        <v>52075</v>
      </c>
      <c r="CC31" s="50">
        <f t="shared" si="139"/>
        <v>190145</v>
      </c>
      <c r="CD31" s="118">
        <f t="shared" ref="CD31:CE31" si="140">CD29+CD27+CD25</f>
        <v>53046</v>
      </c>
      <c r="CE31" s="118">
        <f t="shared" si="140"/>
        <v>55065</v>
      </c>
      <c r="CF31" s="45">
        <f>CF29+CF27+CF25</f>
        <v>56823</v>
      </c>
      <c r="CG31" s="45">
        <f t="shared" ref="CG31:CJ31" si="141">CG29+CG27+CG25</f>
        <v>61205</v>
      </c>
      <c r="CH31" s="50">
        <f t="shared" si="141"/>
        <v>226139</v>
      </c>
      <c r="CI31" s="64">
        <f t="shared" si="141"/>
        <v>62412</v>
      </c>
      <c r="CJ31" s="118">
        <f t="shared" si="141"/>
        <v>64809</v>
      </c>
      <c r="CK31" s="45">
        <f>CK29+CK27+CK25</f>
        <v>70681</v>
      </c>
      <c r="CL31" s="45">
        <f t="shared" ref="CL31" si="142">CL29+CL27+CL25</f>
        <v>73242</v>
      </c>
      <c r="CM31" s="112">
        <f t="shared" ref="CM31:CO31" si="143">CM29+CM27+CM25</f>
        <v>271144</v>
      </c>
      <c r="CN31" s="64">
        <f t="shared" si="143"/>
        <v>79335</v>
      </c>
      <c r="CO31" s="118">
        <f t="shared" si="143"/>
        <v>79925</v>
      </c>
      <c r="CP31" s="64">
        <f>CP29+CP27+CP25</f>
        <v>80006</v>
      </c>
      <c r="CQ31" s="45">
        <f t="shared" ref="CQ31" si="144">CQ29+CQ27+CQ25</f>
        <v>82833</v>
      </c>
      <c r="CR31" s="112">
        <f t="shared" ref="CR31:CT31" si="145">CR29+CR27+CR25</f>
        <v>322099</v>
      </c>
      <c r="CS31" s="64">
        <f t="shared" si="145"/>
        <v>85143.17360899999</v>
      </c>
      <c r="CT31" s="64">
        <f t="shared" si="145"/>
        <v>82242.667520000003</v>
      </c>
      <c r="CU31" s="64">
        <f>CU29+CU27+CU25</f>
        <v>83607.5300192</v>
      </c>
      <c r="CV31" s="64">
        <f t="shared" ref="CV31:CW31" si="146">CV29+CV27+CV25</f>
        <v>83810.646191999986</v>
      </c>
      <c r="CW31" s="112">
        <f t="shared" si="146"/>
        <v>334804.01734019996</v>
      </c>
      <c r="CX31" s="95"/>
      <c r="CY31" s="95"/>
      <c r="CZ31" s="95"/>
      <c r="DA31" s="95"/>
      <c r="DB31" s="95"/>
      <c r="DC31" s="95"/>
    </row>
    <row r="32" spans="2:107">
      <c r="B32" s="24"/>
      <c r="D32" s="50"/>
      <c r="E32" s="50"/>
      <c r="F32" s="50"/>
      <c r="G32" s="45"/>
      <c r="H32" s="45"/>
      <c r="I32" s="45"/>
      <c r="J32" s="45"/>
      <c r="K32" s="50"/>
      <c r="L32" s="45"/>
      <c r="M32" s="45"/>
      <c r="N32" s="45"/>
      <c r="O32" s="45"/>
      <c r="P32" s="50"/>
      <c r="Q32" s="45"/>
      <c r="R32" s="45"/>
      <c r="S32" s="45"/>
      <c r="T32" s="76"/>
      <c r="U32" s="89"/>
      <c r="V32" s="45"/>
      <c r="W32" s="76"/>
      <c r="X32" s="45"/>
      <c r="Y32" s="45"/>
      <c r="Z32" s="50"/>
      <c r="AA32" s="45"/>
      <c r="AB32" s="76"/>
      <c r="AC32" s="45"/>
      <c r="AD32" s="45"/>
      <c r="AE32" s="50"/>
      <c r="AF32" s="45"/>
      <c r="AG32" s="76"/>
      <c r="AH32" s="45"/>
      <c r="AI32" s="45"/>
      <c r="AJ32" s="50"/>
      <c r="AK32" s="45"/>
      <c r="AL32" s="76"/>
      <c r="AM32" s="45"/>
      <c r="AN32" s="45"/>
      <c r="AO32" s="50"/>
      <c r="AP32" s="45"/>
      <c r="AQ32" s="76"/>
      <c r="AR32" s="45"/>
      <c r="AS32" s="45"/>
      <c r="AT32" s="50"/>
      <c r="AU32" s="45"/>
      <c r="AV32" s="76"/>
      <c r="AW32" s="45"/>
      <c r="AX32" s="45"/>
      <c r="AY32" s="50"/>
      <c r="AZ32" s="253"/>
      <c r="BA32" s="76"/>
      <c r="BB32" s="45"/>
      <c r="BC32" s="253"/>
      <c r="BD32" s="359"/>
      <c r="BE32" s="253"/>
      <c r="BF32" s="76"/>
      <c r="BG32" s="118"/>
      <c r="BH32" s="118"/>
      <c r="BI32" s="50"/>
      <c r="BJ32" s="118"/>
      <c r="BK32" s="76"/>
      <c r="BL32" s="45"/>
      <c r="BM32" s="45"/>
      <c r="BN32" s="50"/>
      <c r="BO32" s="118"/>
      <c r="BP32" s="76"/>
      <c r="BQ32" s="45"/>
      <c r="BR32" s="118"/>
      <c r="BS32" s="50"/>
      <c r="BT32" s="118"/>
      <c r="BU32" s="76"/>
      <c r="BV32" s="118"/>
      <c r="BW32" s="118"/>
      <c r="BX32" s="50"/>
      <c r="BY32" s="118"/>
      <c r="BZ32" s="76"/>
      <c r="CA32" s="45"/>
      <c r="CB32" s="118"/>
      <c r="CC32" s="50"/>
      <c r="CD32" s="118"/>
      <c r="CE32" s="76"/>
      <c r="CF32" s="45"/>
      <c r="CG32" s="45"/>
      <c r="CH32" s="50"/>
      <c r="CI32" s="119"/>
      <c r="CJ32" s="76"/>
      <c r="CK32" s="45"/>
      <c r="CL32" s="45"/>
      <c r="CM32" s="112"/>
      <c r="CN32" s="119"/>
      <c r="CO32" s="76"/>
      <c r="CP32" s="64"/>
      <c r="CQ32" s="45"/>
      <c r="CR32" s="112"/>
      <c r="CS32" s="119"/>
      <c r="CT32" s="98"/>
      <c r="CU32" s="64"/>
      <c r="CV32" s="64"/>
      <c r="CW32" s="112"/>
      <c r="CX32" s="95"/>
      <c r="CY32" s="95"/>
      <c r="CZ32" s="95"/>
      <c r="DA32" s="95"/>
      <c r="DB32" s="95"/>
      <c r="DC32" s="95"/>
    </row>
    <row r="33" spans="2:107" s="1" customFormat="1" ht="13.15">
      <c r="B33" s="6" t="s">
        <v>14</v>
      </c>
      <c r="D33" s="49">
        <f t="shared" ref="D33:AI33" si="147">D21-D31</f>
        <v>-339</v>
      </c>
      <c r="E33" s="49">
        <f t="shared" si="147"/>
        <v>-847</v>
      </c>
      <c r="F33" s="49">
        <f t="shared" si="147"/>
        <v>-1775</v>
      </c>
      <c r="G33" s="44">
        <f t="shared" si="147"/>
        <v>-743</v>
      </c>
      <c r="H33" s="44">
        <f t="shared" si="147"/>
        <v>-439</v>
      </c>
      <c r="I33" s="44">
        <f t="shared" si="147"/>
        <v>16</v>
      </c>
      <c r="J33" s="44">
        <f t="shared" si="147"/>
        <v>-87</v>
      </c>
      <c r="K33" s="49">
        <f t="shared" si="147"/>
        <v>-1253</v>
      </c>
      <c r="L33" s="44">
        <f t="shared" si="147"/>
        <v>-29</v>
      </c>
      <c r="M33" s="44">
        <f t="shared" si="147"/>
        <v>784</v>
      </c>
      <c r="N33" s="44">
        <f t="shared" si="147"/>
        <v>543</v>
      </c>
      <c r="O33" s="44">
        <f t="shared" si="147"/>
        <v>811</v>
      </c>
      <c r="P33" s="49">
        <f t="shared" si="147"/>
        <v>2109</v>
      </c>
      <c r="Q33" s="44">
        <f t="shared" si="147"/>
        <v>1098</v>
      </c>
      <c r="R33" s="44">
        <f t="shared" si="147"/>
        <v>854</v>
      </c>
      <c r="S33" s="44">
        <f t="shared" si="147"/>
        <v>1100</v>
      </c>
      <c r="T33" s="44">
        <f t="shared" si="147"/>
        <v>734</v>
      </c>
      <c r="U33" s="49">
        <f t="shared" si="147"/>
        <v>3786</v>
      </c>
      <c r="V33" s="44">
        <f t="shared" si="147"/>
        <v>819</v>
      </c>
      <c r="W33" s="44">
        <f t="shared" si="147"/>
        <v>569</v>
      </c>
      <c r="X33" s="44">
        <f t="shared" si="147"/>
        <v>1017</v>
      </c>
      <c r="Y33" s="44">
        <f t="shared" si="147"/>
        <v>1141</v>
      </c>
      <c r="Z33" s="49">
        <f t="shared" si="147"/>
        <v>3546</v>
      </c>
      <c r="AA33" s="44">
        <f t="shared" si="147"/>
        <v>1331</v>
      </c>
      <c r="AB33" s="44">
        <f t="shared" si="147"/>
        <v>1726</v>
      </c>
      <c r="AC33" s="44">
        <f t="shared" si="147"/>
        <v>1383</v>
      </c>
      <c r="AD33" s="44">
        <f t="shared" si="147"/>
        <v>1654</v>
      </c>
      <c r="AE33" s="49">
        <f t="shared" si="147"/>
        <v>6094</v>
      </c>
      <c r="AF33" s="44">
        <f t="shared" si="147"/>
        <v>1835</v>
      </c>
      <c r="AG33" s="44">
        <f t="shared" si="147"/>
        <v>2311</v>
      </c>
      <c r="AH33" s="44">
        <f t="shared" si="147"/>
        <v>2463</v>
      </c>
      <c r="AI33" s="44">
        <f t="shared" si="147"/>
        <v>2524</v>
      </c>
      <c r="AJ33" s="49">
        <f t="shared" ref="AJ33:BN33" si="148">AJ21-AJ31</f>
        <v>9133</v>
      </c>
      <c r="AK33" s="44">
        <f t="shared" si="148"/>
        <v>2654</v>
      </c>
      <c r="AL33" s="44">
        <f t="shared" si="148"/>
        <v>3055</v>
      </c>
      <c r="AM33" s="44">
        <f t="shared" si="148"/>
        <v>3292</v>
      </c>
      <c r="AN33" s="44">
        <f t="shared" si="148"/>
        <v>3634</v>
      </c>
      <c r="AO33" s="49">
        <f t="shared" si="148"/>
        <v>12635</v>
      </c>
      <c r="AP33" s="44">
        <f t="shared" si="148"/>
        <v>3266</v>
      </c>
      <c r="AQ33" s="44">
        <f t="shared" si="148"/>
        <v>3507</v>
      </c>
      <c r="AR33" s="44">
        <f t="shared" si="148"/>
        <v>4699</v>
      </c>
      <c r="AS33" s="44">
        <f t="shared" si="148"/>
        <v>5237</v>
      </c>
      <c r="AT33" s="49">
        <f t="shared" si="148"/>
        <v>16709</v>
      </c>
      <c r="AU33" s="44">
        <f t="shared" si="148"/>
        <v>4402</v>
      </c>
      <c r="AV33" s="44">
        <f t="shared" si="148"/>
        <v>4143</v>
      </c>
      <c r="AW33" s="44">
        <f t="shared" si="148"/>
        <v>5876</v>
      </c>
      <c r="AX33" s="44">
        <f t="shared" si="148"/>
        <v>5857</v>
      </c>
      <c r="AY33" s="49">
        <f t="shared" si="148"/>
        <v>20278</v>
      </c>
      <c r="AZ33" s="44">
        <f t="shared" si="148"/>
        <v>6891</v>
      </c>
      <c r="BA33" s="44">
        <f t="shared" si="148"/>
        <v>6030</v>
      </c>
      <c r="BB33" s="44">
        <f t="shared" si="148"/>
        <v>6320</v>
      </c>
      <c r="BC33" s="44">
        <f t="shared" si="148"/>
        <v>6487</v>
      </c>
      <c r="BD33" s="49">
        <f t="shared" si="148"/>
        <v>25728</v>
      </c>
      <c r="BE33" s="44">
        <f t="shared" si="148"/>
        <v>8958</v>
      </c>
      <c r="BF33" s="44">
        <f t="shared" si="148"/>
        <v>10177</v>
      </c>
      <c r="BG33" s="120">
        <f t="shared" si="148"/>
        <v>12451</v>
      </c>
      <c r="BH33" s="120">
        <f t="shared" si="148"/>
        <v>11748</v>
      </c>
      <c r="BI33" s="49">
        <f t="shared" si="148"/>
        <v>43334</v>
      </c>
      <c r="BJ33" s="120">
        <f t="shared" si="148"/>
        <v>13916</v>
      </c>
      <c r="BK33" s="44">
        <f t="shared" si="148"/>
        <v>13071</v>
      </c>
      <c r="BL33" s="44">
        <f t="shared" si="148"/>
        <v>15385</v>
      </c>
      <c r="BM33" s="44">
        <f t="shared" si="148"/>
        <v>15551</v>
      </c>
      <c r="BN33" s="49">
        <f t="shared" si="148"/>
        <v>57923</v>
      </c>
      <c r="BO33" s="120">
        <f t="shared" ref="BO33:BS33" si="149">BO21-BO31</f>
        <v>17288</v>
      </c>
      <c r="BP33" s="44">
        <f t="shared" si="149"/>
        <v>17518</v>
      </c>
      <c r="BQ33" s="120">
        <f t="shared" si="149"/>
        <v>20283</v>
      </c>
      <c r="BR33" s="120">
        <f t="shared" si="149"/>
        <v>19217</v>
      </c>
      <c r="BS33" s="49">
        <f t="shared" si="149"/>
        <v>74306</v>
      </c>
      <c r="BT33" s="120">
        <f t="shared" ref="BT33:BX33" si="150">BT21-BT31</f>
        <v>22251</v>
      </c>
      <c r="BU33" s="44">
        <f t="shared" si="150"/>
        <v>23699</v>
      </c>
      <c r="BV33" s="120">
        <f t="shared" si="150"/>
        <v>22769</v>
      </c>
      <c r="BW33" s="120">
        <f t="shared" si="150"/>
        <v>24066</v>
      </c>
      <c r="BX33" s="49">
        <f t="shared" si="150"/>
        <v>92785</v>
      </c>
      <c r="BY33" s="120">
        <f t="shared" ref="BY33:CC33" si="151">BY21-BY31</f>
        <v>27995</v>
      </c>
      <c r="BZ33" s="44">
        <f t="shared" si="151"/>
        <v>27097</v>
      </c>
      <c r="CA33" s="44">
        <f t="shared" si="151"/>
        <v>30648</v>
      </c>
      <c r="CB33" s="120">
        <f t="shared" si="151"/>
        <v>30609</v>
      </c>
      <c r="CC33" s="49">
        <f t="shared" si="151"/>
        <v>116349</v>
      </c>
      <c r="CD33" s="120">
        <f t="shared" ref="CD33:CH33" si="152">CD21-CD31</f>
        <v>32361</v>
      </c>
      <c r="CE33" s="44">
        <f t="shared" si="152"/>
        <v>33393</v>
      </c>
      <c r="CF33" s="44">
        <f t="shared" si="152"/>
        <v>35823</v>
      </c>
      <c r="CG33" s="44">
        <f t="shared" si="152"/>
        <v>37294</v>
      </c>
      <c r="CH33" s="49">
        <f t="shared" si="152"/>
        <v>138871</v>
      </c>
      <c r="CI33" s="769">
        <f t="shared" ref="CI33:CM33" si="153">CI21-CI31</f>
        <v>39759</v>
      </c>
      <c r="CJ33" s="44">
        <f>CJ21-CJ31</f>
        <v>39499</v>
      </c>
      <c r="CK33" s="44">
        <f t="shared" ref="CK33:CL33" si="154">CK21-CK31</f>
        <v>42793</v>
      </c>
      <c r="CL33" s="44">
        <f t="shared" si="154"/>
        <v>44899</v>
      </c>
      <c r="CM33" s="770">
        <f t="shared" si="153"/>
        <v>166950</v>
      </c>
      <c r="CN33" s="769">
        <f t="shared" ref="CN33:CR33" si="155">CN21-CN31</f>
        <v>48411</v>
      </c>
      <c r="CO33" s="44">
        <f>CO21-CO31</f>
        <v>50977</v>
      </c>
      <c r="CP33" s="701">
        <f t="shared" si="155"/>
        <v>55137</v>
      </c>
      <c r="CQ33" s="44">
        <f t="shared" si="155"/>
        <v>54675</v>
      </c>
      <c r="CR33" s="770">
        <f t="shared" si="155"/>
        <v>209200</v>
      </c>
      <c r="CS33" s="769">
        <f t="shared" ref="CS33:CW33" si="156">CS21-CS31</f>
        <v>52010.535915000015</v>
      </c>
      <c r="CT33" s="701">
        <f t="shared" si="156"/>
        <v>59111.917280000009</v>
      </c>
      <c r="CU33" s="701">
        <f t="shared" si="156"/>
        <v>63983.268694400002</v>
      </c>
      <c r="CV33" s="701">
        <f t="shared" si="156"/>
        <v>66549.396479999996</v>
      </c>
      <c r="CW33" s="770">
        <f t="shared" si="156"/>
        <v>241655.11836939986</v>
      </c>
      <c r="CX33" s="771"/>
      <c r="CY33" s="771"/>
      <c r="CZ33" s="771"/>
      <c r="DA33" s="771"/>
      <c r="DB33" s="771"/>
      <c r="DC33" s="771"/>
    </row>
    <row r="34" spans="2:107" s="2" customFormat="1" ht="10.15">
      <c r="B34" s="26"/>
      <c r="C34" s="2" t="s">
        <v>15</v>
      </c>
      <c r="D34" s="34">
        <f t="shared" ref="D34:AI34" si="157">D33/D4</f>
        <v>-2.4517248860924278E-2</v>
      </c>
      <c r="E34" s="34">
        <f t="shared" si="157"/>
        <v>-4.2650687345787801E-2</v>
      </c>
      <c r="F34" s="34">
        <f t="shared" si="157"/>
        <v>-7.0442098579252321E-2</v>
      </c>
      <c r="G34" s="37">
        <f t="shared" si="157"/>
        <v>-0.10679890757510421</v>
      </c>
      <c r="H34" s="37">
        <f t="shared" si="157"/>
        <v>-5.7869760084365937E-2</v>
      </c>
      <c r="I34" s="37">
        <f t="shared" si="157"/>
        <v>1.9816695566014365E-3</v>
      </c>
      <c r="J34" s="37">
        <f t="shared" si="157"/>
        <v>-1.0767326732673266E-2</v>
      </c>
      <c r="K34" s="34">
        <f t="shared" si="157"/>
        <v>-4.081832100856761E-2</v>
      </c>
      <c r="L34" s="37">
        <f t="shared" si="157"/>
        <v>-3.3993670144180049E-3</v>
      </c>
      <c r="M34" s="37">
        <f t="shared" si="157"/>
        <v>8.1666666666666665E-2</v>
      </c>
      <c r="N34" s="37">
        <f t="shared" si="157"/>
        <v>5.6362881461490558E-2</v>
      </c>
      <c r="O34" s="37">
        <f t="shared" si="157"/>
        <v>8.1254383328323812E-2</v>
      </c>
      <c r="P34" s="34">
        <f t="shared" si="157"/>
        <v>5.5873470036560166E-2</v>
      </c>
      <c r="Q34" s="37">
        <f t="shared" si="157"/>
        <v>0.10719515766865176</v>
      </c>
      <c r="R34" s="37">
        <f t="shared" si="157"/>
        <v>7.8033625730994149E-2</v>
      </c>
      <c r="S34" s="37">
        <f t="shared" si="157"/>
        <v>9.5727090766686979E-2</v>
      </c>
      <c r="T34" s="37">
        <f t="shared" si="157"/>
        <v>6.15823475123752E-2</v>
      </c>
      <c r="U34" s="34">
        <f t="shared" si="157"/>
        <v>8.4893602708702373E-2</v>
      </c>
      <c r="V34" s="37">
        <f t="shared" si="157"/>
        <v>6.4748201438848921E-2</v>
      </c>
      <c r="W34" s="37">
        <f t="shared" si="157"/>
        <v>4.0826576738178945E-2</v>
      </c>
      <c r="X34" s="37">
        <f t="shared" si="157"/>
        <v>6.5490372850795286E-2</v>
      </c>
      <c r="Y34" s="37">
        <f t="shared" si="157"/>
        <v>7.1969219124511166E-2</v>
      </c>
      <c r="Z34" s="34">
        <f t="shared" si="157"/>
        <v>6.1170625679242356E-2</v>
      </c>
      <c r="AA34" s="37">
        <f t="shared" si="157"/>
        <v>8.0500786258618603E-2</v>
      </c>
      <c r="AB34" s="37">
        <f t="shared" si="157"/>
        <v>9.6852028505695534E-2</v>
      </c>
      <c r="AC34" s="37">
        <f t="shared" si="157"/>
        <v>6.8239009226821926E-2</v>
      </c>
      <c r="AD34" s="37">
        <f t="shared" si="157"/>
        <v>7.3563422878491366E-2</v>
      </c>
      <c r="AE34" s="34">
        <f t="shared" si="157"/>
        <v>7.9034057012424455E-2</v>
      </c>
      <c r="AF34" s="37">
        <f t="shared" si="157"/>
        <v>7.7256652071404516E-2</v>
      </c>
      <c r="AG34" s="37">
        <f t="shared" si="157"/>
        <v>9.0069374074362774E-2</v>
      </c>
      <c r="AH34" s="37">
        <f t="shared" si="157"/>
        <v>9.1195201421800945E-2</v>
      </c>
      <c r="AI34" s="37">
        <f t="shared" si="157"/>
        <v>9.0229864512208199E-2</v>
      </c>
      <c r="AJ34" s="34">
        <f t="shared" ref="AJ34:BO34" si="158">AJ33/AJ4</f>
        <v>8.7488385014033776E-2</v>
      </c>
      <c r="AK34" s="37">
        <f t="shared" si="158"/>
        <v>9.171014893396455E-2</v>
      </c>
      <c r="AL34" s="37">
        <f t="shared" si="158"/>
        <v>9.8231511254019299E-2</v>
      </c>
      <c r="AM34" s="37">
        <f t="shared" si="158"/>
        <v>0.1012736110256568</v>
      </c>
      <c r="AN34" s="37">
        <f t="shared" si="158"/>
        <v>0.10264956782102706</v>
      </c>
      <c r="AO34" s="34">
        <f t="shared" si="158"/>
        <v>9.8751826928337519E-2</v>
      </c>
      <c r="AP34" s="37">
        <f t="shared" si="158"/>
        <v>8.8341898836894778E-2</v>
      </c>
      <c r="AQ34" s="37">
        <f t="shared" si="158"/>
        <v>9.0279565463625602E-2</v>
      </c>
      <c r="AR34" s="37">
        <f t="shared" si="158"/>
        <v>0.11644446647172522</v>
      </c>
      <c r="AS34" s="37">
        <f t="shared" si="158"/>
        <v>0.12366581656748843</v>
      </c>
      <c r="AT34" s="34">
        <f t="shared" si="158"/>
        <v>0.1054075877818292</v>
      </c>
      <c r="AU34" s="37">
        <f t="shared" si="158"/>
        <v>9.6537204763262358E-2</v>
      </c>
      <c r="AV34" s="37">
        <f t="shared" si="158"/>
        <v>8.7495512238389903E-2</v>
      </c>
      <c r="AW34" s="37">
        <f t="shared" si="158"/>
        <v>0.11922733544355166</v>
      </c>
      <c r="AX34" s="37">
        <f t="shared" si="158"/>
        <v>0.11470593995417246</v>
      </c>
      <c r="AY34" s="34">
        <f t="shared" si="158"/>
        <v>0.10490700742388577</v>
      </c>
      <c r="AZ34" s="37">
        <f t="shared" si="158"/>
        <v>0.13269275206038667</v>
      </c>
      <c r="BA34" s="37">
        <f t="shared" si="158"/>
        <v>0.11108245523542849</v>
      </c>
      <c r="BB34" s="37">
        <f t="shared" si="158"/>
        <v>0.11255565449688335</v>
      </c>
      <c r="BC34" s="37">
        <f t="shared" si="158"/>
        <v>0.11146048109965635</v>
      </c>
      <c r="BD34" s="34">
        <f t="shared" si="158"/>
        <v>0.11664535785207149</v>
      </c>
      <c r="BE34" s="37">
        <f t="shared" si="158"/>
        <v>0.15159412441616463</v>
      </c>
      <c r="BF34" s="37">
        <f t="shared" si="158"/>
        <v>0.16658754972090814</v>
      </c>
      <c r="BG34" s="122">
        <f t="shared" si="158"/>
        <v>0.19804988229305848</v>
      </c>
      <c r="BH34" s="122">
        <f t="shared" si="158"/>
        <v>0.18021445335869549</v>
      </c>
      <c r="BI34" s="34">
        <f t="shared" si="158"/>
        <v>0.17456493715758942</v>
      </c>
      <c r="BJ34" s="122">
        <f t="shared" si="158"/>
        <v>0.20790629575402636</v>
      </c>
      <c r="BK34" s="37">
        <f t="shared" si="158"/>
        <v>0.1907367683754323</v>
      </c>
      <c r="BL34" s="37">
        <f t="shared" si="158"/>
        <v>0.21691010602300925</v>
      </c>
      <c r="BM34" s="37">
        <f t="shared" si="158"/>
        <v>0.21380941250876492</v>
      </c>
      <c r="BN34" s="34">
        <f t="shared" si="158"/>
        <v>0.20751708917900288</v>
      </c>
      <c r="BO34" s="122">
        <f t="shared" si="158"/>
        <v>0.23301703687729136</v>
      </c>
      <c r="BP34" s="37">
        <f t="shared" ref="BP34:CU34" si="159">BP33/BP4</f>
        <v>0.23180236327789025</v>
      </c>
      <c r="BQ34" s="122">
        <f t="shared" si="159"/>
        <v>0.25494928164712094</v>
      </c>
      <c r="BR34" s="122">
        <f t="shared" si="159"/>
        <v>0.23067412493397993</v>
      </c>
      <c r="BS34" s="34">
        <f t="shared" si="159"/>
        <v>0.23768032498480632</v>
      </c>
      <c r="BT34" s="122">
        <f t="shared" si="159"/>
        <v>0.24697538126845295</v>
      </c>
      <c r="BU34" s="37">
        <f t="shared" si="159"/>
        <v>0.25067961370439712</v>
      </c>
      <c r="BV34" s="122">
        <f t="shared" si="159"/>
        <v>0.23260494243362245</v>
      </c>
      <c r="BW34" s="122">
        <f t="shared" si="159"/>
        <v>0.23420530188018218</v>
      </c>
      <c r="BX34" s="34">
        <f t="shared" si="159"/>
        <v>0.24082735493516336</v>
      </c>
      <c r="BY34" s="122">
        <f t="shared" si="159"/>
        <v>0.26612987556206213</v>
      </c>
      <c r="BZ34" s="37">
        <f t="shared" si="159"/>
        <v>0.24819102749638206</v>
      </c>
      <c r="CA34" s="37">
        <f t="shared" si="159"/>
        <v>0.26770085425292173</v>
      </c>
      <c r="CB34" s="122">
        <f t="shared" si="159"/>
        <v>0.25085643101837435</v>
      </c>
      <c r="CC34" s="34">
        <f t="shared" si="159"/>
        <v>0.25805156639866927</v>
      </c>
      <c r="CD34" s="122">
        <f t="shared" si="159"/>
        <v>0.25710267899704453</v>
      </c>
      <c r="CE34" s="37">
        <f t="shared" si="159"/>
        <v>0.25604987118145012</v>
      </c>
      <c r="CF34" s="37">
        <f t="shared" si="159"/>
        <v>0.26406262669448111</v>
      </c>
      <c r="CG34" s="37">
        <f t="shared" si="159"/>
        <v>0.25726209774773223</v>
      </c>
      <c r="CH34" s="34">
        <f t="shared" si="159"/>
        <v>0.25864856307388573</v>
      </c>
      <c r="CI34" s="449">
        <f t="shared" si="159"/>
        <v>0.26581136011124779</v>
      </c>
      <c r="CJ34" s="37">
        <f t="shared" si="159"/>
        <v>0.25716164483450088</v>
      </c>
      <c r="CK34" s="37">
        <f t="shared" si="159"/>
        <v>0.26143347628996982</v>
      </c>
      <c r="CL34" s="37">
        <f t="shared" si="159"/>
        <v>0.26271012890051315</v>
      </c>
      <c r="CM34" s="146">
        <f t="shared" si="159"/>
        <v>0.26177353727470148</v>
      </c>
      <c r="CN34" s="449">
        <f t="shared" si="159"/>
        <v>0.26665528314669867</v>
      </c>
      <c r="CO34" s="37">
        <f t="shared" si="159"/>
        <v>0.27202241195304161</v>
      </c>
      <c r="CP34" s="5">
        <f t="shared" si="159"/>
        <v>0.29034143567276099</v>
      </c>
      <c r="CQ34" s="37">
        <f t="shared" si="159"/>
        <v>0.28380188111205695</v>
      </c>
      <c r="CR34" s="146">
        <f t="shared" si="159"/>
        <v>0.27837472804572161</v>
      </c>
      <c r="CS34" s="449">
        <f t="shared" si="159"/>
        <v>0.27000000000000007</v>
      </c>
      <c r="CT34" s="5">
        <f t="shared" si="159"/>
        <v>0.29900000000000004</v>
      </c>
      <c r="CU34" s="5">
        <f t="shared" si="159"/>
        <v>0.313</v>
      </c>
      <c r="CV34" s="5">
        <f t="shared" ref="CV34:CW34" si="160">CV33/CV4</f>
        <v>0.32</v>
      </c>
      <c r="CW34" s="146">
        <f t="shared" si="160"/>
        <v>0.30104662366854257</v>
      </c>
      <c r="CX34" s="384"/>
      <c r="CY34" s="384"/>
      <c r="CZ34" s="384"/>
      <c r="DA34" s="384"/>
      <c r="DB34" s="384"/>
      <c r="DC34" s="384"/>
    </row>
    <row r="35" spans="2:107">
      <c r="B35" s="24"/>
      <c r="D35" s="32"/>
      <c r="E35" s="32"/>
      <c r="F35" s="32"/>
      <c r="K35" s="32"/>
      <c r="P35" s="32"/>
      <c r="T35" s="4"/>
      <c r="U35" s="32"/>
      <c r="Z35" s="32"/>
      <c r="AE35" s="32"/>
      <c r="AF35" s="142"/>
      <c r="AG35" s="142"/>
      <c r="AH35" s="142"/>
      <c r="AI35" s="4"/>
      <c r="AJ35" s="32"/>
      <c r="AK35" s="4"/>
      <c r="AO35" s="32"/>
      <c r="AP35" s="142"/>
      <c r="AT35" s="32"/>
      <c r="AU35" s="254"/>
      <c r="AY35" s="386"/>
      <c r="AZ35" s="254"/>
      <c r="BA35" s="254"/>
      <c r="BB35" s="254"/>
      <c r="BC35" s="383"/>
      <c r="BD35" s="386"/>
      <c r="BE35" s="254"/>
      <c r="BF35" s="142"/>
      <c r="BG35" s="142"/>
      <c r="BH35" s="142"/>
      <c r="BI35" s="386"/>
      <c r="BJ35" s="142"/>
      <c r="BN35" s="387"/>
      <c r="BO35" s="142"/>
      <c r="BQ35" s="142"/>
      <c r="BR35" s="142"/>
      <c r="BS35" s="387"/>
      <c r="BT35" s="142"/>
      <c r="BV35" s="142"/>
      <c r="BW35" s="142"/>
      <c r="BX35" s="387"/>
      <c r="BY35" s="142"/>
      <c r="CB35" s="142"/>
      <c r="CC35" s="387"/>
      <c r="CD35" s="142"/>
      <c r="CH35" s="387"/>
      <c r="CI35" s="142"/>
      <c r="CM35" s="651"/>
      <c r="CN35" s="142"/>
      <c r="CR35" s="651"/>
      <c r="CS35" s="142"/>
      <c r="CW35" s="651"/>
      <c r="CX35" s="95"/>
      <c r="CY35" s="95"/>
      <c r="CZ35" s="95"/>
      <c r="DA35" s="95"/>
      <c r="DB35" s="95"/>
      <c r="DC35" s="95"/>
    </row>
    <row r="36" spans="2:107" outlineLevel="1">
      <c r="B36" s="24"/>
      <c r="C36" s="4" t="s">
        <v>135</v>
      </c>
      <c r="D36" s="32"/>
      <c r="E36" s="32"/>
      <c r="F36" s="32"/>
      <c r="K36" s="32"/>
      <c r="P36" s="32"/>
      <c r="T36" s="4"/>
      <c r="U36" s="32"/>
      <c r="W36">
        <v>123</v>
      </c>
      <c r="X36">
        <v>260</v>
      </c>
      <c r="Y36">
        <v>260</v>
      </c>
      <c r="Z36" s="50">
        <f>SUM(V36:Y36)</f>
        <v>643</v>
      </c>
      <c r="AA36">
        <v>260</v>
      </c>
      <c r="AB36" s="118">
        <v>260</v>
      </c>
      <c r="AC36" s="76">
        <v>530</v>
      </c>
      <c r="AD36" s="76">
        <v>717</v>
      </c>
      <c r="AE36" s="50">
        <f>SUM(AA36:AD36)</f>
        <v>1767</v>
      </c>
      <c r="AF36" s="118">
        <v>717</v>
      </c>
      <c r="AG36" s="118">
        <v>717</v>
      </c>
      <c r="AH36" s="118">
        <v>1007</v>
      </c>
      <c r="AI36" s="76">
        <v>717</v>
      </c>
      <c r="AJ36" s="50">
        <f>SUM(AF36:AI36)</f>
        <v>3158</v>
      </c>
      <c r="AK36" s="76">
        <v>717</v>
      </c>
      <c r="AL36" s="118">
        <v>682</v>
      </c>
      <c r="AM36" s="76">
        <v>645</v>
      </c>
      <c r="AN36" s="76">
        <v>812</v>
      </c>
      <c r="AO36" s="50">
        <f>SUM(AK36:AN36)</f>
        <v>2856</v>
      </c>
      <c r="AP36" s="118">
        <v>845</v>
      </c>
      <c r="AQ36" s="118">
        <v>833</v>
      </c>
      <c r="AR36" s="45">
        <v>829</v>
      </c>
      <c r="AS36" s="45">
        <v>800</v>
      </c>
      <c r="AT36" s="50">
        <f>SUM(AP36:AS36)</f>
        <v>3307</v>
      </c>
      <c r="AU36" s="76">
        <v>1161</v>
      </c>
      <c r="AV36" s="76">
        <v>1198</v>
      </c>
      <c r="AW36" s="253">
        <v>1194</v>
      </c>
      <c r="AX36" s="253">
        <v>1185</v>
      </c>
      <c r="AY36" s="50">
        <f>SUM(AU36:AX36)</f>
        <v>4738</v>
      </c>
      <c r="AZ36" s="253">
        <v>1215</v>
      </c>
      <c r="BA36" s="253">
        <v>1117</v>
      </c>
      <c r="BB36" s="253">
        <v>1128</v>
      </c>
      <c r="BC36" s="253">
        <v>1114</v>
      </c>
      <c r="BD36" s="359">
        <f>SUM(AZ36:BC36)</f>
        <v>4574</v>
      </c>
      <c r="BE36" s="253">
        <v>1125</v>
      </c>
      <c r="BF36" s="118">
        <v>1033</v>
      </c>
      <c r="BG36" s="118">
        <v>928</v>
      </c>
      <c r="BH36" s="118">
        <v>1007</v>
      </c>
      <c r="BI36" s="50">
        <f>SUM(BE36:BH36)</f>
        <v>4093</v>
      </c>
      <c r="BJ36" s="118">
        <v>1304</v>
      </c>
      <c r="BK36" s="253">
        <v>1266</v>
      </c>
      <c r="BL36" s="253">
        <f>1327</f>
        <v>1327</v>
      </c>
      <c r="BM36" s="253">
        <v>1418</v>
      </c>
      <c r="BN36" s="50">
        <f>SUM(BJ36:BM36)</f>
        <v>5315</v>
      </c>
      <c r="BO36" s="118">
        <v>1336</v>
      </c>
      <c r="BP36" s="253">
        <v>1316</v>
      </c>
      <c r="BQ36" s="118">
        <v>1333</v>
      </c>
      <c r="BR36" s="118">
        <v>1553</v>
      </c>
      <c r="BS36" s="50">
        <f>SUM(BO36:BR36)</f>
        <v>5538</v>
      </c>
      <c r="BT36" s="118">
        <v>2664</v>
      </c>
      <c r="BU36" s="523">
        <v>2671</v>
      </c>
      <c r="BV36" s="118">
        <v>2399</v>
      </c>
      <c r="BW36" s="118">
        <v>2392</v>
      </c>
      <c r="BX36" s="50">
        <f>SUM(BT36:BW36)</f>
        <v>10126</v>
      </c>
      <c r="BY36" s="118">
        <v>2470</v>
      </c>
      <c r="BZ36" s="523">
        <v>2468</v>
      </c>
      <c r="CA36" s="523">
        <v>2998</v>
      </c>
      <c r="CB36" s="523">
        <v>3832</v>
      </c>
      <c r="CC36" s="50">
        <f>SUM(BY36:CB36)</f>
        <v>11768</v>
      </c>
      <c r="CD36" s="523">
        <v>3851</v>
      </c>
      <c r="CE36" s="523">
        <v>3479</v>
      </c>
      <c r="CF36" s="523">
        <v>3788</v>
      </c>
      <c r="CG36" s="118">
        <v>4998</v>
      </c>
      <c r="CH36" s="50">
        <f>SUM(CD36:CG36)</f>
        <v>16116</v>
      </c>
      <c r="CI36" s="538">
        <v>4338</v>
      </c>
      <c r="CJ36" s="523">
        <v>4840</v>
      </c>
      <c r="CK36" s="523">
        <v>6470</v>
      </c>
      <c r="CL36" s="118">
        <v>7862</v>
      </c>
      <c r="CM36" s="112">
        <f>SUM(CI36:CL36)</f>
        <v>23510</v>
      </c>
      <c r="CN36" s="538">
        <v>8588</v>
      </c>
      <c r="CO36" s="523">
        <f>9509</f>
        <v>9509</v>
      </c>
      <c r="CP36" s="538">
        <v>9493</v>
      </c>
      <c r="CQ36" s="118">
        <v>9579</v>
      </c>
      <c r="CR36" s="112">
        <f>SUM(CN36:CQ36)</f>
        <v>37169</v>
      </c>
      <c r="CS36" s="82">
        <v>9600</v>
      </c>
      <c r="CT36" s="82">
        <v>9600</v>
      </c>
      <c r="CU36" s="82">
        <v>9550</v>
      </c>
      <c r="CV36" s="82">
        <v>9550</v>
      </c>
      <c r="CW36" s="112">
        <f>SUM(CS36:CV36)</f>
        <v>38300</v>
      </c>
      <c r="CX36" s="95"/>
      <c r="CY36" s="95"/>
      <c r="CZ36" s="95"/>
      <c r="DA36" s="95"/>
      <c r="DB36" s="95"/>
      <c r="DC36" s="95"/>
    </row>
    <row r="37" spans="2:107" outlineLevel="1">
      <c r="B37" s="7"/>
      <c r="C37" s="8" t="s">
        <v>16</v>
      </c>
      <c r="D37" s="50"/>
      <c r="E37" s="50"/>
      <c r="F37" s="50">
        <v>46</v>
      </c>
      <c r="G37" s="45">
        <v>36</v>
      </c>
      <c r="H37" s="45">
        <v>37</v>
      </c>
      <c r="I37" s="45">
        <v>37</v>
      </c>
      <c r="J37" s="64">
        <v>47</v>
      </c>
      <c r="K37" s="50">
        <f>SUM(G37:J37)</f>
        <v>157</v>
      </c>
      <c r="L37" s="64">
        <v>48</v>
      </c>
      <c r="M37" s="64">
        <v>50</v>
      </c>
      <c r="N37" s="64">
        <v>79</v>
      </c>
      <c r="O37" s="64">
        <v>51</v>
      </c>
      <c r="P37" s="50">
        <f>SUM(L37:O37)</f>
        <v>228</v>
      </c>
      <c r="Q37" s="64">
        <v>51</v>
      </c>
      <c r="R37" s="87">
        <v>175</v>
      </c>
      <c r="S37" s="45">
        <v>232</v>
      </c>
      <c r="T37" s="76">
        <v>292</v>
      </c>
      <c r="U37" s="50">
        <f>SUM(Q37:T37)</f>
        <v>750</v>
      </c>
      <c r="V37" s="64">
        <v>312</v>
      </c>
      <c r="W37" s="118">
        <v>487</v>
      </c>
      <c r="X37" s="118">
        <v>487</v>
      </c>
      <c r="Y37" s="118">
        <v>482</v>
      </c>
      <c r="Z37" s="50">
        <f>SUM(V37:Y37)</f>
        <v>1768</v>
      </c>
      <c r="AA37" s="64">
        <v>612</v>
      </c>
      <c r="AB37" s="118">
        <v>715</v>
      </c>
      <c r="AC37" s="76">
        <v>715</v>
      </c>
      <c r="AD37" s="76">
        <v>713</v>
      </c>
      <c r="AE37" s="50">
        <f>SUM(AA37:AD37)</f>
        <v>2755</v>
      </c>
      <c r="AF37" s="118">
        <v>924</v>
      </c>
      <c r="AG37" s="118">
        <v>1111</v>
      </c>
      <c r="AH37" s="118">
        <v>1085</v>
      </c>
      <c r="AI37" s="76">
        <v>1083</v>
      </c>
      <c r="AJ37" s="50">
        <f>SUM(AF37:AI37)</f>
        <v>4203</v>
      </c>
      <c r="AK37" s="76">
        <v>1339</v>
      </c>
      <c r="AL37" s="118">
        <v>1359</v>
      </c>
      <c r="AM37" s="76">
        <v>1293</v>
      </c>
      <c r="AN37" s="76">
        <v>1405</v>
      </c>
      <c r="AO37" s="50">
        <f>SUM(AK37:AN37)</f>
        <v>5396</v>
      </c>
      <c r="AP37" s="118">
        <v>1499</v>
      </c>
      <c r="AQ37" s="118">
        <v>1647</v>
      </c>
      <c r="AR37" s="45">
        <v>1610</v>
      </c>
      <c r="AS37" s="45">
        <v>1623</v>
      </c>
      <c r="AT37" s="50">
        <f>SUM(AP37:AS37)</f>
        <v>6379</v>
      </c>
      <c r="AU37" s="76">
        <v>1927</v>
      </c>
      <c r="AV37" s="76">
        <v>2065</v>
      </c>
      <c r="AW37" s="253">
        <v>2012</v>
      </c>
      <c r="AX37" s="253">
        <v>2019</v>
      </c>
      <c r="AY37" s="50">
        <f>SUM(AU37:AX37)</f>
        <v>8023</v>
      </c>
      <c r="AZ37" s="253">
        <v>2300</v>
      </c>
      <c r="BA37" s="253">
        <v>2186</v>
      </c>
      <c r="BB37" s="253">
        <v>2347</v>
      </c>
      <c r="BC37" s="253">
        <v>5894</v>
      </c>
      <c r="BD37" s="359">
        <f>SUM(AZ37:BC37)</f>
        <v>12727</v>
      </c>
      <c r="BE37" s="253">
        <v>3533</v>
      </c>
      <c r="BF37" s="118">
        <v>3179</v>
      </c>
      <c r="BG37" s="118">
        <v>3266</v>
      </c>
      <c r="BH37" s="118">
        <v>2532</v>
      </c>
      <c r="BI37" s="50">
        <f>SUM(BE37:BH37)</f>
        <v>12510</v>
      </c>
      <c r="BJ37" s="118">
        <v>5294</v>
      </c>
      <c r="BK37" s="253">
        <v>2875</v>
      </c>
      <c r="BL37" s="253">
        <v>3147</v>
      </c>
      <c r="BM37" s="253">
        <v>3374</v>
      </c>
      <c r="BN37" s="50">
        <f>SUM(BJ37:BM37)</f>
        <v>14690</v>
      </c>
      <c r="BO37" s="118">
        <v>4344</v>
      </c>
      <c r="BP37" s="253">
        <v>5009</v>
      </c>
      <c r="BQ37" s="118">
        <v>4893</v>
      </c>
      <c r="BR37" s="118">
        <v>4690</v>
      </c>
      <c r="BS37" s="50">
        <f>SUM(BO37:BR37)</f>
        <v>18936</v>
      </c>
      <c r="BT37" s="118">
        <v>6925</v>
      </c>
      <c r="BU37" s="523">
        <v>7499</v>
      </c>
      <c r="BV37" s="118">
        <v>6849</v>
      </c>
      <c r="BW37" s="118">
        <v>6301</v>
      </c>
      <c r="BX37" s="50">
        <f>SUM(BT37:BW37)</f>
        <v>27574</v>
      </c>
      <c r="BY37" s="118">
        <v>9015</v>
      </c>
      <c r="BZ37" s="523">
        <v>8661</v>
      </c>
      <c r="CA37" s="523">
        <v>7960</v>
      </c>
      <c r="CB37" s="523">
        <v>7763</v>
      </c>
      <c r="CC37" s="50">
        <f>SUM(BY37:CB37)</f>
        <v>33399</v>
      </c>
      <c r="CD37" s="523">
        <v>11780</v>
      </c>
      <c r="CE37" s="523">
        <v>12881</v>
      </c>
      <c r="CF37" s="523">
        <v>11436</v>
      </c>
      <c r="CG37" s="118">
        <v>9411</v>
      </c>
      <c r="CH37" s="50">
        <f>SUM(CD37:CG37)</f>
        <v>45508</v>
      </c>
      <c r="CI37" s="538">
        <v>20018</v>
      </c>
      <c r="CJ37" s="523">
        <v>11494</v>
      </c>
      <c r="CK37" s="523">
        <v>10752</v>
      </c>
      <c r="CL37" s="118">
        <v>12293</v>
      </c>
      <c r="CM37" s="112">
        <f>SUM(CI37:CL37)</f>
        <v>54557</v>
      </c>
      <c r="CN37" s="538">
        <v>13867</v>
      </c>
      <c r="CO37" s="523">
        <v>14998</v>
      </c>
      <c r="CP37" s="538">
        <v>14453</v>
      </c>
      <c r="CQ37" s="118">
        <v>10410</v>
      </c>
      <c r="CR37" s="112">
        <f>SUM(CN37:CQ37)</f>
        <v>53728</v>
      </c>
      <c r="CS37" s="541">
        <v>17200</v>
      </c>
      <c r="CT37" s="541">
        <v>16635</v>
      </c>
      <c r="CU37" s="541">
        <v>16635</v>
      </c>
      <c r="CV37" s="541">
        <v>16635</v>
      </c>
      <c r="CW37" s="112">
        <f>SUM(CS37:CV37)</f>
        <v>67105</v>
      </c>
      <c r="CX37" s="95"/>
      <c r="CY37" s="95"/>
      <c r="CZ37" s="95"/>
      <c r="DA37" s="95"/>
      <c r="DB37" s="95"/>
      <c r="DC37" s="95"/>
    </row>
    <row r="38" spans="2:107" outlineLevel="1">
      <c r="B38" s="7"/>
      <c r="C38" s="5" t="s">
        <v>10</v>
      </c>
      <c r="D38" s="34">
        <f t="shared" ref="D38:AI38" si="161">D37/D4</f>
        <v>0</v>
      </c>
      <c r="E38" s="39">
        <f t="shared" si="161"/>
        <v>0</v>
      </c>
      <c r="F38" s="39">
        <f t="shared" si="161"/>
        <v>1.8255417096594967E-3</v>
      </c>
      <c r="G38" s="40">
        <f t="shared" si="161"/>
        <v>5.1746442432082798E-3</v>
      </c>
      <c r="H38" s="40">
        <f t="shared" si="161"/>
        <v>4.8774057474294755E-3</v>
      </c>
      <c r="I38" s="40">
        <f t="shared" si="161"/>
        <v>4.5826108496408221E-3</v>
      </c>
      <c r="J38" s="40">
        <f t="shared" si="161"/>
        <v>5.8168316831683168E-3</v>
      </c>
      <c r="K38" s="39">
        <f t="shared" si="161"/>
        <v>5.1145063035475781E-3</v>
      </c>
      <c r="L38" s="40">
        <f t="shared" si="161"/>
        <v>5.6265385066229046E-3</v>
      </c>
      <c r="M38" s="40">
        <f t="shared" si="161"/>
        <v>5.208333333333333E-3</v>
      </c>
      <c r="N38" s="40">
        <f t="shared" si="161"/>
        <v>8.2001245588540581E-3</v>
      </c>
      <c r="O38" s="40">
        <f t="shared" si="161"/>
        <v>5.1097084460474899E-3</v>
      </c>
      <c r="P38" s="39">
        <f t="shared" si="161"/>
        <v>6.0403751390875858E-3</v>
      </c>
      <c r="Q38" s="40">
        <f t="shared" si="161"/>
        <v>4.9790100556477597E-3</v>
      </c>
      <c r="R38" s="40">
        <f t="shared" si="161"/>
        <v>1.5990497076023392E-2</v>
      </c>
      <c r="S38" s="40">
        <f t="shared" si="161"/>
        <v>2.018971368897398E-2</v>
      </c>
      <c r="T38" s="40">
        <f t="shared" si="161"/>
        <v>2.4498699555331824E-2</v>
      </c>
      <c r="U38" s="39">
        <f t="shared" si="161"/>
        <v>1.681727470457654E-2</v>
      </c>
      <c r="V38" s="40">
        <f t="shared" si="161"/>
        <v>2.4665981500513873E-2</v>
      </c>
      <c r="W38" s="40">
        <f t="shared" si="161"/>
        <v>3.49429575948913E-2</v>
      </c>
      <c r="X38" s="40">
        <f t="shared" si="161"/>
        <v>3.136068001803078E-2</v>
      </c>
      <c r="Y38" s="40">
        <f t="shared" si="161"/>
        <v>3.040242210167781E-2</v>
      </c>
      <c r="Z38" s="39">
        <f t="shared" si="161"/>
        <v>3.0499059842329521E-2</v>
      </c>
      <c r="AA38" s="40">
        <f t="shared" si="161"/>
        <v>3.7014636506592473E-2</v>
      </c>
      <c r="AB38" s="40">
        <f t="shared" si="161"/>
        <v>4.0121205319566804E-2</v>
      </c>
      <c r="AC38" s="40">
        <f t="shared" si="161"/>
        <v>3.5279025016035921E-2</v>
      </c>
      <c r="AD38" s="40">
        <f t="shared" si="161"/>
        <v>3.171143924568582E-2</v>
      </c>
      <c r="AE38" s="39">
        <f t="shared" si="161"/>
        <v>3.5730033979197467E-2</v>
      </c>
      <c r="AF38" s="40">
        <f t="shared" si="161"/>
        <v>3.8901987201077806E-2</v>
      </c>
      <c r="AG38" s="40">
        <f t="shared" si="161"/>
        <v>4.330033517811209E-2</v>
      </c>
      <c r="AH38" s="40">
        <f t="shared" si="161"/>
        <v>4.017328199052133E-2</v>
      </c>
      <c r="AI38" s="40">
        <f t="shared" si="161"/>
        <v>3.8715904622314376E-2</v>
      </c>
      <c r="AJ38" s="39">
        <f t="shared" ref="AJ38:BO38" si="162">AJ37/AJ4</f>
        <v>4.0262091559617207E-2</v>
      </c>
      <c r="AK38" s="40">
        <f t="shared" si="162"/>
        <v>4.6269739797505094E-2</v>
      </c>
      <c r="AL38" s="40">
        <f t="shared" si="162"/>
        <v>4.3697749196141479E-2</v>
      </c>
      <c r="AM38" s="40">
        <f t="shared" si="162"/>
        <v>3.9777271888266783E-2</v>
      </c>
      <c r="AN38" s="40">
        <f t="shared" si="162"/>
        <v>3.9687023332015139E-2</v>
      </c>
      <c r="AO38" s="39">
        <f t="shared" si="162"/>
        <v>4.2173712552853918E-2</v>
      </c>
      <c r="AP38" s="40">
        <f t="shared" si="162"/>
        <v>4.0546388964024883E-2</v>
      </c>
      <c r="AQ38" s="40">
        <f t="shared" si="162"/>
        <v>4.2398187715594914E-2</v>
      </c>
      <c r="AR38" s="40">
        <f t="shared" si="162"/>
        <v>3.9896912325915648E-2</v>
      </c>
      <c r="AS38" s="40">
        <f t="shared" si="162"/>
        <v>3.8325304618872201E-2</v>
      </c>
      <c r="AT38" s="39">
        <f t="shared" si="162"/>
        <v>4.0241486771218409E-2</v>
      </c>
      <c r="AU38" s="40">
        <f t="shared" si="162"/>
        <v>4.2259698677602577E-2</v>
      </c>
      <c r="AV38" s="40">
        <f t="shared" si="162"/>
        <v>4.3610483411121198E-2</v>
      </c>
      <c r="AW38" s="40">
        <f t="shared" si="162"/>
        <v>4.0824608392175957E-2</v>
      </c>
      <c r="AX38" s="40">
        <f t="shared" si="162"/>
        <v>3.9540941227159669E-2</v>
      </c>
      <c r="AY38" s="39">
        <f t="shared" si="162"/>
        <v>4.1506505600248322E-2</v>
      </c>
      <c r="AZ38" s="161">
        <f t="shared" si="162"/>
        <v>4.4288685203727952E-2</v>
      </c>
      <c r="BA38" s="40">
        <f t="shared" si="162"/>
        <v>4.0269692727138755E-2</v>
      </c>
      <c r="BB38" s="40">
        <f t="shared" si="162"/>
        <v>4.1798753339269815E-2</v>
      </c>
      <c r="BC38" s="40">
        <f t="shared" si="162"/>
        <v>0.10127147766323025</v>
      </c>
      <c r="BD38" s="39">
        <f t="shared" si="162"/>
        <v>5.7701549649538005E-2</v>
      </c>
      <c r="BE38" s="161">
        <f t="shared" si="162"/>
        <v>5.9788126988424832E-2</v>
      </c>
      <c r="BF38" s="40">
        <f t="shared" si="162"/>
        <v>5.2037124944754549E-2</v>
      </c>
      <c r="BG38" s="410">
        <f t="shared" si="162"/>
        <v>5.195011770694153E-2</v>
      </c>
      <c r="BH38" s="410">
        <f t="shared" si="162"/>
        <v>3.8840908742272466E-2</v>
      </c>
      <c r="BI38" s="39">
        <f t="shared" si="162"/>
        <v>5.0394779245891072E-2</v>
      </c>
      <c r="BJ38" s="410">
        <f t="shared" si="162"/>
        <v>7.9092837720739828E-2</v>
      </c>
      <c r="BK38" s="410">
        <f t="shared" si="162"/>
        <v>4.1953041777933429E-2</v>
      </c>
      <c r="BL38" s="410">
        <f t="shared" si="162"/>
        <v>4.4368937514098802E-2</v>
      </c>
      <c r="BM38" s="410">
        <f t="shared" si="162"/>
        <v>4.6388846878308333E-2</v>
      </c>
      <c r="BN38" s="39">
        <f t="shared" si="162"/>
        <v>5.2628939109499721E-2</v>
      </c>
      <c r="BO38" s="410">
        <f t="shared" si="162"/>
        <v>5.8550787146862196E-2</v>
      </c>
      <c r="BP38" s="410">
        <f t="shared" ref="BP38:CU38" si="163">BP37/BP4</f>
        <v>6.6280285287073429E-2</v>
      </c>
      <c r="BQ38" s="410">
        <f t="shared" si="163"/>
        <v>6.1503073268222783E-2</v>
      </c>
      <c r="BR38" s="410">
        <f t="shared" si="163"/>
        <v>5.6297114322754117E-2</v>
      </c>
      <c r="BS38" s="39">
        <f t="shared" si="163"/>
        <v>6.0570002878802418E-2</v>
      </c>
      <c r="BT38" s="410">
        <f t="shared" si="163"/>
        <v>7.686416409527827E-2</v>
      </c>
      <c r="BU38" s="410">
        <f t="shared" si="163"/>
        <v>7.9321761389479481E-2</v>
      </c>
      <c r="BV38" s="410">
        <f t="shared" si="163"/>
        <v>6.9968432989058818E-2</v>
      </c>
      <c r="BW38" s="410">
        <f t="shared" si="163"/>
        <v>6.1320020242126981E-2</v>
      </c>
      <c r="BX38" s="39">
        <f t="shared" si="163"/>
        <v>7.1569472274421453E-2</v>
      </c>
      <c r="BY38" s="410">
        <f t="shared" si="163"/>
        <v>8.5699618795927482E-2</v>
      </c>
      <c r="BZ38" s="410">
        <f t="shared" si="163"/>
        <v>7.9329168880177325E-2</v>
      </c>
      <c r="CA38" s="410">
        <f t="shared" si="163"/>
        <v>6.9528151913771111E-2</v>
      </c>
      <c r="CB38" s="410">
        <f t="shared" si="163"/>
        <v>6.3621760723827636E-2</v>
      </c>
      <c r="CC38" s="39">
        <f t="shared" si="163"/>
        <v>7.4075963404491268E-2</v>
      </c>
      <c r="CD38" s="410">
        <f t="shared" si="163"/>
        <v>9.3590110274255567E-2</v>
      </c>
      <c r="CE38" s="410">
        <f t="shared" si="163"/>
        <v>9.8768556005398106E-2</v>
      </c>
      <c r="CF38" s="410">
        <f t="shared" si="163"/>
        <v>8.4298361356616863E-2</v>
      </c>
      <c r="CG38" s="410">
        <f t="shared" si="163"/>
        <v>6.4919118407891566E-2</v>
      </c>
      <c r="CH38" s="39">
        <f t="shared" si="163"/>
        <v>8.4759084390307507E-2</v>
      </c>
      <c r="CI38" s="410">
        <f t="shared" si="163"/>
        <v>0.13383163074289994</v>
      </c>
      <c r="CJ38" s="410">
        <f t="shared" si="163"/>
        <v>7.4832677934321204E-2</v>
      </c>
      <c r="CK38" s="410">
        <f t="shared" si="163"/>
        <v>6.5686741688354533E-2</v>
      </c>
      <c r="CL38" s="410">
        <f t="shared" si="163"/>
        <v>7.192800762988058E-2</v>
      </c>
      <c r="CM38" s="39">
        <f t="shared" si="163"/>
        <v>8.5544048356369515E-2</v>
      </c>
      <c r="CN38" s="410">
        <f t="shared" si="163"/>
        <v>7.6381582933533101E-2</v>
      </c>
      <c r="CO38" s="410">
        <f t="shared" si="163"/>
        <v>8.0032017075773745E-2</v>
      </c>
      <c r="CP38" s="410">
        <f t="shared" si="163"/>
        <v>7.6106875052658188E-2</v>
      </c>
      <c r="CQ38" s="410">
        <f t="shared" si="163"/>
        <v>5.403525527894857E-2</v>
      </c>
      <c r="CR38" s="39">
        <f t="shared" si="163"/>
        <v>7.1493868969600999E-2</v>
      </c>
      <c r="CS38" s="410">
        <f t="shared" si="163"/>
        <v>8.9289601006796324E-2</v>
      </c>
      <c r="CT38" s="410">
        <f t="shared" si="163"/>
        <v>8.4143185145558852E-2</v>
      </c>
      <c r="CU38" s="410">
        <f t="shared" si="163"/>
        <v>8.137682094468722E-2</v>
      </c>
      <c r="CV38" s="410">
        <f t="shared" ref="CV38:CW38" si="164">CV37/CV4</f>
        <v>7.9988704354362922E-2</v>
      </c>
      <c r="CW38" s="39">
        <f t="shared" si="164"/>
        <v>8.3597375539121374E-2</v>
      </c>
      <c r="CX38" s="95"/>
      <c r="CY38" s="95"/>
      <c r="CZ38" s="95"/>
      <c r="DA38" s="95"/>
      <c r="DB38" s="95"/>
      <c r="DC38" s="95"/>
    </row>
    <row r="39" spans="2:107" outlineLevel="1">
      <c r="B39" s="7"/>
      <c r="C39" s="8" t="s">
        <v>232</v>
      </c>
      <c r="D39" s="50"/>
      <c r="E39" s="50"/>
      <c r="F39" s="50"/>
      <c r="G39" s="45"/>
      <c r="H39" s="45"/>
      <c r="I39" s="45"/>
      <c r="J39" s="64"/>
      <c r="K39" s="50"/>
      <c r="L39" s="64"/>
      <c r="M39" s="64"/>
      <c r="N39" s="64"/>
      <c r="O39" s="64"/>
      <c r="P39" s="50"/>
      <c r="Q39" s="64"/>
      <c r="R39" s="87"/>
      <c r="S39" s="45"/>
      <c r="T39" s="76"/>
      <c r="U39" s="50"/>
      <c r="V39" s="64"/>
      <c r="W39" s="118"/>
      <c r="X39" s="118"/>
      <c r="Y39" s="118"/>
      <c r="Z39" s="50"/>
      <c r="AA39" s="64"/>
      <c r="AB39" s="118"/>
      <c r="AC39" s="76"/>
      <c r="AD39" s="76"/>
      <c r="AE39" s="50"/>
      <c r="AF39" s="118"/>
      <c r="AG39" s="118"/>
      <c r="AH39" s="118"/>
      <c r="AI39" s="76"/>
      <c r="AJ39" s="50"/>
      <c r="AK39" s="76"/>
      <c r="AL39" s="118"/>
      <c r="AM39" s="76"/>
      <c r="AN39" s="76"/>
      <c r="AO39" s="50"/>
      <c r="AP39" s="118"/>
      <c r="AQ39" s="118"/>
      <c r="AR39" s="45"/>
      <c r="AS39" s="45"/>
      <c r="AT39" s="50"/>
      <c r="AU39" s="76"/>
      <c r="AV39" s="76"/>
      <c r="AW39" s="253"/>
      <c r="AX39" s="253"/>
      <c r="AY39" s="50">
        <f>SUM(AU39:AX39)</f>
        <v>0</v>
      </c>
      <c r="AZ39" s="253"/>
      <c r="BA39" s="253"/>
      <c r="BB39" s="253"/>
      <c r="BC39" s="253"/>
      <c r="BD39" s="359"/>
      <c r="BE39" s="253"/>
      <c r="BF39" s="118"/>
      <c r="BG39" s="118"/>
      <c r="BH39" s="118">
        <v>94</v>
      </c>
      <c r="BI39" s="50">
        <f>SUM(BE39:BH39)</f>
        <v>94</v>
      </c>
      <c r="BJ39" s="118">
        <v>-61</v>
      </c>
      <c r="BK39" s="253">
        <v>-400</v>
      </c>
      <c r="BL39" s="253">
        <v>-22</v>
      </c>
      <c r="BM39" s="253">
        <v>-5</v>
      </c>
      <c r="BN39" s="50">
        <f>SUM(BJ39:BM39)</f>
        <v>-488</v>
      </c>
      <c r="BO39" s="118">
        <f>72</f>
        <v>72</v>
      </c>
      <c r="BP39" s="253">
        <f>82</f>
        <v>82</v>
      </c>
      <c r="BQ39" s="118">
        <f>103</f>
        <v>103</v>
      </c>
      <c r="BR39" s="118">
        <f>-583</f>
        <v>-583</v>
      </c>
      <c r="BS39" s="50">
        <f>SUM(BO39:BR39)</f>
        <v>-326</v>
      </c>
      <c r="BT39" s="118"/>
      <c r="BU39" s="523"/>
      <c r="BV39" s="118"/>
      <c r="BW39" s="118"/>
      <c r="BX39" s="50">
        <f>SUM(BT39:BW39)</f>
        <v>0</v>
      </c>
      <c r="BY39" s="118"/>
      <c r="BZ39" s="75"/>
      <c r="CA39" s="75"/>
      <c r="CB39" s="75"/>
      <c r="CC39" s="50">
        <f>SUM(BY39:CB39)</f>
        <v>0</v>
      </c>
      <c r="CD39" s="75"/>
      <c r="CE39" s="75"/>
      <c r="CF39" s="75"/>
      <c r="CG39" s="118"/>
      <c r="CH39" s="50">
        <f>SUM(CD39:CG39)</f>
        <v>0</v>
      </c>
      <c r="CI39" s="82"/>
      <c r="CJ39" s="75"/>
      <c r="CK39" s="75"/>
      <c r="CL39" s="118"/>
      <c r="CM39" s="112">
        <f>SUM(CI39:CL39)</f>
        <v>0</v>
      </c>
      <c r="CN39" s="82"/>
      <c r="CO39" s="75"/>
      <c r="CP39" s="82"/>
      <c r="CQ39" s="118"/>
      <c r="CR39" s="112">
        <f>SUM(CN39:CQ39)</f>
        <v>0</v>
      </c>
      <c r="CS39" s="82"/>
      <c r="CT39" s="82"/>
      <c r="CU39" s="82"/>
      <c r="CV39" s="82"/>
      <c r="CW39" s="112">
        <f>SUM(CS39:CV39)</f>
        <v>0</v>
      </c>
      <c r="CX39" s="95"/>
      <c r="CY39" s="95"/>
      <c r="CZ39" s="95"/>
      <c r="DA39" s="95"/>
      <c r="DB39" s="95"/>
      <c r="DC39" s="95"/>
    </row>
    <row r="40" spans="2:107">
      <c r="B40" s="715" t="s">
        <v>565</v>
      </c>
      <c r="C40" s="8"/>
      <c r="D40" s="50"/>
      <c r="E40" s="50"/>
      <c r="F40" s="50">
        <f>F37</f>
        <v>46</v>
      </c>
      <c r="G40" s="45">
        <f>G37</f>
        <v>36</v>
      </c>
      <c r="H40" s="45">
        <f>H37</f>
        <v>37</v>
      </c>
      <c r="I40" s="45">
        <f>I37</f>
        <v>37</v>
      </c>
      <c r="J40" s="45">
        <f>J37</f>
        <v>47</v>
      </c>
      <c r="K40" s="50">
        <f>SUM(G40:J40)</f>
        <v>157</v>
      </c>
      <c r="L40" s="45">
        <f>L37</f>
        <v>48</v>
      </c>
      <c r="M40" s="45">
        <f>M37</f>
        <v>50</v>
      </c>
      <c r="N40" s="45">
        <f>N37</f>
        <v>79</v>
      </c>
      <c r="O40" s="45">
        <f>O37</f>
        <v>51</v>
      </c>
      <c r="P40" s="50">
        <f>SUM(L40:O40)</f>
        <v>228</v>
      </c>
      <c r="Q40" s="45">
        <f t="shared" ref="Q40:V40" si="165">Q37</f>
        <v>51</v>
      </c>
      <c r="R40" s="45">
        <f t="shared" si="165"/>
        <v>175</v>
      </c>
      <c r="S40" s="45">
        <f t="shared" si="165"/>
        <v>232</v>
      </c>
      <c r="T40" s="76">
        <f t="shared" si="165"/>
        <v>292</v>
      </c>
      <c r="U40" s="50">
        <f t="shared" si="165"/>
        <v>750</v>
      </c>
      <c r="V40" s="45">
        <f t="shared" si="165"/>
        <v>312</v>
      </c>
      <c r="W40" s="45">
        <f>W37+W36</f>
        <v>610</v>
      </c>
      <c r="X40" s="45">
        <f t="shared" ref="X40:AE40" si="166">X37+X36</f>
        <v>747</v>
      </c>
      <c r="Y40" s="45">
        <f t="shared" si="166"/>
        <v>742</v>
      </c>
      <c r="Z40" s="50">
        <f t="shared" si="166"/>
        <v>2411</v>
      </c>
      <c r="AA40" s="45">
        <f t="shared" si="166"/>
        <v>872</v>
      </c>
      <c r="AB40" s="45">
        <f t="shared" si="166"/>
        <v>975</v>
      </c>
      <c r="AC40" s="45">
        <f t="shared" si="166"/>
        <v>1245</v>
      </c>
      <c r="AD40" s="45">
        <f t="shared" si="166"/>
        <v>1430</v>
      </c>
      <c r="AE40" s="50">
        <f t="shared" si="166"/>
        <v>4522</v>
      </c>
      <c r="AF40" s="118">
        <f t="shared" ref="AF40:AO40" si="167">AF37+AF36</f>
        <v>1641</v>
      </c>
      <c r="AG40" s="45">
        <f t="shared" si="167"/>
        <v>1828</v>
      </c>
      <c r="AH40" s="45">
        <f t="shared" si="167"/>
        <v>2092</v>
      </c>
      <c r="AI40" s="76">
        <f t="shared" si="167"/>
        <v>1800</v>
      </c>
      <c r="AJ40" s="50">
        <f t="shared" si="167"/>
        <v>7361</v>
      </c>
      <c r="AK40" s="76">
        <f t="shared" si="167"/>
        <v>2056</v>
      </c>
      <c r="AL40" s="45">
        <f t="shared" si="167"/>
        <v>2041</v>
      </c>
      <c r="AM40" s="76">
        <f t="shared" si="167"/>
        <v>1938</v>
      </c>
      <c r="AN40" s="45">
        <f t="shared" si="167"/>
        <v>2217</v>
      </c>
      <c r="AO40" s="50">
        <f t="shared" si="167"/>
        <v>8252</v>
      </c>
      <c r="AP40" s="118">
        <f t="shared" ref="AP40:AT40" si="168">AP37+AP36</f>
        <v>2344</v>
      </c>
      <c r="AQ40" s="118">
        <f t="shared" si="168"/>
        <v>2480</v>
      </c>
      <c r="AR40" s="45">
        <f t="shared" si="168"/>
        <v>2439</v>
      </c>
      <c r="AS40" s="45">
        <f t="shared" si="168"/>
        <v>2423</v>
      </c>
      <c r="AT40" s="50">
        <f t="shared" si="168"/>
        <v>9686</v>
      </c>
      <c r="AU40" s="45">
        <f t="shared" ref="AU40:AZ40" si="169">AU37+AU36+AU39</f>
        <v>3088</v>
      </c>
      <c r="AV40" s="76">
        <f t="shared" si="169"/>
        <v>3263</v>
      </c>
      <c r="AW40" s="253">
        <f t="shared" si="169"/>
        <v>3206</v>
      </c>
      <c r="AX40" s="253">
        <f t="shared" si="169"/>
        <v>3204</v>
      </c>
      <c r="AY40" s="359">
        <f t="shared" si="169"/>
        <v>12761</v>
      </c>
      <c r="AZ40" s="253">
        <f t="shared" si="169"/>
        <v>3515</v>
      </c>
      <c r="BA40" s="253">
        <f>BA37+BA36</f>
        <v>3303</v>
      </c>
      <c r="BB40" s="253">
        <f>BB37+BB36</f>
        <v>3475</v>
      </c>
      <c r="BC40" s="253">
        <f>BC37+BC36</f>
        <v>7008</v>
      </c>
      <c r="BD40" s="359">
        <f>BD37+BD36</f>
        <v>17301</v>
      </c>
      <c r="BE40" s="253">
        <f t="shared" ref="BE40" si="170">BE37+BE36+BE39</f>
        <v>4658</v>
      </c>
      <c r="BF40" s="45">
        <f>BF37+BF36</f>
        <v>4212</v>
      </c>
      <c r="BG40" s="118">
        <f>BG37+BG36</f>
        <v>4194</v>
      </c>
      <c r="BH40" s="118">
        <f>BH37+BH36</f>
        <v>3539</v>
      </c>
      <c r="BI40" s="50">
        <f>BI37+BI36</f>
        <v>16603</v>
      </c>
      <c r="BJ40" s="118">
        <f>BJ37+BJ36+BJ39</f>
        <v>6537</v>
      </c>
      <c r="BK40" s="118">
        <f>BK37+BK36+BK39</f>
        <v>3741</v>
      </c>
      <c r="BL40" s="118">
        <f>BL37+BL36+BL39</f>
        <v>4452</v>
      </c>
      <c r="BM40" s="45">
        <f>BM37+BM36+BM39</f>
        <v>4787</v>
      </c>
      <c r="BN40" s="50">
        <f>BN37+BN36</f>
        <v>20005</v>
      </c>
      <c r="BO40" s="118">
        <f t="shared" ref="BO40:BX40" si="171">BO37+BO36+BO39</f>
        <v>5752</v>
      </c>
      <c r="BP40" s="118">
        <f t="shared" si="171"/>
        <v>6407</v>
      </c>
      <c r="BQ40" s="118">
        <f t="shared" si="171"/>
        <v>6329</v>
      </c>
      <c r="BR40" s="118">
        <f t="shared" si="171"/>
        <v>5660</v>
      </c>
      <c r="BS40" s="50">
        <f t="shared" si="171"/>
        <v>24148</v>
      </c>
      <c r="BT40" s="118">
        <f t="shared" si="171"/>
        <v>9589</v>
      </c>
      <c r="BU40" s="45">
        <f t="shared" si="171"/>
        <v>10170</v>
      </c>
      <c r="BV40" s="118">
        <f t="shared" si="171"/>
        <v>9248</v>
      </c>
      <c r="BW40" s="118">
        <f t="shared" si="171"/>
        <v>8693</v>
      </c>
      <c r="BX40" s="50">
        <f t="shared" si="171"/>
        <v>37700</v>
      </c>
      <c r="BY40" s="118">
        <f t="shared" ref="BY40:CD40" si="172">BY37+BY36+BY39</f>
        <v>11485</v>
      </c>
      <c r="BZ40" s="45">
        <f t="shared" si="172"/>
        <v>11129</v>
      </c>
      <c r="CA40" s="45">
        <f t="shared" si="172"/>
        <v>10958</v>
      </c>
      <c r="CB40" s="45">
        <f t="shared" si="172"/>
        <v>11595</v>
      </c>
      <c r="CC40" s="50">
        <f t="shared" si="172"/>
        <v>45167</v>
      </c>
      <c r="CD40" s="45">
        <f t="shared" si="172"/>
        <v>15631</v>
      </c>
      <c r="CE40" s="45">
        <f t="shared" ref="CE40:CI40" si="173">CE37+CE36+CE39</f>
        <v>16360</v>
      </c>
      <c r="CF40" s="45">
        <f t="shared" si="173"/>
        <v>15224</v>
      </c>
      <c r="CG40" s="118">
        <f t="shared" si="173"/>
        <v>14409</v>
      </c>
      <c r="CH40" s="50">
        <f t="shared" si="173"/>
        <v>61624</v>
      </c>
      <c r="CI40" s="64">
        <f t="shared" si="173"/>
        <v>24356</v>
      </c>
      <c r="CJ40" s="45">
        <f t="shared" ref="CJ40:CL40" si="174">CJ37+CJ36+CJ39</f>
        <v>16334</v>
      </c>
      <c r="CK40" s="45">
        <f t="shared" si="174"/>
        <v>17222</v>
      </c>
      <c r="CL40" s="118">
        <f t="shared" si="174"/>
        <v>20155</v>
      </c>
      <c r="CM40" s="112">
        <f t="shared" ref="CM40:CO40" si="175">CM37+CM36+CM39</f>
        <v>78067</v>
      </c>
      <c r="CN40" s="64">
        <f t="shared" si="175"/>
        <v>22455</v>
      </c>
      <c r="CO40" s="45">
        <f t="shared" si="175"/>
        <v>24507</v>
      </c>
      <c r="CP40" s="64">
        <f t="shared" ref="CP40:CS40" si="176">CP37+CP36+CP39</f>
        <v>23946</v>
      </c>
      <c r="CQ40" s="118">
        <f t="shared" si="176"/>
        <v>19989</v>
      </c>
      <c r="CR40" s="112">
        <f t="shared" si="176"/>
        <v>90897</v>
      </c>
      <c r="CS40" s="64">
        <f t="shared" si="176"/>
        <v>26800</v>
      </c>
      <c r="CT40" s="64">
        <f t="shared" ref="CT40:CW40" si="177">CT37+CT36+CT39</f>
        <v>26235</v>
      </c>
      <c r="CU40" s="64">
        <f t="shared" si="177"/>
        <v>26185</v>
      </c>
      <c r="CV40" s="64">
        <f t="shared" si="177"/>
        <v>26185</v>
      </c>
      <c r="CW40" s="112">
        <f t="shared" si="177"/>
        <v>105405</v>
      </c>
      <c r="CX40" s="95"/>
      <c r="CY40" s="95"/>
      <c r="CZ40" s="95"/>
      <c r="DA40" s="95"/>
      <c r="DB40" s="95"/>
      <c r="DC40" s="95"/>
    </row>
    <row r="41" spans="2:107">
      <c r="B41" s="24"/>
      <c r="D41" s="50"/>
      <c r="E41" s="50"/>
      <c r="F41" s="50"/>
      <c r="G41" s="45"/>
      <c r="H41" s="45"/>
      <c r="I41" s="45"/>
      <c r="J41" s="45"/>
      <c r="K41" s="50"/>
      <c r="L41" s="45"/>
      <c r="M41" s="45"/>
      <c r="N41" s="45"/>
      <c r="O41" s="45"/>
      <c r="P41" s="50"/>
      <c r="Q41" s="45"/>
      <c r="R41" s="45"/>
      <c r="S41" s="45"/>
      <c r="T41" s="76"/>
      <c r="U41" s="50"/>
      <c r="V41" s="45"/>
      <c r="W41" s="45"/>
      <c r="X41" s="45"/>
      <c r="Y41" s="45"/>
      <c r="Z41" s="50"/>
      <c r="AA41" s="45"/>
      <c r="AB41" s="45"/>
      <c r="AC41" s="45"/>
      <c r="AD41" s="45"/>
      <c r="AE41" s="50"/>
      <c r="AF41" s="118"/>
      <c r="AG41" s="45"/>
      <c r="AH41" s="45"/>
      <c r="AI41" s="76"/>
      <c r="AJ41" s="50"/>
      <c r="AK41" s="76"/>
      <c r="AL41" s="45"/>
      <c r="AM41" s="45"/>
      <c r="AN41" s="45"/>
      <c r="AO41" s="50"/>
      <c r="AP41" s="118"/>
      <c r="AQ41" s="45"/>
      <c r="AR41" s="45"/>
      <c r="AS41" s="45"/>
      <c r="AT41" s="50"/>
      <c r="AU41" s="45"/>
      <c r="AV41" s="76"/>
      <c r="AW41" s="253"/>
      <c r="AX41" s="253"/>
      <c r="AY41" s="50"/>
      <c r="AZ41" s="253"/>
      <c r="BA41" s="253"/>
      <c r="BB41" s="253"/>
      <c r="BC41" s="253"/>
      <c r="BD41" s="359"/>
      <c r="BE41" s="253"/>
      <c r="BF41" s="45"/>
      <c r="BG41" s="118"/>
      <c r="BH41" s="118"/>
      <c r="BI41" s="50"/>
      <c r="BJ41" s="118"/>
      <c r="BK41" s="45"/>
      <c r="BL41" s="45"/>
      <c r="BM41" s="45"/>
      <c r="BN41" s="50"/>
      <c r="BO41" s="118">
        <f>11536-BO42</f>
        <v>0</v>
      </c>
      <c r="BP41" s="45"/>
      <c r="BQ41" s="118"/>
      <c r="BR41" s="118"/>
      <c r="BS41" s="50"/>
      <c r="BT41" s="118"/>
      <c r="BU41" s="45"/>
      <c r="BV41" s="118"/>
      <c r="BW41" s="118"/>
      <c r="BX41" s="50"/>
      <c r="BY41" s="118"/>
      <c r="BZ41" s="45"/>
      <c r="CA41" s="45"/>
      <c r="CB41" s="118"/>
      <c r="CC41" s="50"/>
      <c r="CD41" s="118"/>
      <c r="CE41" s="45"/>
      <c r="CF41" s="45"/>
      <c r="CG41" s="118"/>
      <c r="CH41" s="50"/>
      <c r="CI41" s="119"/>
      <c r="CJ41" s="45"/>
      <c r="CK41" s="45"/>
      <c r="CL41" s="118"/>
      <c r="CM41" s="112"/>
      <c r="CN41" s="119"/>
      <c r="CO41" s="45"/>
      <c r="CP41" s="64"/>
      <c r="CQ41" s="118"/>
      <c r="CR41" s="112"/>
      <c r="CS41" s="119"/>
      <c r="CT41" s="64"/>
      <c r="CU41" s="64"/>
      <c r="CV41" s="64"/>
      <c r="CW41" s="112"/>
      <c r="CX41" s="95"/>
      <c r="CY41" s="95"/>
      <c r="CZ41" s="95"/>
      <c r="DA41" s="95"/>
      <c r="DB41" s="95"/>
      <c r="DC41" s="95"/>
    </row>
    <row r="42" spans="2:107" s="1" customFormat="1" ht="13.15">
      <c r="B42" s="6" t="s">
        <v>17</v>
      </c>
      <c r="D42" s="49">
        <f>D33-D40</f>
        <v>-339</v>
      </c>
      <c r="E42" s="49">
        <f t="shared" ref="E42:U42" si="178">E33-E40</f>
        <v>-847</v>
      </c>
      <c r="F42" s="49">
        <f t="shared" si="178"/>
        <v>-1821</v>
      </c>
      <c r="G42" s="44">
        <f t="shared" si="178"/>
        <v>-779</v>
      </c>
      <c r="H42" s="44">
        <f t="shared" si="178"/>
        <v>-476</v>
      </c>
      <c r="I42" s="44">
        <f t="shared" si="178"/>
        <v>-21</v>
      </c>
      <c r="J42" s="44">
        <f t="shared" si="178"/>
        <v>-134</v>
      </c>
      <c r="K42" s="49">
        <f t="shared" si="178"/>
        <v>-1410</v>
      </c>
      <c r="L42" s="44">
        <f t="shared" si="178"/>
        <v>-77</v>
      </c>
      <c r="M42" s="44">
        <f t="shared" si="178"/>
        <v>734</v>
      </c>
      <c r="N42" s="44">
        <f t="shared" si="178"/>
        <v>464</v>
      </c>
      <c r="O42" s="44">
        <f t="shared" si="178"/>
        <v>760</v>
      </c>
      <c r="P42" s="49">
        <f t="shared" si="178"/>
        <v>1881</v>
      </c>
      <c r="Q42" s="44">
        <f t="shared" si="178"/>
        <v>1047</v>
      </c>
      <c r="R42" s="44">
        <f t="shared" si="178"/>
        <v>679</v>
      </c>
      <c r="S42" s="44">
        <f t="shared" si="178"/>
        <v>868</v>
      </c>
      <c r="T42" s="44">
        <f t="shared" si="178"/>
        <v>442</v>
      </c>
      <c r="U42" s="49">
        <f t="shared" si="178"/>
        <v>3036</v>
      </c>
      <c r="V42" s="44">
        <f t="shared" ref="V42:AE42" si="179">V33-V40</f>
        <v>507</v>
      </c>
      <c r="W42" s="44">
        <f t="shared" si="179"/>
        <v>-41</v>
      </c>
      <c r="X42" s="44">
        <f t="shared" si="179"/>
        <v>270</v>
      </c>
      <c r="Y42" s="44">
        <f t="shared" si="179"/>
        <v>399</v>
      </c>
      <c r="Z42" s="49">
        <f t="shared" si="179"/>
        <v>1135</v>
      </c>
      <c r="AA42" s="44">
        <f t="shared" si="179"/>
        <v>459</v>
      </c>
      <c r="AB42" s="44">
        <f t="shared" si="179"/>
        <v>751</v>
      </c>
      <c r="AC42" s="44">
        <f t="shared" si="179"/>
        <v>138</v>
      </c>
      <c r="AD42" s="44">
        <f t="shared" si="179"/>
        <v>224</v>
      </c>
      <c r="AE42" s="49">
        <f t="shared" si="179"/>
        <v>1572</v>
      </c>
      <c r="AF42" s="44">
        <f t="shared" ref="AF42:AO42" si="180">AF33-AF40</f>
        <v>194</v>
      </c>
      <c r="AG42" s="44">
        <f t="shared" si="180"/>
        <v>483</v>
      </c>
      <c r="AH42" s="44">
        <f t="shared" si="180"/>
        <v>371</v>
      </c>
      <c r="AI42" s="44">
        <f>AI33-AI40</f>
        <v>724</v>
      </c>
      <c r="AJ42" s="49">
        <f t="shared" si="180"/>
        <v>1772</v>
      </c>
      <c r="AK42" s="44">
        <f t="shared" si="180"/>
        <v>598</v>
      </c>
      <c r="AL42" s="44">
        <f t="shared" si="180"/>
        <v>1014</v>
      </c>
      <c r="AM42" s="44">
        <f t="shared" si="180"/>
        <v>1354</v>
      </c>
      <c r="AN42" s="44">
        <f t="shared" si="180"/>
        <v>1417</v>
      </c>
      <c r="AO42" s="49">
        <f t="shared" si="180"/>
        <v>4383</v>
      </c>
      <c r="AP42" s="120">
        <f t="shared" ref="AP42:AY42" si="181">AP33-AP40</f>
        <v>922</v>
      </c>
      <c r="AQ42" s="44">
        <f t="shared" si="181"/>
        <v>1027</v>
      </c>
      <c r="AR42" s="44">
        <f t="shared" si="181"/>
        <v>2260</v>
      </c>
      <c r="AS42" s="44">
        <f t="shared" si="181"/>
        <v>2814</v>
      </c>
      <c r="AT42" s="49">
        <f t="shared" si="181"/>
        <v>7023</v>
      </c>
      <c r="AU42" s="44">
        <f t="shared" si="181"/>
        <v>1314</v>
      </c>
      <c r="AV42" s="44">
        <f t="shared" si="181"/>
        <v>880</v>
      </c>
      <c r="AW42" s="44">
        <f t="shared" si="181"/>
        <v>2670</v>
      </c>
      <c r="AX42" s="44">
        <f t="shared" si="181"/>
        <v>2653</v>
      </c>
      <c r="AY42" s="49">
        <f t="shared" si="181"/>
        <v>7517</v>
      </c>
      <c r="AZ42" s="44">
        <f t="shared" ref="AZ42:BI42" si="182">AZ33-AZ40</f>
        <v>3376</v>
      </c>
      <c r="BA42" s="44">
        <f t="shared" si="182"/>
        <v>2727</v>
      </c>
      <c r="BB42" s="44">
        <f t="shared" si="182"/>
        <v>2845</v>
      </c>
      <c r="BC42" s="44">
        <f t="shared" si="182"/>
        <v>-521</v>
      </c>
      <c r="BD42" s="49">
        <f t="shared" si="182"/>
        <v>8427</v>
      </c>
      <c r="BE42" s="44">
        <f t="shared" si="182"/>
        <v>4300</v>
      </c>
      <c r="BF42" s="44">
        <f t="shared" si="182"/>
        <v>5965</v>
      </c>
      <c r="BG42" s="44">
        <f t="shared" si="182"/>
        <v>8257</v>
      </c>
      <c r="BH42" s="44">
        <f t="shared" si="182"/>
        <v>8209</v>
      </c>
      <c r="BI42" s="49">
        <f t="shared" si="182"/>
        <v>26731</v>
      </c>
      <c r="BJ42" s="120">
        <f t="shared" ref="BJ42:BN42" si="183">BJ33-BJ40</f>
        <v>7379</v>
      </c>
      <c r="BK42" s="44">
        <f t="shared" si="183"/>
        <v>9330</v>
      </c>
      <c r="BL42" s="44">
        <f t="shared" si="183"/>
        <v>10933</v>
      </c>
      <c r="BM42" s="44">
        <f>BM33-BM40</f>
        <v>10764</v>
      </c>
      <c r="BN42" s="49">
        <f t="shared" si="183"/>
        <v>37918</v>
      </c>
      <c r="BO42" s="120">
        <f t="shared" ref="BO42:BS42" si="184">BO33-BO40</f>
        <v>11536</v>
      </c>
      <c r="BP42" s="44">
        <f t="shared" si="184"/>
        <v>11111</v>
      </c>
      <c r="BQ42" s="120">
        <f t="shared" si="184"/>
        <v>13954</v>
      </c>
      <c r="BR42" s="44">
        <f t="shared" si="184"/>
        <v>13557</v>
      </c>
      <c r="BS42" s="49">
        <f t="shared" si="184"/>
        <v>50158</v>
      </c>
      <c r="BT42" s="120">
        <f t="shared" ref="BT42:BX42" si="185">BT33-BT40</f>
        <v>12662</v>
      </c>
      <c r="BU42" s="44">
        <f>BU33-BU40</f>
        <v>13529</v>
      </c>
      <c r="BV42" s="120">
        <f t="shared" si="185"/>
        <v>13521</v>
      </c>
      <c r="BW42" s="120">
        <f t="shared" si="185"/>
        <v>15373</v>
      </c>
      <c r="BX42" s="49">
        <f t="shared" si="185"/>
        <v>55085</v>
      </c>
      <c r="BY42" s="120">
        <f t="shared" ref="BY42:CC42" si="186">BY33-BY40</f>
        <v>16510</v>
      </c>
      <c r="BZ42" s="44">
        <f t="shared" si="186"/>
        <v>15968</v>
      </c>
      <c r="CA42" s="44">
        <f t="shared" si="186"/>
        <v>19690</v>
      </c>
      <c r="CB42" s="120">
        <f>CB33-CB40</f>
        <v>19014</v>
      </c>
      <c r="CC42" s="49">
        <f t="shared" si="186"/>
        <v>71182</v>
      </c>
      <c r="CD42" s="120">
        <f t="shared" ref="CD42:CH42" si="187">CD33-CD40</f>
        <v>16730</v>
      </c>
      <c r="CE42" s="44">
        <f t="shared" si="187"/>
        <v>17033</v>
      </c>
      <c r="CF42" s="44">
        <f t="shared" si="187"/>
        <v>20599</v>
      </c>
      <c r="CG42" s="120">
        <f t="shared" si="187"/>
        <v>22885</v>
      </c>
      <c r="CH42" s="49">
        <f t="shared" si="187"/>
        <v>77247</v>
      </c>
      <c r="CI42" s="769">
        <f t="shared" ref="CI42:CM42" si="188">CI33-CI40</f>
        <v>15403</v>
      </c>
      <c r="CJ42" s="44">
        <f t="shared" si="188"/>
        <v>23165</v>
      </c>
      <c r="CK42" s="44">
        <f t="shared" si="188"/>
        <v>25571</v>
      </c>
      <c r="CL42" s="120">
        <f t="shared" si="188"/>
        <v>24744</v>
      </c>
      <c r="CM42" s="770">
        <f t="shared" si="188"/>
        <v>88883</v>
      </c>
      <c r="CN42" s="769">
        <f t="shared" ref="CN42:CR42" si="189">CN33-CN40</f>
        <v>25956</v>
      </c>
      <c r="CO42" s="44">
        <f t="shared" si="189"/>
        <v>26470</v>
      </c>
      <c r="CP42" s="701">
        <f>CP33-CP40</f>
        <v>31191</v>
      </c>
      <c r="CQ42" s="120">
        <f t="shared" ref="CQ42" si="190">CQ33-CQ40</f>
        <v>34686</v>
      </c>
      <c r="CR42" s="770">
        <f t="shared" si="189"/>
        <v>118303</v>
      </c>
      <c r="CS42" s="769">
        <f t="shared" ref="CS42:CW42" si="191">CS33-CS40</f>
        <v>25210.535915000015</v>
      </c>
      <c r="CT42" s="701">
        <f t="shared" si="191"/>
        <v>32876.917280000009</v>
      </c>
      <c r="CU42" s="701">
        <f t="shared" si="191"/>
        <v>37798.268694400002</v>
      </c>
      <c r="CV42" s="701">
        <f t="shared" si="191"/>
        <v>40364.396479999996</v>
      </c>
      <c r="CW42" s="770">
        <f t="shared" si="191"/>
        <v>136250.11836939986</v>
      </c>
      <c r="CX42" s="771"/>
      <c r="CY42" s="771"/>
      <c r="CZ42" s="771"/>
      <c r="DA42" s="771"/>
      <c r="DB42" s="771"/>
      <c r="DC42" s="771"/>
    </row>
    <row r="43" spans="2:107" s="2" customFormat="1" ht="10.15">
      <c r="B43" s="11"/>
      <c r="C43" s="9" t="s">
        <v>18</v>
      </c>
      <c r="D43" s="34">
        <f t="shared" ref="D43:AI43" si="192">D42/D4</f>
        <v>-2.4517248860924278E-2</v>
      </c>
      <c r="E43" s="34">
        <f t="shared" si="192"/>
        <v>-4.2650687345787801E-2</v>
      </c>
      <c r="F43" s="34">
        <f t="shared" si="192"/>
        <v>-7.2267640288911819E-2</v>
      </c>
      <c r="G43" s="37">
        <f t="shared" si="192"/>
        <v>-0.11197355181831249</v>
      </c>
      <c r="H43" s="37">
        <f t="shared" si="192"/>
        <v>-6.2747165831795418E-2</v>
      </c>
      <c r="I43" s="37">
        <f t="shared" si="192"/>
        <v>-2.6009412930393856E-3</v>
      </c>
      <c r="J43" s="37">
        <f t="shared" si="192"/>
        <v>-1.6584158415841585E-2</v>
      </c>
      <c r="K43" s="34">
        <f t="shared" si="192"/>
        <v>-4.593282731211519E-2</v>
      </c>
      <c r="L43" s="37">
        <f t="shared" si="192"/>
        <v>-9.0259055210409091E-3</v>
      </c>
      <c r="M43" s="37">
        <f t="shared" si="192"/>
        <v>7.6458333333333336E-2</v>
      </c>
      <c r="N43" s="37">
        <f t="shared" si="192"/>
        <v>4.8162756902636494E-2</v>
      </c>
      <c r="O43" s="37">
        <f t="shared" si="192"/>
        <v>7.6144674882276331E-2</v>
      </c>
      <c r="P43" s="34">
        <f t="shared" si="192"/>
        <v>4.9833094897472577E-2</v>
      </c>
      <c r="Q43" s="37">
        <f t="shared" si="192"/>
        <v>0.102216147613004</v>
      </c>
      <c r="R43" s="37">
        <f t="shared" si="192"/>
        <v>6.2043128654970761E-2</v>
      </c>
      <c r="S43" s="37">
        <f t="shared" si="192"/>
        <v>7.5537377077712992E-2</v>
      </c>
      <c r="T43" s="37">
        <f t="shared" si="192"/>
        <v>3.7083647957043379E-2</v>
      </c>
      <c r="U43" s="34">
        <f t="shared" si="192"/>
        <v>6.8076328004125844E-2</v>
      </c>
      <c r="V43" s="37">
        <f t="shared" si="192"/>
        <v>4.0082219938335044E-2</v>
      </c>
      <c r="W43" s="37">
        <f t="shared" si="192"/>
        <v>-2.9418095716438257E-3</v>
      </c>
      <c r="X43" s="37">
        <f t="shared" si="192"/>
        <v>1.7386824650653616E-2</v>
      </c>
      <c r="Y43" s="37">
        <f t="shared" si="192"/>
        <v>2.5167150245994703E-2</v>
      </c>
      <c r="Z43" s="34">
        <f t="shared" si="192"/>
        <v>1.9579430385205886E-2</v>
      </c>
      <c r="AA43" s="37">
        <f t="shared" si="192"/>
        <v>2.7760977379944356E-2</v>
      </c>
      <c r="AB43" s="37">
        <f t="shared" si="192"/>
        <v>4.2141293979013526E-2</v>
      </c>
      <c r="AC43" s="37">
        <f t="shared" si="192"/>
        <v>6.8090985345635761E-3</v>
      </c>
      <c r="AD43" s="37">
        <f t="shared" si="192"/>
        <v>9.9626400996264009E-3</v>
      </c>
      <c r="AE43" s="34">
        <f t="shared" si="192"/>
        <v>2.038751848105206E-2</v>
      </c>
      <c r="AF43" s="37">
        <f t="shared" si="192"/>
        <v>8.1677332435163355E-3</v>
      </c>
      <c r="AG43" s="37">
        <f t="shared" si="192"/>
        <v>1.8824538155740901E-2</v>
      </c>
      <c r="AH43" s="37">
        <f t="shared" si="192"/>
        <v>1.3736670616113745E-2</v>
      </c>
      <c r="AI43" s="37">
        <f t="shared" si="192"/>
        <v>2.5882100597004253E-2</v>
      </c>
      <c r="AJ43" s="34">
        <f t="shared" ref="AJ43:BO43" si="193">AJ42/AJ4</f>
        <v>1.6974643407956624E-2</v>
      </c>
      <c r="AK43" s="37">
        <f t="shared" si="193"/>
        <v>2.0664155637720723E-2</v>
      </c>
      <c r="AL43" s="37">
        <f t="shared" si="193"/>
        <v>3.2604501607717044E-2</v>
      </c>
      <c r="AM43" s="37">
        <f t="shared" si="193"/>
        <v>4.1653848520273179E-2</v>
      </c>
      <c r="AN43" s="37">
        <f t="shared" si="193"/>
        <v>4.0025987232359755E-2</v>
      </c>
      <c r="AO43" s="34">
        <f t="shared" si="193"/>
        <v>3.4256371778939719E-2</v>
      </c>
      <c r="AP43" s="122">
        <f t="shared" si="193"/>
        <v>2.4939139843116041E-2</v>
      </c>
      <c r="AQ43" s="37">
        <f t="shared" si="193"/>
        <v>2.6437728466251351E-2</v>
      </c>
      <c r="AR43" s="37">
        <f t="shared" si="193"/>
        <v>5.6004361401595877E-2</v>
      </c>
      <c r="AS43" s="37">
        <f t="shared" si="193"/>
        <v>6.6449419098894874E-2</v>
      </c>
      <c r="AT43" s="34">
        <f t="shared" si="193"/>
        <v>4.4304116882625318E-2</v>
      </c>
      <c r="AU43" s="37">
        <f t="shared" si="193"/>
        <v>2.881642141275028E-2</v>
      </c>
      <c r="AV43" s="37">
        <f t="shared" si="193"/>
        <v>1.858461278536884E-2</v>
      </c>
      <c r="AW43" s="37">
        <f t="shared" si="193"/>
        <v>5.4175797419040661E-2</v>
      </c>
      <c r="AX43" s="37">
        <f t="shared" si="193"/>
        <v>5.1957462642721448E-2</v>
      </c>
      <c r="AY43" s="34">
        <f t="shared" si="193"/>
        <v>3.888874518223441E-2</v>
      </c>
      <c r="AZ43" s="37">
        <f t="shared" si="193"/>
        <v>6.5008087499037207E-2</v>
      </c>
      <c r="BA43" s="37">
        <f t="shared" si="193"/>
        <v>5.0235796919902737E-2</v>
      </c>
      <c r="BB43" s="37">
        <f t="shared" si="193"/>
        <v>5.0667853962600179E-2</v>
      </c>
      <c r="BC43" s="37">
        <f t="shared" si="193"/>
        <v>-8.951890034364262E-3</v>
      </c>
      <c r="BD43" s="34">
        <f t="shared" si="193"/>
        <v>3.8206251190119965E-2</v>
      </c>
      <c r="BE43" s="37">
        <f t="shared" si="193"/>
        <v>7.2767887362079467E-2</v>
      </c>
      <c r="BF43" s="37">
        <f t="shared" si="193"/>
        <v>9.7641223748178949E-2</v>
      </c>
      <c r="BG43" s="37">
        <f t="shared" si="193"/>
        <v>0.13133867786473247</v>
      </c>
      <c r="BH43" s="37">
        <f t="shared" si="193"/>
        <v>0.12592615318535336</v>
      </c>
      <c r="BI43" s="34">
        <f t="shared" si="193"/>
        <v>0.10768208185626812</v>
      </c>
      <c r="BJ43" s="122">
        <f t="shared" si="193"/>
        <v>0.11024292586727223</v>
      </c>
      <c r="BK43" s="37">
        <f t="shared" si="193"/>
        <v>0.13614674079586744</v>
      </c>
      <c r="BL43" s="37">
        <f t="shared" si="193"/>
        <v>0.15414222873900293</v>
      </c>
      <c r="BM43" s="37">
        <f t="shared" si="193"/>
        <v>0.14799334552403998</v>
      </c>
      <c r="BN43" s="34">
        <f t="shared" si="193"/>
        <v>0.13584643384302317</v>
      </c>
      <c r="BO43" s="122">
        <f t="shared" si="193"/>
        <v>0.15548846236791028</v>
      </c>
      <c r="BP43" s="37">
        <f t="shared" ref="BP43:CU43" si="194">BP42/BP4</f>
        <v>0.14702340783083906</v>
      </c>
      <c r="BQ43" s="122">
        <f t="shared" si="194"/>
        <v>0.17539625677187426</v>
      </c>
      <c r="BR43" s="37">
        <f t="shared" si="194"/>
        <v>0.16273347097517646</v>
      </c>
      <c r="BS43" s="34">
        <f t="shared" si="194"/>
        <v>0.16043885743530692</v>
      </c>
      <c r="BT43" s="122">
        <f t="shared" si="194"/>
        <v>0.14054210047283947</v>
      </c>
      <c r="BU43" s="37">
        <f t="shared" si="194"/>
        <v>0.1431049619733655</v>
      </c>
      <c r="BV43" s="122">
        <f t="shared" si="194"/>
        <v>0.13812865855527293</v>
      </c>
      <c r="BW43" s="122">
        <f t="shared" si="194"/>
        <v>0.14960683561057261</v>
      </c>
      <c r="BX43" s="34">
        <f t="shared" si="194"/>
        <v>0.14297542540931696</v>
      </c>
      <c r="BY43" s="122">
        <f t="shared" si="194"/>
        <v>0.15694960691300752</v>
      </c>
      <c r="BZ43" s="37">
        <f t="shared" si="194"/>
        <v>0.14625657183681695</v>
      </c>
      <c r="CA43" s="37">
        <f t="shared" si="194"/>
        <v>0.17198609436961726</v>
      </c>
      <c r="CB43" s="122">
        <f t="shared" si="194"/>
        <v>0.15582946778344178</v>
      </c>
      <c r="CC43" s="34">
        <f t="shared" si="194"/>
        <v>0.15787524258386471</v>
      </c>
      <c r="CD43" s="122">
        <f t="shared" si="194"/>
        <v>0.13291702418406584</v>
      </c>
      <c r="CE43" s="37">
        <f t="shared" si="194"/>
        <v>0.13060514047356153</v>
      </c>
      <c r="CF43" s="37">
        <f t="shared" si="194"/>
        <v>0.15184172311865607</v>
      </c>
      <c r="CG43" s="122">
        <f t="shared" si="194"/>
        <v>0.15786569171869072</v>
      </c>
      <c r="CH43" s="34">
        <f t="shared" si="194"/>
        <v>0.14387327485053361</v>
      </c>
      <c r="CI43" s="449">
        <f t="shared" si="194"/>
        <v>0.10297775044124725</v>
      </c>
      <c r="CJ43" s="37">
        <f t="shared" si="194"/>
        <v>0.15081772962837575</v>
      </c>
      <c r="CK43" s="37">
        <f t="shared" si="194"/>
        <v>0.15621983553877547</v>
      </c>
      <c r="CL43" s="122">
        <f t="shared" si="194"/>
        <v>0.1447804946549878</v>
      </c>
      <c r="CM43" s="146">
        <f t="shared" si="194"/>
        <v>0.13936638103376636</v>
      </c>
      <c r="CN43" s="449">
        <f t="shared" si="194"/>
        <v>0.14296966659138854</v>
      </c>
      <c r="CO43" s="37">
        <f t="shared" si="194"/>
        <v>0.1412486659551761</v>
      </c>
      <c r="CP43" s="5">
        <f t="shared" si="194"/>
        <v>0.1642461454208442</v>
      </c>
      <c r="CQ43" s="122">
        <f t="shared" si="194"/>
        <v>0.18004484770466955</v>
      </c>
      <c r="CR43" s="146">
        <f t="shared" si="194"/>
        <v>0.15742144097510993</v>
      </c>
      <c r="CS43" s="449">
        <f t="shared" si="194"/>
        <v>0.13087434261731745</v>
      </c>
      <c r="CT43" s="5">
        <f t="shared" si="194"/>
        <v>0.16629807861173815</v>
      </c>
      <c r="CU43" s="5">
        <f t="shared" si="194"/>
        <v>0.18490549705821252</v>
      </c>
      <c r="CV43" s="5">
        <f t="shared" ref="CV43:CW43" si="195">CV42/CV4</f>
        <v>0.19409051857415133</v>
      </c>
      <c r="CW43" s="146">
        <f t="shared" si="195"/>
        <v>0.16973626872180106</v>
      </c>
      <c r="CX43" s="384"/>
      <c r="CY43" s="384"/>
      <c r="CZ43" s="384"/>
      <c r="DA43" s="384"/>
      <c r="DB43" s="384"/>
      <c r="DC43" s="384"/>
    </row>
    <row r="44" spans="2:107">
      <c r="B44" s="7"/>
      <c r="C44" s="10"/>
      <c r="D44" s="32"/>
      <c r="E44" s="32"/>
      <c r="F44" s="32"/>
      <c r="K44" s="32"/>
      <c r="P44" s="32"/>
      <c r="T44" s="4"/>
      <c r="U44" s="32"/>
      <c r="Z44" s="32"/>
      <c r="AE44" s="32"/>
      <c r="AJ44" s="32"/>
      <c r="AK44" s="4"/>
      <c r="AO44" s="32"/>
      <c r="AP44" s="142"/>
      <c r="AT44" s="32"/>
      <c r="AU44" s="85"/>
      <c r="AV44" s="247"/>
      <c r="AW44" s="254"/>
      <c r="AY44" s="32"/>
      <c r="AZ44" s="254"/>
      <c r="BA44" s="254"/>
      <c r="BC44" s="254"/>
      <c r="BD44" s="385"/>
      <c r="BE44" s="254"/>
      <c r="BI44" s="32"/>
      <c r="BJ44" s="142"/>
      <c r="BN44" s="32"/>
      <c r="BO44" s="142"/>
      <c r="BQ44" s="142"/>
      <c r="BS44" s="32"/>
      <c r="BT44" s="142"/>
      <c r="BU44" s="85"/>
      <c r="BV44" s="142"/>
      <c r="BW44" s="142"/>
      <c r="BX44" s="32"/>
      <c r="BY44" s="142"/>
      <c r="CB44" s="142"/>
      <c r="CC44" s="32"/>
      <c r="CD44" s="142"/>
      <c r="CG44" s="142"/>
      <c r="CH44" s="32"/>
      <c r="CI44" s="142"/>
      <c r="CL44" s="142"/>
      <c r="CM44" s="32"/>
      <c r="CN44" s="142"/>
      <c r="CQ44" s="142"/>
      <c r="CR44" s="32"/>
      <c r="CS44" s="142"/>
      <c r="CW44" s="32"/>
      <c r="CX44" s="95"/>
      <c r="CY44" s="95"/>
      <c r="CZ44" s="95"/>
      <c r="DA44" s="95"/>
      <c r="DB44" s="95"/>
      <c r="DC44" s="95"/>
    </row>
    <row r="45" spans="2:107" outlineLevel="1">
      <c r="B45" s="7"/>
      <c r="C45" s="254" t="s">
        <v>503</v>
      </c>
      <c r="D45" s="50">
        <v>-314</v>
      </c>
      <c r="E45" s="50">
        <v>-450</v>
      </c>
      <c r="F45" s="50">
        <v>-319</v>
      </c>
      <c r="G45" s="45">
        <v>-133</v>
      </c>
      <c r="H45" s="45">
        <v>-77</v>
      </c>
      <c r="I45" s="45">
        <v>-110</v>
      </c>
      <c r="J45" s="45">
        <v>-71</v>
      </c>
      <c r="K45" s="112">
        <v>-391</v>
      </c>
      <c r="L45" s="45">
        <v>34</v>
      </c>
      <c r="M45" s="45">
        <v>-77</v>
      </c>
      <c r="N45" s="45">
        <v>-61</v>
      </c>
      <c r="O45" s="45">
        <v>-516</v>
      </c>
      <c r="P45" s="112">
        <v>-620</v>
      </c>
      <c r="Q45" s="45">
        <v>-45</v>
      </c>
      <c r="R45" s="45">
        <v>-13</v>
      </c>
      <c r="S45" s="45">
        <v>96</v>
      </c>
      <c r="T45" s="45">
        <v>46</v>
      </c>
      <c r="U45" s="112">
        <v>84</v>
      </c>
      <c r="V45" s="45">
        <v>32</v>
      </c>
      <c r="W45" s="45">
        <v>26</v>
      </c>
      <c r="X45" s="45">
        <v>16</v>
      </c>
      <c r="Y45" s="45">
        <v>15</v>
      </c>
      <c r="Z45" s="112">
        <v>89</v>
      </c>
      <c r="AA45" s="45">
        <v>15</v>
      </c>
      <c r="AB45" s="45">
        <v>13</v>
      </c>
      <c r="AC45" s="45">
        <v>6</v>
      </c>
      <c r="AD45" s="45">
        <v>12</v>
      </c>
      <c r="AE45" s="112">
        <v>46</v>
      </c>
      <c r="AF45" s="45">
        <v>23</v>
      </c>
      <c r="AG45" s="45">
        <v>22</v>
      </c>
      <c r="AH45" s="45">
        <v>31</v>
      </c>
      <c r="AI45" s="45">
        <v>36</v>
      </c>
      <c r="AJ45" s="112">
        <v>112</v>
      </c>
      <c r="AK45" s="76">
        <v>49</v>
      </c>
      <c r="AL45" s="45">
        <v>50</v>
      </c>
      <c r="AM45" s="45">
        <v>52</v>
      </c>
      <c r="AN45" s="45">
        <v>36</v>
      </c>
      <c r="AO45" s="112">
        <v>187</v>
      </c>
      <c r="AP45" s="45">
        <v>37</v>
      </c>
      <c r="AQ45" s="45">
        <v>37</v>
      </c>
      <c r="AR45" s="45">
        <v>49</v>
      </c>
      <c r="AS45" s="45">
        <v>74</v>
      </c>
      <c r="AT45" s="112">
        <v>197</v>
      </c>
      <c r="AU45" s="45">
        <v>145</v>
      </c>
      <c r="AV45" s="76">
        <v>151</v>
      </c>
      <c r="AW45" s="253">
        <v>112</v>
      </c>
      <c r="AX45" s="45">
        <v>193</v>
      </c>
      <c r="AY45" s="112">
        <v>601</v>
      </c>
      <c r="AZ45" s="253">
        <v>191</v>
      </c>
      <c r="BA45" s="253">
        <v>242</v>
      </c>
      <c r="BB45" s="45">
        <v>272</v>
      </c>
      <c r="BC45" s="45">
        <v>328</v>
      </c>
      <c r="BD45" s="112">
        <v>1033</v>
      </c>
      <c r="BE45" s="253">
        <v>414</v>
      </c>
      <c r="BF45" s="45">
        <v>547</v>
      </c>
      <c r="BG45" s="45">
        <v>628</v>
      </c>
      <c r="BH45" s="45">
        <v>740</v>
      </c>
      <c r="BI45" s="112">
        <f t="shared" ref="BI45:BI50" si="196">SUM(BE45:BH45)</f>
        <v>2329</v>
      </c>
      <c r="BJ45" s="118">
        <v>577</v>
      </c>
      <c r="BK45" s="45">
        <v>813</v>
      </c>
      <c r="BL45" s="45">
        <v>843</v>
      </c>
      <c r="BM45" s="45">
        <v>714</v>
      </c>
      <c r="BN45" s="112">
        <f t="shared" ref="BN45:BN50" si="197">SUM(BJ45:BM45)</f>
        <v>2947</v>
      </c>
      <c r="BO45" s="538">
        <v>640</v>
      </c>
      <c r="BP45" s="538">
        <v>332</v>
      </c>
      <c r="BQ45" s="538">
        <v>107</v>
      </c>
      <c r="BR45" s="119">
        <v>129</v>
      </c>
      <c r="BS45" s="112">
        <f t="shared" ref="BS45:BS50" si="198">SUM(BO45:BR45)</f>
        <v>1208</v>
      </c>
      <c r="BT45" s="538">
        <v>97</v>
      </c>
      <c r="BU45" s="538">
        <v>79</v>
      </c>
      <c r="BV45" s="538">
        <v>66</v>
      </c>
      <c r="BW45" s="119">
        <v>36</v>
      </c>
      <c r="BX45" s="112">
        <f t="shared" ref="BX45:BX50" si="199">SUM(BT45:BW45)</f>
        <v>278</v>
      </c>
      <c r="BY45" s="538">
        <v>48</v>
      </c>
      <c r="BZ45" s="538">
        <v>172</v>
      </c>
      <c r="CA45" s="538">
        <v>586</v>
      </c>
      <c r="CB45" s="119">
        <v>864</v>
      </c>
      <c r="CC45" s="112">
        <f t="shared" ref="CC45:CC50" si="200">SUM(BY45:CB45)</f>
        <v>1670</v>
      </c>
      <c r="CD45" s="538">
        <v>1127</v>
      </c>
      <c r="CE45" s="538">
        <v>1611</v>
      </c>
      <c r="CF45" s="538">
        <v>2635</v>
      </c>
      <c r="CG45" s="119">
        <v>2288</v>
      </c>
      <c r="CH45" s="112">
        <f t="shared" ref="CH45:CH50" si="201">SUM(CD45:CG45)</f>
        <v>7661</v>
      </c>
      <c r="CI45" s="538">
        <v>2879</v>
      </c>
      <c r="CJ45" s="538">
        <v>2794</v>
      </c>
      <c r="CK45" s="538">
        <v>2704</v>
      </c>
      <c r="CL45" s="119">
        <v>2205</v>
      </c>
      <c r="CM45" s="112">
        <f t="shared" ref="CM45:CM50" si="202">SUM(CI45:CL45)</f>
        <v>10582</v>
      </c>
      <c r="CN45" s="538">
        <v>1849</v>
      </c>
      <c r="CO45" s="538">
        <v>688</v>
      </c>
      <c r="CP45" s="538">
        <v>1076</v>
      </c>
      <c r="CQ45" s="119">
        <v>1036</v>
      </c>
      <c r="CR45" s="112">
        <f t="shared" ref="CR45:CR50" si="203">SUM(CN45:CQ45)</f>
        <v>4649</v>
      </c>
      <c r="CS45" s="541">
        <v>950</v>
      </c>
      <c r="CT45" s="541">
        <v>820</v>
      </c>
      <c r="CU45" s="541">
        <f>CT45-45</f>
        <v>775</v>
      </c>
      <c r="CV45" s="541">
        <f>CU45-45</f>
        <v>730</v>
      </c>
      <c r="CW45" s="112">
        <f t="shared" ref="CW45:CW49" si="204">SUM(CS45:CV45)</f>
        <v>3275</v>
      </c>
      <c r="CX45" s="95"/>
      <c r="CY45" s="95"/>
      <c r="CZ45" s="95"/>
      <c r="DA45" s="95"/>
      <c r="DB45" s="95"/>
      <c r="DC45" s="95"/>
    </row>
    <row r="46" spans="2:107" outlineLevel="1">
      <c r="B46" s="7"/>
      <c r="C46" s="254" t="s">
        <v>504</v>
      </c>
      <c r="D46" s="50">
        <f t="shared" ref="D46" si="205">D47-D45</f>
        <v>0</v>
      </c>
      <c r="E46" s="50">
        <f t="shared" ref="E46" si="206">E47-E45</f>
        <v>0</v>
      </c>
      <c r="F46" s="50">
        <f t="shared" ref="F46" si="207">F47-F45</f>
        <v>0</v>
      </c>
      <c r="G46" s="45">
        <f t="shared" ref="G46" si="208">G47-G45</f>
        <v>0</v>
      </c>
      <c r="H46" s="45">
        <f t="shared" ref="H46" si="209">H47-H45</f>
        <v>0</v>
      </c>
      <c r="I46" s="45">
        <f t="shared" ref="I46" si="210">I47-I45</f>
        <v>0</v>
      </c>
      <c r="J46" s="76">
        <f t="shared" ref="J46" si="211">J47-J45</f>
        <v>0</v>
      </c>
      <c r="K46" s="112">
        <f>SUM(G46:J46)</f>
        <v>0</v>
      </c>
      <c r="L46" s="45">
        <f t="shared" ref="L46" si="212">L47-L45</f>
        <v>0</v>
      </c>
      <c r="M46" s="45">
        <f t="shared" ref="M46" si="213">M47-M45</f>
        <v>0</v>
      </c>
      <c r="N46" s="45">
        <f t="shared" ref="N46" si="214">N47-N45</f>
        <v>-8</v>
      </c>
      <c r="O46" s="76">
        <f t="shared" ref="O46" si="215">O47-O45</f>
        <v>0</v>
      </c>
      <c r="P46" s="112">
        <f>SUM(L46:O46)</f>
        <v>-8</v>
      </c>
      <c r="Q46" s="45">
        <f t="shared" ref="Q46:BM46" si="216">Q47-Q45</f>
        <v>-18</v>
      </c>
      <c r="R46" s="45">
        <f t="shared" si="216"/>
        <v>10</v>
      </c>
      <c r="S46" s="45">
        <f t="shared" si="216"/>
        <v>-85</v>
      </c>
      <c r="T46" s="76">
        <f t="shared" si="216"/>
        <v>-51</v>
      </c>
      <c r="U46" s="112">
        <f>SUM(Q46:T46)</f>
        <v>-144</v>
      </c>
      <c r="V46" s="45">
        <f t="shared" si="216"/>
        <v>-18</v>
      </c>
      <c r="W46" s="45">
        <f t="shared" si="216"/>
        <v>-16</v>
      </c>
      <c r="X46" s="45">
        <f t="shared" si="216"/>
        <v>-28</v>
      </c>
      <c r="Y46" s="45">
        <f t="shared" si="216"/>
        <v>-78</v>
      </c>
      <c r="Z46" s="112">
        <f>SUM(V46:Y46)</f>
        <v>-140</v>
      </c>
      <c r="AA46" s="45">
        <f t="shared" si="216"/>
        <v>-65</v>
      </c>
      <c r="AB46" s="45">
        <f t="shared" si="216"/>
        <v>-38</v>
      </c>
      <c r="AC46" s="45">
        <f t="shared" si="216"/>
        <v>-94</v>
      </c>
      <c r="AD46" s="45">
        <f t="shared" si="216"/>
        <v>-78</v>
      </c>
      <c r="AE46" s="112">
        <f>SUM(AA46:AD46)</f>
        <v>-275</v>
      </c>
      <c r="AF46" s="45">
        <f t="shared" si="216"/>
        <v>-84</v>
      </c>
      <c r="AG46" s="45">
        <f t="shared" si="216"/>
        <v>-48</v>
      </c>
      <c r="AH46" s="45">
        <f t="shared" si="216"/>
        <v>37</v>
      </c>
      <c r="AI46" s="45">
        <f t="shared" si="216"/>
        <v>-52</v>
      </c>
      <c r="AJ46" s="112">
        <f>SUM(AF46:AI46)</f>
        <v>-147</v>
      </c>
      <c r="AK46" s="45">
        <f t="shared" si="216"/>
        <v>-56</v>
      </c>
      <c r="AL46" s="45">
        <f t="shared" si="216"/>
        <v>35</v>
      </c>
      <c r="AM46" s="45">
        <f t="shared" si="216"/>
        <v>-36</v>
      </c>
      <c r="AN46" s="45">
        <f t="shared" si="216"/>
        <v>-401</v>
      </c>
      <c r="AO46" s="112">
        <f>SUM(AK46:AN46)</f>
        <v>-458</v>
      </c>
      <c r="AP46" s="45">
        <f t="shared" si="216"/>
        <v>-112</v>
      </c>
      <c r="AQ46" s="45">
        <f t="shared" si="216"/>
        <v>-57</v>
      </c>
      <c r="AR46" s="45">
        <f t="shared" si="216"/>
        <v>-86</v>
      </c>
      <c r="AS46" s="45">
        <f t="shared" si="216"/>
        <v>110</v>
      </c>
      <c r="AT46" s="112">
        <f>SUM(AP46:AS46)</f>
        <v>-145</v>
      </c>
      <c r="AU46" s="45">
        <f t="shared" si="216"/>
        <v>293</v>
      </c>
      <c r="AV46" s="76">
        <f t="shared" si="216"/>
        <v>-374</v>
      </c>
      <c r="AW46" s="253">
        <f t="shared" si="216"/>
        <v>947</v>
      </c>
      <c r="AX46" s="45">
        <f t="shared" si="216"/>
        <v>-134</v>
      </c>
      <c r="AY46" s="112">
        <f>SUM(AU46:AX46)</f>
        <v>732</v>
      </c>
      <c r="AZ46" s="253">
        <f t="shared" si="216"/>
        <v>-60</v>
      </c>
      <c r="BA46" s="253">
        <f t="shared" si="216"/>
        <v>-102</v>
      </c>
      <c r="BB46" s="45">
        <f t="shared" si="216"/>
        <v>-195</v>
      </c>
      <c r="BC46" s="45">
        <f t="shared" si="216"/>
        <v>36</v>
      </c>
      <c r="BD46" s="112">
        <f>SUM(AZ46:BC46)</f>
        <v>-321</v>
      </c>
      <c r="BE46" s="253">
        <f t="shared" si="216"/>
        <v>-154</v>
      </c>
      <c r="BF46" s="45">
        <f t="shared" si="216"/>
        <v>-168</v>
      </c>
      <c r="BG46" s="45">
        <f t="shared" si="216"/>
        <v>-219</v>
      </c>
      <c r="BH46" s="45">
        <f t="shared" si="216"/>
        <v>-179</v>
      </c>
      <c r="BI46" s="112">
        <f t="shared" si="196"/>
        <v>-720</v>
      </c>
      <c r="BJ46" s="118">
        <f t="shared" si="216"/>
        <v>-103</v>
      </c>
      <c r="BK46" s="45">
        <f t="shared" si="216"/>
        <v>640</v>
      </c>
      <c r="BL46" s="45">
        <f t="shared" si="216"/>
        <v>-143</v>
      </c>
      <c r="BM46" s="45">
        <f t="shared" si="216"/>
        <v>323</v>
      </c>
      <c r="BN46" s="112">
        <f t="shared" si="197"/>
        <v>717</v>
      </c>
      <c r="BO46" s="538">
        <f t="shared" ref="BO46" si="217">BO47-BO45</f>
        <v>-1313</v>
      </c>
      <c r="BP46" s="538">
        <f t="shared" ref="BP46" si="218">BP47-BP45</f>
        <v>1136</v>
      </c>
      <c r="BQ46" s="538">
        <f>BQ47-BQ45</f>
        <v>316</v>
      </c>
      <c r="BR46" s="119">
        <f>BR47-BR45</f>
        <v>1175</v>
      </c>
      <c r="BS46" s="112">
        <f t="shared" si="198"/>
        <v>1314</v>
      </c>
      <c r="BT46" s="538">
        <f t="shared" ref="BT46" si="219">BT47-BT45</f>
        <v>-422</v>
      </c>
      <c r="BU46" s="538">
        <f t="shared" ref="BU46" si="220">BU47-BU45</f>
        <v>-462</v>
      </c>
      <c r="BV46" s="538">
        <f>BV47-BV45</f>
        <v>-782</v>
      </c>
      <c r="BW46" s="119">
        <f>BW47-BW45</f>
        <v>-156</v>
      </c>
      <c r="BX46" s="112">
        <f t="shared" si="199"/>
        <v>-1822</v>
      </c>
      <c r="BY46" s="538">
        <f t="shared" ref="BY46" si="221">BY47-BY45</f>
        <v>375</v>
      </c>
      <c r="BZ46" s="538">
        <f t="shared" ref="BZ46" si="222">BZ47-BZ45</f>
        <v>-1510</v>
      </c>
      <c r="CA46" s="538">
        <f>CA47-CA45</f>
        <v>-1281</v>
      </c>
      <c r="CB46" s="119">
        <f>CB47-CB45</f>
        <v>888</v>
      </c>
      <c r="CC46" s="112">
        <f t="shared" si="200"/>
        <v>-1528</v>
      </c>
      <c r="CD46" s="538">
        <f t="shared" ref="CD46" si="223">CD47-CD45</f>
        <v>149</v>
      </c>
      <c r="CE46" s="538">
        <f t="shared" ref="CE46" si="224">CE47-CE45</f>
        <v>271</v>
      </c>
      <c r="CF46" s="538">
        <f>CF47-CF45</f>
        <v>-933</v>
      </c>
      <c r="CG46" s="119">
        <f>CG47-CG45</f>
        <v>1168</v>
      </c>
      <c r="CH46" s="112">
        <f t="shared" si="201"/>
        <v>655</v>
      </c>
      <c r="CI46" s="538">
        <f t="shared" ref="CI46:CJ46" si="225">CI47-CI45</f>
        <v>253</v>
      </c>
      <c r="CJ46" s="538">
        <f t="shared" si="225"/>
        <v>1262</v>
      </c>
      <c r="CK46" s="538">
        <f>CK47-CK45</f>
        <v>1074</v>
      </c>
      <c r="CL46" s="119">
        <f>CL47-CL45</f>
        <v>-2578</v>
      </c>
      <c r="CM46" s="112">
        <f t="shared" si="202"/>
        <v>11</v>
      </c>
      <c r="CN46" s="538">
        <f t="shared" ref="CN46:CO46" si="226">CN47-CN45</f>
        <v>358</v>
      </c>
      <c r="CO46" s="538">
        <f t="shared" si="226"/>
        <v>85</v>
      </c>
      <c r="CP46" s="538">
        <f>1260-1076</f>
        <v>184</v>
      </c>
      <c r="CQ46" s="119">
        <f>CQ47-CQ45</f>
        <v>256</v>
      </c>
      <c r="CR46" s="112">
        <f t="shared" si="203"/>
        <v>883</v>
      </c>
      <c r="CS46" s="538">
        <v>0</v>
      </c>
      <c r="CT46" s="538">
        <v>0</v>
      </c>
      <c r="CU46" s="538">
        <v>0</v>
      </c>
      <c r="CV46" s="119">
        <v>0</v>
      </c>
      <c r="CW46" s="112">
        <f t="shared" si="204"/>
        <v>0</v>
      </c>
      <c r="CX46" s="95"/>
      <c r="CY46" s="95"/>
      <c r="CZ46" s="95"/>
      <c r="DA46" s="95"/>
      <c r="DB46" s="95"/>
      <c r="DC46" s="95"/>
    </row>
    <row r="47" spans="2:107" s="254" customFormat="1" outlineLevel="1">
      <c r="B47" s="715" t="s">
        <v>579</v>
      </c>
      <c r="D47" s="359">
        <v>-314</v>
      </c>
      <c r="E47" s="359">
        <v>-450</v>
      </c>
      <c r="F47" s="359">
        <v>-319</v>
      </c>
      <c r="G47" s="119">
        <v>-133</v>
      </c>
      <c r="H47" s="119">
        <v>-77</v>
      </c>
      <c r="I47" s="119">
        <v>-110</v>
      </c>
      <c r="J47" s="119">
        <v>-71</v>
      </c>
      <c r="K47" s="826">
        <v>-391</v>
      </c>
      <c r="L47" s="119">
        <v>34</v>
      </c>
      <c r="M47" s="119">
        <v>-77</v>
      </c>
      <c r="N47" s="119">
        <v>-69</v>
      </c>
      <c r="O47" s="119">
        <v>-516</v>
      </c>
      <c r="P47" s="826">
        <v>-628</v>
      </c>
      <c r="Q47" s="119">
        <v>-63</v>
      </c>
      <c r="R47" s="119">
        <v>-3</v>
      </c>
      <c r="S47" s="119">
        <v>11</v>
      </c>
      <c r="T47" s="119">
        <v>-5</v>
      </c>
      <c r="U47" s="826">
        <v>-60</v>
      </c>
      <c r="V47" s="119">
        <v>14</v>
      </c>
      <c r="W47" s="119">
        <v>10</v>
      </c>
      <c r="X47" s="119">
        <v>-12</v>
      </c>
      <c r="Y47" s="119">
        <v>-63</v>
      </c>
      <c r="Z47" s="826">
        <v>-51</v>
      </c>
      <c r="AA47" s="119">
        <v>-50</v>
      </c>
      <c r="AB47" s="119">
        <v>-25</v>
      </c>
      <c r="AC47" s="119">
        <v>-88</v>
      </c>
      <c r="AD47" s="119">
        <v>-66</v>
      </c>
      <c r="AE47" s="826">
        <v>-229</v>
      </c>
      <c r="AF47" s="119">
        <v>-61</v>
      </c>
      <c r="AG47" s="119">
        <v>-26</v>
      </c>
      <c r="AH47" s="119">
        <v>68</v>
      </c>
      <c r="AI47" s="119">
        <v>-16</v>
      </c>
      <c r="AJ47" s="826">
        <v>-35</v>
      </c>
      <c r="AK47" s="119">
        <v>-7</v>
      </c>
      <c r="AL47" s="119">
        <v>85</v>
      </c>
      <c r="AM47" s="119">
        <v>16</v>
      </c>
      <c r="AN47" s="119">
        <v>-365</v>
      </c>
      <c r="AO47" s="826">
        <v>-271</v>
      </c>
      <c r="AP47" s="119">
        <v>-75</v>
      </c>
      <c r="AQ47" s="119">
        <v>-20</v>
      </c>
      <c r="AR47" s="119">
        <v>-37</v>
      </c>
      <c r="AS47" s="119">
        <v>184</v>
      </c>
      <c r="AT47" s="826">
        <v>52</v>
      </c>
      <c r="AU47" s="119">
        <v>438</v>
      </c>
      <c r="AV47" s="119">
        <v>-223</v>
      </c>
      <c r="AW47" s="119">
        <v>1059</v>
      </c>
      <c r="AX47" s="119">
        <v>59</v>
      </c>
      <c r="AY47" s="826">
        <v>1333</v>
      </c>
      <c r="AZ47" s="119">
        <v>131</v>
      </c>
      <c r="BA47" s="119">
        <v>140</v>
      </c>
      <c r="BB47" s="119">
        <v>77</v>
      </c>
      <c r="BC47" s="119">
        <v>364</v>
      </c>
      <c r="BD47" s="826">
        <v>712</v>
      </c>
      <c r="BE47" s="119">
        <v>260</v>
      </c>
      <c r="BF47" s="119">
        <v>379</v>
      </c>
      <c r="BG47" s="119">
        <v>409</v>
      </c>
      <c r="BH47" s="119">
        <v>561</v>
      </c>
      <c r="BI47" s="826">
        <f t="shared" si="196"/>
        <v>1609</v>
      </c>
      <c r="BJ47" s="119">
        <v>474</v>
      </c>
      <c r="BK47" s="119">
        <v>1453</v>
      </c>
      <c r="BL47" s="119">
        <v>700</v>
      </c>
      <c r="BM47" s="253">
        <v>1037</v>
      </c>
      <c r="BN47" s="826">
        <f t="shared" si="197"/>
        <v>3664</v>
      </c>
      <c r="BO47" s="119">
        <v>-673</v>
      </c>
      <c r="BP47" s="119">
        <v>1468</v>
      </c>
      <c r="BQ47" s="119">
        <v>423</v>
      </c>
      <c r="BR47" s="119">
        <v>1304</v>
      </c>
      <c r="BS47" s="826">
        <f t="shared" si="198"/>
        <v>2522</v>
      </c>
      <c r="BT47" s="119">
        <v>-325</v>
      </c>
      <c r="BU47" s="119">
        <v>-383</v>
      </c>
      <c r="BV47" s="119">
        <v>-716</v>
      </c>
      <c r="BW47" s="119">
        <v>-120</v>
      </c>
      <c r="BX47" s="826">
        <f t="shared" si="199"/>
        <v>-1544</v>
      </c>
      <c r="BY47" s="119">
        <v>423</v>
      </c>
      <c r="BZ47" s="119">
        <v>-1338</v>
      </c>
      <c r="CA47" s="119">
        <v>-695</v>
      </c>
      <c r="CB47" s="119">
        <v>1752</v>
      </c>
      <c r="CC47" s="826">
        <f t="shared" si="200"/>
        <v>142</v>
      </c>
      <c r="CD47" s="119">
        <v>1276</v>
      </c>
      <c r="CE47" s="119">
        <v>1882</v>
      </c>
      <c r="CF47" s="119">
        <v>1702</v>
      </c>
      <c r="CG47" s="119">
        <v>3456</v>
      </c>
      <c r="CH47" s="826">
        <f t="shared" si="201"/>
        <v>8316</v>
      </c>
      <c r="CI47" s="119">
        <v>3132</v>
      </c>
      <c r="CJ47" s="119">
        <v>4056</v>
      </c>
      <c r="CK47" s="119">
        <v>3778</v>
      </c>
      <c r="CL47" s="119">
        <v>-373</v>
      </c>
      <c r="CM47" s="826">
        <f t="shared" si="202"/>
        <v>10593</v>
      </c>
      <c r="CN47" s="119">
        <v>2207</v>
      </c>
      <c r="CO47" s="119">
        <v>773</v>
      </c>
      <c r="CP47" s="119">
        <f>SUM(CP45:CP46)</f>
        <v>1260</v>
      </c>
      <c r="CQ47" s="119">
        <v>1292</v>
      </c>
      <c r="CR47" s="826">
        <f t="shared" si="203"/>
        <v>5532</v>
      </c>
      <c r="CS47" s="119">
        <f>SUM(CS45:CS46)</f>
        <v>950</v>
      </c>
      <c r="CT47" s="119">
        <f>SUM(CT45:CT46)</f>
        <v>820</v>
      </c>
      <c r="CU47" s="119">
        <f>SUM(CU45:CU46)</f>
        <v>775</v>
      </c>
      <c r="CV47" s="119">
        <f>SUM(CV45:CV46)</f>
        <v>730</v>
      </c>
      <c r="CW47" s="826">
        <f t="shared" si="204"/>
        <v>3275</v>
      </c>
      <c r="CX47" s="827"/>
      <c r="CY47" s="827"/>
      <c r="CZ47" s="827"/>
      <c r="DA47" s="827"/>
      <c r="DB47" s="827"/>
      <c r="DC47" s="827"/>
    </row>
    <row r="48" spans="2:107" outlineLevel="1">
      <c r="B48" s="7"/>
      <c r="C48" s="254" t="s">
        <v>506</v>
      </c>
      <c r="D48" s="50"/>
      <c r="E48" s="50"/>
      <c r="F48" s="50"/>
      <c r="G48" s="118"/>
      <c r="H48" s="45"/>
      <c r="I48" s="45"/>
      <c r="J48" s="45"/>
      <c r="K48" s="112">
        <v>0</v>
      </c>
      <c r="L48" s="118"/>
      <c r="M48" s="45"/>
      <c r="N48" s="45"/>
      <c r="O48" s="45"/>
      <c r="P48" s="112">
        <v>0</v>
      </c>
      <c r="Q48" s="118"/>
      <c r="R48" s="45"/>
      <c r="S48" s="45"/>
      <c r="T48" s="45"/>
      <c r="U48" s="112">
        <v>0</v>
      </c>
      <c r="V48" s="118"/>
      <c r="W48" s="45"/>
      <c r="X48" s="45"/>
      <c r="Y48" s="45"/>
      <c r="Z48" s="112">
        <v>0</v>
      </c>
      <c r="AA48" s="118"/>
      <c r="AB48" s="45"/>
      <c r="AC48" s="45"/>
      <c r="AD48" s="45"/>
      <c r="AE48" s="112">
        <v>0</v>
      </c>
      <c r="AF48" s="118"/>
      <c r="AG48" s="45"/>
      <c r="AH48" s="45"/>
      <c r="AI48" s="45"/>
      <c r="AJ48" s="112">
        <v>0</v>
      </c>
      <c r="AK48" s="118"/>
      <c r="AL48" s="45"/>
      <c r="AM48" s="45"/>
      <c r="AN48" s="45"/>
      <c r="AO48" s="112">
        <v>0</v>
      </c>
      <c r="AP48" s="118"/>
      <c r="AQ48" s="45"/>
      <c r="AR48" s="45"/>
      <c r="AS48" s="45"/>
      <c r="AT48" s="112">
        <v>0</v>
      </c>
      <c r="AU48" s="118"/>
      <c r="AV48" s="45"/>
      <c r="AW48" s="45"/>
      <c r="AX48" s="45"/>
      <c r="AY48" s="112">
        <v>0</v>
      </c>
      <c r="AZ48" s="118"/>
      <c r="BA48" s="45"/>
      <c r="BB48" s="45"/>
      <c r="BC48" s="45"/>
      <c r="BD48" s="112">
        <v>0</v>
      </c>
      <c r="BE48" s="118"/>
      <c r="BF48" s="45"/>
      <c r="BG48" s="45"/>
      <c r="BH48" s="45"/>
      <c r="BI48" s="112">
        <f t="shared" si="196"/>
        <v>0</v>
      </c>
      <c r="BJ48" s="118"/>
      <c r="BK48" s="45"/>
      <c r="BL48" s="45"/>
      <c r="BM48" s="45"/>
      <c r="BN48" s="112">
        <f t="shared" si="197"/>
        <v>0</v>
      </c>
      <c r="BO48" s="119">
        <v>1243</v>
      </c>
      <c r="BP48" s="119">
        <v>-1370</v>
      </c>
      <c r="BQ48" s="119">
        <v>-559</v>
      </c>
      <c r="BR48" s="119">
        <v>-1067</v>
      </c>
      <c r="BS48" s="112">
        <f t="shared" si="198"/>
        <v>-1753</v>
      </c>
      <c r="BT48" s="119">
        <v>-137</v>
      </c>
      <c r="BU48" s="119">
        <v>562</v>
      </c>
      <c r="BV48" s="119">
        <v>854</v>
      </c>
      <c r="BW48" s="119">
        <v>-15</v>
      </c>
      <c r="BX48" s="112">
        <f t="shared" si="199"/>
        <v>1264</v>
      </c>
      <c r="BY48" s="119">
        <v>-468</v>
      </c>
      <c r="BZ48" s="119">
        <v>1327</v>
      </c>
      <c r="CA48" s="119">
        <v>1151</v>
      </c>
      <c r="CB48" s="119">
        <v>-984</v>
      </c>
      <c r="CC48" s="112">
        <f t="shared" si="200"/>
        <v>1026</v>
      </c>
      <c r="CD48" s="119">
        <v>-137</v>
      </c>
      <c r="CE48" s="119">
        <v>-290</v>
      </c>
      <c r="CF48" s="119">
        <v>-98</v>
      </c>
      <c r="CG48" s="119">
        <v>-1173</v>
      </c>
      <c r="CH48" s="112">
        <f t="shared" si="201"/>
        <v>-1698</v>
      </c>
      <c r="CI48" s="119">
        <v>-304</v>
      </c>
      <c r="CJ48" s="119">
        <v>-1255</v>
      </c>
      <c r="CK48" s="119">
        <v>-1077</v>
      </c>
      <c r="CL48" s="119">
        <v>2521</v>
      </c>
      <c r="CM48" s="112">
        <f t="shared" si="202"/>
        <v>-115</v>
      </c>
      <c r="CN48" s="119">
        <v>-366</v>
      </c>
      <c r="CO48" s="119">
        <v>-107</v>
      </c>
      <c r="CP48" s="119">
        <v>-205</v>
      </c>
      <c r="CQ48" s="119">
        <v>290</v>
      </c>
      <c r="CR48" s="112">
        <f t="shared" si="203"/>
        <v>-388</v>
      </c>
      <c r="CS48" s="119">
        <v>0</v>
      </c>
      <c r="CT48" s="119">
        <v>0</v>
      </c>
      <c r="CU48" s="119">
        <v>0</v>
      </c>
      <c r="CV48" s="119"/>
      <c r="CW48" s="112">
        <f t="shared" si="204"/>
        <v>0</v>
      </c>
      <c r="CX48" s="95"/>
      <c r="CY48" s="95"/>
      <c r="CZ48" s="95"/>
      <c r="DA48" s="95"/>
      <c r="DB48" s="95"/>
      <c r="DC48" s="95"/>
    </row>
    <row r="49" spans="2:107" outlineLevel="1">
      <c r="B49" s="7"/>
      <c r="C49" s="254" t="s">
        <v>505</v>
      </c>
      <c r="D49" s="50"/>
      <c r="E49" s="50"/>
      <c r="F49" s="50"/>
      <c r="G49" s="118"/>
      <c r="H49" s="45"/>
      <c r="I49" s="45"/>
      <c r="J49" s="45"/>
      <c r="K49" s="112">
        <v>0</v>
      </c>
      <c r="L49" s="118"/>
      <c r="M49" s="45"/>
      <c r="N49" s="45"/>
      <c r="O49" s="45"/>
      <c r="P49" s="112">
        <v>0</v>
      </c>
      <c r="Q49" s="118"/>
      <c r="R49" s="45"/>
      <c r="S49" s="45"/>
      <c r="T49" s="45"/>
      <c r="U49" s="112">
        <v>0</v>
      </c>
      <c r="V49" s="118"/>
      <c r="W49" s="45"/>
      <c r="X49" s="45"/>
      <c r="Y49" s="45"/>
      <c r="Z49" s="112">
        <v>0</v>
      </c>
      <c r="AA49" s="118"/>
      <c r="AB49" s="45"/>
      <c r="AC49" s="45"/>
      <c r="AD49" s="45"/>
      <c r="AE49" s="112">
        <v>0</v>
      </c>
      <c r="AF49" s="118"/>
      <c r="AG49" s="45"/>
      <c r="AH49" s="45"/>
      <c r="AI49" s="45"/>
      <c r="AJ49" s="112">
        <v>0</v>
      </c>
      <c r="AK49" s="118"/>
      <c r="AL49" s="45"/>
      <c r="AM49" s="45"/>
      <c r="AN49" s="45"/>
      <c r="AO49" s="112">
        <v>0</v>
      </c>
      <c r="AP49" s="118"/>
      <c r="AQ49" s="45"/>
      <c r="AR49" s="45"/>
      <c r="AS49" s="45"/>
      <c r="AT49" s="112">
        <v>0</v>
      </c>
      <c r="AU49" s="118">
        <v>-365</v>
      </c>
      <c r="AV49" s="45">
        <v>293</v>
      </c>
      <c r="AW49" s="45">
        <v>-1034</v>
      </c>
      <c r="AX49" s="45"/>
      <c r="AY49" s="112">
        <v>-1106</v>
      </c>
      <c r="AZ49" s="118"/>
      <c r="BA49" s="45"/>
      <c r="BB49" s="45"/>
      <c r="BC49" s="45"/>
      <c r="BD49" s="112">
        <v>0</v>
      </c>
      <c r="BE49" s="118"/>
      <c r="BF49" s="45"/>
      <c r="BG49" s="45"/>
      <c r="BH49" s="45">
        <v>94</v>
      </c>
      <c r="BI49" s="112">
        <f t="shared" si="196"/>
        <v>94</v>
      </c>
      <c r="BJ49" s="118"/>
      <c r="BK49" s="45"/>
      <c r="BL49" s="45"/>
      <c r="BM49" s="45"/>
      <c r="BN49" s="112">
        <f t="shared" si="197"/>
        <v>0</v>
      </c>
      <c r="BO49" s="119">
        <v>0</v>
      </c>
      <c r="BP49" s="119">
        <v>0</v>
      </c>
      <c r="BQ49" s="119">
        <v>0</v>
      </c>
      <c r="BR49" s="119">
        <v>0</v>
      </c>
      <c r="BS49" s="112">
        <f t="shared" si="198"/>
        <v>0</v>
      </c>
      <c r="BT49" s="119">
        <v>0</v>
      </c>
      <c r="BU49" s="119">
        <v>0</v>
      </c>
      <c r="BV49" s="119">
        <v>0</v>
      </c>
      <c r="BW49" s="119">
        <v>0</v>
      </c>
      <c r="BX49" s="112">
        <f t="shared" si="199"/>
        <v>0</v>
      </c>
      <c r="BY49" s="119">
        <v>0</v>
      </c>
      <c r="BZ49" s="119">
        <v>0</v>
      </c>
      <c r="CA49" s="119">
        <v>0</v>
      </c>
      <c r="CB49" s="119">
        <v>0</v>
      </c>
      <c r="CC49" s="112">
        <f t="shared" si="200"/>
        <v>0</v>
      </c>
      <c r="CD49" s="119">
        <v>0</v>
      </c>
      <c r="CE49" s="119">
        <v>134</v>
      </c>
      <c r="CF49" s="119">
        <v>1036</v>
      </c>
      <c r="CG49" s="119">
        <v>0</v>
      </c>
      <c r="CH49" s="112">
        <f t="shared" si="201"/>
        <v>1170</v>
      </c>
      <c r="CI49" s="119">
        <v>0</v>
      </c>
      <c r="CJ49" s="119">
        <v>0</v>
      </c>
      <c r="CK49" s="119">
        <v>978</v>
      </c>
      <c r="CL49" s="119">
        <v>86</v>
      </c>
      <c r="CM49" s="112">
        <f t="shared" si="202"/>
        <v>1064</v>
      </c>
      <c r="CN49" s="119">
        <v>1013</v>
      </c>
      <c r="CO49" s="119">
        <v>106</v>
      </c>
      <c r="CP49" s="119">
        <v>10</v>
      </c>
      <c r="CQ49" s="119">
        <v>-546</v>
      </c>
      <c r="CR49" s="112">
        <f t="shared" si="203"/>
        <v>583</v>
      </c>
      <c r="CS49" s="119">
        <v>0</v>
      </c>
      <c r="CT49" s="119">
        <v>0</v>
      </c>
      <c r="CU49" s="119">
        <v>0</v>
      </c>
      <c r="CV49" s="119"/>
      <c r="CW49" s="112">
        <f t="shared" si="204"/>
        <v>0</v>
      </c>
      <c r="CX49" s="95"/>
      <c r="CY49" s="95"/>
      <c r="CZ49" s="95"/>
      <c r="DA49" s="95"/>
      <c r="DB49" s="95"/>
      <c r="DC49" s="95"/>
    </row>
    <row r="50" spans="2:107" s="254" customFormat="1">
      <c r="B50" s="715" t="s">
        <v>377</v>
      </c>
      <c r="D50" s="359">
        <f t="shared" ref="D50" si="227">SUM(D47:D49)</f>
        <v>-314</v>
      </c>
      <c r="E50" s="359">
        <f t="shared" ref="E50" si="228">SUM(E47:E49)</f>
        <v>-450</v>
      </c>
      <c r="F50" s="359">
        <f t="shared" ref="F50" si="229">SUM(F47:F49)</f>
        <v>-319</v>
      </c>
      <c r="G50" s="119">
        <f t="shared" ref="G50" si="230">SUM(G47:G49)</f>
        <v>-133</v>
      </c>
      <c r="H50" s="119">
        <f t="shared" ref="H50" si="231">SUM(H47:H49)</f>
        <v>-77</v>
      </c>
      <c r="I50" s="119">
        <f t="shared" ref="I50" si="232">SUM(I47:I49)</f>
        <v>-110</v>
      </c>
      <c r="J50" s="119">
        <f t="shared" ref="J50" si="233">SUM(J47:J49)</f>
        <v>-71</v>
      </c>
      <c r="K50" s="826">
        <f>SUM(G50:J50)</f>
        <v>-391</v>
      </c>
      <c r="L50" s="119">
        <f t="shared" ref="L50" si="234">SUM(L47:L49)</f>
        <v>34</v>
      </c>
      <c r="M50" s="119">
        <f t="shared" ref="M50" si="235">SUM(M47:M49)</f>
        <v>-77</v>
      </c>
      <c r="N50" s="119">
        <f t="shared" ref="N50" si="236">SUM(N47:N49)</f>
        <v>-69</v>
      </c>
      <c r="O50" s="119">
        <f t="shared" ref="O50" si="237">SUM(O47:O49)</f>
        <v>-516</v>
      </c>
      <c r="P50" s="826">
        <f>SUM(L50:O50)</f>
        <v>-628</v>
      </c>
      <c r="Q50" s="119">
        <f t="shared" ref="Q50" si="238">SUM(Q47:Q49)</f>
        <v>-63</v>
      </c>
      <c r="R50" s="119">
        <f t="shared" ref="R50" si="239">SUM(R47:R49)</f>
        <v>-3</v>
      </c>
      <c r="S50" s="119">
        <f t="shared" ref="S50" si="240">SUM(S47:S49)</f>
        <v>11</v>
      </c>
      <c r="T50" s="119">
        <f t="shared" ref="T50" si="241">SUM(T47:T49)</f>
        <v>-5</v>
      </c>
      <c r="U50" s="826">
        <f>SUM(Q50:T50)</f>
        <v>-60</v>
      </c>
      <c r="V50" s="119">
        <f t="shared" ref="V50" si="242">SUM(V47:V49)</f>
        <v>14</v>
      </c>
      <c r="W50" s="119">
        <f t="shared" ref="W50" si="243">SUM(W47:W49)</f>
        <v>10</v>
      </c>
      <c r="X50" s="119">
        <f t="shared" ref="X50" si="244">SUM(X47:X49)</f>
        <v>-12</v>
      </c>
      <c r="Y50" s="119">
        <f t="shared" ref="Y50" si="245">SUM(Y47:Y49)</f>
        <v>-63</v>
      </c>
      <c r="Z50" s="826">
        <f>SUM(V50:Y50)</f>
        <v>-51</v>
      </c>
      <c r="AA50" s="119">
        <f t="shared" ref="AA50" si="246">SUM(AA47:AA49)</f>
        <v>-50</v>
      </c>
      <c r="AB50" s="119">
        <f t="shared" ref="AB50" si="247">SUM(AB47:AB49)</f>
        <v>-25</v>
      </c>
      <c r="AC50" s="119">
        <f t="shared" ref="AC50" si="248">SUM(AC47:AC49)</f>
        <v>-88</v>
      </c>
      <c r="AD50" s="119">
        <f t="shared" ref="AD50" si="249">SUM(AD47:AD49)</f>
        <v>-66</v>
      </c>
      <c r="AE50" s="826">
        <f>SUM(AA50:AD50)</f>
        <v>-229</v>
      </c>
      <c r="AF50" s="119">
        <f t="shared" ref="AF50" si="250">SUM(AF47:AF49)</f>
        <v>-61</v>
      </c>
      <c r="AG50" s="119">
        <f t="shared" ref="AG50" si="251">SUM(AG47:AG49)</f>
        <v>-26</v>
      </c>
      <c r="AH50" s="119">
        <f t="shared" ref="AH50" si="252">SUM(AH47:AH49)</f>
        <v>68</v>
      </c>
      <c r="AI50" s="119">
        <f t="shared" ref="AI50" si="253">SUM(AI47:AI49)</f>
        <v>-16</v>
      </c>
      <c r="AJ50" s="826">
        <f>SUM(AF50:AI50)</f>
        <v>-35</v>
      </c>
      <c r="AK50" s="119">
        <f t="shared" ref="AK50" si="254">SUM(AK47:AK49)</f>
        <v>-7</v>
      </c>
      <c r="AL50" s="119">
        <f t="shared" ref="AL50" si="255">SUM(AL47:AL49)</f>
        <v>85</v>
      </c>
      <c r="AM50" s="119">
        <f t="shared" ref="AM50" si="256">SUM(AM47:AM49)</f>
        <v>16</v>
      </c>
      <c r="AN50" s="119">
        <f t="shared" ref="AN50" si="257">SUM(AN47:AN49)</f>
        <v>-365</v>
      </c>
      <c r="AO50" s="826">
        <f>SUM(AK50:AN50)</f>
        <v>-271</v>
      </c>
      <c r="AP50" s="119">
        <f t="shared" ref="AP50" si="258">SUM(AP47:AP49)</f>
        <v>-75</v>
      </c>
      <c r="AQ50" s="119">
        <f t="shared" ref="AQ50" si="259">SUM(AQ47:AQ49)</f>
        <v>-20</v>
      </c>
      <c r="AR50" s="119">
        <f t="shared" ref="AR50" si="260">SUM(AR47:AR49)</f>
        <v>-37</v>
      </c>
      <c r="AS50" s="119">
        <f t="shared" ref="AS50" si="261">SUM(AS47:AS49)</f>
        <v>184</v>
      </c>
      <c r="AT50" s="826">
        <f>SUM(AP50:AS50)</f>
        <v>52</v>
      </c>
      <c r="AU50" s="119">
        <f t="shared" ref="AU50" si="262">SUM(AU47:AU49)</f>
        <v>73</v>
      </c>
      <c r="AV50" s="119">
        <f t="shared" ref="AV50" si="263">SUM(AV47:AV49)</f>
        <v>70</v>
      </c>
      <c r="AW50" s="119">
        <f t="shared" ref="AW50" si="264">SUM(AW47:AW49)</f>
        <v>25</v>
      </c>
      <c r="AX50" s="119">
        <f t="shared" ref="AX50" si="265">SUM(AX47:AX49)</f>
        <v>59</v>
      </c>
      <c r="AY50" s="826">
        <f>SUM(AU50:AX50)</f>
        <v>227</v>
      </c>
      <c r="AZ50" s="119">
        <f t="shared" ref="AZ50" si="266">SUM(AZ47:AZ49)</f>
        <v>131</v>
      </c>
      <c r="BA50" s="119">
        <f t="shared" ref="BA50" si="267">SUM(BA47:BA49)</f>
        <v>140</v>
      </c>
      <c r="BB50" s="119">
        <f t="shared" ref="BB50" si="268">SUM(BB47:BB49)</f>
        <v>77</v>
      </c>
      <c r="BC50" s="119">
        <f t="shared" ref="BC50" si="269">SUM(BC47:BC49)</f>
        <v>364</v>
      </c>
      <c r="BD50" s="826">
        <f>SUM(AZ50:BC50)</f>
        <v>712</v>
      </c>
      <c r="BE50" s="119">
        <f t="shared" ref="BE50" si="270">SUM(BE47:BE49)</f>
        <v>260</v>
      </c>
      <c r="BF50" s="119">
        <f t="shared" ref="BF50" si="271">SUM(BF47:BF49)</f>
        <v>379</v>
      </c>
      <c r="BG50" s="119">
        <f t="shared" ref="BG50:BH50" si="272">SUM(BG47:BG49)</f>
        <v>409</v>
      </c>
      <c r="BH50" s="119">
        <f t="shared" si="272"/>
        <v>655</v>
      </c>
      <c r="BI50" s="826">
        <f t="shared" si="196"/>
        <v>1703</v>
      </c>
      <c r="BJ50" s="119">
        <f t="shared" ref="BJ50" si="273">SUM(BJ47:BJ49)</f>
        <v>474</v>
      </c>
      <c r="BK50" s="119">
        <f t="shared" ref="BK50" si="274">SUM(BK47:BK49)</f>
        <v>1453</v>
      </c>
      <c r="BL50" s="119">
        <f t="shared" ref="BL50" si="275">SUM(BL47:BL49)</f>
        <v>700</v>
      </c>
      <c r="BM50" s="119">
        <f>SUM(BM47:BM49)</f>
        <v>1037</v>
      </c>
      <c r="BN50" s="826">
        <f t="shared" si="197"/>
        <v>3664</v>
      </c>
      <c r="BO50" s="119">
        <f t="shared" ref="BO50" si="276">SUM(BO47:BO49)</f>
        <v>570</v>
      </c>
      <c r="BP50" s="119">
        <f t="shared" ref="BP50" si="277">SUM(BP47:BP49)</f>
        <v>98</v>
      </c>
      <c r="BQ50" s="119">
        <f t="shared" ref="BQ50" si="278">SUM(BQ47:BQ49)</f>
        <v>-136</v>
      </c>
      <c r="BR50" s="119">
        <f>SUM(BR47:BR49)</f>
        <v>237</v>
      </c>
      <c r="BS50" s="826">
        <f t="shared" si="198"/>
        <v>769</v>
      </c>
      <c r="BT50" s="119">
        <f t="shared" ref="BT50" si="279">SUM(BT47:BT49)</f>
        <v>-462</v>
      </c>
      <c r="BU50" s="119">
        <f t="shared" ref="BU50" si="280">SUM(BU47:BU49)</f>
        <v>179</v>
      </c>
      <c r="BV50" s="119">
        <f t="shared" ref="BV50" si="281">SUM(BV47:BV49)</f>
        <v>138</v>
      </c>
      <c r="BW50" s="119">
        <f>SUM(BW47:BW49)</f>
        <v>-135</v>
      </c>
      <c r="BX50" s="826">
        <f t="shared" si="199"/>
        <v>-280</v>
      </c>
      <c r="BY50" s="119">
        <f t="shared" ref="BY50" si="282">SUM(BY47:BY49)</f>
        <v>-45</v>
      </c>
      <c r="BZ50" s="119">
        <f t="shared" ref="BZ50" si="283">SUM(BZ47:BZ49)</f>
        <v>-11</v>
      </c>
      <c r="CA50" s="119">
        <f t="shared" ref="CA50" si="284">SUM(CA47:CA49)</f>
        <v>456</v>
      </c>
      <c r="CB50" s="119">
        <f>SUM(CB47:CB49)</f>
        <v>768</v>
      </c>
      <c r="CC50" s="826">
        <f t="shared" si="200"/>
        <v>1168</v>
      </c>
      <c r="CD50" s="119">
        <f t="shared" ref="CD50" si="285">SUM(CD47:CD49)</f>
        <v>1139</v>
      </c>
      <c r="CE50" s="119">
        <f t="shared" ref="CE50" si="286">SUM(CE47:CE49)</f>
        <v>1726</v>
      </c>
      <c r="CF50" s="119">
        <f t="shared" ref="CF50" si="287">SUM(CF47:CF49)</f>
        <v>2640</v>
      </c>
      <c r="CG50" s="119">
        <f>SUM(CG47:CG49)</f>
        <v>2283</v>
      </c>
      <c r="CH50" s="826">
        <f t="shared" si="201"/>
        <v>7788</v>
      </c>
      <c r="CI50" s="119">
        <f t="shared" ref="CI50" si="288">SUM(CI47:CI49)</f>
        <v>2828</v>
      </c>
      <c r="CJ50" s="119">
        <f t="shared" ref="CJ50" si="289">SUM(CJ47:CJ49)</f>
        <v>2801</v>
      </c>
      <c r="CK50" s="119">
        <f t="shared" ref="CK50" si="290">SUM(CK47:CK49)</f>
        <v>3679</v>
      </c>
      <c r="CL50" s="119">
        <f>SUM(CL47:CL49)</f>
        <v>2234</v>
      </c>
      <c r="CM50" s="826">
        <f t="shared" si="202"/>
        <v>11542</v>
      </c>
      <c r="CN50" s="119">
        <f t="shared" ref="CN50:CO50" si="291">SUM(CN47:CN49)</f>
        <v>2854</v>
      </c>
      <c r="CO50" s="119">
        <f t="shared" si="291"/>
        <v>772</v>
      </c>
      <c r="CP50" s="119">
        <f t="shared" ref="CP50" si="292">SUM(CP47:CP49)</f>
        <v>1065</v>
      </c>
      <c r="CQ50" s="119">
        <f>SUM(CQ47:CQ49)</f>
        <v>1036</v>
      </c>
      <c r="CR50" s="826">
        <f t="shared" si="203"/>
        <v>5727</v>
      </c>
      <c r="CS50" s="119">
        <f t="shared" ref="CS50:CU50" si="293">SUM(CS47:CS49)</f>
        <v>950</v>
      </c>
      <c r="CT50" s="119">
        <f t="shared" si="293"/>
        <v>820</v>
      </c>
      <c r="CU50" s="119">
        <f t="shared" si="293"/>
        <v>775</v>
      </c>
      <c r="CV50" s="119">
        <f>SUM(CV47:CV49)</f>
        <v>730</v>
      </c>
      <c r="CW50" s="826">
        <f>SUM(CS50:CV50)</f>
        <v>3275</v>
      </c>
      <c r="CX50" s="827"/>
      <c r="CY50" s="827"/>
      <c r="CZ50" s="827"/>
      <c r="DA50" s="827"/>
      <c r="DB50" s="827"/>
      <c r="DC50" s="827"/>
    </row>
    <row r="51" spans="2:107">
      <c r="B51" s="7"/>
      <c r="C51" s="4"/>
      <c r="D51" s="50"/>
      <c r="E51" s="50"/>
      <c r="F51" s="50"/>
      <c r="G51" s="45"/>
      <c r="H51" s="45"/>
      <c r="I51" s="45"/>
      <c r="J51" s="45"/>
      <c r="K51" s="50"/>
      <c r="L51" s="45"/>
      <c r="M51" s="45"/>
      <c r="N51" s="45"/>
      <c r="O51" s="45"/>
      <c r="P51" s="50"/>
      <c r="Q51" s="45"/>
      <c r="R51" s="45"/>
      <c r="S51" s="45"/>
      <c r="T51" s="76"/>
      <c r="U51" s="50"/>
      <c r="V51" s="45"/>
      <c r="W51" s="45"/>
      <c r="X51" s="45"/>
      <c r="Y51" s="45"/>
      <c r="Z51" s="50"/>
      <c r="AA51" s="45"/>
      <c r="AB51" s="45"/>
      <c r="AC51" s="45"/>
      <c r="AD51" s="45"/>
      <c r="AE51" s="50"/>
      <c r="AF51" s="45"/>
      <c r="AG51" s="45"/>
      <c r="AH51" s="45"/>
      <c r="AI51" s="45"/>
      <c r="AJ51" s="50"/>
      <c r="AK51" s="45"/>
      <c r="AL51" s="45"/>
      <c r="AM51" s="45"/>
      <c r="AN51" s="45"/>
      <c r="AO51" s="50"/>
      <c r="AP51" s="45"/>
      <c r="AQ51" s="45"/>
      <c r="AR51" s="45"/>
      <c r="AS51" s="45"/>
      <c r="AT51" s="50"/>
      <c r="AU51" s="45"/>
      <c r="AV51" s="76"/>
      <c r="AW51" s="253"/>
      <c r="AX51" s="45"/>
      <c r="AY51" s="50"/>
      <c r="AZ51" s="253"/>
      <c r="BA51" s="253"/>
      <c r="BB51" s="45"/>
      <c r="BC51" s="45"/>
      <c r="BD51" s="359"/>
      <c r="BE51" s="253"/>
      <c r="BF51" s="45"/>
      <c r="BG51" s="45"/>
      <c r="BH51" s="45"/>
      <c r="BI51" s="50"/>
      <c r="BJ51" s="448"/>
      <c r="BK51" s="411"/>
      <c r="BL51" s="411"/>
      <c r="BM51" s="411"/>
      <c r="BN51" s="50"/>
      <c r="BO51" s="411"/>
      <c r="BP51" s="411"/>
      <c r="BQ51" s="411"/>
      <c r="BR51" s="411"/>
      <c r="BS51" s="50"/>
      <c r="BT51" s="411"/>
      <c r="BU51" s="411"/>
      <c r="BV51" s="411"/>
      <c r="BW51" s="411"/>
      <c r="BX51" s="50"/>
      <c r="BY51" s="411"/>
      <c r="BZ51" s="411"/>
      <c r="CA51" s="411"/>
      <c r="CB51" s="411"/>
      <c r="CC51" s="50"/>
      <c r="CD51" s="411"/>
      <c r="CE51" s="411"/>
      <c r="CF51" s="411"/>
      <c r="CG51" s="411"/>
      <c r="CH51" s="112"/>
      <c r="CI51" s="411"/>
      <c r="CJ51" s="411"/>
      <c r="CK51" s="411"/>
      <c r="CL51" s="411"/>
      <c r="CM51" s="112"/>
      <c r="CN51" s="652"/>
      <c r="CO51" s="411"/>
      <c r="CP51" s="653"/>
      <c r="CQ51" s="411"/>
      <c r="CR51" s="112"/>
      <c r="CS51" s="652"/>
      <c r="CT51" s="653"/>
      <c r="CU51" s="653"/>
      <c r="CV51" s="653"/>
      <c r="CW51" s="798"/>
      <c r="CX51" s="95"/>
      <c r="CY51" s="95"/>
      <c r="CZ51" s="95"/>
      <c r="DA51" s="95"/>
      <c r="DB51" s="95"/>
      <c r="DC51" s="95"/>
    </row>
    <row r="52" spans="2:107" s="1" customFormat="1" ht="13.15">
      <c r="B52" s="14" t="s">
        <v>19</v>
      </c>
      <c r="D52" s="770">
        <v>-354</v>
      </c>
      <c r="E52" s="770">
        <v>-739</v>
      </c>
      <c r="F52" s="770">
        <v>103</v>
      </c>
      <c r="G52" s="701">
        <v>-259</v>
      </c>
      <c r="H52" s="701">
        <v>76</v>
      </c>
      <c r="I52" s="701">
        <v>504</v>
      </c>
      <c r="J52" s="701">
        <v>442</v>
      </c>
      <c r="K52" s="770">
        <v>763</v>
      </c>
      <c r="L52" s="701">
        <v>413</v>
      </c>
      <c r="M52" s="701">
        <v>1105</v>
      </c>
      <c r="N52" s="701">
        <v>861</v>
      </c>
      <c r="O52" s="701">
        <v>1177</v>
      </c>
      <c r="P52" s="770">
        <v>3556</v>
      </c>
      <c r="Q52" s="701">
        <v>1422</v>
      </c>
      <c r="R52" s="701">
        <v>1267</v>
      </c>
      <c r="S52" s="701">
        <v>1418</v>
      </c>
      <c r="T52" s="701">
        <v>1068</v>
      </c>
      <c r="U52" s="770">
        <v>5175</v>
      </c>
      <c r="V52" s="701">
        <v>1223</v>
      </c>
      <c r="W52" s="701">
        <v>1026</v>
      </c>
      <c r="X52" s="701">
        <v>1530</v>
      </c>
      <c r="Y52" s="701">
        <v>1631</v>
      </c>
      <c r="Z52" s="770">
        <v>5410</v>
      </c>
      <c r="AA52" s="701">
        <v>1858</v>
      </c>
      <c r="AB52" s="701">
        <v>2340</v>
      </c>
      <c r="AC52" s="701">
        <v>2189</v>
      </c>
      <c r="AD52" s="701">
        <v>2610</v>
      </c>
      <c r="AE52" s="770">
        <f>SUM(AA52:AD52)</f>
        <v>8997</v>
      </c>
      <c r="AF52" s="701">
        <v>2922</v>
      </c>
      <c r="AG52" s="701">
        <v>3445</v>
      </c>
      <c r="AH52" s="701">
        <v>3628</v>
      </c>
      <c r="AI52" s="701">
        <v>3779</v>
      </c>
      <c r="AJ52" s="770">
        <v>13774</v>
      </c>
      <c r="AK52" s="701">
        <v>3902</v>
      </c>
      <c r="AL52" s="701">
        <v>4540</v>
      </c>
      <c r="AM52" s="701">
        <v>4686</v>
      </c>
      <c r="AN52" s="701">
        <v>4694</v>
      </c>
      <c r="AO52" s="770">
        <v>17891</v>
      </c>
      <c r="AP52" s="701">
        <v>4695</v>
      </c>
      <c r="AQ52" s="701">
        <v>5018</v>
      </c>
      <c r="AR52" s="701">
        <v>6197</v>
      </c>
      <c r="AS52" s="701">
        <v>6710</v>
      </c>
      <c r="AT52" s="770">
        <v>22620</v>
      </c>
      <c r="AU52" s="701">
        <v>5956</v>
      </c>
      <c r="AV52" s="701">
        <v>5695</v>
      </c>
      <c r="AW52" s="701">
        <v>7413</v>
      </c>
      <c r="AX52" s="701">
        <v>7438</v>
      </c>
      <c r="AY52" s="770">
        <f>SUM(AU52:AX52)</f>
        <v>26502</v>
      </c>
      <c r="AZ52" s="769">
        <f>AZ64+AZ62+AZ37+CF!AZ9+CF!AZ13+AZ36+AZ39+AZ48-AZ45+AZ49</f>
        <v>8522</v>
      </c>
      <c r="BA52" s="769">
        <f>BA64+BA62+BA37+CF!BA9+CF!BA13+BA36+BA39+BA48-BA45+BA49</f>
        <v>7668</v>
      </c>
      <c r="BB52" s="769">
        <f>BB64+BB62+BB37+CF!BB9+CF!BB13+BB36+BB39+BB48-BB45+BB49</f>
        <v>7955</v>
      </c>
      <c r="BC52" s="769">
        <f>BC64+BC62+BC37+CF!BC9+CF!BC13+BC36+BC39+BC48-BC45+BC49</f>
        <v>8470</v>
      </c>
      <c r="BD52" s="770">
        <f>SUM(AZ52:BC52)</f>
        <v>32615</v>
      </c>
      <c r="BE52" s="769">
        <f>BE64+BE62+BE37+CF!BE9+CF!BE13+BE36+BE39+BE48-BE45+BE49</f>
        <v>10887</v>
      </c>
      <c r="BF52" s="769">
        <f>BF64+BF62+BF37+CF!BF9+CF!BF13+BF36+BF39+BF48-BF45+BF49</f>
        <v>12102</v>
      </c>
      <c r="BG52" s="769">
        <f>BG64+BG62+BG37+CF!BG9+CF!BG13+BG36+BG39+BG48-BG45+BG49</f>
        <v>14364</v>
      </c>
      <c r="BH52" s="769">
        <f>BH64+BH62+BH37+CF!BH9+CF!BH13+BH36+BH39+BH48-BH45+BH49</f>
        <v>14042</v>
      </c>
      <c r="BI52" s="770">
        <f>SUM(BE52:BH52)</f>
        <v>51395</v>
      </c>
      <c r="BJ52" s="769">
        <f>BJ64+BJ62+BJ37+CF!BJ9+CF!BJ13+BJ36+BJ39+BJ48-BJ45+BJ49</f>
        <v>16450</v>
      </c>
      <c r="BK52" s="769">
        <f>BK64+BK62+BK37+CF!BK9+CF!BK13+BK36+BK39+BK48-BK45+BK49</f>
        <v>16398</v>
      </c>
      <c r="BL52" s="769">
        <f>BL64+BL62+BL37+CF!BL9+CF!BL13+BL36+BL39+BL48-BL45+BL49</f>
        <v>18061</v>
      </c>
      <c r="BM52" s="769">
        <f>BM64+BM62+BM37+CF!BM9+CF!BM13+BM36+BM39+BM48-BM45+BM49</f>
        <v>18854</v>
      </c>
      <c r="BN52" s="770">
        <f>SUM(BJ52:BM52)</f>
        <v>69763</v>
      </c>
      <c r="BO52" s="769">
        <f>BO64+BO62+BO37+CF!BO9+CF!BO13+BO36+BO39+BO48-BO45+BO49</f>
        <v>20356</v>
      </c>
      <c r="BP52" s="769">
        <f>BP64+BP62+BP37+CF!BP9+CF!BP13+BP36+BP39+BP48-BP45+BP49</f>
        <v>20422</v>
      </c>
      <c r="BQ52" s="769">
        <f>BQ64+BQ62+BQ37+CF!BQ9+CF!BQ13+BQ36+BQ39+BQ48-BQ45+BQ49</f>
        <v>23238</v>
      </c>
      <c r="BR52" s="769">
        <f>BR64+BR62+BR37+CF!BR9+CF!BR13+BR36+BR39+BR48-BR45+BR49</f>
        <v>22978</v>
      </c>
      <c r="BS52" s="770">
        <f>SUM(BO52:BR52)</f>
        <v>86994</v>
      </c>
      <c r="BT52" s="769">
        <f>BT64+BT62+BT37+CF!BT9+CF!BT13+BT36+BT39+BT48-BT45+BT49</f>
        <v>25457</v>
      </c>
      <c r="BU52" s="769">
        <f>BU64+BU62+BU37+CF!BU9+CF!BU13+BU36+BU39+BU48-BU45+BU49</f>
        <v>27328</v>
      </c>
      <c r="BV52" s="769">
        <f>BV64+BV62+BV37+CF!BV9+CF!BV13+BV36+BV39+BV48-BV45+BV49</f>
        <v>26536</v>
      </c>
      <c r="BW52" s="769">
        <f>BW64+BW62+BW37+CF!BW9+CF!BW13+BW36+BW39+BW48-BW45+BW49</f>
        <v>27694</v>
      </c>
      <c r="BX52" s="770">
        <f>SUM(BT52:BW52)</f>
        <v>107015</v>
      </c>
      <c r="BY52" s="769">
        <f>BY64+BY62+BY37+CF!BY9+CF!BY13+BY36+BY39+BY48-BY45+BY49</f>
        <v>31766</v>
      </c>
      <c r="BZ52" s="769">
        <f>BZ64+BZ62+BZ37+CF!BZ9+CF!BZ13+BZ36+BZ39+BZ48-BZ45+BZ49</f>
        <v>30864</v>
      </c>
      <c r="CA52" s="769">
        <f>CA64+CA62+CA37+CF!CA9+CF!CA13+CA36+CA39+CA48-CA45+CA49</f>
        <v>34687</v>
      </c>
      <c r="CB52" s="769">
        <f>CB64+CB62+CB37+CF!CB9+CF!CB13+CB36+CB39+CB48-CB45+CB49</f>
        <v>34951</v>
      </c>
      <c r="CC52" s="770">
        <f>SUM(BY52:CB52)</f>
        <v>132268</v>
      </c>
      <c r="CD52" s="769">
        <f>CD64+CD62+CD37+CF!CD9+CF!CD13+CD36+CD39+CD48-CD45+CD49</f>
        <v>36999</v>
      </c>
      <c r="CE52" s="769">
        <f>CE64+CE62+CE37+CF!CE9+CF!CE13+CE36+CE39+CE48-CE45+CE49</f>
        <v>38171</v>
      </c>
      <c r="CF52" s="769">
        <f>CF64+CF62+CF37+CF!CF9+CF!CF13+CF36+CF39+CF48-CF45+CF49</f>
        <v>40503</v>
      </c>
      <c r="CG52" s="769">
        <f>CG64+CG62+CG37+CF!CG9+CF!CG13+CG36+CG39+CG48-CG45+CG49</f>
        <v>41956</v>
      </c>
      <c r="CH52" s="770">
        <f>SUM(CD52:CG52)</f>
        <v>157629</v>
      </c>
      <c r="CI52" s="769">
        <f>CI64+CI62+CI37+CF!CI9+CF!CI13+CI36+CI39+CI48-CI45+CI49</f>
        <v>44402</v>
      </c>
      <c r="CJ52" s="769">
        <f>CJ64+CJ62+CJ37+CF!CJ9+CF!CJ13+CJ36+CJ39+CJ48-CJ45+CJ49</f>
        <v>44189</v>
      </c>
      <c r="CK52" s="769">
        <f>CK64+CK62+CK37+CF!CK9+CF!CK13+CK36+CK39+CK48-CK45+CK49</f>
        <v>48401</v>
      </c>
      <c r="CL52" s="769">
        <f>CL64+CL62+CL37+CF!CL9+CF!CL13+CL36+CL39+CL48-CL45+CL49</f>
        <v>49639</v>
      </c>
      <c r="CM52" s="770">
        <f>SUM(CI52:CL52)</f>
        <v>186631</v>
      </c>
      <c r="CN52" s="769">
        <f>CN64+CN62+CN37+CF!CN9+CF!CN13+CN36+CN39+CN48-CN45+CN49</f>
        <v>54373</v>
      </c>
      <c r="CO52" s="769">
        <f>CO64+CO62+CO37+CF!CO9+CF!CO13+CO36+CO39+CO48-CO45+CO49</f>
        <v>56052</v>
      </c>
      <c r="CP52" s="769">
        <f>CP64+CP62+CP37+CF!CP9+CF!CP13+CP36+CP39+CP48-CP45+CP49</f>
        <v>60480</v>
      </c>
      <c r="CQ52" s="769">
        <f>CQ64+CQ62+CQ37+CF!CQ9+CF!CQ13+CQ36+CQ39+CQ48-CQ45+CQ49</f>
        <v>60462</v>
      </c>
      <c r="CR52" s="770">
        <f>SUM(CN52:CQ52)</f>
        <v>231367</v>
      </c>
      <c r="CS52" s="769">
        <f>CS64+CS62+CS37+CF!CS9+CF!CS13+CS36+CS39+CS48-CS45+CS49</f>
        <v>56537.820915000018</v>
      </c>
      <c r="CT52" s="769">
        <f>CT64+CT62+CT37+CF!CT9+CF!CT13+CT36+CT39+CT48-CT45+CT49</f>
        <v>64703.04194000001</v>
      </c>
      <c r="CU52" s="769">
        <f>CU64+CU62+CU37+CF!CU9+CF!CU13+CU36+CU39+CU48-CU45+CU49</f>
        <v>69687.093896559993</v>
      </c>
      <c r="CV52" s="769">
        <f>CV64+CV62+CV37+CF!CV9+CF!CV13+CV36+CV39+CV48-CV45+CV49</f>
        <v>72351.947357092155</v>
      </c>
      <c r="CW52" s="770">
        <f>SUM(CS52:CV52)</f>
        <v>263279.9041086522</v>
      </c>
      <c r="CX52" s="856"/>
      <c r="CY52" s="863"/>
      <c r="CZ52" s="856"/>
      <c r="DA52" s="856"/>
      <c r="DB52" s="856"/>
      <c r="DC52" s="856"/>
    </row>
    <row r="53" spans="2:107" s="67" customFormat="1" ht="10.15">
      <c r="B53" s="65"/>
      <c r="C53" s="66" t="s">
        <v>20</v>
      </c>
      <c r="D53" s="34">
        <f t="shared" ref="D53:AI53" si="294">D52/D4</f>
        <v>-2.5602082881319158E-2</v>
      </c>
      <c r="E53" s="34">
        <f t="shared" si="294"/>
        <v>-3.7212347046679091E-2</v>
      </c>
      <c r="F53" s="34">
        <f t="shared" si="294"/>
        <v>4.0876260020636561E-3</v>
      </c>
      <c r="G53" s="37">
        <f t="shared" si="294"/>
        <v>-3.7228690527526233E-2</v>
      </c>
      <c r="H53" s="37">
        <f t="shared" si="294"/>
        <v>1.0018455048774057E-2</v>
      </c>
      <c r="I53" s="37">
        <f t="shared" si="294"/>
        <v>6.2422591032945257E-2</v>
      </c>
      <c r="J53" s="37">
        <f t="shared" si="294"/>
        <v>5.4702970297029703E-2</v>
      </c>
      <c r="K53" s="34">
        <f t="shared" si="294"/>
        <v>2.4855849105775808E-2</v>
      </c>
      <c r="L53" s="37">
        <f t="shared" si="294"/>
        <v>4.8411675067401246E-2</v>
      </c>
      <c r="M53" s="37">
        <f t="shared" si="294"/>
        <v>0.11510416666666666</v>
      </c>
      <c r="N53" s="37">
        <f t="shared" si="294"/>
        <v>8.9370977787004355E-2</v>
      </c>
      <c r="O53" s="37">
        <f t="shared" si="294"/>
        <v>0.11792405570584109</v>
      </c>
      <c r="P53" s="34">
        <f t="shared" si="294"/>
        <v>9.4208657871032692E-2</v>
      </c>
      <c r="Q53" s="37">
        <f t="shared" si="294"/>
        <v>0.13882651566923754</v>
      </c>
      <c r="R53" s="37">
        <f t="shared" si="294"/>
        <v>0.11577119883040936</v>
      </c>
      <c r="S53" s="37">
        <f t="shared" si="294"/>
        <v>0.12340092246105648</v>
      </c>
      <c r="T53" s="37">
        <f t="shared" si="294"/>
        <v>8.9604832620186259E-2</v>
      </c>
      <c r="U53" s="34">
        <f t="shared" si="294"/>
        <v>0.11603919546157813</v>
      </c>
      <c r="V53" s="37">
        <f t="shared" si="294"/>
        <v>9.6687485176693816E-2</v>
      </c>
      <c r="W53" s="37">
        <f t="shared" si="294"/>
        <v>7.3616990744062569E-2</v>
      </c>
      <c r="X53" s="37">
        <f t="shared" si="294"/>
        <v>9.8525339687037153E-2</v>
      </c>
      <c r="Y53" s="37">
        <f t="shared" si="294"/>
        <v>0.1028762457423994</v>
      </c>
      <c r="Z53" s="34">
        <f t="shared" si="294"/>
        <v>9.3325743069571671E-2</v>
      </c>
      <c r="AA53" s="37">
        <f t="shared" si="294"/>
        <v>0.11237450102818435</v>
      </c>
      <c r="AB53" s="37">
        <f t="shared" si="294"/>
        <v>0.13130576286403681</v>
      </c>
      <c r="AC53" s="37">
        <f t="shared" si="294"/>
        <v>0.10800809197217151</v>
      </c>
      <c r="AD53" s="37">
        <f t="shared" si="294"/>
        <v>0.1160825475893969</v>
      </c>
      <c r="AE53" s="34">
        <f t="shared" si="294"/>
        <v>0.11668352657380748</v>
      </c>
      <c r="AF53" s="37">
        <f t="shared" si="294"/>
        <v>0.12302121926574604</v>
      </c>
      <c r="AG53" s="37">
        <f t="shared" si="294"/>
        <v>0.13426611583131967</v>
      </c>
      <c r="AH53" s="37">
        <f t="shared" si="294"/>
        <v>0.13433056872037916</v>
      </c>
      <c r="AI53" s="37">
        <f t="shared" si="294"/>
        <v>0.13509455546419763</v>
      </c>
      <c r="AJ53" s="34">
        <f t="shared" ref="AJ53:BO53" si="295">AJ52/AJ4</f>
        <v>0.13194624057629489</v>
      </c>
      <c r="AK53" s="5">
        <f t="shared" si="295"/>
        <v>0.13483534330833824</v>
      </c>
      <c r="AL53" s="5">
        <f t="shared" si="295"/>
        <v>0.1459807073954984</v>
      </c>
      <c r="AM53" s="5">
        <f t="shared" si="295"/>
        <v>0.14415800159970468</v>
      </c>
      <c r="AN53" s="5">
        <f t="shared" si="295"/>
        <v>0.13259137901813456</v>
      </c>
      <c r="AO53" s="146">
        <f t="shared" si="295"/>
        <v>0.1398313364127334</v>
      </c>
      <c r="AP53" s="5">
        <f t="shared" si="295"/>
        <v>0.12699486069786314</v>
      </c>
      <c r="AQ53" s="5">
        <f t="shared" si="295"/>
        <v>0.12917674921484837</v>
      </c>
      <c r="AR53" s="5">
        <f t="shared" si="295"/>
        <v>0.15356594141844673</v>
      </c>
      <c r="AS53" s="5">
        <f t="shared" si="295"/>
        <v>0.15844904127703788</v>
      </c>
      <c r="AT53" s="146">
        <f t="shared" si="295"/>
        <v>0.14269672844724257</v>
      </c>
      <c r="AU53" s="5">
        <f t="shared" si="295"/>
        <v>0.13061689949340993</v>
      </c>
      <c r="AV53" s="5">
        <f t="shared" si="295"/>
        <v>0.12027201115076767</v>
      </c>
      <c r="AW53" s="5">
        <f t="shared" si="295"/>
        <v>0.15041392744095447</v>
      </c>
      <c r="AX53" s="5">
        <f t="shared" si="295"/>
        <v>0.14566890581853079</v>
      </c>
      <c r="AY53" s="146">
        <f t="shared" si="295"/>
        <v>0.13710649525336921</v>
      </c>
      <c r="AZ53" s="5">
        <f t="shared" si="295"/>
        <v>0.16409920665485636</v>
      </c>
      <c r="BA53" s="5">
        <f t="shared" si="295"/>
        <v>0.14125709232923145</v>
      </c>
      <c r="BB53" s="5">
        <f t="shared" si="295"/>
        <v>0.14167408726625111</v>
      </c>
      <c r="BC53" s="5">
        <f t="shared" si="295"/>
        <v>0.14553264604810998</v>
      </c>
      <c r="BD53" s="146">
        <f t="shared" si="295"/>
        <v>0.14786957191951616</v>
      </c>
      <c r="BE53" s="5">
        <f t="shared" si="295"/>
        <v>0.18423813714208354</v>
      </c>
      <c r="BF53" s="5">
        <f t="shared" si="295"/>
        <v>0.19809791949714362</v>
      </c>
      <c r="BG53" s="5">
        <f t="shared" si="295"/>
        <v>0.22847871731246422</v>
      </c>
      <c r="BH53" s="5">
        <f t="shared" si="295"/>
        <v>0.21540443939928516</v>
      </c>
      <c r="BI53" s="146">
        <f t="shared" si="295"/>
        <v>0.20703754431195617</v>
      </c>
      <c r="BJ53" s="449">
        <f t="shared" si="295"/>
        <v>0.24576448441748588</v>
      </c>
      <c r="BK53" s="5">
        <f t="shared" si="295"/>
        <v>0.23928555793897474</v>
      </c>
      <c r="BL53" s="5">
        <f t="shared" si="295"/>
        <v>0.25463850665463567</v>
      </c>
      <c r="BM53" s="5">
        <f t="shared" si="295"/>
        <v>0.25922208626070697</v>
      </c>
      <c r="BN53" s="146">
        <f t="shared" si="295"/>
        <v>0.24993551253206461</v>
      </c>
      <c r="BO53" s="449">
        <f t="shared" si="295"/>
        <v>0.27436920422687083</v>
      </c>
      <c r="BP53" s="5">
        <f t="shared" ref="BP53:CU53" si="296">BP52/BP4</f>
        <v>0.27022878541277967</v>
      </c>
      <c r="BQ53" s="449">
        <f t="shared" si="296"/>
        <v>0.29209246200837136</v>
      </c>
      <c r="BR53" s="5">
        <f t="shared" si="296"/>
        <v>0.27581984923416719</v>
      </c>
      <c r="BS53" s="146">
        <f t="shared" si="296"/>
        <v>0.27826504174263506</v>
      </c>
      <c r="BT53" s="449">
        <f t="shared" si="296"/>
        <v>0.28256043687703952</v>
      </c>
      <c r="BU53" s="5">
        <f t="shared" si="296"/>
        <v>0.28906588815197959</v>
      </c>
      <c r="BV53" s="449">
        <f t="shared" si="296"/>
        <v>0.27108809137066209</v>
      </c>
      <c r="BW53" s="449">
        <f t="shared" si="296"/>
        <v>0.26951224259410644</v>
      </c>
      <c r="BX53" s="146">
        <f t="shared" si="296"/>
        <v>0.27776191613285023</v>
      </c>
      <c r="BY53" s="449">
        <f t="shared" si="296"/>
        <v>0.30197826851596588</v>
      </c>
      <c r="BZ53" s="5">
        <f t="shared" si="296"/>
        <v>0.28269431570462916</v>
      </c>
      <c r="CA53" s="5">
        <f t="shared" si="296"/>
        <v>0.30298027706444458</v>
      </c>
      <c r="CB53" s="449">
        <f t="shared" si="296"/>
        <v>0.28644134471963151</v>
      </c>
      <c r="CC53" s="146">
        <f t="shared" si="296"/>
        <v>0.29335846964236206</v>
      </c>
      <c r="CD53" s="449">
        <f t="shared" si="296"/>
        <v>0.29395080560587283</v>
      </c>
      <c r="CE53" s="5">
        <f t="shared" si="296"/>
        <v>0.29268648018648019</v>
      </c>
      <c r="CF53" s="5">
        <f t="shared" si="296"/>
        <v>0.29856038212898328</v>
      </c>
      <c r="CG53" s="449">
        <f t="shared" si="296"/>
        <v>0.28942158452040145</v>
      </c>
      <c r="CH53" s="146">
        <f t="shared" si="296"/>
        <v>0.2935855171257753</v>
      </c>
      <c r="CI53" s="449">
        <f t="shared" si="296"/>
        <v>0.29685243621971441</v>
      </c>
      <c r="CJ53" s="5">
        <f t="shared" si="296"/>
        <v>0.28769629417432746</v>
      </c>
      <c r="CK53" s="5">
        <f t="shared" si="296"/>
        <v>0.29569419498307736</v>
      </c>
      <c r="CL53" s="449">
        <f t="shared" si="296"/>
        <v>0.29044451075731248</v>
      </c>
      <c r="CM53" s="146">
        <f t="shared" si="296"/>
        <v>0.29263286633791441</v>
      </c>
      <c r="CN53" s="449">
        <f t="shared" si="296"/>
        <v>0.29949490220271113</v>
      </c>
      <c r="CO53" s="5">
        <f t="shared" si="296"/>
        <v>0.29910352187833511</v>
      </c>
      <c r="CP53" s="5">
        <f t="shared" si="296"/>
        <v>0.31847670401887268</v>
      </c>
      <c r="CQ53" s="449">
        <f t="shared" si="296"/>
        <v>0.31384049996885577</v>
      </c>
      <c r="CR53" s="146">
        <f t="shared" si="296"/>
        <v>0.30787153778085308</v>
      </c>
      <c r="CS53" s="449">
        <f t="shared" si="296"/>
        <v>0.29350229484267765</v>
      </c>
      <c r="CT53" s="5">
        <f t="shared" si="296"/>
        <v>0.32728103621510551</v>
      </c>
      <c r="CU53" s="5">
        <f t="shared" si="296"/>
        <v>0.34090256460330431</v>
      </c>
      <c r="CV53" s="5">
        <f t="shared" ref="CV53:CW53" si="297">CV52/CV4</f>
        <v>0.34790132411234592</v>
      </c>
      <c r="CW53" s="146">
        <f t="shared" si="297"/>
        <v>0.32798612645368996</v>
      </c>
      <c r="CX53" s="406"/>
      <c r="CY53" s="406"/>
      <c r="CZ53" s="406"/>
      <c r="DA53" s="406"/>
      <c r="DB53" s="406"/>
      <c r="DC53" s="406"/>
    </row>
    <row r="54" spans="2:107">
      <c r="B54" s="7"/>
      <c r="C54" s="4"/>
      <c r="D54" s="32"/>
      <c r="E54" s="32"/>
      <c r="F54" s="32"/>
      <c r="K54" s="32"/>
      <c r="N54" s="41">
        <f>3206-P52</f>
        <v>-350</v>
      </c>
      <c r="P54" s="32"/>
      <c r="S54" s="85">
        <f>+S52-1418</f>
        <v>0</v>
      </c>
      <c r="T54" s="4"/>
      <c r="U54" s="32"/>
      <c r="W54" s="85"/>
      <c r="X54" s="85"/>
      <c r="Y54" s="85"/>
      <c r="Z54" s="111"/>
      <c r="AB54" s="85"/>
      <c r="AC54" s="85"/>
      <c r="AD54" s="85"/>
      <c r="AE54" s="111"/>
      <c r="AG54" s="85"/>
      <c r="AH54" s="85"/>
      <c r="AI54" s="85"/>
      <c r="AJ54" s="111"/>
      <c r="AL54" s="85"/>
      <c r="AM54" s="85"/>
      <c r="AN54" s="85"/>
      <c r="AO54" s="229"/>
      <c r="AQ54" s="85"/>
      <c r="AR54" s="85"/>
      <c r="AS54" s="85"/>
      <c r="AT54" s="229"/>
      <c r="AU54" s="85"/>
      <c r="AV54" s="247"/>
      <c r="AW54" s="85"/>
      <c r="AX54" s="85"/>
      <c r="AY54" s="229"/>
      <c r="AZ54" s="366"/>
      <c r="BA54" s="366"/>
      <c r="BB54" s="85"/>
      <c r="BC54" s="85"/>
      <c r="BD54" s="229"/>
      <c r="BE54" s="404"/>
      <c r="BF54" s="85"/>
      <c r="BG54" s="85"/>
      <c r="BH54" s="85"/>
      <c r="BI54" s="229"/>
      <c r="BJ54" s="450"/>
      <c r="BK54" s="85"/>
      <c r="BL54" s="85"/>
      <c r="BM54" s="85"/>
      <c r="BN54" s="229"/>
      <c r="BO54" s="450"/>
      <c r="BP54" s="85"/>
      <c r="BQ54" s="450"/>
      <c r="BR54" s="85"/>
      <c r="BS54" s="229"/>
      <c r="BT54" s="450"/>
      <c r="BU54" s="85"/>
      <c r="BV54" s="450"/>
      <c r="BW54" s="450"/>
      <c r="BX54" s="229"/>
      <c r="BY54" s="450"/>
      <c r="BZ54" s="85"/>
      <c r="CA54" s="85"/>
      <c r="CB54" s="450"/>
      <c r="CC54" s="111"/>
      <c r="CD54" s="450"/>
      <c r="CE54" s="85"/>
      <c r="CF54" s="85"/>
      <c r="CG54" s="450"/>
      <c r="CH54" s="111"/>
      <c r="CI54" s="450"/>
      <c r="CJ54" s="85"/>
      <c r="CK54" s="85"/>
      <c r="CL54" s="450"/>
      <c r="CM54" s="111"/>
      <c r="CN54" s="450"/>
      <c r="CO54" s="85"/>
      <c r="CP54" s="85">
        <f>60480-CP52</f>
        <v>0</v>
      </c>
      <c r="CQ54" s="450"/>
      <c r="CR54" s="111"/>
      <c r="CS54" s="450"/>
      <c r="CT54" s="85"/>
      <c r="CU54" s="85"/>
      <c r="CV54" s="85"/>
      <c r="CW54" s="111"/>
      <c r="CX54" s="95"/>
      <c r="CY54" s="95"/>
      <c r="CZ54" s="95"/>
      <c r="DA54" s="95"/>
      <c r="DB54" s="95"/>
      <c r="DC54" s="95"/>
    </row>
    <row r="55" spans="2:107" ht="13.15">
      <c r="B55" s="7" t="s">
        <v>21</v>
      </c>
      <c r="C55" s="1"/>
      <c r="D55" s="50">
        <f t="shared" ref="D55:AI55" si="298">D33+D50</f>
        <v>-653</v>
      </c>
      <c r="E55" s="50">
        <f t="shared" si="298"/>
        <v>-1297</v>
      </c>
      <c r="F55" s="50">
        <f t="shared" si="298"/>
        <v>-2094</v>
      </c>
      <c r="G55" s="45">
        <f t="shared" si="298"/>
        <v>-876</v>
      </c>
      <c r="H55" s="45">
        <f t="shared" si="298"/>
        <v>-516</v>
      </c>
      <c r="I55" s="45">
        <f t="shared" si="298"/>
        <v>-94</v>
      </c>
      <c r="J55" s="45">
        <f t="shared" si="298"/>
        <v>-158</v>
      </c>
      <c r="K55" s="50">
        <f t="shared" si="298"/>
        <v>-1644</v>
      </c>
      <c r="L55" s="45">
        <f t="shared" si="298"/>
        <v>5</v>
      </c>
      <c r="M55" s="45">
        <f t="shared" si="298"/>
        <v>707</v>
      </c>
      <c r="N55" s="45">
        <f t="shared" si="298"/>
        <v>474</v>
      </c>
      <c r="O55" s="45">
        <f t="shared" si="298"/>
        <v>295</v>
      </c>
      <c r="P55" s="50">
        <f t="shared" si="298"/>
        <v>1481</v>
      </c>
      <c r="Q55" s="45">
        <f t="shared" si="298"/>
        <v>1035</v>
      </c>
      <c r="R55" s="45">
        <f t="shared" si="298"/>
        <v>851</v>
      </c>
      <c r="S55" s="45">
        <f t="shared" si="298"/>
        <v>1111</v>
      </c>
      <c r="T55" s="76">
        <f t="shared" si="298"/>
        <v>729</v>
      </c>
      <c r="U55" s="50">
        <f t="shared" si="298"/>
        <v>3726</v>
      </c>
      <c r="V55" s="45">
        <f t="shared" si="298"/>
        <v>833</v>
      </c>
      <c r="W55" s="45">
        <f t="shared" si="298"/>
        <v>579</v>
      </c>
      <c r="X55" s="45">
        <f t="shared" si="298"/>
        <v>1005</v>
      </c>
      <c r="Y55" s="45">
        <f t="shared" si="298"/>
        <v>1078</v>
      </c>
      <c r="Z55" s="50">
        <f t="shared" si="298"/>
        <v>3495</v>
      </c>
      <c r="AA55" s="45">
        <f t="shared" si="298"/>
        <v>1281</v>
      </c>
      <c r="AB55" s="45">
        <f t="shared" si="298"/>
        <v>1701</v>
      </c>
      <c r="AC55" s="45">
        <f t="shared" si="298"/>
        <v>1295</v>
      </c>
      <c r="AD55" s="45">
        <f t="shared" si="298"/>
        <v>1588</v>
      </c>
      <c r="AE55" s="50">
        <f t="shared" si="298"/>
        <v>5865</v>
      </c>
      <c r="AF55" s="45">
        <f t="shared" si="298"/>
        <v>1774</v>
      </c>
      <c r="AG55" s="45">
        <f t="shared" si="298"/>
        <v>2285</v>
      </c>
      <c r="AH55" s="45">
        <f t="shared" si="298"/>
        <v>2531</v>
      </c>
      <c r="AI55" s="45">
        <f t="shared" si="298"/>
        <v>2508</v>
      </c>
      <c r="AJ55" s="50">
        <f t="shared" ref="AJ55:BO55" si="299">AJ33+AJ50</f>
        <v>9098</v>
      </c>
      <c r="AK55" s="45">
        <f t="shared" si="299"/>
        <v>2647</v>
      </c>
      <c r="AL55" s="45">
        <f t="shared" si="299"/>
        <v>3140</v>
      </c>
      <c r="AM55" s="45">
        <f t="shared" si="299"/>
        <v>3308</v>
      </c>
      <c r="AN55" s="45">
        <f t="shared" si="299"/>
        <v>3269</v>
      </c>
      <c r="AO55" s="50">
        <f t="shared" si="299"/>
        <v>12364</v>
      </c>
      <c r="AP55" s="45">
        <f t="shared" si="299"/>
        <v>3191</v>
      </c>
      <c r="AQ55" s="45">
        <f t="shared" si="299"/>
        <v>3487</v>
      </c>
      <c r="AR55" s="45">
        <f t="shared" si="299"/>
        <v>4662</v>
      </c>
      <c r="AS55" s="45">
        <f t="shared" si="299"/>
        <v>5421</v>
      </c>
      <c r="AT55" s="50">
        <f t="shared" si="299"/>
        <v>16761</v>
      </c>
      <c r="AU55" s="45">
        <f t="shared" si="299"/>
        <v>4475</v>
      </c>
      <c r="AV55" s="45">
        <f t="shared" si="299"/>
        <v>4213</v>
      </c>
      <c r="AW55" s="45">
        <f t="shared" si="299"/>
        <v>5901</v>
      </c>
      <c r="AX55" s="45">
        <f t="shared" si="299"/>
        <v>5916</v>
      </c>
      <c r="AY55" s="50">
        <f t="shared" si="299"/>
        <v>20505</v>
      </c>
      <c r="AZ55" s="253">
        <f t="shared" si="299"/>
        <v>7022</v>
      </c>
      <c r="BA55" s="253">
        <f t="shared" si="299"/>
        <v>6170</v>
      </c>
      <c r="BB55" s="45">
        <f t="shared" si="299"/>
        <v>6397</v>
      </c>
      <c r="BC55" s="45">
        <f t="shared" si="299"/>
        <v>6851</v>
      </c>
      <c r="BD55" s="50">
        <f t="shared" si="299"/>
        <v>26440</v>
      </c>
      <c r="BE55" s="45">
        <f t="shared" si="299"/>
        <v>9218</v>
      </c>
      <c r="BF55" s="45">
        <f t="shared" si="299"/>
        <v>10556</v>
      </c>
      <c r="BG55" s="45">
        <f t="shared" si="299"/>
        <v>12860</v>
      </c>
      <c r="BH55" s="45">
        <f t="shared" si="299"/>
        <v>12403</v>
      </c>
      <c r="BI55" s="50">
        <f t="shared" si="299"/>
        <v>45037</v>
      </c>
      <c r="BJ55" s="118">
        <f t="shared" si="299"/>
        <v>14390</v>
      </c>
      <c r="BK55" s="45">
        <f t="shared" si="299"/>
        <v>14524</v>
      </c>
      <c r="BL55" s="45">
        <f t="shared" si="299"/>
        <v>16085</v>
      </c>
      <c r="BM55" s="118">
        <f t="shared" si="299"/>
        <v>16588</v>
      </c>
      <c r="BN55" s="50">
        <f t="shared" si="299"/>
        <v>61587</v>
      </c>
      <c r="BO55" s="118">
        <f t="shared" si="299"/>
        <v>17858</v>
      </c>
      <c r="BP55" s="118">
        <f t="shared" ref="BP55:CR55" si="300">BP33+BP50</f>
        <v>17616</v>
      </c>
      <c r="BQ55" s="118">
        <f t="shared" si="300"/>
        <v>20147</v>
      </c>
      <c r="BR55" s="118">
        <f t="shared" si="300"/>
        <v>19454</v>
      </c>
      <c r="BS55" s="50">
        <f t="shared" si="300"/>
        <v>75075</v>
      </c>
      <c r="BT55" s="118">
        <f t="shared" si="300"/>
        <v>21789</v>
      </c>
      <c r="BU55" s="45">
        <f t="shared" si="300"/>
        <v>23878</v>
      </c>
      <c r="BV55" s="118">
        <f t="shared" si="300"/>
        <v>22907</v>
      </c>
      <c r="BW55" s="118">
        <f t="shared" si="300"/>
        <v>23931</v>
      </c>
      <c r="BX55" s="50">
        <f t="shared" si="300"/>
        <v>92505</v>
      </c>
      <c r="BY55" s="118">
        <f t="shared" si="300"/>
        <v>27950</v>
      </c>
      <c r="BZ55" s="45">
        <f t="shared" si="300"/>
        <v>27086</v>
      </c>
      <c r="CA55" s="45">
        <f t="shared" si="300"/>
        <v>31104</v>
      </c>
      <c r="CB55" s="45">
        <f t="shared" si="300"/>
        <v>31377</v>
      </c>
      <c r="CC55" s="50">
        <f t="shared" si="300"/>
        <v>117517</v>
      </c>
      <c r="CD55" s="45">
        <f t="shared" si="300"/>
        <v>33500</v>
      </c>
      <c r="CE55" s="45">
        <f t="shared" si="300"/>
        <v>35119</v>
      </c>
      <c r="CF55" s="45">
        <f t="shared" si="300"/>
        <v>38463</v>
      </c>
      <c r="CG55" s="118">
        <f t="shared" si="300"/>
        <v>39577</v>
      </c>
      <c r="CH55" s="50">
        <f t="shared" si="300"/>
        <v>146659</v>
      </c>
      <c r="CI55" s="64">
        <f t="shared" si="300"/>
        <v>42587</v>
      </c>
      <c r="CJ55" s="45">
        <f t="shared" si="300"/>
        <v>42300</v>
      </c>
      <c r="CK55" s="45">
        <f t="shared" si="300"/>
        <v>46472</v>
      </c>
      <c r="CL55" s="118">
        <f t="shared" si="300"/>
        <v>47133</v>
      </c>
      <c r="CM55" s="112">
        <f t="shared" si="300"/>
        <v>178492</v>
      </c>
      <c r="CN55" s="64">
        <f t="shared" si="300"/>
        <v>51265</v>
      </c>
      <c r="CO55" s="45">
        <f t="shared" ref="CO55" si="301">CO33+CO50</f>
        <v>51749</v>
      </c>
      <c r="CP55" s="64">
        <f t="shared" si="300"/>
        <v>56202</v>
      </c>
      <c r="CQ55" s="118">
        <f t="shared" ref="CQ55" si="302">CQ33+CQ50</f>
        <v>55711</v>
      </c>
      <c r="CR55" s="112">
        <f t="shared" si="300"/>
        <v>214927</v>
      </c>
      <c r="CS55" s="64">
        <f t="shared" ref="CS55:CW55" si="303">CS33+CS50</f>
        <v>52960.535915000015</v>
      </c>
      <c r="CT55" s="64">
        <f t="shared" si="303"/>
        <v>59931.917280000009</v>
      </c>
      <c r="CU55" s="64">
        <f t="shared" si="303"/>
        <v>64758.268694400002</v>
      </c>
      <c r="CV55" s="64">
        <f t="shared" si="303"/>
        <v>67279.396479999996</v>
      </c>
      <c r="CW55" s="112">
        <f t="shared" si="303"/>
        <v>244930.11836939986</v>
      </c>
      <c r="CX55" s="95"/>
      <c r="CY55" s="95"/>
      <c r="CZ55" s="95"/>
      <c r="DA55" s="95"/>
      <c r="DB55" s="95"/>
      <c r="DC55" s="95"/>
    </row>
    <row r="56" spans="2:107">
      <c r="B56" s="7"/>
      <c r="C56" s="4" t="s">
        <v>22</v>
      </c>
      <c r="D56" s="50">
        <v>23</v>
      </c>
      <c r="E56" s="50">
        <v>4</v>
      </c>
      <c r="F56" s="50">
        <v>16</v>
      </c>
      <c r="G56" s="45">
        <v>7</v>
      </c>
      <c r="H56" s="64">
        <v>2</v>
      </c>
      <c r="I56" s="64">
        <v>3</v>
      </c>
      <c r="J56" s="64">
        <v>82</v>
      </c>
      <c r="K56" s="50">
        <f>SUM(G56:J56)</f>
        <v>94</v>
      </c>
      <c r="L56" s="64">
        <v>11</v>
      </c>
      <c r="M56" s="64">
        <v>0</v>
      </c>
      <c r="N56" s="64">
        <v>49</v>
      </c>
      <c r="O56" s="64">
        <v>31</v>
      </c>
      <c r="P56" s="50">
        <f>SUM(L56:O56)</f>
        <v>91</v>
      </c>
      <c r="Q56" s="64">
        <v>65</v>
      </c>
      <c r="R56" s="45">
        <v>38</v>
      </c>
      <c r="S56" s="45">
        <v>-7</v>
      </c>
      <c r="T56" s="76">
        <v>-4</v>
      </c>
      <c r="U56" s="50">
        <f>SUM(Q56:T56)</f>
        <v>92</v>
      </c>
      <c r="V56" s="64">
        <v>29</v>
      </c>
      <c r="W56" s="45">
        <v>78</v>
      </c>
      <c r="X56" s="45">
        <v>81</v>
      </c>
      <c r="Y56" s="45">
        <f>-12807+12802</f>
        <v>-5</v>
      </c>
      <c r="Z56" s="112">
        <f>SUM(V56:Y56)</f>
        <v>183</v>
      </c>
      <c r="AA56" s="45">
        <v>153</v>
      </c>
      <c r="AB56" s="45">
        <f>AB62</f>
        <v>300</v>
      </c>
      <c r="AC56" s="45">
        <f>AC62</f>
        <v>-124</v>
      </c>
      <c r="AD56" s="45">
        <f>AD62</f>
        <v>-208</v>
      </c>
      <c r="AE56" s="50">
        <f>SUM(AA56:AD56)</f>
        <v>121</v>
      </c>
      <c r="AF56" s="45">
        <f>AF62</f>
        <v>-66</v>
      </c>
      <c r="AG56" s="45">
        <v>169</v>
      </c>
      <c r="AH56" s="45">
        <f>AH62</f>
        <v>169</v>
      </c>
      <c r="AI56" s="45">
        <f>AI62</f>
        <v>414</v>
      </c>
      <c r="AJ56" s="50">
        <f>SUM(AF56:AI56)</f>
        <v>686</v>
      </c>
      <c r="AK56" s="45">
        <f>AK62</f>
        <v>218</v>
      </c>
      <c r="AL56" s="45">
        <f>AL62</f>
        <v>460</v>
      </c>
      <c r="AM56" s="45">
        <f>AM62</f>
        <v>532</v>
      </c>
      <c r="AN56" s="45">
        <f>AN62</f>
        <v>198</v>
      </c>
      <c r="AO56" s="50">
        <f>SUM(AK56:AN56)</f>
        <v>1408</v>
      </c>
      <c r="AP56" s="45">
        <f>AP62</f>
        <v>261</v>
      </c>
      <c r="AQ56" s="45">
        <f>AQ62</f>
        <v>356</v>
      </c>
      <c r="AR56" s="45">
        <f>AR62</f>
        <v>953</v>
      </c>
      <c r="AS56" s="45">
        <v>866</v>
      </c>
      <c r="AT56" s="50">
        <f>SUM(AP56:AS56)</f>
        <v>2436</v>
      </c>
      <c r="AU56" s="45">
        <v>708</v>
      </c>
      <c r="AV56" s="76">
        <v>305</v>
      </c>
      <c r="AW56" s="45">
        <v>1220</v>
      </c>
      <c r="AX56" s="45">
        <v>907</v>
      </c>
      <c r="AY56" s="50">
        <f>SUM(AU56:AX56)</f>
        <v>3140</v>
      </c>
      <c r="AZ56" s="253">
        <f>536+2133</f>
        <v>2669</v>
      </c>
      <c r="BA56" s="253">
        <f>1042+1211</f>
        <v>2253</v>
      </c>
      <c r="BB56" s="45">
        <f>1058+1259</f>
        <v>2317</v>
      </c>
      <c r="BC56" s="45">
        <f>8944+2171-8613</f>
        <v>2502</v>
      </c>
      <c r="BD56" s="50">
        <f>SUM(AZ56:BC56)</f>
        <v>9741</v>
      </c>
      <c r="BE56" s="45">
        <f>1306+1153</f>
        <v>2459</v>
      </c>
      <c r="BF56" s="45">
        <f>928+1027</f>
        <v>1955</v>
      </c>
      <c r="BG56" s="45">
        <f>605+3008</f>
        <v>3613</v>
      </c>
      <c r="BH56" s="45">
        <f>1629+1406</f>
        <v>3035</v>
      </c>
      <c r="BI56" s="50">
        <f>SUM(BE56:BH56)</f>
        <v>11062</v>
      </c>
      <c r="BJ56" s="118">
        <f>1040+2643</f>
        <v>3683</v>
      </c>
      <c r="BK56" s="45">
        <f>1987+1723</f>
        <v>3710</v>
      </c>
      <c r="BL56" s="45">
        <f>2692+1606</f>
        <v>4298</v>
      </c>
      <c r="BM56" s="45">
        <f>BM62+1332</f>
        <v>3971</v>
      </c>
      <c r="BN56" s="50">
        <f>SUM(BJ56:BM56)</f>
        <v>15662</v>
      </c>
      <c r="BO56" s="118">
        <f>1348+3026</f>
        <v>4374</v>
      </c>
      <c r="BP56" s="45">
        <f>BP62+2886</f>
        <v>4271</v>
      </c>
      <c r="BQ56" s="118">
        <f>2970+2929</f>
        <v>5899</v>
      </c>
      <c r="BR56" s="45">
        <f>1391+3444</f>
        <v>4835</v>
      </c>
      <c r="BS56" s="50">
        <f>SUM(BO56:BR56)</f>
        <v>19379</v>
      </c>
      <c r="BT56" s="118">
        <f>2137+3975</f>
        <v>6112</v>
      </c>
      <c r="BU56" s="64">
        <f>2963+3999</f>
        <v>6962</v>
      </c>
      <c r="BV56" s="119">
        <f>BV62+4178</f>
        <v>5534</v>
      </c>
      <c r="BW56" s="118">
        <f>2488+4302</f>
        <v>6790</v>
      </c>
      <c r="BX56" s="50">
        <f>SUM(BT56:BW56)</f>
        <v>25398</v>
      </c>
      <c r="BY56" s="118">
        <f>4330+3219</f>
        <v>7549</v>
      </c>
      <c r="BZ56" s="118">
        <f>BZ62+3491</f>
        <v>7368</v>
      </c>
      <c r="CA56" s="118">
        <f>CA62+4866</f>
        <v>7998</v>
      </c>
      <c r="CB56" s="45">
        <f>CB62+3063</f>
        <v>7914</v>
      </c>
      <c r="CC56" s="50">
        <f>SUM(BY56:CB56)</f>
        <v>30829</v>
      </c>
      <c r="CD56" s="118">
        <f>CD62+5909</f>
        <v>8626</v>
      </c>
      <c r="CE56" s="118">
        <f>CE62+5199</f>
        <v>9432</v>
      </c>
      <c r="CF56" s="118">
        <f>CF62+4981</f>
        <v>10440</v>
      </c>
      <c r="CG56" s="118">
        <f>7330+3906</f>
        <v>11236</v>
      </c>
      <c r="CH56" s="50">
        <f>SUM(CD56:CG56)</f>
        <v>39734</v>
      </c>
      <c r="CI56" s="64">
        <f>+CI62+9554</f>
        <v>10086</v>
      </c>
      <c r="CJ56" s="119">
        <f>CJ62+3066</f>
        <v>12255</v>
      </c>
      <c r="CK56" s="118">
        <f>CK62+5514</f>
        <v>11403</v>
      </c>
      <c r="CL56" s="118">
        <f>CL62+6371</f>
        <v>13183</v>
      </c>
      <c r="CM56" s="112">
        <f>SUM(CI56:CL56)</f>
        <v>46927</v>
      </c>
      <c r="CN56" s="118">
        <f>CN62+7285</f>
        <v>13252</v>
      </c>
      <c r="CO56" s="119">
        <f>7510+6285</f>
        <v>13795</v>
      </c>
      <c r="CP56" s="64">
        <f>CP62+6365</f>
        <v>13247</v>
      </c>
      <c r="CQ56" s="118">
        <f>CQ62+2344</f>
        <v>12481</v>
      </c>
      <c r="CR56" s="112">
        <f>SUM(CN56:CQ56)</f>
        <v>52775</v>
      </c>
      <c r="CS56" s="64">
        <f t="shared" ref="CS56:CT56" si="304">CS55*CS57</f>
        <v>15888.160774500004</v>
      </c>
      <c r="CT56" s="64">
        <f t="shared" si="304"/>
        <v>17979.575184000001</v>
      </c>
      <c r="CU56" s="64">
        <f>CU55*CU57</f>
        <v>19427.480608319998</v>
      </c>
      <c r="CV56" s="64">
        <f t="shared" ref="CV56" si="305">CV55*CV57</f>
        <v>20183.818943999999</v>
      </c>
      <c r="CW56" s="112">
        <f>SUM(CS56:CV56)</f>
        <v>73479.035510820002</v>
      </c>
      <c r="CX56" s="95"/>
      <c r="CY56" s="95"/>
      <c r="CZ56" s="95"/>
      <c r="DA56" s="95"/>
      <c r="DB56" s="95"/>
      <c r="DC56" s="95"/>
    </row>
    <row r="57" spans="2:107" s="2" customFormat="1" ht="10.15">
      <c r="B57" s="11"/>
      <c r="C57" s="2" t="s">
        <v>23</v>
      </c>
      <c r="D57" s="34">
        <f>D56/D55</f>
        <v>-3.5222052067381319E-2</v>
      </c>
      <c r="E57" s="34">
        <f t="shared" ref="E57:AA57" si="306">E56/E55</f>
        <v>-3.0840400925212026E-3</v>
      </c>
      <c r="F57" s="34">
        <f t="shared" si="306"/>
        <v>-7.6408787010506206E-3</v>
      </c>
      <c r="G57" s="37">
        <f t="shared" si="306"/>
        <v>-7.9908675799086754E-3</v>
      </c>
      <c r="H57" s="37">
        <f t="shared" si="306"/>
        <v>-3.875968992248062E-3</v>
      </c>
      <c r="I57" s="37">
        <f t="shared" si="306"/>
        <v>-3.1914893617021274E-2</v>
      </c>
      <c r="J57" s="37">
        <f t="shared" si="306"/>
        <v>-0.51898734177215189</v>
      </c>
      <c r="K57" s="34">
        <f t="shared" si="306"/>
        <v>-5.7177615571776155E-2</v>
      </c>
      <c r="L57" s="37">
        <f t="shared" si="306"/>
        <v>2.2000000000000002</v>
      </c>
      <c r="M57" s="37">
        <f t="shared" si="306"/>
        <v>0</v>
      </c>
      <c r="N57" s="37">
        <f t="shared" si="306"/>
        <v>0.10337552742616034</v>
      </c>
      <c r="O57" s="37">
        <f t="shared" si="306"/>
        <v>0.10508474576271186</v>
      </c>
      <c r="P57" s="34">
        <f t="shared" si="306"/>
        <v>6.1444969615124918E-2</v>
      </c>
      <c r="Q57" s="37">
        <f t="shared" si="306"/>
        <v>6.280193236714976E-2</v>
      </c>
      <c r="R57" s="37">
        <f t="shared" si="306"/>
        <v>4.465334900117509E-2</v>
      </c>
      <c r="S57" s="37">
        <f t="shared" si="306"/>
        <v>-6.3006300630063005E-3</v>
      </c>
      <c r="T57" s="37">
        <f t="shared" si="306"/>
        <v>-5.4869684499314125E-3</v>
      </c>
      <c r="U57" s="34">
        <f t="shared" si="306"/>
        <v>2.4691358024691357E-2</v>
      </c>
      <c r="V57" s="37">
        <f t="shared" si="306"/>
        <v>3.4813925570228089E-2</v>
      </c>
      <c r="W57" s="37">
        <f t="shared" si="306"/>
        <v>0.13471502590673576</v>
      </c>
      <c r="X57" s="37">
        <f t="shared" si="306"/>
        <v>8.0597014925373134E-2</v>
      </c>
      <c r="Y57" s="37">
        <f t="shared" si="306"/>
        <v>-4.6382189239332098E-3</v>
      </c>
      <c r="Z57" s="34">
        <f t="shared" ref="Z57:AF57" si="307">Z56/Z55</f>
        <v>5.2360515021459227E-2</v>
      </c>
      <c r="AA57" s="37">
        <f t="shared" si="306"/>
        <v>0.11943793911007025</v>
      </c>
      <c r="AB57" s="37">
        <f t="shared" si="307"/>
        <v>0.17636684303350969</v>
      </c>
      <c r="AC57" s="37">
        <f t="shared" si="307"/>
        <v>-9.575289575289575E-2</v>
      </c>
      <c r="AD57" s="37">
        <f t="shared" si="307"/>
        <v>-0.13098236775818639</v>
      </c>
      <c r="AE57" s="34">
        <f t="shared" si="307"/>
        <v>2.0630861040068203E-2</v>
      </c>
      <c r="AF57" s="37">
        <f t="shared" si="307"/>
        <v>-3.7204058624577228E-2</v>
      </c>
      <c r="AG57" s="37">
        <f t="shared" ref="AG57:AO57" si="308">AG56/AG55</f>
        <v>7.3960612691466088E-2</v>
      </c>
      <c r="AH57" s="37">
        <f t="shared" si="308"/>
        <v>6.6772026866851047E-2</v>
      </c>
      <c r="AI57" s="37">
        <f t="shared" si="308"/>
        <v>0.16507177033492823</v>
      </c>
      <c r="AJ57" s="34">
        <f t="shared" si="308"/>
        <v>7.5401187074082221E-2</v>
      </c>
      <c r="AK57" s="37">
        <f t="shared" si="308"/>
        <v>8.2357385719682666E-2</v>
      </c>
      <c r="AL57" s="37">
        <f t="shared" si="308"/>
        <v>0.1464968152866242</v>
      </c>
      <c r="AM57" s="37">
        <f t="shared" si="308"/>
        <v>0.16082224909310761</v>
      </c>
      <c r="AN57" s="37">
        <f t="shared" si="308"/>
        <v>6.0568981339859287E-2</v>
      </c>
      <c r="AO57" s="34">
        <f t="shared" si="308"/>
        <v>0.11387900355871886</v>
      </c>
      <c r="AP57" s="37">
        <f t="shared" ref="AP57:BC57" si="309">AP56/AP55</f>
        <v>8.179254152303353E-2</v>
      </c>
      <c r="AQ57" s="37">
        <f t="shared" si="309"/>
        <v>0.10209349010610841</v>
      </c>
      <c r="AR57" s="37">
        <f t="shared" si="309"/>
        <v>0.20441870441870441</v>
      </c>
      <c r="AS57" s="37">
        <f t="shared" si="309"/>
        <v>0.15974912377790076</v>
      </c>
      <c r="AT57" s="34">
        <f t="shared" si="309"/>
        <v>0.14533739037050294</v>
      </c>
      <c r="AU57" s="37">
        <f t="shared" si="309"/>
        <v>0.15821229050279328</v>
      </c>
      <c r="AV57" s="37">
        <f t="shared" si="309"/>
        <v>7.2394967956325662E-2</v>
      </c>
      <c r="AW57" s="37">
        <f t="shared" si="309"/>
        <v>0.20674461955600745</v>
      </c>
      <c r="AX57" s="37">
        <f t="shared" si="309"/>
        <v>0.15331304935767409</v>
      </c>
      <c r="AY57" s="34">
        <f t="shared" si="309"/>
        <v>0.15313338210192637</v>
      </c>
      <c r="AZ57" s="368">
        <f t="shared" si="309"/>
        <v>0.38009114212475076</v>
      </c>
      <c r="BA57" s="37">
        <f t="shared" si="309"/>
        <v>0.36515397082658024</v>
      </c>
      <c r="BB57" s="37">
        <f t="shared" si="309"/>
        <v>0.36220103173362511</v>
      </c>
      <c r="BC57" s="37">
        <f t="shared" si="309"/>
        <v>0.36520216026857394</v>
      </c>
      <c r="BD57" s="34">
        <f t="shared" ref="BD57:BR57" si="310">BD56/BD55</f>
        <v>0.36841906202723146</v>
      </c>
      <c r="BE57" s="368">
        <f t="shared" si="310"/>
        <v>0.26676068561510091</v>
      </c>
      <c r="BF57" s="409">
        <f t="shared" si="310"/>
        <v>0.18520272830617659</v>
      </c>
      <c r="BG57" s="409">
        <f t="shared" si="310"/>
        <v>0.28094867807153967</v>
      </c>
      <c r="BH57" s="409">
        <f t="shared" si="310"/>
        <v>0.24469886317826334</v>
      </c>
      <c r="BI57" s="34">
        <f t="shared" si="310"/>
        <v>0.24562026777982549</v>
      </c>
      <c r="BJ57" s="410">
        <f t="shared" si="310"/>
        <v>0.25594162612925642</v>
      </c>
      <c r="BK57" s="410">
        <f t="shared" si="310"/>
        <v>0.25543927292756818</v>
      </c>
      <c r="BL57" s="410">
        <f t="shared" si="310"/>
        <v>0.26720547093565433</v>
      </c>
      <c r="BM57" s="410">
        <f t="shared" si="310"/>
        <v>0.23938992042440319</v>
      </c>
      <c r="BN57" s="34">
        <f>BN56/BN55</f>
        <v>0.25430691542046213</v>
      </c>
      <c r="BO57" s="410">
        <f t="shared" si="310"/>
        <v>0.24493224325232388</v>
      </c>
      <c r="BP57" s="410">
        <f t="shared" si="310"/>
        <v>0.24245004541326068</v>
      </c>
      <c r="BQ57" s="410">
        <f t="shared" si="310"/>
        <v>0.29279793517645308</v>
      </c>
      <c r="BR57" s="410">
        <f t="shared" si="310"/>
        <v>0.24853500565436415</v>
      </c>
      <c r="BS57" s="34">
        <f t="shared" ref="BS57:BY57" si="311">BS56/BS55</f>
        <v>0.25812853812853814</v>
      </c>
      <c r="BT57" s="410">
        <f t="shared" si="311"/>
        <v>0.28050851347009959</v>
      </c>
      <c r="BU57" s="410">
        <f t="shared" si="311"/>
        <v>0.2915654577435296</v>
      </c>
      <c r="BV57" s="410">
        <f t="shared" si="311"/>
        <v>0.24158554153752129</v>
      </c>
      <c r="BW57" s="410">
        <f t="shared" si="311"/>
        <v>0.28373239730892985</v>
      </c>
      <c r="BX57" s="34">
        <f t="shared" si="311"/>
        <v>0.27455813199286527</v>
      </c>
      <c r="BY57" s="410">
        <f t="shared" si="311"/>
        <v>0.27008944543828267</v>
      </c>
      <c r="BZ57" s="410">
        <f t="shared" ref="BZ57" si="312">BZ56/BZ55</f>
        <v>0.27202244702060102</v>
      </c>
      <c r="CA57" s="410">
        <f>CA56/CA55</f>
        <v>0.25713734567901236</v>
      </c>
      <c r="CB57" s="410">
        <f>CB56/CB55</f>
        <v>0.25222296586671766</v>
      </c>
      <c r="CC57" s="34">
        <f>CC56/CC55</f>
        <v>0.26233651301513822</v>
      </c>
      <c r="CD57" s="410">
        <f t="shared" ref="CD57:CG57" si="313">CD56/CD55</f>
        <v>0.25749253731343286</v>
      </c>
      <c r="CE57" s="410">
        <f t="shared" si="313"/>
        <v>0.26857256755602382</v>
      </c>
      <c r="CF57" s="410">
        <f t="shared" si="313"/>
        <v>0.27142968567194448</v>
      </c>
      <c r="CG57" s="410">
        <f t="shared" si="313"/>
        <v>0.28390226646789801</v>
      </c>
      <c r="CH57" s="34">
        <f>CH56/CH55</f>
        <v>0.27092779849855786</v>
      </c>
      <c r="CI57" s="410">
        <f>CG56/CG55</f>
        <v>0.28390226646789801</v>
      </c>
      <c r="CJ57" s="410">
        <f t="shared" ref="CJ57:CN57" si="314">CJ56/CJ55</f>
        <v>0.28971631205673759</v>
      </c>
      <c r="CK57" s="410">
        <f t="shared" si="314"/>
        <v>0.24537355827164745</v>
      </c>
      <c r="CL57" s="410">
        <f t="shared" si="314"/>
        <v>0.27969787622260411</v>
      </c>
      <c r="CM57" s="146">
        <f>CM56/CM55</f>
        <v>0.26290814154135761</v>
      </c>
      <c r="CN57" s="410">
        <f t="shared" si="314"/>
        <v>0.25849995123378522</v>
      </c>
      <c r="CO57" s="410">
        <f t="shared" ref="CO57:CQ57" si="315">CO56/CO55</f>
        <v>0.26657519952076369</v>
      </c>
      <c r="CP57" s="410">
        <f t="shared" si="315"/>
        <v>0.23570335575246432</v>
      </c>
      <c r="CQ57" s="410">
        <f t="shared" si="315"/>
        <v>0.22403116081204788</v>
      </c>
      <c r="CR57" s="146">
        <f>CR56/CR55</f>
        <v>0.24554848855657968</v>
      </c>
      <c r="CS57" s="649">
        <v>0.3</v>
      </c>
      <c r="CT57" s="649">
        <v>0.3</v>
      </c>
      <c r="CU57" s="649">
        <v>0.3</v>
      </c>
      <c r="CV57" s="649">
        <v>0.3</v>
      </c>
      <c r="CW57" s="146">
        <f>CW56/CW55</f>
        <v>0.30000000000000016</v>
      </c>
      <c r="CX57" s="384"/>
      <c r="CY57" s="384"/>
      <c r="CZ57" s="384"/>
      <c r="DA57" s="384"/>
      <c r="DB57" s="384"/>
      <c r="DC57" s="384"/>
    </row>
    <row r="58" spans="2:107" s="1" customFormat="1" ht="13.15">
      <c r="B58" s="12" t="s">
        <v>128</v>
      </c>
      <c r="C58" s="13"/>
      <c r="D58" s="772">
        <f>D55-D56</f>
        <v>-676</v>
      </c>
      <c r="E58" s="772">
        <f t="shared" ref="E58:U58" si="316">E55-E56</f>
        <v>-1301</v>
      </c>
      <c r="F58" s="772">
        <f t="shared" si="316"/>
        <v>-2110</v>
      </c>
      <c r="G58" s="773">
        <f t="shared" si="316"/>
        <v>-883</v>
      </c>
      <c r="H58" s="773">
        <f t="shared" si="316"/>
        <v>-518</v>
      </c>
      <c r="I58" s="773">
        <f t="shared" si="316"/>
        <v>-97</v>
      </c>
      <c r="J58" s="773">
        <f t="shared" si="316"/>
        <v>-240</v>
      </c>
      <c r="K58" s="772">
        <f t="shared" si="316"/>
        <v>-1738</v>
      </c>
      <c r="L58" s="773">
        <f t="shared" si="316"/>
        <v>-6</v>
      </c>
      <c r="M58" s="773">
        <f t="shared" si="316"/>
        <v>707</v>
      </c>
      <c r="N58" s="773">
        <f t="shared" si="316"/>
        <v>425</v>
      </c>
      <c r="O58" s="773">
        <f t="shared" si="316"/>
        <v>264</v>
      </c>
      <c r="P58" s="772">
        <f t="shared" si="316"/>
        <v>1390</v>
      </c>
      <c r="Q58" s="773">
        <f t="shared" si="316"/>
        <v>970</v>
      </c>
      <c r="R58" s="773">
        <f t="shared" si="316"/>
        <v>813</v>
      </c>
      <c r="S58" s="773">
        <f t="shared" si="316"/>
        <v>1118</v>
      </c>
      <c r="T58" s="773">
        <f t="shared" si="316"/>
        <v>733</v>
      </c>
      <c r="U58" s="772">
        <f t="shared" si="316"/>
        <v>3634</v>
      </c>
      <c r="V58" s="773">
        <f t="shared" ref="V58:AE58" si="317">V55-V56</f>
        <v>804</v>
      </c>
      <c r="W58" s="773">
        <f t="shared" si="317"/>
        <v>501</v>
      </c>
      <c r="X58" s="773">
        <f t="shared" si="317"/>
        <v>924</v>
      </c>
      <c r="Y58" s="773">
        <f t="shared" si="317"/>
        <v>1083</v>
      </c>
      <c r="Z58" s="772">
        <f t="shared" si="317"/>
        <v>3312</v>
      </c>
      <c r="AA58" s="773">
        <f t="shared" si="317"/>
        <v>1128</v>
      </c>
      <c r="AB58" s="773">
        <f t="shared" si="317"/>
        <v>1401</v>
      </c>
      <c r="AC58" s="773">
        <f t="shared" si="317"/>
        <v>1419</v>
      </c>
      <c r="AD58" s="773">
        <f t="shared" si="317"/>
        <v>1796</v>
      </c>
      <c r="AE58" s="772">
        <f t="shared" si="317"/>
        <v>5744</v>
      </c>
      <c r="AF58" s="773">
        <f t="shared" ref="AF58:AO58" si="318">AF55-AF56</f>
        <v>1840</v>
      </c>
      <c r="AG58" s="773">
        <f t="shared" si="318"/>
        <v>2116</v>
      </c>
      <c r="AH58" s="773">
        <f t="shared" si="318"/>
        <v>2362</v>
      </c>
      <c r="AI58" s="773">
        <f t="shared" si="318"/>
        <v>2094</v>
      </c>
      <c r="AJ58" s="772">
        <f t="shared" si="318"/>
        <v>8412</v>
      </c>
      <c r="AK58" s="773">
        <f t="shared" si="318"/>
        <v>2429</v>
      </c>
      <c r="AL58" s="773">
        <f t="shared" si="318"/>
        <v>2680</v>
      </c>
      <c r="AM58" s="773">
        <f t="shared" si="318"/>
        <v>2776</v>
      </c>
      <c r="AN58" s="773">
        <f t="shared" si="318"/>
        <v>3071</v>
      </c>
      <c r="AO58" s="772">
        <f t="shared" si="318"/>
        <v>10956</v>
      </c>
      <c r="AP58" s="773">
        <f t="shared" ref="AP58:AY58" si="319">AP55-AP56</f>
        <v>2930</v>
      </c>
      <c r="AQ58" s="773">
        <f t="shared" si="319"/>
        <v>3131</v>
      </c>
      <c r="AR58" s="773">
        <f t="shared" si="319"/>
        <v>3709</v>
      </c>
      <c r="AS58" s="773">
        <f t="shared" si="319"/>
        <v>4555</v>
      </c>
      <c r="AT58" s="772">
        <f t="shared" si="319"/>
        <v>14325</v>
      </c>
      <c r="AU58" s="773">
        <f t="shared" si="319"/>
        <v>3767</v>
      </c>
      <c r="AV58" s="773">
        <f t="shared" si="319"/>
        <v>3908</v>
      </c>
      <c r="AW58" s="773">
        <f t="shared" si="319"/>
        <v>4681</v>
      </c>
      <c r="AX58" s="773">
        <f t="shared" si="319"/>
        <v>5009</v>
      </c>
      <c r="AY58" s="772">
        <f t="shared" si="319"/>
        <v>17365</v>
      </c>
      <c r="AZ58" s="773">
        <f t="shared" ref="AZ58:BI58" si="320">AZ55-AZ56</f>
        <v>4353</v>
      </c>
      <c r="BA58" s="773">
        <f t="shared" si="320"/>
        <v>3917</v>
      </c>
      <c r="BB58" s="773">
        <f t="shared" si="320"/>
        <v>4080</v>
      </c>
      <c r="BC58" s="773">
        <f t="shared" si="320"/>
        <v>4349</v>
      </c>
      <c r="BD58" s="772">
        <f t="shared" si="320"/>
        <v>16699</v>
      </c>
      <c r="BE58" s="773">
        <f t="shared" si="320"/>
        <v>6759</v>
      </c>
      <c r="BF58" s="773">
        <f>BF55-BF56</f>
        <v>8601</v>
      </c>
      <c r="BG58" s="773">
        <f t="shared" si="320"/>
        <v>9247</v>
      </c>
      <c r="BH58" s="773">
        <f t="shared" si="320"/>
        <v>9368</v>
      </c>
      <c r="BI58" s="772">
        <f t="shared" si="320"/>
        <v>33975</v>
      </c>
      <c r="BJ58" s="774">
        <f t="shared" ref="BJ58:BN58" si="321">BJ55-BJ56</f>
        <v>10707</v>
      </c>
      <c r="BK58" s="773">
        <f t="shared" si="321"/>
        <v>10814</v>
      </c>
      <c r="BL58" s="773">
        <f t="shared" si="321"/>
        <v>11787</v>
      </c>
      <c r="BM58" s="773">
        <f t="shared" si="321"/>
        <v>12617</v>
      </c>
      <c r="BN58" s="772">
        <f t="shared" si="321"/>
        <v>45925</v>
      </c>
      <c r="BO58" s="774">
        <f t="shared" ref="BO58:BS58" si="322">BO55-BO56</f>
        <v>13484</v>
      </c>
      <c r="BP58" s="773">
        <f t="shared" si="322"/>
        <v>13345</v>
      </c>
      <c r="BQ58" s="774">
        <f t="shared" si="322"/>
        <v>14248</v>
      </c>
      <c r="BR58" s="774">
        <f t="shared" si="322"/>
        <v>14619</v>
      </c>
      <c r="BS58" s="772">
        <f t="shared" si="322"/>
        <v>55696</v>
      </c>
      <c r="BT58" s="774">
        <f t="shared" ref="BT58:BX58" si="323">BT55-BT56</f>
        <v>15677</v>
      </c>
      <c r="BU58" s="773">
        <f t="shared" si="323"/>
        <v>16916</v>
      </c>
      <c r="BV58" s="774">
        <f>BV55-BV56</f>
        <v>17373</v>
      </c>
      <c r="BW58" s="774">
        <f t="shared" si="323"/>
        <v>17141</v>
      </c>
      <c r="BX58" s="772">
        <f t="shared" si="323"/>
        <v>67107</v>
      </c>
      <c r="BY58" s="774">
        <f>BY55-BY56</f>
        <v>20401</v>
      </c>
      <c r="BZ58" s="773">
        <f t="shared" ref="BZ58:CD58" si="324">BZ55-BZ56</f>
        <v>19718</v>
      </c>
      <c r="CA58" s="773">
        <f t="shared" si="324"/>
        <v>23106</v>
      </c>
      <c r="CB58" s="773">
        <f t="shared" si="324"/>
        <v>23463</v>
      </c>
      <c r="CC58" s="772">
        <f t="shared" si="324"/>
        <v>86688</v>
      </c>
      <c r="CD58" s="773">
        <f t="shared" si="324"/>
        <v>24874</v>
      </c>
      <c r="CE58" s="773">
        <f>CE55-CE56</f>
        <v>25687</v>
      </c>
      <c r="CF58" s="773">
        <f t="shared" ref="CF58:CI58" si="325">CF55-CF56</f>
        <v>28023</v>
      </c>
      <c r="CG58" s="773">
        <f t="shared" si="325"/>
        <v>28341</v>
      </c>
      <c r="CH58" s="772">
        <f t="shared" si="325"/>
        <v>106925</v>
      </c>
      <c r="CI58" s="775">
        <f t="shared" si="325"/>
        <v>32501</v>
      </c>
      <c r="CJ58" s="773">
        <f>CJ55-CJ56</f>
        <v>30045</v>
      </c>
      <c r="CK58" s="773">
        <f t="shared" ref="CK58:CL58" si="326">CK55-CK56</f>
        <v>35069</v>
      </c>
      <c r="CL58" s="773">
        <f t="shared" si="326"/>
        <v>33950</v>
      </c>
      <c r="CM58" s="776">
        <f t="shared" ref="CM58:CN58" si="327">CM55-CM56</f>
        <v>131565</v>
      </c>
      <c r="CN58" s="775">
        <f t="shared" si="327"/>
        <v>38013</v>
      </c>
      <c r="CO58" s="773">
        <f>CO55-CO56</f>
        <v>37954</v>
      </c>
      <c r="CP58" s="775">
        <f t="shared" ref="CP58:CS58" si="328">CP55-CP56</f>
        <v>42955</v>
      </c>
      <c r="CQ58" s="773">
        <f t="shared" si="328"/>
        <v>43230</v>
      </c>
      <c r="CR58" s="776">
        <f t="shared" si="328"/>
        <v>162152</v>
      </c>
      <c r="CS58" s="775">
        <f t="shared" si="328"/>
        <v>37072.375140500008</v>
      </c>
      <c r="CT58" s="775">
        <f t="shared" ref="CT58:CW58" si="329">CT55-CT56</f>
        <v>41952.342096000008</v>
      </c>
      <c r="CU58" s="775">
        <f t="shared" si="329"/>
        <v>45330.788086080007</v>
      </c>
      <c r="CV58" s="775">
        <f t="shared" si="329"/>
        <v>47095.577535999997</v>
      </c>
      <c r="CW58" s="776">
        <f t="shared" si="329"/>
        <v>171451.08285857987</v>
      </c>
      <c r="CX58" s="771"/>
      <c r="CY58" s="771"/>
      <c r="CZ58" s="771"/>
      <c r="DA58" s="771"/>
      <c r="DB58" s="771"/>
      <c r="DC58" s="771"/>
    </row>
    <row r="59" spans="2:107" s="2" customFormat="1" ht="10.15">
      <c r="B59" s="26"/>
      <c r="C59" s="9" t="s">
        <v>24</v>
      </c>
      <c r="D59" s="34">
        <f t="shared" ref="D59:AI59" si="330">D58/D4</f>
        <v>-4.8889853185795903E-2</v>
      </c>
      <c r="E59" s="34">
        <f t="shared" si="330"/>
        <v>-6.5511858603152229E-2</v>
      </c>
      <c r="F59" s="34">
        <f t="shared" si="330"/>
        <v>-8.3736804508294307E-2</v>
      </c>
      <c r="G59" s="37">
        <f t="shared" si="330"/>
        <v>-0.12692252407646976</v>
      </c>
      <c r="H59" s="37">
        <f t="shared" si="330"/>
        <v>-6.8283680464012661E-2</v>
      </c>
      <c r="I59" s="37">
        <f t="shared" si="330"/>
        <v>-1.2013871686896211E-2</v>
      </c>
      <c r="J59" s="37">
        <f t="shared" si="330"/>
        <v>-2.9702970297029702E-2</v>
      </c>
      <c r="K59" s="34">
        <f t="shared" si="330"/>
        <v>-5.6617910545004396E-2</v>
      </c>
      <c r="L59" s="37">
        <f t="shared" si="330"/>
        <v>-7.0331731332786307E-4</v>
      </c>
      <c r="M59" s="37">
        <f t="shared" si="330"/>
        <v>7.3645833333333327E-2</v>
      </c>
      <c r="N59" s="37">
        <f t="shared" si="330"/>
        <v>4.4114594145733863E-2</v>
      </c>
      <c r="O59" s="37">
        <f t="shared" si="330"/>
        <v>2.6450255485422302E-2</v>
      </c>
      <c r="P59" s="34">
        <f t="shared" si="330"/>
        <v>3.6825094049700628E-2</v>
      </c>
      <c r="Q59" s="37">
        <f t="shared" si="330"/>
        <v>9.4698818705457391E-2</v>
      </c>
      <c r="R59" s="37">
        <f t="shared" si="330"/>
        <v>7.4287280701754388E-2</v>
      </c>
      <c r="S59" s="37">
        <f t="shared" si="330"/>
        <v>9.7293534070141852E-2</v>
      </c>
      <c r="T59" s="37">
        <f t="shared" si="330"/>
        <v>6.149844785636379E-2</v>
      </c>
      <c r="U59" s="34">
        <f t="shared" si="330"/>
        <v>8.1485301701908194E-2</v>
      </c>
      <c r="V59" s="37">
        <f t="shared" si="330"/>
        <v>6.3562336943631906E-2</v>
      </c>
      <c r="W59" s="37">
        <f t="shared" si="330"/>
        <v>3.5947477936428211E-2</v>
      </c>
      <c r="X59" s="37">
        <f t="shared" si="330"/>
        <v>5.9501577693347928E-2</v>
      </c>
      <c r="Y59" s="37">
        <f t="shared" si="330"/>
        <v>6.8310836381985623E-2</v>
      </c>
      <c r="Z59" s="34">
        <f t="shared" si="330"/>
        <v>5.7133985405992856E-2</v>
      </c>
      <c r="AA59" s="37">
        <f t="shared" si="330"/>
        <v>6.8223055521954762E-2</v>
      </c>
      <c r="AB59" s="37">
        <f t="shared" si="330"/>
        <v>7.8615116996801529E-2</v>
      </c>
      <c r="AC59" s="37">
        <f t="shared" si="330"/>
        <v>7.0015295801055907E-2</v>
      </c>
      <c r="AD59" s="37">
        <f t="shared" si="330"/>
        <v>7.9879025084504535E-2</v>
      </c>
      <c r="AE59" s="34">
        <f t="shared" si="330"/>
        <v>7.4494851243742374E-2</v>
      </c>
      <c r="AF59" s="37">
        <f t="shared" si="330"/>
        <v>7.7467160660154938E-2</v>
      </c>
      <c r="AG59" s="37">
        <f t="shared" si="330"/>
        <v>8.2469405253722039E-2</v>
      </c>
      <c r="AH59" s="37">
        <f t="shared" si="330"/>
        <v>8.7455568720379143E-2</v>
      </c>
      <c r="AI59" s="37">
        <f t="shared" si="330"/>
        <v>7.4857898688020591E-2</v>
      </c>
      <c r="AJ59" s="34">
        <f t="shared" ref="AJ59:BO59" si="331">AJ58/AJ4</f>
        <v>8.0581659338448713E-2</v>
      </c>
      <c r="AK59" s="37">
        <f t="shared" si="331"/>
        <v>8.3935173986661601E-2</v>
      </c>
      <c r="AL59" s="37">
        <f t="shared" si="331"/>
        <v>8.6173633440514472E-2</v>
      </c>
      <c r="AM59" s="37">
        <f t="shared" si="331"/>
        <v>8.5399618531963331E-2</v>
      </c>
      <c r="AN59" s="37">
        <f t="shared" si="331"/>
        <v>8.6746511496525625E-2</v>
      </c>
      <c r="AO59" s="34">
        <f t="shared" si="331"/>
        <v>8.5629205843044384E-2</v>
      </c>
      <c r="AP59" s="37">
        <f t="shared" si="331"/>
        <v>7.9253448742223426E-2</v>
      </c>
      <c r="AQ59" s="37">
        <f t="shared" si="331"/>
        <v>8.0600319209184992E-2</v>
      </c>
      <c r="AR59" s="37">
        <f t="shared" si="331"/>
        <v>9.1911582494919958E-2</v>
      </c>
      <c r="AS59" s="37">
        <f t="shared" si="331"/>
        <v>0.10756115991310097</v>
      </c>
      <c r="AT59" s="34">
        <f t="shared" si="331"/>
        <v>9.0368286251403626E-2</v>
      </c>
      <c r="AU59" s="37">
        <f t="shared" si="331"/>
        <v>8.2611460777648638E-2</v>
      </c>
      <c r="AV59" s="37">
        <f t="shared" si="331"/>
        <v>8.2532575869569802E-2</v>
      </c>
      <c r="AW59" s="37">
        <f t="shared" si="331"/>
        <v>9.4980115250385522E-2</v>
      </c>
      <c r="AX59" s="37">
        <f t="shared" si="331"/>
        <v>9.8098352950392667E-2</v>
      </c>
      <c r="AY59" s="34">
        <f t="shared" si="331"/>
        <v>8.9836777981841226E-2</v>
      </c>
      <c r="AZ59" s="37">
        <f t="shared" si="331"/>
        <v>8.3821150735577291E-2</v>
      </c>
      <c r="BA59" s="37">
        <f t="shared" si="331"/>
        <v>7.215754181711001E-2</v>
      </c>
      <c r="BB59" s="37">
        <f t="shared" si="331"/>
        <v>7.2662511130899374E-2</v>
      </c>
      <c r="BC59" s="37">
        <f t="shared" si="331"/>
        <v>7.4725085910652925E-2</v>
      </c>
      <c r="BD59" s="34">
        <f t="shared" si="331"/>
        <v>7.5709764877632993E-2</v>
      </c>
      <c r="BE59" s="37">
        <f t="shared" si="331"/>
        <v>0.11438096527448724</v>
      </c>
      <c r="BF59" s="37">
        <f t="shared" si="331"/>
        <v>0.14078996906254604</v>
      </c>
      <c r="BG59" s="37">
        <f t="shared" si="331"/>
        <v>0.14708595788000253</v>
      </c>
      <c r="BH59" s="37">
        <f t="shared" si="331"/>
        <v>0.1437052263418675</v>
      </c>
      <c r="BI59" s="34">
        <f t="shared" si="331"/>
        <v>0.13686351917499195</v>
      </c>
      <c r="BJ59" s="122">
        <f t="shared" si="331"/>
        <v>0.15996354617981892</v>
      </c>
      <c r="BK59" s="37">
        <f t="shared" si="331"/>
        <v>0.15780180653445985</v>
      </c>
      <c r="BL59" s="37">
        <f t="shared" si="331"/>
        <v>0.16618260771486579</v>
      </c>
      <c r="BM59" s="37">
        <f t="shared" si="331"/>
        <v>0.17347008923047311</v>
      </c>
      <c r="BN59" s="34">
        <f t="shared" si="331"/>
        <v>0.16453260916295268</v>
      </c>
      <c r="BO59" s="122">
        <f t="shared" si="331"/>
        <v>0.18174466249730428</v>
      </c>
      <c r="BP59" s="37">
        <f t="shared" ref="BP59:CU59" si="332">BP58/BP4</f>
        <v>0.17658422981752742</v>
      </c>
      <c r="BQ59" s="122">
        <f t="shared" si="332"/>
        <v>0.17909172040172455</v>
      </c>
      <c r="BR59" s="122">
        <f t="shared" si="332"/>
        <v>0.17548134632928411</v>
      </c>
      <c r="BS59" s="34">
        <f t="shared" si="332"/>
        <v>0.17815308831526086</v>
      </c>
      <c r="BT59" s="122">
        <f t="shared" si="332"/>
        <v>0.17400714808977291</v>
      </c>
      <c r="BU59" s="37">
        <f t="shared" si="332"/>
        <v>0.17893144628142882</v>
      </c>
      <c r="BV59" s="122">
        <f t="shared" si="332"/>
        <v>0.17748015568972386</v>
      </c>
      <c r="BW59" s="122">
        <f t="shared" si="332"/>
        <v>0.1668126435439293</v>
      </c>
      <c r="BX59" s="34">
        <f t="shared" si="332"/>
        <v>0.17417903009790384</v>
      </c>
      <c r="BY59" s="122">
        <f t="shared" si="332"/>
        <v>0.19393876018366241</v>
      </c>
      <c r="BZ59" s="37">
        <f t="shared" si="332"/>
        <v>0.18060415101943614</v>
      </c>
      <c r="CA59" s="37">
        <f t="shared" si="332"/>
        <v>0.20182380378386877</v>
      </c>
      <c r="CB59" s="37">
        <f t="shared" si="332"/>
        <v>0.1922913012834172</v>
      </c>
      <c r="CC59" s="34">
        <f t="shared" si="332"/>
        <v>0.19226614915442194</v>
      </c>
      <c r="CD59" s="37">
        <f t="shared" si="332"/>
        <v>0.19761972860456986</v>
      </c>
      <c r="CE59" s="37">
        <f t="shared" si="332"/>
        <v>0.19696202919887129</v>
      </c>
      <c r="CF59" s="37">
        <f t="shared" si="332"/>
        <v>0.20656636763697747</v>
      </c>
      <c r="CG59" s="37">
        <f t="shared" si="332"/>
        <v>0.19550236263925774</v>
      </c>
      <c r="CH59" s="34">
        <f t="shared" si="332"/>
        <v>0.19914883313776982</v>
      </c>
      <c r="CI59" s="5">
        <f t="shared" si="332"/>
        <v>0.21728753275926618</v>
      </c>
      <c r="CJ59" s="37">
        <f t="shared" si="332"/>
        <v>0.19561056277507227</v>
      </c>
      <c r="CK59" s="37">
        <f t="shared" si="332"/>
        <v>0.21424556773334311</v>
      </c>
      <c r="CL59" s="37">
        <f t="shared" si="332"/>
        <v>0.19864604726547186</v>
      </c>
      <c r="CM59" s="146">
        <f t="shared" si="332"/>
        <v>0.20629071836805093</v>
      </c>
      <c r="CN59" s="5">
        <f t="shared" si="332"/>
        <v>0.20938148929490111</v>
      </c>
      <c r="CO59" s="37">
        <f t="shared" si="332"/>
        <v>0.20252934898612593</v>
      </c>
      <c r="CP59" s="5">
        <f t="shared" si="332"/>
        <v>0.22619323447636699</v>
      </c>
      <c r="CQ59" s="37">
        <f t="shared" si="332"/>
        <v>0.22439424454456741</v>
      </c>
      <c r="CR59" s="146">
        <f t="shared" si="332"/>
        <v>0.21576968882442565</v>
      </c>
      <c r="CS59" s="5">
        <f t="shared" si="332"/>
        <v>0.19245218515520468</v>
      </c>
      <c r="CT59" s="5">
        <f t="shared" si="332"/>
        <v>0.21220340777117833</v>
      </c>
      <c r="CU59" s="5">
        <f t="shared" si="332"/>
        <v>0.22175385785166776</v>
      </c>
      <c r="CV59" s="5">
        <f t="shared" ref="CV59:CW59" si="333">CV58/CV4</f>
        <v>0.22645712220769942</v>
      </c>
      <c r="CW59" s="146">
        <f t="shared" si="333"/>
        <v>0.21358856359910167</v>
      </c>
      <c r="CX59" s="384"/>
      <c r="CY59" s="384"/>
      <c r="CZ59" s="384"/>
      <c r="DA59" s="384"/>
      <c r="DB59" s="384"/>
      <c r="DC59" s="384"/>
    </row>
    <row r="60" spans="2:107">
      <c r="B60" s="7"/>
      <c r="C60" s="4"/>
      <c r="D60" s="32"/>
      <c r="E60" s="32"/>
      <c r="F60" s="32"/>
      <c r="K60" s="32"/>
      <c r="P60" s="32"/>
      <c r="S60" s="85"/>
      <c r="T60" s="4"/>
      <c r="U60" s="32"/>
      <c r="Z60" s="32"/>
      <c r="AE60" s="32"/>
      <c r="AJ60" s="32"/>
      <c r="AO60" s="32"/>
      <c r="AT60" s="32"/>
      <c r="AU60" s="85"/>
      <c r="AV60" s="4"/>
      <c r="AY60" s="32"/>
      <c r="AZ60" s="366"/>
      <c r="BA60" s="85"/>
      <c r="BD60" s="32"/>
      <c r="BE60" s="85"/>
      <c r="BI60" s="32"/>
      <c r="BJ60" s="450"/>
      <c r="BN60" s="32"/>
      <c r="BO60" s="450"/>
      <c r="BQ60" s="142"/>
      <c r="BR60" s="142"/>
      <c r="BS60" s="32"/>
      <c r="BT60" s="450"/>
      <c r="BV60" s="142"/>
      <c r="BW60" s="450"/>
      <c r="BX60" s="32"/>
      <c r="BY60" s="450"/>
      <c r="CB60" s="450"/>
      <c r="CC60" s="32"/>
      <c r="CD60" s="450"/>
      <c r="CH60" s="32"/>
      <c r="CI60" s="450"/>
      <c r="CM60" s="32"/>
      <c r="CN60" s="450"/>
      <c r="CR60" s="32"/>
      <c r="CS60" s="450"/>
      <c r="CW60" s="32"/>
    </row>
    <row r="61" spans="2:107">
      <c r="B61" s="7" t="s">
        <v>25</v>
      </c>
      <c r="C61" s="4"/>
      <c r="D61" s="50">
        <f t="shared" ref="D61:AI61" si="334">D42+D47</f>
        <v>-653</v>
      </c>
      <c r="E61" s="50">
        <f t="shared" si="334"/>
        <v>-1297</v>
      </c>
      <c r="F61" s="50">
        <f t="shared" si="334"/>
        <v>-2140</v>
      </c>
      <c r="G61" s="64">
        <f t="shared" si="334"/>
        <v>-912</v>
      </c>
      <c r="H61" s="64">
        <f t="shared" si="334"/>
        <v>-553</v>
      </c>
      <c r="I61" s="64">
        <f t="shared" si="334"/>
        <v>-131</v>
      </c>
      <c r="J61" s="64">
        <f t="shared" si="334"/>
        <v>-205</v>
      </c>
      <c r="K61" s="50">
        <f t="shared" si="334"/>
        <v>-1801</v>
      </c>
      <c r="L61" s="64">
        <f t="shared" si="334"/>
        <v>-43</v>
      </c>
      <c r="M61" s="64">
        <f t="shared" si="334"/>
        <v>657</v>
      </c>
      <c r="N61" s="64">
        <f t="shared" si="334"/>
        <v>395</v>
      </c>
      <c r="O61" s="64">
        <f t="shared" si="334"/>
        <v>244</v>
      </c>
      <c r="P61" s="50">
        <f t="shared" si="334"/>
        <v>1253</v>
      </c>
      <c r="Q61" s="64">
        <f t="shared" si="334"/>
        <v>984</v>
      </c>
      <c r="R61" s="64">
        <f t="shared" si="334"/>
        <v>676</v>
      </c>
      <c r="S61" s="64">
        <f t="shared" si="334"/>
        <v>879</v>
      </c>
      <c r="T61" s="64">
        <f t="shared" si="334"/>
        <v>437</v>
      </c>
      <c r="U61" s="50">
        <f t="shared" si="334"/>
        <v>2976</v>
      </c>
      <c r="V61" s="64">
        <f t="shared" si="334"/>
        <v>521</v>
      </c>
      <c r="W61" s="64">
        <f t="shared" si="334"/>
        <v>-31</v>
      </c>
      <c r="X61" s="64">
        <f t="shared" si="334"/>
        <v>258</v>
      </c>
      <c r="Y61" s="64">
        <f t="shared" si="334"/>
        <v>336</v>
      </c>
      <c r="Z61" s="50">
        <f t="shared" si="334"/>
        <v>1084</v>
      </c>
      <c r="AA61" s="64">
        <f t="shared" si="334"/>
        <v>409</v>
      </c>
      <c r="AB61" s="64">
        <f t="shared" si="334"/>
        <v>726</v>
      </c>
      <c r="AC61" s="64">
        <f t="shared" si="334"/>
        <v>50</v>
      </c>
      <c r="AD61" s="64">
        <f t="shared" si="334"/>
        <v>158</v>
      </c>
      <c r="AE61" s="50">
        <f t="shared" si="334"/>
        <v>1343</v>
      </c>
      <c r="AF61" s="64">
        <f t="shared" si="334"/>
        <v>133</v>
      </c>
      <c r="AG61" s="64">
        <f t="shared" si="334"/>
        <v>457</v>
      </c>
      <c r="AH61" s="64">
        <f t="shared" si="334"/>
        <v>439</v>
      </c>
      <c r="AI61" s="64">
        <f t="shared" si="334"/>
        <v>708</v>
      </c>
      <c r="AJ61" s="50">
        <f t="shared" ref="AJ61:BO61" si="335">AJ42+AJ47</f>
        <v>1737</v>
      </c>
      <c r="AK61" s="64">
        <f t="shared" si="335"/>
        <v>591</v>
      </c>
      <c r="AL61" s="64">
        <f t="shared" si="335"/>
        <v>1099</v>
      </c>
      <c r="AM61" s="64">
        <f t="shared" si="335"/>
        <v>1370</v>
      </c>
      <c r="AN61" s="64">
        <f t="shared" si="335"/>
        <v>1052</v>
      </c>
      <c r="AO61" s="50">
        <f t="shared" si="335"/>
        <v>4112</v>
      </c>
      <c r="AP61" s="64">
        <f t="shared" si="335"/>
        <v>847</v>
      </c>
      <c r="AQ61" s="64">
        <f t="shared" si="335"/>
        <v>1007</v>
      </c>
      <c r="AR61" s="64">
        <f t="shared" si="335"/>
        <v>2223</v>
      </c>
      <c r="AS61" s="64">
        <f t="shared" si="335"/>
        <v>2998</v>
      </c>
      <c r="AT61" s="50">
        <f t="shared" si="335"/>
        <v>7075</v>
      </c>
      <c r="AU61" s="64">
        <f t="shared" si="335"/>
        <v>1752</v>
      </c>
      <c r="AV61" s="64">
        <f t="shared" si="335"/>
        <v>657</v>
      </c>
      <c r="AW61" s="64">
        <f t="shared" si="335"/>
        <v>3729</v>
      </c>
      <c r="AX61" s="64">
        <f t="shared" si="335"/>
        <v>2712</v>
      </c>
      <c r="AY61" s="50">
        <f t="shared" si="335"/>
        <v>8850</v>
      </c>
      <c r="AZ61" s="64">
        <f t="shared" si="335"/>
        <v>3507</v>
      </c>
      <c r="BA61" s="64">
        <f t="shared" si="335"/>
        <v>2867</v>
      </c>
      <c r="BB61" s="64">
        <f t="shared" si="335"/>
        <v>2922</v>
      </c>
      <c r="BC61" s="64">
        <f t="shared" si="335"/>
        <v>-157</v>
      </c>
      <c r="BD61" s="50">
        <f t="shared" si="335"/>
        <v>9139</v>
      </c>
      <c r="BE61" s="64">
        <f t="shared" si="335"/>
        <v>4560</v>
      </c>
      <c r="BF61" s="64">
        <f t="shared" si="335"/>
        <v>6344</v>
      </c>
      <c r="BG61" s="64">
        <f t="shared" si="335"/>
        <v>8666</v>
      </c>
      <c r="BH61" s="64">
        <f t="shared" si="335"/>
        <v>8770</v>
      </c>
      <c r="BI61" s="50">
        <f t="shared" si="335"/>
        <v>28340</v>
      </c>
      <c r="BJ61" s="64">
        <f t="shared" si="335"/>
        <v>7853</v>
      </c>
      <c r="BK61" s="64">
        <f t="shared" si="335"/>
        <v>10783</v>
      </c>
      <c r="BL61" s="64">
        <f t="shared" si="335"/>
        <v>11633</v>
      </c>
      <c r="BM61" s="64">
        <f t="shared" si="335"/>
        <v>11801</v>
      </c>
      <c r="BN61" s="50">
        <f t="shared" si="335"/>
        <v>41582</v>
      </c>
      <c r="BO61" s="64">
        <f t="shared" si="335"/>
        <v>10863</v>
      </c>
      <c r="BP61" s="64">
        <f t="shared" ref="BP61:CR61" si="336">BP42+BP47</f>
        <v>12579</v>
      </c>
      <c r="BQ61" s="64">
        <f t="shared" si="336"/>
        <v>14377</v>
      </c>
      <c r="BR61" s="64">
        <f t="shared" si="336"/>
        <v>14861</v>
      </c>
      <c r="BS61" s="50">
        <f t="shared" si="336"/>
        <v>52680</v>
      </c>
      <c r="BT61" s="64">
        <f t="shared" si="336"/>
        <v>12337</v>
      </c>
      <c r="BU61" s="64">
        <f t="shared" si="336"/>
        <v>13146</v>
      </c>
      <c r="BV61" s="64">
        <f t="shared" si="336"/>
        <v>12805</v>
      </c>
      <c r="BW61" s="64">
        <f t="shared" si="336"/>
        <v>15253</v>
      </c>
      <c r="BX61" s="50">
        <f t="shared" si="336"/>
        <v>53541</v>
      </c>
      <c r="BY61" s="64">
        <f t="shared" si="336"/>
        <v>16933</v>
      </c>
      <c r="BZ61" s="64">
        <f t="shared" si="336"/>
        <v>14630</v>
      </c>
      <c r="CA61" s="64">
        <f t="shared" si="336"/>
        <v>18995</v>
      </c>
      <c r="CB61" s="64">
        <f t="shared" si="336"/>
        <v>20766</v>
      </c>
      <c r="CC61" s="50">
        <f t="shared" si="336"/>
        <v>71324</v>
      </c>
      <c r="CD61" s="64">
        <f t="shared" si="336"/>
        <v>18006</v>
      </c>
      <c r="CE61" s="64">
        <f t="shared" si="336"/>
        <v>18915</v>
      </c>
      <c r="CF61" s="64">
        <f t="shared" si="336"/>
        <v>22301</v>
      </c>
      <c r="CG61" s="64">
        <f t="shared" si="336"/>
        <v>26341</v>
      </c>
      <c r="CH61" s="50">
        <f t="shared" si="336"/>
        <v>85563</v>
      </c>
      <c r="CI61" s="64">
        <f t="shared" si="336"/>
        <v>18535</v>
      </c>
      <c r="CJ61" s="64">
        <f t="shared" si="336"/>
        <v>27221</v>
      </c>
      <c r="CK61" s="64">
        <f t="shared" si="336"/>
        <v>29349</v>
      </c>
      <c r="CL61" s="64">
        <f t="shared" si="336"/>
        <v>24371</v>
      </c>
      <c r="CM61" s="112">
        <f t="shared" si="336"/>
        <v>99476</v>
      </c>
      <c r="CN61" s="64">
        <f t="shared" si="336"/>
        <v>28163</v>
      </c>
      <c r="CO61" s="64">
        <f t="shared" ref="CO61" si="337">CO42+CO47</f>
        <v>27243</v>
      </c>
      <c r="CP61" s="64">
        <f t="shared" si="336"/>
        <v>32451</v>
      </c>
      <c r="CQ61" s="64">
        <f t="shared" ref="CQ61" si="338">CQ42+CQ47</f>
        <v>35978</v>
      </c>
      <c r="CR61" s="112">
        <f t="shared" si="336"/>
        <v>123835</v>
      </c>
      <c r="CS61" s="64">
        <f t="shared" ref="CS61:CW61" si="339">CS42+CS47</f>
        <v>26160.535915000015</v>
      </c>
      <c r="CT61" s="64">
        <f t="shared" si="339"/>
        <v>33696.917280000009</v>
      </c>
      <c r="CU61" s="64">
        <f t="shared" si="339"/>
        <v>38573.268694400002</v>
      </c>
      <c r="CV61" s="64">
        <f t="shared" si="339"/>
        <v>41094.396479999996</v>
      </c>
      <c r="CW61" s="112">
        <f t="shared" si="339"/>
        <v>139525.11836939986</v>
      </c>
    </row>
    <row r="62" spans="2:107">
      <c r="B62" s="7"/>
      <c r="C62" s="4" t="s">
        <v>22</v>
      </c>
      <c r="D62" s="50">
        <v>23</v>
      </c>
      <c r="E62" s="50">
        <f>E56</f>
        <v>4</v>
      </c>
      <c r="F62" s="50">
        <f t="shared" ref="F62:U62" si="340">F56</f>
        <v>16</v>
      </c>
      <c r="G62" s="45">
        <f t="shared" si="340"/>
        <v>7</v>
      </c>
      <c r="H62" s="45">
        <f t="shared" si="340"/>
        <v>2</v>
      </c>
      <c r="I62" s="45">
        <f t="shared" si="340"/>
        <v>3</v>
      </c>
      <c r="J62" s="45">
        <f t="shared" si="340"/>
        <v>82</v>
      </c>
      <c r="K62" s="50">
        <f t="shared" si="340"/>
        <v>94</v>
      </c>
      <c r="L62" s="45">
        <f t="shared" si="340"/>
        <v>11</v>
      </c>
      <c r="M62" s="45">
        <f t="shared" si="340"/>
        <v>0</v>
      </c>
      <c r="N62" s="45">
        <f t="shared" si="340"/>
        <v>49</v>
      </c>
      <c r="O62" s="45">
        <f t="shared" si="340"/>
        <v>31</v>
      </c>
      <c r="P62" s="50">
        <f t="shared" si="340"/>
        <v>91</v>
      </c>
      <c r="Q62" s="45">
        <f t="shared" si="340"/>
        <v>65</v>
      </c>
      <c r="R62" s="45">
        <f t="shared" si="340"/>
        <v>38</v>
      </c>
      <c r="S62" s="45">
        <v>-7</v>
      </c>
      <c r="T62" s="76">
        <f t="shared" si="340"/>
        <v>-4</v>
      </c>
      <c r="U62" s="50">
        <f t="shared" si="340"/>
        <v>92</v>
      </c>
      <c r="V62" s="45">
        <f t="shared" ref="V62:AE62" si="341">V56</f>
        <v>29</v>
      </c>
      <c r="W62" s="45">
        <f t="shared" si="341"/>
        <v>78</v>
      </c>
      <c r="X62" s="45">
        <f t="shared" si="341"/>
        <v>81</v>
      </c>
      <c r="Y62" s="45">
        <v>-12807</v>
      </c>
      <c r="Z62" s="50">
        <f t="shared" si="341"/>
        <v>183</v>
      </c>
      <c r="AA62" s="45">
        <v>153</v>
      </c>
      <c r="AB62" s="45">
        <v>300</v>
      </c>
      <c r="AC62" s="45">
        <v>-124</v>
      </c>
      <c r="AD62" s="45">
        <v>-208</v>
      </c>
      <c r="AE62" s="50">
        <f t="shared" si="341"/>
        <v>121</v>
      </c>
      <c r="AF62" s="45">
        <v>-66</v>
      </c>
      <c r="AG62" s="45">
        <v>169</v>
      </c>
      <c r="AH62" s="45">
        <v>169</v>
      </c>
      <c r="AI62" s="45">
        <v>414</v>
      </c>
      <c r="AJ62" s="50">
        <f>AJ56</f>
        <v>686</v>
      </c>
      <c r="AK62" s="45">
        <v>218</v>
      </c>
      <c r="AL62" s="45">
        <v>460</v>
      </c>
      <c r="AM62" s="45">
        <v>532</v>
      </c>
      <c r="AN62" s="45">
        <v>198</v>
      </c>
      <c r="AO62" s="50">
        <f>AO56</f>
        <v>1408</v>
      </c>
      <c r="AP62" s="45">
        <v>261</v>
      </c>
      <c r="AQ62" s="45">
        <v>356</v>
      </c>
      <c r="AR62" s="45">
        <v>953</v>
      </c>
      <c r="AS62" s="45">
        <v>866</v>
      </c>
      <c r="AT62" s="50">
        <f>AT56</f>
        <v>2436</v>
      </c>
      <c r="AU62" s="45">
        <v>708</v>
      </c>
      <c r="AV62" s="76">
        <v>305</v>
      </c>
      <c r="AW62" s="45">
        <v>1220</v>
      </c>
      <c r="AX62" s="45">
        <v>907</v>
      </c>
      <c r="AY62" s="50">
        <f>AY56</f>
        <v>3140</v>
      </c>
      <c r="AZ62" s="253">
        <v>536</v>
      </c>
      <c r="BA62" s="45">
        <v>1042</v>
      </c>
      <c r="BB62" s="45">
        <v>1058</v>
      </c>
      <c r="BC62" s="45">
        <v>8944</v>
      </c>
      <c r="BD62" s="50">
        <f>SUM(AZ62:BC62)</f>
        <v>11580</v>
      </c>
      <c r="BE62" s="45">
        <v>1306</v>
      </c>
      <c r="BF62" s="45">
        <v>928</v>
      </c>
      <c r="BG62" s="45">
        <v>605</v>
      </c>
      <c r="BH62" s="45">
        <v>1629</v>
      </c>
      <c r="BI62" s="50">
        <f>SUM(BE62:BH62)</f>
        <v>4468</v>
      </c>
      <c r="BJ62" s="118">
        <v>1040</v>
      </c>
      <c r="BK62" s="45">
        <v>1987</v>
      </c>
      <c r="BL62" s="45">
        <v>2692</v>
      </c>
      <c r="BM62" s="45">
        <v>2639</v>
      </c>
      <c r="BN62" s="50">
        <f>SUM(BJ62:BM62)</f>
        <v>8358</v>
      </c>
      <c r="BO62" s="45">
        <v>1348</v>
      </c>
      <c r="BP62" s="45">
        <f>1385</f>
        <v>1385</v>
      </c>
      <c r="BQ62" s="118">
        <v>2970</v>
      </c>
      <c r="BR62" s="118">
        <v>1391</v>
      </c>
      <c r="BS62" s="50">
        <f>SUM(BO62:BR62)</f>
        <v>7094</v>
      </c>
      <c r="BT62" s="118">
        <v>2137</v>
      </c>
      <c r="BU62" s="45">
        <f>2963</f>
        <v>2963</v>
      </c>
      <c r="BV62" s="118">
        <v>1356</v>
      </c>
      <c r="BW62" s="118">
        <v>2488</v>
      </c>
      <c r="BX62" s="50">
        <f>SUM(BT62:BW62)</f>
        <v>8944</v>
      </c>
      <c r="BY62" s="118">
        <v>4330</v>
      </c>
      <c r="BZ62" s="45">
        <v>3877</v>
      </c>
      <c r="CA62" s="45">
        <v>3132</v>
      </c>
      <c r="CB62" s="45">
        <v>4851</v>
      </c>
      <c r="CC62" s="50">
        <f>SUM(BY62:CB62)</f>
        <v>16190</v>
      </c>
      <c r="CD62" s="118">
        <v>2717</v>
      </c>
      <c r="CE62" s="45">
        <v>4233</v>
      </c>
      <c r="CF62" s="45">
        <v>5459</v>
      </c>
      <c r="CG62" s="45">
        <v>7330</v>
      </c>
      <c r="CH62" s="50">
        <f>SUM(CD62:CG62)</f>
        <v>19739</v>
      </c>
      <c r="CI62" s="64">
        <v>532</v>
      </c>
      <c r="CJ62" s="45">
        <v>9189</v>
      </c>
      <c r="CK62" s="45">
        <v>5889</v>
      </c>
      <c r="CL62" s="45">
        <v>6812</v>
      </c>
      <c r="CM62" s="112">
        <f>SUM(CI62:CL62)</f>
        <v>22422</v>
      </c>
      <c r="CN62" s="64">
        <v>5967</v>
      </c>
      <c r="CO62" s="45">
        <v>7510</v>
      </c>
      <c r="CP62" s="64">
        <v>6882</v>
      </c>
      <c r="CQ62" s="45">
        <v>10137</v>
      </c>
      <c r="CR62" s="112">
        <f>SUM(CN62:CQ62)</f>
        <v>30496</v>
      </c>
      <c r="CS62" s="64">
        <f>CS61*CS63</f>
        <v>7848.1607745000038</v>
      </c>
      <c r="CT62" s="64">
        <f>CT61*CT63</f>
        <v>10109.075184000003</v>
      </c>
      <c r="CU62" s="64">
        <f>CU61*CU63</f>
        <v>11571.98060832</v>
      </c>
      <c r="CV62" s="64">
        <f>CV61*CV63</f>
        <v>12328.318943999999</v>
      </c>
      <c r="CW62" s="112">
        <f>SUM(CS62:CV62)</f>
        <v>41857.535510820009</v>
      </c>
    </row>
    <row r="63" spans="2:107" s="2" customFormat="1" ht="10.15">
      <c r="B63" s="11"/>
      <c r="C63" s="2" t="s">
        <v>26</v>
      </c>
      <c r="D63" s="34">
        <f>D62/D61</f>
        <v>-3.5222052067381319E-2</v>
      </c>
      <c r="E63" s="39">
        <f t="shared" ref="E63:U63" si="342">E62/E61</f>
        <v>-3.0840400925212026E-3</v>
      </c>
      <c r="F63" s="39">
        <f t="shared" si="342"/>
        <v>-7.4766355140186919E-3</v>
      </c>
      <c r="G63" s="40">
        <f t="shared" si="342"/>
        <v>-7.6754385964912276E-3</v>
      </c>
      <c r="H63" s="40">
        <f t="shared" si="342"/>
        <v>-3.616636528028933E-3</v>
      </c>
      <c r="I63" s="40">
        <f t="shared" si="342"/>
        <v>-2.2900763358778626E-2</v>
      </c>
      <c r="J63" s="40">
        <f t="shared" si="342"/>
        <v>-0.4</v>
      </c>
      <c r="K63" s="39">
        <f t="shared" si="342"/>
        <v>-5.2193225985563578E-2</v>
      </c>
      <c r="L63" s="40">
        <f t="shared" si="342"/>
        <v>-0.2558139534883721</v>
      </c>
      <c r="M63" s="40">
        <f t="shared" si="342"/>
        <v>0</v>
      </c>
      <c r="N63" s="40">
        <f t="shared" si="342"/>
        <v>0.1240506329113924</v>
      </c>
      <c r="O63" s="40">
        <f t="shared" si="342"/>
        <v>0.12704918032786885</v>
      </c>
      <c r="P63" s="39">
        <f t="shared" si="342"/>
        <v>7.2625698324022353E-2</v>
      </c>
      <c r="Q63" s="40">
        <f t="shared" si="342"/>
        <v>6.605691056910569E-2</v>
      </c>
      <c r="R63" s="40">
        <f t="shared" si="342"/>
        <v>5.6213017751479293E-2</v>
      </c>
      <c r="S63" s="40">
        <f t="shared" si="342"/>
        <v>-7.9635949943117172E-3</v>
      </c>
      <c r="T63" s="40">
        <f t="shared" si="342"/>
        <v>-9.1533180778032037E-3</v>
      </c>
      <c r="U63" s="39">
        <f t="shared" si="342"/>
        <v>3.0913978494623656E-2</v>
      </c>
      <c r="V63" s="40">
        <f t="shared" ref="V63:AG63" si="343">V62/V61</f>
        <v>5.5662188099808059E-2</v>
      </c>
      <c r="W63" s="40">
        <f t="shared" si="343"/>
        <v>-2.5161290322580645</v>
      </c>
      <c r="X63" s="40">
        <f t="shared" si="343"/>
        <v>0.31395348837209303</v>
      </c>
      <c r="Y63" s="40">
        <f t="shared" si="343"/>
        <v>-38.116071428571431</v>
      </c>
      <c r="Z63" s="39">
        <f t="shared" si="343"/>
        <v>0.16881918819188191</v>
      </c>
      <c r="AA63" s="40">
        <f t="shared" si="343"/>
        <v>0.37408312958435208</v>
      </c>
      <c r="AB63" s="40">
        <f t="shared" si="343"/>
        <v>0.41322314049586778</v>
      </c>
      <c r="AC63" s="40">
        <f t="shared" si="343"/>
        <v>-2.48</v>
      </c>
      <c r="AD63" s="40">
        <f t="shared" si="343"/>
        <v>-1.3164556962025316</v>
      </c>
      <c r="AE63" s="39">
        <f t="shared" si="343"/>
        <v>9.0096798212956075E-2</v>
      </c>
      <c r="AF63" s="40">
        <f t="shared" si="343"/>
        <v>-0.49624060150375937</v>
      </c>
      <c r="AG63" s="40">
        <f t="shared" si="343"/>
        <v>0.36980306345733044</v>
      </c>
      <c r="AH63" s="40">
        <v>0.39</v>
      </c>
      <c r="AI63" s="40">
        <v>0.39</v>
      </c>
      <c r="AJ63" s="39">
        <f t="shared" ref="AJ63:AO63" si="344">AJ62/AJ61</f>
        <v>0.39493379389752448</v>
      </c>
      <c r="AK63" s="40">
        <f t="shared" si="344"/>
        <v>0.36886632825719118</v>
      </c>
      <c r="AL63" s="40">
        <f t="shared" si="344"/>
        <v>0.41856232939035487</v>
      </c>
      <c r="AM63" s="40">
        <f t="shared" si="344"/>
        <v>0.38832116788321169</v>
      </c>
      <c r="AN63" s="40">
        <f t="shared" si="344"/>
        <v>0.18821292775665399</v>
      </c>
      <c r="AO63" s="39">
        <f t="shared" si="344"/>
        <v>0.34241245136186771</v>
      </c>
      <c r="AP63" s="40">
        <f t="shared" ref="AP63:BC63" si="345">AP62/AP61</f>
        <v>0.30814639905548996</v>
      </c>
      <c r="AQ63" s="40">
        <f t="shared" si="345"/>
        <v>0.35352532274081427</v>
      </c>
      <c r="AR63" s="40">
        <f t="shared" si="345"/>
        <v>0.42869995501574448</v>
      </c>
      <c r="AS63" s="40">
        <f t="shared" si="345"/>
        <v>0.28885923949299536</v>
      </c>
      <c r="AT63" s="39">
        <f t="shared" si="345"/>
        <v>0.34431095406360424</v>
      </c>
      <c r="AU63" s="40">
        <f t="shared" si="345"/>
        <v>0.4041095890410959</v>
      </c>
      <c r="AV63" s="40">
        <f t="shared" si="345"/>
        <v>0.46423135464231352</v>
      </c>
      <c r="AW63" s="40">
        <f t="shared" si="345"/>
        <v>0.32716545990882273</v>
      </c>
      <c r="AX63" s="40">
        <f t="shared" si="345"/>
        <v>0.33443952802359883</v>
      </c>
      <c r="AY63" s="39">
        <f t="shared" si="345"/>
        <v>0.35480225988700564</v>
      </c>
      <c r="AZ63" s="161">
        <f t="shared" si="345"/>
        <v>0.15283718277730254</v>
      </c>
      <c r="BA63" s="40">
        <f t="shared" si="345"/>
        <v>0.3634461109173352</v>
      </c>
      <c r="BB63" s="40">
        <f t="shared" si="345"/>
        <v>0.36208076659822042</v>
      </c>
      <c r="BC63" s="40">
        <f t="shared" si="345"/>
        <v>-56.968152866242036</v>
      </c>
      <c r="BD63" s="39">
        <f t="shared" ref="BD63:BU63" si="346">BD62/BD61</f>
        <v>1.2670970565707407</v>
      </c>
      <c r="BE63" s="368">
        <f t="shared" si="346"/>
        <v>0.28640350877192983</v>
      </c>
      <c r="BF63" s="410">
        <f t="shared" si="346"/>
        <v>0.14627994955863807</v>
      </c>
      <c r="BG63" s="410">
        <f t="shared" si="346"/>
        <v>6.9813062543272561E-2</v>
      </c>
      <c r="BH63" s="410">
        <f t="shared" si="346"/>
        <v>0.18574686431014822</v>
      </c>
      <c r="BI63" s="39">
        <f t="shared" si="346"/>
        <v>0.15765702187720537</v>
      </c>
      <c r="BJ63" s="410">
        <f t="shared" si="346"/>
        <v>0.13243346491786578</v>
      </c>
      <c r="BK63" s="410">
        <f t="shared" si="346"/>
        <v>0.18427153853287581</v>
      </c>
      <c r="BL63" s="410">
        <f>BL62/BL61</f>
        <v>0.23141064213874324</v>
      </c>
      <c r="BM63" s="410">
        <f t="shared" si="346"/>
        <v>0.22362511651554953</v>
      </c>
      <c r="BN63" s="39">
        <f>BN62/BN61</f>
        <v>0.20100043287961136</v>
      </c>
      <c r="BO63" s="410">
        <f t="shared" si="346"/>
        <v>0.12409095093436436</v>
      </c>
      <c r="BP63" s="410">
        <f t="shared" si="346"/>
        <v>0.11010414182367438</v>
      </c>
      <c r="BQ63" s="410">
        <f t="shared" si="346"/>
        <v>0.20657995409334354</v>
      </c>
      <c r="BR63" s="410">
        <f t="shared" si="346"/>
        <v>9.3600699818316396E-2</v>
      </c>
      <c r="BS63" s="39">
        <f>BS62/BS61</f>
        <v>0.13466211085801064</v>
      </c>
      <c r="BT63" s="410">
        <f t="shared" si="346"/>
        <v>0.17321877279727649</v>
      </c>
      <c r="BU63" s="410">
        <f t="shared" si="346"/>
        <v>0.22539175414574775</v>
      </c>
      <c r="BV63" s="410">
        <f t="shared" ref="BV63:CB63" si="347">BV62/BV61</f>
        <v>0.10589613432253026</v>
      </c>
      <c r="BW63" s="410">
        <f t="shared" si="347"/>
        <v>0.16311545269782993</v>
      </c>
      <c r="BX63" s="39">
        <f t="shared" si="347"/>
        <v>0.16704955081152761</v>
      </c>
      <c r="BY63" s="410">
        <f t="shared" si="347"/>
        <v>0.25571369515147935</v>
      </c>
      <c r="BZ63" s="410">
        <f t="shared" si="347"/>
        <v>0.26500341763499657</v>
      </c>
      <c r="CA63" s="410">
        <f t="shared" si="347"/>
        <v>0.16488549618320611</v>
      </c>
      <c r="CB63" s="410">
        <f t="shared" si="347"/>
        <v>0.23360300491187519</v>
      </c>
      <c r="CC63" s="39">
        <f>CC62/CC61</f>
        <v>0.22699231675172452</v>
      </c>
      <c r="CD63" s="410">
        <f t="shared" ref="CD63:CI63" si="348">CD62/CD61</f>
        <v>0.15089414639564588</v>
      </c>
      <c r="CE63" s="410">
        <f t="shared" si="348"/>
        <v>0.22379064234734339</v>
      </c>
      <c r="CF63" s="410">
        <f t="shared" si="348"/>
        <v>0.24478722927222996</v>
      </c>
      <c r="CG63" s="410">
        <f t="shared" si="348"/>
        <v>0.2782734140693216</v>
      </c>
      <c r="CH63" s="39">
        <f>CH62/CH61</f>
        <v>0.23069551091008964</v>
      </c>
      <c r="CI63" s="410">
        <f t="shared" si="348"/>
        <v>2.8702454815214461E-2</v>
      </c>
      <c r="CJ63" s="410">
        <f t="shared" ref="CJ63:CN63" si="349">CJ62/CJ61</f>
        <v>0.33757025825649317</v>
      </c>
      <c r="CK63" s="410">
        <f t="shared" si="349"/>
        <v>0.20065419605438004</v>
      </c>
      <c r="CL63" s="410">
        <f t="shared" si="349"/>
        <v>0.27951253539042303</v>
      </c>
      <c r="CM63" s="39">
        <f>CM62/CM61</f>
        <v>0.22540110177329206</v>
      </c>
      <c r="CN63" s="410">
        <f t="shared" si="349"/>
        <v>0.21187373504243157</v>
      </c>
      <c r="CO63" s="410">
        <f t="shared" ref="CO63:CQ63" si="350">CO62/CO61</f>
        <v>0.27566714385346697</v>
      </c>
      <c r="CP63" s="410">
        <f t="shared" si="350"/>
        <v>0.21207358787094388</v>
      </c>
      <c r="CQ63" s="410">
        <f t="shared" si="350"/>
        <v>0.28175551726054809</v>
      </c>
      <c r="CR63" s="39">
        <f>CR62/CR61</f>
        <v>0.24626317277021845</v>
      </c>
      <c r="CS63" s="649">
        <v>0.3</v>
      </c>
      <c r="CT63" s="649">
        <v>0.3</v>
      </c>
      <c r="CU63" s="649">
        <v>0.3</v>
      </c>
      <c r="CV63" s="649">
        <v>0.3</v>
      </c>
      <c r="CW63" s="39">
        <f>CW62/CW61</f>
        <v>0.30000000000000038</v>
      </c>
    </row>
    <row r="64" spans="2:107" ht="13.15">
      <c r="B64" s="922" t="s">
        <v>580</v>
      </c>
      <c r="C64" s="13"/>
      <c r="D64" s="62">
        <f>D61-D62</f>
        <v>-676</v>
      </c>
      <c r="E64" s="62">
        <f t="shared" ref="E64:U64" si="351">E61-E62</f>
        <v>-1301</v>
      </c>
      <c r="F64" s="62">
        <f t="shared" si="351"/>
        <v>-2156</v>
      </c>
      <c r="G64" s="63">
        <f t="shared" si="351"/>
        <v>-919</v>
      </c>
      <c r="H64" s="63">
        <f t="shared" si="351"/>
        <v>-555</v>
      </c>
      <c r="I64" s="63">
        <f t="shared" si="351"/>
        <v>-134</v>
      </c>
      <c r="J64" s="63">
        <f t="shared" si="351"/>
        <v>-287</v>
      </c>
      <c r="K64" s="62">
        <f t="shared" si="351"/>
        <v>-1895</v>
      </c>
      <c r="L64" s="63">
        <f t="shared" si="351"/>
        <v>-54</v>
      </c>
      <c r="M64" s="63">
        <f t="shared" si="351"/>
        <v>657</v>
      </c>
      <c r="N64" s="63">
        <f t="shared" si="351"/>
        <v>346</v>
      </c>
      <c r="O64" s="63">
        <f t="shared" si="351"/>
        <v>213</v>
      </c>
      <c r="P64" s="62">
        <f t="shared" si="351"/>
        <v>1162</v>
      </c>
      <c r="Q64" s="63">
        <f t="shared" si="351"/>
        <v>919</v>
      </c>
      <c r="R64" s="63">
        <f t="shared" si="351"/>
        <v>638</v>
      </c>
      <c r="S64" s="63">
        <f t="shared" si="351"/>
        <v>886</v>
      </c>
      <c r="T64" s="96">
        <f t="shared" si="351"/>
        <v>441</v>
      </c>
      <c r="U64" s="62">
        <f t="shared" si="351"/>
        <v>2884</v>
      </c>
      <c r="V64" s="63">
        <f t="shared" ref="V64:AE64" si="352">V61-V62</f>
        <v>492</v>
      </c>
      <c r="W64" s="63">
        <f t="shared" si="352"/>
        <v>-109</v>
      </c>
      <c r="X64" s="63">
        <f t="shared" si="352"/>
        <v>177</v>
      </c>
      <c r="Y64" s="63">
        <f t="shared" si="352"/>
        <v>13143</v>
      </c>
      <c r="Z64" s="62">
        <f t="shared" si="352"/>
        <v>901</v>
      </c>
      <c r="AA64" s="63">
        <f t="shared" si="352"/>
        <v>256</v>
      </c>
      <c r="AB64" s="63">
        <f t="shared" si="352"/>
        <v>426</v>
      </c>
      <c r="AC64" s="63">
        <f t="shared" si="352"/>
        <v>174</v>
      </c>
      <c r="AD64" s="63">
        <f t="shared" si="352"/>
        <v>366</v>
      </c>
      <c r="AE64" s="62">
        <f t="shared" si="352"/>
        <v>1222</v>
      </c>
      <c r="AF64" s="63">
        <f t="shared" ref="AF64:AO64" si="353">AF61-AF62</f>
        <v>199</v>
      </c>
      <c r="AG64" s="63">
        <f t="shared" si="353"/>
        <v>288</v>
      </c>
      <c r="AH64" s="63">
        <f t="shared" si="353"/>
        <v>270</v>
      </c>
      <c r="AI64" s="63">
        <f t="shared" si="353"/>
        <v>294</v>
      </c>
      <c r="AJ64" s="62">
        <f t="shared" si="353"/>
        <v>1051</v>
      </c>
      <c r="AK64" s="63">
        <f t="shared" si="353"/>
        <v>373</v>
      </c>
      <c r="AL64" s="63">
        <f t="shared" si="353"/>
        <v>639</v>
      </c>
      <c r="AM64" s="63">
        <f t="shared" si="353"/>
        <v>838</v>
      </c>
      <c r="AN64" s="63">
        <f t="shared" si="353"/>
        <v>854</v>
      </c>
      <c r="AO64" s="62">
        <f t="shared" si="353"/>
        <v>2704</v>
      </c>
      <c r="AP64" s="63">
        <f t="shared" ref="AP64:AY64" si="354">AP61-AP62</f>
        <v>586</v>
      </c>
      <c r="AQ64" s="63">
        <f t="shared" si="354"/>
        <v>651</v>
      </c>
      <c r="AR64" s="63">
        <f t="shared" si="354"/>
        <v>1270</v>
      </c>
      <c r="AS64" s="63">
        <f t="shared" si="354"/>
        <v>2132</v>
      </c>
      <c r="AT64" s="62">
        <f t="shared" si="354"/>
        <v>4639</v>
      </c>
      <c r="AU64" s="244">
        <f>AU61-AU62</f>
        <v>1044</v>
      </c>
      <c r="AV64" s="96">
        <f t="shared" si="354"/>
        <v>352</v>
      </c>
      <c r="AW64" s="63">
        <f t="shared" si="354"/>
        <v>2509</v>
      </c>
      <c r="AX64" s="63">
        <f t="shared" si="354"/>
        <v>1805</v>
      </c>
      <c r="AY64" s="62">
        <f t="shared" si="354"/>
        <v>5710</v>
      </c>
      <c r="AZ64" s="367">
        <f t="shared" ref="AZ64:BI64" si="355">AZ61-AZ62</f>
        <v>2971</v>
      </c>
      <c r="BA64" s="63">
        <f t="shared" si="355"/>
        <v>1825</v>
      </c>
      <c r="BB64" s="63">
        <f t="shared" si="355"/>
        <v>1864</v>
      </c>
      <c r="BC64" s="63">
        <f t="shared" si="355"/>
        <v>-9101</v>
      </c>
      <c r="BD64" s="62">
        <f t="shared" si="355"/>
        <v>-2441</v>
      </c>
      <c r="BE64" s="244">
        <f t="shared" si="355"/>
        <v>3254</v>
      </c>
      <c r="BF64" s="63">
        <f t="shared" si="355"/>
        <v>5416</v>
      </c>
      <c r="BG64" s="63">
        <f t="shared" si="355"/>
        <v>8061</v>
      </c>
      <c r="BH64" s="63">
        <f t="shared" si="355"/>
        <v>7141</v>
      </c>
      <c r="BI64" s="62">
        <f t="shared" si="355"/>
        <v>23872</v>
      </c>
      <c r="BJ64" s="451">
        <f t="shared" ref="BJ64:BN64" si="356">BJ61-BJ62</f>
        <v>6813</v>
      </c>
      <c r="BK64" s="63">
        <f t="shared" si="356"/>
        <v>8796</v>
      </c>
      <c r="BL64" s="63">
        <f t="shared" si="356"/>
        <v>8941</v>
      </c>
      <c r="BM64" s="63">
        <f t="shared" si="356"/>
        <v>9162</v>
      </c>
      <c r="BN64" s="62">
        <f t="shared" si="356"/>
        <v>33224</v>
      </c>
      <c r="BO64" s="244">
        <f>BO61-BO62</f>
        <v>9515</v>
      </c>
      <c r="BP64" s="63">
        <f t="shared" ref="BP64:BS64" si="357">BP61-BP62</f>
        <v>11194</v>
      </c>
      <c r="BQ64" s="444">
        <f t="shared" si="357"/>
        <v>11407</v>
      </c>
      <c r="BR64" s="63">
        <f t="shared" si="357"/>
        <v>13470</v>
      </c>
      <c r="BS64" s="62">
        <f t="shared" si="357"/>
        <v>45586</v>
      </c>
      <c r="BT64" s="451">
        <f t="shared" ref="BT64:BX64" si="358">BT61-BT62</f>
        <v>10200</v>
      </c>
      <c r="BU64" s="63">
        <f t="shared" si="358"/>
        <v>10183</v>
      </c>
      <c r="BV64" s="444">
        <f t="shared" si="358"/>
        <v>11449</v>
      </c>
      <c r="BW64" s="444">
        <f>BW61-BW62</f>
        <v>12765</v>
      </c>
      <c r="BX64" s="62">
        <f t="shared" si="358"/>
        <v>44597</v>
      </c>
      <c r="BY64" s="451">
        <f t="shared" ref="BY64:CD64" si="359">BY61-BY62</f>
        <v>12603</v>
      </c>
      <c r="BZ64" s="63">
        <f>BZ61-BZ62</f>
        <v>10753</v>
      </c>
      <c r="CA64" s="63">
        <f t="shared" si="359"/>
        <v>15863</v>
      </c>
      <c r="CB64" s="63">
        <f>CB61-CB62</f>
        <v>15915</v>
      </c>
      <c r="CC64" s="62">
        <f t="shared" si="359"/>
        <v>55134</v>
      </c>
      <c r="CD64" s="63">
        <f t="shared" si="359"/>
        <v>15289</v>
      </c>
      <c r="CE64" s="63">
        <f t="shared" ref="CE64:CI64" si="360">CE61-CE62</f>
        <v>14682</v>
      </c>
      <c r="CF64" s="63">
        <f t="shared" si="360"/>
        <v>16842</v>
      </c>
      <c r="CG64" s="63">
        <f t="shared" si="360"/>
        <v>19011</v>
      </c>
      <c r="CH64" s="62">
        <f t="shared" si="360"/>
        <v>65824</v>
      </c>
      <c r="CI64" s="244">
        <f t="shared" si="360"/>
        <v>18003</v>
      </c>
      <c r="CJ64" s="63">
        <f t="shared" ref="CJ64:CL64" si="361">CJ61-CJ62</f>
        <v>18032</v>
      </c>
      <c r="CK64" s="63">
        <f t="shared" si="361"/>
        <v>23460</v>
      </c>
      <c r="CL64" s="63">
        <f t="shared" si="361"/>
        <v>17559</v>
      </c>
      <c r="CM64" s="646">
        <f t="shared" ref="CM64:CO64" si="362">CM61-CM62</f>
        <v>77054</v>
      </c>
      <c r="CN64" s="244">
        <f t="shared" si="362"/>
        <v>22196</v>
      </c>
      <c r="CO64" s="63">
        <f t="shared" si="362"/>
        <v>19733</v>
      </c>
      <c r="CP64" s="244">
        <f t="shared" ref="CP64:CS64" si="363">CP61-CP62</f>
        <v>25569</v>
      </c>
      <c r="CQ64" s="63">
        <f t="shared" si="363"/>
        <v>25841</v>
      </c>
      <c r="CR64" s="646">
        <f t="shared" si="363"/>
        <v>93339</v>
      </c>
      <c r="CS64" s="244">
        <f t="shared" si="363"/>
        <v>18312.375140500011</v>
      </c>
      <c r="CT64" s="244">
        <f t="shared" ref="CT64:CW64" si="364">CT61-CT62</f>
        <v>23587.842096000008</v>
      </c>
      <c r="CU64" s="244">
        <f t="shared" si="364"/>
        <v>27001.28808608</v>
      </c>
      <c r="CV64" s="244">
        <f t="shared" si="364"/>
        <v>28766.077535999997</v>
      </c>
      <c r="CW64" s="646">
        <f t="shared" si="364"/>
        <v>97667.582858579844</v>
      </c>
    </row>
    <row r="65" spans="2:101" s="2" customFormat="1" ht="10.15">
      <c r="B65" s="11"/>
      <c r="C65" s="2" t="s">
        <v>27</v>
      </c>
      <c r="D65" s="34">
        <f t="shared" ref="D65:AI65" si="365">D64/D4</f>
        <v>-4.8889853185795903E-2</v>
      </c>
      <c r="E65" s="34">
        <f t="shared" si="365"/>
        <v>-6.5511858603152229E-2</v>
      </c>
      <c r="F65" s="34">
        <f t="shared" si="365"/>
        <v>-8.5562346217953805E-2</v>
      </c>
      <c r="G65" s="37">
        <f t="shared" si="365"/>
        <v>-0.13209716831967802</v>
      </c>
      <c r="H65" s="37">
        <f t="shared" si="365"/>
        <v>-7.3161086211442128E-2</v>
      </c>
      <c r="I65" s="37">
        <f t="shared" si="365"/>
        <v>-1.6596482536537033E-2</v>
      </c>
      <c r="J65" s="37">
        <f t="shared" si="365"/>
        <v>-3.5519801980198017E-2</v>
      </c>
      <c r="K65" s="34">
        <f t="shared" si="365"/>
        <v>-6.1732416848551977E-2</v>
      </c>
      <c r="L65" s="37">
        <f t="shared" si="365"/>
        <v>-6.3298558199507676E-3</v>
      </c>
      <c r="M65" s="37">
        <f t="shared" si="365"/>
        <v>6.8437499999999998E-2</v>
      </c>
      <c r="N65" s="37">
        <f t="shared" si="365"/>
        <v>3.5914469586879799E-2</v>
      </c>
      <c r="O65" s="37">
        <f t="shared" si="365"/>
        <v>2.1340547039374814E-2</v>
      </c>
      <c r="P65" s="34">
        <f t="shared" si="365"/>
        <v>3.0784718910613046E-2</v>
      </c>
      <c r="Q65" s="37">
        <f t="shared" si="365"/>
        <v>8.9719808649809621E-2</v>
      </c>
      <c r="R65" s="37">
        <f t="shared" si="365"/>
        <v>5.8296783625730993E-2</v>
      </c>
      <c r="S65" s="37">
        <f t="shared" si="365"/>
        <v>7.7103820381167865E-2</v>
      </c>
      <c r="T65" s="37">
        <f t="shared" si="365"/>
        <v>3.6999748301031969E-2</v>
      </c>
      <c r="U65" s="34">
        <f t="shared" si="365"/>
        <v>6.4668026997331665E-2</v>
      </c>
      <c r="V65" s="37">
        <f t="shared" si="365"/>
        <v>3.8896355443118036E-2</v>
      </c>
      <c r="W65" s="37">
        <f t="shared" si="365"/>
        <v>-7.8209083733945615E-3</v>
      </c>
      <c r="X65" s="37">
        <f t="shared" si="365"/>
        <v>1.1398029493206259E-2</v>
      </c>
      <c r="Y65" s="37">
        <f t="shared" si="365"/>
        <v>0.82900214456919386</v>
      </c>
      <c r="Z65" s="34">
        <f t="shared" si="365"/>
        <v>1.5542790111956391E-2</v>
      </c>
      <c r="AA65" s="37">
        <f t="shared" si="365"/>
        <v>1.5483246643280513E-2</v>
      </c>
      <c r="AB65" s="37">
        <f t="shared" si="365"/>
        <v>2.3904382470119521E-2</v>
      </c>
      <c r="AC65" s="37">
        <f t="shared" si="365"/>
        <v>8.5853851087975535E-3</v>
      </c>
      <c r="AD65" s="37">
        <f t="shared" si="365"/>
        <v>1.6278242305639568E-2</v>
      </c>
      <c r="AE65" s="34">
        <f t="shared" si="365"/>
        <v>1.5848312712369986E-2</v>
      </c>
      <c r="AF65" s="37">
        <f t="shared" si="365"/>
        <v>8.3782418322667571E-3</v>
      </c>
      <c r="AG65" s="37">
        <f t="shared" si="365"/>
        <v>1.1224569335100163E-2</v>
      </c>
      <c r="AH65" s="37">
        <f t="shared" si="365"/>
        <v>9.9970379146919423E-3</v>
      </c>
      <c r="AI65" s="37">
        <f t="shared" si="365"/>
        <v>1.0510134772816645E-2</v>
      </c>
      <c r="AJ65" s="34">
        <f t="shared" ref="AJ65:BO65" si="366">AJ64/AJ4</f>
        <v>1.0067917732371565E-2</v>
      </c>
      <c r="AK65" s="37">
        <f t="shared" si="366"/>
        <v>1.2889180690417775E-2</v>
      </c>
      <c r="AL65" s="37">
        <f t="shared" si="366"/>
        <v>2.054662379421222E-2</v>
      </c>
      <c r="AM65" s="37">
        <f t="shared" si="366"/>
        <v>2.5779856026579707E-2</v>
      </c>
      <c r="AN65" s="37">
        <f t="shared" si="366"/>
        <v>2.4122930907858314E-2</v>
      </c>
      <c r="AO65" s="34">
        <f t="shared" si="366"/>
        <v>2.1133750693646588E-2</v>
      </c>
      <c r="AP65" s="37">
        <f t="shared" si="366"/>
        <v>1.5850689748444686E-2</v>
      </c>
      <c r="AQ65" s="37">
        <f t="shared" si="366"/>
        <v>1.6758482211810741E-2</v>
      </c>
      <c r="AR65" s="37">
        <f t="shared" si="366"/>
        <v>3.1471477424790603E-2</v>
      </c>
      <c r="AS65" s="37">
        <f t="shared" si="366"/>
        <v>5.0344762444507418E-2</v>
      </c>
      <c r="AT65" s="34">
        <f t="shared" si="366"/>
        <v>2.9264815352199752E-2</v>
      </c>
      <c r="AU65" s="37">
        <f t="shared" si="366"/>
        <v>2.2895238930678304E-2</v>
      </c>
      <c r="AV65" s="37">
        <f t="shared" si="366"/>
        <v>7.4338451141475366E-3</v>
      </c>
      <c r="AW65" s="37">
        <f t="shared" si="366"/>
        <v>5.0909017125233338E-2</v>
      </c>
      <c r="AX65" s="37">
        <f t="shared" si="366"/>
        <v>3.5349875638941659E-2</v>
      </c>
      <c r="AY65" s="34">
        <f t="shared" si="366"/>
        <v>2.9540339894979176E-2</v>
      </c>
      <c r="AZ65" s="37">
        <f t="shared" si="366"/>
        <v>5.7209427713163369E-2</v>
      </c>
      <c r="BA65" s="37">
        <f t="shared" si="366"/>
        <v>3.3619482720506966E-2</v>
      </c>
      <c r="BB65" s="37">
        <f t="shared" si="366"/>
        <v>3.3196794300979521E-2</v>
      </c>
      <c r="BC65" s="37">
        <f t="shared" si="366"/>
        <v>-0.15637457044673539</v>
      </c>
      <c r="BD65" s="34">
        <f t="shared" si="366"/>
        <v>-1.1066982218474289E-2</v>
      </c>
      <c r="BE65" s="37">
        <f t="shared" si="366"/>
        <v>5.5066675692141069E-2</v>
      </c>
      <c r="BF65" s="37">
        <f t="shared" si="366"/>
        <v>8.8654629978229205E-2</v>
      </c>
      <c r="BG65" s="37">
        <f t="shared" si="366"/>
        <v>0.12822103454857797</v>
      </c>
      <c r="BH65" s="37">
        <f t="shared" si="366"/>
        <v>0.10954302106183558</v>
      </c>
      <c r="BI65" s="34">
        <f t="shared" si="366"/>
        <v>9.6165001611343864E-2</v>
      </c>
      <c r="BJ65" s="122">
        <f t="shared" si="366"/>
        <v>0.10178683479248214</v>
      </c>
      <c r="BK65" s="37">
        <f t="shared" si="366"/>
        <v>0.12835441929693997</v>
      </c>
      <c r="BL65" s="37">
        <f t="shared" si="366"/>
        <v>0.12605741033160389</v>
      </c>
      <c r="BM65" s="37">
        <f t="shared" si="366"/>
        <v>0.12596758005307082</v>
      </c>
      <c r="BN65" s="34">
        <f t="shared" si="366"/>
        <v>0.11902953526031441</v>
      </c>
      <c r="BO65" s="37">
        <f t="shared" si="366"/>
        <v>0.12824832866077204</v>
      </c>
      <c r="BP65" s="37">
        <f t="shared" ref="BP65:CU65" si="367">BP64/BP4</f>
        <v>0.14812168367009382</v>
      </c>
      <c r="BQ65" s="122">
        <f t="shared" si="367"/>
        <v>0.14338147491735484</v>
      </c>
      <c r="BR65" s="37">
        <f t="shared" si="367"/>
        <v>0.1616891535026648</v>
      </c>
      <c r="BS65" s="34">
        <f t="shared" si="367"/>
        <v>0.14581454115088124</v>
      </c>
      <c r="BT65" s="122">
        <f t="shared" si="367"/>
        <v>0.1132150864652474</v>
      </c>
      <c r="BU65" s="37">
        <f t="shared" si="367"/>
        <v>0.10771216111869175</v>
      </c>
      <c r="BV65" s="122">
        <f t="shared" si="367"/>
        <v>0.11696139426072921</v>
      </c>
      <c r="BW65" s="122">
        <f t="shared" si="367"/>
        <v>0.124226322550508</v>
      </c>
      <c r="BX65" s="34">
        <f t="shared" si="367"/>
        <v>0.1157533819910921</v>
      </c>
      <c r="BY65" s="122">
        <f t="shared" si="367"/>
        <v>0.11980835226678581</v>
      </c>
      <c r="BZ65" s="37">
        <f t="shared" si="367"/>
        <v>9.8490538386854495E-2</v>
      </c>
      <c r="CA65" s="37">
        <f t="shared" si="367"/>
        <v>0.13855842635780793</v>
      </c>
      <c r="CB65" s="37">
        <f t="shared" si="367"/>
        <v>0.13043157566916358</v>
      </c>
      <c r="CC65" s="34">
        <f t="shared" si="367"/>
        <v>0.12228222899916828</v>
      </c>
      <c r="CD65" s="37">
        <f t="shared" si="367"/>
        <v>0.12146852257920997</v>
      </c>
      <c r="CE65" s="37">
        <f t="shared" si="367"/>
        <v>0.11257821126242179</v>
      </c>
      <c r="CF65" s="37">
        <f t="shared" si="367"/>
        <v>0.12414769167262514</v>
      </c>
      <c r="CG65" s="37">
        <f t="shared" si="367"/>
        <v>0.13114199979305349</v>
      </c>
      <c r="CH65" s="34">
        <f t="shared" si="367"/>
        <v>0.1225978283138701</v>
      </c>
      <c r="CI65" s="5">
        <f t="shared" si="367"/>
        <v>0.12036021821682623</v>
      </c>
      <c r="CJ65" s="37">
        <f t="shared" si="367"/>
        <v>0.11739889059610928</v>
      </c>
      <c r="CK65" s="37">
        <f t="shared" si="367"/>
        <v>0.14332319196510393</v>
      </c>
      <c r="CL65" s="37">
        <f t="shared" si="367"/>
        <v>0.10274008671382681</v>
      </c>
      <c r="CM65" s="146">
        <f t="shared" si="367"/>
        <v>0.12081879689227223</v>
      </c>
      <c r="CN65" s="5">
        <f t="shared" si="367"/>
        <v>0.12225900445609725</v>
      </c>
      <c r="CO65" s="37">
        <f t="shared" si="367"/>
        <v>0.10529882604055496</v>
      </c>
      <c r="CP65" s="5">
        <f t="shared" si="367"/>
        <v>0.13464171370797876</v>
      </c>
      <c r="CQ65" s="37">
        <f t="shared" si="367"/>
        <v>0.13413304819051969</v>
      </c>
      <c r="CR65" s="146">
        <f t="shared" si="367"/>
        <v>0.12420276644865968</v>
      </c>
      <c r="CS65" s="5">
        <f t="shared" si="367"/>
        <v>9.5064224987326848E-2</v>
      </c>
      <c r="CT65" s="5">
        <f t="shared" si="367"/>
        <v>0.11931206279939499</v>
      </c>
      <c r="CU65" s="5">
        <f t="shared" si="367"/>
        <v>0.13208770579241649</v>
      </c>
      <c r="CV65" s="5">
        <f t="shared" ref="CV65:CW65" si="368">CV64/CV4</f>
        <v>0.13832048520960533</v>
      </c>
      <c r="CW65" s="146">
        <f t="shared" si="368"/>
        <v>0.12167131513638257</v>
      </c>
    </row>
    <row r="66" spans="2:101" ht="13.5" thickBot="1">
      <c r="B66" s="14"/>
      <c r="C66" s="10"/>
      <c r="D66" s="32"/>
      <c r="E66" s="32"/>
      <c r="F66" s="32"/>
      <c r="K66" s="32"/>
      <c r="P66" s="32"/>
      <c r="U66" s="32"/>
      <c r="Z66" s="32"/>
      <c r="AE66" s="32"/>
      <c r="AJ66" s="32"/>
      <c r="AO66" s="32"/>
      <c r="AT66" s="32"/>
      <c r="AV66" s="247"/>
      <c r="AW66" s="85"/>
      <c r="AY66" s="36"/>
      <c r="BA66" s="85"/>
      <c r="BD66" s="36"/>
      <c r="BF66" s="85"/>
      <c r="BI66" s="36"/>
      <c r="BJ66" s="142"/>
      <c r="BK66" s="85"/>
      <c r="BN66" s="36"/>
      <c r="BP66" s="85"/>
      <c r="BQ66" s="142"/>
      <c r="BR66" s="85"/>
      <c r="BS66" s="36"/>
      <c r="BT66" s="142"/>
      <c r="BU66" s="85"/>
      <c r="BV66" s="142"/>
      <c r="BW66" s="142"/>
      <c r="BX66" s="36"/>
      <c r="BY66" s="142"/>
      <c r="BZ66" s="85"/>
      <c r="CB66" s="142"/>
      <c r="CC66" s="36"/>
      <c r="CD66" s="142"/>
      <c r="CE66" s="85"/>
      <c r="CH66" s="36"/>
      <c r="CI66" s="142"/>
      <c r="CJ66" s="85"/>
      <c r="CM66" s="36"/>
      <c r="CN66" s="142"/>
      <c r="CO66" s="85"/>
      <c r="CR66" s="36"/>
      <c r="CS66" s="142"/>
      <c r="CT66" s="85"/>
      <c r="CW66" s="36"/>
    </row>
    <row r="67" spans="2:101" s="1" customFormat="1" ht="13.15">
      <c r="B67" s="15" t="s">
        <v>28</v>
      </c>
      <c r="C67" s="16"/>
      <c r="D67" s="777">
        <f>D58/D73</f>
        <v>-6.6930693069306928</v>
      </c>
      <c r="E67" s="777">
        <f t="shared" ref="E67:U67" si="369">E58/E73</f>
        <v>-10.932773109243698</v>
      </c>
      <c r="F67" s="777">
        <f t="shared" si="369"/>
        <v>-11.405405405405405</v>
      </c>
      <c r="G67" s="778" t="e">
        <f t="shared" si="369"/>
        <v>#DIV/0!</v>
      </c>
      <c r="H67" s="778" t="e">
        <f t="shared" si="369"/>
        <v>#DIV/0!</v>
      </c>
      <c r="I67" s="778" t="e">
        <f t="shared" si="369"/>
        <v>#DIV/0!</v>
      </c>
      <c r="J67" s="778" t="e">
        <f t="shared" si="369"/>
        <v>#DIV/0!</v>
      </c>
      <c r="K67" s="777">
        <f t="shared" si="369"/>
        <v>-5.9115646258503398</v>
      </c>
      <c r="L67" s="778">
        <f t="shared" si="369"/>
        <v>-1.812688821752266E-2</v>
      </c>
      <c r="M67" s="778">
        <f t="shared" si="369"/>
        <v>7.8156091089984517E-2</v>
      </c>
      <c r="N67" s="778">
        <f t="shared" si="369"/>
        <v>4.7201243891603732E-2</v>
      </c>
      <c r="O67" s="778">
        <f t="shared" si="369"/>
        <v>2.8001697072549851E-2</v>
      </c>
      <c r="P67" s="777">
        <f t="shared" si="369"/>
        <v>0.14997842037116962</v>
      </c>
      <c r="Q67" s="778">
        <f t="shared" si="369"/>
        <v>0.10183727034120735</v>
      </c>
      <c r="R67" s="778">
        <f t="shared" si="369"/>
        <v>6.8642350557244172E-2</v>
      </c>
      <c r="S67" s="778">
        <f t="shared" si="369"/>
        <v>9.0066865383066144E-2</v>
      </c>
      <c r="T67" s="778">
        <f t="shared" si="369"/>
        <v>5.839706819630338E-2</v>
      </c>
      <c r="U67" s="777">
        <f t="shared" si="369"/>
        <v>0.31372210471791773</v>
      </c>
      <c r="V67" s="778">
        <f t="shared" ref="V67:AE67" si="370">V58/V73</f>
        <v>6.3317057804378643E-2</v>
      </c>
      <c r="W67" s="778">
        <f t="shared" si="370"/>
        <v>3.9698890649762279E-2</v>
      </c>
      <c r="X67" s="778">
        <f t="shared" si="370"/>
        <v>7.2555948174322732E-2</v>
      </c>
      <c r="Y67" s="778">
        <f t="shared" si="370"/>
        <v>8.3836507199256852E-2</v>
      </c>
      <c r="Z67" s="777">
        <f t="shared" si="370"/>
        <v>0.25991249926428756</v>
      </c>
      <c r="AA67" s="778">
        <f t="shared" si="370"/>
        <v>8.5551763367463021E-2</v>
      </c>
      <c r="AB67" s="778">
        <f t="shared" si="370"/>
        <v>0.10755412252418241</v>
      </c>
      <c r="AC67" s="778">
        <f t="shared" si="370"/>
        <v>0.10213041600690946</v>
      </c>
      <c r="AD67" s="778">
        <f t="shared" si="370"/>
        <v>0.11575148234080948</v>
      </c>
      <c r="AE67" s="777">
        <f t="shared" si="370"/>
        <v>0.41308139012243578</v>
      </c>
      <c r="AF67" s="778">
        <f t="shared" ref="AF67:AO67" si="371">AF58/AF73</f>
        <v>0.11822153687997944</v>
      </c>
      <c r="AG67" s="778">
        <f t="shared" si="371"/>
        <v>0.13405131453911942</v>
      </c>
      <c r="AH67" s="778">
        <f t="shared" si="371"/>
        <v>0.14775428499937446</v>
      </c>
      <c r="AI67" s="778">
        <f t="shared" si="371"/>
        <v>0.12787005373717636</v>
      </c>
      <c r="AJ67" s="777">
        <f t="shared" si="371"/>
        <v>0.52813485897254786</v>
      </c>
      <c r="AK67" s="778">
        <f t="shared" si="371"/>
        <v>0.14432560903149139</v>
      </c>
      <c r="AL67" s="778">
        <f t="shared" si="371"/>
        <v>0.15982824427480916</v>
      </c>
      <c r="AM67" s="778">
        <f t="shared" si="371"/>
        <v>0.16543504171632897</v>
      </c>
      <c r="AN67" s="778">
        <f>AN58/AN73</f>
        <v>0.18264541453550612</v>
      </c>
      <c r="AO67" s="777">
        <f t="shared" si="371"/>
        <v>0.65222050244076679</v>
      </c>
      <c r="AP67" s="778">
        <f t="shared" ref="AP67:AY67" si="372">AP58/AP73</f>
        <v>0.17224149080007053</v>
      </c>
      <c r="AQ67" s="778">
        <f t="shared" si="372"/>
        <v>0.18419814095775974</v>
      </c>
      <c r="AR67" s="778">
        <f t="shared" si="372"/>
        <v>0.21748563386888706</v>
      </c>
      <c r="AS67" s="778">
        <f t="shared" si="372"/>
        <v>0.26621858562244299</v>
      </c>
      <c r="AT67" s="777">
        <f t="shared" si="372"/>
        <v>0.84050870579261583</v>
      </c>
      <c r="AU67" s="778">
        <f>AU58/AU73</f>
        <v>0.22121087556521229</v>
      </c>
      <c r="AV67" s="778">
        <f t="shared" si="372"/>
        <v>0.22827102803738317</v>
      </c>
      <c r="AW67" s="778">
        <f t="shared" si="372"/>
        <v>0.26993829652269191</v>
      </c>
      <c r="AX67" s="778">
        <f t="shared" si="372"/>
        <v>0.28843717609121272</v>
      </c>
      <c r="AY67" s="777">
        <f t="shared" si="372"/>
        <v>1.0087719298245614</v>
      </c>
      <c r="AZ67" s="778">
        <f>AZ58/AZ73</f>
        <v>0.25027309837290862</v>
      </c>
      <c r="BA67" s="778">
        <f t="shared" ref="BA67:BI67" si="373">BA58/BA73</f>
        <v>0.22539993094717459</v>
      </c>
      <c r="BB67" s="778">
        <f t="shared" si="373"/>
        <v>0.23434807581849512</v>
      </c>
      <c r="BC67" s="778">
        <f t="shared" si="373"/>
        <v>0.25102453102453104</v>
      </c>
      <c r="BD67" s="779">
        <f t="shared" si="373"/>
        <v>0.96101056023940379</v>
      </c>
      <c r="BE67" s="778">
        <f t="shared" si="373"/>
        <v>0.39053562142485698</v>
      </c>
      <c r="BF67" s="778">
        <f t="shared" si="373"/>
        <v>0.49011339677474502</v>
      </c>
      <c r="BG67" s="778">
        <f t="shared" si="373"/>
        <v>0.52122202807057094</v>
      </c>
      <c r="BH67" s="778">
        <f t="shared" si="373"/>
        <v>0.52860850919760749</v>
      </c>
      <c r="BI67" s="777">
        <f t="shared" si="373"/>
        <v>1.932621339893912</v>
      </c>
      <c r="BJ67" s="778">
        <f t="shared" ref="BJ67:BN67" si="374">BJ58/BJ73</f>
        <v>0.59509782125389066</v>
      </c>
      <c r="BK67" s="778">
        <f t="shared" si="374"/>
        <v>0.6004441976679622</v>
      </c>
      <c r="BL67" s="778">
        <f t="shared" si="374"/>
        <v>0.32803629077145718</v>
      </c>
      <c r="BM67" s="778">
        <f t="shared" si="374"/>
        <v>0.35079378319014654</v>
      </c>
      <c r="BN67" s="777">
        <f t="shared" si="374"/>
        <v>1.2686464088397791</v>
      </c>
      <c r="BO67" s="778">
        <f t="shared" ref="BO67:BS67" si="375">BO58/BO73</f>
        <v>0.37532706118131715</v>
      </c>
      <c r="BP67" s="778">
        <f>BP58/BP73</f>
        <v>0.37052976454908931</v>
      </c>
      <c r="BQ67" s="780">
        <f t="shared" si="375"/>
        <v>0.39179453335533193</v>
      </c>
      <c r="BR67" s="778">
        <f t="shared" si="375"/>
        <v>0.39916448230668417</v>
      </c>
      <c r="BS67" s="777">
        <f t="shared" si="375"/>
        <v>1.5371622554025337</v>
      </c>
      <c r="BT67" s="778">
        <f t="shared" ref="BT67:BX67" si="376">BT58/BT73</f>
        <v>0.42691029900332228</v>
      </c>
      <c r="BU67" s="778">
        <f t="shared" si="376"/>
        <v>0.46026174734035319</v>
      </c>
      <c r="BV67" s="780">
        <f t="shared" si="376"/>
        <v>0.46935026340672698</v>
      </c>
      <c r="BW67" s="780">
        <f t="shared" si="376"/>
        <v>0.46158610475292849</v>
      </c>
      <c r="BX67" s="777">
        <f t="shared" si="376"/>
        <v>1.8183099068585944</v>
      </c>
      <c r="BY67" s="778">
        <f t="shared" ref="BY67:CB67" si="377">BY58/BY73</f>
        <v>0.55154235042850575</v>
      </c>
      <c r="BZ67" s="778">
        <f t="shared" si="377"/>
        <v>0.53491400358092345</v>
      </c>
      <c r="CA67" s="778">
        <f t="shared" si="377"/>
        <v>0.62592442096708656</v>
      </c>
      <c r="CB67" s="778">
        <f t="shared" si="377"/>
        <v>0.6346325498363582</v>
      </c>
      <c r="CC67" s="777">
        <f>CC58/CC73</f>
        <v>2.3470897608588235</v>
      </c>
      <c r="CD67" s="778">
        <f t="shared" ref="CD67:CG67" si="378">CD58/CD73</f>
        <v>0.6694657515812138</v>
      </c>
      <c r="CE67" s="778">
        <f t="shared" si="378"/>
        <v>0.68489534728702839</v>
      </c>
      <c r="CF67" s="778">
        <f t="shared" si="378"/>
        <v>0.74560983397190295</v>
      </c>
      <c r="CG67" s="778">
        <f t="shared" si="378"/>
        <v>0.75294899043570673</v>
      </c>
      <c r="CH67" s="777">
        <f>CH58/CH73</f>
        <v>2.853540070988231</v>
      </c>
      <c r="CI67" s="781">
        <f t="shared" ref="CI67:CL67" si="379">CI58/CI73</f>
        <v>0.86241575120734493</v>
      </c>
      <c r="CJ67" s="778">
        <f t="shared" si="379"/>
        <v>0.79730913143857973</v>
      </c>
      <c r="CK67" s="778">
        <f t="shared" si="379"/>
        <v>0.92296557532371826</v>
      </c>
      <c r="CL67" s="778">
        <f t="shared" si="379"/>
        <v>0.89681952662721898</v>
      </c>
      <c r="CM67" s="782">
        <f>CM58/CM73</f>
        <v>3.4800722121927512</v>
      </c>
      <c r="CN67" s="781">
        <f>CN58/CN73</f>
        <v>0.99606949139218615</v>
      </c>
      <c r="CO67" s="778">
        <f t="shared" ref="CO67" si="380">CO58/CO73</f>
        <v>0.99533200461554605</v>
      </c>
      <c r="CP67" s="781">
        <f t="shared" ref="CP67:CQ67" si="381">CP58/CP73</f>
        <v>1.130603005816861</v>
      </c>
      <c r="CQ67" s="778">
        <f t="shared" si="381"/>
        <v>1.1447713370230119</v>
      </c>
      <c r="CR67" s="782">
        <f>CR58/CR73</f>
        <v>4.2657266311961122</v>
      </c>
      <c r="CS67" s="781">
        <f>CS58/CS73</f>
        <v>0.97015086856567156</v>
      </c>
      <c r="CT67" s="781">
        <f t="shared" ref="CT67:CV67" si="382">CT58/CT73</f>
        <v>1.094275708070322</v>
      </c>
      <c r="CU67" s="781">
        <f t="shared" si="382"/>
        <v>1.1785557051212856</v>
      </c>
      <c r="CV67" s="781">
        <f t="shared" si="382"/>
        <v>1.2204721036591686</v>
      </c>
      <c r="CW67" s="782">
        <f>CW58/CW73</f>
        <v>4.4648138138456499</v>
      </c>
    </row>
    <row r="68" spans="2:101">
      <c r="B68" s="11"/>
      <c r="C68" s="2" t="s">
        <v>29</v>
      </c>
      <c r="D68" s="32"/>
      <c r="E68" s="34">
        <f>E67/D67-1</f>
        <v>0.63344686987220933</v>
      </c>
      <c r="F68" s="34">
        <f>F67/E67-1</f>
        <v>4.3230778818788007E-2</v>
      </c>
      <c r="G68" s="37"/>
      <c r="H68" s="37"/>
      <c r="I68" s="37"/>
      <c r="J68" s="37"/>
      <c r="K68" s="34">
        <f t="shared" ref="K68:U68" si="383">K67/F67-1</f>
        <v>-0.48168746171454369</v>
      </c>
      <c r="L68" s="37" t="e">
        <f t="shared" si="383"/>
        <v>#DIV/0!</v>
      </c>
      <c r="M68" s="37" t="e">
        <f t="shared" si="383"/>
        <v>#DIV/0!</v>
      </c>
      <c r="N68" s="37" t="e">
        <f t="shared" si="383"/>
        <v>#DIV/0!</v>
      </c>
      <c r="O68" s="37" t="e">
        <f t="shared" si="383"/>
        <v>#DIV/0!</v>
      </c>
      <c r="P68" s="34">
        <f t="shared" si="383"/>
        <v>-1.0253703426864924</v>
      </c>
      <c r="Q68" s="37">
        <f t="shared" si="383"/>
        <v>-6.6180227471566049</v>
      </c>
      <c r="R68" s="37">
        <f t="shared" si="383"/>
        <v>-0.12172743544436937</v>
      </c>
      <c r="S68" s="37">
        <f t="shared" si="383"/>
        <v>0.90814601390382954</v>
      </c>
      <c r="T68" s="37">
        <f t="shared" si="383"/>
        <v>1.0854831778588951</v>
      </c>
      <c r="U68" s="34">
        <f t="shared" si="383"/>
        <v>1.0917816305940011</v>
      </c>
      <c r="V68" s="37">
        <f t="shared" ref="V68:AE68" si="384">V67/Q67-1</f>
        <v>-0.37825260248793136</v>
      </c>
      <c r="W68" s="37">
        <f t="shared" si="384"/>
        <v>-0.42165601370752215</v>
      </c>
      <c r="X68" s="37">
        <f t="shared" si="384"/>
        <v>-0.1944213017103148</v>
      </c>
      <c r="Y68" s="37">
        <f t="shared" si="384"/>
        <v>0.43562870172588264</v>
      </c>
      <c r="Z68" s="34">
        <f t="shared" si="384"/>
        <v>-0.171519968291724</v>
      </c>
      <c r="AA68" s="37">
        <f t="shared" si="384"/>
        <v>0.35116454134334019</v>
      </c>
      <c r="AB68" s="37">
        <f t="shared" si="384"/>
        <v>1.7092475573955732</v>
      </c>
      <c r="AC68" s="37">
        <f t="shared" si="384"/>
        <v>0.40760914269263204</v>
      </c>
      <c r="AD68" s="37">
        <f t="shared" si="384"/>
        <v>0.3806811162313728</v>
      </c>
      <c r="AE68" s="34">
        <f t="shared" si="384"/>
        <v>0.58930944564694077</v>
      </c>
      <c r="AF68" s="37">
        <f t="shared" ref="AF68:AO68" si="385">AF67/AA67-1</f>
        <v>0.38187142177529165</v>
      </c>
      <c r="AG68" s="37">
        <f t="shared" si="385"/>
        <v>0.24636147265279762</v>
      </c>
      <c r="AH68" s="37">
        <f t="shared" si="385"/>
        <v>0.44672166017005543</v>
      </c>
      <c r="AI68" s="37">
        <f t="shared" si="385"/>
        <v>0.10469474041538329</v>
      </c>
      <c r="AJ68" s="34">
        <f t="shared" si="385"/>
        <v>0.27852493867131289</v>
      </c>
      <c r="AK68" s="37">
        <f t="shared" si="385"/>
        <v>0.22080640161202814</v>
      </c>
      <c r="AL68" s="37">
        <f t="shared" si="385"/>
        <v>0.1922915103392544</v>
      </c>
      <c r="AM68" s="37">
        <f t="shared" si="385"/>
        <v>0.11966324169230935</v>
      </c>
      <c r="AN68" s="37">
        <f t="shared" si="385"/>
        <v>0.42836738702647947</v>
      </c>
      <c r="AO68" s="34">
        <f t="shared" si="385"/>
        <v>0.23495067852483653</v>
      </c>
      <c r="AP68" s="37">
        <f t="shared" ref="AP68:AY68" si="386">AP67/AK67-1</f>
        <v>0.19342292719851262</v>
      </c>
      <c r="AQ68" s="37">
        <f t="shared" si="386"/>
        <v>0.15247553267899838</v>
      </c>
      <c r="AR68" s="37">
        <f t="shared" si="386"/>
        <v>0.31462857936596711</v>
      </c>
      <c r="AS68" s="37">
        <f t="shared" si="386"/>
        <v>0.45757059545938028</v>
      </c>
      <c r="AT68" s="34">
        <f t="shared" si="386"/>
        <v>0.28868795544946702</v>
      </c>
      <c r="AU68" s="37">
        <f t="shared" si="386"/>
        <v>0.28430655434806362</v>
      </c>
      <c r="AV68" s="37">
        <f t="shared" si="386"/>
        <v>0.239268902772098</v>
      </c>
      <c r="AW68" s="37">
        <f t="shared" si="386"/>
        <v>0.24117759743812028</v>
      </c>
      <c r="AX68" s="37">
        <f t="shared" si="386"/>
        <v>8.34599523426236E-2</v>
      </c>
      <c r="AY68" s="34">
        <f t="shared" si="386"/>
        <v>0.20019212516456952</v>
      </c>
      <c r="AZ68" s="37">
        <f t="shared" ref="AZ68:BI68" si="387">AZ67/AU67-1</f>
        <v>0.13137791138631827</v>
      </c>
      <c r="BA68" s="37">
        <f t="shared" si="387"/>
        <v>-1.2577579883411127E-2</v>
      </c>
      <c r="BB68" s="37">
        <f t="shared" si="387"/>
        <v>-0.13184576313426111</v>
      </c>
      <c r="BC68" s="37">
        <f t="shared" si="387"/>
        <v>-0.12970812422199918</v>
      </c>
      <c r="BD68" s="34">
        <f t="shared" si="387"/>
        <v>-4.7346053327895432E-2</v>
      </c>
      <c r="BE68" s="37">
        <f t="shared" si="387"/>
        <v>0.56043787352229213</v>
      </c>
      <c r="BF68" s="37">
        <f t="shared" si="387"/>
        <v>1.1744168009066938</v>
      </c>
      <c r="BG68" s="37">
        <f t="shared" si="387"/>
        <v>1.2241361540952549</v>
      </c>
      <c r="BH68" s="37">
        <f t="shared" si="387"/>
        <v>1.1058041898938948</v>
      </c>
      <c r="BI68" s="34">
        <f t="shared" si="387"/>
        <v>1.0110302840090162</v>
      </c>
      <c r="BJ68" s="37">
        <f t="shared" ref="BJ68" si="388">BJ67/BE67-1</f>
        <v>0.52379908158619415</v>
      </c>
      <c r="BK68" s="37">
        <f t="shared" ref="BK68" si="389">BK67/BF67-1</f>
        <v>0.22511280372922537</v>
      </c>
      <c r="BL68" s="37">
        <f t="shared" ref="BL68" si="390">BL67/BG67-1</f>
        <v>-0.37064000923797746</v>
      </c>
      <c r="BM68" s="37">
        <f t="shared" ref="BM68" si="391">BM67/BH67-1</f>
        <v>-0.33638264029720566</v>
      </c>
      <c r="BN68" s="34">
        <f t="shared" ref="BN68" si="392">BN67/BI67-1</f>
        <v>-0.34356183353050462</v>
      </c>
      <c r="BO68" s="37">
        <f t="shared" ref="BO68" si="393">BO67/BJ67-1</f>
        <v>-0.3693019067176373</v>
      </c>
      <c r="BP68" s="37">
        <f t="shared" ref="BP68" si="394">BP67/BK67-1</f>
        <v>-0.38290724435647316</v>
      </c>
      <c r="BQ68" s="122">
        <f t="shared" ref="BQ68" si="395">BQ67/BL67-1</f>
        <v>0.19436338105741813</v>
      </c>
      <c r="BR68" s="37">
        <f t="shared" ref="BR68" si="396">BR67/BM67-1</f>
        <v>0.13788927123123629</v>
      </c>
      <c r="BS68" s="34">
        <f t="shared" ref="BS68" si="397">BS67/BN67-1</f>
        <v>0.21165538694766939</v>
      </c>
      <c r="BT68" s="37">
        <f t="shared" ref="BT68" si="398">BT67/BO67-1</f>
        <v>0.13743543473697395</v>
      </c>
      <c r="BU68" s="37">
        <f t="shared" ref="BU68" si="399">BU67/BP67-1</f>
        <v>0.24217213130087378</v>
      </c>
      <c r="BV68" s="122">
        <f t="shared" ref="BV68" si="400">BV67/BQ67-1</f>
        <v>0.19795000554807918</v>
      </c>
      <c r="BW68" s="122">
        <f t="shared" ref="BW68" si="401">BW67/BR67-1</f>
        <v>0.15638070322670861</v>
      </c>
      <c r="BX68" s="34">
        <f t="shared" ref="BX68" si="402">BX67/BS67-1</f>
        <v>0.18290043908373033</v>
      </c>
      <c r="BY68" s="37">
        <f t="shared" ref="BY68" si="403">BY67/BT67-1</f>
        <v>0.29193966909712232</v>
      </c>
      <c r="BZ68" s="37">
        <f t="shared" ref="BZ68" si="404">BZ67/BU67-1</f>
        <v>0.16219522189700153</v>
      </c>
      <c r="CA68" s="37">
        <f t="shared" ref="CA68" si="405">CA67/BV67-1</f>
        <v>0.33359767697557774</v>
      </c>
      <c r="CB68" s="37">
        <f t="shared" ref="CB68" si="406">CB67/BW67-1</f>
        <v>0.37489526504714799</v>
      </c>
      <c r="CC68" s="34">
        <f t="shared" ref="CC68" si="407">CC67/BX67-1</f>
        <v>0.29080843260309597</v>
      </c>
      <c r="CD68" s="37">
        <f t="shared" ref="CD68" si="408">CD67/BY67-1</f>
        <v>0.21380661169734427</v>
      </c>
      <c r="CE68" s="37">
        <f t="shared" ref="CE68" si="409">CE67/BZ67-1</f>
        <v>0.28038402939925144</v>
      </c>
      <c r="CF68" s="37">
        <f t="shared" ref="CF68" si="410">CF67/CA67-1</f>
        <v>0.19121384147289877</v>
      </c>
      <c r="CG68" s="37">
        <f t="shared" ref="CG68" si="411">CG67/CB67-1</f>
        <v>0.18643298492940019</v>
      </c>
      <c r="CH68" s="34">
        <f t="shared" ref="CH68" si="412">CH67/CC67-1</f>
        <v>0.21577798965135964</v>
      </c>
      <c r="CI68" s="5">
        <f t="shared" ref="CI68:CL68" si="413">CI67/CD67-1</f>
        <v>0.28821489250256915</v>
      </c>
      <c r="CJ68" s="37">
        <f t="shared" si="413"/>
        <v>0.16413278991723179</v>
      </c>
      <c r="CK68" s="37">
        <f t="shared" si="413"/>
        <v>0.23786668746981499</v>
      </c>
      <c r="CL68" s="37">
        <f t="shared" si="413"/>
        <v>0.19107607290669071</v>
      </c>
      <c r="CM68" s="146">
        <f t="shared" ref="CM68" si="414">CM67/CH67-1</f>
        <v>0.21956311305190157</v>
      </c>
      <c r="CN68" s="5">
        <f t="shared" ref="CN68:CO68" si="415">CN67/CI67-1</f>
        <v>0.1549759962033761</v>
      </c>
      <c r="CO68" s="37">
        <f t="shared" si="415"/>
        <v>0.24836398502005741</v>
      </c>
      <c r="CP68" s="5">
        <f t="shared" ref="CP68:CQ68" si="416">CP67/CK67-1</f>
        <v>0.22496768681791468</v>
      </c>
      <c r="CQ68" s="37">
        <f t="shared" si="416"/>
        <v>0.27647904961246361</v>
      </c>
      <c r="CR68" s="146">
        <f t="shared" ref="CR68" si="417">CR67/CM67-1</f>
        <v>0.22575807945902637</v>
      </c>
      <c r="CS68" s="5">
        <f t="shared" ref="CS68" si="418">CS67/CN67-1</f>
        <v>-2.602089819083675E-2</v>
      </c>
      <c r="CT68" s="5">
        <f t="shared" ref="CT68" si="419">CT67/CO67-1</f>
        <v>9.9407738318425309E-2</v>
      </c>
      <c r="CU68" s="5">
        <f t="shared" ref="CU68" si="420">CU67/CP67-1</f>
        <v>4.2413383882504929E-2</v>
      </c>
      <c r="CV68" s="5">
        <f t="shared" ref="CV68" si="421">CV67/CQ67-1</f>
        <v>6.6127412687512876E-2</v>
      </c>
      <c r="CW68" s="146">
        <f t="shared" ref="CW68" si="422">CW67/CR67-1</f>
        <v>4.6671341101319763E-2</v>
      </c>
    </row>
    <row r="69" spans="2:101">
      <c r="B69" s="7" t="s">
        <v>30</v>
      </c>
      <c r="C69" s="4"/>
      <c r="D69" s="35">
        <f>D64/D73</f>
        <v>-6.6930693069306928</v>
      </c>
      <c r="E69" s="35">
        <f t="shared" ref="E69:U69" si="423">E64/E73</f>
        <v>-10.932773109243698</v>
      </c>
      <c r="F69" s="35">
        <f t="shared" si="423"/>
        <v>-11.654054054054054</v>
      </c>
      <c r="G69" s="27" t="e">
        <f t="shared" si="423"/>
        <v>#DIV/0!</v>
      </c>
      <c r="H69" s="27" t="e">
        <f t="shared" si="423"/>
        <v>#DIV/0!</v>
      </c>
      <c r="I69" s="27" t="e">
        <f t="shared" si="423"/>
        <v>#DIV/0!</v>
      </c>
      <c r="J69" s="27" t="e">
        <f t="shared" si="423"/>
        <v>#DIV/0!</v>
      </c>
      <c r="K69" s="35">
        <f t="shared" si="423"/>
        <v>-6.4455782312925169</v>
      </c>
      <c r="L69" s="27">
        <f t="shared" si="423"/>
        <v>-0.16314199395770393</v>
      </c>
      <c r="M69" s="27">
        <f t="shared" si="423"/>
        <v>7.2628786203847009E-2</v>
      </c>
      <c r="N69" s="27">
        <f t="shared" si="423"/>
        <v>3.8427365615282094E-2</v>
      </c>
      <c r="O69" s="27">
        <f t="shared" si="423"/>
        <v>2.2592278319898174E-2</v>
      </c>
      <c r="P69" s="35">
        <f t="shared" si="423"/>
        <v>0.12537764350453173</v>
      </c>
      <c r="Q69" s="27">
        <f t="shared" si="423"/>
        <v>9.6482939632545936E-2</v>
      </c>
      <c r="R69" s="27">
        <f t="shared" si="423"/>
        <v>5.3866936845660247E-2</v>
      </c>
      <c r="S69" s="27">
        <f t="shared" si="423"/>
        <v>7.1376782405542571E-2</v>
      </c>
      <c r="T69" s="27">
        <f t="shared" si="423"/>
        <v>3.5133843212237094E-2</v>
      </c>
      <c r="U69" s="35">
        <f t="shared" si="423"/>
        <v>0.24897483489446195</v>
      </c>
      <c r="V69" s="27">
        <f t="shared" ref="V69:AE69" si="424">V64/V73</f>
        <v>3.8746259253425737E-2</v>
      </c>
      <c r="W69" s="27">
        <f>W64/W72</f>
        <v>-9.1450625052437277E-3</v>
      </c>
      <c r="X69" s="27">
        <f t="shared" si="424"/>
        <v>1.3898704358068316E-2</v>
      </c>
      <c r="Y69" s="27">
        <f t="shared" si="424"/>
        <v>1.0174175568973525</v>
      </c>
      <c r="Z69" s="35">
        <f t="shared" si="424"/>
        <v>7.0706872535363244E-2</v>
      </c>
      <c r="AA69" s="27">
        <f t="shared" si="424"/>
        <v>1.9416003033750472E-2</v>
      </c>
      <c r="AB69" s="27">
        <f t="shared" si="424"/>
        <v>3.2703823122984803E-2</v>
      </c>
      <c r="AC69" s="27">
        <f t="shared" si="424"/>
        <v>1.2523391391967755E-2</v>
      </c>
      <c r="AD69" s="27">
        <f t="shared" si="424"/>
        <v>2.3588553750966745E-2</v>
      </c>
      <c r="AE69" s="35">
        <f t="shared" si="424"/>
        <v>8.7880476798331567E-2</v>
      </c>
      <c r="AF69" s="27">
        <f t="shared" ref="AF69:AO69" si="425">AF64/AF73</f>
        <v>1.2785916216910821E-2</v>
      </c>
      <c r="AG69" s="27">
        <f t="shared" si="425"/>
        <v>1.824516946468166E-2</v>
      </c>
      <c r="AH69" s="27">
        <f t="shared" si="425"/>
        <v>1.6889778556236707E-2</v>
      </c>
      <c r="AI69" s="27">
        <f t="shared" si="425"/>
        <v>1.7953102100635075E-2</v>
      </c>
      <c r="AJ69" s="35">
        <f t="shared" si="425"/>
        <v>6.598546561818211E-2</v>
      </c>
      <c r="AK69" s="27">
        <f t="shared" si="425"/>
        <v>2.2162804515745694E-2</v>
      </c>
      <c r="AL69" s="27">
        <f t="shared" si="425"/>
        <v>3.8108301526717556E-2</v>
      </c>
      <c r="AM69" s="27">
        <f t="shared" si="425"/>
        <v>4.9940405244338501E-2</v>
      </c>
      <c r="AN69" s="27">
        <f t="shared" si="425"/>
        <v>5.0791007493755203E-2</v>
      </c>
      <c r="AO69" s="35">
        <f t="shared" si="425"/>
        <v>0.16097154423145613</v>
      </c>
      <c r="AP69" s="27">
        <f t="shared" ref="AP69:AY69" si="426">AP64/AP73</f>
        <v>3.4448298160014108E-2</v>
      </c>
      <c r="AQ69" s="27">
        <f t="shared" si="426"/>
        <v>3.8298623367454994E-2</v>
      </c>
      <c r="AR69" s="27">
        <f t="shared" si="426"/>
        <v>7.4469332707869124E-2</v>
      </c>
      <c r="AS69" s="27">
        <f t="shared" si="426"/>
        <v>0.12460549386323787</v>
      </c>
      <c r="AT69" s="35">
        <f t="shared" si="426"/>
        <v>0.27218986988983906</v>
      </c>
      <c r="AU69" s="27">
        <f t="shared" si="426"/>
        <v>6.1307181866228196E-2</v>
      </c>
      <c r="AV69" s="248">
        <f t="shared" si="426"/>
        <v>2.0560747663551402E-2</v>
      </c>
      <c r="AW69" s="27">
        <f t="shared" si="426"/>
        <v>0.14468600426734329</v>
      </c>
      <c r="AX69" s="27">
        <f t="shared" si="426"/>
        <v>0.10393873085339168</v>
      </c>
      <c r="AY69" s="35">
        <f t="shared" si="426"/>
        <v>0.33170675031950736</v>
      </c>
      <c r="AZ69" s="27">
        <f>AZ64/AZ73</f>
        <v>0.17081584545506814</v>
      </c>
      <c r="BA69" s="27">
        <f t="shared" ref="BA69:BI69" si="427">BA64/BA73</f>
        <v>0.10501783864656462</v>
      </c>
      <c r="BB69" s="27">
        <f t="shared" si="427"/>
        <v>0.1070649052268811</v>
      </c>
      <c r="BC69" s="27">
        <f t="shared" si="427"/>
        <v>-0.52531024531024528</v>
      </c>
      <c r="BD69" s="35">
        <f t="shared" si="427"/>
        <v>-0.14047708111529938</v>
      </c>
      <c r="BE69" s="27">
        <f t="shared" si="427"/>
        <v>0.18801640954527071</v>
      </c>
      <c r="BF69" s="27">
        <f t="shared" si="427"/>
        <v>0.30862157387885347</v>
      </c>
      <c r="BG69" s="27">
        <f>BG64/BG73</f>
        <v>0.45437123048306183</v>
      </c>
      <c r="BH69" s="27">
        <f t="shared" si="427"/>
        <v>0.40294549147951697</v>
      </c>
      <c r="BI69" s="35">
        <f t="shared" si="427"/>
        <v>1.3579260228387775</v>
      </c>
      <c r="BJ69" s="27">
        <f>BJ64/BJ73</f>
        <v>0.37866829702089816</v>
      </c>
      <c r="BK69" s="27">
        <f t="shared" ref="BK69:BN69" si="428">BK64/BK73</f>
        <v>0.48839533592448642</v>
      </c>
      <c r="BL69" s="27">
        <f t="shared" si="428"/>
        <v>0.24883112545920072</v>
      </c>
      <c r="BM69" s="27">
        <f t="shared" si="428"/>
        <v>0.25473350571357078</v>
      </c>
      <c r="BN69" s="35">
        <f t="shared" si="428"/>
        <v>0.91779005524861879</v>
      </c>
      <c r="BO69" s="27">
        <f>BO64/BO73</f>
        <v>0.26484996938150646</v>
      </c>
      <c r="BP69" s="27">
        <f>BP64/BP73</f>
        <v>0.3108063083074189</v>
      </c>
      <c r="BQ69" s="461">
        <f t="shared" ref="BQ69:BS69" si="429">BQ64/BQ73</f>
        <v>0.31367211131276468</v>
      </c>
      <c r="BR69" s="27">
        <f t="shared" si="429"/>
        <v>0.36779161205766708</v>
      </c>
      <c r="BS69" s="35">
        <f t="shared" si="429"/>
        <v>1.2581348494466371</v>
      </c>
      <c r="BT69" s="27">
        <f t="shared" ref="BT69:BX69" si="430">BT64/BT73</f>
        <v>0.27776264909318665</v>
      </c>
      <c r="BU69" s="27">
        <f t="shared" si="430"/>
        <v>0.27706581775637362</v>
      </c>
      <c r="BV69" s="461">
        <f t="shared" si="430"/>
        <v>0.30930703768742401</v>
      </c>
      <c r="BW69" s="461">
        <f t="shared" si="430"/>
        <v>0.34374579237915714</v>
      </c>
      <c r="BX69" s="35">
        <f t="shared" si="430"/>
        <v>1.2083861134631668</v>
      </c>
      <c r="BY69" s="27">
        <f t="shared" ref="BY69:CB69" si="431">BY64/BY73</f>
        <v>0.34072291762415852</v>
      </c>
      <c r="BZ69" s="27">
        <f t="shared" si="431"/>
        <v>0.29170961966252507</v>
      </c>
      <c r="CA69" s="27">
        <f t="shared" si="431"/>
        <v>0.42971691724231342</v>
      </c>
      <c r="CB69" s="27">
        <f t="shared" si="431"/>
        <v>0.43047253252549295</v>
      </c>
      <c r="CC69" s="35">
        <f>CC64/CC73</f>
        <v>1.492760784366814</v>
      </c>
      <c r="CD69" s="27">
        <f t="shared" ref="CD69:CG69" si="432">CD64/CD73</f>
        <v>0.4114923967164581</v>
      </c>
      <c r="CE69" s="27">
        <f t="shared" si="432"/>
        <v>0.39146780429276096</v>
      </c>
      <c r="CF69" s="27">
        <f t="shared" si="432"/>
        <v>0.44811621966794379</v>
      </c>
      <c r="CG69" s="27">
        <f t="shared" si="432"/>
        <v>0.50507438894792778</v>
      </c>
      <c r="CH69" s="35">
        <f>CH64/CH73</f>
        <v>1.7566651543860585</v>
      </c>
      <c r="CI69" s="654">
        <f t="shared" ref="CI69:CL69" si="433">CI64/CI73</f>
        <v>0.47771055564400572</v>
      </c>
      <c r="CJ69" s="27">
        <f t="shared" si="433"/>
        <v>0.47851816468964786</v>
      </c>
      <c r="CK69" s="27">
        <f t="shared" si="433"/>
        <v>0.61743341404358354</v>
      </c>
      <c r="CL69" s="27">
        <f t="shared" si="433"/>
        <v>0.46383664412510567</v>
      </c>
      <c r="CM69" s="655">
        <f>CM64/CM73</f>
        <v>2.0381825275590031</v>
      </c>
      <c r="CN69" s="654">
        <f t="shared" ref="CN69:CQ69" si="434">CN64/CN73</f>
        <v>0.58161046039357489</v>
      </c>
      <c r="CO69" s="27">
        <f t="shared" si="434"/>
        <v>0.51749187034511701</v>
      </c>
      <c r="CP69" s="654">
        <f t="shared" si="434"/>
        <v>0.67299239333561445</v>
      </c>
      <c r="CQ69" s="27">
        <f t="shared" si="434"/>
        <v>0.6842941503588168</v>
      </c>
      <c r="CR69" s="655">
        <f>CR64/CR73</f>
        <v>2.4554656003577748</v>
      </c>
      <c r="CS69" s="654">
        <f t="shared" ref="CS69:CV69" si="435">CS64/CS73</f>
        <v>0.47921846336325363</v>
      </c>
      <c r="CT69" s="654">
        <f t="shared" si="435"/>
        <v>0.61526010996922131</v>
      </c>
      <c r="CU69" s="654">
        <f t="shared" si="435"/>
        <v>0.70200681397914877</v>
      </c>
      <c r="CV69" s="654">
        <f t="shared" si="435"/>
        <v>0.74546692070073595</v>
      </c>
      <c r="CW69" s="655">
        <f>CW64/CW73</f>
        <v>2.5433935198390607</v>
      </c>
    </row>
    <row r="70" spans="2:101" ht="13.15" thickBot="1">
      <c r="B70" s="17"/>
      <c r="C70" s="18" t="s">
        <v>29</v>
      </c>
      <c r="D70" s="36"/>
      <c r="E70" s="68">
        <f>E69/D69-1</f>
        <v>0.63344686987220933</v>
      </c>
      <c r="F70" s="68">
        <f>F69/E69-1</f>
        <v>6.5974198641377768E-2</v>
      </c>
      <c r="G70" s="69"/>
      <c r="H70" s="69"/>
      <c r="I70" s="69"/>
      <c r="J70" s="69"/>
      <c r="K70" s="68">
        <f t="shared" ref="K70:U70" si="436">K69/F69-1</f>
        <v>-0.44692394583065143</v>
      </c>
      <c r="L70" s="69" t="e">
        <f t="shared" si="436"/>
        <v>#DIV/0!</v>
      </c>
      <c r="M70" s="69" t="e">
        <f t="shared" si="436"/>
        <v>#DIV/0!</v>
      </c>
      <c r="N70" s="69" t="e">
        <f t="shared" si="436"/>
        <v>#DIV/0!</v>
      </c>
      <c r="O70" s="69" t="e">
        <f t="shared" si="436"/>
        <v>#DIV/0!</v>
      </c>
      <c r="P70" s="68">
        <f t="shared" si="436"/>
        <v>-1.0194517293880381</v>
      </c>
      <c r="Q70" s="69">
        <f t="shared" si="436"/>
        <v>-1.5914046855254205</v>
      </c>
      <c r="R70" s="69">
        <f t="shared" si="436"/>
        <v>-0.25832525006721074</v>
      </c>
      <c r="S70" s="69">
        <f t="shared" si="436"/>
        <v>0.85744667277313691</v>
      </c>
      <c r="T70" s="69">
        <f t="shared" si="436"/>
        <v>0.55512616809845694</v>
      </c>
      <c r="U70" s="68">
        <f t="shared" si="436"/>
        <v>0.98579928554378071</v>
      </c>
      <c r="V70" s="69">
        <f t="shared" ref="V70:AE70" si="437">V69/Q69-1</f>
        <v>-0.59841336301536441</v>
      </c>
      <c r="W70" s="69">
        <f t="shared" si="437"/>
        <v>-1.1697713484515779</v>
      </c>
      <c r="X70" s="69">
        <f t="shared" si="437"/>
        <v>-0.80527695575992997</v>
      </c>
      <c r="Y70" s="69">
        <f t="shared" si="437"/>
        <v>27.958333728289269</v>
      </c>
      <c r="Z70" s="68">
        <f t="shared" si="437"/>
        <v>-0.71600795491907765</v>
      </c>
      <c r="AA70" s="69">
        <f t="shared" si="437"/>
        <v>-0.49889348267771649</v>
      </c>
      <c r="AB70" s="69">
        <f t="shared" si="437"/>
        <v>-4.5761180532372094</v>
      </c>
      <c r="AC70" s="69">
        <f t="shared" si="437"/>
        <v>-9.8952602391472522E-2</v>
      </c>
      <c r="AD70" s="69">
        <f t="shared" si="437"/>
        <v>-0.97681526764399385</v>
      </c>
      <c r="AE70" s="68">
        <f t="shared" si="437"/>
        <v>0.24288451245498299</v>
      </c>
      <c r="AF70" s="69">
        <f t="shared" ref="AF70:AO70" si="438">AF69/AA69-1</f>
        <v>-0.34147536984387039</v>
      </c>
      <c r="AG70" s="69">
        <f t="shared" si="438"/>
        <v>-0.44210897312924113</v>
      </c>
      <c r="AH70" s="69">
        <f t="shared" si="438"/>
        <v>0.3486585244847864</v>
      </c>
      <c r="AI70" s="69">
        <f t="shared" si="438"/>
        <v>-0.23890619619274911</v>
      </c>
      <c r="AJ70" s="68">
        <f t="shared" si="438"/>
        <v>-0.24914533896298952</v>
      </c>
      <c r="AK70" s="69">
        <f t="shared" si="438"/>
        <v>0.73337632906063299</v>
      </c>
      <c r="AL70" s="69">
        <f t="shared" si="438"/>
        <v>1.0886789569417936</v>
      </c>
      <c r="AM70" s="69">
        <f t="shared" si="438"/>
        <v>1.9568419193925752</v>
      </c>
      <c r="AN70" s="69">
        <f t="shared" si="438"/>
        <v>1.8290936691079431</v>
      </c>
      <c r="AO70" s="68">
        <f t="shared" si="438"/>
        <v>1.4395000129710516</v>
      </c>
      <c r="AP70" s="69">
        <f t="shared" ref="AP70:AY70" si="439">AP69/AK69-1</f>
        <v>0.55432937810465788</v>
      </c>
      <c r="AQ70" s="69">
        <f t="shared" si="439"/>
        <v>4.994235720634288E-3</v>
      </c>
      <c r="AR70" s="69">
        <f t="shared" si="439"/>
        <v>0.49116396520052952</v>
      </c>
      <c r="AS70" s="69">
        <f t="shared" si="439"/>
        <v>1.4532983299958802</v>
      </c>
      <c r="AT70" s="68">
        <f t="shared" si="439"/>
        <v>0.69091916953014665</v>
      </c>
      <c r="AU70" s="69">
        <f t="shared" si="439"/>
        <v>0.77968681011332386</v>
      </c>
      <c r="AV70" s="69">
        <f t="shared" si="439"/>
        <v>-0.46314656100607254</v>
      </c>
      <c r="AW70" s="69">
        <f t="shared" si="439"/>
        <v>0.94289379273643492</v>
      </c>
      <c r="AX70" s="69">
        <f t="shared" si="439"/>
        <v>-0.16585755867657981</v>
      </c>
      <c r="AY70" s="68">
        <f t="shared" si="439"/>
        <v>0.2186594249585998</v>
      </c>
      <c r="AZ70" s="69">
        <f t="shared" ref="AZ70:BI70" si="440">AZ69/AU69-1</f>
        <v>1.7862289580980417</v>
      </c>
      <c r="BA70" s="69">
        <f t="shared" si="440"/>
        <v>4.1076857887192793</v>
      </c>
      <c r="BB70" s="69">
        <f t="shared" si="440"/>
        <v>-0.26001892326052412</v>
      </c>
      <c r="BC70" s="69">
        <f t="shared" si="440"/>
        <v>-6.0540375180375179</v>
      </c>
      <c r="BD70" s="68">
        <f t="shared" si="440"/>
        <v>-1.4234978063605541</v>
      </c>
      <c r="BE70" s="69">
        <f t="shared" si="440"/>
        <v>0.10069653693062719</v>
      </c>
      <c r="BF70" s="69">
        <f t="shared" si="440"/>
        <v>1.938753814173543</v>
      </c>
      <c r="BG70" s="69">
        <f t="shared" si="440"/>
        <v>3.243885795445336</v>
      </c>
      <c r="BH70" s="69">
        <f t="shared" si="440"/>
        <v>-1.7670619316429659</v>
      </c>
      <c r="BI70" s="68">
        <f t="shared" si="440"/>
        <v>-10.666530739802548</v>
      </c>
      <c r="BJ70" s="69">
        <f t="shared" ref="BJ70" si="441">BJ69/BE69-1</f>
        <v>1.014017276134199</v>
      </c>
      <c r="BK70" s="69">
        <f t="shared" ref="BK70" si="442">BK69/BF69-1</f>
        <v>0.58250549300938204</v>
      </c>
      <c r="BL70" s="69">
        <f t="shared" ref="BL70" si="443">BL69/BG69-1</f>
        <v>-0.45236161806578834</v>
      </c>
      <c r="BM70" s="69">
        <f t="shared" ref="BM70" si="444">BM69/BH69-1</f>
        <v>-0.36782142721524969</v>
      </c>
      <c r="BN70" s="68">
        <f t="shared" ref="BN70" si="445">BN69/BI69-1</f>
        <v>-0.32412367108927165</v>
      </c>
      <c r="BO70" s="69">
        <f t="shared" ref="BO70" si="446">BO69/BJ69-1</f>
        <v>-0.30057527533948858</v>
      </c>
      <c r="BP70" s="69">
        <f>BP69/BK69-1</f>
        <v>-0.36361737009815664</v>
      </c>
      <c r="BQ70" s="462">
        <f t="shared" ref="BQ70" si="447">BQ69/BL69-1</f>
        <v>0.26058229545803147</v>
      </c>
      <c r="BR70" s="69">
        <f t="shared" ref="BR70" si="448">BR69/BM69-1</f>
        <v>0.4438289577470107</v>
      </c>
      <c r="BS70" s="68">
        <f t="shared" ref="BS70" si="449">BS69/BN69-1</f>
        <v>0.37083077142933618</v>
      </c>
      <c r="BT70" s="69">
        <f t="shared" ref="BT70" si="450">BT69/BO69-1</f>
        <v>4.8754695882482713E-2</v>
      </c>
      <c r="BU70" s="69">
        <f t="shared" ref="BU70" si="451">BU69/BP69-1</f>
        <v>-0.10855793350781195</v>
      </c>
      <c r="BV70" s="462">
        <f t="shared" ref="BV70" si="452">BV69/BQ69-1</f>
        <v>-1.3916039928038804E-2</v>
      </c>
      <c r="BW70" s="462">
        <f t="shared" ref="BW70" si="453">BW69/BR69-1</f>
        <v>-6.5378923526781541E-2</v>
      </c>
      <c r="BX70" s="68">
        <f t="shared" ref="BX70" si="454">BX69/BS69-1</f>
        <v>-3.9541656449108897E-2</v>
      </c>
      <c r="BY70" s="69">
        <f t="shared" ref="BY70" si="455">BY69/BT69-1</f>
        <v>0.22666931186219097</v>
      </c>
      <c r="BZ70" s="69">
        <f t="shared" ref="BZ70" si="456">BZ69/BU69-1</f>
        <v>5.2853152455738295E-2</v>
      </c>
      <c r="CA70" s="69">
        <f t="shared" ref="CA70" si="457">CA69/BV69-1</f>
        <v>0.38928916863693175</v>
      </c>
      <c r="CB70" s="69">
        <f t="shared" ref="CB70" si="458">CB69/BW69-1</f>
        <v>0.25229905956397802</v>
      </c>
      <c r="CC70" s="68">
        <f t="shared" ref="CC70" si="459">CC69/BX69-1</f>
        <v>0.23533427580415123</v>
      </c>
      <c r="CD70" s="69">
        <f t="shared" ref="CD70" si="460">CD69/BY69-1</f>
        <v>0.20770390082877643</v>
      </c>
      <c r="CE70" s="69">
        <f t="shared" ref="CE70" si="461">CE69/BZ69-1</f>
        <v>0.34197769941781408</v>
      </c>
      <c r="CF70" s="69">
        <f t="shared" ref="CF70" si="462">CF69/CA69-1</f>
        <v>4.2817263382849635E-2</v>
      </c>
      <c r="CG70" s="69">
        <f t="shared" ref="CG70" si="463">CG69/CB69-1</f>
        <v>0.17330224529021909</v>
      </c>
      <c r="CH70" s="68">
        <f t="shared" ref="CH70" si="464">CH69/CC69-1</f>
        <v>0.17678945801834223</v>
      </c>
      <c r="CI70" s="656">
        <f t="shared" ref="CI70:CL70" si="465">CI69/CD69-1</f>
        <v>0.16092195009176735</v>
      </c>
      <c r="CJ70" s="69">
        <f t="shared" si="465"/>
        <v>0.22236914362384175</v>
      </c>
      <c r="CK70" s="69">
        <f t="shared" si="465"/>
        <v>0.37784214662237536</v>
      </c>
      <c r="CL70" s="69">
        <f t="shared" si="465"/>
        <v>-8.1646873658988151E-2</v>
      </c>
      <c r="CM70" s="657">
        <f t="shared" ref="CM70" si="466">CM69/CH69-1</f>
        <v>0.1602567071305816</v>
      </c>
      <c r="CN70" s="656">
        <f t="shared" ref="CN70:CO70" si="467">CN69/CI69-1</f>
        <v>0.21749551799101607</v>
      </c>
      <c r="CO70" s="69">
        <f t="shared" si="467"/>
        <v>8.1446658729760646E-2</v>
      </c>
      <c r="CP70" s="656">
        <f t="shared" ref="CP70:CQ70" si="468">CP69/CK69-1</f>
        <v>8.9983758618073617E-2</v>
      </c>
      <c r="CQ70" s="69">
        <f t="shared" si="468"/>
        <v>0.47529126692769341</v>
      </c>
      <c r="CR70" s="657">
        <f t="shared" ref="CR70" si="469">CR69/CM69-1</f>
        <v>0.20473292610280791</v>
      </c>
      <c r="CS70" s="656">
        <f t="shared" ref="CS70" si="470">CS69/CN69-1</f>
        <v>-0.17604909815589076</v>
      </c>
      <c r="CT70" s="656">
        <f t="shared" ref="CT70" si="471">CT69/CO69-1</f>
        <v>0.1889271024854986</v>
      </c>
      <c r="CU70" s="656">
        <f t="shared" ref="CU70" si="472">CU69/CP69-1</f>
        <v>4.3112553620000771E-2</v>
      </c>
      <c r="CV70" s="656">
        <f t="shared" ref="CV70" si="473">CV69/CQ69-1</f>
        <v>8.9395430765910389E-2</v>
      </c>
      <c r="CW70" s="657">
        <f t="shared" ref="CW70" si="474">CW69/CR69-1</f>
        <v>3.5809061820484933E-2</v>
      </c>
    </row>
    <row r="71" spans="2:101" ht="8" customHeight="1">
      <c r="B71" s="19"/>
      <c r="C71" s="20"/>
      <c r="D71" s="38"/>
      <c r="E71" s="38"/>
      <c r="F71" s="38"/>
      <c r="G71" s="30"/>
      <c r="H71" s="30"/>
      <c r="I71" s="30"/>
      <c r="J71" s="30"/>
      <c r="K71" s="38"/>
      <c r="L71" s="30"/>
      <c r="M71" s="30"/>
      <c r="N71" s="30"/>
      <c r="O71" s="30"/>
      <c r="P71" s="38"/>
      <c r="Q71" s="30"/>
      <c r="R71" s="30"/>
      <c r="S71" s="30"/>
      <c r="T71" s="30"/>
      <c r="U71" s="38"/>
      <c r="V71" s="30"/>
      <c r="W71" s="30"/>
      <c r="X71" s="30"/>
      <c r="Y71" s="30"/>
      <c r="Z71" s="38"/>
      <c r="AA71" s="30"/>
      <c r="AB71" s="30"/>
      <c r="AC71" s="30"/>
      <c r="AD71" s="30"/>
      <c r="AE71" s="38"/>
      <c r="AF71" s="30"/>
      <c r="AG71" s="30"/>
      <c r="AH71" s="30"/>
      <c r="AI71" s="30"/>
      <c r="AJ71" s="38"/>
      <c r="AK71" s="30"/>
      <c r="AL71" s="30"/>
      <c r="AM71" s="30"/>
      <c r="AN71" s="30"/>
      <c r="AO71" s="38"/>
      <c r="AP71" s="30"/>
      <c r="AQ71" s="30"/>
      <c r="AR71" s="30"/>
      <c r="AS71" s="30"/>
      <c r="AT71" s="38"/>
      <c r="AU71" s="80"/>
      <c r="AV71" s="255"/>
      <c r="AW71" s="80"/>
      <c r="AX71" s="80"/>
      <c r="AY71" s="38"/>
      <c r="AZ71" s="30"/>
      <c r="BA71" s="30"/>
      <c r="BB71" s="30"/>
      <c r="BC71" s="30"/>
      <c r="BD71" s="38"/>
      <c r="BE71" s="30"/>
      <c r="BF71" s="30"/>
      <c r="BG71" s="30"/>
      <c r="BH71" s="30"/>
      <c r="BI71" s="38"/>
      <c r="BJ71" s="30"/>
      <c r="BK71" s="30"/>
      <c r="BL71" s="30"/>
      <c r="BM71" s="30"/>
      <c r="BN71" s="38"/>
      <c r="BO71" s="30"/>
      <c r="BP71" s="30"/>
      <c r="BQ71" s="463"/>
      <c r="BR71" s="30"/>
      <c r="BS71" s="38"/>
      <c r="BT71" s="30"/>
      <c r="BU71" s="30"/>
      <c r="BV71" s="463"/>
      <c r="BW71" s="463"/>
      <c r="BX71" s="38"/>
      <c r="BY71" s="30"/>
      <c r="BZ71" s="30"/>
      <c r="CA71" s="30"/>
      <c r="CB71" s="30"/>
      <c r="CC71" s="38"/>
      <c r="CD71" s="30"/>
      <c r="CE71" s="30"/>
      <c r="CF71" s="30"/>
      <c r="CG71" s="30"/>
      <c r="CH71" s="38"/>
      <c r="CI71" s="30"/>
      <c r="CJ71" s="30"/>
      <c r="CK71" s="30"/>
      <c r="CL71" s="30"/>
      <c r="CM71" s="38"/>
      <c r="CN71" s="30"/>
      <c r="CO71" s="30"/>
      <c r="CP71" s="30"/>
      <c r="CQ71" s="30"/>
      <c r="CR71" s="38"/>
      <c r="CS71" s="30"/>
      <c r="CT71" s="30"/>
      <c r="CU71" s="30"/>
      <c r="CV71" s="30"/>
      <c r="CW71" s="38"/>
    </row>
    <row r="72" spans="2:101" hidden="1" outlineLevel="1">
      <c r="B72" s="7"/>
      <c r="C72" s="4" t="s">
        <v>35</v>
      </c>
      <c r="D72" s="32">
        <v>101</v>
      </c>
      <c r="E72" s="32">
        <v>119</v>
      </c>
      <c r="F72" s="32">
        <v>185</v>
      </c>
      <c r="K72" s="32">
        <v>294</v>
      </c>
      <c r="L72">
        <v>331</v>
      </c>
      <c r="M72">
        <v>331</v>
      </c>
      <c r="N72">
        <v>331</v>
      </c>
      <c r="O72">
        <v>329</v>
      </c>
      <c r="P72" s="32">
        <v>329</v>
      </c>
      <c r="Q72" s="45">
        <v>327</v>
      </c>
      <c r="R72" s="45">
        <v>8301</v>
      </c>
      <c r="S72" s="64">
        <v>11727</v>
      </c>
      <c r="T72" s="64">
        <v>11727</v>
      </c>
      <c r="U72" s="111">
        <f>AVERAGE(Q72:T72)</f>
        <v>8020.5</v>
      </c>
      <c r="V72" s="85">
        <v>11864</v>
      </c>
      <c r="W72" s="85">
        <v>11919</v>
      </c>
      <c r="Z72" s="32"/>
      <c r="AE72" s="32"/>
      <c r="AJ72" s="32"/>
      <c r="AO72" s="32"/>
      <c r="AT72" s="32"/>
      <c r="AU72" s="45"/>
      <c r="AV72" s="76">
        <v>16909</v>
      </c>
      <c r="AW72" s="45">
        <v>17001</v>
      </c>
      <c r="AX72" s="45">
        <v>17050</v>
      </c>
      <c r="AY72" s="32"/>
      <c r="AZ72" s="64">
        <v>17154</v>
      </c>
      <c r="BA72" s="64">
        <v>17198</v>
      </c>
      <c r="BB72" s="64">
        <v>17223</v>
      </c>
      <c r="BC72" s="64">
        <v>17157</v>
      </c>
      <c r="BD72" s="32"/>
      <c r="BE72" s="64">
        <v>17093</v>
      </c>
      <c r="BG72" s="64">
        <v>17219</v>
      </c>
      <c r="BH72">
        <v>17280</v>
      </c>
      <c r="BI72" s="32"/>
      <c r="BN72" s="32"/>
      <c r="BQ72" s="142"/>
      <c r="BS72" s="32"/>
      <c r="BV72" s="142"/>
      <c r="BW72" s="142"/>
      <c r="BX72" s="32"/>
      <c r="CC72" s="32"/>
      <c r="CH72" s="32"/>
      <c r="CM72" s="32"/>
      <c r="CR72" s="32"/>
      <c r="CW72" s="32"/>
    </row>
    <row r="73" spans="2:101" ht="13.15" collapsed="1" thickBot="1">
      <c r="B73" s="21" t="s">
        <v>36</v>
      </c>
      <c r="C73" s="22"/>
      <c r="D73" s="36">
        <v>101</v>
      </c>
      <c r="E73" s="36">
        <v>119</v>
      </c>
      <c r="F73" s="36">
        <v>185</v>
      </c>
      <c r="G73" s="28"/>
      <c r="H73" s="28"/>
      <c r="I73" s="28"/>
      <c r="J73" s="28"/>
      <c r="K73" s="36">
        <v>294</v>
      </c>
      <c r="L73" s="28">
        <v>331</v>
      </c>
      <c r="M73" s="28">
        <v>9046</v>
      </c>
      <c r="N73" s="28">
        <v>9004</v>
      </c>
      <c r="O73" s="28">
        <v>9428</v>
      </c>
      <c r="P73" s="61">
        <v>9268</v>
      </c>
      <c r="Q73" s="59">
        <v>9525</v>
      </c>
      <c r="R73" s="59">
        <v>11844</v>
      </c>
      <c r="S73" s="59">
        <v>12413</v>
      </c>
      <c r="T73" s="59">
        <v>12552</v>
      </c>
      <c r="U73" s="61">
        <f>AVERAGE(Q73:T73)</f>
        <v>11583.5</v>
      </c>
      <c r="V73" s="59">
        <v>12698</v>
      </c>
      <c r="W73" s="59">
        <v>12620</v>
      </c>
      <c r="X73" s="59">
        <v>12735</v>
      </c>
      <c r="Y73" s="59">
        <v>12918</v>
      </c>
      <c r="Z73" s="61">
        <f>AVERAGE(V73:Y73)</f>
        <v>12742.75</v>
      </c>
      <c r="AA73" s="59">
        <v>13185</v>
      </c>
      <c r="AB73" s="59">
        <v>13026</v>
      </c>
      <c r="AC73" s="59">
        <v>13894</v>
      </c>
      <c r="AD73" s="59">
        <v>15516</v>
      </c>
      <c r="AE73" s="61">
        <f>AVERAGE(AA73:AD73)</f>
        <v>13905.25</v>
      </c>
      <c r="AF73" s="59">
        <v>15564</v>
      </c>
      <c r="AG73" s="59">
        <v>15785</v>
      </c>
      <c r="AH73" s="59">
        <v>15986</v>
      </c>
      <c r="AI73" s="59">
        <v>16376</v>
      </c>
      <c r="AJ73" s="61">
        <f>AVERAGE(AF73:AI73)</f>
        <v>15927.75</v>
      </c>
      <c r="AK73" s="59">
        <v>16830</v>
      </c>
      <c r="AL73" s="59">
        <v>16768</v>
      </c>
      <c r="AM73" s="59">
        <v>16780</v>
      </c>
      <c r="AN73" s="59">
        <v>16814</v>
      </c>
      <c r="AO73" s="61">
        <f>AVERAGE(AK73:AN73)</f>
        <v>16798</v>
      </c>
      <c r="AP73" s="59">
        <v>17011</v>
      </c>
      <c r="AQ73" s="59">
        <v>16998</v>
      </c>
      <c r="AR73" s="59">
        <v>17054</v>
      </c>
      <c r="AS73" s="59">
        <v>17110</v>
      </c>
      <c r="AT73" s="61">
        <f>AVERAGE(AP73:AS73)</f>
        <v>17043.25</v>
      </c>
      <c r="AU73" s="59">
        <v>17029</v>
      </c>
      <c r="AV73" s="249">
        <v>17120</v>
      </c>
      <c r="AW73" s="59">
        <v>17341</v>
      </c>
      <c r="AX73" s="59">
        <v>17366</v>
      </c>
      <c r="AY73" s="61">
        <f>AVERAGE(AU73:AX73)</f>
        <v>17214</v>
      </c>
      <c r="AZ73" s="59">
        <v>17393</v>
      </c>
      <c r="BA73" s="59">
        <v>17378</v>
      </c>
      <c r="BB73" s="59">
        <v>17410</v>
      </c>
      <c r="BC73" s="59">
        <v>17325</v>
      </c>
      <c r="BD73" s="61">
        <f>AVERAGE(AZ73:BC73)</f>
        <v>17376.5</v>
      </c>
      <c r="BE73" s="59">
        <v>17307</v>
      </c>
      <c r="BF73" s="59">
        <v>17549</v>
      </c>
      <c r="BG73" s="59">
        <v>17741</v>
      </c>
      <c r="BH73" s="59">
        <v>17722</v>
      </c>
      <c r="BI73" s="61">
        <f>AVERAGE(BE73:BH73)</f>
        <v>17579.75</v>
      </c>
      <c r="BJ73" s="59">
        <v>17992</v>
      </c>
      <c r="BK73" s="59">
        <v>18010</v>
      </c>
      <c r="BL73" s="59">
        <v>35932</v>
      </c>
      <c r="BM73" s="59">
        <v>35967</v>
      </c>
      <c r="BN73" s="61">
        <v>36200</v>
      </c>
      <c r="BO73" s="59">
        <v>35926</v>
      </c>
      <c r="BP73" s="59">
        <v>36016</v>
      </c>
      <c r="BQ73" s="464">
        <v>36366</v>
      </c>
      <c r="BR73" s="59">
        <v>36624</v>
      </c>
      <c r="BS73" s="61">
        <f>AVERAGE(BO73:BR73)</f>
        <v>36233</v>
      </c>
      <c r="BT73" s="59">
        <v>36722</v>
      </c>
      <c r="BU73" s="59">
        <v>36753</v>
      </c>
      <c r="BV73" s="464">
        <v>37015</v>
      </c>
      <c r="BW73" s="464">
        <v>37135</v>
      </c>
      <c r="BX73" s="61">
        <f>AVERAGE(BT73:BW73)</f>
        <v>36906.25</v>
      </c>
      <c r="BY73" s="59">
        <v>36989</v>
      </c>
      <c r="BZ73" s="59">
        <v>36862</v>
      </c>
      <c r="CA73" s="59">
        <v>36915</v>
      </c>
      <c r="CB73" s="59">
        <v>36971</v>
      </c>
      <c r="CC73" s="61">
        <f>AVERAGE(BY73:CB73)</f>
        <v>36934.25</v>
      </c>
      <c r="CD73" s="59">
        <v>37155</v>
      </c>
      <c r="CE73" s="59">
        <f>+CD73+350</f>
        <v>37505</v>
      </c>
      <c r="CF73" s="59">
        <v>37584</v>
      </c>
      <c r="CG73" s="59">
        <v>37640</v>
      </c>
      <c r="CH73" s="61">
        <f>AVERAGE(CD73:CG73)</f>
        <v>37471</v>
      </c>
      <c r="CI73" s="658">
        <v>37686</v>
      </c>
      <c r="CJ73" s="59">
        <v>37683</v>
      </c>
      <c r="CK73" s="59">
        <v>37996</v>
      </c>
      <c r="CL73" s="59">
        <v>37856</v>
      </c>
      <c r="CM73" s="659">
        <f>AVERAGE(CI73:CL73)</f>
        <v>37805.25</v>
      </c>
      <c r="CN73" s="658">
        <v>38163</v>
      </c>
      <c r="CO73" s="59">
        <v>38132</v>
      </c>
      <c r="CP73" s="658">
        <v>37993</v>
      </c>
      <c r="CQ73" s="59">
        <v>37763</v>
      </c>
      <c r="CR73" s="659">
        <f>AVERAGE(CN73:CQ73)</f>
        <v>38012.75</v>
      </c>
      <c r="CS73" s="658">
        <f>+CQ73+450</f>
        <v>38213</v>
      </c>
      <c r="CT73" s="658">
        <f>+CS73+125</f>
        <v>38338</v>
      </c>
      <c r="CU73" s="658">
        <f>+CT73+125</f>
        <v>38463</v>
      </c>
      <c r="CV73" s="658">
        <f>+CU73+125</f>
        <v>38588</v>
      </c>
      <c r="CW73" s="659">
        <f>AVERAGE(CS73:CV73)</f>
        <v>38400.5</v>
      </c>
    </row>
    <row r="74" spans="2:101" ht="8.25" customHeight="1">
      <c r="B74" s="7"/>
      <c r="C74" s="4"/>
      <c r="D74" s="32"/>
      <c r="E74" s="32"/>
      <c r="F74" s="32"/>
      <c r="K74" s="32"/>
      <c r="P74" s="32"/>
      <c r="U74" s="32"/>
      <c r="Z74" s="32"/>
      <c r="AE74" s="32"/>
      <c r="AJ74" s="32"/>
      <c r="AO74" s="32"/>
      <c r="AT74" s="43"/>
      <c r="AU74" s="43"/>
      <c r="AV74" s="20"/>
      <c r="AW74" s="30"/>
      <c r="AX74" s="363"/>
      <c r="AY74" s="351"/>
      <c r="AZ74" s="363"/>
      <c r="BA74" s="30"/>
      <c r="BB74" s="30"/>
      <c r="BC74" s="363"/>
      <c r="BD74" s="351"/>
      <c r="BE74" s="43"/>
      <c r="BF74" s="30"/>
      <c r="BG74" s="30"/>
      <c r="BH74" s="54"/>
      <c r="BI74" s="32"/>
      <c r="BJ74" s="43"/>
      <c r="BK74" s="30"/>
      <c r="BL74" s="30"/>
      <c r="BM74" s="54"/>
      <c r="BN74" s="32"/>
      <c r="BO74" s="43"/>
      <c r="BP74" s="30"/>
      <c r="BQ74" s="30"/>
      <c r="BR74" s="54"/>
      <c r="BS74" s="351"/>
      <c r="BT74" s="363"/>
      <c r="BU74" s="30"/>
      <c r="BV74" s="463"/>
      <c r="BW74" s="530"/>
      <c r="BX74" s="24"/>
      <c r="BY74" s="452"/>
      <c r="BZ74" s="363"/>
      <c r="CA74" s="363"/>
      <c r="CB74" s="363"/>
      <c r="CC74" s="32"/>
      <c r="CD74" s="363"/>
      <c r="CE74" s="30"/>
      <c r="CF74" s="30"/>
      <c r="CG74" s="54"/>
      <c r="CH74" s="32"/>
      <c r="CI74" s="363"/>
      <c r="CJ74" s="30"/>
      <c r="CK74" s="30"/>
      <c r="CL74" s="54"/>
      <c r="CM74" s="32"/>
      <c r="CN74" s="363"/>
      <c r="CO74" s="30"/>
      <c r="CP74" s="30"/>
      <c r="CQ74" s="54"/>
      <c r="CR74" s="32"/>
      <c r="CS74" s="363"/>
      <c r="CT74" s="30"/>
      <c r="CU74" s="30"/>
      <c r="CV74" s="54"/>
      <c r="CW74" s="32"/>
    </row>
    <row r="75" spans="2:101">
      <c r="B75" s="7" t="s">
        <v>31</v>
      </c>
      <c r="C75" s="4"/>
      <c r="D75" s="32"/>
      <c r="E75" s="32"/>
      <c r="F75" s="50">
        <f>BS!F28+BS!F33</f>
        <v>0</v>
      </c>
      <c r="G75" s="45">
        <f>BS!G28+BS!G33</f>
        <v>0</v>
      </c>
      <c r="H75" s="45">
        <f>BS!H28+BS!H33</f>
        <v>0</v>
      </c>
      <c r="I75" s="45">
        <f>BS!I28+BS!I33</f>
        <v>0</v>
      </c>
      <c r="J75" s="45">
        <f>BS!J28+BS!J33</f>
        <v>6588</v>
      </c>
      <c r="K75" s="50">
        <f>BS!K28+BS!K33</f>
        <v>0</v>
      </c>
      <c r="L75" s="45">
        <f>BS!L28+BS!L33</f>
        <v>0</v>
      </c>
      <c r="M75" s="45">
        <f>BS!M28+BS!M33</f>
        <v>0</v>
      </c>
      <c r="N75" s="45">
        <f>BS!N28+BS!N33</f>
        <v>0</v>
      </c>
      <c r="O75" s="45">
        <f>BS!O28+BS!O33</f>
        <v>7432</v>
      </c>
      <c r="P75" s="50">
        <f>BS!P28+BS!P33</f>
        <v>0</v>
      </c>
      <c r="Q75" s="45">
        <f>BS!Q28+BS!Q33</f>
        <v>7751</v>
      </c>
      <c r="R75" s="45">
        <f>BS!R28+BS!R33</f>
        <v>8021</v>
      </c>
      <c r="S75" s="45">
        <f>BS!S28+BS!S33</f>
        <v>8298</v>
      </c>
      <c r="T75" s="45">
        <f>BS!T28+BS!T33</f>
        <v>8587</v>
      </c>
      <c r="U75" s="50"/>
      <c r="V75" s="45">
        <f>BS!V28+BS!V33</f>
        <v>8851</v>
      </c>
      <c r="W75" s="45">
        <f>BS!W28+BS!W33</f>
        <v>9195</v>
      </c>
      <c r="X75" s="45">
        <f>BS!X28+BS!X33</f>
        <v>9910</v>
      </c>
      <c r="Y75" s="45">
        <f>BS!Y28+BS!Y33</f>
        <v>10439</v>
      </c>
      <c r="Z75" s="50"/>
      <c r="AA75" s="45">
        <f>BS!AA28+BS!AA33</f>
        <v>11371</v>
      </c>
      <c r="AB75" s="45">
        <f>BS!AB28+BS!AB33</f>
        <v>12239</v>
      </c>
      <c r="AC75" s="45">
        <f>BS!AC28+BS!AC33</f>
        <v>13265</v>
      </c>
      <c r="AD75" s="45">
        <f>BS!AD28+BS!AD33</f>
        <v>13811</v>
      </c>
      <c r="AE75" s="50"/>
      <c r="AF75" s="45">
        <f>BS!AF28+BS!AF33</f>
        <v>14166</v>
      </c>
      <c r="AG75" s="45">
        <f>BS!AG28+BS!AG33</f>
        <v>14860</v>
      </c>
      <c r="AH75" s="45">
        <f>BS!AH28+BS!AH33</f>
        <v>15217</v>
      </c>
      <c r="AI75" s="45">
        <f>BS!AI28+BS!AI33</f>
        <v>15120</v>
      </c>
      <c r="AJ75" s="50"/>
      <c r="AK75" s="45">
        <f>BS!AK28+BS!AK33</f>
        <v>15694</v>
      </c>
      <c r="AL75" s="45">
        <f>BS!AL28+BS!AL33</f>
        <v>16929</v>
      </c>
      <c r="AM75" s="45">
        <f>BS!AM28+BS!AM33</f>
        <v>17198</v>
      </c>
      <c r="AN75" s="45">
        <f>BS!AN28+BS!AN33</f>
        <v>18158</v>
      </c>
      <c r="AO75" s="50"/>
      <c r="AP75" s="45">
        <f>BS!AP28+BS!AP33</f>
        <v>18080</v>
      </c>
      <c r="AQ75" s="45">
        <f>BS!AQ28+BS!AQ33</f>
        <v>18829</v>
      </c>
      <c r="AR75" s="45">
        <f>BS!AR28+BS!AR33</f>
        <v>19773</v>
      </c>
      <c r="AS75" s="45">
        <f>BS!AS28+BS!AS33</f>
        <v>18745</v>
      </c>
      <c r="AT75" s="56"/>
      <c r="AU75" s="56">
        <f>BS!AU28+BS!AU33</f>
        <v>22210</v>
      </c>
      <c r="AV75" s="45">
        <f>BS!AV28+BS!AV33</f>
        <v>23517</v>
      </c>
      <c r="AW75" s="45">
        <f>BS!AW28+BS!AW33</f>
        <v>23119</v>
      </c>
      <c r="AX75" s="45">
        <f>BS!AX28+BS!AX33</f>
        <v>21902</v>
      </c>
      <c r="AY75" s="50"/>
      <c r="AZ75" s="45">
        <f>BS!AZ28+BS!AZ33</f>
        <v>26890</v>
      </c>
      <c r="BA75" s="45">
        <f>BS!BA28+BS!BA33</f>
        <v>27674</v>
      </c>
      <c r="BB75" s="45">
        <f>BS!BB28+BS!BB33</f>
        <v>26834</v>
      </c>
      <c r="BC75" s="45">
        <f>BS!BC28+BS!BC33</f>
        <v>27009</v>
      </c>
      <c r="BD75" s="50"/>
      <c r="BE75" s="45">
        <f>BS!BE28+BS!BE33</f>
        <v>24274</v>
      </c>
      <c r="BF75" s="45">
        <f>BS!BF28+BS!BF33</f>
        <v>26831</v>
      </c>
      <c r="BG75" s="45">
        <v>17741</v>
      </c>
      <c r="BH75" s="57">
        <v>17741</v>
      </c>
      <c r="BI75" s="50"/>
      <c r="BJ75" s="45">
        <f>BS!BJ28+BS!BJ33</f>
        <v>31538</v>
      </c>
      <c r="BK75" s="45">
        <f>BS!BK28+BS!BK33</f>
        <v>33090</v>
      </c>
      <c r="BL75" s="45">
        <f>BS!BL28+BS!BL33</f>
        <v>32952</v>
      </c>
      <c r="BM75" s="45">
        <f>BS!BM28+BS!BM33</f>
        <v>34314</v>
      </c>
      <c r="BN75" s="50"/>
      <c r="BO75" s="45">
        <f>BS!BO28+BS!BO33</f>
        <v>37710</v>
      </c>
      <c r="BP75" s="45">
        <f>BS!BP28+BS!BP33</f>
        <v>39019</v>
      </c>
      <c r="BQ75" s="45">
        <f>BS!BQ28+BS!BQ33</f>
        <v>38275</v>
      </c>
      <c r="BR75" s="57">
        <f>BS!BR28+BS!BR33</f>
        <v>40943</v>
      </c>
      <c r="BS75" s="50"/>
      <c r="BT75" s="525">
        <f>BS!BT28+BS!BT33</f>
        <v>48508</v>
      </c>
      <c r="BU75" s="526">
        <f>BS!BU28+BS!BU33</f>
        <v>53472</v>
      </c>
      <c r="BV75" s="531">
        <f>BS!BV28+BS!BV33</f>
        <v>54344</v>
      </c>
      <c r="BW75" s="143">
        <f>BS!BW28+BS!BW33</f>
        <v>55572</v>
      </c>
      <c r="BX75" s="56"/>
      <c r="BY75" s="525">
        <f>BS!BY28+BS!BY33</f>
        <v>61921</v>
      </c>
      <c r="BZ75" s="526">
        <f>BS!BZ28+BS!BZ33</f>
        <v>64374</v>
      </c>
      <c r="CA75" s="526">
        <f>BS!CA28+BS!CA33</f>
        <v>64095</v>
      </c>
      <c r="CB75" s="526">
        <f>BS!CB28+BS!CB33</f>
        <v>62194</v>
      </c>
      <c r="CC75" s="628"/>
      <c r="CD75" s="525">
        <f>BS!CD28+BS!CD33</f>
        <v>68012</v>
      </c>
      <c r="CE75" s="526">
        <f>BS!CE28+BS!CE33</f>
        <v>72105</v>
      </c>
      <c r="CF75" s="526">
        <f>BS!CF28+BS!CF33</f>
        <v>78702</v>
      </c>
      <c r="CG75" s="526">
        <f>BS!CG28+BS!CG33</f>
        <v>76117</v>
      </c>
      <c r="CH75" s="628"/>
      <c r="CI75" s="526">
        <f>BS!CI28+BS!CI33</f>
        <v>80174</v>
      </c>
      <c r="CJ75" s="526">
        <f>BS!CJ28+BS!CJ33</f>
        <v>83504</v>
      </c>
      <c r="CK75" s="526">
        <f>BS!CK28+BS!CK33</f>
        <v>85433</v>
      </c>
      <c r="CL75" s="526">
        <f>BS!CL28+BS!CL33</f>
        <v>80445</v>
      </c>
      <c r="CM75" s="663"/>
      <c r="CN75" s="526">
        <f>BS!CN28+BS!CN33</f>
        <v>84368</v>
      </c>
      <c r="CO75" s="526">
        <f>BS!CO28+BS!CO33</f>
        <v>84675</v>
      </c>
      <c r="CP75" s="526">
        <f>BS!CP28+BS!CP33</f>
        <v>82716</v>
      </c>
      <c r="CQ75" s="526">
        <f>BS!CQ28+BS!CQ33</f>
        <v>80878</v>
      </c>
      <c r="CR75" s="663"/>
      <c r="CS75" s="660"/>
      <c r="CT75" s="661"/>
      <c r="CU75" s="661"/>
      <c r="CV75" s="662"/>
      <c r="CW75" s="663"/>
    </row>
    <row r="76" spans="2:101">
      <c r="B76" s="910" t="s">
        <v>32</v>
      </c>
      <c r="C76" s="345"/>
      <c r="D76" s="346"/>
      <c r="E76" s="346"/>
      <c r="F76" s="347">
        <f>CF!F29</f>
        <v>-803</v>
      </c>
      <c r="G76" s="348">
        <f>CF!G29</f>
        <v>505</v>
      </c>
      <c r="H76" s="348">
        <f>CF!H29</f>
        <v>486</v>
      </c>
      <c r="I76" s="348">
        <f>CF!I29</f>
        <v>494</v>
      </c>
      <c r="J76" s="348">
        <f>CF!J29</f>
        <v>503</v>
      </c>
      <c r="K76" s="347">
        <f>CF!K29</f>
        <v>-807</v>
      </c>
      <c r="L76" s="348">
        <f>CF!L29</f>
        <v>1194</v>
      </c>
      <c r="M76" s="348">
        <f>CF!M29</f>
        <v>321</v>
      </c>
      <c r="N76" s="348">
        <f>CF!N29</f>
        <v>326</v>
      </c>
      <c r="O76" s="348">
        <f>CF!O29</f>
        <v>366</v>
      </c>
      <c r="P76" s="347">
        <f>CF!P29</f>
        <v>5158</v>
      </c>
      <c r="Q76" s="348">
        <f>CF!Q29</f>
        <v>254</v>
      </c>
      <c r="R76" s="348">
        <f>CF!R29</f>
        <v>2448</v>
      </c>
      <c r="S76" s="348">
        <f>CF!S29</f>
        <v>1370</v>
      </c>
      <c r="T76" s="348">
        <f>CF!T29</f>
        <v>847</v>
      </c>
      <c r="U76" s="347">
        <f>CF!U29</f>
        <v>4919</v>
      </c>
      <c r="V76" s="348">
        <f>CF!V29</f>
        <v>560</v>
      </c>
      <c r="W76" s="348">
        <f>CF!W29</f>
        <v>566</v>
      </c>
      <c r="X76" s="348">
        <f>CF!X29</f>
        <v>2420</v>
      </c>
      <c r="Y76" s="348">
        <f>CF!Y29</f>
        <v>939</v>
      </c>
      <c r="Z76" s="347">
        <f>CF!Z29</f>
        <v>4485</v>
      </c>
      <c r="AA76" s="348">
        <f>CF!AA29</f>
        <v>1604</v>
      </c>
      <c r="AB76" s="348">
        <f>CF!AB29</f>
        <v>2967</v>
      </c>
      <c r="AC76" s="348">
        <f>CF!AC29</f>
        <v>3695</v>
      </c>
      <c r="AD76" s="348">
        <f>CF!AD29</f>
        <v>-1437</v>
      </c>
      <c r="AE76" s="347">
        <f>CF!AE29</f>
        <v>6829</v>
      </c>
      <c r="AF76" s="348">
        <f>CF!AF29</f>
        <v>6549</v>
      </c>
      <c r="AG76" s="348">
        <f>CF!AG29</f>
        <v>2084</v>
      </c>
      <c r="AH76" s="348">
        <f>CF!AH29</f>
        <v>7474</v>
      </c>
      <c r="AI76" s="348">
        <f>CF!AI29</f>
        <v>2136</v>
      </c>
      <c r="AJ76" s="347">
        <f>CF!AJ29</f>
        <v>18243</v>
      </c>
      <c r="AK76" s="348">
        <f>CF!AK29</f>
        <v>3558</v>
      </c>
      <c r="AL76" s="348">
        <f>CF!AL29</f>
        <v>3382</v>
      </c>
      <c r="AM76" s="348">
        <f>CF!AM29</f>
        <v>4677</v>
      </c>
      <c r="AN76" s="348">
        <f>CF!AN29</f>
        <v>5171</v>
      </c>
      <c r="AO76" s="347">
        <f>CF!AO29</f>
        <v>16788</v>
      </c>
      <c r="AP76" s="348">
        <f>CF!AP29</f>
        <v>3062</v>
      </c>
      <c r="AQ76" s="348">
        <f>CF!AQ29</f>
        <v>-675</v>
      </c>
      <c r="AR76" s="348">
        <f>CF!AR29</f>
        <v>4491</v>
      </c>
      <c r="AS76" s="348">
        <f>CF!AS29</f>
        <v>7551</v>
      </c>
      <c r="AT76" s="349">
        <f>CF!AT29</f>
        <v>14429</v>
      </c>
      <c r="AU76" s="349">
        <f>CF!AU29</f>
        <v>6911</v>
      </c>
      <c r="AV76" s="348">
        <f>CF!AV29</f>
        <v>1881</v>
      </c>
      <c r="AW76" s="348">
        <f>CF!AW29</f>
        <v>1561</v>
      </c>
      <c r="AX76" s="348">
        <f>CF!AX29</f>
        <v>8412</v>
      </c>
      <c r="AY76" s="364">
        <f>CF!AY29</f>
        <v>18765</v>
      </c>
      <c r="AZ76" s="348">
        <f>CF!AZ29</f>
        <v>10399</v>
      </c>
      <c r="BA76" s="348">
        <f>CF!BA29</f>
        <v>7507</v>
      </c>
      <c r="BB76" s="348">
        <f>CF!BB29</f>
        <v>4065</v>
      </c>
      <c r="BC76" s="381">
        <f>CF!BC29</f>
        <v>9078</v>
      </c>
      <c r="BD76" s="364">
        <f>CF!BD29</f>
        <v>31049</v>
      </c>
      <c r="BE76" s="381">
        <f>CF!BE29</f>
        <v>9349</v>
      </c>
      <c r="BF76" s="348">
        <f>CF!BF29</f>
        <v>12898</v>
      </c>
      <c r="BG76" s="348">
        <f>CF!BG29</f>
        <v>15300</v>
      </c>
      <c r="BH76" s="350">
        <f>CF!BH29</f>
        <v>17468</v>
      </c>
      <c r="BI76" s="364">
        <f>CF!BI29</f>
        <v>55015</v>
      </c>
      <c r="BJ76" s="349">
        <f>CF!BJ29</f>
        <v>10201</v>
      </c>
      <c r="BK76" s="381">
        <f>CF!BK29</f>
        <v>19461</v>
      </c>
      <c r="BL76" s="381">
        <f>CF!BL29</f>
        <v>21298</v>
      </c>
      <c r="BM76" s="381">
        <f>CF!BM29</f>
        <v>20834</v>
      </c>
      <c r="BN76" s="364">
        <f>CF!BN29</f>
        <v>71794</v>
      </c>
      <c r="BO76" s="349">
        <f>CF!BO29</f>
        <v>14667</v>
      </c>
      <c r="BP76" s="381">
        <f>CF!BP29</f>
        <v>22128</v>
      </c>
      <c r="BQ76" s="348">
        <f>CF!BQ29</f>
        <v>28734</v>
      </c>
      <c r="BR76" s="350">
        <f>CF!BR29</f>
        <v>23033</v>
      </c>
      <c r="BS76" s="364">
        <f>CF!BS29</f>
        <v>88562</v>
      </c>
      <c r="BT76" s="45">
        <f>CF!BT29</f>
        <v>21605</v>
      </c>
      <c r="BU76" s="45">
        <f>CF!BU29</f>
        <v>33053</v>
      </c>
      <c r="BV76" s="118">
        <f>CF!BV29</f>
        <v>26910</v>
      </c>
      <c r="BW76" s="532">
        <f>CF!BW29</f>
        <v>31325</v>
      </c>
      <c r="BX76" s="542">
        <f>CF!BX29</f>
        <v>112893</v>
      </c>
      <c r="BY76" s="56">
        <f>CF!BY29</f>
        <v>4347</v>
      </c>
      <c r="BZ76" s="45">
        <f>CF!BZ29</f>
        <v>32438</v>
      </c>
      <c r="CA76" s="45">
        <f>CF!CA29</f>
        <v>39698</v>
      </c>
      <c r="CB76" s="45">
        <f>CF!CB29</f>
        <v>23569</v>
      </c>
      <c r="CC76" s="542">
        <f>CF!CC29</f>
        <v>100052</v>
      </c>
      <c r="CD76" s="56">
        <f>CF!CD29</f>
        <v>21631</v>
      </c>
      <c r="CE76" s="45">
        <f>CF!CE29</f>
        <v>34037</v>
      </c>
      <c r="CF76" s="45">
        <f>CF!CF29</f>
        <v>43842</v>
      </c>
      <c r="CG76" s="45">
        <f>CF!CG29</f>
        <v>32788</v>
      </c>
      <c r="CH76" s="364">
        <f>CF!CH29</f>
        <v>132298</v>
      </c>
      <c r="CI76" s="45">
        <f>CF!CI29</f>
        <v>34064</v>
      </c>
      <c r="CJ76" s="45">
        <f>CF!CJ29</f>
        <v>29442</v>
      </c>
      <c r="CK76" s="45">
        <f>CF!CK29</f>
        <v>53330</v>
      </c>
      <c r="CL76" s="45">
        <f>CF!CL29</f>
        <v>40562</v>
      </c>
      <c r="CM76" s="364">
        <f>CF!CM29</f>
        <v>157398</v>
      </c>
      <c r="CN76" s="45">
        <f>CF!CN29</f>
        <v>39983</v>
      </c>
      <c r="CO76" s="45">
        <f>CF!CO29</f>
        <v>32323</v>
      </c>
      <c r="CP76" s="45">
        <f>CF!CP29</f>
        <v>60613</v>
      </c>
      <c r="CQ76" s="45">
        <f>CF!CQ29</f>
        <v>45871</v>
      </c>
      <c r="CR76" s="364">
        <f>CF!CR29</f>
        <v>178790</v>
      </c>
      <c r="CS76" s="64"/>
      <c r="CT76" s="64"/>
      <c r="CU76" s="64"/>
      <c r="CV76" s="664"/>
      <c r="CW76" s="112"/>
    </row>
    <row r="77" spans="2:101" hidden="1" outlineLevel="1">
      <c r="B77" s="911" t="s">
        <v>33</v>
      </c>
      <c r="C77" s="356" t="s">
        <v>33</v>
      </c>
      <c r="D77" s="355"/>
      <c r="E77" s="351"/>
      <c r="F77" s="352">
        <f>BS!F6</f>
        <v>0</v>
      </c>
      <c r="G77" s="353">
        <f>BS!G6</f>
        <v>0</v>
      </c>
      <c r="H77" s="353">
        <f>BS!H6</f>
        <v>0</v>
      </c>
      <c r="I77" s="353">
        <f>BS!I6</f>
        <v>0</v>
      </c>
      <c r="J77" s="353">
        <f>BS!J6</f>
        <v>3715</v>
      </c>
      <c r="K77" s="352">
        <f>BS!K6</f>
        <v>0</v>
      </c>
      <c r="L77" s="353"/>
      <c r="M77" s="353"/>
      <c r="N77" s="353"/>
      <c r="O77" s="353">
        <f>BS!O6</f>
        <v>5931</v>
      </c>
      <c r="P77" s="352">
        <f>BS!P6</f>
        <v>0</v>
      </c>
      <c r="Q77" s="353">
        <f>BS!Q6</f>
        <v>5996</v>
      </c>
      <c r="R77" s="353">
        <f>BS!R6</f>
        <v>37973</v>
      </c>
      <c r="S77" s="353">
        <f>BS!S6</f>
        <v>39113</v>
      </c>
      <c r="T77" s="353">
        <f>BS!T6</f>
        <v>40473</v>
      </c>
      <c r="U77" s="352"/>
      <c r="V77" s="353">
        <f>BS!V6</f>
        <v>40447</v>
      </c>
      <c r="W77" s="353">
        <f>BS!W6</f>
        <v>29788</v>
      </c>
      <c r="X77" s="353">
        <f>BS!X6</f>
        <v>31546</v>
      </c>
      <c r="Y77" s="353">
        <f>BS!Y6</f>
        <v>31985</v>
      </c>
      <c r="Z77" s="352"/>
      <c r="AA77" s="353">
        <f>BS!AA6</f>
        <v>33063</v>
      </c>
      <c r="AB77" s="353">
        <f>BS!AB6</f>
        <v>35501</v>
      </c>
      <c r="AC77" s="353">
        <f>BS!AC6</f>
        <v>69715</v>
      </c>
      <c r="AD77" s="353">
        <f>BS!AD6</f>
        <v>66050</v>
      </c>
      <c r="AE77" s="352"/>
      <c r="AF77" s="353">
        <f>BS!AF6</f>
        <v>72559</v>
      </c>
      <c r="AG77" s="353">
        <f>BS!AG6</f>
        <v>75134</v>
      </c>
      <c r="AH77" s="353">
        <f>BS!AH6</f>
        <v>80813</v>
      </c>
      <c r="AI77" s="353">
        <f>BS!AI6</f>
        <v>131294</v>
      </c>
      <c r="AJ77" s="352"/>
      <c r="AK77" s="353">
        <f>BS!AK6</f>
        <v>134603</v>
      </c>
      <c r="AL77" s="353">
        <f>BS!AL6</f>
        <v>136508</v>
      </c>
      <c r="AM77" s="353">
        <f>BS!AM6</f>
        <v>140822</v>
      </c>
      <c r="AN77" s="353">
        <f>BS!AN6</f>
        <v>130795</v>
      </c>
      <c r="AO77" s="352"/>
      <c r="AP77" s="353">
        <f>BS!AP6</f>
        <v>133550</v>
      </c>
      <c r="AQ77" s="353">
        <f>BS!AQ6</f>
        <v>121344</v>
      </c>
      <c r="AR77" s="353">
        <f>BS!AR6</f>
        <v>117887</v>
      </c>
      <c r="AS77" s="353">
        <f>BS!AS6</f>
        <v>121538</v>
      </c>
      <c r="AT77" s="352"/>
      <c r="AU77" s="353">
        <f>BS!AU6+BS!AU7+BS!AU16</f>
        <v>133428</v>
      </c>
      <c r="AV77" s="353">
        <f>BS!AV6+BS!AV7+BS!AV16</f>
        <v>135726</v>
      </c>
      <c r="AW77" s="353">
        <f>BS!AW6+BS!AW7+BS!AW16</f>
        <v>137780</v>
      </c>
      <c r="AX77" s="353">
        <f>BS!AX6+BS!AX7+BS!AX16</f>
        <v>146447</v>
      </c>
      <c r="AY77" s="352"/>
      <c r="AZ77" s="353">
        <f>BS!AZ6+BS!AZ7+BS!AZ16</f>
        <v>156760</v>
      </c>
      <c r="BA77" s="353">
        <f>BS!BA6+BS!BA7+BS!BA16</f>
        <v>163637</v>
      </c>
      <c r="BB77" s="353">
        <f>BS!BB6+BS!BB7+BS!BB16</f>
        <v>166344</v>
      </c>
      <c r="BC77" s="353">
        <f>BS!BC6+BS!BC7+BS!BC16</f>
        <v>168525</v>
      </c>
      <c r="BD77" s="352"/>
      <c r="BE77" s="353">
        <f>BS!BE6+BS!BE7+BS!BE16</f>
        <v>168290</v>
      </c>
      <c r="BF77" s="353">
        <f>BS!BF6+BS!BF7+BS!BF16</f>
        <v>177659</v>
      </c>
      <c r="BG77" s="353">
        <f>BS!BG6+BS!BG7+BS!BG16</f>
        <v>194323</v>
      </c>
      <c r="BH77" s="353">
        <f>BS!BH6+BS!BH7+BS!BH16</f>
        <v>178396</v>
      </c>
      <c r="BI77" s="352"/>
      <c r="BJ77" s="353">
        <f>BS!BJ6+BS!BJ7+BS!BJ16</f>
        <v>185398</v>
      </c>
      <c r="BK77" s="45">
        <f>BS!BK6+BS!BK7+BS!BK16</f>
        <v>198674</v>
      </c>
      <c r="BL77" s="45">
        <f>BS!BL6+BS!BL7+BS!BL16</f>
        <v>201173</v>
      </c>
      <c r="BM77" s="45">
        <f>BS!BM6+BS!BM7+BS!BM16</f>
        <v>213536</v>
      </c>
      <c r="BN77" s="352"/>
      <c r="BO77" s="353">
        <f>BS!BO6+BS!BO7+BS!BO16</f>
        <v>214558</v>
      </c>
      <c r="BP77" s="45">
        <f>BS!BP6+BS!BP7+BS!BP16</f>
        <v>233191</v>
      </c>
      <c r="BQ77" s="353">
        <f>BS!BQ6+BS!BQ7+BS!BQ16</f>
        <v>263706</v>
      </c>
      <c r="BR77" s="353">
        <f>BS!BR6+BS!BR7+BS!BR16</f>
        <v>189978</v>
      </c>
      <c r="BS77" s="352"/>
      <c r="BT77" s="45">
        <f>BS!BT6+BS!BT7+BS!BT16</f>
        <v>210948</v>
      </c>
      <c r="BU77" s="353">
        <f>BS!BU6+BS!BU7+BS!BU16</f>
        <v>233366</v>
      </c>
      <c r="BV77" s="353">
        <f>BS!BV6+BS!BV7+BS!BV16</f>
        <v>251986</v>
      </c>
      <c r="BW77" s="353">
        <f>BS!BW6+BS!BW7+BS!BW16</f>
        <v>257310</v>
      </c>
      <c r="BX77" s="543"/>
      <c r="BY77" s="56">
        <f>BS!BY6+BS!BY7+BS!BY16</f>
        <v>243056</v>
      </c>
      <c r="BZ77" s="353">
        <f>BS!BZ6+BS!BZ7+BS!BZ16</f>
        <v>259238</v>
      </c>
      <c r="CA77" s="353">
        <f>BS!CA6+BS!CA7+BS!CA16</f>
        <v>237158</v>
      </c>
      <c r="CB77" s="45">
        <f>BS!CB6+BS!CB7+BS!CB16</f>
        <v>214305</v>
      </c>
      <c r="CC77" s="352"/>
      <c r="CD77" s="56">
        <f>BS!CD6+BS!CD7+BS!CD16</f>
        <v>233450</v>
      </c>
      <c r="CE77" s="353">
        <f>BS!CE6+BS!CE7+BS!CE16</f>
        <v>270178</v>
      </c>
      <c r="CF77" s="353">
        <f>BS!CF6+BS!CF7+BS!CF16</f>
        <v>239330</v>
      </c>
      <c r="CG77" s="45">
        <f>BS!CG6+BS!CG7+BS!CG16</f>
        <v>275440</v>
      </c>
      <c r="CH77" s="50"/>
      <c r="CI77" s="45">
        <f>BS!CI6+BS!CI7+BS!CI16</f>
        <v>290811</v>
      </c>
      <c r="CJ77" s="45">
        <f>BS!CJ6+BS!CJ7+BS!CJ16</f>
        <v>271786</v>
      </c>
      <c r="CK77" s="353">
        <f>BS!CK6+BS!CK7+BS!CK16</f>
        <v>205773</v>
      </c>
      <c r="CL77" s="45">
        <f>BS!CL6+BS!CL7+BS!CL16</f>
        <v>241017</v>
      </c>
      <c r="CM77" s="666"/>
      <c r="CN77" s="45">
        <f>BS!CN6+BS!CN7+BS!CN16</f>
        <v>94921</v>
      </c>
      <c r="CO77" s="45">
        <f>BS!CO6+BS!CO7+BS!CO16</f>
        <v>107603</v>
      </c>
      <c r="CP77" s="353">
        <f>BS!CP6+BS!CP7+BS!CP16</f>
        <v>133725</v>
      </c>
      <c r="CQ77" s="45">
        <f>BS!CQ6+BS!CQ7+BS!CQ16</f>
        <v>151355</v>
      </c>
      <c r="CR77" s="666"/>
      <c r="CS77" s="64"/>
      <c r="CT77" s="665"/>
      <c r="CU77" s="665"/>
      <c r="CV77" s="665"/>
      <c r="CW77" s="666"/>
    </row>
    <row r="78" spans="2:101" collapsed="1">
      <c r="B78" s="912" t="s">
        <v>34</v>
      </c>
      <c r="C78" s="357"/>
      <c r="D78" s="168"/>
      <c r="E78" s="32"/>
      <c r="F78" s="50">
        <f>F77/F73</f>
        <v>0</v>
      </c>
      <c r="G78" s="45" t="e">
        <f t="shared" ref="G78:S78" si="475">G77/G73</f>
        <v>#DIV/0!</v>
      </c>
      <c r="H78" s="45" t="e">
        <f t="shared" si="475"/>
        <v>#DIV/0!</v>
      </c>
      <c r="I78" s="45" t="e">
        <f t="shared" si="475"/>
        <v>#DIV/0!</v>
      </c>
      <c r="J78" s="45" t="e">
        <f t="shared" si="475"/>
        <v>#DIV/0!</v>
      </c>
      <c r="K78" s="50">
        <f t="shared" si="475"/>
        <v>0</v>
      </c>
      <c r="L78" s="45"/>
      <c r="M78" s="45"/>
      <c r="N78" s="45"/>
      <c r="O78" s="45"/>
      <c r="P78" s="50">
        <f t="shared" si="475"/>
        <v>0</v>
      </c>
      <c r="Q78" s="343">
        <f t="shared" si="475"/>
        <v>0.62950131233595796</v>
      </c>
      <c r="R78" s="343">
        <f t="shared" si="475"/>
        <v>3.2060959135427218</v>
      </c>
      <c r="S78" s="343">
        <f t="shared" si="475"/>
        <v>3.1509707564649965</v>
      </c>
      <c r="T78" s="343">
        <f>T77/T73</f>
        <v>3.2244263862332696</v>
      </c>
      <c r="U78" s="344"/>
      <c r="V78" s="343">
        <f>V77/V73</f>
        <v>3.1853047724051033</v>
      </c>
      <c r="W78" s="343">
        <f>W77/W73</f>
        <v>2.360380348652932</v>
      </c>
      <c r="X78" s="343">
        <f>X77/X73</f>
        <v>2.4771103258735767</v>
      </c>
      <c r="Y78" s="343">
        <f>Y77/Y73</f>
        <v>2.4760024771636475</v>
      </c>
      <c r="Z78" s="50"/>
      <c r="AA78" s="343">
        <f>AA77/AA73</f>
        <v>2.5076222980659839</v>
      </c>
      <c r="AB78" s="343">
        <f>AB77/AB73</f>
        <v>2.7253953631199139</v>
      </c>
      <c r="AC78" s="343">
        <f>AC77/AC73</f>
        <v>5.0176335108680004</v>
      </c>
      <c r="AD78" s="343">
        <f>AD77/AD73</f>
        <v>4.2568961072441347</v>
      </c>
      <c r="AE78" s="50"/>
      <c r="AF78" s="343">
        <f>AF77/AF73</f>
        <v>4.6619763556926239</v>
      </c>
      <c r="AG78" s="343">
        <f>AG77/AG73</f>
        <v>4.759835286664555</v>
      </c>
      <c r="AH78" s="343">
        <f>AH77/AH73</f>
        <v>5.0552358313524337</v>
      </c>
      <c r="AI78" s="343">
        <f>AI77/AI73</f>
        <v>8.0174645823155846</v>
      </c>
      <c r="AJ78" s="50"/>
      <c r="AK78" s="343">
        <f>AK77/AK73</f>
        <v>7.9978015448603683</v>
      </c>
      <c r="AL78" s="343">
        <f>AL77/AL73</f>
        <v>8.1409828244274802</v>
      </c>
      <c r="AM78" s="343">
        <f>AM77/AM73</f>
        <v>8.3922526817640044</v>
      </c>
      <c r="AN78" s="343">
        <f>AN77/AN73</f>
        <v>7.778934221482098</v>
      </c>
      <c r="AO78" s="50"/>
      <c r="AP78" s="343">
        <f>AP77/AP73</f>
        <v>7.8508024219622596</v>
      </c>
      <c r="AQ78" s="343">
        <f>AQ77/AQ73</f>
        <v>7.1387222026120716</v>
      </c>
      <c r="AR78" s="343">
        <f>AR77/AR73</f>
        <v>6.9125718306555646</v>
      </c>
      <c r="AS78" s="343">
        <f>AS77/AS73</f>
        <v>7.1033313851548803</v>
      </c>
      <c r="AT78" s="344"/>
      <c r="AU78" s="343">
        <f>AU77/AU73</f>
        <v>7.8353397146044985</v>
      </c>
      <c r="AV78" s="343">
        <f>AV77/AV73</f>
        <v>7.9279205607476637</v>
      </c>
      <c r="AW78" s="343">
        <f>AW77/AW73</f>
        <v>7.9453318724410353</v>
      </c>
      <c r="AX78" s="343">
        <f>AX77/AX73</f>
        <v>8.432972474951054</v>
      </c>
      <c r="AY78" s="344"/>
      <c r="AZ78" s="343">
        <f>AZ77/AZ73</f>
        <v>9.0128212499281322</v>
      </c>
      <c r="BA78" s="343">
        <f>BA77/BA73</f>
        <v>9.4163309932098063</v>
      </c>
      <c r="BB78" s="343">
        <f>BB77/BB73</f>
        <v>9.5545089029293511</v>
      </c>
      <c r="BC78" s="343">
        <f>BC77/BC73</f>
        <v>9.7272727272727266</v>
      </c>
      <c r="BD78" s="50"/>
      <c r="BE78" s="343">
        <f>BE77/BE73</f>
        <v>9.7238111746692084</v>
      </c>
      <c r="BF78" s="343">
        <f>BF77/BF73</f>
        <v>10.123596786141661</v>
      </c>
      <c r="BG78" s="343">
        <f>BG77/BG73</f>
        <v>10.953328448227269</v>
      </c>
      <c r="BH78" s="343">
        <f>BH77/BH73</f>
        <v>10.066358198848889</v>
      </c>
      <c r="BI78" s="50"/>
      <c r="BJ78" s="343">
        <f>BJ77/BJ73</f>
        <v>10.304468652734549</v>
      </c>
      <c r="BK78" s="343">
        <f>BK77/BK73</f>
        <v>11.031315935591339</v>
      </c>
      <c r="BL78" s="343">
        <f>BL77/BL73</f>
        <v>5.5987142380051207</v>
      </c>
      <c r="BM78" s="343">
        <f>BM77/BM73</f>
        <v>5.9369978035421358</v>
      </c>
      <c r="BN78" s="50"/>
      <c r="BO78" s="343">
        <f>BO77/BO73</f>
        <v>5.9722206758336585</v>
      </c>
      <c r="BP78" s="343">
        <f>BP77/BP73</f>
        <v>6.4746501554864508</v>
      </c>
      <c r="BQ78" s="343">
        <f>BQ77/BQ73</f>
        <v>7.2514436561623494</v>
      </c>
      <c r="BR78" s="343">
        <f>BR77/BR73</f>
        <v>5.1872542595019659</v>
      </c>
      <c r="BS78" s="50"/>
      <c r="BT78" s="343">
        <f>BT77/BT73</f>
        <v>5.7444583628342683</v>
      </c>
      <c r="BU78" s="343">
        <f>BU77/BU73</f>
        <v>6.3495769052866429</v>
      </c>
      <c r="BV78" s="343">
        <f>BV77/BV73</f>
        <v>6.8076725651762802</v>
      </c>
      <c r="BW78" s="343">
        <f>BW77/BW73</f>
        <v>6.9290426821058304</v>
      </c>
      <c r="BX78" s="56"/>
      <c r="BY78" s="544">
        <f>BY77/BY73</f>
        <v>6.5710346319175974</v>
      </c>
      <c r="BZ78" s="343">
        <f>BZ77/BZ73</f>
        <v>7.0326623623243449</v>
      </c>
      <c r="CA78" s="343">
        <f>CA77/CA73</f>
        <v>6.4244345117161048</v>
      </c>
      <c r="CB78" s="343">
        <f>CB77/CB73</f>
        <v>5.7965702848178298</v>
      </c>
      <c r="CC78" s="50"/>
      <c r="CD78" s="544">
        <f>CD77/CD73</f>
        <v>6.2831382048176554</v>
      </c>
      <c r="CE78" s="343">
        <f>CE77/CE73</f>
        <v>7.2037861618450876</v>
      </c>
      <c r="CF78" s="343">
        <f>CF77/CF73</f>
        <v>6.3678693060876972</v>
      </c>
      <c r="CG78" s="343">
        <f>CG77/CG73</f>
        <v>7.3177470775770459</v>
      </c>
      <c r="CH78" s="50"/>
      <c r="CI78" s="343">
        <f>CI77/CI73</f>
        <v>7.7166852412036304</v>
      </c>
      <c r="CJ78" s="343">
        <f>CJ77/CJ73</f>
        <v>7.2124300082265211</v>
      </c>
      <c r="CK78" s="343">
        <f>CK77/CK73</f>
        <v>5.4156490156858617</v>
      </c>
      <c r="CL78" s="343">
        <f>CL77/CL73</f>
        <v>6.3666789940828403</v>
      </c>
      <c r="CM78" s="112"/>
      <c r="CN78" s="343">
        <f>CN77/CN73</f>
        <v>2.4872520504153237</v>
      </c>
      <c r="CO78" s="343">
        <f>CO77/CO73</f>
        <v>2.8218556592887865</v>
      </c>
      <c r="CP78" s="343">
        <f>CP77/CP73</f>
        <v>3.5197273181901929</v>
      </c>
      <c r="CQ78" s="343">
        <f>CQ77/CQ73</f>
        <v>4.0080237269284753</v>
      </c>
      <c r="CR78" s="112"/>
      <c r="CS78" s="667"/>
      <c r="CT78" s="667"/>
      <c r="CU78" s="667"/>
      <c r="CV78" s="667"/>
      <c r="CW78" s="112"/>
    </row>
    <row r="79" spans="2:101" ht="13.15" thickBot="1">
      <c r="B79" s="743" t="s">
        <v>323</v>
      </c>
      <c r="C79" s="358"/>
      <c r="D79" s="28"/>
      <c r="E79" s="28"/>
      <c r="F79" s="59"/>
      <c r="G79" s="59"/>
      <c r="H79" s="59"/>
      <c r="I79" s="59"/>
      <c r="J79" s="59"/>
      <c r="K79" s="58"/>
      <c r="L79" s="59"/>
      <c r="M79" s="59"/>
      <c r="N79" s="59"/>
      <c r="O79" s="59"/>
      <c r="P79" s="58"/>
      <c r="Q79" s="88"/>
      <c r="R79" s="88"/>
      <c r="S79" s="88"/>
      <c r="T79" s="88"/>
      <c r="U79" s="354"/>
      <c r="V79" s="88"/>
      <c r="W79" s="88"/>
      <c r="X79" s="88"/>
      <c r="Y79" s="88"/>
      <c r="Z79" s="61"/>
      <c r="AA79" s="88"/>
      <c r="AB79" s="88"/>
      <c r="AC79" s="88"/>
      <c r="AD79" s="88"/>
      <c r="AE79" s="60"/>
      <c r="AF79" s="88"/>
      <c r="AG79" s="88"/>
      <c r="AH79" s="88"/>
      <c r="AI79" s="88"/>
      <c r="AJ79" s="61"/>
      <c r="AK79" s="59">
        <f>BS!AK6+BS!AK7+BS!AK16-BS!AK22-BS!AK23-BS!AK32-BS!AK35</f>
        <v>134603</v>
      </c>
      <c r="AL79" s="59">
        <f>BS!AL6+BS!AL7+BS!AL16-BS!AL22-BS!AL23-BS!AL32-BS!AL35</f>
        <v>136508</v>
      </c>
      <c r="AM79" s="59">
        <f>BS!AM6+BS!AM7+BS!AM16-BS!AM22-BS!AM23-BS!AM32-BS!AM35</f>
        <v>140822</v>
      </c>
      <c r="AN79" s="59">
        <f>BS!AN6+BS!AN7+BS!AN16-BS!AN22-BS!AN23-BS!AN32-BS!AN35</f>
        <v>130795</v>
      </c>
      <c r="AO79" s="61"/>
      <c r="AP79" s="59">
        <f>BS!AP6+BS!AP7+BS!AP16-BS!AP22-BS!AP23-BS!AP32-BS!AP35</f>
        <v>133550</v>
      </c>
      <c r="AQ79" s="59">
        <f>BS!AQ6+BS!AQ7+BS!AQ16-BS!AQ22-BS!AQ23-BS!AQ32-BS!AQ35</f>
        <v>131339</v>
      </c>
      <c r="AR79" s="59">
        <f>BS!AR6+BS!AR7+BS!AR16-BS!AR22-BS!AR23-BS!AR32-BS!AR35</f>
        <v>135415</v>
      </c>
      <c r="AS79" s="59">
        <f>BS!AS6+BS!AS7+BS!AS16-BS!AS22-BS!AS23-BS!AS32-BS!AS35</f>
        <v>144005</v>
      </c>
      <c r="AT79" s="61"/>
      <c r="AU79" s="59">
        <f>AU77-BS!AU21-BS!AU22-BS!AU23-BS!AU32-BS!AU35</f>
        <v>133428</v>
      </c>
      <c r="AV79" s="59">
        <f>AV77-BS!AV21-BS!AV22-BS!AV23-BS!AV32-BS!AV35</f>
        <v>135726</v>
      </c>
      <c r="AW79" s="59">
        <f>AW77-BS!AW21-BS!AW22-BS!AW23-BS!AW32-BS!AW35</f>
        <v>137780</v>
      </c>
      <c r="AX79" s="59">
        <f>AX77-BS!AX21-BS!AX22-BS!AX23-BS!AX32-BS!AX35</f>
        <v>146447</v>
      </c>
      <c r="AY79" s="61"/>
      <c r="AZ79" s="59">
        <f>AZ77-BS!AZ21-BS!AZ22-BS!AZ23-BS!AZ32-BS!AZ35</f>
        <v>156760</v>
      </c>
      <c r="BA79" s="59">
        <f>BA77-BS!BA21-BS!BA22-BS!BA23-BS!BA32-BS!BA35</f>
        <v>163637</v>
      </c>
      <c r="BB79" s="59">
        <f>BB77-BS!BB21-BS!BB22-BS!BB23-BS!BB32-BS!BB35</f>
        <v>166344</v>
      </c>
      <c r="BC79" s="59">
        <f>BC77-BS!BC21-BS!BC22-BS!BC23-BS!BC32-BS!BC35</f>
        <v>168525</v>
      </c>
      <c r="BD79" s="61"/>
      <c r="BE79" s="59">
        <f>BE77-BS!BE21-BS!BE22-BS!BE23-BS!BE32-BS!BE35</f>
        <v>168290</v>
      </c>
      <c r="BF79" s="59">
        <f>BF77-BS!BF21-BS!BF22-BS!BF23-BS!BF32-BS!BF35</f>
        <v>177659</v>
      </c>
      <c r="BG79" s="59">
        <f>BG77-BS!BG21-BS!BG22-BS!BG23-BS!BG32-BS!BG35</f>
        <v>194323</v>
      </c>
      <c r="BH79" s="59">
        <f>BH77-BS!BH21-BS!BH22-BS!BH23-BS!BH32-BS!BH35</f>
        <v>178396</v>
      </c>
      <c r="BI79" s="61"/>
      <c r="BJ79" s="59">
        <f>BJ77-BS!BJ21-BS!BJ22-BS!BJ23-BS!BJ32-BS!BJ35</f>
        <v>185398</v>
      </c>
      <c r="BK79" s="59">
        <f>BK77-BS!BK21-BS!BK22-BS!BK23-BS!BK32-BS!BK35</f>
        <v>198674</v>
      </c>
      <c r="BL79" s="59">
        <f>BL77-BS!BL21-BS!BL22-BS!BL23-BS!BL32-BS!BL35</f>
        <v>201173</v>
      </c>
      <c r="BM79" s="59">
        <f>BM77-BS!BM21-BS!BM22-BS!BM23-BS!BM32-BS!BM35</f>
        <v>213536</v>
      </c>
      <c r="BN79" s="61"/>
      <c r="BO79" s="59">
        <f>BO77-BS!BO21-BS!BO22-BS!BO23-BS!BO32-BS!BO35</f>
        <v>214558</v>
      </c>
      <c r="BP79" s="59">
        <f>BP77-BS!BP21-BS!BP22-BS!BP23-BS!BP32-BS!BP35</f>
        <v>233191</v>
      </c>
      <c r="BQ79" s="59">
        <f>BQ77-BS!BQ21-BS!BQ22-BS!BQ23-BS!BQ32-BS!BQ35</f>
        <v>263706</v>
      </c>
      <c r="BR79" s="59">
        <f>BR77-BS!BR21-BS!BR22-BS!BR23-BS!BR32-BS!BR35</f>
        <v>189978</v>
      </c>
      <c r="BS79" s="61"/>
      <c r="BT79" s="59">
        <f>BT77-BS!BT21-BS!BT22-BS!BT23-BS!BT32-BS!BT35</f>
        <v>210948</v>
      </c>
      <c r="BU79" s="59">
        <f>BU77-BS!BU21-BS!BU22-BS!BU23-BS!BU32-BS!BU35</f>
        <v>233366</v>
      </c>
      <c r="BV79" s="59">
        <f>BV77-BS!BV21-BS!BV22-BS!BV23-BS!BV32-BS!BV35</f>
        <v>251986</v>
      </c>
      <c r="BW79" s="59">
        <f>BW77-BS!BW21-BS!BW22-BS!BW23-BS!BW32-BS!BW35</f>
        <v>257310</v>
      </c>
      <c r="BX79" s="58"/>
      <c r="BY79" s="58">
        <f>BY77-BS!BY21-BS!BY22-BS!BY23-BS!BY32-BS!BY35</f>
        <v>243056</v>
      </c>
      <c r="BZ79" s="59">
        <f>BZ77-BS!BZ21-BS!BZ22-BS!BZ23-BS!BZ32-BS!BZ35</f>
        <v>259238</v>
      </c>
      <c r="CA79" s="59">
        <f>CA77-BS!CA21-BS!CA22-BS!CA23-BS!CA32-BS!CA35</f>
        <v>237158</v>
      </c>
      <c r="CB79" s="59">
        <f>CB77-BS!CB21-BS!CB22-BS!CB23-BS!CB32-BS!CB35</f>
        <v>214305</v>
      </c>
      <c r="CC79" s="61"/>
      <c r="CD79" s="58">
        <f>CD77-BS!CD21-BS!CD22-BS!CD23-BS!CD32-BS!CD35</f>
        <v>233450</v>
      </c>
      <c r="CE79" s="59">
        <f>CE77-BS!CE21-BS!CE22-BS!CE23-BS!CE32-BS!CE35</f>
        <v>270178</v>
      </c>
      <c r="CF79" s="59">
        <f>CF77-BS!CF21-BS!CF22-BS!CF23-BS!CF32-BS!CF35</f>
        <v>239330</v>
      </c>
      <c r="CG79" s="59">
        <f>CG77-BS!CG21-BS!CG22-BS!CG23-BS!CG32-BS!CG35</f>
        <v>275440</v>
      </c>
      <c r="CH79" s="61"/>
      <c r="CI79" s="59">
        <f>CI77-BS!CI21-BS!CI22-BS!CI23-BS!CI32-BS!CI35</f>
        <v>290811</v>
      </c>
      <c r="CJ79" s="59">
        <f>CJ77-BS!CJ21-BS!CJ22-BS!CJ23-BS!CJ32-BS!CJ35</f>
        <v>271786</v>
      </c>
      <c r="CK79" s="59">
        <f>CK77-BS!CK21-BS!CK22-BS!CK23-BS!CK32-BS!CK35</f>
        <v>205773</v>
      </c>
      <c r="CL79" s="59">
        <f>CL77-BS!CL21-BS!CL22-BS!CL23-BS!CL32-BS!CL35</f>
        <v>241017</v>
      </c>
      <c r="CM79" s="659"/>
      <c r="CN79" s="59">
        <f>CN77-BS!CN21-BS!CN22-BS!CN23-BS!CN32-BS!CN35</f>
        <v>94921</v>
      </c>
      <c r="CO79" s="59">
        <f>CO77-BS!CO21-BS!CO22-BS!CO23-BS!CO32-BS!CO35</f>
        <v>107603</v>
      </c>
      <c r="CP79" s="59">
        <f>CP77-BS!CP21-BS!CP22-BS!CP23-BS!CP32-BS!CP35</f>
        <v>133725</v>
      </c>
      <c r="CQ79" s="59">
        <f>CQ77-BS!CQ21-BS!CQ22-BS!CQ23-BS!CQ32-BS!CQ35</f>
        <v>151355</v>
      </c>
      <c r="CR79" s="659"/>
      <c r="CS79" s="658"/>
      <c r="CT79" s="668"/>
      <c r="CU79" s="668"/>
      <c r="CV79" s="668"/>
      <c r="CW79" s="659"/>
    </row>
    <row r="80" spans="2:101" ht="3.75" customHeight="1">
      <c r="B80" s="4"/>
      <c r="C80" s="254"/>
      <c r="F80" s="45"/>
      <c r="G80" s="45"/>
      <c r="H80" s="45"/>
      <c r="I80" s="45"/>
      <c r="J80" s="45"/>
      <c r="K80" s="45"/>
      <c r="L80" s="45"/>
      <c r="M80" s="45"/>
      <c r="N80" s="45"/>
      <c r="O80" s="45"/>
      <c r="P80" s="45"/>
      <c r="Q80" s="343"/>
      <c r="R80" s="343"/>
      <c r="S80" s="343"/>
      <c r="T80" s="343"/>
      <c r="U80" s="343"/>
      <c r="V80" s="343"/>
      <c r="W80" s="343"/>
      <c r="X80" s="343"/>
      <c r="Y80" s="343"/>
      <c r="Z80" s="45"/>
      <c r="AA80" s="343"/>
      <c r="AB80" s="343"/>
      <c r="AC80" s="343"/>
      <c r="AD80" s="343"/>
      <c r="AE80" s="45"/>
      <c r="AF80" s="343"/>
      <c r="AG80" s="343"/>
      <c r="AH80" s="343"/>
      <c r="AI80" s="343"/>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343"/>
      <c r="CB80" s="45"/>
      <c r="CC80" s="45"/>
      <c r="CD80" s="45"/>
      <c r="CE80" s="343"/>
      <c r="CF80" s="45"/>
      <c r="CG80" s="343"/>
      <c r="CH80" s="45"/>
      <c r="CI80" s="45"/>
      <c r="CJ80" s="45"/>
      <c r="CK80" s="45"/>
      <c r="CL80" s="343"/>
      <c r="CN80" s="45"/>
      <c r="CO80" s="45"/>
      <c r="CQ80" s="343"/>
      <c r="CS80" s="45"/>
      <c r="CT80" s="45"/>
    </row>
    <row r="81" spans="2:101" ht="3.75" customHeight="1">
      <c r="B81" s="4"/>
      <c r="C81" s="254"/>
      <c r="F81" s="45"/>
      <c r="G81" s="45"/>
      <c r="H81" s="45"/>
      <c r="I81" s="45"/>
      <c r="J81" s="45"/>
      <c r="K81" s="45"/>
      <c r="L81" s="45"/>
      <c r="M81" s="45"/>
      <c r="N81" s="45"/>
      <c r="O81" s="45"/>
      <c r="P81" s="45"/>
      <c r="Q81" s="343"/>
      <c r="R81" s="343"/>
      <c r="S81" s="343"/>
      <c r="T81" s="343"/>
      <c r="U81" s="343"/>
      <c r="V81" s="343"/>
      <c r="W81" s="343"/>
      <c r="X81" s="343"/>
      <c r="Y81" s="343"/>
      <c r="Z81" s="45"/>
      <c r="AA81" s="343"/>
      <c r="AB81" s="343"/>
      <c r="AC81" s="343"/>
      <c r="AD81" s="343"/>
      <c r="AE81" s="45"/>
      <c r="AF81" s="343"/>
      <c r="AG81" s="343"/>
      <c r="AH81" s="343"/>
      <c r="AI81" s="343"/>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343"/>
      <c r="CB81" s="45"/>
      <c r="CC81" s="45"/>
      <c r="CD81" s="45"/>
      <c r="CE81" s="343"/>
      <c r="CF81" s="45"/>
      <c r="CG81" s="343"/>
      <c r="CH81" s="45"/>
      <c r="CI81" s="45"/>
      <c r="CJ81" s="45"/>
      <c r="CK81" s="45"/>
      <c r="CL81" s="343"/>
      <c r="CN81" s="45"/>
      <c r="CO81" s="45"/>
      <c r="CQ81" s="343"/>
      <c r="CS81" s="45"/>
      <c r="CT81" s="45"/>
    </row>
    <row r="82" spans="2:101">
      <c r="B82" s="121" t="s">
        <v>173</v>
      </c>
      <c r="C82" s="23"/>
      <c r="AE82" s="92"/>
      <c r="AJ82" s="92"/>
      <c r="AP82" s="92"/>
      <c r="AQ82" s="92"/>
      <c r="AR82" s="92"/>
      <c r="AS82" s="92"/>
      <c r="AT82" s="92"/>
      <c r="AU82" s="92"/>
      <c r="AV82" s="92"/>
      <c r="AW82" s="92"/>
      <c r="AX82" s="92"/>
      <c r="AY82" s="92"/>
      <c r="BD82" s="92"/>
      <c r="BE82" s="92"/>
      <c r="BF82" s="92"/>
      <c r="BG82" s="92"/>
      <c r="BH82" s="92"/>
      <c r="BI82" s="92"/>
      <c r="BJ82" s="92"/>
      <c r="BK82" s="92"/>
      <c r="BL82" s="92"/>
      <c r="BM82" s="92"/>
      <c r="BN82" s="92"/>
      <c r="BO82" s="92"/>
      <c r="BP82" s="92"/>
      <c r="BQ82" s="92"/>
      <c r="BR82" s="92"/>
      <c r="BS82" s="92"/>
      <c r="BT82" s="92"/>
      <c r="BU82" s="92"/>
      <c r="BV82" s="92"/>
      <c r="BW82" s="92"/>
      <c r="BY82" s="92"/>
      <c r="BZ82" s="92"/>
      <c r="CA82" s="92"/>
      <c r="CB82" s="92"/>
      <c r="CC82" s="92"/>
      <c r="CD82" s="92"/>
      <c r="CE82" s="92"/>
      <c r="CF82" s="343"/>
      <c r="CG82" s="92"/>
      <c r="CH82" s="92"/>
      <c r="CI82" s="92"/>
      <c r="CJ82" s="92"/>
      <c r="CK82" s="343"/>
      <c r="CL82" s="92"/>
      <c r="CN82" s="92"/>
      <c r="CO82" s="92"/>
      <c r="CQ82" s="92"/>
      <c r="CS82" s="92"/>
      <c r="CV82" s="92" t="s">
        <v>200</v>
      </c>
    </row>
    <row r="83" spans="2:101">
      <c r="B83" s="121" t="s">
        <v>172</v>
      </c>
      <c r="C83" s="23"/>
      <c r="AE83" s="93"/>
      <c r="AJ83" s="93"/>
      <c r="AK83" s="95"/>
      <c r="AP83" s="93"/>
      <c r="AQ83" s="93"/>
      <c r="AR83" s="93"/>
      <c r="AS83" s="93"/>
      <c r="AT83" s="93"/>
      <c r="AU83" s="93"/>
      <c r="AV83" s="93"/>
      <c r="AW83" s="93"/>
      <c r="AX83" s="93"/>
      <c r="AY83" s="93"/>
      <c r="BD83" s="93"/>
      <c r="BE83" s="93"/>
      <c r="BF83" s="93"/>
      <c r="BG83" s="93"/>
      <c r="BH83" s="93"/>
      <c r="BI83" s="93"/>
      <c r="BJ83" s="93"/>
      <c r="BK83" s="93"/>
      <c r="BL83" s="93"/>
      <c r="BM83" s="93"/>
      <c r="BN83" s="93"/>
      <c r="BO83" s="93"/>
      <c r="BP83" s="93"/>
      <c r="BQ83" s="93"/>
      <c r="BR83" s="93"/>
      <c r="BS83" s="93"/>
      <c r="BT83" s="93"/>
      <c r="BU83" s="93"/>
      <c r="BV83" s="93"/>
      <c r="BW83" s="93"/>
      <c r="BY83" s="93"/>
      <c r="BZ83" s="93"/>
      <c r="CA83" s="93"/>
      <c r="CB83" s="93"/>
      <c r="CC83" s="93"/>
      <c r="CD83" s="93"/>
      <c r="CE83" s="93"/>
      <c r="CF83" s="45"/>
      <c r="CG83" s="93"/>
      <c r="CH83" s="93"/>
      <c r="CI83" s="93"/>
      <c r="CJ83" s="93"/>
      <c r="CK83" s="45"/>
      <c r="CL83" s="93"/>
      <c r="CN83" s="93"/>
      <c r="CO83" s="93"/>
      <c r="CQ83" s="93"/>
      <c r="CS83" s="93"/>
      <c r="CV83" s="93" t="s">
        <v>123</v>
      </c>
    </row>
    <row r="84" spans="2:101">
      <c r="B84" t="s">
        <v>19</v>
      </c>
      <c r="D84">
        <v>-354</v>
      </c>
      <c r="E84">
        <v>-739</v>
      </c>
      <c r="F84">
        <v>103</v>
      </c>
      <c r="G84">
        <v>-259</v>
      </c>
      <c r="H84">
        <v>76</v>
      </c>
      <c r="I84">
        <v>504</v>
      </c>
      <c r="J84">
        <v>442</v>
      </c>
      <c r="K84">
        <v>763</v>
      </c>
      <c r="L84">
        <v>413</v>
      </c>
      <c r="M84">
        <v>1105</v>
      </c>
      <c r="N84">
        <v>861</v>
      </c>
      <c r="O84">
        <v>1177</v>
      </c>
      <c r="P84">
        <v>3556</v>
      </c>
      <c r="Q84">
        <v>1402</v>
      </c>
      <c r="R84">
        <v>1267</v>
      </c>
      <c r="S84">
        <v>1420</v>
      </c>
      <c r="T84">
        <v>1066</v>
      </c>
      <c r="U84">
        <v>5175</v>
      </c>
      <c r="V84">
        <v>1223</v>
      </c>
      <c r="W84">
        <v>1026</v>
      </c>
      <c r="X84">
        <v>1530</v>
      </c>
      <c r="Y84">
        <v>1631</v>
      </c>
      <c r="Z84">
        <v>5410</v>
      </c>
      <c r="AA84">
        <v>1858</v>
      </c>
      <c r="AB84">
        <v>2340</v>
      </c>
      <c r="AC84">
        <v>2189</v>
      </c>
      <c r="AD84">
        <v>2610</v>
      </c>
      <c r="AF84">
        <v>2922</v>
      </c>
      <c r="AG84">
        <v>3445</v>
      </c>
      <c r="AH84">
        <v>3628</v>
      </c>
      <c r="AI84">
        <v>3779</v>
      </c>
      <c r="AJ84">
        <v>13774</v>
      </c>
      <c r="AK84">
        <v>3902</v>
      </c>
      <c r="AL84">
        <v>4540</v>
      </c>
      <c r="AM84">
        <v>4686</v>
      </c>
      <c r="AN84">
        <v>4694</v>
      </c>
      <c r="AO84">
        <v>17891</v>
      </c>
      <c r="AP84">
        <v>4695</v>
      </c>
      <c r="AQ84">
        <v>5018</v>
      </c>
      <c r="AR84">
        <v>6197</v>
      </c>
      <c r="AS84">
        <v>6710</v>
      </c>
      <c r="AT84">
        <v>22620</v>
      </c>
      <c r="AU84">
        <v>5956</v>
      </c>
      <c r="AV84">
        <v>5695</v>
      </c>
      <c r="AW84">
        <v>7413</v>
      </c>
      <c r="AX84">
        <v>7438</v>
      </c>
      <c r="AY84">
        <v>26502</v>
      </c>
      <c r="AZ84">
        <v>8522</v>
      </c>
      <c r="BA84">
        <v>7668</v>
      </c>
      <c r="BB84">
        <v>7955</v>
      </c>
      <c r="BC84">
        <v>8470</v>
      </c>
      <c r="BD84" s="609">
        <v>32615</v>
      </c>
      <c r="BE84" s="609">
        <v>10887</v>
      </c>
      <c r="BF84" s="609">
        <v>12102</v>
      </c>
      <c r="BG84" s="609">
        <v>14364</v>
      </c>
      <c r="BH84" s="609">
        <v>13948</v>
      </c>
      <c r="BI84" s="609">
        <v>51301</v>
      </c>
      <c r="BJ84" s="609">
        <v>16450</v>
      </c>
      <c r="BK84" s="609">
        <v>16798</v>
      </c>
      <c r="BL84" s="609">
        <v>18083</v>
      </c>
      <c r="BM84" s="609">
        <v>18853</v>
      </c>
      <c r="BN84" s="609">
        <v>69762</v>
      </c>
      <c r="BO84" s="609">
        <v>20356</v>
      </c>
      <c r="BP84" s="609">
        <v>20422</v>
      </c>
      <c r="BQ84" s="609">
        <v>23238</v>
      </c>
      <c r="BR84" s="609">
        <v>22978</v>
      </c>
      <c r="BS84" s="609">
        <v>86994</v>
      </c>
      <c r="BT84" s="609">
        <v>25457</v>
      </c>
      <c r="BU84" s="609">
        <v>27328</v>
      </c>
      <c r="BV84" s="609">
        <v>26536</v>
      </c>
      <c r="BW84" s="609">
        <v>27694</v>
      </c>
      <c r="BX84" s="609">
        <v>107015</v>
      </c>
      <c r="BY84" s="609">
        <v>31766</v>
      </c>
      <c r="BZ84" s="609">
        <v>30864</v>
      </c>
      <c r="CA84" s="609">
        <v>34687</v>
      </c>
      <c r="CB84" s="609">
        <v>34951</v>
      </c>
      <c r="CC84" s="609">
        <v>132268</v>
      </c>
      <c r="CD84" s="609">
        <v>36999</v>
      </c>
      <c r="CE84" s="609">
        <v>38171</v>
      </c>
      <c r="CF84" s="609">
        <v>40503</v>
      </c>
      <c r="CG84" s="609">
        <v>41956</v>
      </c>
      <c r="CH84" s="609">
        <v>157629</v>
      </c>
      <c r="CI84" s="609">
        <v>44402</v>
      </c>
      <c r="CJ84" s="609">
        <v>44189</v>
      </c>
      <c r="CK84" s="609">
        <v>48401</v>
      </c>
      <c r="CL84" s="609">
        <v>49639</v>
      </c>
      <c r="CM84" s="609">
        <v>186631</v>
      </c>
      <c r="CN84" s="609">
        <v>50076.982340000002</v>
      </c>
      <c r="CO84" s="609">
        <v>44189</v>
      </c>
      <c r="CP84" s="609">
        <v>59359.098353059984</v>
      </c>
      <c r="CQ84" s="609">
        <v>49639</v>
      </c>
      <c r="CR84" s="609">
        <v>229442.37006855768</v>
      </c>
      <c r="CS84" s="609">
        <v>50076.982340000002</v>
      </c>
      <c r="CT84" s="609">
        <v>56048.568833999983</v>
      </c>
      <c r="CU84" s="609">
        <v>59359.098353059984</v>
      </c>
      <c r="CV84" s="609">
        <v>63957.7205414977</v>
      </c>
      <c r="CW84" s="609">
        <v>229442.37006855768</v>
      </c>
    </row>
    <row r="85" spans="2:101">
      <c r="B85" t="s">
        <v>21</v>
      </c>
      <c r="D85">
        <v>-653</v>
      </c>
      <c r="E85">
        <v>-1297</v>
      </c>
      <c r="F85">
        <v>-2094</v>
      </c>
      <c r="G85">
        <v>-876</v>
      </c>
      <c r="H85">
        <v>-516</v>
      </c>
      <c r="I85">
        <v>-94</v>
      </c>
      <c r="J85">
        <v>-158</v>
      </c>
      <c r="K85">
        <v>-1644</v>
      </c>
      <c r="L85">
        <v>5</v>
      </c>
      <c r="M85">
        <v>707</v>
      </c>
      <c r="N85">
        <v>474</v>
      </c>
      <c r="O85">
        <v>295</v>
      </c>
      <c r="P85">
        <v>1481</v>
      </c>
      <c r="Q85">
        <v>1035</v>
      </c>
      <c r="R85">
        <v>851</v>
      </c>
      <c r="S85">
        <v>1111</v>
      </c>
      <c r="T85">
        <v>729</v>
      </c>
      <c r="U85">
        <v>3726</v>
      </c>
      <c r="V85">
        <v>833</v>
      </c>
      <c r="W85">
        <v>579</v>
      </c>
      <c r="X85">
        <v>1005</v>
      </c>
      <c r="Y85">
        <v>1078</v>
      </c>
      <c r="Z85">
        <v>3495</v>
      </c>
      <c r="AA85">
        <v>1281</v>
      </c>
      <c r="AB85">
        <v>1701</v>
      </c>
      <c r="AC85">
        <v>1295</v>
      </c>
      <c r="AD85">
        <v>1588</v>
      </c>
      <c r="AF85">
        <v>1774</v>
      </c>
      <c r="AG85">
        <v>2285</v>
      </c>
      <c r="AH85">
        <v>2531</v>
      </c>
      <c r="AI85">
        <v>2508</v>
      </c>
      <c r="AJ85">
        <v>9098</v>
      </c>
      <c r="AK85">
        <v>2647</v>
      </c>
      <c r="AL85">
        <v>3140</v>
      </c>
      <c r="AM85">
        <v>3308</v>
      </c>
      <c r="AN85">
        <v>3269</v>
      </c>
      <c r="AO85">
        <v>12364</v>
      </c>
      <c r="AP85">
        <v>3191</v>
      </c>
      <c r="AQ85">
        <v>3487</v>
      </c>
      <c r="AR85">
        <v>4662</v>
      </c>
      <c r="AS85">
        <v>5421</v>
      </c>
      <c r="AT85">
        <v>16761</v>
      </c>
      <c r="AU85">
        <v>4475</v>
      </c>
      <c r="AV85">
        <v>4213</v>
      </c>
      <c r="AW85">
        <v>5901</v>
      </c>
      <c r="AX85">
        <v>5916</v>
      </c>
      <c r="AY85">
        <v>20505</v>
      </c>
      <c r="AZ85">
        <v>7022</v>
      </c>
      <c r="BA85">
        <v>6170</v>
      </c>
      <c r="BB85">
        <v>6397</v>
      </c>
      <c r="BC85">
        <v>6851</v>
      </c>
      <c r="BD85" s="609">
        <v>26440</v>
      </c>
      <c r="BE85" s="609">
        <v>9218</v>
      </c>
      <c r="BF85" s="609">
        <v>10556</v>
      </c>
      <c r="BG85" s="609">
        <v>12860</v>
      </c>
      <c r="BH85" s="609">
        <v>12403</v>
      </c>
      <c r="BI85" s="609">
        <v>45037</v>
      </c>
      <c r="BJ85" s="609">
        <v>14390</v>
      </c>
      <c r="BK85" s="609">
        <v>14524</v>
      </c>
      <c r="BL85" s="609">
        <v>16085</v>
      </c>
      <c r="BM85" s="609">
        <v>16588</v>
      </c>
      <c r="BN85" s="609">
        <v>61587</v>
      </c>
      <c r="BO85" s="609">
        <v>17858</v>
      </c>
      <c r="BP85" s="609">
        <v>17616</v>
      </c>
      <c r="BQ85" s="609">
        <v>20147</v>
      </c>
      <c r="BR85" s="609">
        <v>19454</v>
      </c>
      <c r="BS85" s="609">
        <v>75075</v>
      </c>
      <c r="BT85" s="609">
        <v>21789</v>
      </c>
      <c r="BU85" s="609">
        <v>23878</v>
      </c>
      <c r="BV85" s="609">
        <v>22907</v>
      </c>
      <c r="BW85" s="609">
        <v>23931</v>
      </c>
      <c r="BX85" s="609">
        <v>92505</v>
      </c>
      <c r="BY85" s="609">
        <v>27950</v>
      </c>
      <c r="BZ85" s="609">
        <v>27086</v>
      </c>
      <c r="CA85" s="609">
        <v>31104</v>
      </c>
      <c r="CB85" s="609">
        <v>31377</v>
      </c>
      <c r="CC85" s="609">
        <v>117517</v>
      </c>
      <c r="CD85" s="609">
        <v>33500</v>
      </c>
      <c r="CE85" s="609">
        <v>34985</v>
      </c>
      <c r="CF85" s="609">
        <v>38463</v>
      </c>
      <c r="CG85" s="609">
        <v>39577</v>
      </c>
      <c r="CH85" s="609">
        <v>146525</v>
      </c>
      <c r="CI85" s="609">
        <v>42587</v>
      </c>
      <c r="CJ85" s="609">
        <v>42300</v>
      </c>
      <c r="CK85" s="609">
        <v>46472</v>
      </c>
      <c r="CL85" s="609">
        <v>47133</v>
      </c>
      <c r="CM85" s="609">
        <v>178492</v>
      </c>
      <c r="CN85" s="609">
        <v>46132.66734</v>
      </c>
      <c r="CO85" s="609">
        <v>42300</v>
      </c>
      <c r="CP85" s="609">
        <v>54842.069551399982</v>
      </c>
      <c r="CQ85" s="609">
        <v>47133</v>
      </c>
      <c r="CR85" s="609">
        <v>211946.46378590004</v>
      </c>
      <c r="CS85" s="609">
        <v>46132.66734</v>
      </c>
      <c r="CT85" s="609">
        <v>51528.344603999984</v>
      </c>
      <c r="CU85" s="609">
        <v>54842.069551399982</v>
      </c>
      <c r="CV85" s="609">
        <v>59443.382290499983</v>
      </c>
      <c r="CW85" s="609">
        <v>211946.46378590004</v>
      </c>
    </row>
    <row r="86" spans="2:101">
      <c r="B86" t="s">
        <v>25</v>
      </c>
      <c r="D86">
        <v>-653</v>
      </c>
      <c r="E86">
        <v>-1297</v>
      </c>
      <c r="F86">
        <v>-2140</v>
      </c>
      <c r="G86">
        <v>-912</v>
      </c>
      <c r="H86">
        <v>-553</v>
      </c>
      <c r="I86">
        <v>-131</v>
      </c>
      <c r="J86">
        <v>-205</v>
      </c>
      <c r="K86">
        <v>-1801</v>
      </c>
      <c r="L86">
        <v>-43</v>
      </c>
      <c r="M86">
        <v>657</v>
      </c>
      <c r="N86">
        <v>395</v>
      </c>
      <c r="O86">
        <v>244</v>
      </c>
      <c r="P86">
        <v>1253</v>
      </c>
      <c r="Q86">
        <v>984</v>
      </c>
      <c r="R86">
        <v>676</v>
      </c>
      <c r="S86">
        <v>879</v>
      </c>
      <c r="T86">
        <v>437</v>
      </c>
      <c r="U86">
        <v>2976</v>
      </c>
      <c r="V86">
        <v>521</v>
      </c>
      <c r="W86">
        <v>-31</v>
      </c>
      <c r="X86">
        <v>258</v>
      </c>
      <c r="Y86">
        <v>336</v>
      </c>
      <c r="Z86">
        <v>1084</v>
      </c>
      <c r="AA86">
        <v>409</v>
      </c>
      <c r="AB86">
        <v>726</v>
      </c>
      <c r="AC86">
        <v>50</v>
      </c>
      <c r="AD86">
        <v>158</v>
      </c>
      <c r="AF86">
        <v>133</v>
      </c>
      <c r="AG86">
        <v>457</v>
      </c>
      <c r="AH86">
        <v>439</v>
      </c>
      <c r="AI86">
        <v>708</v>
      </c>
      <c r="AJ86">
        <v>1737</v>
      </c>
      <c r="AK86">
        <v>591</v>
      </c>
      <c r="AL86">
        <v>1099</v>
      </c>
      <c r="AM86">
        <v>1370</v>
      </c>
      <c r="AN86">
        <v>1052</v>
      </c>
      <c r="AO86">
        <v>4112</v>
      </c>
      <c r="AP86">
        <v>847</v>
      </c>
      <c r="AQ86">
        <v>1007</v>
      </c>
      <c r="AR86">
        <v>2223</v>
      </c>
      <c r="AS86">
        <v>2998</v>
      </c>
      <c r="AT86">
        <v>7075</v>
      </c>
      <c r="AU86">
        <v>1752</v>
      </c>
      <c r="AV86">
        <v>657</v>
      </c>
      <c r="AW86">
        <v>3729</v>
      </c>
      <c r="AX86">
        <v>2712</v>
      </c>
      <c r="AY86">
        <v>8850</v>
      </c>
      <c r="AZ86">
        <v>3507</v>
      </c>
      <c r="BA86">
        <v>2867</v>
      </c>
      <c r="BB86">
        <v>2922</v>
      </c>
      <c r="BC86">
        <v>-157</v>
      </c>
      <c r="BD86" s="609">
        <v>9139</v>
      </c>
      <c r="BE86" s="609">
        <v>4560</v>
      </c>
      <c r="BF86" s="609">
        <v>6344</v>
      </c>
      <c r="BG86" s="609">
        <v>8666</v>
      </c>
      <c r="BH86" s="609">
        <v>8864</v>
      </c>
      <c r="BI86" s="609">
        <v>28434</v>
      </c>
      <c r="BJ86" s="609">
        <v>7853</v>
      </c>
      <c r="BK86" s="609">
        <v>10783</v>
      </c>
      <c r="BL86" s="609">
        <v>11633</v>
      </c>
      <c r="BM86" s="609">
        <v>11801</v>
      </c>
      <c r="BN86" s="609">
        <v>41582</v>
      </c>
      <c r="BO86" s="609">
        <v>10863</v>
      </c>
      <c r="BP86" s="609">
        <v>12579</v>
      </c>
      <c r="BQ86" s="609">
        <v>14377</v>
      </c>
      <c r="BR86" s="609">
        <v>14861</v>
      </c>
      <c r="BS86" s="609">
        <v>52680</v>
      </c>
      <c r="BT86" s="609">
        <v>12337</v>
      </c>
      <c r="BU86" s="609">
        <v>13146</v>
      </c>
      <c r="BV86" s="609">
        <v>12805</v>
      </c>
      <c r="BW86" s="609">
        <v>15253</v>
      </c>
      <c r="BX86" s="609">
        <v>53541</v>
      </c>
      <c r="BY86" s="609">
        <v>16933</v>
      </c>
      <c r="BZ86" s="609">
        <v>14630</v>
      </c>
      <c r="CA86" s="609">
        <v>18995</v>
      </c>
      <c r="CB86" s="609">
        <v>20766</v>
      </c>
      <c r="CC86" s="609">
        <v>71324</v>
      </c>
      <c r="CD86" s="609">
        <v>18006</v>
      </c>
      <c r="CE86" s="609">
        <v>18915</v>
      </c>
      <c r="CF86" s="609">
        <v>22301</v>
      </c>
      <c r="CG86" s="609">
        <v>26341</v>
      </c>
      <c r="CH86" s="609">
        <v>85563</v>
      </c>
      <c r="CI86" s="609">
        <v>18535</v>
      </c>
      <c r="CJ86" s="609">
        <v>27221</v>
      </c>
      <c r="CK86" s="609">
        <v>29349</v>
      </c>
      <c r="CL86" s="609">
        <v>24371</v>
      </c>
      <c r="CM86" s="609">
        <v>99476</v>
      </c>
      <c r="CN86" s="609">
        <v>21932.66734</v>
      </c>
      <c r="CO86" s="609">
        <v>27221</v>
      </c>
      <c r="CP86" s="609">
        <v>28642.069551399982</v>
      </c>
      <c r="CQ86" s="609">
        <v>24371</v>
      </c>
      <c r="CR86" s="609">
        <v>109146.46378590004</v>
      </c>
      <c r="CS86" s="609">
        <v>21932.66734</v>
      </c>
      <c r="CT86" s="609">
        <v>26228.344603999984</v>
      </c>
      <c r="CU86" s="609">
        <v>28642.069551399982</v>
      </c>
      <c r="CV86" s="609">
        <v>32343.382290499983</v>
      </c>
      <c r="CW86" s="609">
        <v>109146.46378590004</v>
      </c>
    </row>
    <row r="88" spans="2:101" hidden="1">
      <c r="C88" s="222" t="s">
        <v>211</v>
      </c>
      <c r="K88" s="38"/>
      <c r="L88" s="220">
        <f>L10</f>
        <v>6910.1100000000006</v>
      </c>
      <c r="M88" s="219">
        <f>M10</f>
        <v>7488</v>
      </c>
      <c r="N88" s="219">
        <f>N10</f>
        <v>7803.5400000000009</v>
      </c>
      <c r="O88" s="219">
        <f>O10</f>
        <v>7995.1500000000015</v>
      </c>
      <c r="P88" s="135">
        <v>8184.4199999999992</v>
      </c>
      <c r="Q88" s="219">
        <f>Q10</f>
        <v>8399.26</v>
      </c>
      <c r="R88" s="219">
        <f>R10</f>
        <v>9083.52</v>
      </c>
      <c r="S88" s="219">
        <f>S10</f>
        <v>9652.44</v>
      </c>
      <c r="T88" s="218">
        <f>T10</f>
        <v>10326.259999999995</v>
      </c>
      <c r="U88" s="135">
        <v>9984.9923999999992</v>
      </c>
      <c r="V88" s="220">
        <f>V10</f>
        <v>10498.67</v>
      </c>
      <c r="W88" s="219">
        <f>W10</f>
        <v>11707.08</v>
      </c>
      <c r="X88" s="219">
        <f>X10</f>
        <v>13199.65</v>
      </c>
      <c r="Y88" s="218">
        <f>Y10</f>
        <v>13868.25</v>
      </c>
      <c r="Z88" s="85"/>
      <c r="AA88" s="220">
        <f>AA10</f>
        <v>14384.58</v>
      </c>
      <c r="AB88" s="219">
        <f>AB10</f>
        <v>15326.06</v>
      </c>
      <c r="AC88" s="219">
        <f>AC10</f>
        <v>17834.96</v>
      </c>
      <c r="AD88" s="218">
        <f>AD10</f>
        <v>20307.68</v>
      </c>
      <c r="AE88" s="85"/>
      <c r="AF88" s="220">
        <f>AF10</f>
        <v>21139.279999999999</v>
      </c>
      <c r="AG88" s="219">
        <f>AG10</f>
        <v>22579.040000000001</v>
      </c>
      <c r="AH88" s="219">
        <f>AH10</f>
        <v>24037.119999999999</v>
      </c>
      <c r="AI88" s="218">
        <f>AI10</f>
        <v>25152.550000000003</v>
      </c>
      <c r="AJ88" s="85"/>
      <c r="AK88" s="220">
        <f>AK10</f>
        <v>26001.314399999999</v>
      </c>
      <c r="AL88" s="219">
        <f>AL10</f>
        <v>28087.812599999997</v>
      </c>
      <c r="AM88" s="219">
        <f>AM10</f>
        <v>29325.286399999997</v>
      </c>
      <c r="AN88" s="218">
        <f>AN10</f>
        <v>31737.886600000013</v>
      </c>
      <c r="AO88" s="85"/>
      <c r="AP88" s="220">
        <f>AP10</f>
        <v>33273</v>
      </c>
      <c r="AQ88" s="219">
        <f>AQ10</f>
        <v>35349.86</v>
      </c>
      <c r="AR88" s="219">
        <f>AR10</f>
        <v>36722.14</v>
      </c>
      <c r="AS88" s="218">
        <f>AS10</f>
        <v>38589.344000000012</v>
      </c>
      <c r="AT88" s="85"/>
      <c r="AU88" s="220">
        <f>AU10</f>
        <v>41495.090000000004</v>
      </c>
      <c r="AV88" s="219">
        <f>AV10</f>
        <v>43562.92</v>
      </c>
      <c r="AW88" s="219">
        <f>AW10</f>
        <v>45341.279999999999</v>
      </c>
      <c r="AX88" s="218">
        <f>AX10</f>
        <v>46657.709999999992</v>
      </c>
      <c r="AZ88" s="220">
        <f>AZ10</f>
        <v>47777.440000000002</v>
      </c>
      <c r="BA88" s="219">
        <f>BA10</f>
        <v>49941.279999999999</v>
      </c>
      <c r="BB88" s="219">
        <f>BB10</f>
        <v>51658</v>
      </c>
      <c r="BC88" s="218">
        <f>BC10</f>
        <v>54543.28</v>
      </c>
      <c r="BE88" s="220">
        <f>BE10</f>
        <v>54860</v>
      </c>
      <c r="BF88" s="219">
        <f>BF10</f>
        <v>56430</v>
      </c>
      <c r="BG88" s="219">
        <f>BG10</f>
        <v>58644</v>
      </c>
      <c r="BH88" s="218">
        <f>BH10</f>
        <v>60720</v>
      </c>
      <c r="BJ88" s="220">
        <f>BJ10</f>
        <v>62917.96</v>
      </c>
      <c r="BK88" s="219">
        <f>BK10</f>
        <v>64417.259999999995</v>
      </c>
      <c r="BL88" s="219">
        <f>BL10</f>
        <v>66672.319999999992</v>
      </c>
      <c r="BM88" s="218">
        <f>BM10</f>
        <v>68369.01999999999</v>
      </c>
      <c r="BO88" s="220">
        <f>BO10</f>
        <v>69740.479999999996</v>
      </c>
      <c r="BP88" s="219">
        <f>BP10</f>
        <v>71038.62</v>
      </c>
      <c r="BQ88" s="219">
        <f>BQ10</f>
        <v>75579.149999999994</v>
      </c>
      <c r="BR88" s="218">
        <f>BR10</f>
        <v>78309.51999999999</v>
      </c>
      <c r="BT88" s="220">
        <f>BT10</f>
        <v>82886.48000000001</v>
      </c>
      <c r="BU88" s="219">
        <f>BU10</f>
        <v>86975.88</v>
      </c>
      <c r="BV88" s="219">
        <f>BV10</f>
        <v>90056.040000000008</v>
      </c>
      <c r="BW88" s="218">
        <f>BW10</f>
        <v>94535.52</v>
      </c>
    </row>
    <row r="89" spans="2:101" hidden="1">
      <c r="C89" s="223" t="s">
        <v>212</v>
      </c>
      <c r="K89" s="111">
        <f>K10</f>
        <v>25478.51</v>
      </c>
      <c r="L89" s="24"/>
      <c r="O89" s="85">
        <f>O88+N88+M88+L88</f>
        <v>30196.800000000003</v>
      </c>
      <c r="P89" s="111">
        <v>30386.07</v>
      </c>
      <c r="Q89" s="85">
        <f>Q88+O88+N88+M88</f>
        <v>31685.950000000004</v>
      </c>
      <c r="R89" s="85">
        <f>R88+Q88+O88+N88</f>
        <v>33281.47</v>
      </c>
      <c r="S89" s="85">
        <f>S88+R88+Q88+O88</f>
        <v>35130.370000000003</v>
      </c>
      <c r="T89" s="217">
        <f>T88+S88+R88+Q88</f>
        <v>37461.479999999996</v>
      </c>
      <c r="U89" s="32">
        <v>37066.126600000003</v>
      </c>
      <c r="V89" s="175">
        <f>V88+T88+S88+R88</f>
        <v>39560.89</v>
      </c>
      <c r="W89" s="85">
        <f>W88+V88+T88+S88</f>
        <v>42184.45</v>
      </c>
      <c r="X89" s="85">
        <f>X88+W88+V88+T88</f>
        <v>45731.659999999996</v>
      </c>
      <c r="Y89" s="217">
        <f>Y88+X88+W88+V88</f>
        <v>49273.65</v>
      </c>
      <c r="AA89" s="175">
        <f>AA88+Y88+X88+W88</f>
        <v>53159.560000000005</v>
      </c>
      <c r="AB89" s="85">
        <f>AB88+AA88+Y88+X88</f>
        <v>56778.54</v>
      </c>
      <c r="AC89" s="85">
        <f>AC88+AB88+AA88+Y88</f>
        <v>61413.85</v>
      </c>
      <c r="AD89" s="217">
        <f>AD88+AC88+AB88+AA88</f>
        <v>67853.279999999999</v>
      </c>
      <c r="AF89" s="175">
        <f>AF88+AD88+AC88+AB88</f>
        <v>74607.98</v>
      </c>
      <c r="AG89" s="85">
        <f>AG88+AF88+AD88+AC88</f>
        <v>81860.959999999992</v>
      </c>
      <c r="AH89" s="85">
        <f>AH88+AG88+AF88+AD88</f>
        <v>88063.12</v>
      </c>
      <c r="AI89" s="217">
        <f>AI88+AH88+AG88+AF88</f>
        <v>92907.989999999991</v>
      </c>
      <c r="AK89" s="175">
        <f>AK88+AI88+AH88+AG88</f>
        <v>97770.024399999995</v>
      </c>
      <c r="AL89" s="85">
        <f>AL88+AK88+AI88+AH88</f>
        <v>103278.79699999999</v>
      </c>
      <c r="AM89" s="85">
        <f>AM88+AL88+AK88+AI88</f>
        <v>108566.96339999999</v>
      </c>
      <c r="AN89" s="217">
        <f>AN88+AM88+AL88+AK88</f>
        <v>115152.30000000002</v>
      </c>
      <c r="AP89" s="175">
        <f>AP88+AN88+AM88+AL88</f>
        <v>122423.98560000001</v>
      </c>
      <c r="AQ89" s="85">
        <f>AQ88+AP88+AN88+AM88</f>
        <v>129686.03300000001</v>
      </c>
      <c r="AR89" s="85">
        <f>AR88+AQ88+AP88+AN88</f>
        <v>137082.88660000003</v>
      </c>
      <c r="AS89" s="217">
        <f>AS88+AR88+AQ88+AP88</f>
        <v>143934.34400000001</v>
      </c>
      <c r="AU89" s="175">
        <f>AU88+AS88+AR88+AQ88</f>
        <v>152156.43400000001</v>
      </c>
      <c r="AV89" s="85">
        <f>AV88+AU88+AS88+AR88</f>
        <v>160369.49400000001</v>
      </c>
      <c r="AW89" s="85">
        <f>AW88+AV88+AU88+AS88</f>
        <v>168988.63400000002</v>
      </c>
      <c r="AX89" s="217">
        <f>AX88+AW88+AV88+AU88</f>
        <v>177056.99999999997</v>
      </c>
      <c r="AY89" s="205"/>
      <c r="AZ89" s="175">
        <f>AZ88+AX88+AW88+AV88</f>
        <v>183339.34999999998</v>
      </c>
      <c r="BA89" s="85">
        <f>BA88+AZ88+AX88+AW88</f>
        <v>189717.71</v>
      </c>
      <c r="BB89" s="85">
        <f>BB88+BA88+AZ88+AX88</f>
        <v>196034.43</v>
      </c>
      <c r="BC89" s="217">
        <f>BC88+BB88+BA88+AZ88</f>
        <v>203920</v>
      </c>
      <c r="BD89" s="205"/>
      <c r="BE89" s="175">
        <f>BE88+BC88+BB88+BA88</f>
        <v>211002.56</v>
      </c>
      <c r="BF89" s="85">
        <f>BF88+BE88+BC88+BB88</f>
        <v>217491.28</v>
      </c>
      <c r="BG89" s="85">
        <f>BG88+BF88+BE88+BC88</f>
        <v>224477.28</v>
      </c>
      <c r="BH89" s="217">
        <f>BH88+BG88+BF88+BE88</f>
        <v>230654</v>
      </c>
      <c r="BI89" s="205"/>
      <c r="BJ89" s="175">
        <f>BJ88+BH88+BG88+BF88</f>
        <v>238711.96</v>
      </c>
      <c r="BK89" s="85">
        <f>BK88+BJ88+BH88+BG88</f>
        <v>246699.22</v>
      </c>
      <c r="BL89" s="85">
        <f>BL88+BK88+BJ88+BH88</f>
        <v>254727.53999999998</v>
      </c>
      <c r="BM89" s="217">
        <f>BM88+BL88+BK88+BJ88</f>
        <v>262376.56</v>
      </c>
      <c r="BN89" s="205"/>
      <c r="BO89" s="175">
        <f>BO88+BM88+BL88+BK88</f>
        <v>269199.08</v>
      </c>
      <c r="BP89" s="85">
        <f>BP88+BO88+BM88+BL88</f>
        <v>275820.43999999994</v>
      </c>
      <c r="BQ89" s="85">
        <f>BQ88+BP88+BO88+BM88</f>
        <v>284727.27</v>
      </c>
      <c r="BR89" s="217">
        <f>BR88+BQ88+BP88+BO88</f>
        <v>294667.76999999996</v>
      </c>
      <c r="BS89" s="205"/>
      <c r="BT89" s="175">
        <f>BT88+BR88+BQ88+BP88</f>
        <v>307813.77</v>
      </c>
      <c r="BU89" s="85">
        <f>BU88+BT88+BR88+BQ88</f>
        <v>323751.03000000003</v>
      </c>
      <c r="BV89" s="85">
        <f>BV88+BU88+BT88+BR88</f>
        <v>338227.92000000004</v>
      </c>
      <c r="BW89" s="217">
        <f>BW88+BV88+BU88+BT88</f>
        <v>354453.92000000004</v>
      </c>
      <c r="BX89" s="205"/>
      <c r="BY89" s="205"/>
      <c r="BZ89" s="205"/>
      <c r="CA89" s="205"/>
      <c r="CB89" s="205"/>
      <c r="CC89" s="205"/>
      <c r="CD89" s="205"/>
      <c r="CE89" s="205"/>
      <c r="CF89" s="205"/>
      <c r="CG89" s="205"/>
      <c r="CH89" s="205"/>
      <c r="CI89" s="205"/>
      <c r="CJ89" s="205"/>
      <c r="CK89" s="205"/>
      <c r="CL89" s="205"/>
      <c r="CN89" s="205"/>
      <c r="CO89" s="205"/>
      <c r="CP89" s="205"/>
      <c r="CQ89" s="205"/>
      <c r="CS89" s="205"/>
      <c r="CT89" s="205"/>
      <c r="CU89" s="205"/>
      <c r="CV89" s="205"/>
    </row>
    <row r="90" spans="2:101" hidden="1">
      <c r="C90" s="223" t="s">
        <v>213</v>
      </c>
      <c r="K90" s="32"/>
      <c r="L90" s="24"/>
      <c r="O90" s="85">
        <f>O89-K10</f>
        <v>4718.2900000000045</v>
      </c>
      <c r="P90" s="111">
        <v>4600.59</v>
      </c>
      <c r="T90" s="217">
        <f>T89-P10</f>
        <v>7264.679999999993</v>
      </c>
      <c r="U90" s="32">
        <v>6869.3266000000003</v>
      </c>
      <c r="V90" s="175">
        <f>V89-Q89</f>
        <v>7874.9399999999951</v>
      </c>
      <c r="W90" s="85">
        <f t="shared" ref="W90:AX90" si="476">W89-R89</f>
        <v>8902.9799999999959</v>
      </c>
      <c r="X90" s="85">
        <f t="shared" si="476"/>
        <v>10601.289999999994</v>
      </c>
      <c r="Y90" s="217">
        <f t="shared" si="476"/>
        <v>11812.170000000006</v>
      </c>
      <c r="Z90" s="85"/>
      <c r="AA90" s="175">
        <f t="shared" si="476"/>
        <v>13598.670000000006</v>
      </c>
      <c r="AB90" s="85">
        <f t="shared" si="476"/>
        <v>14594.090000000004</v>
      </c>
      <c r="AC90" s="85">
        <f t="shared" si="476"/>
        <v>15682.190000000002</v>
      </c>
      <c r="AD90" s="217">
        <f t="shared" si="476"/>
        <v>18579.629999999997</v>
      </c>
      <c r="AE90" s="85"/>
      <c r="AF90" s="175">
        <f t="shared" si="476"/>
        <v>21448.419999999991</v>
      </c>
      <c r="AG90" s="85">
        <f t="shared" si="476"/>
        <v>25082.419999999991</v>
      </c>
      <c r="AH90" s="85">
        <f t="shared" si="476"/>
        <v>26649.269999999997</v>
      </c>
      <c r="AI90" s="217">
        <f t="shared" si="476"/>
        <v>25054.709999999992</v>
      </c>
      <c r="AJ90" s="85"/>
      <c r="AK90" s="175">
        <f t="shared" si="476"/>
        <v>23162.044399999999</v>
      </c>
      <c r="AL90" s="85">
        <f t="shared" si="476"/>
        <v>21417.837</v>
      </c>
      <c r="AM90" s="85">
        <f t="shared" si="476"/>
        <v>20503.843399999998</v>
      </c>
      <c r="AN90" s="217">
        <f t="shared" si="476"/>
        <v>22244.310000000027</v>
      </c>
      <c r="AO90" s="85"/>
      <c r="AP90" s="175">
        <f t="shared" si="476"/>
        <v>24653.96120000002</v>
      </c>
      <c r="AQ90" s="85">
        <f t="shared" si="476"/>
        <v>26407.236000000019</v>
      </c>
      <c r="AR90" s="85">
        <f t="shared" si="476"/>
        <v>28515.923200000034</v>
      </c>
      <c r="AS90" s="217">
        <f t="shared" si="476"/>
        <v>28782.043999999994</v>
      </c>
      <c r="AT90" s="85"/>
      <c r="AU90" s="175">
        <f t="shared" si="476"/>
        <v>29732.448399999994</v>
      </c>
      <c r="AV90" s="85">
        <f t="shared" si="476"/>
        <v>30683.460999999996</v>
      </c>
      <c r="AW90" s="85">
        <f t="shared" si="476"/>
        <v>31905.747399999993</v>
      </c>
      <c r="AX90" s="217">
        <f t="shared" si="476"/>
        <v>33122.655999999959</v>
      </c>
      <c r="AY90" s="205"/>
      <c r="AZ90" s="175">
        <f>AZ89-AU89</f>
        <v>31182.915999999968</v>
      </c>
      <c r="BA90" s="85">
        <f>BA89-AV89</f>
        <v>29348.215999999986</v>
      </c>
      <c r="BB90" s="85">
        <f>BB89-AW89</f>
        <v>27045.795999999973</v>
      </c>
      <c r="BC90" s="217">
        <f>BC89-AX89</f>
        <v>26863.000000000029</v>
      </c>
      <c r="BD90" s="204"/>
      <c r="BE90" s="175">
        <f>BE89-AZ89</f>
        <v>27663.210000000021</v>
      </c>
      <c r="BF90" s="85">
        <f>BF89-BA89</f>
        <v>27773.570000000007</v>
      </c>
      <c r="BG90" s="85">
        <f>BG89-BB89</f>
        <v>28442.850000000006</v>
      </c>
      <c r="BH90" s="217">
        <f>BH89-BC89</f>
        <v>26734</v>
      </c>
      <c r="BI90" s="204"/>
      <c r="BJ90" s="175">
        <f>BJ89-BE89</f>
        <v>27709.399999999994</v>
      </c>
      <c r="BK90" s="85">
        <f>BK89-BF89</f>
        <v>29207.940000000002</v>
      </c>
      <c r="BL90" s="85">
        <f>BL89-BG89</f>
        <v>30250.25999999998</v>
      </c>
      <c r="BM90" s="217">
        <f>BM89-BH89</f>
        <v>31722.559999999998</v>
      </c>
      <c r="BN90" s="204"/>
      <c r="BO90" s="175">
        <f>BO89-BJ89</f>
        <v>30487.120000000024</v>
      </c>
      <c r="BP90" s="85">
        <f>BP89-BK89</f>
        <v>29121.219999999943</v>
      </c>
      <c r="BQ90" s="85">
        <f>BQ89-BL89</f>
        <v>29999.73000000004</v>
      </c>
      <c r="BR90" s="217">
        <f>BR89-BM89</f>
        <v>32291.209999999963</v>
      </c>
      <c r="BS90" s="204"/>
      <c r="BT90" s="175">
        <f>BT89-BO89</f>
        <v>38614.69</v>
      </c>
      <c r="BU90" s="85">
        <f>BU89-BP89</f>
        <v>47930.590000000084</v>
      </c>
      <c r="BV90" s="85">
        <f>BV89-BQ89</f>
        <v>53500.650000000023</v>
      </c>
      <c r="BW90" s="217">
        <f>BW89-BR89</f>
        <v>59786.150000000081</v>
      </c>
      <c r="BX90" s="204"/>
      <c r="BY90" s="204"/>
      <c r="BZ90" s="204"/>
      <c r="CA90" s="204"/>
      <c r="CB90" s="204"/>
      <c r="CC90" s="204"/>
      <c r="CD90" s="204"/>
      <c r="CE90" s="204"/>
      <c r="CF90" s="204"/>
      <c r="CG90" s="204"/>
      <c r="CH90" s="204"/>
      <c r="CI90" s="204"/>
      <c r="CJ90" s="204"/>
      <c r="CK90" s="204"/>
      <c r="CL90" s="204"/>
      <c r="CN90" s="204"/>
      <c r="CO90" s="204"/>
      <c r="CP90" s="204"/>
      <c r="CQ90" s="205"/>
      <c r="CS90" s="204"/>
      <c r="CT90" s="204"/>
      <c r="CU90" s="204"/>
      <c r="CV90" s="205"/>
    </row>
    <row r="91" spans="2:101" hidden="1">
      <c r="C91" s="223" t="s">
        <v>214</v>
      </c>
      <c r="K91" s="229">
        <v>0.95</v>
      </c>
      <c r="L91" s="24"/>
      <c r="O91" s="230">
        <v>0.95</v>
      </c>
      <c r="P91" s="229">
        <v>0.95</v>
      </c>
      <c r="T91" s="227">
        <v>0.95</v>
      </c>
      <c r="U91" s="32">
        <v>0.95</v>
      </c>
      <c r="V91" s="216">
        <v>0.95</v>
      </c>
      <c r="W91" s="215">
        <v>0.95</v>
      </c>
      <c r="X91" s="215">
        <v>0.95</v>
      </c>
      <c r="Y91" s="214">
        <v>0.95</v>
      </c>
      <c r="Z91" s="215"/>
      <c r="AA91" s="216">
        <v>0.95</v>
      </c>
      <c r="AB91" s="215">
        <v>0.95</v>
      </c>
      <c r="AC91" s="215">
        <v>0.95</v>
      </c>
      <c r="AD91" s="214">
        <v>0.95</v>
      </c>
      <c r="AE91" s="215"/>
      <c r="AF91" s="216">
        <v>0.95</v>
      </c>
      <c r="AG91" s="215">
        <v>0.95</v>
      </c>
      <c r="AH91" s="215">
        <v>0.95</v>
      </c>
      <c r="AI91" s="214">
        <v>0.95</v>
      </c>
      <c r="AJ91" s="215"/>
      <c r="AK91" s="216">
        <v>0.95</v>
      </c>
      <c r="AL91" s="215">
        <v>0.95</v>
      </c>
      <c r="AM91" s="215">
        <v>0.95</v>
      </c>
      <c r="AN91" s="214">
        <v>0.95</v>
      </c>
      <c r="AO91" s="215"/>
      <c r="AP91" s="216">
        <v>0.95</v>
      </c>
      <c r="AQ91" s="215">
        <v>0.95</v>
      </c>
      <c r="AR91" s="215">
        <v>0.95</v>
      </c>
      <c r="AS91" s="214">
        <v>0.95</v>
      </c>
      <c r="AT91" s="215"/>
      <c r="AU91" s="216">
        <v>0.95</v>
      </c>
      <c r="AV91" s="215">
        <v>0.95</v>
      </c>
      <c r="AW91" s="215">
        <v>0.95</v>
      </c>
      <c r="AX91" s="214">
        <v>0.95</v>
      </c>
      <c r="AY91" s="205"/>
      <c r="AZ91" s="216">
        <v>0.95</v>
      </c>
      <c r="BA91" s="215">
        <v>0.95</v>
      </c>
      <c r="BB91" s="215">
        <v>0.95</v>
      </c>
      <c r="BC91" s="214">
        <v>0.95</v>
      </c>
      <c r="BD91" s="203"/>
      <c r="BE91" s="216">
        <v>0.95</v>
      </c>
      <c r="BF91" s="215">
        <v>0.95</v>
      </c>
      <c r="BG91" s="215">
        <v>0.95</v>
      </c>
      <c r="BH91" s="214">
        <v>0.95</v>
      </c>
      <c r="BI91" s="203"/>
      <c r="BJ91" s="216">
        <v>0.95</v>
      </c>
      <c r="BK91" s="215">
        <v>0.95</v>
      </c>
      <c r="BL91" s="215">
        <v>0.95</v>
      </c>
      <c r="BM91" s="214">
        <v>0.95</v>
      </c>
      <c r="BN91" s="203"/>
      <c r="BO91" s="216">
        <v>0.95</v>
      </c>
      <c r="BP91" s="215">
        <v>0.95</v>
      </c>
      <c r="BQ91" s="215">
        <v>0.95</v>
      </c>
      <c r="BR91" s="214">
        <v>0.95</v>
      </c>
      <c r="BS91" s="203"/>
      <c r="BT91" s="216">
        <v>0.95</v>
      </c>
      <c r="BU91" s="215">
        <v>0.95</v>
      </c>
      <c r="BV91" s="215">
        <v>0.95</v>
      </c>
      <c r="BW91" s="214">
        <v>0.95</v>
      </c>
      <c r="BX91" s="203"/>
      <c r="BY91" s="203"/>
      <c r="BZ91" s="203"/>
      <c r="CA91" s="203"/>
      <c r="CB91" s="203"/>
      <c r="CC91" s="203"/>
      <c r="CD91" s="203"/>
      <c r="CE91" s="203"/>
      <c r="CF91" s="203"/>
      <c r="CG91" s="203"/>
      <c r="CH91" s="203"/>
      <c r="CI91" s="203"/>
      <c r="CJ91" s="203"/>
      <c r="CK91" s="203"/>
      <c r="CL91" s="203"/>
      <c r="CN91" s="203"/>
      <c r="CO91" s="203"/>
      <c r="CP91" s="203"/>
      <c r="CQ91" s="205"/>
      <c r="CS91" s="203"/>
      <c r="CT91" s="203"/>
      <c r="CU91" s="203"/>
      <c r="CV91" s="205"/>
    </row>
    <row r="92" spans="2:101" hidden="1">
      <c r="C92" s="223" t="s">
        <v>215</v>
      </c>
      <c r="K92" s="111">
        <f>K91*K89</f>
        <v>24204.584499999997</v>
      </c>
      <c r="L92" s="24"/>
      <c r="O92" s="85">
        <f>O91*O89</f>
        <v>28686.960000000003</v>
      </c>
      <c r="P92" s="111">
        <v>28866.766499999998</v>
      </c>
      <c r="T92" s="217">
        <f>T89*T91</f>
        <v>35588.405999999995</v>
      </c>
      <c r="U92" s="32">
        <v>35212.820270000004</v>
      </c>
      <c r="V92" s="175">
        <f>V91*V89</f>
        <v>37582.845499999996</v>
      </c>
      <c r="W92" s="85">
        <f t="shared" ref="W92:AX92" si="477">W91*W89</f>
        <v>40075.227499999994</v>
      </c>
      <c r="X92" s="85">
        <f t="shared" si="477"/>
        <v>43445.076999999997</v>
      </c>
      <c r="Y92" s="217">
        <f t="shared" si="477"/>
        <v>46809.967499999999</v>
      </c>
      <c r="Z92" s="85"/>
      <c r="AA92" s="175">
        <f t="shared" si="477"/>
        <v>50501.582000000002</v>
      </c>
      <c r="AB92" s="85">
        <f t="shared" si="477"/>
        <v>53939.612999999998</v>
      </c>
      <c r="AC92" s="85">
        <f t="shared" si="477"/>
        <v>58343.157499999994</v>
      </c>
      <c r="AD92" s="217">
        <f t="shared" si="477"/>
        <v>64460.615999999995</v>
      </c>
      <c r="AE92" s="85"/>
      <c r="AF92" s="175">
        <f t="shared" si="477"/>
        <v>70877.580999999991</v>
      </c>
      <c r="AG92" s="85">
        <f t="shared" si="477"/>
        <v>77767.911999999982</v>
      </c>
      <c r="AH92" s="85">
        <f t="shared" si="477"/>
        <v>83659.963999999993</v>
      </c>
      <c r="AI92" s="217">
        <f t="shared" si="477"/>
        <v>88262.590499999991</v>
      </c>
      <c r="AJ92" s="85"/>
      <c r="AK92" s="175">
        <f t="shared" si="477"/>
        <v>92881.523179999989</v>
      </c>
      <c r="AL92" s="85">
        <f t="shared" si="477"/>
        <v>98114.857149999982</v>
      </c>
      <c r="AM92" s="85">
        <f t="shared" si="477"/>
        <v>103138.61523</v>
      </c>
      <c r="AN92" s="217">
        <f t="shared" si="477"/>
        <v>109394.68500000001</v>
      </c>
      <c r="AO92" s="85"/>
      <c r="AP92" s="175">
        <f t="shared" si="477"/>
        <v>116302.78632000001</v>
      </c>
      <c r="AQ92" s="85">
        <f t="shared" si="477"/>
        <v>123201.73135</v>
      </c>
      <c r="AR92" s="85">
        <f t="shared" si="477"/>
        <v>130228.74227000002</v>
      </c>
      <c r="AS92" s="217">
        <f t="shared" si="477"/>
        <v>136737.6268</v>
      </c>
      <c r="AT92" s="85"/>
      <c r="AU92" s="175">
        <f t="shared" si="477"/>
        <v>144548.61230000001</v>
      </c>
      <c r="AV92" s="85">
        <f t="shared" si="477"/>
        <v>152351.01929999999</v>
      </c>
      <c r="AW92" s="85">
        <f t="shared" si="477"/>
        <v>160539.2023</v>
      </c>
      <c r="AX92" s="217">
        <f t="shared" si="477"/>
        <v>168204.14999999997</v>
      </c>
      <c r="AY92" s="205"/>
      <c r="AZ92" s="175">
        <f>AZ91*AZ89</f>
        <v>174172.38249999998</v>
      </c>
      <c r="BA92" s="85">
        <f>BA91*BA89</f>
        <v>180231.82449999999</v>
      </c>
      <c r="BB92" s="85">
        <f>BB91*BB89</f>
        <v>186232.70849999998</v>
      </c>
      <c r="BC92" s="217">
        <f>BC91*BC89</f>
        <v>193724</v>
      </c>
      <c r="BD92" s="203"/>
      <c r="BE92" s="175">
        <f>BE91*BE89</f>
        <v>200452.432</v>
      </c>
      <c r="BF92" s="85">
        <f>BF91*BF89</f>
        <v>206616.71599999999</v>
      </c>
      <c r="BG92" s="85">
        <f>BG91*BG89</f>
        <v>213253.416</v>
      </c>
      <c r="BH92" s="217">
        <f>BH91*BH89</f>
        <v>219121.3</v>
      </c>
      <c r="BI92" s="203"/>
      <c r="BJ92" s="175">
        <f>BJ91*BJ89</f>
        <v>226776.36199999999</v>
      </c>
      <c r="BK92" s="85">
        <f>BK91*BK89</f>
        <v>234364.25899999999</v>
      </c>
      <c r="BL92" s="85">
        <f>BL91*BL89</f>
        <v>241991.16299999997</v>
      </c>
      <c r="BM92" s="217">
        <f>BM91*BM89</f>
        <v>249257.73199999999</v>
      </c>
      <c r="BN92" s="203"/>
      <c r="BO92" s="175">
        <f>BO91*BO89</f>
        <v>255739.12599999999</v>
      </c>
      <c r="BP92" s="85">
        <f>BP91*BP89</f>
        <v>262029.41799999995</v>
      </c>
      <c r="BQ92" s="85">
        <f>BQ91*BQ89</f>
        <v>270490.90649999998</v>
      </c>
      <c r="BR92" s="217">
        <f>BR91*BR89</f>
        <v>279934.38149999996</v>
      </c>
      <c r="BS92" s="203"/>
      <c r="BT92" s="175">
        <f>BT91*BT89</f>
        <v>292423.08150000003</v>
      </c>
      <c r="BU92" s="85">
        <f>BU91*BU89</f>
        <v>307563.47850000003</v>
      </c>
      <c r="BV92" s="85">
        <f>BV91*BV89</f>
        <v>321316.52400000003</v>
      </c>
      <c r="BW92" s="217">
        <f>BW91*BW89</f>
        <v>336731.22400000005</v>
      </c>
      <c r="BX92" s="203"/>
      <c r="BY92" s="203"/>
      <c r="BZ92" s="203"/>
      <c r="CA92" s="203"/>
      <c r="CB92" s="203"/>
      <c r="CC92" s="203"/>
      <c r="CD92" s="203"/>
      <c r="CE92" s="203"/>
      <c r="CF92" s="203"/>
      <c r="CG92" s="203"/>
      <c r="CH92" s="203"/>
      <c r="CI92" s="203"/>
      <c r="CJ92" s="203"/>
      <c r="CK92" s="203"/>
      <c r="CL92" s="203"/>
      <c r="CN92" s="203"/>
      <c r="CO92" s="203"/>
      <c r="CP92" s="203"/>
      <c r="CQ92" s="205"/>
      <c r="CS92" s="203"/>
      <c r="CT92" s="203"/>
      <c r="CU92" s="203"/>
      <c r="CV92" s="205"/>
    </row>
    <row r="93" spans="2:101" ht="13.15" hidden="1">
      <c r="C93" s="223" t="s">
        <v>216</v>
      </c>
      <c r="K93" s="111">
        <f>K89-K92</f>
        <v>1273.9255000000012</v>
      </c>
      <c r="L93" s="24"/>
      <c r="O93" s="85">
        <f>O89-O92</f>
        <v>1509.8400000000001</v>
      </c>
      <c r="P93" s="111">
        <v>1519.3035000000018</v>
      </c>
      <c r="T93" s="217">
        <f>T89-T92</f>
        <v>1873.0740000000005</v>
      </c>
      <c r="U93" s="32">
        <v>1853.3063299999994</v>
      </c>
      <c r="V93" s="175">
        <f>V89-V92</f>
        <v>1978.0445000000036</v>
      </c>
      <c r="W93" s="85">
        <f t="shared" ref="W93:AX93" si="478">W89-W92</f>
        <v>2109.2225000000035</v>
      </c>
      <c r="X93" s="85">
        <f t="shared" si="478"/>
        <v>2286.5829999999987</v>
      </c>
      <c r="Y93" s="217">
        <f t="shared" si="478"/>
        <v>2463.6825000000026</v>
      </c>
      <c r="Z93" s="85"/>
      <c r="AA93" s="175">
        <f t="shared" si="478"/>
        <v>2657.9780000000028</v>
      </c>
      <c r="AB93" s="85">
        <f t="shared" si="478"/>
        <v>2838.9270000000033</v>
      </c>
      <c r="AC93" s="85">
        <f t="shared" si="478"/>
        <v>3070.6925000000047</v>
      </c>
      <c r="AD93" s="217">
        <f t="shared" si="478"/>
        <v>3392.6640000000043</v>
      </c>
      <c r="AE93" s="85"/>
      <c r="AF93" s="175">
        <f t="shared" si="478"/>
        <v>3730.3990000000049</v>
      </c>
      <c r="AG93" s="85">
        <f t="shared" si="478"/>
        <v>4093.0480000000098</v>
      </c>
      <c r="AH93" s="85">
        <f t="shared" si="478"/>
        <v>4403.1560000000027</v>
      </c>
      <c r="AI93" s="217">
        <f t="shared" si="478"/>
        <v>4645.3994999999995</v>
      </c>
      <c r="AJ93" s="85"/>
      <c r="AK93" s="175">
        <f t="shared" si="478"/>
        <v>4888.5012200000056</v>
      </c>
      <c r="AL93" s="85">
        <f t="shared" si="478"/>
        <v>5163.9398500000098</v>
      </c>
      <c r="AM93" s="85">
        <f t="shared" si="478"/>
        <v>5428.3481699999975</v>
      </c>
      <c r="AN93" s="217">
        <f t="shared" si="478"/>
        <v>5757.6150000000052</v>
      </c>
      <c r="AO93" s="85"/>
      <c r="AP93" s="175">
        <f t="shared" si="478"/>
        <v>6121.1992800000007</v>
      </c>
      <c r="AQ93" s="85">
        <f t="shared" si="478"/>
        <v>6484.3016500000085</v>
      </c>
      <c r="AR93" s="85">
        <f t="shared" si="478"/>
        <v>6854.1443300000101</v>
      </c>
      <c r="AS93" s="217">
        <f t="shared" si="478"/>
        <v>7196.7172000000137</v>
      </c>
      <c r="AT93" s="85"/>
      <c r="AU93" s="175">
        <f t="shared" si="478"/>
        <v>7607.8217000000004</v>
      </c>
      <c r="AV93" s="85">
        <f t="shared" si="478"/>
        <v>8018.4747000000207</v>
      </c>
      <c r="AW93" s="85">
        <f t="shared" si="478"/>
        <v>8449.4317000000156</v>
      </c>
      <c r="AX93" s="217">
        <f t="shared" si="478"/>
        <v>8852.8500000000058</v>
      </c>
      <c r="AY93" s="205"/>
      <c r="AZ93" s="175">
        <f>AZ89-AZ92</f>
        <v>9166.9674999999988</v>
      </c>
      <c r="BA93" s="85">
        <f>BA89-BA92</f>
        <v>9485.885500000004</v>
      </c>
      <c r="BB93" s="85">
        <f>BB89-BB92</f>
        <v>9801.7215000000142</v>
      </c>
      <c r="BC93" s="217">
        <f>BC89-BC92</f>
        <v>10196</v>
      </c>
      <c r="BD93" s="204"/>
      <c r="BE93" s="175">
        <f>BE89-BE92</f>
        <v>10550.127999999997</v>
      </c>
      <c r="BF93" s="85">
        <f>BF89-BF92</f>
        <v>10874.564000000013</v>
      </c>
      <c r="BG93" s="85">
        <f>BG89-BG92</f>
        <v>11223.864000000001</v>
      </c>
      <c r="BH93" s="217">
        <f>BH89-BH92</f>
        <v>11532.700000000012</v>
      </c>
      <c r="BI93" s="204"/>
      <c r="BJ93" s="175">
        <f>BJ89-BJ92</f>
        <v>11935.597999999998</v>
      </c>
      <c r="BK93" s="85">
        <f>BK89-BK92</f>
        <v>12334.96100000001</v>
      </c>
      <c r="BL93" s="85">
        <f>BL89-BL92</f>
        <v>12736.377000000008</v>
      </c>
      <c r="BM93" s="217">
        <f>BM89-BM92</f>
        <v>13118.828000000009</v>
      </c>
      <c r="BN93" s="204"/>
      <c r="BO93" s="175">
        <f>BO89-BO92</f>
        <v>13459.954000000027</v>
      </c>
      <c r="BP93" s="85">
        <f>BP89-BP92</f>
        <v>13791.021999999997</v>
      </c>
      <c r="BQ93" s="85">
        <f>BQ89-BQ92</f>
        <v>14236.363500000036</v>
      </c>
      <c r="BR93" s="217">
        <f>BR89-BR92</f>
        <v>14733.388500000001</v>
      </c>
      <c r="BS93" s="204"/>
      <c r="BT93" s="175">
        <f>BT89-BT92</f>
        <v>15390.688499999989</v>
      </c>
      <c r="BU93" s="85">
        <f>BU89-BU92</f>
        <v>16187.551500000001</v>
      </c>
      <c r="BV93" s="85">
        <f>BV89-BV92</f>
        <v>16911.396000000008</v>
      </c>
      <c r="BW93" s="217">
        <f>BW89-BW92</f>
        <v>17722.695999999996</v>
      </c>
      <c r="BX93" s="204"/>
      <c r="BY93" s="204"/>
      <c r="BZ93" s="204"/>
      <c r="CA93" s="204"/>
      <c r="CB93" s="204"/>
      <c r="CC93" s="204"/>
      <c r="CD93" s="204"/>
      <c r="CE93" s="204"/>
      <c r="CF93" s="204"/>
      <c r="CG93" s="204"/>
      <c r="CH93" s="204"/>
      <c r="CI93" s="204"/>
      <c r="CJ93" s="204"/>
      <c r="CK93" s="204"/>
      <c r="CL93" s="204"/>
      <c r="CN93" s="204"/>
      <c r="CO93" s="204"/>
      <c r="CP93" s="206"/>
      <c r="CQ93" s="205"/>
      <c r="CS93" s="204"/>
      <c r="CT93" s="204"/>
      <c r="CU93" s="206"/>
      <c r="CV93" s="205"/>
    </row>
    <row r="94" spans="2:101" ht="13.15" hidden="1">
      <c r="C94" s="225" t="s">
        <v>219</v>
      </c>
      <c r="K94" s="32"/>
      <c r="L94" s="24"/>
      <c r="O94" s="85">
        <f>O90+K93</f>
        <v>5992.2155000000057</v>
      </c>
      <c r="P94" s="111">
        <v>5889.8640000000014</v>
      </c>
      <c r="T94" s="217">
        <f>T90+O93</f>
        <v>8774.5199999999932</v>
      </c>
      <c r="U94" s="32">
        <v>8388.6301000000021</v>
      </c>
      <c r="V94" s="24"/>
      <c r="Y94" s="217">
        <f>Y90+T93</f>
        <v>13685.244000000006</v>
      </c>
      <c r="AA94" s="175">
        <f>AA90+V93</f>
        <v>15576.714500000009</v>
      </c>
      <c r="AB94" s="85">
        <f t="shared" ref="AB94:AX94" si="479">AB90+W93</f>
        <v>16703.312500000007</v>
      </c>
      <c r="AC94" s="85">
        <f t="shared" si="479"/>
        <v>17968.773000000001</v>
      </c>
      <c r="AD94" s="217">
        <f t="shared" si="479"/>
        <v>21043.3125</v>
      </c>
      <c r="AE94" s="85"/>
      <c r="AF94" s="175">
        <f t="shared" si="479"/>
        <v>24106.397999999994</v>
      </c>
      <c r="AG94" s="85">
        <f t="shared" si="479"/>
        <v>27921.346999999994</v>
      </c>
      <c r="AH94" s="85">
        <f t="shared" si="479"/>
        <v>29719.962500000001</v>
      </c>
      <c r="AI94" s="217">
        <f t="shared" si="479"/>
        <v>28447.373999999996</v>
      </c>
      <c r="AJ94" s="85"/>
      <c r="AK94" s="175">
        <f t="shared" si="479"/>
        <v>26892.443400000004</v>
      </c>
      <c r="AL94" s="85">
        <f t="shared" si="479"/>
        <v>25510.885000000009</v>
      </c>
      <c r="AM94" s="85">
        <f t="shared" si="479"/>
        <v>24906.999400000001</v>
      </c>
      <c r="AN94" s="217">
        <f t="shared" si="479"/>
        <v>26889.709500000026</v>
      </c>
      <c r="AO94" s="85"/>
      <c r="AP94" s="175">
        <f t="shared" si="479"/>
        <v>29542.462420000025</v>
      </c>
      <c r="AQ94" s="85">
        <f t="shared" si="479"/>
        <v>31571.175850000029</v>
      </c>
      <c r="AR94" s="85">
        <f t="shared" si="479"/>
        <v>33944.271370000031</v>
      </c>
      <c r="AS94" s="217">
        <f t="shared" si="479"/>
        <v>34539.659</v>
      </c>
      <c r="AT94" s="85"/>
      <c r="AU94" s="175">
        <f t="shared" si="479"/>
        <v>35853.647679999995</v>
      </c>
      <c r="AV94" s="85">
        <f t="shared" si="479"/>
        <v>37167.762650000004</v>
      </c>
      <c r="AW94" s="85">
        <f t="shared" si="479"/>
        <v>38759.891730000003</v>
      </c>
      <c r="AX94" s="217">
        <f t="shared" si="479"/>
        <v>40319.373199999973</v>
      </c>
      <c r="AY94" s="205"/>
      <c r="AZ94" s="175">
        <f>AZ90+AU93</f>
        <v>38790.737699999969</v>
      </c>
      <c r="BA94" s="85">
        <f>BA90+AV93</f>
        <v>37366.690700000006</v>
      </c>
      <c r="BB94" s="85">
        <f>BB90+AW93</f>
        <v>35495.227699999989</v>
      </c>
      <c r="BC94" s="217">
        <f>BC90+AX93</f>
        <v>35715.850000000035</v>
      </c>
      <c r="BD94" s="204"/>
      <c r="BE94" s="175">
        <f>BE90+AZ93</f>
        <v>36830.17750000002</v>
      </c>
      <c r="BF94" s="85">
        <f>BF90+BA93</f>
        <v>37259.455500000011</v>
      </c>
      <c r="BG94" s="85">
        <f>BG90+BB93</f>
        <v>38244.57150000002</v>
      </c>
      <c r="BH94" s="217">
        <f>BH90+BC93</f>
        <v>36930</v>
      </c>
      <c r="BI94" s="204"/>
      <c r="BJ94" s="175">
        <f>BJ90+BE93</f>
        <v>38259.527999999991</v>
      </c>
      <c r="BK94" s="85">
        <f>BK90+BF93</f>
        <v>40082.504000000015</v>
      </c>
      <c r="BL94" s="85">
        <f>BL90+BG93</f>
        <v>41474.123999999982</v>
      </c>
      <c r="BM94" s="217">
        <f>BM90+BH93</f>
        <v>43255.260000000009</v>
      </c>
      <c r="BN94" s="204"/>
      <c r="BO94" s="175">
        <f>BO90+BJ93</f>
        <v>42422.718000000023</v>
      </c>
      <c r="BP94" s="85">
        <f>BP90+BK93</f>
        <v>41456.180999999953</v>
      </c>
      <c r="BQ94" s="85">
        <f>BQ90+BL93</f>
        <v>42736.107000000047</v>
      </c>
      <c r="BR94" s="217">
        <f>BR90+BM93</f>
        <v>45410.037999999971</v>
      </c>
      <c r="BS94" s="204"/>
      <c r="BT94" s="175">
        <f>BT90+BO93</f>
        <v>52074.644000000029</v>
      </c>
      <c r="BU94" s="85">
        <f>BU90+BP93</f>
        <v>61721.612000000081</v>
      </c>
      <c r="BV94" s="85">
        <f>BV90+BQ93</f>
        <v>67737.013500000059</v>
      </c>
      <c r="BW94" s="217">
        <f>BW90+BR93</f>
        <v>74519.538500000082</v>
      </c>
      <c r="BX94" s="204"/>
      <c r="BY94" s="204"/>
      <c r="BZ94" s="204"/>
      <c r="CA94" s="204"/>
      <c r="CB94" s="204"/>
      <c r="CC94" s="204"/>
      <c r="CD94" s="204"/>
      <c r="CE94" s="204"/>
      <c r="CF94" s="204"/>
      <c r="CG94" s="204"/>
      <c r="CH94" s="204"/>
      <c r="CI94" s="204"/>
      <c r="CJ94" s="204"/>
      <c r="CK94" s="204"/>
      <c r="CL94" s="204"/>
      <c r="CN94" s="204"/>
      <c r="CO94" s="204"/>
      <c r="CP94" s="206"/>
      <c r="CQ94" s="205"/>
      <c r="CS94" s="204"/>
      <c r="CT94" s="204"/>
      <c r="CU94" s="206"/>
      <c r="CV94" s="205"/>
    </row>
    <row r="95" spans="2:101" ht="13.15" hidden="1" thickBot="1">
      <c r="C95" s="226" t="s">
        <v>220</v>
      </c>
      <c r="K95" s="32"/>
      <c r="L95" s="24"/>
      <c r="P95" s="32"/>
      <c r="T95" s="217"/>
      <c r="U95" s="32"/>
      <c r="V95" s="55"/>
      <c r="W95" s="28"/>
      <c r="X95" s="28"/>
      <c r="Y95" s="178"/>
      <c r="AA95" s="213">
        <f>AA94-V93</f>
        <v>13598.670000000006</v>
      </c>
      <c r="AB95" s="221">
        <f t="shared" ref="AB95:AX95" si="480">AB94-W93</f>
        <v>14594.090000000004</v>
      </c>
      <c r="AC95" s="221">
        <f t="shared" si="480"/>
        <v>15682.190000000002</v>
      </c>
      <c r="AD95" s="212">
        <f t="shared" si="480"/>
        <v>18579.629999999997</v>
      </c>
      <c r="AE95" s="85"/>
      <c r="AF95" s="213">
        <f t="shared" si="480"/>
        <v>21448.419999999991</v>
      </c>
      <c r="AG95" s="221">
        <f t="shared" si="480"/>
        <v>25082.419999999991</v>
      </c>
      <c r="AH95" s="221">
        <f t="shared" si="480"/>
        <v>26649.269999999997</v>
      </c>
      <c r="AI95" s="212">
        <f t="shared" si="480"/>
        <v>25054.709999999992</v>
      </c>
      <c r="AJ95" s="85"/>
      <c r="AK95" s="213">
        <f t="shared" si="480"/>
        <v>23162.044399999999</v>
      </c>
      <c r="AL95" s="221">
        <f t="shared" si="480"/>
        <v>21417.837</v>
      </c>
      <c r="AM95" s="221">
        <f t="shared" si="480"/>
        <v>20503.843399999998</v>
      </c>
      <c r="AN95" s="212">
        <f t="shared" si="480"/>
        <v>22244.310000000027</v>
      </c>
      <c r="AO95" s="85"/>
      <c r="AP95" s="213">
        <f t="shared" si="480"/>
        <v>24653.96120000002</v>
      </c>
      <c r="AQ95" s="221">
        <f t="shared" si="480"/>
        <v>26407.236000000019</v>
      </c>
      <c r="AR95" s="221">
        <f t="shared" si="480"/>
        <v>28515.923200000034</v>
      </c>
      <c r="AS95" s="212">
        <f t="shared" si="480"/>
        <v>28782.043999999994</v>
      </c>
      <c r="AT95" s="85"/>
      <c r="AU95" s="213">
        <f t="shared" si="480"/>
        <v>29732.448399999994</v>
      </c>
      <c r="AV95" s="221">
        <f t="shared" si="480"/>
        <v>30683.460999999996</v>
      </c>
      <c r="AW95" s="221">
        <f t="shared" si="480"/>
        <v>31905.747399999993</v>
      </c>
      <c r="AX95" s="212">
        <f t="shared" si="480"/>
        <v>33122.655999999959</v>
      </c>
      <c r="AY95" s="205"/>
      <c r="AZ95" s="213">
        <f>AZ94-AU93</f>
        <v>31182.915999999968</v>
      </c>
      <c r="BA95" s="221">
        <f>BA94-AV93</f>
        <v>29348.215999999986</v>
      </c>
      <c r="BB95" s="221">
        <f>BB94-AW93</f>
        <v>27045.795999999973</v>
      </c>
      <c r="BC95" s="212">
        <f>BC94-AX93</f>
        <v>26863.000000000029</v>
      </c>
      <c r="BD95" s="205"/>
      <c r="BE95" s="213">
        <f>BE94-AZ93</f>
        <v>27663.210000000021</v>
      </c>
      <c r="BF95" s="221">
        <f>BF94-BA93</f>
        <v>27773.570000000007</v>
      </c>
      <c r="BG95" s="221">
        <f>BG94-BB93</f>
        <v>28442.850000000006</v>
      </c>
      <c r="BH95" s="212">
        <f>BH94-BC93</f>
        <v>26734</v>
      </c>
      <c r="BI95" s="205"/>
      <c r="BJ95" s="213">
        <f>BJ94-BE93</f>
        <v>27709.399999999994</v>
      </c>
      <c r="BK95" s="221">
        <f>BK94-BF93</f>
        <v>29207.940000000002</v>
      </c>
      <c r="BL95" s="221">
        <f>BL94-BG93</f>
        <v>30250.25999999998</v>
      </c>
      <c r="BM95" s="212">
        <f>BM94-BH93</f>
        <v>31722.559999999998</v>
      </c>
      <c r="BN95" s="205"/>
      <c r="BO95" s="213">
        <f>BO94-BJ93</f>
        <v>30487.120000000024</v>
      </c>
      <c r="BP95" s="221">
        <f>BP94-BK93</f>
        <v>29121.219999999943</v>
      </c>
      <c r="BQ95" s="221">
        <f>BQ94-BL93</f>
        <v>29999.73000000004</v>
      </c>
      <c r="BR95" s="212">
        <f>BR94-BM93</f>
        <v>32291.209999999963</v>
      </c>
      <c r="BS95" s="205"/>
      <c r="BT95" s="213">
        <f>BT94-BO93</f>
        <v>38614.69</v>
      </c>
      <c r="BU95" s="221">
        <f>BU94-BP93</f>
        <v>47930.590000000084</v>
      </c>
      <c r="BV95" s="221">
        <f>BV94-BQ93</f>
        <v>53500.650000000023</v>
      </c>
      <c r="BW95" s="212">
        <f>BW94-BR93</f>
        <v>59786.150000000081</v>
      </c>
      <c r="BX95" s="205"/>
      <c r="BY95" s="205"/>
      <c r="BZ95" s="205"/>
      <c r="CA95" s="205"/>
      <c r="CB95" s="205"/>
      <c r="CC95" s="205"/>
      <c r="CD95" s="205"/>
      <c r="CE95" s="205"/>
      <c r="CF95" s="205"/>
      <c r="CG95" s="205"/>
      <c r="CH95" s="205"/>
      <c r="CI95" s="205"/>
      <c r="CJ95" s="205"/>
      <c r="CK95" s="205"/>
      <c r="CL95" s="205"/>
      <c r="CN95" s="205"/>
      <c r="CO95" s="205"/>
      <c r="CP95" s="205"/>
      <c r="CQ95" s="205"/>
      <c r="CS95" s="205"/>
      <c r="CT95" s="205"/>
      <c r="CU95" s="205"/>
      <c r="CV95" s="205"/>
    </row>
    <row r="96" spans="2:101" hidden="1">
      <c r="C96" s="223"/>
      <c r="K96" s="38"/>
      <c r="L96" s="43"/>
      <c r="M96" s="30"/>
      <c r="N96" s="30"/>
      <c r="O96" s="30"/>
      <c r="P96" s="38"/>
      <c r="Q96" s="30"/>
      <c r="R96" s="30"/>
      <c r="S96" s="30"/>
      <c r="T96" s="54"/>
      <c r="U96" s="38"/>
      <c r="V96" s="24"/>
      <c r="Y96" s="168"/>
      <c r="AA96" s="24"/>
      <c r="AD96" s="168"/>
      <c r="AF96" s="24"/>
      <c r="AI96" s="168"/>
      <c r="AK96" s="24"/>
      <c r="AN96" s="168"/>
      <c r="AP96" s="24"/>
      <c r="AS96" s="168"/>
      <c r="AU96" s="24"/>
      <c r="AX96" s="168"/>
      <c r="AY96" s="205"/>
      <c r="AZ96" s="24"/>
      <c r="BC96" s="168"/>
      <c r="BD96" s="205"/>
      <c r="BE96" s="24"/>
      <c r="BH96" s="168"/>
      <c r="BI96" s="205"/>
      <c r="BJ96" s="24"/>
      <c r="BM96" s="168"/>
      <c r="BN96" s="205"/>
      <c r="BO96" s="24"/>
      <c r="BR96" s="168"/>
      <c r="BS96" s="205"/>
      <c r="BT96" s="24"/>
      <c r="BW96" s="168"/>
      <c r="BX96" s="205"/>
      <c r="BY96" s="205"/>
      <c r="BZ96" s="205"/>
      <c r="CA96" s="205"/>
      <c r="CB96" s="205"/>
      <c r="CC96" s="205"/>
      <c r="CD96" s="205"/>
      <c r="CE96" s="205"/>
      <c r="CF96" s="205"/>
      <c r="CG96" s="205"/>
      <c r="CH96" s="205"/>
      <c r="CI96" s="205"/>
      <c r="CJ96" s="205"/>
      <c r="CK96" s="205"/>
      <c r="CL96" s="205"/>
      <c r="CN96" s="205"/>
      <c r="CO96" s="205"/>
      <c r="CP96" s="205"/>
      <c r="CQ96" s="205"/>
      <c r="CS96" s="205"/>
      <c r="CT96" s="205"/>
      <c r="CU96" s="205"/>
      <c r="CV96" s="205"/>
    </row>
    <row r="97" spans="3:81" hidden="1">
      <c r="C97" s="223" t="s">
        <v>217</v>
      </c>
      <c r="K97" s="32"/>
      <c r="L97" s="24"/>
      <c r="O97" s="85">
        <f>O25+N25+M25+L25</f>
        <v>13415</v>
      </c>
      <c r="P97" s="111">
        <v>13415</v>
      </c>
      <c r="T97" s="217">
        <f>T25+S25+R25+Q25</f>
        <v>16390</v>
      </c>
      <c r="U97" s="32">
        <v>16390</v>
      </c>
      <c r="V97" s="24"/>
      <c r="Y97" s="217">
        <f>Y25+X25+W25+V25</f>
        <v>23365</v>
      </c>
      <c r="AA97" s="175">
        <f>AA25+Y25+X25+W25</f>
        <v>24677</v>
      </c>
      <c r="AB97" s="85">
        <f>AB25+AA25+Y25+X25</f>
        <v>25717</v>
      </c>
      <c r="AC97" s="85">
        <f>AC25+AB25+AA25+Y25</f>
        <v>27042</v>
      </c>
      <c r="AD97" s="217">
        <f>AD25+AC25+AB25+AA25</f>
        <v>29222</v>
      </c>
      <c r="AF97" s="175">
        <f>AF25+AD25+AC25+AB25</f>
        <v>31756</v>
      </c>
      <c r="AG97" s="85">
        <f>AG25+AF25+AD25+AC25</f>
        <v>34262</v>
      </c>
      <c r="AH97" s="85">
        <f>AH25+AG25+AF25+AD25</f>
        <v>36567</v>
      </c>
      <c r="AI97" s="217">
        <f>AI25+AH25+AG25+AF25</f>
        <v>38140</v>
      </c>
      <c r="AK97" s="175">
        <f>AK25+AI25+AH25+AG25</f>
        <v>39659</v>
      </c>
      <c r="AL97" s="85">
        <f>AL25+AK25+AI25+AH25</f>
        <v>41496</v>
      </c>
      <c r="AM97" s="85">
        <f>AM25+AL25+AK25+AI25</f>
        <v>43160</v>
      </c>
      <c r="AN97" s="217">
        <f>AN25+AM25+AL25+AK25</f>
        <v>45057</v>
      </c>
      <c r="AP97" s="175">
        <f>AP25+AN25+AM25+AL25</f>
        <v>47857</v>
      </c>
      <c r="AQ97" s="85">
        <f>AQ25+AP25+AN25+AM25</f>
        <v>50378</v>
      </c>
      <c r="AR97" s="85">
        <f>AR25+AQ25+AP25+AN25</f>
        <v>52130</v>
      </c>
      <c r="AS97" s="217">
        <f>AS25+AR25+AQ25+AP25</f>
        <v>53396</v>
      </c>
      <c r="AU97" s="175">
        <f>AU25+AS25+AR25+AQ25</f>
        <v>55429</v>
      </c>
      <c r="AV97" s="85">
        <f>AV25+AU25+AS25+AR25</f>
        <v>57848</v>
      </c>
      <c r="AW97" s="85">
        <f>AW25+AV25+AU25+AS25</f>
        <v>60425</v>
      </c>
      <c r="AX97" s="217">
        <f>AX25+AW25+AV25+AU25</f>
        <v>63474</v>
      </c>
      <c r="AZ97" s="175">
        <f>AZ25+AX25+AW25+AV25</f>
        <v>64801</v>
      </c>
      <c r="BA97" s="85">
        <f>BA25+AZ25+AX25+AW25</f>
        <v>66930</v>
      </c>
      <c r="BB97" s="85">
        <f>BB25+BA25+AZ25+AX25</f>
        <v>68698</v>
      </c>
      <c r="BC97" s="217">
        <f>BC25+BB25+BA25+AZ25</f>
        <v>71098</v>
      </c>
      <c r="BE97" s="175">
        <f>BE25+BC25+BB25+BA25</f>
        <v>72530</v>
      </c>
      <c r="BF97" s="85">
        <f>BF25+BE25+BC25+BB25</f>
        <v>72077</v>
      </c>
      <c r="BG97" s="85">
        <f>BG25+BF25+BE25+BC25</f>
        <v>70664</v>
      </c>
      <c r="BH97" s="217">
        <f>BH25+BG25+BF25+BE25</f>
        <v>69044</v>
      </c>
      <c r="BJ97" s="175">
        <f>BJ25+BH25+BG25+BF25</f>
        <v>68242</v>
      </c>
      <c r="BK97" s="85">
        <f>BK25+BJ25+BH25+BG25</f>
        <v>67379</v>
      </c>
      <c r="BL97" s="85">
        <f>BL25+BK25+BJ25+BH25</f>
        <v>67271</v>
      </c>
      <c r="BM97" s="217">
        <f>BM25+BL25+BK25+BJ25</f>
        <v>67194</v>
      </c>
      <c r="BO97" s="175">
        <f>BO25+BM25+BL25+BK25</f>
        <v>67455</v>
      </c>
      <c r="BP97" s="85">
        <f>BP25+BO25+BM25+BL25</f>
        <v>68205</v>
      </c>
      <c r="BQ97" s="85">
        <f>BQ25+BP25+BO25+BM25</f>
        <v>70162</v>
      </c>
      <c r="BR97" s="217">
        <f>BR25+BQ25+BP25+BO25</f>
        <v>71836</v>
      </c>
      <c r="BT97" s="175">
        <f>BT25+BR25+BQ25+BP25</f>
        <v>74256</v>
      </c>
      <c r="BU97" s="85">
        <f>BU25+BT25+BR25+BQ25</f>
        <v>76869</v>
      </c>
      <c r="BV97" s="85">
        <f>BV25+BU25+BT25+BR25</f>
        <v>79204</v>
      </c>
      <c r="BW97" s="217">
        <f>BW25+BV25+BU25+BT25</f>
        <v>81796</v>
      </c>
    </row>
    <row r="98" spans="3:81" ht="13.15" hidden="1" thickBot="1">
      <c r="C98" s="223"/>
      <c r="K98" s="36"/>
      <c r="L98" s="55"/>
      <c r="M98" s="28"/>
      <c r="N98" s="28"/>
      <c r="O98" s="28"/>
      <c r="P98" s="36"/>
      <c r="Q98" s="28"/>
      <c r="R98" s="28"/>
      <c r="S98" s="28"/>
      <c r="T98" s="178"/>
      <c r="U98" s="36"/>
      <c r="V98" s="24"/>
      <c r="Y98" s="168"/>
      <c r="AA98" s="24"/>
      <c r="AD98" s="168"/>
      <c r="AF98" s="24"/>
      <c r="AI98" s="168"/>
      <c r="AK98" s="24"/>
      <c r="AN98" s="168"/>
      <c r="AP98" s="24"/>
      <c r="AS98" s="168"/>
      <c r="AU98" s="24"/>
      <c r="AX98" s="168"/>
      <c r="AZ98" s="24"/>
      <c r="BC98" s="168"/>
      <c r="BE98" s="24"/>
      <c r="BH98" s="168"/>
      <c r="BJ98" s="24"/>
      <c r="BM98" s="168"/>
      <c r="BO98" s="24"/>
      <c r="BR98" s="168"/>
      <c r="BT98" s="24"/>
      <c r="BW98" s="168"/>
    </row>
    <row r="99" spans="3:81" ht="13.15" hidden="1" thickBot="1">
      <c r="C99" s="224" t="s">
        <v>218</v>
      </c>
      <c r="K99" s="36"/>
      <c r="L99" s="55"/>
      <c r="M99" s="28"/>
      <c r="N99" s="28"/>
      <c r="O99" s="231">
        <f>O94/O97</f>
        <v>0.44668024599329154</v>
      </c>
      <c r="P99" s="232">
        <v>0.43905061498322784</v>
      </c>
      <c r="Q99" s="28"/>
      <c r="R99" s="28"/>
      <c r="S99" s="28"/>
      <c r="T99" s="228">
        <f>T94/T97</f>
        <v>0.53535814521049374</v>
      </c>
      <c r="U99" s="232">
        <v>0.51181391702257484</v>
      </c>
      <c r="V99" s="211"/>
      <c r="W99" s="139"/>
      <c r="X99" s="139"/>
      <c r="Y99" s="207">
        <f>Y97/Y94</f>
        <v>1.7073133661336246</v>
      </c>
      <c r="Z99" s="209"/>
      <c r="AA99" s="210">
        <f t="shared" ref="AA99:BC99" si="481">AA97/AA94</f>
        <v>1.5842236820864879</v>
      </c>
      <c r="AB99" s="208">
        <f t="shared" si="481"/>
        <v>1.5396347281414982</v>
      </c>
      <c r="AC99" s="208">
        <f t="shared" si="481"/>
        <v>1.5049441606279961</v>
      </c>
      <c r="AD99" s="207">
        <f t="shared" si="481"/>
        <v>1.388659698894839</v>
      </c>
      <c r="AE99" s="209"/>
      <c r="AF99" s="210">
        <f t="shared" si="481"/>
        <v>1.317326628391351</v>
      </c>
      <c r="AG99" s="208">
        <f t="shared" si="481"/>
        <v>1.2270897962050329</v>
      </c>
      <c r="AH99" s="208">
        <f t="shared" si="481"/>
        <v>1.2303851325519</v>
      </c>
      <c r="AI99" s="207">
        <f t="shared" si="481"/>
        <v>1.3407212911813935</v>
      </c>
      <c r="AJ99" s="209"/>
      <c r="AK99" s="210">
        <f t="shared" si="481"/>
        <v>1.4747265397237945</v>
      </c>
      <c r="AL99" s="208">
        <f t="shared" si="481"/>
        <v>1.626599782798597</v>
      </c>
      <c r="AM99" s="208">
        <f t="shared" si="481"/>
        <v>1.7328462295622811</v>
      </c>
      <c r="AN99" s="207">
        <f t="shared" si="481"/>
        <v>1.6756224160770483</v>
      </c>
      <c r="AO99" s="209"/>
      <c r="AP99" s="210">
        <f t="shared" si="481"/>
        <v>1.6199394390225634</v>
      </c>
      <c r="AQ99" s="208">
        <f t="shared" si="481"/>
        <v>1.5956960310681603</v>
      </c>
      <c r="AR99" s="208">
        <f t="shared" si="481"/>
        <v>1.535752511278605</v>
      </c>
      <c r="AS99" s="207">
        <f t="shared" si="481"/>
        <v>1.5459330388872687</v>
      </c>
      <c r="AT99" s="209"/>
      <c r="AU99" s="210">
        <f t="shared" si="481"/>
        <v>1.545979379691389</v>
      </c>
      <c r="AV99" s="208">
        <f t="shared" si="481"/>
        <v>1.5564025347648951</v>
      </c>
      <c r="AW99" s="208">
        <f t="shared" si="481"/>
        <v>1.5589568830820879</v>
      </c>
      <c r="AX99" s="207">
        <f t="shared" si="481"/>
        <v>1.574280425569712</v>
      </c>
      <c r="AY99" s="209"/>
      <c r="AZ99" s="210">
        <f t="shared" si="481"/>
        <v>1.6705276527906829</v>
      </c>
      <c r="BA99" s="208">
        <f t="shared" si="481"/>
        <v>1.791167447429322</v>
      </c>
      <c r="BB99" s="208">
        <f t="shared" si="481"/>
        <v>1.9354151093387695</v>
      </c>
      <c r="BC99" s="207">
        <f t="shared" si="481"/>
        <v>1.9906568092317538</v>
      </c>
      <c r="BE99" s="210">
        <f t="shared" ref="BE99:BH99" si="482">BE97/BE94</f>
        <v>1.9693089993932276</v>
      </c>
      <c r="BF99" s="208">
        <f t="shared" si="482"/>
        <v>1.9344619783829096</v>
      </c>
      <c r="BG99" s="208">
        <f t="shared" si="482"/>
        <v>1.847687063247655</v>
      </c>
      <c r="BH99" s="207">
        <f t="shared" si="482"/>
        <v>1.8695911183319793</v>
      </c>
      <c r="BJ99" s="210">
        <f t="shared" ref="BJ99:BM99" si="483">BJ97/BJ94</f>
        <v>1.7836602688877923</v>
      </c>
      <c r="BK99" s="208">
        <f t="shared" si="483"/>
        <v>1.6810077534078205</v>
      </c>
      <c r="BL99" s="208">
        <f t="shared" si="483"/>
        <v>1.621999297682575</v>
      </c>
      <c r="BM99" s="207">
        <f t="shared" si="483"/>
        <v>1.5534295713399939</v>
      </c>
      <c r="BO99" s="210">
        <f t="shared" ref="BO99:BR99" si="484">BO97/BO94</f>
        <v>1.5900678499666137</v>
      </c>
      <c r="BP99" s="208">
        <f t="shared" si="484"/>
        <v>1.6452311417687047</v>
      </c>
      <c r="BQ99" s="208">
        <f t="shared" si="484"/>
        <v>1.6417499141884853</v>
      </c>
      <c r="BR99" s="207">
        <f t="shared" si="484"/>
        <v>1.5819409796574062</v>
      </c>
      <c r="BT99" s="210">
        <f t="shared" ref="BT99:BW99" si="485">BT97/BT94</f>
        <v>1.4259530991704898</v>
      </c>
      <c r="BU99" s="208">
        <f t="shared" si="485"/>
        <v>1.245414653136407</v>
      </c>
      <c r="BV99" s="208">
        <f t="shared" si="485"/>
        <v>1.1692868626397284</v>
      </c>
      <c r="BW99" s="207">
        <f t="shared" si="485"/>
        <v>1.0976450156088917</v>
      </c>
    </row>
    <row r="100" spans="3:81" hidden="1"/>
    <row r="101" spans="3:81" ht="13.15" hidden="1" thickBot="1">
      <c r="C101" s="254" t="s">
        <v>344</v>
      </c>
      <c r="AS101" s="85"/>
      <c r="AU101" s="209">
        <f>AU97/AU90</f>
        <v>1.8642595205849246</v>
      </c>
      <c r="AV101" s="209">
        <f t="shared" ref="AV101:BM101" si="486">AV97/AV90</f>
        <v>1.8853153495298334</v>
      </c>
      <c r="AW101" s="209">
        <f t="shared" si="486"/>
        <v>1.8938594116745253</v>
      </c>
      <c r="AX101" s="209">
        <f t="shared" si="486"/>
        <v>1.91633183039428</v>
      </c>
      <c r="AY101" s="209"/>
      <c r="AZ101" s="209">
        <f t="shared" si="486"/>
        <v>2.0780930173432166</v>
      </c>
      <c r="BA101" s="209">
        <f t="shared" si="486"/>
        <v>2.2805474785929079</v>
      </c>
      <c r="BB101" s="209">
        <f t="shared" si="486"/>
        <v>2.5400620488300683</v>
      </c>
      <c r="BC101" s="209">
        <f t="shared" si="486"/>
        <v>2.6466887540483164</v>
      </c>
      <c r="BD101" s="209"/>
      <c r="BE101" s="209">
        <f t="shared" si="486"/>
        <v>2.6218938438453074</v>
      </c>
      <c r="BF101" s="209">
        <f t="shared" si="486"/>
        <v>2.5951651156117124</v>
      </c>
      <c r="BG101" s="209">
        <f t="shared" si="486"/>
        <v>2.4844205134154977</v>
      </c>
      <c r="BH101" s="209">
        <f t="shared" si="486"/>
        <v>2.5826288621231392</v>
      </c>
      <c r="BI101" s="209"/>
      <c r="BJ101" s="209">
        <f t="shared" si="486"/>
        <v>2.4627743653778147</v>
      </c>
      <c r="BK101" s="209">
        <f t="shared" si="486"/>
        <v>2.3068727202260755</v>
      </c>
      <c r="BL101" s="209">
        <f t="shared" si="486"/>
        <v>2.2238155969568543</v>
      </c>
      <c r="BM101" s="209">
        <f t="shared" si="486"/>
        <v>2.1181770954172681</v>
      </c>
      <c r="BO101" s="209">
        <f t="shared" ref="BO101:BR101" si="487">BO97/BO90</f>
        <v>2.2125737032556683</v>
      </c>
      <c r="BP101" s="209">
        <f t="shared" si="487"/>
        <v>2.3421065463603563</v>
      </c>
      <c r="BQ101" s="209">
        <f t="shared" si="487"/>
        <v>2.3387543821227692</v>
      </c>
      <c r="BR101" s="209">
        <f t="shared" si="487"/>
        <v>2.2246301702537652</v>
      </c>
      <c r="BT101" s="209">
        <f>BT97/BT90</f>
        <v>1.9229987344194657</v>
      </c>
      <c r="BU101" s="209">
        <f t="shared" ref="BU101:BV101" si="488">BU97/BU90</f>
        <v>1.6037565988651479</v>
      </c>
      <c r="BV101" s="209">
        <f t="shared" si="488"/>
        <v>1.4804306115906996</v>
      </c>
      <c r="BW101" s="209">
        <f>BW97/BW90</f>
        <v>1.368142956186339</v>
      </c>
    </row>
    <row r="102" spans="3:81" ht="13.15" hidden="1" thickBot="1">
      <c r="C102" s="437"/>
      <c r="AK102" s="925" t="s">
        <v>358</v>
      </c>
      <c r="AL102" s="926"/>
      <c r="AM102" s="926"/>
      <c r="AN102" s="927"/>
      <c r="AO102" s="412"/>
      <c r="AP102" s="925" t="s">
        <v>357</v>
      </c>
      <c r="AQ102" s="926"/>
      <c r="AR102" s="926"/>
      <c r="AS102" s="927"/>
      <c r="AT102" s="412"/>
      <c r="AU102" s="925" t="s">
        <v>335</v>
      </c>
      <c r="AV102" s="926"/>
      <c r="AW102" s="926"/>
      <c r="AX102" s="927"/>
      <c r="AY102" s="412"/>
      <c r="AZ102" s="925" t="s">
        <v>336</v>
      </c>
      <c r="BA102" s="926"/>
      <c r="BB102" s="926"/>
      <c r="BC102" s="927"/>
      <c r="BD102" s="412"/>
      <c r="BE102" s="925" t="s">
        <v>337</v>
      </c>
      <c r="BF102" s="926"/>
      <c r="BG102" s="926"/>
      <c r="BH102" s="927"/>
      <c r="BI102" s="412"/>
      <c r="BJ102" s="925" t="s">
        <v>338</v>
      </c>
      <c r="BK102" s="926"/>
      <c r="BL102" s="926"/>
      <c r="BM102" s="927"/>
      <c r="BN102" s="412"/>
      <c r="BO102" s="925" t="s">
        <v>356</v>
      </c>
      <c r="BP102" s="926"/>
      <c r="BQ102" s="926"/>
      <c r="BR102" s="927"/>
      <c r="BS102" s="412"/>
      <c r="BT102" s="925" t="s">
        <v>356</v>
      </c>
      <c r="BU102" s="926"/>
      <c r="BV102" s="926"/>
      <c r="BW102" s="927"/>
      <c r="BX102" s="412"/>
      <c r="BY102" s="412"/>
      <c r="BZ102" s="412"/>
      <c r="CA102" s="412"/>
      <c r="CC102" s="412"/>
    </row>
    <row r="103" spans="3:81" ht="13.15" hidden="1" thickBot="1">
      <c r="C103" s="437"/>
      <c r="AK103" s="413" t="str">
        <f t="shared" ref="AK103:BX103" si="489">AK3</f>
        <v>1Q14</v>
      </c>
      <c r="AL103" s="413" t="str">
        <f t="shared" si="489"/>
        <v>2Q14</v>
      </c>
      <c r="AM103" s="413" t="str">
        <f t="shared" si="489"/>
        <v>3Q14</v>
      </c>
      <c r="AN103" s="413" t="str">
        <f t="shared" si="489"/>
        <v>4Q14</v>
      </c>
      <c r="AO103" s="414">
        <f t="shared" si="489"/>
        <v>2014</v>
      </c>
      <c r="AP103" s="413" t="str">
        <f t="shared" si="489"/>
        <v>1Q15</v>
      </c>
      <c r="AQ103" s="413" t="str">
        <f t="shared" si="489"/>
        <v>2Q15</v>
      </c>
      <c r="AR103" s="413" t="str">
        <f t="shared" si="489"/>
        <v>3Q15</v>
      </c>
      <c r="AS103" s="413" t="str">
        <f t="shared" si="489"/>
        <v>4Q15</v>
      </c>
      <c r="AT103" s="414">
        <f t="shared" si="489"/>
        <v>2015</v>
      </c>
      <c r="AU103" s="413" t="str">
        <f t="shared" si="489"/>
        <v>1Q16</v>
      </c>
      <c r="AV103" s="413" t="str">
        <f t="shared" si="489"/>
        <v>2Q16</v>
      </c>
      <c r="AW103" s="413" t="str">
        <f t="shared" si="489"/>
        <v>3Q16</v>
      </c>
      <c r="AX103" s="413" t="str">
        <f t="shared" si="489"/>
        <v>4Q16</v>
      </c>
      <c r="AY103" s="414">
        <f t="shared" si="489"/>
        <v>2016</v>
      </c>
      <c r="AZ103" s="413" t="str">
        <f t="shared" si="489"/>
        <v>1Q17</v>
      </c>
      <c r="BA103" s="413" t="str">
        <f t="shared" si="489"/>
        <v>2Q17</v>
      </c>
      <c r="BB103" s="413" t="str">
        <f t="shared" si="489"/>
        <v>3Q17</v>
      </c>
      <c r="BC103" s="413" t="str">
        <f t="shared" si="489"/>
        <v>4Q17</v>
      </c>
      <c r="BD103" s="414">
        <f t="shared" si="489"/>
        <v>2017</v>
      </c>
      <c r="BE103" s="413" t="str">
        <f t="shared" si="489"/>
        <v>1Q18</v>
      </c>
      <c r="BF103" s="413" t="str">
        <f t="shared" si="489"/>
        <v>2Q18</v>
      </c>
      <c r="BG103" s="413" t="str">
        <f t="shared" si="489"/>
        <v>3Q18</v>
      </c>
      <c r="BH103" s="413" t="str">
        <f t="shared" si="489"/>
        <v>4Q18</v>
      </c>
      <c r="BI103" s="414">
        <f t="shared" si="489"/>
        <v>2018</v>
      </c>
      <c r="BJ103" s="413" t="str">
        <f t="shared" si="489"/>
        <v>1Q19</v>
      </c>
      <c r="BK103" s="413" t="str">
        <f t="shared" si="489"/>
        <v>2Q19</v>
      </c>
      <c r="BL103" s="413" t="str">
        <f t="shared" si="489"/>
        <v>3Q19</v>
      </c>
      <c r="BM103" s="413" t="str">
        <f t="shared" si="489"/>
        <v>4Q19</v>
      </c>
      <c r="BN103" s="414">
        <f t="shared" si="489"/>
        <v>2019</v>
      </c>
      <c r="BO103" s="413" t="str">
        <f t="shared" si="489"/>
        <v>1Q20</v>
      </c>
      <c r="BP103" s="413" t="str">
        <f t="shared" si="489"/>
        <v>2Q20</v>
      </c>
      <c r="BQ103" s="413" t="str">
        <f t="shared" si="489"/>
        <v>3Q20</v>
      </c>
      <c r="BR103" s="413" t="str">
        <f t="shared" si="489"/>
        <v>4Q20</v>
      </c>
      <c r="BS103" s="414">
        <f t="shared" si="489"/>
        <v>2020</v>
      </c>
      <c r="BT103" s="413" t="str">
        <f t="shared" si="489"/>
        <v>1Q21</v>
      </c>
      <c r="BU103" s="413" t="str">
        <f t="shared" si="489"/>
        <v>2Q21</v>
      </c>
      <c r="BV103" s="413" t="str">
        <f t="shared" si="489"/>
        <v>3Q21</v>
      </c>
      <c r="BW103" s="413" t="str">
        <f t="shared" si="489"/>
        <v>4Q21</v>
      </c>
      <c r="BX103" s="414">
        <f t="shared" si="489"/>
        <v>2021</v>
      </c>
      <c r="BY103" s="518"/>
      <c r="BZ103" s="518"/>
      <c r="CA103" s="518"/>
      <c r="CC103" s="518"/>
    </row>
    <row r="104" spans="3:81" hidden="1">
      <c r="C104" s="438" t="s">
        <v>117</v>
      </c>
      <c r="AK104" s="415">
        <f t="shared" ref="AK104:BX104" si="490">AK4</f>
        <v>28939</v>
      </c>
      <c r="AL104" s="415">
        <f t="shared" si="490"/>
        <v>31100</v>
      </c>
      <c r="AM104" s="415">
        <f t="shared" si="490"/>
        <v>32506</v>
      </c>
      <c r="AN104" s="415">
        <f t="shared" si="490"/>
        <v>35402</v>
      </c>
      <c r="AO104" s="416">
        <f t="shared" si="490"/>
        <v>127947</v>
      </c>
      <c r="AP104" s="415">
        <f t="shared" si="490"/>
        <v>36970</v>
      </c>
      <c r="AQ104" s="415">
        <f t="shared" si="490"/>
        <v>38846</v>
      </c>
      <c r="AR104" s="415">
        <f t="shared" si="490"/>
        <v>40354</v>
      </c>
      <c r="AS104" s="415">
        <f t="shared" si="490"/>
        <v>42348</v>
      </c>
      <c r="AT104" s="416">
        <f t="shared" si="490"/>
        <v>158518</v>
      </c>
      <c r="AU104" s="415">
        <f t="shared" si="490"/>
        <v>45599</v>
      </c>
      <c r="AV104" s="415">
        <f t="shared" si="490"/>
        <v>47351</v>
      </c>
      <c r="AW104" s="415">
        <f t="shared" si="490"/>
        <v>49284</v>
      </c>
      <c r="AX104" s="415">
        <f t="shared" si="490"/>
        <v>51061</v>
      </c>
      <c r="AY104" s="416">
        <f t="shared" si="490"/>
        <v>193295</v>
      </c>
      <c r="AZ104" s="415">
        <f t="shared" si="490"/>
        <v>51932</v>
      </c>
      <c r="BA104" s="415">
        <f t="shared" si="490"/>
        <v>54284</v>
      </c>
      <c r="BB104" s="415">
        <f t="shared" si="490"/>
        <v>56150</v>
      </c>
      <c r="BC104" s="415">
        <f t="shared" si="490"/>
        <v>58200</v>
      </c>
      <c r="BD104" s="416">
        <f t="shared" si="490"/>
        <v>220566</v>
      </c>
      <c r="BE104" s="415">
        <f t="shared" si="490"/>
        <v>59092</v>
      </c>
      <c r="BF104" s="415">
        <f t="shared" si="490"/>
        <v>61091</v>
      </c>
      <c r="BG104" s="415">
        <f t="shared" si="490"/>
        <v>62868</v>
      </c>
      <c r="BH104" s="415">
        <f t="shared" si="490"/>
        <v>65189</v>
      </c>
      <c r="BI104" s="416">
        <f t="shared" si="490"/>
        <v>248240</v>
      </c>
      <c r="BJ104" s="415">
        <f t="shared" si="490"/>
        <v>66934</v>
      </c>
      <c r="BK104" s="415">
        <f t="shared" si="490"/>
        <v>68529</v>
      </c>
      <c r="BL104" s="415">
        <f t="shared" si="490"/>
        <v>70928</v>
      </c>
      <c r="BM104" s="415">
        <f t="shared" si="490"/>
        <v>72733</v>
      </c>
      <c r="BN104" s="416">
        <f t="shared" si="490"/>
        <v>279124</v>
      </c>
      <c r="BO104" s="415">
        <f t="shared" si="490"/>
        <v>74192</v>
      </c>
      <c r="BP104" s="415">
        <f t="shared" si="490"/>
        <v>75573</v>
      </c>
      <c r="BQ104" s="415">
        <f t="shared" si="490"/>
        <v>79557</v>
      </c>
      <c r="BR104" s="415">
        <f t="shared" si="490"/>
        <v>83308</v>
      </c>
      <c r="BS104" s="416">
        <f t="shared" si="490"/>
        <v>312630</v>
      </c>
      <c r="BT104" s="415">
        <f t="shared" si="490"/>
        <v>90094</v>
      </c>
      <c r="BU104" s="415">
        <f t="shared" si="490"/>
        <v>94539</v>
      </c>
      <c r="BV104" s="415">
        <f t="shared" si="490"/>
        <v>97887</v>
      </c>
      <c r="BW104" s="415">
        <f t="shared" si="490"/>
        <v>102756</v>
      </c>
      <c r="BX104" s="416">
        <f t="shared" si="490"/>
        <v>385276</v>
      </c>
      <c r="BY104" s="415"/>
      <c r="BZ104" s="415"/>
      <c r="CA104" s="415"/>
      <c r="CC104" s="415"/>
    </row>
    <row r="105" spans="3:81" ht="13.15" hidden="1" thickBot="1">
      <c r="C105" s="439" t="s">
        <v>339</v>
      </c>
      <c r="AK105" s="415">
        <f>BS!AK48-BS!AI48</f>
        <v>574</v>
      </c>
      <c r="AL105" s="415">
        <f>BS!AL48-BS!AK48</f>
        <v>1235</v>
      </c>
      <c r="AM105" s="415">
        <f>BS!AM48-BS!AL48</f>
        <v>269</v>
      </c>
      <c r="AN105" s="415">
        <f>BS!AN48-BS!AM48</f>
        <v>960</v>
      </c>
      <c r="AO105" s="417"/>
      <c r="AP105" s="415">
        <f>BS!AP48-BS!AN48</f>
        <v>-78</v>
      </c>
      <c r="AQ105" s="415">
        <f>BS!AQ48-BS!AP48</f>
        <v>749</v>
      </c>
      <c r="AR105" s="415">
        <f>BS!AR48-BS!AQ48</f>
        <v>944</v>
      </c>
      <c r="AS105" s="415">
        <f>BS!AS48-BS!AR48</f>
        <v>-1028</v>
      </c>
      <c r="AT105" s="417"/>
      <c r="AU105" s="415">
        <f>BS!AU48-BS!AS48</f>
        <v>3465</v>
      </c>
      <c r="AV105" s="415">
        <f>BS!AV48-BS!AU48</f>
        <v>1307</v>
      </c>
      <c r="AW105" s="415">
        <f>BS!AW48-BS!AV48</f>
        <v>-398</v>
      </c>
      <c r="AX105" s="415">
        <f>BS!AX48-BS!AW48</f>
        <v>-1217</v>
      </c>
      <c r="AY105" s="417"/>
      <c r="AZ105" s="415">
        <f>BS!AZ48-BS!AX48</f>
        <v>4988</v>
      </c>
      <c r="BA105" s="415">
        <f>BS!BA48-BS!AZ48</f>
        <v>784</v>
      </c>
      <c r="BB105" s="415">
        <f>BS!BB48-BS!BA48</f>
        <v>-840</v>
      </c>
      <c r="BC105" s="415">
        <f>BS!BC48-BS!BB48</f>
        <v>175</v>
      </c>
      <c r="BD105" s="417"/>
      <c r="BE105" s="415">
        <f>BS!BE48-BS!BC48</f>
        <v>-2735</v>
      </c>
      <c r="BF105" s="415">
        <f>BS!BF48-BS!BE48</f>
        <v>2557</v>
      </c>
      <c r="BG105" s="415">
        <f>BS!BG48-BS!BF48</f>
        <v>802</v>
      </c>
      <c r="BH105" s="415">
        <f>BS!BH48-BS!BG48</f>
        <v>207</v>
      </c>
      <c r="BI105" s="417"/>
      <c r="BJ105" s="415">
        <f>BS!BJ48-BS!BH48</f>
        <v>3698</v>
      </c>
      <c r="BK105" s="415">
        <f>BS!BK48-BS!BJ48</f>
        <v>1552</v>
      </c>
      <c r="BL105" s="415">
        <f>BS!BL48-BS!BK48</f>
        <v>-138</v>
      </c>
      <c r="BM105" s="415">
        <f>BS!BM48-BS!BL48</f>
        <v>1362</v>
      </c>
      <c r="BN105" s="417"/>
      <c r="BO105" s="415">
        <f>BS!BO48-BS!BM48</f>
        <v>3396</v>
      </c>
      <c r="BP105" s="415">
        <f>BS!BP48-BS!BO48</f>
        <v>1309</v>
      </c>
      <c r="BQ105" s="415">
        <f>BS!BQ48-BS!BP48</f>
        <v>-744</v>
      </c>
      <c r="BR105" s="415">
        <f>BS!BR48-BS!BQ48</f>
        <v>2668</v>
      </c>
      <c r="BS105" s="417"/>
      <c r="BT105" s="415">
        <f>BS!BT48-BS!BR48</f>
        <v>7565</v>
      </c>
      <c r="BU105" s="415">
        <f>BS!BU48-BS!BT48</f>
        <v>4964</v>
      </c>
      <c r="BV105" s="415">
        <f>BS!BV48-BS!BU48</f>
        <v>872</v>
      </c>
      <c r="BW105" s="415">
        <f>BS!BW48-BS!BV48</f>
        <v>1228</v>
      </c>
      <c r="BX105" s="417"/>
      <c r="BY105" s="519"/>
      <c r="BZ105" s="519"/>
      <c r="CA105" s="519"/>
      <c r="CC105" s="519"/>
    </row>
    <row r="106" spans="3:81" ht="13.15" hidden="1" thickBot="1">
      <c r="C106" s="440" t="s">
        <v>340</v>
      </c>
      <c r="AK106" s="418">
        <f>AK105+AK104</f>
        <v>29513</v>
      </c>
      <c r="AL106" s="418">
        <f>AL105+AL104</f>
        <v>32335</v>
      </c>
      <c r="AM106" s="418">
        <f>AM105+AM104</f>
        <v>32775</v>
      </c>
      <c r="AN106" s="418">
        <f>AN105+AN104</f>
        <v>36362</v>
      </c>
      <c r="AO106" s="419">
        <f>SUM(AK106:AN106)</f>
        <v>130985</v>
      </c>
      <c r="AP106" s="418">
        <f>AP105+AP104</f>
        <v>36892</v>
      </c>
      <c r="AQ106" s="418">
        <f>AQ105+AQ104</f>
        <v>39595</v>
      </c>
      <c r="AR106" s="418">
        <f>AR105+AR104</f>
        <v>41298</v>
      </c>
      <c r="AS106" s="418">
        <f>AS105+AS104</f>
        <v>41320</v>
      </c>
      <c r="AT106" s="419">
        <f>SUM(AP106:AS106)</f>
        <v>159105</v>
      </c>
      <c r="AU106" s="418">
        <f t="shared" ref="AU106:AW106" si="491">AU104+AU105</f>
        <v>49064</v>
      </c>
      <c r="AV106" s="418">
        <f t="shared" si="491"/>
        <v>48658</v>
      </c>
      <c r="AW106" s="418">
        <f t="shared" si="491"/>
        <v>48886</v>
      </c>
      <c r="AX106" s="418">
        <f>AX104+AX105</f>
        <v>49844</v>
      </c>
      <c r="AY106" s="419">
        <f>SUM(AU106:AX106)</f>
        <v>196452</v>
      </c>
      <c r="AZ106" s="418">
        <f>AZ105+AZ104</f>
        <v>56920</v>
      </c>
      <c r="BA106" s="418">
        <f>BA105+BA104</f>
        <v>55068</v>
      </c>
      <c r="BB106" s="418">
        <f>BB105+BB104</f>
        <v>55310</v>
      </c>
      <c r="BC106" s="418">
        <f>BC105+BC104</f>
        <v>58375</v>
      </c>
      <c r="BD106" s="419">
        <f>SUM(AZ106:BC106)</f>
        <v>225673</v>
      </c>
      <c r="BE106" s="418">
        <f>BE105+BE104</f>
        <v>56357</v>
      </c>
      <c r="BF106" s="418">
        <f>BF105+BF104</f>
        <v>63648</v>
      </c>
      <c r="BG106" s="418">
        <f>BG105+BG104</f>
        <v>63670</v>
      </c>
      <c r="BH106" s="418">
        <f>BH105+BH104</f>
        <v>65396</v>
      </c>
      <c r="BI106" s="419">
        <f>SUM(BE106:BH106)</f>
        <v>249071</v>
      </c>
      <c r="BJ106" s="418">
        <f>BJ105+BJ104</f>
        <v>70632</v>
      </c>
      <c r="BK106" s="418">
        <f>BK105+BK104</f>
        <v>70081</v>
      </c>
      <c r="BL106" s="418">
        <f>BL105+BL104</f>
        <v>70790</v>
      </c>
      <c r="BM106" s="418">
        <f>BM105+BM104</f>
        <v>74095</v>
      </c>
      <c r="BN106" s="419">
        <f>SUM(BJ106:BM106)</f>
        <v>285598</v>
      </c>
      <c r="BO106" s="418">
        <f>BO105+BO104</f>
        <v>77588</v>
      </c>
      <c r="BP106" s="418">
        <f>BP105+BP104</f>
        <v>76882</v>
      </c>
      <c r="BQ106" s="418">
        <f>BQ105+BQ104</f>
        <v>78813</v>
      </c>
      <c r="BR106" s="418">
        <f>BR105+BR104</f>
        <v>85976</v>
      </c>
      <c r="BS106" s="419">
        <f>SUM(BO106:BR106)</f>
        <v>319259</v>
      </c>
      <c r="BT106" s="418">
        <f>BT105+BT104</f>
        <v>97659</v>
      </c>
      <c r="BU106" s="418">
        <f>BU105+BU104</f>
        <v>99503</v>
      </c>
      <c r="BV106" s="418">
        <f>BV105+BV104</f>
        <v>98759</v>
      </c>
      <c r="BW106" s="418">
        <f>BW105+BW104</f>
        <v>103984</v>
      </c>
      <c r="BX106" s="419">
        <f>SUM(BT106:BW106)</f>
        <v>399905</v>
      </c>
      <c r="BY106" s="520"/>
      <c r="BZ106" s="520"/>
      <c r="CA106" s="520"/>
      <c r="CC106" s="520"/>
    </row>
    <row r="107" spans="3:81" hidden="1">
      <c r="C107" s="441" t="s">
        <v>341</v>
      </c>
      <c r="AK107" s="420" t="e">
        <f>AK106/AF106-1</f>
        <v>#DIV/0!</v>
      </c>
      <c r="AL107" s="420" t="e">
        <f t="shared" ref="AL107" si="492">AL106/AG106-1</f>
        <v>#DIV/0!</v>
      </c>
      <c r="AM107" s="420" t="e">
        <f t="shared" ref="AM107" si="493">AM106/AH106-1</f>
        <v>#DIV/0!</v>
      </c>
      <c r="AN107" s="420" t="e">
        <f t="shared" ref="AN107" si="494">AN106/AI106-1</f>
        <v>#DIV/0!</v>
      </c>
      <c r="AO107" s="421" t="e">
        <f t="shared" ref="AO107" si="495">AO106/AJ106-1</f>
        <v>#DIV/0!</v>
      </c>
      <c r="AP107" s="420">
        <f>AP106/AK106-1</f>
        <v>0.2500254125300716</v>
      </c>
      <c r="AQ107" s="420">
        <f t="shared" ref="AQ107" si="496">AQ106/AL106-1</f>
        <v>0.22452450904592536</v>
      </c>
      <c r="AR107" s="420">
        <f t="shared" ref="AR107" si="497">AR106/AM106-1</f>
        <v>0.26004576659038903</v>
      </c>
      <c r="AS107" s="420">
        <f t="shared" ref="AS107" si="498">AS106/AN106-1</f>
        <v>0.13635113580111113</v>
      </c>
      <c r="AT107" s="421">
        <f t="shared" ref="AT107" si="499">AT106/AO106-1</f>
        <v>0.21468107035156692</v>
      </c>
      <c r="AU107" s="420">
        <f t="shared" ref="AU107" si="500">AU106/AP106-1</f>
        <v>0.32993602949148859</v>
      </c>
      <c r="AV107" s="420">
        <f t="shared" ref="AV107" si="501">AV106/AQ106-1</f>
        <v>0.22889253693648182</v>
      </c>
      <c r="AW107" s="420">
        <f t="shared" ref="AW107" si="502">AW106/AR106-1</f>
        <v>0.18373771126931082</v>
      </c>
      <c r="AX107" s="420">
        <f t="shared" ref="AX107" si="503">AX106/AS106-1</f>
        <v>0.20629235237173282</v>
      </c>
      <c r="AY107" s="421">
        <f t="shared" ref="AY107:BN107" si="504">AY106/AT106-1</f>
        <v>0.23473178089940605</v>
      </c>
      <c r="AZ107" s="420">
        <f>AZ106/AU106-1</f>
        <v>0.16011739768465683</v>
      </c>
      <c r="BA107" s="420">
        <f t="shared" si="504"/>
        <v>0.13173578856508694</v>
      </c>
      <c r="BB107" s="420">
        <f t="shared" si="504"/>
        <v>0.13140776500429574</v>
      </c>
      <c r="BC107" s="420">
        <f t="shared" si="504"/>
        <v>0.1711540004815022</v>
      </c>
      <c r="BD107" s="421">
        <f t="shared" si="504"/>
        <v>0.14874371347708348</v>
      </c>
      <c r="BE107" s="420">
        <f t="shared" si="504"/>
        <v>-9.8910751932537178E-3</v>
      </c>
      <c r="BF107" s="420">
        <f t="shared" si="504"/>
        <v>0.15580736543909346</v>
      </c>
      <c r="BG107" s="420">
        <f t="shared" si="504"/>
        <v>0.15114807448924239</v>
      </c>
      <c r="BH107" s="420">
        <f>BH106/BC106-1</f>
        <v>0.12027408993576016</v>
      </c>
      <c r="BI107" s="421">
        <f t="shared" si="504"/>
        <v>0.10368098975065698</v>
      </c>
      <c r="BJ107" s="420">
        <f t="shared" si="504"/>
        <v>0.25329595258796611</v>
      </c>
      <c r="BK107" s="420">
        <f t="shared" si="504"/>
        <v>0.10107151835093009</v>
      </c>
      <c r="BL107" s="420">
        <f t="shared" si="504"/>
        <v>0.111826605936862</v>
      </c>
      <c r="BM107" s="420">
        <f t="shared" si="504"/>
        <v>0.13302036821823959</v>
      </c>
      <c r="BN107" s="421">
        <f t="shared" si="504"/>
        <v>0.14665296240830927</v>
      </c>
      <c r="BO107" s="420">
        <f t="shared" ref="BO107" si="505">BO106/BJ106-1</f>
        <v>9.8482274323252961E-2</v>
      </c>
      <c r="BP107" s="420">
        <f t="shared" ref="BP107" si="506">BP106/BK106-1</f>
        <v>9.7044848104336445E-2</v>
      </c>
      <c r="BQ107" s="420">
        <f t="shared" ref="BQ107" si="507">BQ106/BL106-1</f>
        <v>0.11333521683853642</v>
      </c>
      <c r="BR107" s="420">
        <f t="shared" ref="BR107" si="508">BR106/BM106-1</f>
        <v>0.16034820163303865</v>
      </c>
      <c r="BS107" s="421">
        <f t="shared" ref="BS107" si="509">BS106/BN106-1</f>
        <v>0.1178614696181346</v>
      </c>
      <c r="BT107" s="420">
        <f t="shared" ref="BT107" si="510">BT106/BO106-1</f>
        <v>0.2586869103469609</v>
      </c>
      <c r="BU107" s="420">
        <f t="shared" ref="BU107" si="511">BU106/BP106-1</f>
        <v>0.29423011888348372</v>
      </c>
      <c r="BV107" s="420">
        <f t="shared" ref="BV107" si="512">BV106/BQ106-1</f>
        <v>0.25308007562204216</v>
      </c>
      <c r="BW107" s="420">
        <f t="shared" ref="BW107" si="513">BW106/BR106-1</f>
        <v>0.20945380106076117</v>
      </c>
      <c r="BX107" s="421">
        <f t="shared" ref="BX107" si="514">BX106/BS106-1</f>
        <v>0.25260368540902522</v>
      </c>
      <c r="BY107" s="521"/>
      <c r="BZ107" s="521"/>
      <c r="CA107" s="521"/>
      <c r="CC107" s="521"/>
    </row>
    <row r="108" spans="3:81" ht="13.15" hidden="1" thickBot="1">
      <c r="C108" s="442" t="s">
        <v>342</v>
      </c>
      <c r="AK108" s="422" t="e">
        <f>AK106/AI106-1</f>
        <v>#DIV/0!</v>
      </c>
      <c r="AL108" s="423">
        <f>AL106/AK106-1</f>
        <v>9.5618879815674518E-2</v>
      </c>
      <c r="AM108" s="423">
        <f>AM106/AL106-1</f>
        <v>1.3607546002783355E-2</v>
      </c>
      <c r="AN108" s="423">
        <f>AN106/AM106-1</f>
        <v>0.10944317315026697</v>
      </c>
      <c r="AO108" s="424"/>
      <c r="AP108" s="422">
        <f>AP106/AN106-1</f>
        <v>1.4575655904515594E-2</v>
      </c>
      <c r="AQ108" s="423">
        <f>AQ106/AP106-1</f>
        <v>7.3267917163612806E-2</v>
      </c>
      <c r="AR108" s="423">
        <f>AR106/AQ106-1</f>
        <v>4.3010481121353639E-2</v>
      </c>
      <c r="AS108" s="423">
        <f>AS106/AR106-1</f>
        <v>5.3271344859306957E-4</v>
      </c>
      <c r="AT108" s="424"/>
      <c r="AU108" s="422">
        <f>AU106/AS106-1</f>
        <v>0.18741529525653444</v>
      </c>
      <c r="AV108" s="423">
        <f>AV106/AU106-1</f>
        <v>-8.2749062449045674E-3</v>
      </c>
      <c r="AW108" s="423">
        <f>AW106/AV106-1</f>
        <v>4.6857659583212641E-3</v>
      </c>
      <c r="AX108" s="423">
        <f>AX106/AW106-1</f>
        <v>1.9596612527103874E-2</v>
      </c>
      <c r="AY108" s="424"/>
      <c r="AZ108" s="422">
        <f>AZ106/AX106-1</f>
        <v>0.14196292432389046</v>
      </c>
      <c r="BA108" s="423">
        <f>BA106/AZ106-1</f>
        <v>-3.2536893886155993E-2</v>
      </c>
      <c r="BB108" s="423">
        <f>BB106/BA106-1</f>
        <v>4.3945667175129266E-3</v>
      </c>
      <c r="BC108" s="423">
        <f>BC106/BB106-1</f>
        <v>5.5414934008316763E-2</v>
      </c>
      <c r="BD108" s="424"/>
      <c r="BE108" s="422">
        <f>BE106/BC106-1</f>
        <v>-3.4569593147751654E-2</v>
      </c>
      <c r="BF108" s="423">
        <f>BF106/BE106-1</f>
        <v>0.12937168408538424</v>
      </c>
      <c r="BG108" s="423">
        <f>BG106/BF106-1</f>
        <v>3.4565108094519736E-4</v>
      </c>
      <c r="BH108" s="423">
        <f>BH106/BG106-1</f>
        <v>2.7108528349301109E-2</v>
      </c>
      <c r="BI108" s="424"/>
      <c r="BJ108" s="422">
        <f>BJ106/BH106-1</f>
        <v>8.0066059086182584E-2</v>
      </c>
      <c r="BK108" s="423">
        <f>BK106/BJ106-1</f>
        <v>-7.8009967153698234E-3</v>
      </c>
      <c r="BL108" s="423">
        <f>BL106/BK106-1</f>
        <v>1.0116864770765233E-2</v>
      </c>
      <c r="BM108" s="423">
        <f>BM106/BL106-1</f>
        <v>4.668738522390159E-2</v>
      </c>
      <c r="BN108" s="424"/>
      <c r="BO108" s="422">
        <f>BO106/BM106-1</f>
        <v>4.7142182333490767E-2</v>
      </c>
      <c r="BP108" s="423">
        <f>BP106/BO106-1</f>
        <v>-9.0993452595762303E-3</v>
      </c>
      <c r="BQ108" s="423">
        <f>BQ106/BP106-1</f>
        <v>2.5116412164095658E-2</v>
      </c>
      <c r="BR108" s="423">
        <f>BR106/BQ106-1</f>
        <v>9.0886021341656908E-2</v>
      </c>
      <c r="BS108" s="424"/>
      <c r="BT108" s="422">
        <f>BT106/BR106-1</f>
        <v>0.13588675909556147</v>
      </c>
      <c r="BU108" s="423">
        <f>BU106/BT106-1</f>
        <v>1.8882028282083629E-2</v>
      </c>
      <c r="BV108" s="423">
        <f>BV106/BU106-1</f>
        <v>-7.477161492618345E-3</v>
      </c>
      <c r="BW108" s="423">
        <f>BW106/BV106-1</f>
        <v>5.2906570540406372E-2</v>
      </c>
      <c r="BX108" s="424"/>
      <c r="BY108" s="428"/>
      <c r="BZ108" s="428"/>
      <c r="CA108" s="428"/>
      <c r="CC108" s="428"/>
    </row>
    <row r="109" spans="3:81" ht="13.15" hidden="1" thickBot="1">
      <c r="C109" s="443" t="s">
        <v>343</v>
      </c>
      <c r="AK109" s="425">
        <f>AK106+AI106+AH106+AG106</f>
        <v>29513</v>
      </c>
      <c r="AL109" s="426">
        <f>AL106+AK106+AI106+AH106</f>
        <v>61848</v>
      </c>
      <c r="AM109" s="426">
        <f>AM106+AL106+AK106+AI106</f>
        <v>94623</v>
      </c>
      <c r="AN109" s="427">
        <f>AN106+AM106+AL106+AK106</f>
        <v>130985</v>
      </c>
      <c r="AO109" s="426"/>
      <c r="AP109" s="425">
        <f>AP106+AN106+AM106+AL106</f>
        <v>138364</v>
      </c>
      <c r="AQ109" s="426">
        <f>AQ106+AP106+AN106+AM106</f>
        <v>145624</v>
      </c>
      <c r="AR109" s="426">
        <f>AR106+AQ106+AP106+AN106</f>
        <v>154147</v>
      </c>
      <c r="AS109" s="427">
        <f>AS106+AR106+AQ106+AP106</f>
        <v>159105</v>
      </c>
      <c r="AT109" s="426"/>
      <c r="AU109" s="425">
        <f>AU106+AS106+AR106+AQ106</f>
        <v>171277</v>
      </c>
      <c r="AV109" s="426">
        <f>AV106+AU106+AS106+AR106</f>
        <v>180340</v>
      </c>
      <c r="AW109" s="426">
        <f>AW106+AV106+AU106+AS106</f>
        <v>187928</v>
      </c>
      <c r="AX109" s="427">
        <f>AX106+AW106+AV106+AU106</f>
        <v>196452</v>
      </c>
      <c r="AY109" s="426"/>
      <c r="AZ109" s="425">
        <f>AZ106+AX106+AW106+AV106</f>
        <v>204308</v>
      </c>
      <c r="BA109" s="426">
        <f>BA106+AZ106+AX106+AW106</f>
        <v>210718</v>
      </c>
      <c r="BB109" s="426">
        <f>BB106+BA106+AZ106+AX106</f>
        <v>217142</v>
      </c>
      <c r="BC109" s="427">
        <f>BC106+BB106+BA106+AZ106</f>
        <v>225673</v>
      </c>
      <c r="BD109" s="426"/>
      <c r="BE109" s="425">
        <f>BE106+BC106+BB106+BA106</f>
        <v>225110</v>
      </c>
      <c r="BF109" s="426">
        <f>BF106+BE106+BC106+BB106</f>
        <v>233690</v>
      </c>
      <c r="BG109" s="426">
        <f>BG106+BF106+BE106+BC106</f>
        <v>242050</v>
      </c>
      <c r="BH109" s="427">
        <f>BH106+BG106+BF106+BE106</f>
        <v>249071</v>
      </c>
      <c r="BI109" s="426"/>
      <c r="BJ109" s="425">
        <f>BJ106+BH106+BG106+BF106</f>
        <v>263346</v>
      </c>
      <c r="BK109" s="426">
        <f>BK106+BJ106+BH106+BG106</f>
        <v>269779</v>
      </c>
      <c r="BL109" s="426">
        <f>BL106+BK106+BJ106+BH106</f>
        <v>276899</v>
      </c>
      <c r="BM109" s="427">
        <f>BM106+BL106+BK106+BJ106</f>
        <v>285598</v>
      </c>
      <c r="BN109" s="427"/>
      <c r="BO109" s="425">
        <f>BO106+BM106+BL106+BK106</f>
        <v>292554</v>
      </c>
      <c r="BP109" s="426">
        <f>BP106+BO106+BM106+BL106</f>
        <v>299355</v>
      </c>
      <c r="BQ109" s="426">
        <f>BQ106+BP106+BO106+BM106</f>
        <v>307378</v>
      </c>
      <c r="BR109" s="427">
        <f>BR106+BQ106+BP106+BO106</f>
        <v>319259</v>
      </c>
      <c r="BS109" s="427"/>
      <c r="BT109" s="425">
        <f>BT106+BR106+BQ106+BP106</f>
        <v>339330</v>
      </c>
      <c r="BU109" s="426">
        <f>BU106+BT106+BR106+BQ106</f>
        <v>361951</v>
      </c>
      <c r="BV109" s="426">
        <f>BV106+BU106+BT106+BR106</f>
        <v>381897</v>
      </c>
      <c r="BW109" s="427">
        <f>BW106+BV106+BU106+BT106</f>
        <v>399905</v>
      </c>
      <c r="BX109" s="427"/>
      <c r="BY109" s="522"/>
      <c r="BZ109" s="522"/>
      <c r="CA109" s="522"/>
      <c r="CC109" s="522"/>
    </row>
    <row r="110" spans="3:81" hidden="1">
      <c r="C110" s="441" t="s">
        <v>341</v>
      </c>
      <c r="AK110" s="429" t="e">
        <f t="shared" ref="AK110" si="515">AK109/AF109-1</f>
        <v>#DIV/0!</v>
      </c>
      <c r="AL110" s="430" t="e">
        <f t="shared" ref="AL110" si="516">AL109/AG109-1</f>
        <v>#DIV/0!</v>
      </c>
      <c r="AM110" s="430" t="e">
        <f>AM109/AH109-1</f>
        <v>#DIV/0!</v>
      </c>
      <c r="AN110" s="431" t="e">
        <f>AN109/AI109-1</f>
        <v>#DIV/0!</v>
      </c>
      <c r="AO110" s="428"/>
      <c r="AP110" s="429">
        <f t="shared" ref="AP110" si="517">AP109/AK109-1</f>
        <v>3.6882390810829122</v>
      </c>
      <c r="AQ110" s="430">
        <f t="shared" ref="AQ110" si="518">AQ109/AL109-1</f>
        <v>1.3545466304488425</v>
      </c>
      <c r="AR110" s="430">
        <f>AR109/AM109-1</f>
        <v>0.62906481510837753</v>
      </c>
      <c r="AS110" s="431">
        <f>AS109/AN109-1</f>
        <v>0.21468107035156692</v>
      </c>
      <c r="AT110" s="428"/>
      <c r="AU110" s="429">
        <f t="shared" ref="AU110" si="519">AU109/AP109-1</f>
        <v>0.23787256800901968</v>
      </c>
      <c r="AV110" s="430">
        <f t="shared" ref="AV110" si="520">AV109/AQ109-1</f>
        <v>0.23839477009284193</v>
      </c>
      <c r="AW110" s="430">
        <f>AW109/AR109-1</f>
        <v>0.21914795617170624</v>
      </c>
      <c r="AX110" s="431">
        <f t="shared" ref="AX110" si="521">AX109/AS109-1</f>
        <v>0.23473178089940605</v>
      </c>
      <c r="AY110" s="428"/>
      <c r="AZ110" s="429">
        <f t="shared" ref="AZ110" si="522">AZ109/AU109-1</f>
        <v>0.19285134606514598</v>
      </c>
      <c r="BA110" s="430">
        <f t="shared" ref="BA110" si="523">BA109/AV109-1</f>
        <v>0.1684484861927471</v>
      </c>
      <c r="BB110" s="430">
        <f>BB109/AW109-1</f>
        <v>0.15545315227108247</v>
      </c>
      <c r="BC110" s="431">
        <f>BC109/AX109-1</f>
        <v>0.14874371347708348</v>
      </c>
      <c r="BD110" s="428"/>
      <c r="BE110" s="429">
        <f t="shared" ref="BE110:BF110" si="524">BE109/AZ109-1</f>
        <v>0.10181686473363749</v>
      </c>
      <c r="BF110" s="430">
        <f t="shared" si="524"/>
        <v>0.10901773934832337</v>
      </c>
      <c r="BG110" s="430">
        <f>BG109/BB109-1</f>
        <v>0.11470834753295089</v>
      </c>
      <c r="BH110" s="431">
        <f t="shared" ref="BH110" si="525">BH109/BC109-1</f>
        <v>0.10368098975065698</v>
      </c>
      <c r="BI110" s="428"/>
      <c r="BJ110" s="429">
        <f t="shared" ref="BJ110:BK110" si="526">BJ109/BE109-1</f>
        <v>0.16985473768379911</v>
      </c>
      <c r="BK110" s="430">
        <f t="shared" si="526"/>
        <v>0.15443108391458771</v>
      </c>
      <c r="BL110" s="430">
        <f>BL109/BG109-1</f>
        <v>0.14397438545755015</v>
      </c>
      <c r="BM110" s="431">
        <f t="shared" ref="BM110" si="527">BM109/BH109-1</f>
        <v>0.14665296240830927</v>
      </c>
      <c r="BN110" s="432"/>
      <c r="BO110" s="429">
        <f t="shared" ref="BO110" si="528">BO109/BJ109-1</f>
        <v>0.11091112073090148</v>
      </c>
      <c r="BP110" s="430">
        <f t="shared" ref="BP110" si="529">BP109/BK109-1</f>
        <v>0.10963047531497994</v>
      </c>
      <c r="BQ110" s="430">
        <f>BQ109/BL109-1</f>
        <v>0.11007262575885068</v>
      </c>
      <c r="BR110" s="431">
        <f t="shared" ref="BR110" si="530">BR109/BM109-1</f>
        <v>0.1178614696181346</v>
      </c>
      <c r="BS110" s="432"/>
      <c r="BT110" s="429">
        <f t="shared" ref="BT110" si="531">BT109/BO109-1</f>
        <v>0.15988843085379112</v>
      </c>
      <c r="BU110" s="430">
        <f t="shared" ref="BU110" si="532">BU109/BP109-1</f>
        <v>0.20910290457817649</v>
      </c>
      <c r="BV110" s="430">
        <f>BV109/BQ109-1</f>
        <v>0.2424343967362661</v>
      </c>
      <c r="BW110" s="431">
        <f t="shared" ref="BW110" si="533">BW109/BR109-1</f>
        <v>0.25260368540902522</v>
      </c>
      <c r="BX110" s="432"/>
      <c r="BY110" s="428"/>
      <c r="BZ110" s="428"/>
      <c r="CA110" s="428"/>
      <c r="CC110" s="428"/>
    </row>
    <row r="111" spans="3:81" ht="13.15" hidden="1" thickBot="1">
      <c r="C111" s="442" t="s">
        <v>342</v>
      </c>
      <c r="AK111" s="433" t="e">
        <f>AK109/AI109-1</f>
        <v>#DIV/0!</v>
      </c>
      <c r="AL111" s="423">
        <f>AL109/AK109-1</f>
        <v>1.0956188798156745</v>
      </c>
      <c r="AM111" s="423">
        <f>AM109/AL109-1</f>
        <v>0.52992821109817623</v>
      </c>
      <c r="AN111" s="434">
        <f>AN109/AM109-1</f>
        <v>0.38428289105185853</v>
      </c>
      <c r="AO111" s="435"/>
      <c r="AP111" s="433">
        <f>AP109/AN109-1</f>
        <v>5.6334694812383068E-2</v>
      </c>
      <c r="AQ111" s="423">
        <f>AQ109/AP109-1</f>
        <v>5.247029574166695E-2</v>
      </c>
      <c r="AR111" s="423">
        <f>AR109/AQ109-1</f>
        <v>5.8527440531780384E-2</v>
      </c>
      <c r="AS111" s="434">
        <f>AS109/AR109-1</f>
        <v>3.2164103096395058E-2</v>
      </c>
      <c r="AT111" s="435"/>
      <c r="AU111" s="433">
        <f>AU109/AS109-1</f>
        <v>7.6502938311178159E-2</v>
      </c>
      <c r="AV111" s="423">
        <f>AV109/AU109-1</f>
        <v>5.2914285047028997E-2</v>
      </c>
      <c r="AW111" s="423">
        <f>AW109/AV109-1</f>
        <v>4.2076078518354265E-2</v>
      </c>
      <c r="AX111" s="434">
        <f>AX109/AW109-1</f>
        <v>4.5357796602954359E-2</v>
      </c>
      <c r="AY111" s="435"/>
      <c r="AZ111" s="433">
        <f>AZ109/AX109-1</f>
        <v>3.9989412171929972E-2</v>
      </c>
      <c r="BA111" s="423">
        <f>BA109/AZ109-1</f>
        <v>3.1374199737651098E-2</v>
      </c>
      <c r="BB111" s="423">
        <f>BB109/BA109-1</f>
        <v>3.0486242276407394E-2</v>
      </c>
      <c r="BC111" s="434">
        <f>BC109/BB109-1</f>
        <v>3.9287655082848927E-2</v>
      </c>
      <c r="BD111" s="435"/>
      <c r="BE111" s="433">
        <f>BE109/BC109-1</f>
        <v>-2.494760117515149E-3</v>
      </c>
      <c r="BF111" s="423">
        <f>BF109/BE109-1</f>
        <v>3.8114699480254144E-2</v>
      </c>
      <c r="BG111" s="423">
        <f>BG109/BF109-1</f>
        <v>3.577388848474472E-2</v>
      </c>
      <c r="BH111" s="434">
        <f>BH109/BG109-1</f>
        <v>2.9006403635612577E-2</v>
      </c>
      <c r="BI111" s="435"/>
      <c r="BJ111" s="433">
        <f>BJ109/BH109-1</f>
        <v>5.731297501515642E-2</v>
      </c>
      <c r="BK111" s="423">
        <f>BK109/BJ109-1</f>
        <v>2.4427938909267644E-2</v>
      </c>
      <c r="BL111" s="423">
        <f>BL109/BK109-1</f>
        <v>2.639197268875626E-2</v>
      </c>
      <c r="BM111" s="434">
        <f>BM109/BL109-1</f>
        <v>3.1415786983701732E-2</v>
      </c>
      <c r="BN111" s="436"/>
      <c r="BO111" s="433">
        <f>BO109/BM109-1</f>
        <v>2.4355912856532713E-2</v>
      </c>
      <c r="BP111" s="423">
        <f>BP109/BO109-1</f>
        <v>2.3246990299226722E-2</v>
      </c>
      <c r="BQ111" s="423">
        <f>BQ109/BP109-1</f>
        <v>2.6800955387416225E-2</v>
      </c>
      <c r="BR111" s="434">
        <f>BR109/BQ109-1</f>
        <v>3.8652733767543523E-2</v>
      </c>
      <c r="BS111" s="436"/>
      <c r="BT111" s="433">
        <f>BT109/BR109-1</f>
        <v>6.2867452444566929E-2</v>
      </c>
      <c r="BU111" s="423">
        <f>BU109/BT109-1</f>
        <v>6.6663719682904521E-2</v>
      </c>
      <c r="BV111" s="423">
        <f>BV109/BU109-1</f>
        <v>5.510690673599461E-2</v>
      </c>
      <c r="BW111" s="434">
        <f>BW109/BV109-1</f>
        <v>4.7154075575351451E-2</v>
      </c>
      <c r="BX111" s="436"/>
      <c r="BY111" s="428"/>
      <c r="BZ111" s="428"/>
      <c r="CA111" s="428"/>
      <c r="CC111" s="428"/>
    </row>
    <row r="112" spans="3:81" hidden="1"/>
    <row r="113" hidden="1"/>
  </sheetData>
  <mergeCells count="8">
    <mergeCell ref="BT102:BW102"/>
    <mergeCell ref="BJ102:BM102"/>
    <mergeCell ref="BO102:BR102"/>
    <mergeCell ref="AP102:AS102"/>
    <mergeCell ref="AK102:AN102"/>
    <mergeCell ref="AU102:AX102"/>
    <mergeCell ref="AZ102:BC102"/>
    <mergeCell ref="BE102:BH102"/>
  </mergeCells>
  <phoneticPr fontId="8" type="noConversion"/>
  <pageMargins left="0.75" right="0.75" top="1" bottom="1" header="0.5" footer="0.5"/>
  <pageSetup scale="53" orientation="landscape" r:id="rId1"/>
  <headerFooter alignWithMargins="0"/>
  <ignoredErrors>
    <ignoredError sqref="P69:V69 U26 U28 Z7 Z20 AE26 AE28 Z56 X69:AE69 Z25:Z29 BS26:BS28 BX7:BX19 AO26:BN28 BN40 AO56 BX56 BX62 AT8:BS8 AY7:BS7 CC7:CC15 CH15 CH26:CH29 CC20:CC29 CC56:CC60 AO69:CH69 AT12:BS13 AT19:BS19 AT18:BJ18 BN18 BS18 AT9:BI11 BK9:BS9 BR10:BS11 BN11:BP11 BN10 CC62 AT16:BS17 AT14:AY15 BS14:BS15 BN14:BN15 BI14:BI15 BD14:BD15 CC4 Z4 BX20:BX29 AT20:BS24" formula="1"/>
    <ignoredError sqref="L68:O68 L70:O70" evalError="1"/>
    <ignoredError sqref="L69:O69" evalError="1" formula="1"/>
    <ignoredError sqref="BS73"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CW68"/>
  <sheetViews>
    <sheetView showGridLines="0" topLeftCell="A3" workbookViewId="0">
      <pane xSplit="3" topLeftCell="CM1" activePane="topRight" state="frozen"/>
      <selection pane="topRight" activeCell="CW9" sqref="CW9"/>
    </sheetView>
  </sheetViews>
  <sheetFormatPr defaultRowHeight="12.75" outlineLevelRow="1" outlineLevelCol="1"/>
  <cols>
    <col min="1" max="1" width="2.265625" customWidth="1"/>
    <col min="2" max="2" width="2" customWidth="1"/>
    <col min="3" max="3" width="34.73046875" customWidth="1"/>
    <col min="4" max="9" width="9.19921875" hidden="1" customWidth="1" outlineLevel="1"/>
    <col min="10" max="10" width="10.46484375" hidden="1" customWidth="1" outlineLevel="1"/>
    <col min="11" max="11" width="9.19921875" hidden="1" customWidth="1" outlineLevel="1"/>
    <col min="12" max="14" width="9.46484375" hidden="1" customWidth="1" outlineLevel="1"/>
    <col min="15" max="15" width="10.46484375" hidden="1" customWidth="1" outlineLevel="1"/>
    <col min="16" max="16" width="9.19921875" hidden="1" customWidth="1" outlineLevel="1"/>
    <col min="17" max="19" width="10.265625" hidden="1" customWidth="1" outlineLevel="1"/>
    <col min="20" max="20" width="7.73046875" style="99" hidden="1" customWidth="1" outlineLevel="1"/>
    <col min="21" max="30" width="9.19921875" hidden="1" customWidth="1" outlineLevel="1"/>
    <col min="31" max="31" width="0" hidden="1" customWidth="1" collapsed="1"/>
    <col min="32" max="44" width="9.19921875" hidden="1" customWidth="1" outlineLevel="1"/>
    <col min="45" max="45" width="8.73046875" hidden="1" customWidth="1" outlineLevel="1"/>
    <col min="46" max="70" width="9.19921875" hidden="1" customWidth="1" outlineLevel="1"/>
    <col min="71" max="71" width="9.19921875" collapsed="1"/>
    <col min="72" max="75" width="0" hidden="1" customWidth="1" outlineLevel="1"/>
    <col min="76" max="76" width="8.73046875" collapsed="1"/>
    <col min="77" max="80" width="0" hidden="1" customWidth="1" outlineLevel="1"/>
    <col min="81" max="81" width="8.73046875" collapsed="1"/>
    <col min="82" max="85" width="0" hidden="1" customWidth="1" outlineLevel="1"/>
    <col min="86" max="86" width="8.73046875" collapsed="1"/>
    <col min="87" max="88" width="9.19921875" outlineLevel="1"/>
    <col min="89" max="89" width="10.265625" bestFit="1" customWidth="1" outlineLevel="1"/>
    <col min="90" max="90" width="10.19921875" bestFit="1" customWidth="1" outlineLevel="1"/>
    <col min="91" max="91" width="10.265625" bestFit="1" customWidth="1"/>
    <col min="92" max="93" width="10.265625" bestFit="1" customWidth="1" outlineLevel="1"/>
    <col min="94" max="95" width="10.19921875" bestFit="1" customWidth="1" outlineLevel="1"/>
    <col min="96" max="96" width="10.265625" bestFit="1" customWidth="1"/>
    <col min="97" max="97" width="10.265625" bestFit="1" customWidth="1" outlineLevel="1"/>
    <col min="98" max="100" width="10.19921875" bestFit="1" customWidth="1" outlineLevel="1"/>
    <col min="101" max="101" width="10.265625" bestFit="1" customWidth="1"/>
  </cols>
  <sheetData>
    <row r="2" spans="1:101">
      <c r="AW2" s="85"/>
      <c r="BZ2" s="85"/>
      <c r="CA2" s="85"/>
    </row>
    <row r="3" spans="1:101" ht="13.15" thickBot="1">
      <c r="AW3" s="85"/>
      <c r="CA3" s="85"/>
      <c r="CB3" s="85"/>
    </row>
    <row r="4" spans="1:101" ht="13.5" thickBot="1">
      <c r="A4" s="163"/>
      <c r="B4" s="619" t="s">
        <v>37</v>
      </c>
      <c r="C4" s="622"/>
      <c r="D4" s="622">
        <f>IS!D3</f>
        <v>2005</v>
      </c>
      <c r="E4" s="622">
        <f>IS!E3</f>
        <v>2006</v>
      </c>
      <c r="F4" s="622">
        <f>IS!F3</f>
        <v>2007</v>
      </c>
      <c r="G4" s="622" t="str">
        <f>IS!G3</f>
        <v>1Q08</v>
      </c>
      <c r="H4" s="622" t="str">
        <f>IS!H3</f>
        <v>2Q08</v>
      </c>
      <c r="I4" s="622" t="str">
        <f>IS!I3</f>
        <v>2Q08</v>
      </c>
      <c r="J4" s="622" t="str">
        <f>IS!J3</f>
        <v>4Q08</v>
      </c>
      <c r="K4" s="622">
        <f>IS!K3</f>
        <v>2008</v>
      </c>
      <c r="L4" s="622" t="str">
        <f>IS!L3</f>
        <v>1Q09</v>
      </c>
      <c r="M4" s="622" t="str">
        <f>IS!M3</f>
        <v>2Q09</v>
      </c>
      <c r="N4" s="622" t="str">
        <f>IS!N3</f>
        <v>2Q09</v>
      </c>
      <c r="O4" s="622" t="str">
        <f>IS!O3</f>
        <v>4Q09</v>
      </c>
      <c r="P4" s="622">
        <f>IS!P3</f>
        <v>2009</v>
      </c>
      <c r="Q4" s="622" t="str">
        <f>IS!Q3</f>
        <v>1QA10</v>
      </c>
      <c r="R4" s="622" t="str">
        <f>IS!R3</f>
        <v>2QA10</v>
      </c>
      <c r="S4" s="622" t="str">
        <f>IS!S3</f>
        <v>3Q10</v>
      </c>
      <c r="T4" s="622" t="str">
        <f>IS!T3</f>
        <v>4Q10</v>
      </c>
      <c r="U4" s="622">
        <f>IS!U3</f>
        <v>2010</v>
      </c>
      <c r="V4" s="622" t="str">
        <f>IS!V3</f>
        <v>1Q11</v>
      </c>
      <c r="W4" s="622" t="str">
        <f>IS!W3</f>
        <v>2Q11</v>
      </c>
      <c r="X4" s="622" t="str">
        <f>IS!X3</f>
        <v>3Q11</v>
      </c>
      <c r="Y4" s="622" t="str">
        <f>IS!Y3</f>
        <v>4Q11</v>
      </c>
      <c r="Z4" s="622">
        <f>IS!Z3</f>
        <v>2011</v>
      </c>
      <c r="AA4" s="622" t="str">
        <f>IS!AA3</f>
        <v>1Q12</v>
      </c>
      <c r="AB4" s="622" t="str">
        <f>IS!AB3</f>
        <v>2Q12</v>
      </c>
      <c r="AC4" s="622" t="str">
        <f>IS!AC3</f>
        <v>3Q12</v>
      </c>
      <c r="AD4" s="622" t="str">
        <f>IS!AD3</f>
        <v>4Q12</v>
      </c>
      <c r="AE4" s="622">
        <f>IS!AE3</f>
        <v>2012</v>
      </c>
      <c r="AF4" s="622" t="str">
        <f>IS!AF3</f>
        <v>1Q13</v>
      </c>
      <c r="AG4" s="622" t="str">
        <f>IS!AG3</f>
        <v>2Q13</v>
      </c>
      <c r="AH4" s="622" t="str">
        <f>IS!AH3</f>
        <v>3Q13</v>
      </c>
      <c r="AI4" s="622" t="str">
        <f>IS!AI3</f>
        <v>4Q13</v>
      </c>
      <c r="AJ4" s="622">
        <f>IS!AJ3</f>
        <v>2013</v>
      </c>
      <c r="AK4" s="622" t="str">
        <f>IS!AK3</f>
        <v>1Q14</v>
      </c>
      <c r="AL4" s="622" t="str">
        <f>IS!AL3</f>
        <v>2Q14</v>
      </c>
      <c r="AM4" s="622" t="str">
        <f>IS!AM3</f>
        <v>3Q14</v>
      </c>
      <c r="AN4" s="622" t="str">
        <f>IS!AN3</f>
        <v>4Q14</v>
      </c>
      <c r="AO4" s="622">
        <f>IS!AO3</f>
        <v>2014</v>
      </c>
      <c r="AP4" s="622" t="str">
        <f>IS!AP3</f>
        <v>1Q15</v>
      </c>
      <c r="AQ4" s="622" t="str">
        <f>IS!AQ3</f>
        <v>2Q15</v>
      </c>
      <c r="AR4" s="622" t="str">
        <f>IS!AR3</f>
        <v>3Q15</v>
      </c>
      <c r="AS4" s="622" t="str">
        <f>IS!AS3</f>
        <v>4Q15</v>
      </c>
      <c r="AT4" s="622">
        <f>IS!AT3</f>
        <v>2015</v>
      </c>
      <c r="AU4" s="622" t="str">
        <f>IS!AU3</f>
        <v>1Q16</v>
      </c>
      <c r="AV4" s="622" t="str">
        <f>IS!AV3</f>
        <v>2Q16</v>
      </c>
      <c r="AW4" s="622" t="str">
        <f>IS!AW3</f>
        <v>3Q16</v>
      </c>
      <c r="AX4" s="622" t="str">
        <f>IS!AX3</f>
        <v>4Q16</v>
      </c>
      <c r="AY4" s="622">
        <f>IS!AY3</f>
        <v>2016</v>
      </c>
      <c r="AZ4" s="622" t="str">
        <f>IS!AZ3</f>
        <v>1Q17</v>
      </c>
      <c r="BA4" s="622" t="str">
        <f>IS!BA3</f>
        <v>2Q17</v>
      </c>
      <c r="BB4" s="622" t="str">
        <f>IS!BB3</f>
        <v>3Q17</v>
      </c>
      <c r="BC4" s="622" t="str">
        <f>IS!BC3</f>
        <v>4Q17</v>
      </c>
      <c r="BD4" s="622">
        <f>IS!BD3</f>
        <v>2017</v>
      </c>
      <c r="BE4" s="622" t="str">
        <f>IS!BE3</f>
        <v>1Q18</v>
      </c>
      <c r="BF4" s="622" t="str">
        <f>IS!BF3</f>
        <v>2Q18</v>
      </c>
      <c r="BG4" s="622" t="str">
        <f>IS!BG3</f>
        <v>3Q18</v>
      </c>
      <c r="BH4" s="622" t="str">
        <f>IS!BH3</f>
        <v>4Q18</v>
      </c>
      <c r="BI4" s="622">
        <f>IS!BI3</f>
        <v>2018</v>
      </c>
      <c r="BJ4" s="622" t="str">
        <f>IS!BJ3</f>
        <v>1Q19</v>
      </c>
      <c r="BK4" s="622" t="str">
        <f>IS!BK3</f>
        <v>2Q19</v>
      </c>
      <c r="BL4" s="622" t="str">
        <f>IS!BL3</f>
        <v>3Q19</v>
      </c>
      <c r="BM4" s="622" t="str">
        <f>IS!BM3</f>
        <v>4Q19</v>
      </c>
      <c r="BN4" s="622">
        <f>IS!BN3</f>
        <v>2019</v>
      </c>
      <c r="BO4" s="622" t="str">
        <f>IS!BO3</f>
        <v>1Q20</v>
      </c>
      <c r="BP4" s="622" t="str">
        <f>IS!BP3</f>
        <v>2Q20</v>
      </c>
      <c r="BQ4" s="622" t="str">
        <f>IS!BQ3</f>
        <v>3Q20</v>
      </c>
      <c r="BR4" s="622" t="str">
        <f>IS!BR3</f>
        <v>4Q20</v>
      </c>
      <c r="BS4" s="622">
        <f>IS!BS3</f>
        <v>2020</v>
      </c>
      <c r="BT4" s="622" t="str">
        <f>IS!BT3</f>
        <v>1Q21</v>
      </c>
      <c r="BU4" s="622" t="str">
        <f>IS!BU3</f>
        <v>2Q21</v>
      </c>
      <c r="BV4" s="622" t="str">
        <f>IS!BV3</f>
        <v>3Q21</v>
      </c>
      <c r="BW4" s="622" t="str">
        <f>IS!BW3</f>
        <v>4Q21</v>
      </c>
      <c r="BX4" s="622">
        <f>IS!BX3</f>
        <v>2021</v>
      </c>
      <c r="BY4" s="622" t="str">
        <f>IS!BY3</f>
        <v>1Q22</v>
      </c>
      <c r="BZ4" s="622" t="str">
        <f>IS!BZ3</f>
        <v>2Q22</v>
      </c>
      <c r="CA4" s="622" t="str">
        <f>IS!CA3</f>
        <v>3Q22</v>
      </c>
      <c r="CB4" s="622" t="str">
        <f>IS!CB3</f>
        <v>4Q22</v>
      </c>
      <c r="CC4" s="622">
        <f>IS!CC3</f>
        <v>2022</v>
      </c>
      <c r="CD4" s="622" t="str">
        <f>IS!CD3</f>
        <v>1Q23</v>
      </c>
      <c r="CE4" s="622" t="str">
        <f>IS!CE3</f>
        <v>2Q23</v>
      </c>
      <c r="CF4" s="622" t="str">
        <f>IS!CF3</f>
        <v>3Q23</v>
      </c>
      <c r="CG4" s="622" t="str">
        <f>IS!CG3</f>
        <v>4Q23</v>
      </c>
      <c r="CH4" s="621">
        <f>IS!CH3</f>
        <v>2023</v>
      </c>
      <c r="CI4" s="622" t="str">
        <f>IS!CI3</f>
        <v>1Q24</v>
      </c>
      <c r="CJ4" s="622" t="str">
        <f>IS!CJ3</f>
        <v>2Q24</v>
      </c>
      <c r="CK4" s="622" t="str">
        <f>IS!CK3</f>
        <v>3Q24</v>
      </c>
      <c r="CL4" s="622" t="str">
        <f>IS!CL3</f>
        <v>4Q24</v>
      </c>
      <c r="CM4" s="621">
        <f>IS!CM3</f>
        <v>2024</v>
      </c>
      <c r="CN4" s="622" t="str">
        <f>IS!CN3</f>
        <v>1Q25</v>
      </c>
      <c r="CO4" s="622" t="str">
        <f>IS!CO3</f>
        <v>2Q25</v>
      </c>
      <c r="CP4" s="622" t="str">
        <f>IS!CP3</f>
        <v>3Q25</v>
      </c>
      <c r="CQ4" s="622" t="str">
        <f>IS!CQ3</f>
        <v>4Q25</v>
      </c>
      <c r="CR4" s="621">
        <f>IS!CR3</f>
        <v>2025</v>
      </c>
      <c r="CS4" s="622" t="str">
        <f>IS!CS3</f>
        <v>1Q26E</v>
      </c>
      <c r="CT4" s="622" t="str">
        <f>IS!CT3</f>
        <v>2Q26E</v>
      </c>
      <c r="CU4" s="622" t="str">
        <f>IS!CU3</f>
        <v>3Q26E</v>
      </c>
      <c r="CV4" s="622" t="str">
        <f>IS!CV3</f>
        <v>4Q26E</v>
      </c>
      <c r="CW4" s="621" t="str">
        <f>IS!CW3</f>
        <v>2026E</v>
      </c>
    </row>
    <row r="5" spans="1:101" ht="13.15">
      <c r="B5" s="14" t="s">
        <v>38</v>
      </c>
      <c r="C5" s="1"/>
      <c r="D5" s="30"/>
      <c r="E5" s="38"/>
      <c r="F5" s="38"/>
      <c r="G5" s="30"/>
      <c r="H5" s="30"/>
      <c r="I5" s="80"/>
      <c r="J5" s="80"/>
      <c r="K5" s="81"/>
      <c r="L5" s="80"/>
      <c r="M5" s="80"/>
      <c r="N5" s="80"/>
      <c r="O5" s="80"/>
      <c r="P5" s="81"/>
      <c r="Q5" s="80"/>
      <c r="R5" s="80"/>
      <c r="S5" s="80"/>
      <c r="T5" s="100"/>
      <c r="U5" s="38"/>
      <c r="V5" s="80"/>
      <c r="W5" s="80"/>
      <c r="X5" s="80"/>
      <c r="Y5" s="80"/>
      <c r="Z5" s="38"/>
      <c r="AA5" s="80"/>
      <c r="AB5" s="80"/>
      <c r="AC5" s="80"/>
      <c r="AD5" s="80"/>
      <c r="AE5" s="38"/>
      <c r="AF5" s="45"/>
      <c r="AG5" s="45"/>
      <c r="AH5" s="45"/>
      <c r="AI5" s="45"/>
      <c r="AJ5" s="38"/>
      <c r="AK5" s="45"/>
      <c r="AL5" s="45"/>
      <c r="AM5" s="45"/>
      <c r="AN5" s="45"/>
      <c r="AO5" s="38"/>
      <c r="AP5" s="45"/>
      <c r="AQ5" s="45"/>
      <c r="AR5" s="45"/>
      <c r="AS5" s="45"/>
      <c r="AT5" s="38"/>
      <c r="AU5" s="45"/>
      <c r="AV5" s="45"/>
      <c r="AW5" s="45"/>
      <c r="AX5" s="45"/>
      <c r="AY5" s="38"/>
      <c r="AZ5" s="45"/>
      <c r="BA5" s="45"/>
      <c r="BB5" s="253"/>
      <c r="BC5" s="45"/>
      <c r="BD5" s="38"/>
      <c r="BE5" s="45"/>
      <c r="BF5" s="45"/>
      <c r="BG5" s="45"/>
      <c r="BH5" s="45"/>
      <c r="BI5" s="38"/>
      <c r="BJ5" s="45"/>
      <c r="BK5" s="45"/>
      <c r="BL5" s="45"/>
      <c r="BM5" s="45"/>
      <c r="BN5" s="38"/>
      <c r="BO5" s="45"/>
      <c r="BP5" s="45"/>
      <c r="BQ5" s="45"/>
      <c r="BR5" s="45"/>
      <c r="BS5" s="38"/>
      <c r="BT5" s="45"/>
      <c r="BU5" s="45"/>
      <c r="BV5" s="45"/>
      <c r="BW5" s="45"/>
      <c r="BX5" s="38"/>
      <c r="BY5" s="45"/>
      <c r="BZ5" s="45"/>
      <c r="CA5" s="45"/>
      <c r="CB5" s="45"/>
      <c r="CC5" s="38"/>
      <c r="CD5" s="45"/>
      <c r="CE5" s="45"/>
      <c r="CF5" s="45"/>
      <c r="CG5" s="45"/>
      <c r="CH5" s="38"/>
      <c r="CI5" s="45"/>
      <c r="CJ5" s="45"/>
      <c r="CK5" s="45"/>
      <c r="CL5" s="45"/>
      <c r="CM5" s="38"/>
      <c r="CN5" s="45"/>
      <c r="CO5" s="45"/>
      <c r="CP5" s="45"/>
      <c r="CQ5" s="45"/>
      <c r="CR5" s="38"/>
      <c r="CS5" s="45"/>
      <c r="CT5" s="45"/>
      <c r="CU5" s="45"/>
      <c r="CV5" s="45"/>
      <c r="CW5" s="38"/>
    </row>
    <row r="6" spans="1:101">
      <c r="B6" s="24"/>
      <c r="C6" t="s">
        <v>39</v>
      </c>
      <c r="E6" s="32"/>
      <c r="F6" s="32"/>
      <c r="I6" s="45"/>
      <c r="J6" s="45">
        <v>3715</v>
      </c>
      <c r="K6" s="50"/>
      <c r="L6" s="45"/>
      <c r="M6" s="45"/>
      <c r="N6" s="45"/>
      <c r="O6" s="45">
        <v>5931</v>
      </c>
      <c r="P6" s="50"/>
      <c r="Q6" s="45">
        <v>5996</v>
      </c>
      <c r="R6" s="45">
        <v>37973</v>
      </c>
      <c r="S6" s="45">
        <v>39113</v>
      </c>
      <c r="T6" s="101">
        <v>40473</v>
      </c>
      <c r="U6" s="32"/>
      <c r="V6" s="45">
        <f>T6+CF!V62</f>
        <v>40447</v>
      </c>
      <c r="W6" s="45">
        <v>29788</v>
      </c>
      <c r="X6" s="45">
        <v>31546</v>
      </c>
      <c r="Y6" s="45">
        <v>31985</v>
      </c>
      <c r="Z6" s="32"/>
      <c r="AA6" s="45">
        <v>33063</v>
      </c>
      <c r="AB6" s="45">
        <v>35501</v>
      </c>
      <c r="AC6" s="45">
        <v>69715</v>
      </c>
      <c r="AD6" s="45">
        <v>66050</v>
      </c>
      <c r="AE6" s="111">
        <f>AD6</f>
        <v>66050</v>
      </c>
      <c r="AF6" s="45">
        <v>72559</v>
      </c>
      <c r="AG6" s="45">
        <v>75134</v>
      </c>
      <c r="AH6" s="45">
        <v>80813</v>
      </c>
      <c r="AI6" s="45">
        <v>131294</v>
      </c>
      <c r="AJ6" s="111">
        <f>AI6</f>
        <v>131294</v>
      </c>
      <c r="AK6" s="45">
        <v>134603</v>
      </c>
      <c r="AL6" s="45">
        <f>AK6+CF!AL62</f>
        <v>136508</v>
      </c>
      <c r="AM6" s="45">
        <v>140822</v>
      </c>
      <c r="AN6" s="45">
        <v>130795</v>
      </c>
      <c r="AO6" s="111">
        <f>AN6</f>
        <v>130795</v>
      </c>
      <c r="AP6" s="45">
        <v>133550</v>
      </c>
      <c r="AQ6" s="45">
        <v>121344</v>
      </c>
      <c r="AR6" s="45">
        <f>117887</f>
        <v>117887</v>
      </c>
      <c r="AS6" s="45">
        <f>121538</f>
        <v>121538</v>
      </c>
      <c r="AT6" s="111">
        <f>AS6</f>
        <v>121538</v>
      </c>
      <c r="AU6" s="45">
        <v>110889</v>
      </c>
      <c r="AV6" s="45">
        <v>107160</v>
      </c>
      <c r="AW6" s="45">
        <v>109635</v>
      </c>
      <c r="AX6" s="45">
        <v>115877</v>
      </c>
      <c r="AY6" s="111">
        <f>AX6</f>
        <v>115877</v>
      </c>
      <c r="AZ6" s="45">
        <v>128707</v>
      </c>
      <c r="BA6" s="45">
        <v>131744</v>
      </c>
      <c r="BB6" s="253">
        <v>128984</v>
      </c>
      <c r="BC6" s="45">
        <v>123127</v>
      </c>
      <c r="BD6" s="111">
        <f t="shared" ref="BD6:BD18" si="0">BC6</f>
        <v>123127</v>
      </c>
      <c r="BE6" s="45">
        <v>120547</v>
      </c>
      <c r="BF6" s="118">
        <v>125385</v>
      </c>
      <c r="BG6" s="118">
        <v>144748</v>
      </c>
      <c r="BH6" s="45">
        <v>133859</v>
      </c>
      <c r="BI6" s="111">
        <f t="shared" ref="BI6:BI18" si="1">BH6</f>
        <v>133859</v>
      </c>
      <c r="BJ6" s="45">
        <v>143715</v>
      </c>
      <c r="BK6" s="45">
        <v>147023</v>
      </c>
      <c r="BL6" s="45">
        <v>149727</v>
      </c>
      <c r="BM6" s="45">
        <v>179252</v>
      </c>
      <c r="BN6" s="111">
        <f t="shared" ref="BN6:BN18" si="2">BM6</f>
        <v>179252</v>
      </c>
      <c r="BO6" s="45">
        <v>184484</v>
      </c>
      <c r="BP6" s="45">
        <v>174850</v>
      </c>
      <c r="BQ6" s="45">
        <v>208930</v>
      </c>
      <c r="BR6" s="45">
        <v>149692</v>
      </c>
      <c r="BS6" s="111">
        <f t="shared" ref="BS6:BS18" si="3">BR6</f>
        <v>149692</v>
      </c>
      <c r="BT6" s="45">
        <v>169274</v>
      </c>
      <c r="BU6" s="45">
        <v>184367</v>
      </c>
      <c r="BV6" s="45">
        <v>195803</v>
      </c>
      <c r="BW6" s="45">
        <v>207552</v>
      </c>
      <c r="BX6" s="111">
        <f t="shared" ref="BX6:BX12" si="4">BW6</f>
        <v>207552</v>
      </c>
      <c r="BY6" s="45">
        <v>203088</v>
      </c>
      <c r="BZ6" s="45">
        <v>212725</v>
      </c>
      <c r="CA6" s="45">
        <v>186230</v>
      </c>
      <c r="CB6" s="45">
        <v>162893</v>
      </c>
      <c r="CC6" s="111">
        <f t="shared" ref="CC6:CC17" si="5">CB6</f>
        <v>162893</v>
      </c>
      <c r="CD6" s="45">
        <v>182304</v>
      </c>
      <c r="CE6" s="45">
        <v>209264</v>
      </c>
      <c r="CF6" s="45">
        <v>178702</v>
      </c>
      <c r="CG6" s="45">
        <v>219081</v>
      </c>
      <c r="CH6" s="111">
        <f t="shared" ref="CH6:CH17" si="6">CG6</f>
        <v>219081</v>
      </c>
      <c r="CI6" s="45">
        <v>234637</v>
      </c>
      <c r="CJ6" s="45">
        <v>240232</v>
      </c>
      <c r="CK6" s="45">
        <v>198842</v>
      </c>
      <c r="CL6" s="45">
        <v>241017</v>
      </c>
      <c r="CM6" s="111">
        <f t="shared" ref="CM6:CM17" si="7">CL6</f>
        <v>241017</v>
      </c>
      <c r="CN6" s="45">
        <v>94921</v>
      </c>
      <c r="CO6" s="45">
        <v>107603</v>
      </c>
      <c r="CP6" s="45">
        <v>133725</v>
      </c>
      <c r="CQ6" s="45">
        <v>151355</v>
      </c>
      <c r="CR6" s="111">
        <f t="shared" ref="CR6:CR17" si="8">CQ6</f>
        <v>151355</v>
      </c>
      <c r="CS6" s="45">
        <f>CR6+CF!CS62</f>
        <v>239503.55701049999</v>
      </c>
      <c r="CT6" s="45">
        <f>CS6+CF!CT62</f>
        <v>290198.5372965</v>
      </c>
      <c r="CU6" s="45">
        <f>CT6+CF!CU62</f>
        <v>342559.09740074002</v>
      </c>
      <c r="CV6" s="45">
        <f>CU6+CF!CV62</f>
        <v>396561.0490778322</v>
      </c>
      <c r="CW6" s="111">
        <f t="shared" ref="CW6:CW17" si="9">CV6</f>
        <v>396561.0490778322</v>
      </c>
    </row>
    <row r="7" spans="1:101">
      <c r="B7" s="24"/>
      <c r="C7" t="s">
        <v>209</v>
      </c>
      <c r="E7" s="32"/>
      <c r="F7" s="32"/>
      <c r="I7" s="45"/>
      <c r="J7" s="45"/>
      <c r="K7" s="50"/>
      <c r="L7" s="45"/>
      <c r="M7" s="45"/>
      <c r="N7" s="45"/>
      <c r="O7" s="45"/>
      <c r="P7" s="50"/>
      <c r="Q7" s="45"/>
      <c r="R7" s="45"/>
      <c r="S7" s="45"/>
      <c r="T7" s="101"/>
      <c r="U7" s="32"/>
      <c r="V7" s="45"/>
      <c r="W7" s="45"/>
      <c r="X7" s="45"/>
      <c r="Y7" s="45"/>
      <c r="Z7" s="32"/>
      <c r="AA7" s="45"/>
      <c r="AB7" s="45"/>
      <c r="AC7" s="45"/>
      <c r="AD7" s="45"/>
      <c r="AE7" s="111"/>
      <c r="AF7" s="45"/>
      <c r="AG7" s="45"/>
      <c r="AH7" s="45"/>
      <c r="AI7" s="45"/>
      <c r="AJ7" s="111"/>
      <c r="AK7" s="45"/>
      <c r="AL7" s="45"/>
      <c r="AM7" s="45"/>
      <c r="AN7" s="45"/>
      <c r="AO7" s="111"/>
      <c r="AP7" s="45"/>
      <c r="AQ7" s="45"/>
      <c r="AR7" s="45">
        <v>5014</v>
      </c>
      <c r="AS7" s="45">
        <v>7517</v>
      </c>
      <c r="AT7" s="111">
        <f>AS7</f>
        <v>7517</v>
      </c>
      <c r="AU7" s="45">
        <v>10010</v>
      </c>
      <c r="AV7" s="45">
        <v>21010</v>
      </c>
      <c r="AW7" s="45">
        <v>15616</v>
      </c>
      <c r="AX7" s="45">
        <v>23076</v>
      </c>
      <c r="AY7" s="111">
        <f>AX7</f>
        <v>23076</v>
      </c>
      <c r="AZ7" s="45">
        <v>25550</v>
      </c>
      <c r="BA7" s="45">
        <v>26896</v>
      </c>
      <c r="BB7" s="253">
        <v>34869</v>
      </c>
      <c r="BC7" s="45">
        <v>40192</v>
      </c>
      <c r="BD7" s="111">
        <f t="shared" si="0"/>
        <v>40192</v>
      </c>
      <c r="BE7" s="45">
        <v>45272</v>
      </c>
      <c r="BF7" s="118">
        <v>47352</v>
      </c>
      <c r="BG7" s="118">
        <v>44654</v>
      </c>
      <c r="BH7" s="45">
        <v>44537</v>
      </c>
      <c r="BI7" s="111">
        <f t="shared" si="1"/>
        <v>44537</v>
      </c>
      <c r="BJ7" s="45">
        <v>41683</v>
      </c>
      <c r="BK7" s="45">
        <v>51651</v>
      </c>
      <c r="BL7" s="45">
        <v>51446</v>
      </c>
      <c r="BM7" s="45">
        <v>34284</v>
      </c>
      <c r="BN7" s="111">
        <f t="shared" si="2"/>
        <v>34284</v>
      </c>
      <c r="BO7" s="45">
        <v>30074</v>
      </c>
      <c r="BP7" s="45">
        <v>50775</v>
      </c>
      <c r="BQ7" s="45">
        <v>52300</v>
      </c>
      <c r="BR7" s="45">
        <v>37786</v>
      </c>
      <c r="BS7" s="111">
        <f t="shared" si="3"/>
        <v>37786</v>
      </c>
      <c r="BT7" s="45">
        <v>39174</v>
      </c>
      <c r="BU7" s="45">
        <v>48999</v>
      </c>
      <c r="BV7" s="45">
        <v>56183</v>
      </c>
      <c r="BW7" s="45">
        <v>49758</v>
      </c>
      <c r="BX7" s="111">
        <f t="shared" si="4"/>
        <v>49758</v>
      </c>
      <c r="BY7" s="45">
        <v>39968</v>
      </c>
      <c r="BZ7" s="45">
        <v>46513</v>
      </c>
      <c r="CA7" s="45">
        <v>50928</v>
      </c>
      <c r="CB7" s="45">
        <v>51412</v>
      </c>
      <c r="CC7" s="111">
        <f t="shared" si="5"/>
        <v>51412</v>
      </c>
      <c r="CD7" s="45">
        <v>51146</v>
      </c>
      <c r="CE7" s="45">
        <v>60914</v>
      </c>
      <c r="CF7" s="45">
        <v>60628</v>
      </c>
      <c r="CG7" s="45">
        <v>56359</v>
      </c>
      <c r="CH7" s="111">
        <f t="shared" si="6"/>
        <v>56359</v>
      </c>
      <c r="CI7" s="45">
        <v>56174</v>
      </c>
      <c r="CJ7" s="45">
        <v>31554</v>
      </c>
      <c r="CK7" s="45">
        <v>6931</v>
      </c>
      <c r="CL7" s="45">
        <v>0</v>
      </c>
      <c r="CM7" s="111">
        <f t="shared" si="7"/>
        <v>0</v>
      </c>
      <c r="CN7" s="45">
        <f>CM7</f>
        <v>0</v>
      </c>
      <c r="CO7" s="45"/>
      <c r="CP7" s="45">
        <f>CO7</f>
        <v>0</v>
      </c>
      <c r="CQ7" s="45"/>
      <c r="CR7" s="111">
        <f t="shared" si="8"/>
        <v>0</v>
      </c>
      <c r="CS7" s="45">
        <f>CR7</f>
        <v>0</v>
      </c>
      <c r="CT7" s="45">
        <f>CS7</f>
        <v>0</v>
      </c>
      <c r="CU7" s="45">
        <f>CT7</f>
        <v>0</v>
      </c>
      <c r="CV7" s="45">
        <f>CU7</f>
        <v>0</v>
      </c>
      <c r="CW7" s="111">
        <f t="shared" si="9"/>
        <v>0</v>
      </c>
    </row>
    <row r="8" spans="1:101">
      <c r="B8" s="24"/>
      <c r="C8" t="s">
        <v>40</v>
      </c>
      <c r="E8" s="32"/>
      <c r="F8" s="32"/>
      <c r="I8" s="45"/>
      <c r="J8" s="45">
        <v>4564</v>
      </c>
      <c r="K8" s="50"/>
      <c r="L8" s="45"/>
      <c r="M8" s="45"/>
      <c r="N8" s="45"/>
      <c r="O8" s="45">
        <v>4766</v>
      </c>
      <c r="P8" s="50"/>
      <c r="Q8" s="45">
        <v>5125</v>
      </c>
      <c r="R8" s="45">
        <v>4987</v>
      </c>
      <c r="S8" s="45">
        <v>5517</v>
      </c>
      <c r="T8" s="101">
        <v>5574</v>
      </c>
      <c r="U8" s="32"/>
      <c r="V8" s="45">
        <v>6356</v>
      </c>
      <c r="W8" s="45">
        <v>7353</v>
      </c>
      <c r="X8" s="45">
        <v>7695</v>
      </c>
      <c r="Y8" s="45">
        <v>7958</v>
      </c>
      <c r="Z8" s="32"/>
      <c r="AA8" s="45">
        <v>7981</v>
      </c>
      <c r="AB8" s="45">
        <v>9029</v>
      </c>
      <c r="AC8" s="45">
        <v>10146</v>
      </c>
      <c r="AD8" s="45">
        <v>10940</v>
      </c>
      <c r="AE8" s="111">
        <f t="shared" ref="AE8:AE44" si="10">AD8</f>
        <v>10940</v>
      </c>
      <c r="AF8" s="45">
        <v>10788</v>
      </c>
      <c r="AG8" s="45">
        <v>11707</v>
      </c>
      <c r="AH8" s="45">
        <v>11148</v>
      </c>
      <c r="AI8" s="45">
        <v>11611</v>
      </c>
      <c r="AJ8" s="111">
        <f t="shared" ref="AJ8:AJ18" si="11">AI8</f>
        <v>11611</v>
      </c>
      <c r="AK8" s="45">
        <v>12166</v>
      </c>
      <c r="AL8" s="45">
        <v>13348</v>
      </c>
      <c r="AM8" s="45">
        <v>13594</v>
      </c>
      <c r="AN8" s="45">
        <v>15422</v>
      </c>
      <c r="AO8" s="111">
        <f t="shared" ref="AO8:AO43" si="12">AN8</f>
        <v>15422</v>
      </c>
      <c r="AP8" s="45">
        <v>15823</v>
      </c>
      <c r="AQ8" s="45">
        <v>17255</v>
      </c>
      <c r="AR8" s="45">
        <v>17945</v>
      </c>
      <c r="AS8" s="45">
        <v>17615</v>
      </c>
      <c r="AT8" s="111">
        <f t="shared" ref="AT8:AT43" si="13">AS8</f>
        <v>17615</v>
      </c>
      <c r="AU8" s="45">
        <v>20426</v>
      </c>
      <c r="AV8" s="76">
        <v>20432</v>
      </c>
      <c r="AW8" s="253">
        <v>21361</v>
      </c>
      <c r="AX8" s="45">
        <v>20746</v>
      </c>
      <c r="AY8" s="111">
        <f t="shared" ref="AY8:AY43" si="14">AX8</f>
        <v>20746</v>
      </c>
      <c r="AZ8" s="45">
        <v>22683</v>
      </c>
      <c r="BA8" s="253">
        <v>21545</v>
      </c>
      <c r="BB8" s="253">
        <v>24175</v>
      </c>
      <c r="BC8" s="45">
        <v>24897</v>
      </c>
      <c r="BD8" s="111">
        <f t="shared" si="0"/>
        <v>24897</v>
      </c>
      <c r="BE8" s="45">
        <v>25948</v>
      </c>
      <c r="BF8" s="118">
        <v>28171</v>
      </c>
      <c r="BG8" s="118">
        <v>27289</v>
      </c>
      <c r="BH8" s="45">
        <v>27488</v>
      </c>
      <c r="BI8" s="111">
        <f t="shared" si="1"/>
        <v>27488</v>
      </c>
      <c r="BJ8" s="45">
        <v>28301</v>
      </c>
      <c r="BK8" s="45">
        <v>30747</v>
      </c>
      <c r="BL8" s="45">
        <v>29383</v>
      </c>
      <c r="BM8" s="45">
        <v>31532</v>
      </c>
      <c r="BN8" s="111">
        <f t="shared" si="2"/>
        <v>31532</v>
      </c>
      <c r="BO8" s="45">
        <v>33275</v>
      </c>
      <c r="BP8" s="45">
        <v>37840</v>
      </c>
      <c r="BQ8" s="45">
        <v>34048</v>
      </c>
      <c r="BR8" s="45">
        <f>37811-4233</f>
        <v>33578</v>
      </c>
      <c r="BS8" s="111">
        <f t="shared" si="3"/>
        <v>33578</v>
      </c>
      <c r="BT8" s="45">
        <v>35270</v>
      </c>
      <c r="BU8" s="45">
        <v>37936</v>
      </c>
      <c r="BV8" s="45">
        <v>35330</v>
      </c>
      <c r="BW8" s="45">
        <v>34562</v>
      </c>
      <c r="BX8" s="111">
        <f t="shared" si="4"/>
        <v>34562</v>
      </c>
      <c r="BY8" s="45">
        <v>38778</v>
      </c>
      <c r="BZ8" s="45">
        <f>44559-4454</f>
        <v>40105</v>
      </c>
      <c r="CA8" s="45">
        <v>36787</v>
      </c>
      <c r="CB8" s="45">
        <f>42501-3066</f>
        <v>39435</v>
      </c>
      <c r="CC8" s="111">
        <f t="shared" si="5"/>
        <v>39435</v>
      </c>
      <c r="CD8" s="45">
        <f>46654-3217</f>
        <v>43437</v>
      </c>
      <c r="CE8" s="45">
        <f>48092-3100</f>
        <v>44992</v>
      </c>
      <c r="CF8" s="45">
        <f>48218-3077</f>
        <v>45141</v>
      </c>
      <c r="CG8" s="45">
        <v>46840</v>
      </c>
      <c r="CH8" s="111">
        <f t="shared" si="6"/>
        <v>46840</v>
      </c>
      <c r="CI8" s="45">
        <v>52135</v>
      </c>
      <c r="CJ8" s="45">
        <v>55397</v>
      </c>
      <c r="CK8" s="45">
        <v>55570</v>
      </c>
      <c r="CL8" s="45">
        <v>52035</v>
      </c>
      <c r="CM8" s="111">
        <f t="shared" si="7"/>
        <v>52035</v>
      </c>
      <c r="CN8" s="45">
        <v>63390</v>
      </c>
      <c r="CO8" s="45">
        <v>67512</v>
      </c>
      <c r="CP8" s="45">
        <v>67439</v>
      </c>
      <c r="CQ8" s="45">
        <v>68166</v>
      </c>
      <c r="CR8" s="111">
        <f t="shared" si="8"/>
        <v>68166</v>
      </c>
      <c r="CS8" s="45">
        <f>CS55*IS!CS4</f>
        <v>63568.432785000005</v>
      </c>
      <c r="CT8" s="45">
        <f>CT55*IS!CT4</f>
        <v>65240.577600000004</v>
      </c>
      <c r="CU8" s="45">
        <f>CU55*IS!CU4</f>
        <v>67458.398304000002</v>
      </c>
      <c r="CV8" s="45">
        <f>CV55*IS!CV4</f>
        <v>68629.065119999999</v>
      </c>
      <c r="CW8" s="111">
        <f t="shared" si="9"/>
        <v>68629.065119999999</v>
      </c>
    </row>
    <row r="9" spans="1:101">
      <c r="B9" s="24"/>
      <c r="C9" t="s">
        <v>41</v>
      </c>
      <c r="E9" s="32"/>
      <c r="F9" s="32"/>
      <c r="I9" s="45"/>
      <c r="J9" s="45">
        <v>4058</v>
      </c>
      <c r="K9" s="50"/>
      <c r="L9" s="45"/>
      <c r="M9" s="45"/>
      <c r="N9" s="45"/>
      <c r="O9" s="45">
        <v>4126</v>
      </c>
      <c r="P9" s="50"/>
      <c r="Q9" s="45">
        <v>4259</v>
      </c>
      <c r="R9" s="45">
        <v>4569</v>
      </c>
      <c r="S9" s="45">
        <v>4581</v>
      </c>
      <c r="T9" s="101">
        <v>4720</v>
      </c>
      <c r="U9" s="32"/>
      <c r="V9" s="45">
        <v>4887</v>
      </c>
      <c r="W9" s="45">
        <v>5177</v>
      </c>
      <c r="X9" s="45">
        <v>5486</v>
      </c>
      <c r="Y9" s="45">
        <v>5748</v>
      </c>
      <c r="Z9" s="32"/>
      <c r="AA9" s="45">
        <v>6085</v>
      </c>
      <c r="AB9" s="45">
        <v>6509</v>
      </c>
      <c r="AC9" s="45">
        <v>6903</v>
      </c>
      <c r="AD9" s="45">
        <v>7346</v>
      </c>
      <c r="AE9" s="111">
        <f t="shared" si="10"/>
        <v>7346</v>
      </c>
      <c r="AF9" s="45">
        <v>7860</v>
      </c>
      <c r="AG9" s="45">
        <v>8288</v>
      </c>
      <c r="AH9" s="45">
        <v>8699</v>
      </c>
      <c r="AI9" s="45">
        <v>9048</v>
      </c>
      <c r="AJ9" s="111">
        <f t="shared" si="11"/>
        <v>9048</v>
      </c>
      <c r="AK9" s="45">
        <v>9539</v>
      </c>
      <c r="AL9" s="45">
        <v>10415</v>
      </c>
      <c r="AM9" s="45">
        <v>11132</v>
      </c>
      <c r="AN9" s="45">
        <v>12055</v>
      </c>
      <c r="AO9" s="111">
        <f t="shared" si="12"/>
        <v>12055</v>
      </c>
      <c r="AP9" s="45">
        <v>12911</v>
      </c>
      <c r="AQ9" s="45">
        <v>14003</v>
      </c>
      <c r="AR9" s="45">
        <v>14761</v>
      </c>
      <c r="AS9" s="45">
        <v>15086</v>
      </c>
      <c r="AT9" s="111">
        <f t="shared" si="13"/>
        <v>15086</v>
      </c>
      <c r="AU9" s="45">
        <v>15799</v>
      </c>
      <c r="AV9" s="76">
        <v>17278</v>
      </c>
      <c r="AW9" s="253">
        <v>18647</v>
      </c>
      <c r="AX9" s="45">
        <v>19224</v>
      </c>
      <c r="AY9" s="111">
        <f t="shared" si="14"/>
        <v>19224</v>
      </c>
      <c r="AZ9" s="45">
        <v>20908</v>
      </c>
      <c r="BA9" s="253">
        <v>21917</v>
      </c>
      <c r="BB9" s="253">
        <v>23326</v>
      </c>
      <c r="BC9" s="253">
        <v>25091</v>
      </c>
      <c r="BD9" s="111">
        <f t="shared" si="0"/>
        <v>25091</v>
      </c>
      <c r="BE9" s="253">
        <v>31318</v>
      </c>
      <c r="BF9" s="118">
        <v>32216</v>
      </c>
      <c r="BG9" s="118">
        <v>33134</v>
      </c>
      <c r="BH9" s="45">
        <v>34502</v>
      </c>
      <c r="BI9" s="111">
        <f t="shared" si="1"/>
        <v>34502</v>
      </c>
      <c r="BJ9" s="45">
        <v>34692</v>
      </c>
      <c r="BK9" s="45">
        <v>35087</v>
      </c>
      <c r="BL9" s="45">
        <v>34583</v>
      </c>
      <c r="BM9" s="45">
        <v>35274</v>
      </c>
      <c r="BN9" s="111">
        <f t="shared" si="2"/>
        <v>35274</v>
      </c>
      <c r="BO9" s="45">
        <v>35543</v>
      </c>
      <c r="BP9" s="45">
        <v>35797</v>
      </c>
      <c r="BQ9" s="45">
        <v>36562</v>
      </c>
      <c r="BR9" s="45">
        <v>37502</v>
      </c>
      <c r="BS9" s="111">
        <f t="shared" si="3"/>
        <v>37502</v>
      </c>
      <c r="BT9" s="45">
        <v>38666</v>
      </c>
      <c r="BU9" s="45">
        <v>40149</v>
      </c>
      <c r="BV9" s="45">
        <v>41593</v>
      </c>
      <c r="BW9" s="45">
        <v>44529</v>
      </c>
      <c r="BX9" s="111">
        <f t="shared" si="4"/>
        <v>44529</v>
      </c>
      <c r="BY9" s="45">
        <v>46710</v>
      </c>
      <c r="BZ9" s="45">
        <v>48294</v>
      </c>
      <c r="CA9" s="45">
        <v>50082</v>
      </c>
      <c r="CB9" s="45">
        <v>52755</v>
      </c>
      <c r="CC9" s="111">
        <f t="shared" si="5"/>
        <v>52755</v>
      </c>
      <c r="CD9" s="45">
        <v>53844</v>
      </c>
      <c r="CE9" s="45">
        <v>56250</v>
      </c>
      <c r="CF9" s="45">
        <v>59525</v>
      </c>
      <c r="CG9" s="45">
        <v>62403</v>
      </c>
      <c r="CH9" s="111">
        <f t="shared" si="6"/>
        <v>62403</v>
      </c>
      <c r="CI9" s="45">
        <v>63647</v>
      </c>
      <c r="CJ9" s="45">
        <v>64318</v>
      </c>
      <c r="CK9" s="45">
        <v>64665</v>
      </c>
      <c r="CL9" s="45">
        <v>65342</v>
      </c>
      <c r="CM9" s="111">
        <f t="shared" si="7"/>
        <v>65342</v>
      </c>
      <c r="CN9" s="45">
        <v>67107</v>
      </c>
      <c r="CO9" s="45">
        <v>66809</v>
      </c>
      <c r="CP9" s="45">
        <v>66510</v>
      </c>
      <c r="CQ9" s="45">
        <v>66693</v>
      </c>
      <c r="CR9" s="111">
        <f t="shared" si="8"/>
        <v>66693</v>
      </c>
      <c r="CS9" s="45">
        <f>CS56*IS!CS4</f>
        <v>75126.329654999994</v>
      </c>
      <c r="CT9" s="45">
        <f>CT56*IS!CT4</f>
        <v>77102.500800000009</v>
      </c>
      <c r="CU9" s="45">
        <f>CU56*IS!CU4</f>
        <v>79723.561632000012</v>
      </c>
      <c r="CV9" s="45">
        <f>CV56*IS!CV4</f>
        <v>81107.076959999991</v>
      </c>
      <c r="CW9" s="111">
        <f t="shared" si="9"/>
        <v>81107.076959999991</v>
      </c>
    </row>
    <row r="10" spans="1:101">
      <c r="B10" s="24"/>
      <c r="C10" t="s">
        <v>42</v>
      </c>
      <c r="E10" s="32"/>
      <c r="F10" s="32"/>
      <c r="I10" s="45"/>
      <c r="J10" s="45">
        <v>785</v>
      </c>
      <c r="K10" s="50"/>
      <c r="L10" s="45"/>
      <c r="M10" s="45"/>
      <c r="N10" s="45"/>
      <c r="O10" s="45">
        <v>1440</v>
      </c>
      <c r="P10" s="50"/>
      <c r="Q10" s="64">
        <v>2013</v>
      </c>
      <c r="R10" s="45">
        <v>957</v>
      </c>
      <c r="S10" s="45">
        <v>991</v>
      </c>
      <c r="T10" s="101">
        <v>874</v>
      </c>
      <c r="U10" s="32"/>
      <c r="V10" s="64">
        <v>1234</v>
      </c>
      <c r="W10" s="45">
        <v>1564</v>
      </c>
      <c r="X10" s="45">
        <v>1233</v>
      </c>
      <c r="Y10" s="45">
        <f>783+1765</f>
        <v>2548</v>
      </c>
      <c r="Z10" s="32"/>
      <c r="AA10" s="45">
        <f>782+1896</f>
        <v>2678</v>
      </c>
      <c r="AB10" s="45">
        <f>782+1604</f>
        <v>2386</v>
      </c>
      <c r="AC10" s="45">
        <f>782+2398</f>
        <v>3180</v>
      </c>
      <c r="AD10" s="45">
        <f>1732+5443</f>
        <v>7175</v>
      </c>
      <c r="AE10" s="111">
        <f t="shared" si="10"/>
        <v>7175</v>
      </c>
      <c r="AF10" s="45">
        <f>1732+2713</f>
        <v>4445</v>
      </c>
      <c r="AG10" s="45">
        <f>1732+2966</f>
        <v>4698</v>
      </c>
      <c r="AH10" s="45">
        <f>1732+2848</f>
        <v>4580</v>
      </c>
      <c r="AI10" s="45">
        <f>1272+2850</f>
        <v>4122</v>
      </c>
      <c r="AJ10" s="111">
        <f t="shared" si="11"/>
        <v>4122</v>
      </c>
      <c r="AK10" s="45">
        <f>1272+2797</f>
        <v>4069</v>
      </c>
      <c r="AL10" s="45">
        <f>1272+3346</f>
        <v>4618</v>
      </c>
      <c r="AM10" s="45">
        <f>1272+3824</f>
        <v>5096</v>
      </c>
      <c r="AN10" s="45">
        <f>76+3846</f>
        <v>3922</v>
      </c>
      <c r="AO10" s="111">
        <f t="shared" si="12"/>
        <v>3922</v>
      </c>
      <c r="AP10" s="45">
        <f>76+3797</f>
        <v>3873</v>
      </c>
      <c r="AQ10" s="45">
        <f>76+6393</f>
        <v>6469</v>
      </c>
      <c r="AR10" s="45">
        <f>76+5688</f>
        <v>5764</v>
      </c>
      <c r="AS10" s="45">
        <v>5030</v>
      </c>
      <c r="AT10" s="111">
        <f t="shared" si="13"/>
        <v>5030</v>
      </c>
      <c r="AU10" s="45">
        <v>5529</v>
      </c>
      <c r="AV10" s="76">
        <v>7540</v>
      </c>
      <c r="AW10" s="253">
        <v>7323</v>
      </c>
      <c r="AX10" s="45">
        <v>7010</v>
      </c>
      <c r="AY10" s="111">
        <f t="shared" si="14"/>
        <v>7010</v>
      </c>
      <c r="AZ10" s="45">
        <v>6992</v>
      </c>
      <c r="BA10" s="253">
        <v>6955</v>
      </c>
      <c r="BB10" s="253">
        <v>5853</v>
      </c>
      <c r="BC10" s="253">
        <v>6149</v>
      </c>
      <c r="BD10" s="111">
        <f t="shared" si="0"/>
        <v>6149</v>
      </c>
      <c r="BE10" s="253">
        <v>5696</v>
      </c>
      <c r="BF10" s="118">
        <v>6762</v>
      </c>
      <c r="BG10" s="118">
        <v>6613</v>
      </c>
      <c r="BH10" s="45">
        <v>9229</v>
      </c>
      <c r="BI10" s="111">
        <f t="shared" si="1"/>
        <v>9229</v>
      </c>
      <c r="BJ10" s="45">
        <v>8858</v>
      </c>
      <c r="BK10" s="45">
        <v>8265</v>
      </c>
      <c r="BL10" s="45">
        <v>8385</v>
      </c>
      <c r="BM10" s="45">
        <v>11279</v>
      </c>
      <c r="BN10" s="111">
        <f t="shared" si="2"/>
        <v>11279</v>
      </c>
      <c r="BO10" s="45">
        <f>9417-2939</f>
        <v>6478</v>
      </c>
      <c r="BP10" s="45">
        <f>8378-3663</f>
        <v>4715</v>
      </c>
      <c r="BQ10" s="45">
        <f>8927-3759</f>
        <v>5168</v>
      </c>
      <c r="BR10" s="45">
        <v>12312</v>
      </c>
      <c r="BS10" s="111">
        <f t="shared" si="3"/>
        <v>12312</v>
      </c>
      <c r="BT10" s="45">
        <v>14490</v>
      </c>
      <c r="BU10" s="45">
        <v>11711</v>
      </c>
      <c r="BV10" s="45">
        <v>14346</v>
      </c>
      <c r="BW10" s="45">
        <v>16042</v>
      </c>
      <c r="BX10" s="111">
        <f t="shared" si="4"/>
        <v>16042</v>
      </c>
      <c r="BY10" s="45">
        <v>22923</v>
      </c>
      <c r="BZ10" s="45">
        <v>17912</v>
      </c>
      <c r="CA10" s="45">
        <v>15246</v>
      </c>
      <c r="CB10" s="45">
        <v>16319</v>
      </c>
      <c r="CC10" s="111">
        <f t="shared" si="5"/>
        <v>16319</v>
      </c>
      <c r="CD10" s="45">
        <v>15651</v>
      </c>
      <c r="CE10" s="45">
        <v>13556</v>
      </c>
      <c r="CF10" s="45">
        <v>15743</v>
      </c>
      <c r="CG10" s="45">
        <v>16758</v>
      </c>
      <c r="CH10" s="111">
        <f t="shared" si="6"/>
        <v>16758</v>
      </c>
      <c r="CI10" s="45">
        <v>13695</v>
      </c>
      <c r="CJ10" s="45">
        <v>15437</v>
      </c>
      <c r="CK10" s="45">
        <v>18639</v>
      </c>
      <c r="CL10" s="45">
        <v>23513</v>
      </c>
      <c r="CM10" s="111">
        <f t="shared" si="7"/>
        <v>23513</v>
      </c>
      <c r="CN10" s="45">
        <v>26417</v>
      </c>
      <c r="CO10" s="45">
        <v>27453</v>
      </c>
      <c r="CP10" s="45">
        <v>47947</v>
      </c>
      <c r="CQ10" s="45">
        <v>49090</v>
      </c>
      <c r="CR10" s="111">
        <f t="shared" si="8"/>
        <v>49090</v>
      </c>
      <c r="CS10" s="45">
        <f>CS57*IS!CS4</f>
        <v>19263.16145</v>
      </c>
      <c r="CT10" s="45">
        <f>CT57*IS!CT4</f>
        <v>19769.872000000003</v>
      </c>
      <c r="CU10" s="45">
        <f>CU57*IS!CU4</f>
        <v>20441.938880000002</v>
      </c>
      <c r="CV10" s="45">
        <f>CV57*IS!CV4</f>
        <v>20796.686399999999</v>
      </c>
      <c r="CW10" s="111">
        <f t="shared" si="9"/>
        <v>20796.686399999999</v>
      </c>
    </row>
    <row r="11" spans="1:101" s="1" customFormat="1" ht="13.15">
      <c r="B11" s="14" t="s">
        <v>43</v>
      </c>
      <c r="E11" s="52"/>
      <c r="F11" s="52"/>
      <c r="I11" s="44"/>
      <c r="J11" s="44">
        <f>SUM(J6:J10)</f>
        <v>13122</v>
      </c>
      <c r="K11" s="49"/>
      <c r="L11" s="44">
        <f>SUM(L6:L10)</f>
        <v>0</v>
      </c>
      <c r="M11" s="44">
        <f>SUM(M6:M10)</f>
        <v>0</v>
      </c>
      <c r="N11" s="44">
        <f>SUM(N6:N10)</f>
        <v>0</v>
      </c>
      <c r="O11" s="44">
        <f>SUM(O6:O10)</f>
        <v>16263</v>
      </c>
      <c r="P11" s="49"/>
      <c r="Q11" s="44">
        <f>SUM(Q6:Q10)</f>
        <v>17393</v>
      </c>
      <c r="R11" s="44">
        <f>SUM(R6:R10)</f>
        <v>48486</v>
      </c>
      <c r="S11" s="44">
        <f>SUM(S6:S10)</f>
        <v>50202</v>
      </c>
      <c r="T11" s="102">
        <f>SUM(T6:T10)</f>
        <v>51641</v>
      </c>
      <c r="U11" s="49"/>
      <c r="V11" s="44">
        <f>SUM(V6:V10)</f>
        <v>52924</v>
      </c>
      <c r="W11" s="44">
        <f>SUM(W6:W10)</f>
        <v>43882</v>
      </c>
      <c r="X11" s="44">
        <f>SUM(X6:X10)</f>
        <v>45960</v>
      </c>
      <c r="Y11" s="44">
        <f>SUM(Y6:Y10)</f>
        <v>48239</v>
      </c>
      <c r="Z11" s="49"/>
      <c r="AA11" s="44">
        <f>SUM(AA6:AA10)</f>
        <v>49807</v>
      </c>
      <c r="AB11" s="44">
        <f>SUM(AB6:AB10)</f>
        <v>53425</v>
      </c>
      <c r="AC11" s="44">
        <f>SUM(AC6:AC10)</f>
        <v>89944</v>
      </c>
      <c r="AD11" s="44">
        <f>SUM(AD6:AD10)</f>
        <v>91511</v>
      </c>
      <c r="AE11" s="111">
        <f t="shared" si="10"/>
        <v>91511</v>
      </c>
      <c r="AF11" s="44">
        <f>SUM(AF6:AF10)</f>
        <v>95652</v>
      </c>
      <c r="AG11" s="44">
        <f>SUM(AG6:AG10)</f>
        <v>99827</v>
      </c>
      <c r="AH11" s="44">
        <f>SUM(AH6:AH10)</f>
        <v>105240</v>
      </c>
      <c r="AI11" s="44">
        <f>SUM(AI6:AI10)</f>
        <v>156075</v>
      </c>
      <c r="AJ11" s="166">
        <f t="shared" si="11"/>
        <v>156075</v>
      </c>
      <c r="AK11" s="44">
        <f>SUM(AK6:AK10)</f>
        <v>160377</v>
      </c>
      <c r="AL11" s="44">
        <f>SUM(AL6:AL10)</f>
        <v>164889</v>
      </c>
      <c r="AM11" s="44">
        <f>SUM(AM6:AM10)</f>
        <v>170644</v>
      </c>
      <c r="AN11" s="44">
        <f>SUM(AN6:AN10)</f>
        <v>162194</v>
      </c>
      <c r="AO11" s="166">
        <f t="shared" si="12"/>
        <v>162194</v>
      </c>
      <c r="AP11" s="44">
        <f>SUM(AP6:AP10)</f>
        <v>166157</v>
      </c>
      <c r="AQ11" s="44">
        <f>SUM(AQ6:AQ10)</f>
        <v>159071</v>
      </c>
      <c r="AR11" s="44">
        <f>SUM(AR6:AR10)</f>
        <v>161371</v>
      </c>
      <c r="AS11" s="44">
        <f>SUM(AS6:AS10)</f>
        <v>166786</v>
      </c>
      <c r="AT11" s="166">
        <f t="shared" si="13"/>
        <v>166786</v>
      </c>
      <c r="AU11" s="44">
        <f>SUM(AU6:AU10)</f>
        <v>162653</v>
      </c>
      <c r="AV11" s="44">
        <f>SUM(AV6:AV10)</f>
        <v>173420</v>
      </c>
      <c r="AW11" s="44">
        <f>SUM(AW6:AW10)</f>
        <v>172582</v>
      </c>
      <c r="AX11" s="44">
        <f>SUM(AX6:AX10)</f>
        <v>185933</v>
      </c>
      <c r="AY11" s="166">
        <f t="shared" si="14"/>
        <v>185933</v>
      </c>
      <c r="AZ11" s="44">
        <f>SUM(AZ6:AZ10)</f>
        <v>204840</v>
      </c>
      <c r="BA11" s="44">
        <f>SUM(BA6:BA10)</f>
        <v>209057</v>
      </c>
      <c r="BB11" s="44">
        <f>SUM(BB6:BB10)</f>
        <v>217207</v>
      </c>
      <c r="BC11" s="44">
        <f>SUM(BC6:BC10)</f>
        <v>219456</v>
      </c>
      <c r="BD11" s="166">
        <f t="shared" si="0"/>
        <v>219456</v>
      </c>
      <c r="BE11" s="44">
        <f>SUM(BE6:BE10)</f>
        <v>228781</v>
      </c>
      <c r="BF11" s="120">
        <f>SUM(BF6:BF10)</f>
        <v>239886</v>
      </c>
      <c r="BG11" s="120">
        <f>SUM(BG6:BG10)</f>
        <v>256438</v>
      </c>
      <c r="BH11" s="44">
        <f>SUM(BH6:BH10)</f>
        <v>249615</v>
      </c>
      <c r="BI11" s="166">
        <f t="shared" si="1"/>
        <v>249615</v>
      </c>
      <c r="BJ11" s="44">
        <f>SUM(BJ6:BJ10)</f>
        <v>257249</v>
      </c>
      <c r="BK11" s="44">
        <f>SUM(BK6:BK10)</f>
        <v>272773</v>
      </c>
      <c r="BL11" s="44">
        <f>SUM(BL6:BL10)</f>
        <v>273524</v>
      </c>
      <c r="BM11" s="44">
        <f>SUM(BM6:BM10)</f>
        <v>291621</v>
      </c>
      <c r="BN11" s="166">
        <f t="shared" si="2"/>
        <v>291621</v>
      </c>
      <c r="BO11" s="44">
        <f>SUM(BO6:BO10)</f>
        <v>289854</v>
      </c>
      <c r="BP11" s="44">
        <f>SUM(BP6:BP10)</f>
        <v>303977</v>
      </c>
      <c r="BQ11" s="44">
        <f>SUM(BQ6:BQ10)</f>
        <v>337008</v>
      </c>
      <c r="BR11" s="44">
        <f>SUM(BR6:BR10)</f>
        <v>270870</v>
      </c>
      <c r="BS11" s="166">
        <f t="shared" si="3"/>
        <v>270870</v>
      </c>
      <c r="BT11" s="44">
        <f>SUM(BT6:BT10)</f>
        <v>296874</v>
      </c>
      <c r="BU11" s="44">
        <f>SUM(BU6:BU10)</f>
        <v>323162</v>
      </c>
      <c r="BV11" s="44">
        <f>SUM(BV6:BV10)</f>
        <v>343255</v>
      </c>
      <c r="BW11" s="44">
        <f>SUM(BW6:BW10)</f>
        <v>352443</v>
      </c>
      <c r="BX11" s="166">
        <f t="shared" si="4"/>
        <v>352443</v>
      </c>
      <c r="BY11" s="44">
        <f>SUM(BY6:BY10)</f>
        <v>351467</v>
      </c>
      <c r="BZ11" s="44">
        <f>SUM(BZ6:BZ10)</f>
        <v>365549</v>
      </c>
      <c r="CA11" s="44">
        <f>SUM(CA6:CA10)</f>
        <v>339273</v>
      </c>
      <c r="CB11" s="44">
        <f>SUM(CB6:CB10)</f>
        <v>322814</v>
      </c>
      <c r="CC11" s="166">
        <f t="shared" si="5"/>
        <v>322814</v>
      </c>
      <c r="CD11" s="44">
        <f>SUM(CD6:CD10)</f>
        <v>346382</v>
      </c>
      <c r="CE11" s="44">
        <f>SUM(CE6:CE10)</f>
        <v>384976</v>
      </c>
      <c r="CF11" s="44">
        <f>SUM(CF6:CF10)</f>
        <v>359739</v>
      </c>
      <c r="CG11" s="44">
        <f>SUM(CG6:CG10)</f>
        <v>401441</v>
      </c>
      <c r="CH11" s="166">
        <f t="shared" si="6"/>
        <v>401441</v>
      </c>
      <c r="CI11" s="44">
        <f>SUM(CI6:CI10)</f>
        <v>420288</v>
      </c>
      <c r="CJ11" s="44">
        <f>SUM(CJ6:CJ10)</f>
        <v>406938</v>
      </c>
      <c r="CK11" s="44">
        <f>SUM(CK6:CK10)</f>
        <v>344647</v>
      </c>
      <c r="CL11" s="44">
        <f>SUM(CL6:CL10)</f>
        <v>381907</v>
      </c>
      <c r="CM11" s="166">
        <f t="shared" si="7"/>
        <v>381907</v>
      </c>
      <c r="CN11" s="44">
        <f>SUM(CN6:CN10)</f>
        <v>251835</v>
      </c>
      <c r="CO11" s="44">
        <f>SUM(CO6:CO10)</f>
        <v>269377</v>
      </c>
      <c r="CP11" s="44">
        <f>SUM(CP6:CP10)</f>
        <v>315621</v>
      </c>
      <c r="CQ11" s="44">
        <f>SUM(CQ6:CQ10)</f>
        <v>335304</v>
      </c>
      <c r="CR11" s="166">
        <f t="shared" si="8"/>
        <v>335304</v>
      </c>
      <c r="CS11" s="44">
        <f>SUM(CS6:CS10)</f>
        <v>397461.48090050003</v>
      </c>
      <c r="CT11" s="44">
        <f>SUM(CT6:CT10)</f>
        <v>452311.48769650003</v>
      </c>
      <c r="CU11" s="44">
        <f>SUM(CU6:CU10)</f>
        <v>510182.99621674011</v>
      </c>
      <c r="CV11" s="44">
        <f>SUM(CV6:CV10)</f>
        <v>567093.87755783217</v>
      </c>
      <c r="CW11" s="166">
        <f t="shared" si="9"/>
        <v>567093.87755783217</v>
      </c>
    </row>
    <row r="12" spans="1:101">
      <c r="B12" s="24"/>
      <c r="C12" t="s">
        <v>44</v>
      </c>
      <c r="E12" s="32"/>
      <c r="F12" s="32"/>
      <c r="I12" s="45"/>
      <c r="J12" s="45">
        <v>2809</v>
      </c>
      <c r="K12" s="50"/>
      <c r="L12" s="45"/>
      <c r="M12" s="45"/>
      <c r="N12" s="45"/>
      <c r="O12" s="45">
        <v>2520</v>
      </c>
      <c r="P12" s="50"/>
      <c r="Q12" s="45">
        <v>2311</v>
      </c>
      <c r="R12" s="45">
        <v>2989</v>
      </c>
      <c r="S12" s="45">
        <v>2602</v>
      </c>
      <c r="T12" s="101">
        <v>2760</v>
      </c>
      <c r="U12" s="50"/>
      <c r="V12" s="45">
        <v>2826</v>
      </c>
      <c r="W12" s="45">
        <v>2896</v>
      </c>
      <c r="X12" s="45">
        <v>3082</v>
      </c>
      <c r="Y12" s="45">
        <v>3382</v>
      </c>
      <c r="Z12" s="50"/>
      <c r="AA12" s="45">
        <v>3420</v>
      </c>
      <c r="AB12" s="45">
        <v>4028</v>
      </c>
      <c r="AC12" s="45">
        <v>5567</v>
      </c>
      <c r="AD12" s="45">
        <v>7670</v>
      </c>
      <c r="AE12" s="111">
        <f t="shared" si="10"/>
        <v>7670</v>
      </c>
      <c r="AF12" s="45">
        <v>7589</v>
      </c>
      <c r="AG12" s="45">
        <v>9319</v>
      </c>
      <c r="AH12" s="45">
        <v>10557</v>
      </c>
      <c r="AI12" s="45">
        <v>9922</v>
      </c>
      <c r="AJ12" s="111">
        <f t="shared" si="11"/>
        <v>9922</v>
      </c>
      <c r="AK12" s="45">
        <v>9479</v>
      </c>
      <c r="AL12" s="45">
        <v>9036</v>
      </c>
      <c r="AM12" s="45">
        <v>8619</v>
      </c>
      <c r="AN12" s="45">
        <v>11361</v>
      </c>
      <c r="AO12" s="111">
        <f t="shared" si="12"/>
        <v>11361</v>
      </c>
      <c r="AP12" s="45">
        <v>12088</v>
      </c>
      <c r="AQ12" s="45">
        <v>12952</v>
      </c>
      <c r="AR12" s="45">
        <v>13079</v>
      </c>
      <c r="AS12" s="118">
        <v>13620</v>
      </c>
      <c r="AT12" s="111">
        <f t="shared" si="13"/>
        <v>13620</v>
      </c>
      <c r="AU12" s="76">
        <v>13972</v>
      </c>
      <c r="AV12" s="76">
        <v>13932</v>
      </c>
      <c r="AW12" s="253">
        <v>14830</v>
      </c>
      <c r="AX12" s="253">
        <v>15314</v>
      </c>
      <c r="AY12" s="111">
        <f t="shared" si="14"/>
        <v>15314</v>
      </c>
      <c r="AZ12" s="253">
        <v>15066</v>
      </c>
      <c r="BA12" s="253">
        <v>15527</v>
      </c>
      <c r="BB12" s="253">
        <v>15616</v>
      </c>
      <c r="BC12" s="253">
        <v>16856</v>
      </c>
      <c r="BD12" s="111">
        <f t="shared" si="0"/>
        <v>16856</v>
      </c>
      <c r="BE12" s="253">
        <v>17304</v>
      </c>
      <c r="BF12" s="118">
        <v>18136</v>
      </c>
      <c r="BG12" s="118">
        <v>19368</v>
      </c>
      <c r="BH12" s="45">
        <v>20957</v>
      </c>
      <c r="BI12" s="111">
        <f t="shared" si="1"/>
        <v>20957</v>
      </c>
      <c r="BJ12" s="45">
        <v>20710</v>
      </c>
      <c r="BK12" s="45">
        <v>20597</v>
      </c>
      <c r="BL12" s="45">
        <v>20757</v>
      </c>
      <c r="BM12" s="45">
        <v>23752</v>
      </c>
      <c r="BN12" s="111">
        <f t="shared" si="2"/>
        <v>23752</v>
      </c>
      <c r="BO12" s="45">
        <f>24035</f>
        <v>24035</v>
      </c>
      <c r="BP12" s="45">
        <v>25510</v>
      </c>
      <c r="BQ12" s="45">
        <v>25053</v>
      </c>
      <c r="BR12" s="45">
        <v>26432</v>
      </c>
      <c r="BS12" s="111">
        <f t="shared" si="3"/>
        <v>26432</v>
      </c>
      <c r="BT12" s="45">
        <v>26606</v>
      </c>
      <c r="BU12" s="64">
        <v>29046</v>
      </c>
      <c r="BV12" s="45">
        <v>31036</v>
      </c>
      <c r="BW12" s="45">
        <v>31901</v>
      </c>
      <c r="BX12" s="111">
        <f t="shared" si="4"/>
        <v>31901</v>
      </c>
      <c r="BY12" s="45">
        <v>32261</v>
      </c>
      <c r="BZ12" s="45">
        <v>32000</v>
      </c>
      <c r="CA12" s="45">
        <v>32923</v>
      </c>
      <c r="CB12" s="45">
        <v>35458</v>
      </c>
      <c r="CC12" s="111">
        <f t="shared" si="5"/>
        <v>35458</v>
      </c>
      <c r="CD12" s="45">
        <v>35078</v>
      </c>
      <c r="CE12" s="45">
        <v>35211</v>
      </c>
      <c r="CF12" s="45">
        <v>36209</v>
      </c>
      <c r="CG12" s="45">
        <v>36043</v>
      </c>
      <c r="CH12" s="111">
        <f t="shared" si="6"/>
        <v>36043</v>
      </c>
      <c r="CI12" s="45">
        <v>34971</v>
      </c>
      <c r="CJ12" s="45">
        <v>35083</v>
      </c>
      <c r="CK12" s="45">
        <v>36148</v>
      </c>
      <c r="CL12" s="45">
        <v>37547</v>
      </c>
      <c r="CM12" s="111">
        <f t="shared" si="7"/>
        <v>37547</v>
      </c>
      <c r="CN12" s="45">
        <v>38687</v>
      </c>
      <c r="CO12" s="45">
        <v>40150</v>
      </c>
      <c r="CP12" s="45">
        <v>41448</v>
      </c>
      <c r="CQ12" s="45">
        <v>43117</v>
      </c>
      <c r="CR12" s="111">
        <f t="shared" si="8"/>
        <v>43117</v>
      </c>
      <c r="CS12" s="45">
        <f>CR12-CF!CS33-CF!CS9</f>
        <v>45089.714999999997</v>
      </c>
      <c r="CT12" s="45">
        <f>CS12-CF!CT33-CF!CT9</f>
        <v>45998.590339999995</v>
      </c>
      <c r="CU12" s="45">
        <f>CT12-CF!CU33-CF!CU9</f>
        <v>46794.765137839997</v>
      </c>
      <c r="CV12" s="45">
        <f>CU12-CF!CV33-CF!CV9</f>
        <v>47492.214260747838</v>
      </c>
      <c r="CW12" s="111">
        <f t="shared" si="9"/>
        <v>47492.214260747838</v>
      </c>
    </row>
    <row r="13" spans="1:101">
      <c r="B13" s="24"/>
      <c r="C13" t="s">
        <v>346</v>
      </c>
      <c r="E13" s="32"/>
      <c r="F13" s="32"/>
      <c r="I13" s="45"/>
      <c r="J13" s="45"/>
      <c r="K13" s="50"/>
      <c r="L13" s="45"/>
      <c r="M13" s="45"/>
      <c r="N13" s="45"/>
      <c r="O13" s="45"/>
      <c r="P13" s="50"/>
      <c r="Q13" s="45"/>
      <c r="R13" s="45"/>
      <c r="S13" s="45"/>
      <c r="T13" s="101"/>
      <c r="U13" s="50"/>
      <c r="V13" s="76"/>
      <c r="W13" s="45"/>
      <c r="X13" s="45"/>
      <c r="Y13" s="45"/>
      <c r="Z13" s="50"/>
      <c r="AA13" s="118"/>
      <c r="AB13" s="118"/>
      <c r="AC13" s="45"/>
      <c r="AD13" s="45"/>
      <c r="AE13" s="111"/>
      <c r="AF13" s="76"/>
      <c r="AG13" s="76"/>
      <c r="AH13" s="76"/>
      <c r="AI13" s="76"/>
      <c r="AJ13" s="111"/>
      <c r="AK13" s="76"/>
      <c r="AL13" s="45"/>
      <c r="AM13" s="45"/>
      <c r="AN13" s="76"/>
      <c r="AO13" s="111"/>
      <c r="AP13" s="118"/>
      <c r="AQ13" s="45"/>
      <c r="AR13" s="45"/>
      <c r="AS13" s="118"/>
      <c r="AT13" s="111"/>
      <c r="AU13" s="76"/>
      <c r="AV13" s="76"/>
      <c r="AW13" s="253"/>
      <c r="AX13" s="253"/>
      <c r="AY13" s="111"/>
      <c r="AZ13" s="253"/>
      <c r="BA13" s="253"/>
      <c r="BB13" s="253"/>
      <c r="BC13" s="253"/>
      <c r="BD13" s="111"/>
      <c r="BE13" s="253"/>
      <c r="BF13" s="118"/>
      <c r="BG13" s="118"/>
      <c r="BH13" s="45"/>
      <c r="BI13" s="111"/>
      <c r="BJ13" s="45">
        <v>15234</v>
      </c>
      <c r="BK13" s="45">
        <v>14038</v>
      </c>
      <c r="BL13" s="45">
        <f>13648</f>
        <v>13648</v>
      </c>
      <c r="BM13" s="45">
        <v>15744</v>
      </c>
      <c r="BN13" s="111">
        <f>BM13</f>
        <v>15744</v>
      </c>
      <c r="BO13" s="45">
        <v>15170</v>
      </c>
      <c r="BP13" s="45">
        <v>14839</v>
      </c>
      <c r="BQ13" s="45">
        <v>14092</v>
      </c>
      <c r="BR13" s="45">
        <v>15581</v>
      </c>
      <c r="BS13" s="111">
        <f t="shared" ref="BS13:BX13" si="15">BR13</f>
        <v>15581</v>
      </c>
      <c r="BT13" s="45">
        <v>15296</v>
      </c>
      <c r="BU13" s="45">
        <v>13352</v>
      </c>
      <c r="BV13" s="45">
        <v>12665</v>
      </c>
      <c r="BW13" s="45">
        <v>10851</v>
      </c>
      <c r="BX13" s="111">
        <f t="shared" si="15"/>
        <v>10851</v>
      </c>
      <c r="BY13" s="45">
        <v>10248</v>
      </c>
      <c r="BZ13" s="45">
        <v>9578</v>
      </c>
      <c r="CA13" s="45">
        <v>9760</v>
      </c>
      <c r="CB13" s="45">
        <v>9170</v>
      </c>
      <c r="CC13" s="111">
        <f t="shared" si="5"/>
        <v>9170</v>
      </c>
      <c r="CD13" s="45">
        <v>8451</v>
      </c>
      <c r="CE13" s="45">
        <v>7973</v>
      </c>
      <c r="CF13" s="45">
        <v>8315</v>
      </c>
      <c r="CG13" s="45">
        <v>7862</v>
      </c>
      <c r="CH13" s="111">
        <f t="shared" si="6"/>
        <v>7862</v>
      </c>
      <c r="CI13" s="45">
        <v>7285</v>
      </c>
      <c r="CJ13" s="45">
        <v>7076</v>
      </c>
      <c r="CK13" s="45">
        <v>8412</v>
      </c>
      <c r="CL13" s="45">
        <v>8192</v>
      </c>
      <c r="CM13" s="111">
        <f t="shared" si="7"/>
        <v>8192</v>
      </c>
      <c r="CN13" s="45">
        <v>8424</v>
      </c>
      <c r="CO13" s="45">
        <v>7395</v>
      </c>
      <c r="CP13" s="45">
        <v>6723</v>
      </c>
      <c r="CQ13" s="45">
        <v>5025</v>
      </c>
      <c r="CR13" s="111">
        <f t="shared" si="8"/>
        <v>5025</v>
      </c>
      <c r="CS13" s="45">
        <f>CR13</f>
        <v>5025</v>
      </c>
      <c r="CT13" s="45">
        <f>CS13</f>
        <v>5025</v>
      </c>
      <c r="CU13" s="45">
        <f t="shared" ref="CU13" si="16">CT13</f>
        <v>5025</v>
      </c>
      <c r="CV13" s="45">
        <f t="shared" ref="CV13" si="17">CU13</f>
        <v>5025</v>
      </c>
      <c r="CW13" s="111">
        <f t="shared" si="9"/>
        <v>5025</v>
      </c>
    </row>
    <row r="14" spans="1:101">
      <c r="A14" s="533"/>
      <c r="B14" s="534"/>
      <c r="C14" s="533" t="s">
        <v>45</v>
      </c>
      <c r="D14" s="533"/>
      <c r="E14" s="535"/>
      <c r="F14" s="535"/>
      <c r="G14" s="533"/>
      <c r="H14" s="533"/>
      <c r="I14" s="523"/>
      <c r="J14" s="523">
        <v>1166</v>
      </c>
      <c r="K14" s="536"/>
      <c r="L14" s="523"/>
      <c r="M14" s="523"/>
      <c r="N14" s="523"/>
      <c r="O14" s="523">
        <v>1166</v>
      </c>
      <c r="P14" s="536"/>
      <c r="Q14" s="523">
        <v>1166</v>
      </c>
      <c r="R14" s="523">
        <f t="shared" ref="R14:T15" si="18">Q14</f>
        <v>1166</v>
      </c>
      <c r="S14" s="523">
        <v>1166</v>
      </c>
      <c r="T14" s="523">
        <v>1166</v>
      </c>
      <c r="U14" s="536"/>
      <c r="V14" s="523">
        <v>1166</v>
      </c>
      <c r="W14" s="523">
        <v>5877</v>
      </c>
      <c r="X14" s="523">
        <f>W14</f>
        <v>5877</v>
      </c>
      <c r="Y14" s="523">
        <v>5853</v>
      </c>
      <c r="Z14" s="536"/>
      <c r="AA14" s="523">
        <v>5853</v>
      </c>
      <c r="AB14" s="523">
        <v>5853</v>
      </c>
      <c r="AC14" s="523">
        <v>25487</v>
      </c>
      <c r="AD14" s="523">
        <v>25487</v>
      </c>
      <c r="AE14" s="537">
        <f t="shared" si="10"/>
        <v>25487</v>
      </c>
      <c r="AF14" s="523">
        <v>25487</v>
      </c>
      <c r="AG14" s="523">
        <v>25487</v>
      </c>
      <c r="AH14" s="523">
        <v>25487</v>
      </c>
      <c r="AI14" s="523">
        <v>25487</v>
      </c>
      <c r="AJ14" s="537">
        <f t="shared" si="11"/>
        <v>25487</v>
      </c>
      <c r="AK14" s="523">
        <v>25487</v>
      </c>
      <c r="AL14" s="523">
        <f>AK14</f>
        <v>25487</v>
      </c>
      <c r="AM14" s="523">
        <v>25487</v>
      </c>
      <c r="AN14" s="523">
        <v>34854</v>
      </c>
      <c r="AO14" s="537">
        <f t="shared" si="12"/>
        <v>34854</v>
      </c>
      <c r="AP14" s="523">
        <v>34210</v>
      </c>
      <c r="AQ14" s="523">
        <v>34303</v>
      </c>
      <c r="AR14" s="523">
        <v>33527</v>
      </c>
      <c r="AS14" s="523">
        <v>33848</v>
      </c>
      <c r="AT14" s="537">
        <f t="shared" si="13"/>
        <v>33848</v>
      </c>
      <c r="AU14" s="523">
        <v>50921</v>
      </c>
      <c r="AV14" s="523">
        <v>50852</v>
      </c>
      <c r="AW14" s="523">
        <v>51005</v>
      </c>
      <c r="AX14" s="523">
        <v>49777</v>
      </c>
      <c r="AY14" s="537">
        <f t="shared" si="14"/>
        <v>49777</v>
      </c>
      <c r="AZ14" s="523">
        <v>50289</v>
      </c>
      <c r="BA14" s="523">
        <v>50766</v>
      </c>
      <c r="BB14" s="523">
        <v>51783</v>
      </c>
      <c r="BC14" s="523">
        <v>51613</v>
      </c>
      <c r="BD14" s="537">
        <f t="shared" si="0"/>
        <v>51613</v>
      </c>
      <c r="BE14" s="523">
        <v>51030</v>
      </c>
      <c r="BF14" s="523">
        <v>50403</v>
      </c>
      <c r="BG14" s="523">
        <v>50502</v>
      </c>
      <c r="BH14" s="523">
        <v>69658</v>
      </c>
      <c r="BI14" s="537">
        <f t="shared" si="1"/>
        <v>69658</v>
      </c>
      <c r="BJ14" s="523">
        <v>70075</v>
      </c>
      <c r="BK14" s="523">
        <v>70300</v>
      </c>
      <c r="BL14" s="523">
        <v>76366</v>
      </c>
      <c r="BM14" s="523">
        <v>76845</v>
      </c>
      <c r="BN14" s="537">
        <f t="shared" si="2"/>
        <v>76845</v>
      </c>
      <c r="BO14" s="523">
        <v>74463</v>
      </c>
      <c r="BP14" s="523">
        <v>75883</v>
      </c>
      <c r="BQ14" s="523">
        <v>76543</v>
      </c>
      <c r="BR14" s="523">
        <v>135253</v>
      </c>
      <c r="BS14" s="537">
        <f t="shared" si="3"/>
        <v>135253</v>
      </c>
      <c r="BT14" s="523">
        <v>135263</v>
      </c>
      <c r="BU14" s="523">
        <v>135354</v>
      </c>
      <c r="BV14" s="523">
        <v>134680</v>
      </c>
      <c r="BW14" s="523">
        <v>143663</v>
      </c>
      <c r="BX14" s="537">
        <f t="shared" ref="BX14:BX17" si="19">BW14</f>
        <v>143663</v>
      </c>
      <c r="BY14" s="523">
        <v>144162</v>
      </c>
      <c r="BZ14" s="523">
        <v>142960</v>
      </c>
      <c r="CA14" s="523">
        <v>165908</v>
      </c>
      <c r="CB14" s="523">
        <v>197284</v>
      </c>
      <c r="CC14" s="111">
        <f t="shared" si="5"/>
        <v>197284</v>
      </c>
      <c r="CD14" s="523">
        <v>199001</v>
      </c>
      <c r="CE14" s="523">
        <v>202786</v>
      </c>
      <c r="CF14" s="523">
        <v>252045</v>
      </c>
      <c r="CG14" s="523">
        <v>249176</v>
      </c>
      <c r="CH14" s="111">
        <f t="shared" si="6"/>
        <v>249176</v>
      </c>
      <c r="CI14" s="523">
        <v>248813</v>
      </c>
      <c r="CJ14" s="523">
        <v>268872</v>
      </c>
      <c r="CK14" s="523">
        <v>423508</v>
      </c>
      <c r="CL14" s="523">
        <v>399180</v>
      </c>
      <c r="CM14" s="111">
        <f t="shared" si="7"/>
        <v>399180</v>
      </c>
      <c r="CN14" s="523">
        <v>533940</v>
      </c>
      <c r="CO14" s="523">
        <v>543514</v>
      </c>
      <c r="CP14" s="523">
        <v>543035</v>
      </c>
      <c r="CQ14" s="523">
        <v>541719</v>
      </c>
      <c r="CR14" s="111">
        <f t="shared" si="8"/>
        <v>541719</v>
      </c>
      <c r="CS14" s="523">
        <f>CR14</f>
        <v>541719</v>
      </c>
      <c r="CT14" s="523">
        <f>CS14</f>
        <v>541719</v>
      </c>
      <c r="CU14" s="523">
        <f>CT14</f>
        <v>541719</v>
      </c>
      <c r="CV14" s="523">
        <f>CU14</f>
        <v>541719</v>
      </c>
      <c r="CW14" s="111">
        <f t="shared" si="9"/>
        <v>541719</v>
      </c>
    </row>
    <row r="15" spans="1:101">
      <c r="A15" s="533"/>
      <c r="B15" s="534"/>
      <c r="C15" s="533" t="s">
        <v>46</v>
      </c>
      <c r="D15" s="533"/>
      <c r="E15" s="535"/>
      <c r="F15" s="535"/>
      <c r="G15" s="533"/>
      <c r="H15" s="533"/>
      <c r="I15" s="523"/>
      <c r="J15" s="523">
        <v>446</v>
      </c>
      <c r="K15" s="536"/>
      <c r="L15" s="523"/>
      <c r="M15" s="523"/>
      <c r="N15" s="523"/>
      <c r="O15" s="523">
        <v>290</v>
      </c>
      <c r="P15" s="536"/>
      <c r="Q15" s="523">
        <v>290</v>
      </c>
      <c r="R15" s="523">
        <f t="shared" si="18"/>
        <v>290</v>
      </c>
      <c r="S15" s="523">
        <v>290</v>
      </c>
      <c r="T15" s="523">
        <f t="shared" si="18"/>
        <v>290</v>
      </c>
      <c r="U15" s="536"/>
      <c r="V15" s="523">
        <v>290</v>
      </c>
      <c r="W15" s="523">
        <v>6287</v>
      </c>
      <c r="X15" s="523">
        <v>6027</v>
      </c>
      <c r="Y15" s="538">
        <v>5767</v>
      </c>
      <c r="Z15" s="536"/>
      <c r="AA15" s="523">
        <f>Y15-IS!AA36</f>
        <v>5507</v>
      </c>
      <c r="AB15" s="523">
        <v>5247</v>
      </c>
      <c r="AC15" s="523">
        <v>20957</v>
      </c>
      <c r="AD15" s="523">
        <v>20240</v>
      </c>
      <c r="AE15" s="537">
        <f t="shared" si="10"/>
        <v>20240</v>
      </c>
      <c r="AF15" s="523">
        <v>19523</v>
      </c>
      <c r="AG15" s="523">
        <v>18806</v>
      </c>
      <c r="AH15" s="523">
        <v>17799</v>
      </c>
      <c r="AI15" s="523">
        <v>17082</v>
      </c>
      <c r="AJ15" s="537">
        <f t="shared" si="11"/>
        <v>17082</v>
      </c>
      <c r="AK15" s="523">
        <v>16365</v>
      </c>
      <c r="AL15" s="523">
        <f>AK15-IS!AL36</f>
        <v>15683</v>
      </c>
      <c r="AM15" s="523">
        <v>15038</v>
      </c>
      <c r="AN15" s="523">
        <v>18851</v>
      </c>
      <c r="AO15" s="537">
        <f t="shared" si="12"/>
        <v>18851</v>
      </c>
      <c r="AP15" s="523">
        <v>17705</v>
      </c>
      <c r="AQ15" s="523">
        <v>16915</v>
      </c>
      <c r="AR15" s="523">
        <v>15766</v>
      </c>
      <c r="AS15" s="523">
        <v>15081</v>
      </c>
      <c r="AT15" s="537">
        <f t="shared" si="13"/>
        <v>15081</v>
      </c>
      <c r="AU15" s="523">
        <v>23845</v>
      </c>
      <c r="AV15" s="523">
        <v>22534</v>
      </c>
      <c r="AW15" s="523">
        <v>21338</v>
      </c>
      <c r="AX15" s="523">
        <v>19788</v>
      </c>
      <c r="AY15" s="537">
        <f t="shared" si="14"/>
        <v>19788</v>
      </c>
      <c r="AZ15" s="523">
        <v>19389</v>
      </c>
      <c r="BA15" s="523">
        <v>18484</v>
      </c>
      <c r="BB15" s="523">
        <v>17720</v>
      </c>
      <c r="BC15" s="523">
        <v>16529</v>
      </c>
      <c r="BD15" s="537">
        <f t="shared" si="0"/>
        <v>16529</v>
      </c>
      <c r="BE15" s="523">
        <v>15577</v>
      </c>
      <c r="BF15" s="523">
        <v>14354</v>
      </c>
      <c r="BG15" s="523">
        <v>13491</v>
      </c>
      <c r="BH15" s="523">
        <v>22741</v>
      </c>
      <c r="BI15" s="537">
        <f t="shared" si="1"/>
        <v>22741</v>
      </c>
      <c r="BJ15" s="523">
        <v>21572</v>
      </c>
      <c r="BK15" s="523">
        <v>20379</v>
      </c>
      <c r="BL15" s="523">
        <v>23844</v>
      </c>
      <c r="BM15" s="523">
        <v>22668</v>
      </c>
      <c r="BN15" s="537">
        <f t="shared" si="2"/>
        <v>22668</v>
      </c>
      <c r="BO15" s="523">
        <v>20857</v>
      </c>
      <c r="BP15" s="523">
        <v>19790</v>
      </c>
      <c r="BQ15" s="523">
        <v>18575</v>
      </c>
      <c r="BR15" s="523">
        <v>59830</v>
      </c>
      <c r="BS15" s="537">
        <f t="shared" si="3"/>
        <v>59830</v>
      </c>
      <c r="BT15" s="523">
        <v>57594</v>
      </c>
      <c r="BU15" s="523">
        <v>54950</v>
      </c>
      <c r="BV15" s="523">
        <v>52471</v>
      </c>
      <c r="BW15" s="523">
        <v>58587</v>
      </c>
      <c r="BX15" s="537">
        <f t="shared" si="19"/>
        <v>58587</v>
      </c>
      <c r="BY15" s="523">
        <v>56158</v>
      </c>
      <c r="BZ15" s="523">
        <v>53597</v>
      </c>
      <c r="CA15" s="523">
        <v>70742</v>
      </c>
      <c r="CB15" s="523">
        <v>88352</v>
      </c>
      <c r="CC15" s="111">
        <f t="shared" si="5"/>
        <v>88352</v>
      </c>
      <c r="CD15" s="523">
        <v>84536</v>
      </c>
      <c r="CE15" s="523">
        <v>77633</v>
      </c>
      <c r="CF15" s="523">
        <v>103597</v>
      </c>
      <c r="CG15" s="523">
        <v>107344</v>
      </c>
      <c r="CH15" s="111">
        <f t="shared" si="6"/>
        <v>107344</v>
      </c>
      <c r="CI15" s="523">
        <v>99289</v>
      </c>
      <c r="CJ15" s="523">
        <v>107519</v>
      </c>
      <c r="CK15" s="523">
        <v>168131</v>
      </c>
      <c r="CL15" s="523">
        <v>181294</v>
      </c>
      <c r="CM15" s="111">
        <f t="shared" si="7"/>
        <v>181294</v>
      </c>
      <c r="CN15" s="523">
        <v>252280</v>
      </c>
      <c r="CO15" s="523">
        <v>237105</v>
      </c>
      <c r="CP15" s="523">
        <v>225262</v>
      </c>
      <c r="CQ15" s="523">
        <v>215815</v>
      </c>
      <c r="CR15" s="111">
        <f t="shared" si="8"/>
        <v>215815</v>
      </c>
      <c r="CS15" s="523">
        <f>CR15-IS!CS36</f>
        <v>206215</v>
      </c>
      <c r="CT15" s="523">
        <f>CS15-IS!CT36</f>
        <v>196615</v>
      </c>
      <c r="CU15" s="523">
        <f>CT15-IS!CU36</f>
        <v>187065</v>
      </c>
      <c r="CV15" s="523">
        <f>CU15-IS!CV36</f>
        <v>177515</v>
      </c>
      <c r="CW15" s="111">
        <f t="shared" si="9"/>
        <v>177515</v>
      </c>
    </row>
    <row r="16" spans="1:101">
      <c r="A16" s="533"/>
      <c r="B16" s="534"/>
      <c r="C16" s="533" t="s">
        <v>210</v>
      </c>
      <c r="D16" s="533"/>
      <c r="E16" s="535"/>
      <c r="F16" s="535"/>
      <c r="G16" s="533"/>
      <c r="H16" s="533"/>
      <c r="I16" s="523"/>
      <c r="J16" s="523"/>
      <c r="K16" s="536"/>
      <c r="L16" s="523"/>
      <c r="M16" s="523"/>
      <c r="N16" s="523"/>
      <c r="O16" s="523"/>
      <c r="P16" s="536"/>
      <c r="Q16" s="523"/>
      <c r="R16" s="523"/>
      <c r="S16" s="523"/>
      <c r="T16" s="523"/>
      <c r="U16" s="536"/>
      <c r="V16" s="523"/>
      <c r="W16" s="523"/>
      <c r="X16" s="523"/>
      <c r="Y16" s="538"/>
      <c r="Z16" s="536"/>
      <c r="AA16" s="523"/>
      <c r="AB16" s="523"/>
      <c r="AC16" s="523"/>
      <c r="AD16" s="523"/>
      <c r="AE16" s="537"/>
      <c r="AF16" s="523"/>
      <c r="AG16" s="523"/>
      <c r="AH16" s="523"/>
      <c r="AI16" s="523"/>
      <c r="AJ16" s="537"/>
      <c r="AK16" s="523"/>
      <c r="AL16" s="523"/>
      <c r="AM16" s="523"/>
      <c r="AN16" s="523"/>
      <c r="AO16" s="537"/>
      <c r="AP16" s="523"/>
      <c r="AQ16" s="523">
        <v>9995</v>
      </c>
      <c r="AR16" s="523">
        <v>12514</v>
      </c>
      <c r="AS16" s="523">
        <v>14950</v>
      </c>
      <c r="AT16" s="537">
        <f t="shared" si="13"/>
        <v>14950</v>
      </c>
      <c r="AU16" s="523">
        <v>12529</v>
      </c>
      <c r="AV16" s="523">
        <v>7556</v>
      </c>
      <c r="AW16" s="523">
        <v>12529</v>
      </c>
      <c r="AX16" s="523">
        <v>7494</v>
      </c>
      <c r="AY16" s="537">
        <f t="shared" si="14"/>
        <v>7494</v>
      </c>
      <c r="AZ16" s="523">
        <v>2503</v>
      </c>
      <c r="BA16" s="523">
        <v>4997</v>
      </c>
      <c r="BB16" s="523">
        <v>2491</v>
      </c>
      <c r="BC16" s="523">
        <v>5206</v>
      </c>
      <c r="BD16" s="537">
        <f t="shared" si="0"/>
        <v>5206</v>
      </c>
      <c r="BE16" s="523">
        <v>2471</v>
      </c>
      <c r="BF16" s="523">
        <v>4922</v>
      </c>
      <c r="BG16" s="523">
        <v>4921</v>
      </c>
      <c r="BH16" s="523"/>
      <c r="BI16" s="537">
        <f t="shared" si="1"/>
        <v>0</v>
      </c>
      <c r="BJ16" s="523">
        <f t="shared" ref="BJ16" si="20">BI16</f>
        <v>0</v>
      </c>
      <c r="BK16" s="523"/>
      <c r="BL16" s="523">
        <f t="shared" ref="BL16" si="21">BK16</f>
        <v>0</v>
      </c>
      <c r="BM16" s="523">
        <f t="shared" ref="BM16" si="22">BL16</f>
        <v>0</v>
      </c>
      <c r="BN16" s="537">
        <f t="shared" si="2"/>
        <v>0</v>
      </c>
      <c r="BO16" s="523">
        <f t="shared" ref="BO16" si="23">BN16</f>
        <v>0</v>
      </c>
      <c r="BP16" s="523">
        <v>7566</v>
      </c>
      <c r="BQ16" s="523">
        <v>2476</v>
      </c>
      <c r="BR16" s="523">
        <v>2500</v>
      </c>
      <c r="BS16" s="537">
        <f t="shared" si="3"/>
        <v>2500</v>
      </c>
      <c r="BT16" s="523">
        <v>2500</v>
      </c>
      <c r="BU16" s="523">
        <v>0</v>
      </c>
      <c r="BV16" s="523">
        <v>0</v>
      </c>
      <c r="BW16" s="523">
        <f t="shared" ref="BW16" si="24">BV16</f>
        <v>0</v>
      </c>
      <c r="BX16" s="537">
        <f t="shared" si="19"/>
        <v>0</v>
      </c>
      <c r="BY16" s="523">
        <v>0</v>
      </c>
      <c r="BZ16" s="523">
        <f t="shared" ref="BZ16" si="25">BY16</f>
        <v>0</v>
      </c>
      <c r="CA16" s="523">
        <f t="shared" ref="CA16" si="26">BZ16</f>
        <v>0</v>
      </c>
      <c r="CB16" s="523">
        <f t="shared" ref="CB16" si="27">CA16</f>
        <v>0</v>
      </c>
      <c r="CC16" s="111">
        <f t="shared" si="5"/>
        <v>0</v>
      </c>
      <c r="CD16" s="523">
        <f t="shared" ref="CD16:CE16" si="28">CC16</f>
        <v>0</v>
      </c>
      <c r="CE16" s="523">
        <f t="shared" si="28"/>
        <v>0</v>
      </c>
      <c r="CF16" s="523">
        <f t="shared" ref="CF16" si="29">CE16</f>
        <v>0</v>
      </c>
      <c r="CG16" s="523">
        <f t="shared" ref="CG16" si="30">CF16</f>
        <v>0</v>
      </c>
      <c r="CH16" s="111">
        <f t="shared" si="6"/>
        <v>0</v>
      </c>
      <c r="CI16" s="523"/>
      <c r="CJ16" s="523"/>
      <c r="CK16" s="523"/>
      <c r="CL16" s="523"/>
      <c r="CM16" s="111">
        <f t="shared" si="7"/>
        <v>0</v>
      </c>
      <c r="CN16" s="523"/>
      <c r="CO16" s="523"/>
      <c r="CP16" s="523"/>
      <c r="CQ16" s="523"/>
      <c r="CR16" s="111">
        <f t="shared" si="8"/>
        <v>0</v>
      </c>
      <c r="CS16" s="523">
        <f t="shared" ref="CS16:CS17" si="31">CR16</f>
        <v>0</v>
      </c>
      <c r="CT16" s="523">
        <f t="shared" ref="CT16:CT17" si="32">CS16</f>
        <v>0</v>
      </c>
      <c r="CU16" s="523">
        <f t="shared" ref="CU16:CU17" si="33">CT16</f>
        <v>0</v>
      </c>
      <c r="CV16" s="523">
        <f t="shared" ref="CV16:CV17" si="34">CU16</f>
        <v>0</v>
      </c>
      <c r="CW16" s="111">
        <f t="shared" si="9"/>
        <v>0</v>
      </c>
    </row>
    <row r="17" spans="1:101">
      <c r="A17" s="533"/>
      <c r="B17" s="534"/>
      <c r="C17" s="533" t="s">
        <v>47</v>
      </c>
      <c r="D17" s="533"/>
      <c r="E17" s="535"/>
      <c r="F17" s="535"/>
      <c r="G17" s="533"/>
      <c r="H17" s="533"/>
      <c r="I17" s="523"/>
      <c r="J17" s="523">
        <v>1654</v>
      </c>
      <c r="K17" s="536"/>
      <c r="L17" s="523"/>
      <c r="M17" s="523"/>
      <c r="N17" s="523"/>
      <c r="O17" s="523">
        <v>1680</v>
      </c>
      <c r="P17" s="536"/>
      <c r="Q17" s="523">
        <f>1719+61</f>
        <v>1780</v>
      </c>
      <c r="R17" s="523">
        <f>1662+59</f>
        <v>1721</v>
      </c>
      <c r="S17" s="523">
        <f>1887+80</f>
        <v>1967</v>
      </c>
      <c r="T17" s="523">
        <f>1943+80</f>
        <v>2023</v>
      </c>
      <c r="U17" s="536"/>
      <c r="V17" s="523">
        <f>2031+80</f>
        <v>2111</v>
      </c>
      <c r="W17" s="523">
        <f>2193+80</f>
        <v>2273</v>
      </c>
      <c r="X17" s="523">
        <f>2396+80</f>
        <v>2476</v>
      </c>
      <c r="Y17" s="523">
        <f>2510+11787+80</f>
        <v>14377</v>
      </c>
      <c r="Z17" s="536"/>
      <c r="AA17" s="523">
        <f>2670+11646+93</f>
        <v>14409</v>
      </c>
      <c r="AB17" s="523">
        <f>2885+11424+84</f>
        <v>14393</v>
      </c>
      <c r="AC17" s="523">
        <f>3030+11568+191</f>
        <v>14789</v>
      </c>
      <c r="AD17" s="523">
        <f>3202+10853+238</f>
        <v>14293</v>
      </c>
      <c r="AE17" s="537">
        <f t="shared" si="10"/>
        <v>14293</v>
      </c>
      <c r="AF17" s="523">
        <f>3396+10925+207</f>
        <v>14528</v>
      </c>
      <c r="AG17" s="523">
        <f>3525+10822+202</f>
        <v>14549</v>
      </c>
      <c r="AH17" s="523">
        <f>3619+10698+190</f>
        <v>14507</v>
      </c>
      <c r="AI17" s="523">
        <f>3684+10870+210</f>
        <v>14764</v>
      </c>
      <c r="AJ17" s="537">
        <f t="shared" si="11"/>
        <v>14764</v>
      </c>
      <c r="AK17" s="523">
        <f>3957+10697+197</f>
        <v>14851</v>
      </c>
      <c r="AL17" s="523">
        <f>4578+10294+205</f>
        <v>15077</v>
      </c>
      <c r="AM17" s="523">
        <f>4876+9805+168</f>
        <v>14849</v>
      </c>
      <c r="AN17" s="523">
        <f>5267+11035+213</f>
        <v>16515</v>
      </c>
      <c r="AO17" s="537">
        <f t="shared" si="12"/>
        <v>16515</v>
      </c>
      <c r="AP17" s="523">
        <f>5274+11086+350</f>
        <v>16710</v>
      </c>
      <c r="AQ17" s="523">
        <f>5445+10880+365</f>
        <v>16690</v>
      </c>
      <c r="AR17" s="523">
        <f>5465+10758+397</f>
        <v>16620</v>
      </c>
      <c r="AS17" s="523">
        <f>5260+11149+1037</f>
        <v>17446</v>
      </c>
      <c r="AT17" s="537">
        <f>AS17</f>
        <v>17446</v>
      </c>
      <c r="AU17" s="523">
        <f>5311+11451+1043</f>
        <v>17805</v>
      </c>
      <c r="AV17" s="523">
        <f>5660+11588+2213</f>
        <v>19461</v>
      </c>
      <c r="AW17" s="523">
        <f>2130+11967+5893</f>
        <v>19990</v>
      </c>
      <c r="AX17" s="523">
        <f>6086+12446+1527</f>
        <v>20059</v>
      </c>
      <c r="AY17" s="537">
        <f t="shared" si="14"/>
        <v>20059</v>
      </c>
      <c r="AZ17" s="523">
        <f>6051+28408+1372</f>
        <v>35831</v>
      </c>
      <c r="BA17" s="523">
        <f>6419+27524+1098</f>
        <v>35041</v>
      </c>
      <c r="BB17" s="523">
        <f>1101+26628+6475</f>
        <v>34204</v>
      </c>
      <c r="BC17" s="523">
        <f>6770+17551+1539</f>
        <v>25860</v>
      </c>
      <c r="BD17" s="537">
        <f t="shared" si="0"/>
        <v>25860</v>
      </c>
      <c r="BE17" s="523">
        <f>10239+12596+1598</f>
        <v>24433</v>
      </c>
      <c r="BF17" s="523">
        <f>10328+12061+1583</f>
        <v>23972</v>
      </c>
      <c r="BG17" s="523">
        <f>10597+11433+1710</f>
        <v>23740</v>
      </c>
      <c r="BH17" s="523">
        <f>10973+10456+1723</f>
        <v>23152</v>
      </c>
      <c r="BI17" s="537">
        <f t="shared" si="1"/>
        <v>23152</v>
      </c>
      <c r="BJ17" s="523">
        <f>11199+9528+1630</f>
        <v>22357</v>
      </c>
      <c r="BK17" s="523">
        <f>10441+7627+2452</f>
        <v>20520</v>
      </c>
      <c r="BL17" s="523">
        <f>10998+4839+2621</f>
        <v>18458</v>
      </c>
      <c r="BM17" s="523">
        <f>11667+2630+2513</f>
        <v>16810</v>
      </c>
      <c r="BN17" s="537">
        <f t="shared" si="2"/>
        <v>16810</v>
      </c>
      <c r="BO17" s="523">
        <f>11393+1837+2210</f>
        <v>15440</v>
      </c>
      <c r="BP17" s="523">
        <f>10852+1030+2216</f>
        <v>14098</v>
      </c>
      <c r="BQ17" s="523">
        <f>11571+140+2228</f>
        <v>13939</v>
      </c>
      <c r="BR17" s="523">
        <f>12160+194+2705</f>
        <v>15059</v>
      </c>
      <c r="BS17" s="537">
        <f t="shared" si="3"/>
        <v>15059</v>
      </c>
      <c r="BT17" s="523">
        <f>12874+210+2620</f>
        <v>15704</v>
      </c>
      <c r="BU17" s="538">
        <f>13692+246+2476</f>
        <v>16414</v>
      </c>
      <c r="BV17" s="523">
        <f>14500+189+2487</f>
        <v>17176</v>
      </c>
      <c r="BW17" s="523">
        <f>15191+182+3028</f>
        <v>18401</v>
      </c>
      <c r="BX17" s="537">
        <f t="shared" si="19"/>
        <v>18401</v>
      </c>
      <c r="BY17" s="523">
        <f>15900+199+2913</f>
        <v>19012</v>
      </c>
      <c r="BZ17" s="523">
        <f>16371+191+2530</f>
        <v>19092</v>
      </c>
      <c r="CA17" s="523">
        <f>16474+223+1787</f>
        <v>18484</v>
      </c>
      <c r="CB17" s="523">
        <f>17424+227+2185</f>
        <v>19836</v>
      </c>
      <c r="CC17" s="111">
        <f t="shared" si="5"/>
        <v>19836</v>
      </c>
      <c r="CD17" s="523">
        <f>17965+3365+2149</f>
        <v>23479</v>
      </c>
      <c r="CE17" s="523">
        <f>19005+6676+1278</f>
        <v>26959</v>
      </c>
      <c r="CF17" s="523">
        <f>19521+6805+1177</f>
        <v>27503</v>
      </c>
      <c r="CG17" s="523">
        <f>20347+505+1126</f>
        <v>21978</v>
      </c>
      <c r="CH17" s="111">
        <f t="shared" si="6"/>
        <v>21978</v>
      </c>
      <c r="CI17" s="523">
        <f>1117+7483+20601</f>
        <v>29201</v>
      </c>
      <c r="CJ17" s="523">
        <f>20610+7347+1076</f>
        <v>29033</v>
      </c>
      <c r="CK17" s="523">
        <f>20802+412+1240</f>
        <v>22454</v>
      </c>
      <c r="CL17" s="523">
        <f>20572+505+2033</f>
        <v>23110</v>
      </c>
      <c r="CM17" s="111">
        <f t="shared" si="7"/>
        <v>23110</v>
      </c>
      <c r="CN17" s="523">
        <f>21416+562+1906</f>
        <v>23884</v>
      </c>
      <c r="CO17" s="523">
        <f>21095+645+1823</f>
        <v>23563</v>
      </c>
      <c r="CP17" s="523">
        <f>20769+463+5359</f>
        <v>26591</v>
      </c>
      <c r="CQ17" s="523">
        <f>20719+493+7667</f>
        <v>28879</v>
      </c>
      <c r="CR17" s="111">
        <f t="shared" si="8"/>
        <v>28879</v>
      </c>
      <c r="CS17" s="523">
        <f t="shared" si="31"/>
        <v>28879</v>
      </c>
      <c r="CT17" s="523">
        <f t="shared" si="32"/>
        <v>28879</v>
      </c>
      <c r="CU17" s="523">
        <f t="shared" si="33"/>
        <v>28879</v>
      </c>
      <c r="CV17" s="523">
        <f t="shared" si="34"/>
        <v>28879</v>
      </c>
      <c r="CW17" s="111">
        <f t="shared" si="9"/>
        <v>28879</v>
      </c>
    </row>
    <row r="18" spans="1:101" s="1" customFormat="1" ht="13.15">
      <c r="B18" s="14" t="s">
        <v>48</v>
      </c>
      <c r="E18" s="52"/>
      <c r="F18" s="52"/>
      <c r="I18" s="44"/>
      <c r="J18" s="44">
        <f>J11+J12+J14+J15+J17</f>
        <v>19197</v>
      </c>
      <c r="K18" s="49"/>
      <c r="L18" s="44">
        <f>L11+L12+L14+L15+L17</f>
        <v>0</v>
      </c>
      <c r="M18" s="44">
        <f>M11+M12+M14+M15+M17</f>
        <v>0</v>
      </c>
      <c r="N18" s="44">
        <f>N11+N12+N14+N15+N17</f>
        <v>0</v>
      </c>
      <c r="O18" s="44">
        <f>O11+O12+O14+O15+O17</f>
        <v>21919</v>
      </c>
      <c r="P18" s="49"/>
      <c r="Q18" s="44">
        <f>Q11+Q12+Q14+Q15+Q17</f>
        <v>22940</v>
      </c>
      <c r="R18" s="44">
        <f>R11+R12+R14+R15+R17</f>
        <v>54652</v>
      </c>
      <c r="S18" s="44">
        <f>S11+S12+S14+S15+S17</f>
        <v>56227</v>
      </c>
      <c r="T18" s="102">
        <f>T11+T12+T14+T15+T17</f>
        <v>57880</v>
      </c>
      <c r="U18" s="49"/>
      <c r="V18" s="44">
        <f>V11+V12+V14+V15+V17</f>
        <v>59317</v>
      </c>
      <c r="W18" s="44">
        <f>W11+W12+W14+W15+W17</f>
        <v>61215</v>
      </c>
      <c r="X18" s="44">
        <f>X11+X12+X14+X15+X17</f>
        <v>63422</v>
      </c>
      <c r="Y18" s="120">
        <f>Y11+Y12+Y14+Y15+Y17</f>
        <v>77618</v>
      </c>
      <c r="Z18" s="49"/>
      <c r="AA18" s="120">
        <f>AA11+AA12+AA14+AA15+AA17</f>
        <v>78996</v>
      </c>
      <c r="AB18" s="120">
        <f>AB11+AB12+AB14+AB15+AB17</f>
        <v>82946</v>
      </c>
      <c r="AC18" s="120">
        <f>AC11+AC12+AC14+AC15+AC17</f>
        <v>156744</v>
      </c>
      <c r="AD18" s="120">
        <f>AD11+AD12+AD14+AD15+AD17</f>
        <v>159201</v>
      </c>
      <c r="AE18" s="111">
        <f t="shared" si="10"/>
        <v>159201</v>
      </c>
      <c r="AF18" s="44">
        <f>AF11+AF12+AF14+AF15+AF17</f>
        <v>162779</v>
      </c>
      <c r="AG18" s="44">
        <f>AG11+AG12+AG14+AG15+AG17</f>
        <v>167988</v>
      </c>
      <c r="AH18" s="44">
        <f>AH11+AH12+AH14+AH15+AH17</f>
        <v>173590</v>
      </c>
      <c r="AI18" s="44">
        <f>AI11+AI12+AI14+AI15+AI17</f>
        <v>223330</v>
      </c>
      <c r="AJ18" s="166">
        <f t="shared" si="11"/>
        <v>223330</v>
      </c>
      <c r="AK18" s="44">
        <f>AK11+AK12+AK14+AK15+AK17</f>
        <v>226559</v>
      </c>
      <c r="AL18" s="44">
        <f>AL11+AL12+AL14+AL15+AL17</f>
        <v>230172</v>
      </c>
      <c r="AM18" s="44">
        <f>AM11+AM12+AM14+AM15+AM17</f>
        <v>234637</v>
      </c>
      <c r="AN18" s="44">
        <f>AN11+AN12+AN14+AN15+AN17</f>
        <v>243775</v>
      </c>
      <c r="AO18" s="166">
        <f t="shared" si="12"/>
        <v>243775</v>
      </c>
      <c r="AP18" s="120">
        <f>AP11+AP12+AP14+AP15+AP17+AP16</f>
        <v>246870</v>
      </c>
      <c r="AQ18" s="120">
        <f>AQ11+AQ12+AQ14+AQ15+AQ17+AQ16</f>
        <v>249926</v>
      </c>
      <c r="AR18" s="120">
        <f>AR11+AR12+AR14+AR15+AR17+AR16</f>
        <v>252877</v>
      </c>
      <c r="AS18" s="120">
        <f>AS11+AS12+AS14+AS15+AS17+AS16</f>
        <v>261731</v>
      </c>
      <c r="AT18" s="166">
        <f t="shared" si="13"/>
        <v>261731</v>
      </c>
      <c r="AU18" s="120">
        <f>AU11+AU12+AU14+AU15+AU17+AU16</f>
        <v>281725</v>
      </c>
      <c r="AV18" s="44">
        <f>AV11+AV12+AV14+AV15+AV17+AV16</f>
        <v>287755</v>
      </c>
      <c r="AW18" s="44">
        <f>AW11+AW12+AW14+AW15+AW17+AW16</f>
        <v>292274</v>
      </c>
      <c r="AX18" s="44">
        <f>AX11+AX12+AX14+AX15+AX17+AX16</f>
        <v>298365</v>
      </c>
      <c r="AY18" s="166">
        <f t="shared" si="14"/>
        <v>298365</v>
      </c>
      <c r="AZ18" s="44">
        <f>AZ11+AZ12+AZ14+AZ15+AZ17+AZ16</f>
        <v>327918</v>
      </c>
      <c r="BA18" s="44">
        <f>BA11+BA12+BA14+BA15+BA17+BA16</f>
        <v>333872</v>
      </c>
      <c r="BB18" s="44">
        <f>BB11+BB12+BB14+BB15+BB17+BB16</f>
        <v>339021</v>
      </c>
      <c r="BC18" s="44">
        <f>BC11+BC12+BC14+BC15+BC17+BC16</f>
        <v>335520</v>
      </c>
      <c r="BD18" s="166">
        <f t="shared" si="0"/>
        <v>335520</v>
      </c>
      <c r="BE18" s="44">
        <f>BE11+BE12+BE14+BE15+BE17+BE16</f>
        <v>339596</v>
      </c>
      <c r="BF18" s="120">
        <f>BF11+BF12+BF14+BF15+BF17+BF16</f>
        <v>351673</v>
      </c>
      <c r="BG18" s="120">
        <f>BG11+BG12+BG14+BG15+BG17+BG16</f>
        <v>368460</v>
      </c>
      <c r="BH18" s="120">
        <f>BH11+BH12+BH14+BH15+BH17+BH16</f>
        <v>386123</v>
      </c>
      <c r="BI18" s="166">
        <f t="shared" si="1"/>
        <v>386123</v>
      </c>
      <c r="BJ18" s="120">
        <f>BJ11+BJ12+BJ14+BJ15+BJ17+BJ16+BJ13</f>
        <v>407197</v>
      </c>
      <c r="BK18" s="120">
        <f>BK11+BK12+BK14+BK15+BK17+BK16+BK13</f>
        <v>418607</v>
      </c>
      <c r="BL18" s="120">
        <f>BL11+BL12+BL14+BL15+BL17+BL16+BL13</f>
        <v>426597</v>
      </c>
      <c r="BM18" s="120">
        <f>BM11+BM12+BM14+BM15+BM17+BM16+BM13</f>
        <v>447440</v>
      </c>
      <c r="BN18" s="166">
        <f t="shared" si="2"/>
        <v>447440</v>
      </c>
      <c r="BO18" s="120">
        <f>BO11+BO12+BO14+BO15+BO17+BO16+BO13</f>
        <v>439819</v>
      </c>
      <c r="BP18" s="120">
        <f>BP11+BP12+BP14+BP15+BP17+BP16+BP13</f>
        <v>461663</v>
      </c>
      <c r="BQ18" s="120">
        <f>BQ11+BQ12+BQ14+BQ15+BQ17+BQ16+BQ13</f>
        <v>487686</v>
      </c>
      <c r="BR18" s="120">
        <f>BR11+BR12+BR14+BR15+BR17+BR16+BR13</f>
        <v>525525</v>
      </c>
      <c r="BS18" s="166">
        <f t="shared" si="3"/>
        <v>525525</v>
      </c>
      <c r="BT18" s="120">
        <f t="shared" ref="BT18:CR18" si="35">BT11+BT12+BT14+BT15+BT17+BT16+BT13</f>
        <v>549837</v>
      </c>
      <c r="BU18" s="120">
        <f t="shared" si="35"/>
        <v>572278</v>
      </c>
      <c r="BV18" s="120">
        <f t="shared" si="35"/>
        <v>591283</v>
      </c>
      <c r="BW18" s="120">
        <f t="shared" si="35"/>
        <v>615846</v>
      </c>
      <c r="BX18" s="166">
        <f t="shared" si="35"/>
        <v>615846</v>
      </c>
      <c r="BY18" s="120">
        <f t="shared" si="35"/>
        <v>613308</v>
      </c>
      <c r="BZ18" s="120">
        <f t="shared" si="35"/>
        <v>622776</v>
      </c>
      <c r="CA18" s="120">
        <f t="shared" si="35"/>
        <v>637090</v>
      </c>
      <c r="CB18" s="120">
        <f t="shared" si="35"/>
        <v>672914</v>
      </c>
      <c r="CC18" s="166">
        <f t="shared" si="35"/>
        <v>672914</v>
      </c>
      <c r="CD18" s="120">
        <f t="shared" si="35"/>
        <v>696927</v>
      </c>
      <c r="CE18" s="120">
        <f t="shared" si="35"/>
        <v>735538</v>
      </c>
      <c r="CF18" s="120">
        <f t="shared" si="35"/>
        <v>787408</v>
      </c>
      <c r="CG18" s="120">
        <f t="shared" si="35"/>
        <v>823844</v>
      </c>
      <c r="CH18" s="166">
        <f t="shared" si="35"/>
        <v>823844</v>
      </c>
      <c r="CI18" s="120">
        <f t="shared" si="35"/>
        <v>839847</v>
      </c>
      <c r="CJ18" s="120">
        <f t="shared" si="35"/>
        <v>854521</v>
      </c>
      <c r="CK18" s="120">
        <f t="shared" si="35"/>
        <v>1003300</v>
      </c>
      <c r="CL18" s="120">
        <f t="shared" ref="CL18" si="36">CL11+CL12+CL14+CL15+CL17+CL16+CL13</f>
        <v>1031230</v>
      </c>
      <c r="CM18" s="166">
        <f t="shared" si="35"/>
        <v>1031230</v>
      </c>
      <c r="CN18" s="120">
        <f t="shared" si="35"/>
        <v>1109050</v>
      </c>
      <c r="CO18" s="120">
        <f t="shared" ref="CO18" si="37">CO11+CO12+CO14+CO15+CO17+CO16+CO13</f>
        <v>1121104</v>
      </c>
      <c r="CP18" s="120">
        <f t="shared" si="35"/>
        <v>1158680</v>
      </c>
      <c r="CQ18" s="120">
        <f t="shared" si="35"/>
        <v>1169859</v>
      </c>
      <c r="CR18" s="166">
        <f t="shared" si="35"/>
        <v>1169859</v>
      </c>
      <c r="CS18" s="120">
        <f t="shared" ref="CS18:CW18" si="38">CS11+CS12+CS14+CS15+CS17+CS16+CS13</f>
        <v>1224389.1959005001</v>
      </c>
      <c r="CT18" s="120">
        <f t="shared" si="38"/>
        <v>1270548.0780365001</v>
      </c>
      <c r="CU18" s="120">
        <f t="shared" si="38"/>
        <v>1319665.7613545801</v>
      </c>
      <c r="CV18" s="120">
        <f t="shared" si="38"/>
        <v>1367724.0918185799</v>
      </c>
      <c r="CW18" s="166">
        <f t="shared" si="38"/>
        <v>1367724.0918185799</v>
      </c>
    </row>
    <row r="19" spans="1:101">
      <c r="B19" s="24"/>
      <c r="E19" s="32"/>
      <c r="F19" s="32"/>
      <c r="I19" s="45"/>
      <c r="J19" s="45"/>
      <c r="K19" s="50"/>
      <c r="L19" s="45"/>
      <c r="M19" s="45"/>
      <c r="N19" s="45"/>
      <c r="O19" s="45"/>
      <c r="P19" s="50"/>
      <c r="Q19" s="45"/>
      <c r="R19" s="76"/>
      <c r="S19" s="76"/>
      <c r="T19" s="101"/>
      <c r="U19" s="50"/>
      <c r="V19" s="76"/>
      <c r="W19" s="45"/>
      <c r="X19" s="45"/>
      <c r="Y19" s="118"/>
      <c r="Z19" s="50"/>
      <c r="AA19" s="76"/>
      <c r="AB19" s="45"/>
      <c r="AC19" s="118"/>
      <c r="AD19" s="118"/>
      <c r="AE19" s="111">
        <f t="shared" si="10"/>
        <v>0</v>
      </c>
      <c r="AF19" s="76"/>
      <c r="AG19" s="76"/>
      <c r="AH19" s="76"/>
      <c r="AI19" s="45"/>
      <c r="AJ19" s="50"/>
      <c r="AK19" s="76"/>
      <c r="AL19" s="45"/>
      <c r="AM19" s="45"/>
      <c r="AN19" s="45"/>
      <c r="AO19" s="111"/>
      <c r="AP19" s="76"/>
      <c r="AQ19" s="45"/>
      <c r="AR19" s="45"/>
      <c r="AS19" s="45"/>
      <c r="AT19" s="111"/>
      <c r="AU19" s="76"/>
      <c r="AV19" s="76"/>
      <c r="AW19" s="253"/>
      <c r="AX19" s="45"/>
      <c r="AY19" s="111"/>
      <c r="AZ19" s="76"/>
      <c r="BA19" s="253"/>
      <c r="BB19" s="253"/>
      <c r="BC19" s="45"/>
      <c r="BD19" s="111"/>
      <c r="BE19" s="253"/>
      <c r="BF19" s="118"/>
      <c r="BG19" s="118"/>
      <c r="BH19" s="45"/>
      <c r="BI19" s="111"/>
      <c r="BJ19" s="76"/>
      <c r="BK19" s="45"/>
      <c r="BL19" s="45"/>
      <c r="BM19" s="45"/>
      <c r="BN19" s="111"/>
      <c r="BO19" s="76"/>
      <c r="BP19" s="45"/>
      <c r="BQ19" s="45"/>
      <c r="BR19" s="45"/>
      <c r="BS19" s="111"/>
      <c r="BT19" s="76"/>
      <c r="BU19" s="45"/>
      <c r="BV19" s="45"/>
      <c r="BW19" s="45"/>
      <c r="BX19" s="111"/>
      <c r="BY19" s="76"/>
      <c r="BZ19" s="45"/>
      <c r="CA19" s="45"/>
      <c r="CB19" s="45"/>
      <c r="CC19" s="111"/>
      <c r="CD19" s="45"/>
      <c r="CE19" s="45"/>
      <c r="CF19" s="45"/>
      <c r="CG19" s="45"/>
      <c r="CH19" s="111"/>
      <c r="CI19" s="45"/>
      <c r="CJ19" s="45"/>
      <c r="CK19" s="45"/>
      <c r="CL19" s="45"/>
      <c r="CM19" s="111"/>
      <c r="CN19" s="45"/>
      <c r="CO19" s="45"/>
      <c r="CP19" s="45"/>
      <c r="CQ19" s="45"/>
      <c r="CR19" s="111"/>
      <c r="CS19" s="45"/>
      <c r="CT19" s="45"/>
      <c r="CU19" s="45"/>
      <c r="CV19" s="45"/>
      <c r="CW19" s="111"/>
    </row>
    <row r="20" spans="1:101" s="1" customFormat="1" ht="13.15">
      <c r="B20" s="14" t="s">
        <v>49</v>
      </c>
      <c r="E20" s="52"/>
      <c r="F20" s="52"/>
      <c r="I20" s="44"/>
      <c r="J20" s="44"/>
      <c r="K20" s="49"/>
      <c r="L20" s="44"/>
      <c r="M20" s="44"/>
      <c r="N20" s="44"/>
      <c r="O20" s="44"/>
      <c r="P20" s="49"/>
      <c r="Q20" s="44"/>
      <c r="R20" s="44"/>
      <c r="S20" s="44"/>
      <c r="T20" s="102"/>
      <c r="U20" s="49"/>
      <c r="V20" s="44"/>
      <c r="W20" s="44"/>
      <c r="X20" s="44"/>
      <c r="Y20" s="44"/>
      <c r="Z20" s="49"/>
      <c r="AA20" s="44"/>
      <c r="AB20" s="44"/>
      <c r="AC20" s="120"/>
      <c r="AD20" s="120"/>
      <c r="AE20" s="111">
        <f t="shared" si="10"/>
        <v>0</v>
      </c>
      <c r="AF20" s="44"/>
      <c r="AG20" s="44"/>
      <c r="AH20" s="44"/>
      <c r="AI20" s="44"/>
      <c r="AJ20" s="49"/>
      <c r="AK20" s="44"/>
      <c r="AL20" s="44"/>
      <c r="AM20" s="44"/>
      <c r="AN20" s="44"/>
      <c r="AO20" s="111"/>
      <c r="AP20" s="44"/>
      <c r="AQ20" s="44"/>
      <c r="AR20" s="44"/>
      <c r="AS20" s="44"/>
      <c r="AT20" s="111"/>
      <c r="AU20" s="44"/>
      <c r="AV20" s="44"/>
      <c r="AW20" s="44"/>
      <c r="AX20" s="44"/>
      <c r="AY20" s="111"/>
      <c r="AZ20" s="44"/>
      <c r="BA20" s="44"/>
      <c r="BB20" s="44"/>
      <c r="BC20" s="44"/>
      <c r="BD20" s="111"/>
      <c r="BE20" s="44"/>
      <c r="BF20" s="120"/>
      <c r="BG20" s="120"/>
      <c r="BH20" s="44"/>
      <c r="BI20" s="111"/>
      <c r="BJ20" s="44"/>
      <c r="BK20" s="44"/>
      <c r="BL20" s="44"/>
      <c r="BM20" s="44"/>
      <c r="BN20" s="111"/>
      <c r="BO20" s="44"/>
      <c r="BP20" s="44"/>
      <c r="BQ20" s="44"/>
      <c r="BR20" s="44"/>
      <c r="BS20" s="111"/>
      <c r="BT20" s="44"/>
      <c r="BU20" s="44"/>
      <c r="BV20" s="44"/>
      <c r="BW20" s="44"/>
      <c r="BX20" s="111"/>
      <c r="BY20" s="44"/>
      <c r="BZ20" s="44"/>
      <c r="CA20" s="44"/>
      <c r="CB20" s="44"/>
      <c r="CC20" s="111"/>
      <c r="CD20" s="44"/>
      <c r="CE20" s="44"/>
      <c r="CF20" s="44"/>
      <c r="CG20" s="44"/>
      <c r="CH20" s="111"/>
      <c r="CI20" s="44"/>
      <c r="CJ20" s="44"/>
      <c r="CK20" s="44"/>
      <c r="CL20" s="44"/>
      <c r="CM20" s="111"/>
      <c r="CN20" s="44"/>
      <c r="CO20" s="44"/>
      <c r="CP20" s="44"/>
      <c r="CQ20" s="44"/>
      <c r="CR20" s="111"/>
      <c r="CS20" s="44"/>
      <c r="CT20" s="44"/>
      <c r="CU20" s="44"/>
      <c r="CV20" s="44"/>
      <c r="CW20" s="111"/>
    </row>
    <row r="21" spans="1:101" hidden="1" outlineLevel="1">
      <c r="B21" s="24"/>
      <c r="C21" t="s">
        <v>50</v>
      </c>
      <c r="E21" s="32"/>
      <c r="F21" s="32"/>
      <c r="I21" s="45"/>
      <c r="J21" s="45">
        <v>441</v>
      </c>
      <c r="K21" s="50"/>
      <c r="L21" s="45"/>
      <c r="M21" s="45"/>
      <c r="N21" s="45"/>
      <c r="O21" s="45">
        <v>338</v>
      </c>
      <c r="P21" s="50"/>
      <c r="Q21" s="45">
        <v>886</v>
      </c>
      <c r="R21" s="76">
        <v>343</v>
      </c>
      <c r="S21" s="76">
        <v>122</v>
      </c>
      <c r="T21" s="101">
        <v>122</v>
      </c>
      <c r="U21" s="50"/>
      <c r="V21" s="75">
        <v>0</v>
      </c>
      <c r="W21" s="75">
        <v>0</v>
      </c>
      <c r="X21" s="75">
        <v>0</v>
      </c>
      <c r="Y21" s="75"/>
      <c r="Z21" s="50"/>
      <c r="AA21" s="82"/>
      <c r="AB21" s="75"/>
      <c r="AC21" s="118"/>
      <c r="AD21" s="118"/>
      <c r="AE21" s="111">
        <f t="shared" si="10"/>
        <v>0</v>
      </c>
      <c r="AF21" s="98"/>
      <c r="AG21" s="76"/>
      <c r="AH21" s="76"/>
      <c r="AI21" s="75"/>
      <c r="AJ21" s="50"/>
      <c r="AK21" s="98"/>
      <c r="AL21" s="75"/>
      <c r="AM21" s="75"/>
      <c r="AN21" s="75"/>
      <c r="AO21" s="111">
        <f t="shared" si="12"/>
        <v>0</v>
      </c>
      <c r="AP21" s="82"/>
      <c r="AQ21" s="75"/>
      <c r="AR21" s="75"/>
      <c r="AS21" s="75"/>
      <c r="AT21" s="111">
        <f t="shared" si="13"/>
        <v>0</v>
      </c>
      <c r="AU21" s="82"/>
      <c r="AV21" s="76"/>
      <c r="AW21" s="253"/>
      <c r="AX21" s="75"/>
      <c r="AY21" s="111">
        <f t="shared" si="14"/>
        <v>0</v>
      </c>
      <c r="AZ21" s="82"/>
      <c r="BA21" s="253"/>
      <c r="BB21" s="253"/>
      <c r="BC21" s="75"/>
      <c r="BD21" s="111">
        <f t="shared" ref="BD21:BD41" si="39">BC21</f>
        <v>0</v>
      </c>
      <c r="BE21" s="373"/>
      <c r="BF21" s="118"/>
      <c r="BG21" s="118"/>
      <c r="BH21" s="75"/>
      <c r="BI21" s="111">
        <f t="shared" ref="BI21:BI41" si="40">BH21</f>
        <v>0</v>
      </c>
      <c r="BJ21" s="82"/>
      <c r="BK21" s="75"/>
      <c r="BL21" s="75"/>
      <c r="BM21" s="75"/>
      <c r="BN21" s="111">
        <f t="shared" ref="BN21:BN41" si="41">BM21</f>
        <v>0</v>
      </c>
      <c r="BO21" s="82"/>
      <c r="BP21" s="75"/>
      <c r="BQ21" s="75"/>
      <c r="BR21" s="75"/>
      <c r="BS21" s="111">
        <f t="shared" ref="BS21:BS41" si="42">BR21</f>
        <v>0</v>
      </c>
      <c r="BT21" s="82"/>
      <c r="BU21" s="75"/>
      <c r="BV21" s="75"/>
      <c r="BW21" s="75"/>
      <c r="BX21" s="111">
        <f t="shared" ref="BX21:BX28" si="43">BW21</f>
        <v>0</v>
      </c>
      <c r="BY21" s="82"/>
      <c r="BZ21" s="75"/>
      <c r="CA21" s="75"/>
      <c r="CB21" s="75"/>
      <c r="CC21" s="111">
        <f t="shared" ref="CC21:CC33" si="44">CB21</f>
        <v>0</v>
      </c>
      <c r="CD21" s="75"/>
      <c r="CE21" s="75"/>
      <c r="CF21" s="75"/>
      <c r="CG21" s="75"/>
      <c r="CH21" s="111">
        <f t="shared" ref="CH21:CH33" si="45">CG21</f>
        <v>0</v>
      </c>
      <c r="CI21" s="75"/>
      <c r="CJ21" s="75"/>
      <c r="CK21" s="75"/>
      <c r="CL21" s="75"/>
      <c r="CM21" s="111">
        <f t="shared" ref="CM21:CM33" si="46">CL21</f>
        <v>0</v>
      </c>
      <c r="CN21" s="75"/>
      <c r="CO21" s="75"/>
      <c r="CP21" s="75"/>
      <c r="CQ21" s="75"/>
      <c r="CR21" s="111">
        <f t="shared" ref="CR21:CR33" si="47">CQ21</f>
        <v>0</v>
      </c>
      <c r="CS21" s="75"/>
      <c r="CT21" s="75"/>
      <c r="CU21" s="75"/>
      <c r="CV21" s="75"/>
      <c r="CW21" s="111">
        <f t="shared" ref="CW21:CW33" si="48">CV21</f>
        <v>0</v>
      </c>
    </row>
    <row r="22" spans="1:101" hidden="1" outlineLevel="1">
      <c r="B22" s="24"/>
      <c r="C22" t="s">
        <v>51</v>
      </c>
      <c r="E22" s="32"/>
      <c r="F22" s="32"/>
      <c r="I22" s="45"/>
      <c r="J22" s="45">
        <v>1409</v>
      </c>
      <c r="K22" s="50"/>
      <c r="L22" s="45"/>
      <c r="M22" s="45"/>
      <c r="N22" s="45"/>
      <c r="O22" s="45">
        <v>499</v>
      </c>
      <c r="P22" s="50"/>
      <c r="Q22" s="45"/>
      <c r="R22" s="45"/>
      <c r="S22" s="45"/>
      <c r="T22" s="101"/>
      <c r="U22" s="50"/>
      <c r="V22" s="45"/>
      <c r="W22" s="45"/>
      <c r="X22" s="45"/>
      <c r="Y22" s="45"/>
      <c r="Z22" s="50"/>
      <c r="AA22" s="45"/>
      <c r="AB22" s="45"/>
      <c r="AC22" s="118"/>
      <c r="AD22" s="118"/>
      <c r="AE22" s="111">
        <f t="shared" si="10"/>
        <v>0</v>
      </c>
      <c r="AF22" s="76"/>
      <c r="AG22" s="76"/>
      <c r="AH22" s="76"/>
      <c r="AI22" s="45"/>
      <c r="AJ22" s="50"/>
      <c r="AK22" s="76"/>
      <c r="AL22" s="45"/>
      <c r="AM22" s="45"/>
      <c r="AN22" s="45"/>
      <c r="AO22" s="111">
        <f t="shared" si="12"/>
        <v>0</v>
      </c>
      <c r="AP22" s="45"/>
      <c r="AQ22" s="45"/>
      <c r="AR22" s="45"/>
      <c r="AS22" s="45"/>
      <c r="AT22" s="111">
        <f t="shared" si="13"/>
        <v>0</v>
      </c>
      <c r="AU22" s="45"/>
      <c r="AV22" s="76"/>
      <c r="AW22" s="253"/>
      <c r="AX22" s="45"/>
      <c r="AY22" s="111">
        <f t="shared" si="14"/>
        <v>0</v>
      </c>
      <c r="AZ22" s="45"/>
      <c r="BA22" s="253"/>
      <c r="BB22" s="253"/>
      <c r="BC22" s="45"/>
      <c r="BD22" s="111">
        <f t="shared" si="39"/>
        <v>0</v>
      </c>
      <c r="BE22" s="253"/>
      <c r="BF22" s="118"/>
      <c r="BG22" s="118"/>
      <c r="BH22" s="45"/>
      <c r="BI22" s="111">
        <f t="shared" si="40"/>
        <v>0</v>
      </c>
      <c r="BJ22" s="45"/>
      <c r="BK22" s="45"/>
      <c r="BL22" s="45"/>
      <c r="BM22" s="45"/>
      <c r="BN22" s="111">
        <f t="shared" si="41"/>
        <v>0</v>
      </c>
      <c r="BO22" s="45"/>
      <c r="BP22" s="45"/>
      <c r="BQ22" s="45"/>
      <c r="BR22" s="45"/>
      <c r="BS22" s="111">
        <f t="shared" si="42"/>
        <v>0</v>
      </c>
      <c r="BT22" s="45"/>
      <c r="BU22" s="45"/>
      <c r="BV22" s="45"/>
      <c r="BW22" s="45"/>
      <c r="BX22" s="111">
        <f t="shared" si="43"/>
        <v>0</v>
      </c>
      <c r="BY22" s="45"/>
      <c r="BZ22" s="45"/>
      <c r="CA22" s="45"/>
      <c r="CB22" s="45"/>
      <c r="CC22" s="111">
        <f t="shared" si="44"/>
        <v>0</v>
      </c>
      <c r="CD22" s="45"/>
      <c r="CE22" s="45"/>
      <c r="CF22" s="45"/>
      <c r="CG22" s="45"/>
      <c r="CH22" s="111">
        <f t="shared" si="45"/>
        <v>0</v>
      </c>
      <c r="CI22" s="45"/>
      <c r="CJ22" s="45"/>
      <c r="CK22" s="45"/>
      <c r="CL22" s="45"/>
      <c r="CM22" s="111">
        <f t="shared" si="46"/>
        <v>0</v>
      </c>
      <c r="CN22" s="45"/>
      <c r="CO22" s="45"/>
      <c r="CP22" s="45"/>
      <c r="CQ22" s="45"/>
      <c r="CR22" s="111">
        <f t="shared" si="47"/>
        <v>0</v>
      </c>
      <c r="CS22" s="45"/>
      <c r="CT22" s="45"/>
      <c r="CU22" s="45"/>
      <c r="CV22" s="45"/>
      <c r="CW22" s="111">
        <f t="shared" si="48"/>
        <v>0</v>
      </c>
    </row>
    <row r="23" spans="1:101" hidden="1" outlineLevel="1">
      <c r="B23" s="24"/>
      <c r="C23" t="s">
        <v>52</v>
      </c>
      <c r="E23" s="32"/>
      <c r="F23" s="32"/>
      <c r="I23" s="45"/>
      <c r="J23" s="45">
        <v>1300</v>
      </c>
      <c r="K23" s="50"/>
      <c r="L23" s="45"/>
      <c r="M23" s="45"/>
      <c r="N23" s="45"/>
      <c r="O23" s="45">
        <v>1500</v>
      </c>
      <c r="P23" s="50"/>
      <c r="Q23" s="45">
        <v>1600</v>
      </c>
      <c r="R23" s="82">
        <v>0</v>
      </c>
      <c r="S23" s="75">
        <v>0</v>
      </c>
      <c r="T23" s="101">
        <v>0</v>
      </c>
      <c r="U23" s="50"/>
      <c r="V23" s="75">
        <v>0</v>
      </c>
      <c r="W23" s="82">
        <v>0</v>
      </c>
      <c r="X23" s="75">
        <v>0</v>
      </c>
      <c r="Y23" s="75">
        <v>0</v>
      </c>
      <c r="Z23" s="50"/>
      <c r="AA23" s="75">
        <v>0</v>
      </c>
      <c r="AB23" s="82">
        <v>0</v>
      </c>
      <c r="AC23" s="118">
        <v>0</v>
      </c>
      <c r="AD23" s="118">
        <v>0</v>
      </c>
      <c r="AE23" s="111">
        <f t="shared" si="10"/>
        <v>0</v>
      </c>
      <c r="AF23" s="76">
        <v>0</v>
      </c>
      <c r="AG23" s="98">
        <v>0</v>
      </c>
      <c r="AH23" s="76">
        <v>0</v>
      </c>
      <c r="AI23" s="75">
        <v>0</v>
      </c>
      <c r="AJ23" s="50">
        <f>AI23</f>
        <v>0</v>
      </c>
      <c r="AK23" s="76">
        <v>0</v>
      </c>
      <c r="AL23" s="82">
        <v>0</v>
      </c>
      <c r="AM23" s="75">
        <v>0</v>
      </c>
      <c r="AN23" s="75">
        <v>0</v>
      </c>
      <c r="AO23" s="111">
        <f t="shared" si="12"/>
        <v>0</v>
      </c>
      <c r="AP23" s="75">
        <v>0</v>
      </c>
      <c r="AQ23" s="82">
        <v>0</v>
      </c>
      <c r="AR23" s="75">
        <v>0</v>
      </c>
      <c r="AS23" s="75">
        <v>0</v>
      </c>
      <c r="AT23" s="111">
        <f t="shared" si="13"/>
        <v>0</v>
      </c>
      <c r="AU23" s="82">
        <v>0</v>
      </c>
      <c r="AV23" s="98">
        <v>0</v>
      </c>
      <c r="AW23" s="253">
        <v>0</v>
      </c>
      <c r="AX23" s="75">
        <v>0</v>
      </c>
      <c r="AY23" s="111">
        <f t="shared" si="14"/>
        <v>0</v>
      </c>
      <c r="AZ23" s="82">
        <v>0</v>
      </c>
      <c r="BA23" s="373">
        <v>0</v>
      </c>
      <c r="BB23" s="253">
        <v>0</v>
      </c>
      <c r="BC23" s="75">
        <v>0</v>
      </c>
      <c r="BD23" s="111">
        <f t="shared" si="39"/>
        <v>0</v>
      </c>
      <c r="BE23" s="373">
        <v>0</v>
      </c>
      <c r="BF23" s="119">
        <v>0</v>
      </c>
      <c r="BG23" s="118">
        <v>0</v>
      </c>
      <c r="BH23" s="75">
        <v>0</v>
      </c>
      <c r="BI23" s="111">
        <f t="shared" si="40"/>
        <v>0</v>
      </c>
      <c r="BJ23" s="82">
        <v>0</v>
      </c>
      <c r="BK23" s="82">
        <v>0</v>
      </c>
      <c r="BL23" s="75">
        <v>0</v>
      </c>
      <c r="BM23" s="75">
        <v>0</v>
      </c>
      <c r="BN23" s="111">
        <f t="shared" si="41"/>
        <v>0</v>
      </c>
      <c r="BO23" s="82">
        <v>0</v>
      </c>
      <c r="BP23" s="82">
        <v>0</v>
      </c>
      <c r="BQ23" s="75">
        <v>0</v>
      </c>
      <c r="BR23" s="75">
        <v>0</v>
      </c>
      <c r="BS23" s="111">
        <f t="shared" si="42"/>
        <v>0</v>
      </c>
      <c r="BT23" s="82">
        <v>0</v>
      </c>
      <c r="BU23" s="82">
        <v>0</v>
      </c>
      <c r="BV23" s="75">
        <v>0</v>
      </c>
      <c r="BW23" s="75">
        <v>0</v>
      </c>
      <c r="BX23" s="111">
        <f t="shared" si="43"/>
        <v>0</v>
      </c>
      <c r="BY23" s="82">
        <v>0</v>
      </c>
      <c r="BZ23" s="82">
        <v>0</v>
      </c>
      <c r="CA23" s="75">
        <v>0</v>
      </c>
      <c r="CB23" s="75">
        <v>0</v>
      </c>
      <c r="CC23" s="111">
        <f t="shared" si="44"/>
        <v>0</v>
      </c>
      <c r="CD23" s="82">
        <v>0</v>
      </c>
      <c r="CE23" s="82">
        <v>0</v>
      </c>
      <c r="CF23" s="75">
        <v>0</v>
      </c>
      <c r="CG23" s="75">
        <v>0</v>
      </c>
      <c r="CH23" s="111">
        <f t="shared" si="45"/>
        <v>0</v>
      </c>
      <c r="CI23" s="82">
        <v>0</v>
      </c>
      <c r="CJ23" s="82">
        <v>0</v>
      </c>
      <c r="CK23" s="75">
        <v>0</v>
      </c>
      <c r="CL23" s="75">
        <v>0</v>
      </c>
      <c r="CM23" s="111">
        <f t="shared" si="46"/>
        <v>0</v>
      </c>
      <c r="CN23" s="82">
        <v>0</v>
      </c>
      <c r="CO23" s="82">
        <v>0</v>
      </c>
      <c r="CP23" s="75">
        <v>0</v>
      </c>
      <c r="CQ23" s="75">
        <v>0</v>
      </c>
      <c r="CR23" s="111">
        <f t="shared" si="47"/>
        <v>0</v>
      </c>
      <c r="CS23" s="82">
        <v>0</v>
      </c>
      <c r="CT23" s="82">
        <v>0</v>
      </c>
      <c r="CU23" s="75">
        <v>0</v>
      </c>
      <c r="CV23" s="75">
        <v>0</v>
      </c>
      <c r="CW23" s="111">
        <f t="shared" si="48"/>
        <v>0</v>
      </c>
    </row>
    <row r="24" spans="1:101" collapsed="1">
      <c r="B24" s="24"/>
      <c r="C24" t="s">
        <v>53</v>
      </c>
      <c r="E24" s="32"/>
      <c r="F24" s="32"/>
      <c r="I24" s="45"/>
      <c r="J24" s="45">
        <v>804</v>
      </c>
      <c r="K24" s="50"/>
      <c r="L24" s="45"/>
      <c r="M24" s="45"/>
      <c r="N24" s="45"/>
      <c r="O24" s="45">
        <v>1345</v>
      </c>
      <c r="P24" s="50"/>
      <c r="Q24" s="45">
        <v>1208</v>
      </c>
      <c r="R24" s="45">
        <v>983</v>
      </c>
      <c r="S24" s="45">
        <v>1058</v>
      </c>
      <c r="T24" s="101">
        <v>998</v>
      </c>
      <c r="U24" s="50"/>
      <c r="V24" s="45">
        <v>1579</v>
      </c>
      <c r="W24" s="45">
        <v>1821</v>
      </c>
      <c r="X24" s="45">
        <v>1387</v>
      </c>
      <c r="Y24" s="45">
        <v>1411</v>
      </c>
      <c r="Z24" s="50"/>
      <c r="AA24" s="45">
        <v>1240</v>
      </c>
      <c r="AB24" s="45">
        <v>1944</v>
      </c>
      <c r="AC24" s="118">
        <v>2739</v>
      </c>
      <c r="AD24" s="118">
        <v>1857</v>
      </c>
      <c r="AE24" s="111">
        <f t="shared" si="10"/>
        <v>1857</v>
      </c>
      <c r="AF24" s="76">
        <v>2034</v>
      </c>
      <c r="AG24" s="76">
        <v>1650</v>
      </c>
      <c r="AH24" s="76">
        <v>1685</v>
      </c>
      <c r="AI24" s="45">
        <v>1798</v>
      </c>
      <c r="AJ24" s="50">
        <f t="shared" ref="AJ24:AJ44" si="49">AI24</f>
        <v>1798</v>
      </c>
      <c r="AK24" s="45">
        <v>2243</v>
      </c>
      <c r="AL24" s="45">
        <v>2999</v>
      </c>
      <c r="AM24" s="45">
        <v>2098</v>
      </c>
      <c r="AN24" s="45">
        <v>3961</v>
      </c>
      <c r="AO24" s="111">
        <f t="shared" si="12"/>
        <v>3961</v>
      </c>
      <c r="AP24" s="45">
        <v>3444</v>
      </c>
      <c r="AQ24" s="45">
        <v>3706</v>
      </c>
      <c r="AR24" s="45">
        <v>2381</v>
      </c>
      <c r="AS24" s="45">
        <v>2163</v>
      </c>
      <c r="AT24" s="111">
        <f t="shared" si="13"/>
        <v>2163</v>
      </c>
      <c r="AU24" s="45">
        <v>3900</v>
      </c>
      <c r="AV24" s="76">
        <v>3581</v>
      </c>
      <c r="AW24" s="253">
        <v>2442</v>
      </c>
      <c r="AX24" s="45">
        <v>2302</v>
      </c>
      <c r="AY24" s="111">
        <f t="shared" si="14"/>
        <v>2302</v>
      </c>
      <c r="AZ24" s="45">
        <v>3580</v>
      </c>
      <c r="BA24" s="253">
        <v>2720</v>
      </c>
      <c r="BB24" s="253">
        <v>3089</v>
      </c>
      <c r="BC24" s="45">
        <v>4463</v>
      </c>
      <c r="BD24" s="111">
        <f t="shared" si="39"/>
        <v>4463</v>
      </c>
      <c r="BE24" s="253">
        <v>3472</v>
      </c>
      <c r="BF24" s="118">
        <v>3709</v>
      </c>
      <c r="BG24" s="118">
        <v>3853</v>
      </c>
      <c r="BH24" s="45">
        <v>4440</v>
      </c>
      <c r="BI24" s="111">
        <f t="shared" si="40"/>
        <v>4440</v>
      </c>
      <c r="BJ24" s="45">
        <v>4391</v>
      </c>
      <c r="BK24" s="45">
        <v>3708</v>
      </c>
      <c r="BL24" s="45">
        <v>4367</v>
      </c>
      <c r="BM24" s="45">
        <v>4274</v>
      </c>
      <c r="BN24" s="111">
        <f t="shared" si="41"/>
        <v>4274</v>
      </c>
      <c r="BO24" s="45">
        <v>4602</v>
      </c>
      <c r="BP24" s="45">
        <v>4256</v>
      </c>
      <c r="BQ24" s="45">
        <f>5036</f>
        <v>5036</v>
      </c>
      <c r="BR24" s="45">
        <v>5354</v>
      </c>
      <c r="BS24" s="111">
        <f t="shared" si="42"/>
        <v>5354</v>
      </c>
      <c r="BT24" s="45">
        <v>5081</v>
      </c>
      <c r="BU24" s="45">
        <v>5942</v>
      </c>
      <c r="BV24" s="45">
        <v>3752</v>
      </c>
      <c r="BW24" s="45">
        <v>8330</v>
      </c>
      <c r="BX24" s="111">
        <f t="shared" si="43"/>
        <v>8330</v>
      </c>
      <c r="BY24" s="45">
        <v>4731</v>
      </c>
      <c r="BZ24" s="45">
        <v>4442</v>
      </c>
      <c r="CA24" s="45">
        <v>8200</v>
      </c>
      <c r="CB24" s="45">
        <v>11256</v>
      </c>
      <c r="CC24" s="111">
        <f t="shared" si="44"/>
        <v>11256</v>
      </c>
      <c r="CD24" s="45">
        <v>5339</v>
      </c>
      <c r="CE24" s="45">
        <v>6163</v>
      </c>
      <c r="CF24" s="45">
        <v>6195</v>
      </c>
      <c r="CG24" s="45">
        <v>7420</v>
      </c>
      <c r="CH24" s="111">
        <f t="shared" si="45"/>
        <v>7420</v>
      </c>
      <c r="CI24" s="45">
        <v>12303</v>
      </c>
      <c r="CJ24" s="45">
        <v>5877</v>
      </c>
      <c r="CK24" s="45">
        <v>8107</v>
      </c>
      <c r="CL24" s="45">
        <v>8577</v>
      </c>
      <c r="CM24" s="111">
        <f t="shared" si="46"/>
        <v>8577</v>
      </c>
      <c r="CN24" s="45">
        <v>11255</v>
      </c>
      <c r="CO24" s="45">
        <v>11604</v>
      </c>
      <c r="CP24" s="45">
        <v>12745</v>
      </c>
      <c r="CQ24" s="45">
        <v>13757</v>
      </c>
      <c r="CR24" s="111">
        <f t="shared" si="47"/>
        <v>13757</v>
      </c>
      <c r="CS24" s="45">
        <f>CS59*IS!CS4</f>
        <v>13484.213015000001</v>
      </c>
      <c r="CT24" s="45">
        <f>CT59*IS!CT4</f>
        <v>13838.910400000001</v>
      </c>
      <c r="CU24" s="45">
        <f>CU59*IS!CU4</f>
        <v>14309.357216000002</v>
      </c>
      <c r="CV24" s="45">
        <f>CV59*IS!CV4</f>
        <v>14557.680479999999</v>
      </c>
      <c r="CW24" s="111">
        <f t="shared" si="48"/>
        <v>14557.680479999999</v>
      </c>
    </row>
    <row r="25" spans="1:101">
      <c r="B25" s="24"/>
      <c r="C25" t="s">
        <v>54</v>
      </c>
      <c r="E25" s="32"/>
      <c r="F25" s="32"/>
      <c r="I25" s="45"/>
      <c r="J25" s="45">
        <v>1884</v>
      </c>
      <c r="K25" s="50"/>
      <c r="L25" s="45"/>
      <c r="M25" s="45"/>
      <c r="N25" s="45"/>
      <c r="O25" s="45">
        <v>3005</v>
      </c>
      <c r="P25" s="50"/>
      <c r="Q25" s="45">
        <v>2667</v>
      </c>
      <c r="R25" s="45">
        <v>3496</v>
      </c>
      <c r="S25" s="45">
        <v>3719</v>
      </c>
      <c r="T25" s="101">
        <v>3577</v>
      </c>
      <c r="U25" s="50"/>
      <c r="V25" s="45">
        <v>3362</v>
      </c>
      <c r="W25" s="45">
        <v>3836</v>
      </c>
      <c r="X25" s="45">
        <v>5189</v>
      </c>
      <c r="Y25" s="45">
        <v>5118</v>
      </c>
      <c r="Z25" s="50"/>
      <c r="AA25" s="45">
        <v>4548</v>
      </c>
      <c r="AB25" s="45">
        <v>4806</v>
      </c>
      <c r="AC25" s="118">
        <v>6634</v>
      </c>
      <c r="AD25" s="118">
        <v>6038</v>
      </c>
      <c r="AE25" s="111">
        <f t="shared" si="10"/>
        <v>6038</v>
      </c>
      <c r="AF25" s="76">
        <v>6697</v>
      </c>
      <c r="AG25" s="76">
        <v>6511</v>
      </c>
      <c r="AH25" s="76">
        <v>8404</v>
      </c>
      <c r="AI25" s="45">
        <v>7981</v>
      </c>
      <c r="AJ25" s="50">
        <f t="shared" si="49"/>
        <v>7981</v>
      </c>
      <c r="AK25" s="45">
        <v>7694</v>
      </c>
      <c r="AL25" s="45">
        <v>7639</v>
      </c>
      <c r="AM25" s="45">
        <v>10044</v>
      </c>
      <c r="AN25" s="45">
        <v>9926</v>
      </c>
      <c r="AO25" s="111">
        <f t="shared" si="12"/>
        <v>9926</v>
      </c>
      <c r="AP25" s="45">
        <v>10303</v>
      </c>
      <c r="AQ25" s="45">
        <v>9468</v>
      </c>
      <c r="AR25" s="45">
        <v>9922</v>
      </c>
      <c r="AS25" s="45">
        <v>11150</v>
      </c>
      <c r="AT25" s="111">
        <f t="shared" si="13"/>
        <v>11150</v>
      </c>
      <c r="AU25" s="45">
        <v>11333</v>
      </c>
      <c r="AV25" s="76">
        <v>12053</v>
      </c>
      <c r="AW25" s="253">
        <v>11796</v>
      </c>
      <c r="AX25" s="45">
        <v>13740</v>
      </c>
      <c r="AY25" s="111">
        <f t="shared" si="14"/>
        <v>13740</v>
      </c>
      <c r="AZ25" s="45">
        <v>12272</v>
      </c>
      <c r="BA25" s="253">
        <v>13243</v>
      </c>
      <c r="BB25" s="253">
        <v>12681</v>
      </c>
      <c r="BC25" s="45">
        <v>15886</v>
      </c>
      <c r="BD25" s="111">
        <f t="shared" si="39"/>
        <v>15886</v>
      </c>
      <c r="BE25" s="253">
        <v>11617</v>
      </c>
      <c r="BF25" s="118">
        <v>14347</v>
      </c>
      <c r="BG25" s="118">
        <v>15498</v>
      </c>
      <c r="BH25" s="45">
        <v>20415</v>
      </c>
      <c r="BI25" s="111">
        <f t="shared" si="40"/>
        <v>20415</v>
      </c>
      <c r="BJ25" s="45">
        <v>11974</v>
      </c>
      <c r="BK25" s="45">
        <v>15883</v>
      </c>
      <c r="BL25" s="45">
        <v>17660</v>
      </c>
      <c r="BM25" s="45">
        <v>22303</v>
      </c>
      <c r="BN25" s="111">
        <f t="shared" si="41"/>
        <v>22303</v>
      </c>
      <c r="BO25" s="45">
        <v>13132</v>
      </c>
      <c r="BP25" s="45">
        <v>16950</v>
      </c>
      <c r="BQ25" s="45">
        <f>19374</f>
        <v>19374</v>
      </c>
      <c r="BR25" s="45">
        <v>21939</v>
      </c>
      <c r="BS25" s="111">
        <f t="shared" si="42"/>
        <v>21939</v>
      </c>
      <c r="BT25" s="45">
        <v>20428</v>
      </c>
      <c r="BU25" s="45">
        <v>27469</v>
      </c>
      <c r="BV25" s="45">
        <v>30986</v>
      </c>
      <c r="BW25" s="45">
        <v>31661</v>
      </c>
      <c r="BX25" s="111">
        <f t="shared" si="43"/>
        <v>31661</v>
      </c>
      <c r="BY25" s="45">
        <v>21930</v>
      </c>
      <c r="BZ25" s="45">
        <v>25855</v>
      </c>
      <c r="CA25" s="45">
        <v>28779</v>
      </c>
      <c r="CB25" s="45">
        <v>30235</v>
      </c>
      <c r="CC25" s="111">
        <f t="shared" si="44"/>
        <v>30235</v>
      </c>
      <c r="CD25" s="45">
        <v>26431</v>
      </c>
      <c r="CE25" s="45">
        <v>28637</v>
      </c>
      <c r="CF25" s="45">
        <v>41474</v>
      </c>
      <c r="CG25" s="45">
        <v>41588</v>
      </c>
      <c r="CH25" s="111">
        <f t="shared" si="45"/>
        <v>41588</v>
      </c>
      <c r="CI25" s="45">
        <v>32990</v>
      </c>
      <c r="CJ25" s="45">
        <v>32236</v>
      </c>
      <c r="CK25" s="45">
        <v>46010</v>
      </c>
      <c r="CL25" s="45">
        <v>47160</v>
      </c>
      <c r="CM25" s="111">
        <f t="shared" si="46"/>
        <v>47160</v>
      </c>
      <c r="CN25" s="45">
        <v>40747</v>
      </c>
      <c r="CO25" s="45">
        <v>38708</v>
      </c>
      <c r="CP25" s="45">
        <v>51795</v>
      </c>
      <c r="CQ25" s="45">
        <v>47577</v>
      </c>
      <c r="CR25" s="111">
        <f t="shared" si="47"/>
        <v>47577</v>
      </c>
      <c r="CS25" s="45">
        <f>CS60*IS!CS4</f>
        <v>48157.903624999999</v>
      </c>
      <c r="CT25" s="45">
        <f>CT60*IS!CT4</f>
        <v>51401.667200000004</v>
      </c>
      <c r="CU25" s="45">
        <f>CU60*IS!CU4</f>
        <v>53149.041088000005</v>
      </c>
      <c r="CV25" s="45">
        <f>CV60*IS!CV4</f>
        <v>54071.384639999997</v>
      </c>
      <c r="CW25" s="111">
        <f t="shared" si="48"/>
        <v>54071.384639999997</v>
      </c>
    </row>
    <row r="26" spans="1:101">
      <c r="B26" s="24"/>
      <c r="C26" t="s">
        <v>55</v>
      </c>
      <c r="E26" s="32"/>
      <c r="F26" s="32"/>
      <c r="I26" s="45"/>
      <c r="J26" s="45">
        <v>567</v>
      </c>
      <c r="K26" s="50"/>
      <c r="L26" s="45"/>
      <c r="M26" s="45"/>
      <c r="N26" s="45"/>
      <c r="O26" s="45">
        <v>1071</v>
      </c>
      <c r="P26" s="50"/>
      <c r="Q26" s="45">
        <v>1457</v>
      </c>
      <c r="R26" s="45">
        <v>897</v>
      </c>
      <c r="S26" s="45">
        <v>1021</v>
      </c>
      <c r="T26" s="101">
        <v>807</v>
      </c>
      <c r="U26" s="50"/>
      <c r="V26" s="45">
        <v>944</v>
      </c>
      <c r="W26" s="45">
        <v>1260</v>
      </c>
      <c r="X26" s="45">
        <v>1126</v>
      </c>
      <c r="Y26" s="45">
        <v>1097</v>
      </c>
      <c r="Z26" s="50"/>
      <c r="AA26" s="45">
        <v>1311</v>
      </c>
      <c r="AB26" s="45">
        <v>1560</v>
      </c>
      <c r="AC26" s="118">
        <v>1276</v>
      </c>
      <c r="AD26" s="118">
        <v>1077</v>
      </c>
      <c r="AE26" s="111">
        <f t="shared" si="10"/>
        <v>1077</v>
      </c>
      <c r="AF26" s="76">
        <v>1063</v>
      </c>
      <c r="AG26" s="76">
        <v>3420</v>
      </c>
      <c r="AH26" s="76">
        <v>2665</v>
      </c>
      <c r="AI26" s="45">
        <v>2801</v>
      </c>
      <c r="AJ26" s="50">
        <f t="shared" si="49"/>
        <v>2801</v>
      </c>
      <c r="AK26" s="45">
        <v>3069</v>
      </c>
      <c r="AL26" s="45">
        <v>1805</v>
      </c>
      <c r="AM26" s="45">
        <v>1801</v>
      </c>
      <c r="AN26" s="45">
        <v>3168</v>
      </c>
      <c r="AO26" s="111">
        <f t="shared" si="12"/>
        <v>3168</v>
      </c>
      <c r="AP26" s="45">
        <v>2796</v>
      </c>
      <c r="AQ26" s="45">
        <v>2129</v>
      </c>
      <c r="AR26" s="45">
        <v>2338</v>
      </c>
      <c r="AS26" s="45">
        <v>1987</v>
      </c>
      <c r="AT26" s="111">
        <f t="shared" si="13"/>
        <v>1987</v>
      </c>
      <c r="AU26" s="45">
        <v>2926</v>
      </c>
      <c r="AV26" s="76">
        <v>3887</v>
      </c>
      <c r="AW26" s="253">
        <v>2509</v>
      </c>
      <c r="AX26" s="45">
        <v>3508</v>
      </c>
      <c r="AY26" s="111">
        <f t="shared" si="14"/>
        <v>3508</v>
      </c>
      <c r="AZ26" s="45">
        <v>4459</v>
      </c>
      <c r="BA26" s="253">
        <v>3723</v>
      </c>
      <c r="BB26" s="253">
        <v>3991</v>
      </c>
      <c r="BC26" s="45">
        <v>4712</v>
      </c>
      <c r="BD26" s="111">
        <f t="shared" si="39"/>
        <v>4712</v>
      </c>
      <c r="BE26" s="253">
        <v>4111</v>
      </c>
      <c r="BF26" s="118">
        <v>4758</v>
      </c>
      <c r="BG26" s="118">
        <v>3976</v>
      </c>
      <c r="BH26" s="45">
        <v>4558</v>
      </c>
      <c r="BI26" s="111">
        <f t="shared" si="40"/>
        <v>4558</v>
      </c>
      <c r="BJ26" s="45">
        <v>4619</v>
      </c>
      <c r="BK26" s="45">
        <v>4964</v>
      </c>
      <c r="BL26" s="45">
        <v>4874</v>
      </c>
      <c r="BM26" s="45">
        <v>6207</v>
      </c>
      <c r="BN26" s="111">
        <f t="shared" si="41"/>
        <v>6207</v>
      </c>
      <c r="BO26" s="45">
        <v>5374</v>
      </c>
      <c r="BP26" s="45">
        <v>5067</v>
      </c>
      <c r="BQ26" s="45">
        <f>6042</f>
        <v>6042</v>
      </c>
      <c r="BR26" s="45">
        <v>11161</v>
      </c>
      <c r="BS26" s="111">
        <f t="shared" si="42"/>
        <v>11161</v>
      </c>
      <c r="BT26" s="45">
        <v>10018</v>
      </c>
      <c r="BU26" s="45">
        <v>5221</v>
      </c>
      <c r="BV26" s="45">
        <v>7110</v>
      </c>
      <c r="BW26" s="45">
        <v>8345</v>
      </c>
      <c r="BX26" s="111">
        <f t="shared" si="43"/>
        <v>8345</v>
      </c>
      <c r="BY26" s="45">
        <v>6632</v>
      </c>
      <c r="BZ26" s="45">
        <v>7508</v>
      </c>
      <c r="CA26" s="45">
        <v>5202</v>
      </c>
      <c r="CB26" s="45">
        <v>7451</v>
      </c>
      <c r="CC26" s="111">
        <f t="shared" si="44"/>
        <v>7451</v>
      </c>
      <c r="CD26" s="45">
        <v>8163</v>
      </c>
      <c r="CE26" s="45">
        <v>6714</v>
      </c>
      <c r="CF26" s="45">
        <v>8900</v>
      </c>
      <c r="CG26" s="45">
        <v>8014</v>
      </c>
      <c r="CH26" s="111">
        <f t="shared" si="45"/>
        <v>8014</v>
      </c>
      <c r="CI26" s="45">
        <v>10744</v>
      </c>
      <c r="CJ26" s="45">
        <v>9446</v>
      </c>
      <c r="CK26" s="45">
        <v>8968</v>
      </c>
      <c r="CL26" s="45">
        <v>12108</v>
      </c>
      <c r="CM26" s="111">
        <f t="shared" si="46"/>
        <v>12108</v>
      </c>
      <c r="CN26" s="45">
        <v>16640</v>
      </c>
      <c r="CO26" s="45">
        <v>12710</v>
      </c>
      <c r="CP26" s="45">
        <v>12318</v>
      </c>
      <c r="CQ26" s="45">
        <v>13074</v>
      </c>
      <c r="CR26" s="111">
        <f t="shared" si="47"/>
        <v>13074</v>
      </c>
      <c r="CS26" s="45">
        <f>CS61*IS!CS4</f>
        <v>13484.213015000001</v>
      </c>
      <c r="CT26" s="45">
        <f>CT61*IS!CT4</f>
        <v>13838.910400000001</v>
      </c>
      <c r="CU26" s="45">
        <f>CU61*IS!CU4</f>
        <v>14309.357216000002</v>
      </c>
      <c r="CV26" s="45">
        <f>CV61*IS!CV4</f>
        <v>14557.680479999999</v>
      </c>
      <c r="CW26" s="111">
        <f t="shared" si="48"/>
        <v>14557.680479999999</v>
      </c>
    </row>
    <row r="27" spans="1:101" hidden="1">
      <c r="B27" s="24"/>
      <c r="C27" t="s">
        <v>56</v>
      </c>
      <c r="E27" s="32"/>
      <c r="F27" s="32"/>
      <c r="I27" s="45"/>
      <c r="J27" s="45">
        <v>112</v>
      </c>
      <c r="K27" s="50"/>
      <c r="L27" s="45"/>
      <c r="M27" s="45"/>
      <c r="N27" s="45"/>
      <c r="O27" s="45">
        <v>123</v>
      </c>
      <c r="P27" s="50"/>
      <c r="Q27" s="45"/>
      <c r="R27" s="45"/>
      <c r="S27" s="45"/>
      <c r="T27" s="101"/>
      <c r="U27" s="50"/>
      <c r="V27" s="45"/>
      <c r="W27" s="45"/>
      <c r="X27" s="45"/>
      <c r="Y27" s="45"/>
      <c r="Z27" s="50"/>
      <c r="AA27" s="45"/>
      <c r="AB27" s="45"/>
      <c r="AC27" s="118"/>
      <c r="AD27" s="118"/>
      <c r="AE27" s="111">
        <f t="shared" si="10"/>
        <v>0</v>
      </c>
      <c r="AF27" s="76"/>
      <c r="AG27" s="76"/>
      <c r="AH27" s="76"/>
      <c r="AI27" s="45"/>
      <c r="AJ27" s="50">
        <f t="shared" si="49"/>
        <v>0</v>
      </c>
      <c r="AK27" s="45"/>
      <c r="AL27" s="45"/>
      <c r="AM27" s="45"/>
      <c r="AN27" s="45"/>
      <c r="AO27" s="111">
        <f t="shared" si="12"/>
        <v>0</v>
      </c>
      <c r="AP27" s="45">
        <v>677</v>
      </c>
      <c r="AQ27" s="45">
        <v>704</v>
      </c>
      <c r="AR27" s="45">
        <v>723</v>
      </c>
      <c r="AS27" s="45">
        <v>1194</v>
      </c>
      <c r="AT27" s="111">
        <f t="shared" si="13"/>
        <v>1194</v>
      </c>
      <c r="AU27" s="45">
        <v>1081</v>
      </c>
      <c r="AV27" s="76">
        <v>1344</v>
      </c>
      <c r="AW27" s="253">
        <v>1330</v>
      </c>
      <c r="AX27" s="45">
        <v>1556</v>
      </c>
      <c r="AY27" s="111">
        <f t="shared" si="14"/>
        <v>1556</v>
      </c>
      <c r="AZ27" s="45">
        <v>1504</v>
      </c>
      <c r="BA27" s="253">
        <v>1606</v>
      </c>
      <c r="BB27" s="253">
        <v>1655</v>
      </c>
      <c r="BC27" s="45">
        <v>1679</v>
      </c>
      <c r="BD27" s="111">
        <f t="shared" si="39"/>
        <v>1679</v>
      </c>
      <c r="BE27" s="253">
        <v>1313</v>
      </c>
      <c r="BF27" s="118">
        <v>1373</v>
      </c>
      <c r="BG27" s="118">
        <v>1399</v>
      </c>
      <c r="BH27" s="253">
        <v>1781</v>
      </c>
      <c r="BI27" s="111">
        <f t="shared" si="40"/>
        <v>1781</v>
      </c>
      <c r="BJ27" s="253"/>
      <c r="BK27" s="253"/>
      <c r="BL27" s="253"/>
      <c r="BM27" s="253">
        <v>0</v>
      </c>
      <c r="BN27" s="111">
        <f t="shared" si="41"/>
        <v>0</v>
      </c>
      <c r="BO27" s="253"/>
      <c r="BP27" s="253"/>
      <c r="BQ27" s="253"/>
      <c r="BR27" s="253"/>
      <c r="BS27" s="111">
        <f t="shared" si="42"/>
        <v>0</v>
      </c>
      <c r="BT27" s="253"/>
      <c r="BU27" s="253"/>
      <c r="BV27" s="253"/>
      <c r="BW27" s="253"/>
      <c r="BX27" s="111">
        <f t="shared" si="43"/>
        <v>0</v>
      </c>
      <c r="BY27" s="253"/>
      <c r="BZ27" s="253"/>
      <c r="CA27" s="253"/>
      <c r="CB27" s="253"/>
      <c r="CC27" s="111">
        <f t="shared" si="44"/>
        <v>0</v>
      </c>
      <c r="CD27" s="253"/>
      <c r="CE27" s="253"/>
      <c r="CF27" s="253"/>
      <c r="CG27" s="253"/>
      <c r="CH27" s="111">
        <f t="shared" si="45"/>
        <v>0</v>
      </c>
      <c r="CI27" s="253"/>
      <c r="CJ27" s="253"/>
      <c r="CK27" s="253"/>
      <c r="CL27" s="253"/>
      <c r="CM27" s="111">
        <f t="shared" si="46"/>
        <v>0</v>
      </c>
      <c r="CN27" s="253"/>
      <c r="CO27" s="253"/>
      <c r="CP27" s="253"/>
      <c r="CQ27" s="253"/>
      <c r="CR27" s="111">
        <f t="shared" si="47"/>
        <v>0</v>
      </c>
      <c r="CS27" s="253"/>
      <c r="CT27" s="253"/>
      <c r="CU27" s="253"/>
      <c r="CV27" s="253"/>
      <c r="CW27" s="111">
        <f t="shared" si="48"/>
        <v>0</v>
      </c>
    </row>
    <row r="28" spans="1:101">
      <c r="B28" s="24"/>
      <c r="C28" t="s">
        <v>57</v>
      </c>
      <c r="E28" s="32"/>
      <c r="F28" s="32"/>
      <c r="I28" s="45"/>
      <c r="J28" s="45">
        <v>2574</v>
      </c>
      <c r="K28" s="50"/>
      <c r="L28" s="45"/>
      <c r="M28" s="45"/>
      <c r="N28" s="45"/>
      <c r="O28" s="45">
        <v>3407</v>
      </c>
      <c r="P28" s="50"/>
      <c r="Q28" s="45">
        <v>3593</v>
      </c>
      <c r="R28" s="45">
        <v>3688</v>
      </c>
      <c r="S28" s="45">
        <v>3674</v>
      </c>
      <c r="T28" s="101">
        <v>3585</v>
      </c>
      <c r="U28" s="50"/>
      <c r="V28" s="45">
        <v>3549</v>
      </c>
      <c r="W28" s="45">
        <v>3734</v>
      </c>
      <c r="X28" s="45">
        <v>3806</v>
      </c>
      <c r="Y28" s="45">
        <v>3840</v>
      </c>
      <c r="Z28" s="50"/>
      <c r="AA28" s="45">
        <v>4077</v>
      </c>
      <c r="AB28" s="45">
        <v>4366</v>
      </c>
      <c r="AC28" s="118">
        <v>5262</v>
      </c>
      <c r="AD28" s="118">
        <v>5499</v>
      </c>
      <c r="AE28" s="111">
        <f t="shared" si="10"/>
        <v>5499</v>
      </c>
      <c r="AF28" s="76">
        <v>5827</v>
      </c>
      <c r="AG28" s="76">
        <v>6174</v>
      </c>
      <c r="AH28" s="76">
        <v>6452</v>
      </c>
      <c r="AI28" s="45">
        <v>6335</v>
      </c>
      <c r="AJ28" s="50">
        <f t="shared" si="49"/>
        <v>6335</v>
      </c>
      <c r="AK28" s="45">
        <v>6493</v>
      </c>
      <c r="AL28" s="45">
        <v>6912</v>
      </c>
      <c r="AM28" s="45">
        <v>6961</v>
      </c>
      <c r="AN28" s="45">
        <v>7505</v>
      </c>
      <c r="AO28" s="111">
        <f t="shared" si="12"/>
        <v>7505</v>
      </c>
      <c r="AP28" s="45">
        <v>7530</v>
      </c>
      <c r="AQ28" s="45">
        <v>7833</v>
      </c>
      <c r="AR28" s="45">
        <v>8072</v>
      </c>
      <c r="AS28" s="45">
        <v>7740</v>
      </c>
      <c r="AT28" s="111">
        <f t="shared" si="13"/>
        <v>7740</v>
      </c>
      <c r="AU28" s="45">
        <v>11334</v>
      </c>
      <c r="AV28" s="76">
        <v>12281</v>
      </c>
      <c r="AW28" s="253">
        <v>12157</v>
      </c>
      <c r="AX28" s="45">
        <v>11055</v>
      </c>
      <c r="AY28" s="111">
        <f t="shared" si="14"/>
        <v>11055</v>
      </c>
      <c r="AZ28" s="45">
        <v>15803</v>
      </c>
      <c r="BA28" s="253">
        <v>16624</v>
      </c>
      <c r="BB28" s="253">
        <v>16209</v>
      </c>
      <c r="BC28" s="45">
        <v>16407</v>
      </c>
      <c r="BD28" s="111">
        <f t="shared" si="39"/>
        <v>16407</v>
      </c>
      <c r="BE28" s="253">
        <v>21583</v>
      </c>
      <c r="BF28" s="118">
        <v>24191</v>
      </c>
      <c r="BG28" s="118">
        <v>24948</v>
      </c>
      <c r="BH28" s="45">
        <v>25328</v>
      </c>
      <c r="BI28" s="111">
        <f t="shared" si="40"/>
        <v>25328</v>
      </c>
      <c r="BJ28" s="45">
        <v>28889</v>
      </c>
      <c r="BK28" s="45">
        <v>30376</v>
      </c>
      <c r="BL28" s="45">
        <v>30351</v>
      </c>
      <c r="BM28" s="45">
        <v>31463</v>
      </c>
      <c r="BN28" s="111">
        <f t="shared" si="41"/>
        <v>31463</v>
      </c>
      <c r="BO28" s="45">
        <v>34929</v>
      </c>
      <c r="BP28" s="45">
        <v>36273</v>
      </c>
      <c r="BQ28" s="45">
        <f>35582</f>
        <v>35582</v>
      </c>
      <c r="BR28" s="45">
        <v>37947</v>
      </c>
      <c r="BS28" s="111">
        <f t="shared" si="42"/>
        <v>37947</v>
      </c>
      <c r="BT28" s="45">
        <v>44481</v>
      </c>
      <c r="BU28" s="64">
        <v>48481</v>
      </c>
      <c r="BV28" s="45">
        <v>49185</v>
      </c>
      <c r="BW28" s="45">
        <v>50428</v>
      </c>
      <c r="BX28" s="111">
        <f t="shared" si="43"/>
        <v>50428</v>
      </c>
      <c r="BY28" s="45">
        <v>56798</v>
      </c>
      <c r="BZ28" s="45">
        <v>59093</v>
      </c>
      <c r="CA28" s="45">
        <v>58949</v>
      </c>
      <c r="CB28" s="45">
        <v>57423</v>
      </c>
      <c r="CC28" s="111">
        <f t="shared" si="44"/>
        <v>57423</v>
      </c>
      <c r="CD28" s="45">
        <v>62907</v>
      </c>
      <c r="CE28" s="45">
        <v>66381</v>
      </c>
      <c r="CF28" s="45">
        <v>71853</v>
      </c>
      <c r="CG28" s="45">
        <v>69187</v>
      </c>
      <c r="CH28" s="111">
        <f t="shared" si="45"/>
        <v>69187</v>
      </c>
      <c r="CI28" s="45">
        <v>73701</v>
      </c>
      <c r="CJ28" s="45">
        <v>76393</v>
      </c>
      <c r="CK28" s="45">
        <v>78883</v>
      </c>
      <c r="CL28" s="45">
        <v>74256</v>
      </c>
      <c r="CM28" s="111">
        <f t="shared" si="46"/>
        <v>74256</v>
      </c>
      <c r="CN28" s="45">
        <v>78620</v>
      </c>
      <c r="CO28" s="45">
        <v>79198</v>
      </c>
      <c r="CP28" s="45">
        <v>77566</v>
      </c>
      <c r="CQ28" s="45">
        <v>75590</v>
      </c>
      <c r="CR28" s="111">
        <f t="shared" si="47"/>
        <v>75590</v>
      </c>
      <c r="CS28" s="45">
        <f>CS62*IS!CS4</f>
        <v>94389.491104999994</v>
      </c>
      <c r="CT28" s="45">
        <f>CT62*IS!CT4</f>
        <v>96872.372799999997</v>
      </c>
      <c r="CU28" s="45">
        <f>CU62*IS!CU4</f>
        <v>100165.500512</v>
      </c>
      <c r="CV28" s="45">
        <f>CV62*IS!CV4</f>
        <v>101903.76335999998</v>
      </c>
      <c r="CW28" s="111">
        <f t="shared" si="48"/>
        <v>101903.76335999998</v>
      </c>
    </row>
    <row r="29" spans="1:101">
      <c r="B29" s="24"/>
      <c r="C29" t="s">
        <v>347</v>
      </c>
      <c r="E29" s="32"/>
      <c r="F29" s="32"/>
      <c r="I29" s="45"/>
      <c r="J29" s="45"/>
      <c r="K29" s="50"/>
      <c r="L29" s="45"/>
      <c r="M29" s="45"/>
      <c r="N29" s="45"/>
      <c r="O29" s="45"/>
      <c r="P29" s="50"/>
      <c r="Q29" s="45"/>
      <c r="R29" s="45"/>
      <c r="S29" s="45"/>
      <c r="T29" s="101"/>
      <c r="U29" s="50"/>
      <c r="V29" s="45"/>
      <c r="W29" s="45"/>
      <c r="X29" s="45"/>
      <c r="Y29" s="45"/>
      <c r="Z29" s="50"/>
      <c r="AA29" s="45"/>
      <c r="AB29" s="45"/>
      <c r="AC29" s="118"/>
      <c r="AD29" s="118"/>
      <c r="AE29" s="111"/>
      <c r="AF29" s="76"/>
      <c r="AG29" s="76"/>
      <c r="AH29" s="76"/>
      <c r="AI29" s="45"/>
      <c r="AJ29" s="50"/>
      <c r="AK29" s="45"/>
      <c r="AL29" s="45"/>
      <c r="AM29" s="45"/>
      <c r="AN29" s="45"/>
      <c r="AO29" s="111"/>
      <c r="AP29" s="45"/>
      <c r="AQ29" s="45"/>
      <c r="AR29" s="45"/>
      <c r="AS29" s="45"/>
      <c r="AT29" s="111"/>
      <c r="AU29" s="45"/>
      <c r="AV29" s="76"/>
      <c r="AW29" s="253"/>
      <c r="AX29" s="45"/>
      <c r="AY29" s="111"/>
      <c r="AZ29" s="45"/>
      <c r="BA29" s="253"/>
      <c r="BB29" s="253"/>
      <c r="BC29" s="45"/>
      <c r="BD29" s="111"/>
      <c r="BE29" s="253"/>
      <c r="BF29" s="118"/>
      <c r="BG29" s="118"/>
      <c r="BH29" s="45"/>
      <c r="BI29" s="111"/>
      <c r="BJ29" s="45">
        <v>3509</v>
      </c>
      <c r="BK29" s="45">
        <v>3469</v>
      </c>
      <c r="BL29" s="45">
        <v>3281</v>
      </c>
      <c r="BM29" s="45">
        <v>5072</v>
      </c>
      <c r="BN29" s="111">
        <f>BM29</f>
        <v>5072</v>
      </c>
      <c r="BO29" s="45">
        <v>3866</v>
      </c>
      <c r="BP29" s="45">
        <v>4189</v>
      </c>
      <c r="BQ29" s="45">
        <f>4355</f>
        <v>4355</v>
      </c>
      <c r="BR29" s="45">
        <v>2798</v>
      </c>
      <c r="BS29" s="111">
        <f t="shared" ref="BS29:BX29" si="50">BR29</f>
        <v>2798</v>
      </c>
      <c r="BT29" s="45">
        <v>3424</v>
      </c>
      <c r="BU29" s="45">
        <v>3960</v>
      </c>
      <c r="BV29" s="45">
        <v>3895</v>
      </c>
      <c r="BW29" s="45">
        <v>4108</v>
      </c>
      <c r="BX29" s="111">
        <f t="shared" si="50"/>
        <v>4108</v>
      </c>
      <c r="BY29" s="45">
        <v>4337</v>
      </c>
      <c r="BZ29" s="45">
        <v>4341</v>
      </c>
      <c r="CA29" s="45">
        <v>4336</v>
      </c>
      <c r="CB29" s="45">
        <v>4277</v>
      </c>
      <c r="CC29" s="111">
        <f t="shared" si="44"/>
        <v>4277</v>
      </c>
      <c r="CD29" s="45">
        <v>4121</v>
      </c>
      <c r="CE29" s="45">
        <v>4073</v>
      </c>
      <c r="CF29" s="45">
        <v>4449</v>
      </c>
      <c r="CG29" s="45">
        <v>4460</v>
      </c>
      <c r="CH29" s="111">
        <f t="shared" si="45"/>
        <v>4460</v>
      </c>
      <c r="CI29" s="45">
        <v>4478</v>
      </c>
      <c r="CJ29" s="45">
        <v>4594</v>
      </c>
      <c r="CK29" s="45">
        <v>4363</v>
      </c>
      <c r="CL29" s="45">
        <v>4583</v>
      </c>
      <c r="CM29" s="111">
        <f t="shared" si="46"/>
        <v>4583</v>
      </c>
      <c r="CN29" s="45">
        <v>6162</v>
      </c>
      <c r="CO29" s="45">
        <v>5749</v>
      </c>
      <c r="CP29" s="45">
        <v>5623</v>
      </c>
      <c r="CQ29" s="45">
        <v>4353</v>
      </c>
      <c r="CR29" s="111">
        <f t="shared" si="47"/>
        <v>4353</v>
      </c>
      <c r="CS29" s="45">
        <f t="shared" ref="CS29" si="51">CR29</f>
        <v>4353</v>
      </c>
      <c r="CT29" s="45">
        <f t="shared" ref="CT29" si="52">CS29</f>
        <v>4353</v>
      </c>
      <c r="CU29" s="45">
        <f t="shared" ref="CU29" si="53">CT29</f>
        <v>4353</v>
      </c>
      <c r="CV29" s="45">
        <f t="shared" ref="CV29" si="54">CU29</f>
        <v>4353</v>
      </c>
      <c r="CW29" s="111">
        <f t="shared" si="48"/>
        <v>4353</v>
      </c>
    </row>
    <row r="30" spans="1:101" hidden="1">
      <c r="B30" s="24"/>
      <c r="C30" t="s">
        <v>58</v>
      </c>
      <c r="E30" s="32"/>
      <c r="F30" s="32"/>
      <c r="I30" s="45"/>
      <c r="J30" s="45">
        <v>36</v>
      </c>
      <c r="K30" s="50"/>
      <c r="L30" s="45"/>
      <c r="M30" s="45"/>
      <c r="N30" s="45"/>
      <c r="O30" s="45">
        <v>2</v>
      </c>
      <c r="P30" s="50"/>
      <c r="Q30" s="45"/>
      <c r="R30" s="45"/>
      <c r="S30" s="45"/>
      <c r="T30" s="101"/>
      <c r="U30" s="50"/>
      <c r="V30" s="45"/>
      <c r="W30" s="45"/>
      <c r="X30" s="45"/>
      <c r="Y30" s="45"/>
      <c r="Z30" s="50"/>
      <c r="AA30" s="45"/>
      <c r="AB30" s="45"/>
      <c r="AC30" s="118"/>
      <c r="AD30" s="118"/>
      <c r="AE30" s="111">
        <f t="shared" si="10"/>
        <v>0</v>
      </c>
      <c r="AF30" s="76"/>
      <c r="AG30" s="76"/>
      <c r="AH30" s="76"/>
      <c r="AI30" s="45"/>
      <c r="AJ30" s="50">
        <f t="shared" si="49"/>
        <v>0</v>
      </c>
      <c r="AK30" s="45"/>
      <c r="AL30" s="45"/>
      <c r="AM30" s="45"/>
      <c r="AN30" s="45"/>
      <c r="AO30" s="111">
        <f t="shared" si="12"/>
        <v>0</v>
      </c>
      <c r="AP30" s="45"/>
      <c r="AQ30" s="45"/>
      <c r="AR30" s="45"/>
      <c r="AS30" s="45"/>
      <c r="AT30" s="111">
        <f t="shared" si="13"/>
        <v>0</v>
      </c>
      <c r="AU30" s="45"/>
      <c r="AV30" s="76"/>
      <c r="AW30" s="253"/>
      <c r="AX30" s="45"/>
      <c r="AY30" s="111">
        <f t="shared" si="14"/>
        <v>0</v>
      </c>
      <c r="AZ30" s="45"/>
      <c r="BA30" s="253"/>
      <c r="BB30" s="253"/>
      <c r="BC30" s="45"/>
      <c r="BD30" s="111">
        <f t="shared" si="39"/>
        <v>0</v>
      </c>
      <c r="BE30" s="253"/>
      <c r="BF30" s="118"/>
      <c r="BG30" s="118"/>
      <c r="BH30" s="45"/>
      <c r="BI30" s="111">
        <f t="shared" si="40"/>
        <v>0</v>
      </c>
      <c r="BJ30" s="45"/>
      <c r="BK30" s="45"/>
      <c r="BL30" s="45"/>
      <c r="BM30" s="45"/>
      <c r="BN30" s="111">
        <f t="shared" si="41"/>
        <v>0</v>
      </c>
      <c r="BO30" s="45"/>
      <c r="BP30" s="45"/>
      <c r="BQ30" s="45"/>
      <c r="BR30" s="45"/>
      <c r="BS30" s="111">
        <f t="shared" si="42"/>
        <v>0</v>
      </c>
      <c r="BT30" s="45"/>
      <c r="BU30" s="45"/>
      <c r="BV30" s="45"/>
      <c r="BW30" s="45"/>
      <c r="BX30" s="111">
        <f t="shared" ref="BX30:BX33" si="55">BW30</f>
        <v>0</v>
      </c>
      <c r="BY30" s="45"/>
      <c r="BZ30" s="45"/>
      <c r="CA30" s="45"/>
      <c r="CB30" s="45"/>
      <c r="CC30" s="111">
        <f t="shared" si="44"/>
        <v>0</v>
      </c>
      <c r="CD30" s="45"/>
      <c r="CE30" s="45"/>
      <c r="CF30" s="45"/>
      <c r="CG30" s="45"/>
      <c r="CH30" s="111">
        <f t="shared" si="45"/>
        <v>0</v>
      </c>
      <c r="CI30" s="45"/>
      <c r="CJ30" s="45"/>
      <c r="CK30" s="45"/>
      <c r="CL30" s="45"/>
      <c r="CM30" s="111">
        <f t="shared" si="46"/>
        <v>0</v>
      </c>
      <c r="CN30" s="45"/>
      <c r="CO30" s="45"/>
      <c r="CP30" s="45"/>
      <c r="CQ30" s="45"/>
      <c r="CR30" s="111">
        <f t="shared" si="47"/>
        <v>0</v>
      </c>
      <c r="CS30" s="45"/>
      <c r="CT30" s="45"/>
      <c r="CU30" s="45"/>
      <c r="CV30" s="45"/>
      <c r="CW30" s="111">
        <f t="shared" si="48"/>
        <v>0</v>
      </c>
    </row>
    <row r="31" spans="1:101" s="1" customFormat="1" ht="13.15">
      <c r="B31" s="14" t="s">
        <v>59</v>
      </c>
      <c r="E31" s="52"/>
      <c r="F31" s="52"/>
      <c r="I31" s="44"/>
      <c r="J31" s="44">
        <f>SUM(J21:J30)</f>
        <v>9127</v>
      </c>
      <c r="K31" s="49"/>
      <c r="L31" s="44"/>
      <c r="M31" s="44"/>
      <c r="N31" s="44"/>
      <c r="O31" s="44">
        <f>SUM(O21:O30)</f>
        <v>11290</v>
      </c>
      <c r="P31" s="49"/>
      <c r="Q31" s="44">
        <f>SUM(Q21:Q30)</f>
        <v>11411</v>
      </c>
      <c r="R31" s="44">
        <f>SUM(R21:R30)</f>
        <v>9407</v>
      </c>
      <c r="S31" s="44">
        <f>SUM(S21:S30)</f>
        <v>9594</v>
      </c>
      <c r="T31" s="102">
        <f>SUM(T21:T30)</f>
        <v>9089</v>
      </c>
      <c r="U31" s="49"/>
      <c r="V31" s="44">
        <f>SUM(V21:V30)</f>
        <v>9434</v>
      </c>
      <c r="W31" s="44">
        <f>SUM(W21:W30)</f>
        <v>10651</v>
      </c>
      <c r="X31" s="44">
        <f>SUM(X21:X30)</f>
        <v>11508</v>
      </c>
      <c r="Y31" s="44">
        <f>SUM(Y21:Y30)</f>
        <v>11466</v>
      </c>
      <c r="Z31" s="49"/>
      <c r="AA31" s="44">
        <f>SUM(AA21:AA30)</f>
        <v>11176</v>
      </c>
      <c r="AB31" s="44">
        <f>SUM(AB21:AB30)</f>
        <v>12676</v>
      </c>
      <c r="AC31" s="120">
        <f>SUM(AC21:AC30)</f>
        <v>15911</v>
      </c>
      <c r="AD31" s="120">
        <f>SUM(AD21:AD30)</f>
        <v>14471</v>
      </c>
      <c r="AE31" s="111">
        <f t="shared" si="10"/>
        <v>14471</v>
      </c>
      <c r="AF31" s="44">
        <f>SUM(AF21:AF30)</f>
        <v>15621</v>
      </c>
      <c r="AG31" s="44">
        <f>SUM(AG21:AG30)</f>
        <v>17755</v>
      </c>
      <c r="AH31" s="44">
        <f>SUM(AH21:AH30)</f>
        <v>19206</v>
      </c>
      <c r="AI31" s="44">
        <f>SUM(AI21:AI30)</f>
        <v>18915</v>
      </c>
      <c r="AJ31" s="49">
        <f t="shared" si="49"/>
        <v>18915</v>
      </c>
      <c r="AK31" s="44">
        <f>SUM(AK21:AK30)</f>
        <v>19499</v>
      </c>
      <c r="AL31" s="44">
        <f>SUM(AL21:AL30)</f>
        <v>19355</v>
      </c>
      <c r="AM31" s="44">
        <f>SUM(AM21:AM30)</f>
        <v>20904</v>
      </c>
      <c r="AN31" s="44">
        <f>SUM(AN21:AN30)</f>
        <v>24560</v>
      </c>
      <c r="AO31" s="166">
        <f t="shared" si="12"/>
        <v>24560</v>
      </c>
      <c r="AP31" s="44">
        <f>SUM(AP21:AP30)</f>
        <v>24750</v>
      </c>
      <c r="AQ31" s="44">
        <f>SUM(AQ21:AQ30)</f>
        <v>23840</v>
      </c>
      <c r="AR31" s="44">
        <f>SUM(AR21:AR30)</f>
        <v>23436</v>
      </c>
      <c r="AS31" s="44">
        <f>SUM(AS21:AS30)</f>
        <v>24234</v>
      </c>
      <c r="AT31" s="111">
        <f t="shared" si="13"/>
        <v>24234</v>
      </c>
      <c r="AU31" s="44">
        <f>SUM(AU21:AU30)</f>
        <v>30574</v>
      </c>
      <c r="AV31" s="44">
        <f>SUM(AV21:AV30)</f>
        <v>33146</v>
      </c>
      <c r="AW31" s="44">
        <f>SUM(AW21:AW30)</f>
        <v>30234</v>
      </c>
      <c r="AX31" s="44">
        <f>SUM(AX21:AX30)</f>
        <v>32161</v>
      </c>
      <c r="AY31" s="166">
        <f t="shared" si="14"/>
        <v>32161</v>
      </c>
      <c r="AZ31" s="44">
        <f>SUM(AZ21:AZ30)</f>
        <v>37618</v>
      </c>
      <c r="BA31" s="44">
        <f>SUM(BA21:BA30)</f>
        <v>37916</v>
      </c>
      <c r="BB31" s="44">
        <f>SUM(BB21:BB30)</f>
        <v>37625</v>
      </c>
      <c r="BC31" s="44">
        <f>SUM(BC21:BC30)</f>
        <v>43147</v>
      </c>
      <c r="BD31" s="166">
        <f t="shared" si="39"/>
        <v>43147</v>
      </c>
      <c r="BE31" s="44">
        <f>SUM(BE21:BE30)</f>
        <v>42096</v>
      </c>
      <c r="BF31" s="120">
        <f>SUM(BF21:BF30)</f>
        <v>48378</v>
      </c>
      <c r="BG31" s="120">
        <f>SUM(BG21:BG30)</f>
        <v>49674</v>
      </c>
      <c r="BH31" s="44">
        <f>SUM(BH21:BH30)</f>
        <v>56522</v>
      </c>
      <c r="BI31" s="166">
        <f t="shared" si="40"/>
        <v>56522</v>
      </c>
      <c r="BJ31" s="44">
        <f>SUM(BJ21:BJ30)</f>
        <v>53382</v>
      </c>
      <c r="BK31" s="44">
        <f>SUM(BK21:BK30)</f>
        <v>58400</v>
      </c>
      <c r="BL31" s="44">
        <f>SUM(BL21:BL30)</f>
        <v>60533</v>
      </c>
      <c r="BM31" s="44">
        <f>SUM(BM21:BM30)</f>
        <v>69319</v>
      </c>
      <c r="BN31" s="166">
        <f t="shared" si="41"/>
        <v>69319</v>
      </c>
      <c r="BO31" s="44">
        <f>SUM(BO21:BO30)</f>
        <v>61903</v>
      </c>
      <c r="BP31" s="44">
        <f>SUM(BP21:BP30)</f>
        <v>66735</v>
      </c>
      <c r="BQ31" s="44">
        <f>SUM(BQ21:BQ30)</f>
        <v>70389</v>
      </c>
      <c r="BR31" s="44">
        <f>SUM(BR21:BR30)</f>
        <v>79199</v>
      </c>
      <c r="BS31" s="166">
        <f t="shared" si="42"/>
        <v>79199</v>
      </c>
      <c r="BT31" s="44">
        <f>SUM(BT21:BT30)</f>
        <v>83432</v>
      </c>
      <c r="BU31" s="44">
        <f>SUM(BU21:BU30)</f>
        <v>91073</v>
      </c>
      <c r="BV31" s="44">
        <f>SUM(BV21:BV30)</f>
        <v>94928</v>
      </c>
      <c r="BW31" s="44">
        <f>SUM(BW21:BW30)</f>
        <v>102872</v>
      </c>
      <c r="BX31" s="166">
        <f t="shared" si="55"/>
        <v>102872</v>
      </c>
      <c r="BY31" s="44">
        <f>SUM(BY21:BY30)</f>
        <v>94428</v>
      </c>
      <c r="BZ31" s="44">
        <f>SUM(BZ21:BZ30)</f>
        <v>101239</v>
      </c>
      <c r="CA31" s="44">
        <f>SUM(CA21:CA30)</f>
        <v>105466</v>
      </c>
      <c r="CB31" s="44">
        <f>SUM(CB21:CB30)</f>
        <v>110642</v>
      </c>
      <c r="CC31" s="166">
        <f t="shared" si="44"/>
        <v>110642</v>
      </c>
      <c r="CD31" s="44">
        <f>SUM(CD21:CD30)</f>
        <v>106961</v>
      </c>
      <c r="CE31" s="44">
        <f>SUM(CE21:CE30)</f>
        <v>111968</v>
      </c>
      <c r="CF31" s="44">
        <f>SUM(CF21:CF30)</f>
        <v>132871</v>
      </c>
      <c r="CG31" s="44">
        <f>SUM(CG21:CG30)</f>
        <v>130669</v>
      </c>
      <c r="CH31" s="166">
        <f t="shared" si="45"/>
        <v>130669</v>
      </c>
      <c r="CI31" s="44">
        <f>SUM(CI21:CI30)</f>
        <v>134216</v>
      </c>
      <c r="CJ31" s="44">
        <f>SUM(CJ21:CJ30)</f>
        <v>128546</v>
      </c>
      <c r="CK31" s="44">
        <f>SUM(CK21:CK30)</f>
        <v>146331</v>
      </c>
      <c r="CL31" s="44">
        <f>SUM(CL21:CL30)</f>
        <v>146684</v>
      </c>
      <c r="CM31" s="166">
        <f t="shared" si="46"/>
        <v>146684</v>
      </c>
      <c r="CN31" s="44">
        <f>SUM(CN21:CN30)</f>
        <v>153424</v>
      </c>
      <c r="CO31" s="44">
        <f>SUM(CO21:CO30)</f>
        <v>147969</v>
      </c>
      <c r="CP31" s="44">
        <f>SUM(CP21:CP30)</f>
        <v>160047</v>
      </c>
      <c r="CQ31" s="44">
        <f>SUM(CQ21:CQ30)</f>
        <v>154351</v>
      </c>
      <c r="CR31" s="166">
        <f t="shared" si="47"/>
        <v>154351</v>
      </c>
      <c r="CS31" s="44">
        <f>SUM(CS21:CS30)</f>
        <v>173868.82076</v>
      </c>
      <c r="CT31" s="44">
        <f>SUM(CT21:CT30)</f>
        <v>180304.86080000002</v>
      </c>
      <c r="CU31" s="44">
        <f>SUM(CU21:CU30)</f>
        <v>186286.256032</v>
      </c>
      <c r="CV31" s="44">
        <f>SUM(CV21:CV30)</f>
        <v>189443.50895999998</v>
      </c>
      <c r="CW31" s="166">
        <f t="shared" si="48"/>
        <v>189443.50895999998</v>
      </c>
    </row>
    <row r="32" spans="1:101" s="1" customFormat="1" ht="13.15" hidden="1">
      <c r="B32" s="14"/>
      <c r="C32" t="s">
        <v>96</v>
      </c>
      <c r="E32" s="52"/>
      <c r="F32" s="52"/>
      <c r="I32" s="44"/>
      <c r="J32" s="44"/>
      <c r="K32" s="49"/>
      <c r="L32" s="44"/>
      <c r="M32" s="44"/>
      <c r="N32" s="44"/>
      <c r="O32" s="44"/>
      <c r="P32" s="49"/>
      <c r="Q32" s="76">
        <v>146</v>
      </c>
      <c r="R32" s="77">
        <v>0</v>
      </c>
      <c r="S32" s="77">
        <v>0</v>
      </c>
      <c r="T32" s="101">
        <v>0</v>
      </c>
      <c r="U32" s="49"/>
      <c r="V32" s="77">
        <v>0</v>
      </c>
      <c r="W32" s="77">
        <v>0</v>
      </c>
      <c r="X32" s="77">
        <f>W32</f>
        <v>0</v>
      </c>
      <c r="Y32" s="77">
        <f>X32</f>
        <v>0</v>
      </c>
      <c r="Z32" s="49"/>
      <c r="AA32" s="77">
        <v>0</v>
      </c>
      <c r="AB32" s="77">
        <v>0</v>
      </c>
      <c r="AC32" s="118">
        <f>AB32</f>
        <v>0</v>
      </c>
      <c r="AD32" s="118">
        <f>AC32</f>
        <v>0</v>
      </c>
      <c r="AE32" s="111">
        <f t="shared" si="10"/>
        <v>0</v>
      </c>
      <c r="AF32" s="76">
        <v>0</v>
      </c>
      <c r="AG32" s="76">
        <v>0</v>
      </c>
      <c r="AH32" s="76">
        <f>AG32</f>
        <v>0</v>
      </c>
      <c r="AI32" s="77">
        <f>AH32</f>
        <v>0</v>
      </c>
      <c r="AJ32" s="50">
        <f t="shared" si="49"/>
        <v>0</v>
      </c>
      <c r="AK32" s="77">
        <v>0</v>
      </c>
      <c r="AL32" s="77">
        <v>0</v>
      </c>
      <c r="AM32" s="77">
        <f>AL32</f>
        <v>0</v>
      </c>
      <c r="AN32" s="77">
        <f>AM32</f>
        <v>0</v>
      </c>
      <c r="AO32" s="111">
        <f t="shared" si="12"/>
        <v>0</v>
      </c>
      <c r="AP32" s="77"/>
      <c r="AQ32" s="77"/>
      <c r="AR32" s="77"/>
      <c r="AS32" s="77"/>
      <c r="AT32" s="111">
        <f t="shared" si="13"/>
        <v>0</v>
      </c>
      <c r="AU32" s="77"/>
      <c r="AV32" s="76">
        <v>0</v>
      </c>
      <c r="AW32" s="253">
        <f>AV32</f>
        <v>0</v>
      </c>
      <c r="AX32" s="76">
        <f>AW32</f>
        <v>0</v>
      </c>
      <c r="AY32" s="246">
        <f t="shared" si="14"/>
        <v>0</v>
      </c>
      <c r="AZ32" s="76">
        <v>0</v>
      </c>
      <c r="BA32" s="253">
        <v>0</v>
      </c>
      <c r="BB32" s="253">
        <f>BA32</f>
        <v>0</v>
      </c>
      <c r="BC32" s="76">
        <f>BB32</f>
        <v>0</v>
      </c>
      <c r="BD32" s="246">
        <f t="shared" si="39"/>
        <v>0</v>
      </c>
      <c r="BE32" s="253">
        <v>0</v>
      </c>
      <c r="BF32" s="118">
        <v>0</v>
      </c>
      <c r="BG32" s="118">
        <f>BF32</f>
        <v>0</v>
      </c>
      <c r="BH32" s="76">
        <f>BG32</f>
        <v>0</v>
      </c>
      <c r="BI32" s="246">
        <f t="shared" si="40"/>
        <v>0</v>
      </c>
      <c r="BJ32" s="76">
        <v>0</v>
      </c>
      <c r="BK32" s="76">
        <v>0</v>
      </c>
      <c r="BL32" s="76">
        <f>BK32</f>
        <v>0</v>
      </c>
      <c r="BM32" s="76">
        <f>BL32</f>
        <v>0</v>
      </c>
      <c r="BN32" s="246">
        <f t="shared" si="41"/>
        <v>0</v>
      </c>
      <c r="BO32" s="76">
        <v>0</v>
      </c>
      <c r="BP32" s="76">
        <v>0</v>
      </c>
      <c r="BQ32" s="76">
        <f t="shared" ref="BQ32:BR32" si="56">BP32</f>
        <v>0</v>
      </c>
      <c r="BR32" s="76">
        <f t="shared" si="56"/>
        <v>0</v>
      </c>
      <c r="BS32" s="246">
        <f t="shared" si="42"/>
        <v>0</v>
      </c>
      <c r="BT32" s="76">
        <v>0</v>
      </c>
      <c r="BU32" s="76">
        <v>0</v>
      </c>
      <c r="BV32" s="76">
        <f t="shared" ref="BV32:BW32" si="57">BU32</f>
        <v>0</v>
      </c>
      <c r="BW32" s="76">
        <f t="shared" si="57"/>
        <v>0</v>
      </c>
      <c r="BX32" s="246">
        <f t="shared" si="55"/>
        <v>0</v>
      </c>
      <c r="BY32" s="76">
        <v>0</v>
      </c>
      <c r="BZ32" s="76">
        <v>0</v>
      </c>
      <c r="CA32" s="76">
        <f t="shared" ref="CA32" si="58">BZ32</f>
        <v>0</v>
      </c>
      <c r="CB32" s="76">
        <f t="shared" ref="CB32" si="59">CA32</f>
        <v>0</v>
      </c>
      <c r="CC32" s="246">
        <f t="shared" si="44"/>
        <v>0</v>
      </c>
      <c r="CD32" s="76">
        <v>0</v>
      </c>
      <c r="CE32" s="76">
        <v>0</v>
      </c>
      <c r="CF32" s="76">
        <f t="shared" ref="CF32" si="60">CE32</f>
        <v>0</v>
      </c>
      <c r="CG32" s="76">
        <f t="shared" ref="CG32" si="61">CF32</f>
        <v>0</v>
      </c>
      <c r="CH32" s="246">
        <f t="shared" si="45"/>
        <v>0</v>
      </c>
      <c r="CI32" s="76">
        <v>0</v>
      </c>
      <c r="CJ32" s="76"/>
      <c r="CK32" s="76">
        <f t="shared" ref="CK32" si="62">CJ32</f>
        <v>0</v>
      </c>
      <c r="CL32" s="76"/>
      <c r="CM32" s="246">
        <f t="shared" si="46"/>
        <v>0</v>
      </c>
      <c r="CN32" s="76">
        <v>0</v>
      </c>
      <c r="CO32" s="76"/>
      <c r="CP32" s="76">
        <f t="shared" ref="CP32" si="63">CO32</f>
        <v>0</v>
      </c>
      <c r="CQ32" s="76"/>
      <c r="CR32" s="246">
        <f t="shared" si="47"/>
        <v>0</v>
      </c>
      <c r="CS32" s="76">
        <v>0</v>
      </c>
      <c r="CT32" s="76">
        <v>0</v>
      </c>
      <c r="CU32" s="76">
        <f t="shared" ref="CU32:CU34" si="64">CT32</f>
        <v>0</v>
      </c>
      <c r="CV32" s="76">
        <f t="shared" ref="CV32:CV34" si="65">CU32</f>
        <v>0</v>
      </c>
      <c r="CW32" s="246">
        <f t="shared" si="48"/>
        <v>0</v>
      </c>
    </row>
    <row r="33" spans="2:101">
      <c r="B33" s="24"/>
      <c r="C33" t="s">
        <v>60</v>
      </c>
      <c r="E33" s="32"/>
      <c r="F33" s="32"/>
      <c r="I33" s="45"/>
      <c r="J33" s="45">
        <v>4014</v>
      </c>
      <c r="K33" s="50"/>
      <c r="L33" s="45"/>
      <c r="M33" s="45"/>
      <c r="N33" s="45"/>
      <c r="O33" s="45">
        <v>4025</v>
      </c>
      <c r="P33" s="50"/>
      <c r="Q33" s="45">
        <v>4158</v>
      </c>
      <c r="R33" s="45">
        <v>4333</v>
      </c>
      <c r="S33" s="45">
        <v>4624</v>
      </c>
      <c r="T33" s="101">
        <v>5002</v>
      </c>
      <c r="U33" s="50"/>
      <c r="V33" s="45">
        <v>5302</v>
      </c>
      <c r="W33" s="45">
        <v>5461</v>
      </c>
      <c r="X33" s="45">
        <v>6104</v>
      </c>
      <c r="Y33" s="45">
        <v>6599</v>
      </c>
      <c r="Z33" s="50"/>
      <c r="AA33" s="45">
        <v>7294</v>
      </c>
      <c r="AB33" s="45">
        <v>7873</v>
      </c>
      <c r="AC33" s="118">
        <v>8003</v>
      </c>
      <c r="AD33" s="118">
        <v>8312</v>
      </c>
      <c r="AE33" s="111">
        <f t="shared" si="10"/>
        <v>8312</v>
      </c>
      <c r="AF33" s="76">
        <v>8339</v>
      </c>
      <c r="AG33" s="76">
        <v>8686</v>
      </c>
      <c r="AH33" s="76">
        <v>8765</v>
      </c>
      <c r="AI33" s="45">
        <v>8785</v>
      </c>
      <c r="AJ33" s="50">
        <f t="shared" si="49"/>
        <v>8785</v>
      </c>
      <c r="AK33" s="45">
        <v>9201</v>
      </c>
      <c r="AL33" s="45">
        <v>10017</v>
      </c>
      <c r="AM33" s="45">
        <v>10237</v>
      </c>
      <c r="AN33" s="45">
        <v>10653</v>
      </c>
      <c r="AO33" s="111">
        <f t="shared" si="12"/>
        <v>10653</v>
      </c>
      <c r="AP33" s="45">
        <v>10550</v>
      </c>
      <c r="AQ33" s="45">
        <v>10996</v>
      </c>
      <c r="AR33" s="45">
        <v>11701</v>
      </c>
      <c r="AS33" s="45">
        <v>11005</v>
      </c>
      <c r="AT33" s="111">
        <f t="shared" si="13"/>
        <v>11005</v>
      </c>
      <c r="AU33" s="45">
        <v>10876</v>
      </c>
      <c r="AV33" s="76">
        <v>11236</v>
      </c>
      <c r="AW33" s="253">
        <v>10962</v>
      </c>
      <c r="AX33" s="45">
        <v>10847</v>
      </c>
      <c r="AY33" s="111">
        <f t="shared" si="14"/>
        <v>10847</v>
      </c>
      <c r="AZ33" s="45">
        <v>11087</v>
      </c>
      <c r="BA33" s="253">
        <v>11050</v>
      </c>
      <c r="BB33" s="253">
        <v>10625</v>
      </c>
      <c r="BC33" s="45">
        <v>10602</v>
      </c>
      <c r="BD33" s="111">
        <f t="shared" si="39"/>
        <v>10602</v>
      </c>
      <c r="BE33" s="253">
        <v>2691</v>
      </c>
      <c r="BF33" s="118">
        <v>2640</v>
      </c>
      <c r="BG33" s="118">
        <v>2685</v>
      </c>
      <c r="BH33" s="45">
        <v>2512</v>
      </c>
      <c r="BI33" s="111">
        <f t="shared" si="40"/>
        <v>2512</v>
      </c>
      <c r="BJ33" s="45">
        <v>2649</v>
      </c>
      <c r="BK33" s="45">
        <v>2714</v>
      </c>
      <c r="BL33" s="45">
        <v>2601</v>
      </c>
      <c r="BM33" s="45">
        <v>2851</v>
      </c>
      <c r="BN33" s="111">
        <f t="shared" si="41"/>
        <v>2851</v>
      </c>
      <c r="BO33" s="45">
        <v>2781</v>
      </c>
      <c r="BP33" s="45">
        <v>2746</v>
      </c>
      <c r="BQ33" s="45">
        <f>2693</f>
        <v>2693</v>
      </c>
      <c r="BR33" s="45">
        <v>2996</v>
      </c>
      <c r="BS33" s="111">
        <f t="shared" si="42"/>
        <v>2996</v>
      </c>
      <c r="BT33" s="45">
        <v>4027</v>
      </c>
      <c r="BU33" s="45">
        <v>4991</v>
      </c>
      <c r="BV33" s="45">
        <v>5159</v>
      </c>
      <c r="BW33" s="45">
        <v>5144</v>
      </c>
      <c r="BX33" s="111">
        <f t="shared" si="55"/>
        <v>5144</v>
      </c>
      <c r="BY33" s="45">
        <v>5123</v>
      </c>
      <c r="BZ33" s="45">
        <v>5281</v>
      </c>
      <c r="CA33" s="45">
        <v>5146</v>
      </c>
      <c r="CB33" s="45">
        <v>4771</v>
      </c>
      <c r="CC33" s="111">
        <f t="shared" si="44"/>
        <v>4771</v>
      </c>
      <c r="CD33" s="45">
        <v>5105</v>
      </c>
      <c r="CE33" s="45">
        <v>5724</v>
      </c>
      <c r="CF33" s="45">
        <v>6849</v>
      </c>
      <c r="CG33" s="45">
        <v>6930</v>
      </c>
      <c r="CH33" s="111">
        <f t="shared" si="45"/>
        <v>6930</v>
      </c>
      <c r="CI33" s="45">
        <v>6473</v>
      </c>
      <c r="CJ33" s="45">
        <v>7111</v>
      </c>
      <c r="CK33" s="45">
        <v>6550</v>
      </c>
      <c r="CL33" s="45">
        <v>6189</v>
      </c>
      <c r="CM33" s="111">
        <f t="shared" si="46"/>
        <v>6189</v>
      </c>
      <c r="CN33" s="45">
        <v>5748</v>
      </c>
      <c r="CO33" s="45">
        <v>5477</v>
      </c>
      <c r="CP33" s="45">
        <v>5150</v>
      </c>
      <c r="CQ33" s="45">
        <v>5288</v>
      </c>
      <c r="CR33" s="111">
        <f t="shared" si="47"/>
        <v>5288</v>
      </c>
      <c r="CS33" s="45">
        <f>CR33</f>
        <v>5288</v>
      </c>
      <c r="CT33" s="45">
        <f>CS33</f>
        <v>5288</v>
      </c>
      <c r="CU33" s="45">
        <f t="shared" si="64"/>
        <v>5288</v>
      </c>
      <c r="CV33" s="45">
        <f t="shared" si="65"/>
        <v>5288</v>
      </c>
      <c r="CW33" s="111">
        <f t="shared" si="48"/>
        <v>5288</v>
      </c>
    </row>
    <row r="34" spans="2:101">
      <c r="B34" s="24"/>
      <c r="C34" t="s">
        <v>348</v>
      </c>
      <c r="E34" s="32"/>
      <c r="F34" s="32"/>
      <c r="I34" s="45"/>
      <c r="J34" s="45"/>
      <c r="K34" s="50"/>
      <c r="L34" s="45"/>
      <c r="M34" s="45"/>
      <c r="N34" s="45"/>
      <c r="O34" s="45"/>
      <c r="P34" s="50"/>
      <c r="Q34" s="45"/>
      <c r="R34" s="45"/>
      <c r="S34" s="45"/>
      <c r="T34" s="101"/>
      <c r="U34" s="50"/>
      <c r="V34" s="45"/>
      <c r="W34" s="45"/>
      <c r="X34" s="45"/>
      <c r="Y34" s="45"/>
      <c r="Z34" s="50"/>
      <c r="AA34" s="45"/>
      <c r="AB34" s="45"/>
      <c r="AC34" s="118"/>
      <c r="AD34" s="118"/>
      <c r="AE34" s="111"/>
      <c r="AF34" s="76"/>
      <c r="AG34" s="76"/>
      <c r="AH34" s="76"/>
      <c r="AI34" s="45"/>
      <c r="AJ34" s="50"/>
      <c r="AK34" s="45"/>
      <c r="AL34" s="45"/>
      <c r="AM34" s="45"/>
      <c r="AN34" s="45"/>
      <c r="AO34" s="111"/>
      <c r="AP34" s="45"/>
      <c r="AQ34" s="45"/>
      <c r="AR34" s="45"/>
      <c r="AS34" s="45"/>
      <c r="AT34" s="111"/>
      <c r="AU34" s="45"/>
      <c r="AV34" s="76"/>
      <c r="AW34" s="253"/>
      <c r="AX34" s="45"/>
      <c r="AY34" s="111"/>
      <c r="AZ34" s="45"/>
      <c r="BA34" s="253"/>
      <c r="BB34" s="253"/>
      <c r="BC34" s="45"/>
      <c r="BD34" s="111"/>
      <c r="BE34" s="253"/>
      <c r="BF34" s="118"/>
      <c r="BG34" s="118"/>
      <c r="BH34" s="45"/>
      <c r="BI34" s="111"/>
      <c r="BJ34" s="45">
        <v>17723</v>
      </c>
      <c r="BK34" s="45">
        <v>16890</v>
      </c>
      <c r="BL34" s="45">
        <v>16224</v>
      </c>
      <c r="BM34" s="45">
        <v>18796</v>
      </c>
      <c r="BN34" s="111">
        <f>BM34</f>
        <v>18796</v>
      </c>
      <c r="BO34" s="45">
        <v>18957</v>
      </c>
      <c r="BP34" s="45">
        <v>17920</v>
      </c>
      <c r="BQ34" s="45">
        <f>16725</f>
        <v>16725</v>
      </c>
      <c r="BR34" s="45">
        <v>19672</v>
      </c>
      <c r="BS34" s="111">
        <f>BR34</f>
        <v>19672</v>
      </c>
      <c r="BT34" s="45">
        <v>18743</v>
      </c>
      <c r="BU34" s="45">
        <v>17733</v>
      </c>
      <c r="BV34" s="45">
        <v>16697</v>
      </c>
      <c r="BW34" s="45">
        <v>16426</v>
      </c>
      <c r="BX34" s="111">
        <f>BW34</f>
        <v>16426</v>
      </c>
      <c r="BY34" s="45">
        <v>15338</v>
      </c>
      <c r="BZ34" s="45">
        <v>14239</v>
      </c>
      <c r="CA34" s="45">
        <v>13974</v>
      </c>
      <c r="CB34" s="45">
        <v>13009</v>
      </c>
      <c r="CC34" s="111">
        <f>CB34</f>
        <v>13009</v>
      </c>
      <c r="CD34" s="45">
        <v>11994</v>
      </c>
      <c r="CE34" s="45">
        <v>11058</v>
      </c>
      <c r="CF34" s="45">
        <v>10563</v>
      </c>
      <c r="CG34" s="45">
        <v>9569</v>
      </c>
      <c r="CH34" s="111">
        <f>CG34</f>
        <v>9569</v>
      </c>
      <c r="CI34" s="45">
        <v>8425</v>
      </c>
      <c r="CJ34" s="45">
        <v>7751</v>
      </c>
      <c r="CK34" s="45">
        <v>8807</v>
      </c>
      <c r="CL34" s="45">
        <v>7885</v>
      </c>
      <c r="CM34" s="111">
        <f>CL34</f>
        <v>7885</v>
      </c>
      <c r="CN34" s="45">
        <v>6101</v>
      </c>
      <c r="CO34" s="45">
        <v>5049</v>
      </c>
      <c r="CP34" s="45">
        <v>4021</v>
      </c>
      <c r="CQ34" s="45">
        <v>2839</v>
      </c>
      <c r="CR34" s="111">
        <f>CQ34</f>
        <v>2839</v>
      </c>
      <c r="CS34" s="45">
        <f>CR34</f>
        <v>2839</v>
      </c>
      <c r="CT34" s="45">
        <f>CS34</f>
        <v>2839</v>
      </c>
      <c r="CU34" s="45">
        <f t="shared" si="64"/>
        <v>2839</v>
      </c>
      <c r="CV34" s="45">
        <f t="shared" si="65"/>
        <v>2839</v>
      </c>
      <c r="CW34" s="111">
        <f>CV34</f>
        <v>2839</v>
      </c>
    </row>
    <row r="35" spans="2:101" hidden="1">
      <c r="B35" s="24"/>
      <c r="C35" t="s">
        <v>61</v>
      </c>
      <c r="E35" s="32"/>
      <c r="F35" s="32"/>
      <c r="I35" s="45"/>
      <c r="J35" s="45">
        <v>732</v>
      </c>
      <c r="K35" s="50"/>
      <c r="L35" s="45"/>
      <c r="M35" s="45"/>
      <c r="N35" s="45"/>
      <c r="O35" s="45">
        <v>233</v>
      </c>
      <c r="P35" s="50"/>
      <c r="Q35" s="45"/>
      <c r="R35" s="45"/>
      <c r="S35" s="90"/>
      <c r="T35" s="101"/>
      <c r="U35" s="50"/>
      <c r="V35" s="45"/>
      <c r="W35" s="45"/>
      <c r="X35" s="45"/>
      <c r="Y35" s="45"/>
      <c r="Z35" s="50"/>
      <c r="AA35" s="45"/>
      <c r="AB35" s="45"/>
      <c r="AC35" s="118"/>
      <c r="AD35" s="118"/>
      <c r="AE35" s="111">
        <f t="shared" si="10"/>
        <v>0</v>
      </c>
      <c r="AF35" s="76"/>
      <c r="AG35" s="76"/>
      <c r="AH35" s="76"/>
      <c r="AI35" s="45"/>
      <c r="AJ35" s="50">
        <f t="shared" si="49"/>
        <v>0</v>
      </c>
      <c r="AK35" s="45"/>
      <c r="AL35" s="45"/>
      <c r="AM35" s="45"/>
      <c r="AN35" s="45"/>
      <c r="AO35" s="111">
        <f t="shared" si="12"/>
        <v>0</v>
      </c>
      <c r="AP35" s="45"/>
      <c r="AQ35" s="45"/>
      <c r="AR35" s="45"/>
      <c r="AS35" s="45"/>
      <c r="AT35" s="111">
        <f t="shared" si="13"/>
        <v>0</v>
      </c>
      <c r="AU35" s="45"/>
      <c r="AV35" s="76"/>
      <c r="AW35" s="253"/>
      <c r="AX35" s="45"/>
      <c r="AY35" s="111">
        <f t="shared" si="14"/>
        <v>0</v>
      </c>
      <c r="AZ35" s="45"/>
      <c r="BA35" s="253"/>
      <c r="BB35" s="253"/>
      <c r="BC35" s="253"/>
      <c r="BD35" s="111">
        <f>BC35</f>
        <v>0</v>
      </c>
      <c r="BE35" s="253"/>
      <c r="BF35" s="118"/>
      <c r="BG35" s="118"/>
      <c r="BH35" s="45"/>
      <c r="BI35" s="111">
        <f t="shared" si="40"/>
        <v>0</v>
      </c>
      <c r="BJ35" s="45"/>
      <c r="BK35" s="45"/>
      <c r="BL35" s="45"/>
      <c r="BM35" s="45"/>
      <c r="BN35" s="111">
        <f t="shared" si="41"/>
        <v>0</v>
      </c>
      <c r="BO35" s="45"/>
      <c r="BP35" s="45"/>
      <c r="BQ35" s="45"/>
      <c r="BR35" s="45"/>
      <c r="BS35" s="111">
        <f t="shared" si="42"/>
        <v>0</v>
      </c>
      <c r="BT35" s="45"/>
      <c r="BU35" s="45"/>
      <c r="BV35" s="45"/>
      <c r="BW35" s="45"/>
      <c r="BX35" s="111">
        <f t="shared" ref="BX35:BX41" si="66">BW35</f>
        <v>0</v>
      </c>
      <c r="BY35" s="45"/>
      <c r="BZ35" s="45"/>
      <c r="CA35" s="45"/>
      <c r="CB35" s="45"/>
      <c r="CC35" s="111">
        <f t="shared" ref="CC35:CC41" si="67">CB35</f>
        <v>0</v>
      </c>
      <c r="CD35" s="45"/>
      <c r="CE35" s="45"/>
      <c r="CF35" s="45"/>
      <c r="CG35" s="45"/>
      <c r="CH35" s="111">
        <f t="shared" ref="CH35:CH41" si="68">CG35</f>
        <v>0</v>
      </c>
      <c r="CI35" s="45"/>
      <c r="CJ35" s="45"/>
      <c r="CK35" s="45"/>
      <c r="CL35" s="45"/>
      <c r="CM35" s="111">
        <f t="shared" ref="CM35:CM41" si="69">CL35</f>
        <v>0</v>
      </c>
      <c r="CN35" s="45"/>
      <c r="CO35" s="45"/>
      <c r="CP35" s="45"/>
      <c r="CQ35" s="45"/>
      <c r="CR35" s="111">
        <f t="shared" ref="CR35:CR41" si="70">CQ35</f>
        <v>0</v>
      </c>
      <c r="CS35" s="45"/>
      <c r="CT35" s="45"/>
      <c r="CU35" s="45"/>
      <c r="CV35" s="45"/>
      <c r="CW35" s="111">
        <f t="shared" ref="CW35:CW41" si="71">CV35</f>
        <v>0</v>
      </c>
    </row>
    <row r="36" spans="2:101" hidden="1">
      <c r="B36" s="24"/>
      <c r="C36" t="s">
        <v>62</v>
      </c>
      <c r="E36" s="32"/>
      <c r="F36" s="32"/>
      <c r="I36" s="45"/>
      <c r="J36" s="45">
        <v>553</v>
      </c>
      <c r="K36" s="50"/>
      <c r="L36" s="45"/>
      <c r="M36" s="45"/>
      <c r="N36" s="45"/>
      <c r="O36" s="45">
        <v>122</v>
      </c>
      <c r="P36" s="50"/>
      <c r="Q36" s="45"/>
      <c r="R36" s="45"/>
      <c r="S36" s="45"/>
      <c r="T36" s="103"/>
      <c r="U36" s="50"/>
      <c r="V36" s="45"/>
      <c r="W36" s="45"/>
      <c r="X36" s="45"/>
      <c r="Y36" s="45"/>
      <c r="Z36" s="50"/>
      <c r="AA36" s="45"/>
      <c r="AB36" s="45"/>
      <c r="AC36" s="118"/>
      <c r="AD36" s="118"/>
      <c r="AE36" s="111">
        <f t="shared" si="10"/>
        <v>0</v>
      </c>
      <c r="AF36" s="76"/>
      <c r="AG36" s="76"/>
      <c r="AH36" s="76"/>
      <c r="AI36" s="45"/>
      <c r="AJ36" s="50">
        <f t="shared" si="49"/>
        <v>0</v>
      </c>
      <c r="AK36" s="45"/>
      <c r="AL36" s="45"/>
      <c r="AM36" s="45"/>
      <c r="AN36" s="45"/>
      <c r="AO36" s="111">
        <f t="shared" si="12"/>
        <v>0</v>
      </c>
      <c r="AP36" s="45"/>
      <c r="AQ36" s="45"/>
      <c r="AR36" s="45"/>
      <c r="AS36" s="45"/>
      <c r="AT36" s="111">
        <f t="shared" si="13"/>
        <v>0</v>
      </c>
      <c r="AU36" s="76"/>
      <c r="AV36" s="76"/>
      <c r="AW36" s="253"/>
      <c r="AX36" s="45"/>
      <c r="AY36" s="111">
        <f t="shared" si="14"/>
        <v>0</v>
      </c>
      <c r="AZ36" s="76"/>
      <c r="BA36" s="253"/>
      <c r="BB36" s="253"/>
      <c r="BC36" s="253"/>
      <c r="BD36" s="111">
        <f>BC36</f>
        <v>0</v>
      </c>
      <c r="BE36" s="76"/>
      <c r="BF36" s="118"/>
      <c r="BG36" s="118"/>
      <c r="BH36" s="45"/>
      <c r="BI36" s="111">
        <f t="shared" si="40"/>
        <v>0</v>
      </c>
      <c r="BJ36" s="76"/>
      <c r="BK36" s="45"/>
      <c r="BL36" s="45"/>
      <c r="BM36" s="45"/>
      <c r="BN36" s="111">
        <f t="shared" si="41"/>
        <v>0</v>
      </c>
      <c r="BO36" s="76"/>
      <c r="BP36" s="45"/>
      <c r="BQ36" s="45"/>
      <c r="BR36" s="45"/>
      <c r="BS36" s="111">
        <f t="shared" si="42"/>
        <v>0</v>
      </c>
      <c r="BT36" s="76"/>
      <c r="BU36" s="45"/>
      <c r="BV36" s="45"/>
      <c r="BW36" s="45"/>
      <c r="BX36" s="111">
        <f t="shared" si="66"/>
        <v>0</v>
      </c>
      <c r="BY36" s="76"/>
      <c r="BZ36" s="45"/>
      <c r="CA36" s="45"/>
      <c r="CB36" s="45"/>
      <c r="CC36" s="111">
        <f t="shared" si="67"/>
        <v>0</v>
      </c>
      <c r="CD36" s="45"/>
      <c r="CE36" s="45"/>
      <c r="CF36" s="45"/>
      <c r="CG36" s="45"/>
      <c r="CH36" s="111">
        <f t="shared" si="68"/>
        <v>0</v>
      </c>
      <c r="CI36" s="45"/>
      <c r="CJ36" s="45"/>
      <c r="CK36" s="45"/>
      <c r="CL36" s="45"/>
      <c r="CM36" s="111">
        <f t="shared" si="69"/>
        <v>0</v>
      </c>
      <c r="CN36" s="45"/>
      <c r="CO36" s="45"/>
      <c r="CP36" s="45"/>
      <c r="CQ36" s="45"/>
      <c r="CR36" s="111">
        <f t="shared" si="70"/>
        <v>0</v>
      </c>
      <c r="CS36" s="45"/>
      <c r="CT36" s="45"/>
      <c r="CU36" s="45"/>
      <c r="CV36" s="45"/>
      <c r="CW36" s="111">
        <f t="shared" si="71"/>
        <v>0</v>
      </c>
    </row>
    <row r="37" spans="2:101" hidden="1">
      <c r="B37" s="24"/>
      <c r="C37" t="s">
        <v>63</v>
      </c>
      <c r="E37" s="32"/>
      <c r="F37" s="32"/>
      <c r="I37" s="45"/>
      <c r="J37" s="45">
        <v>188</v>
      </c>
      <c r="K37" s="50"/>
      <c r="L37" s="45"/>
      <c r="M37" s="45"/>
      <c r="N37" s="45"/>
      <c r="O37" s="45">
        <v>569</v>
      </c>
      <c r="P37" s="50"/>
      <c r="Q37" s="45"/>
      <c r="R37" s="45"/>
      <c r="S37" s="45"/>
      <c r="T37" s="101"/>
      <c r="U37" s="50"/>
      <c r="V37" s="45"/>
      <c r="W37" s="45"/>
      <c r="X37" s="45"/>
      <c r="Y37" s="45"/>
      <c r="Z37" s="50"/>
      <c r="AA37" s="45"/>
      <c r="AB37" s="45"/>
      <c r="AC37" s="118"/>
      <c r="AD37" s="118"/>
      <c r="AE37" s="111">
        <f t="shared" si="10"/>
        <v>0</v>
      </c>
      <c r="AF37" s="76"/>
      <c r="AG37" s="76"/>
      <c r="AH37" s="76"/>
      <c r="AI37" s="45"/>
      <c r="AJ37" s="50">
        <f t="shared" si="49"/>
        <v>0</v>
      </c>
      <c r="AK37" s="45"/>
      <c r="AL37" s="76"/>
      <c r="AM37" s="45"/>
      <c r="AN37" s="45"/>
      <c r="AO37" s="111">
        <f t="shared" si="12"/>
        <v>0</v>
      </c>
      <c r="AP37" s="45"/>
      <c r="AQ37" s="45"/>
      <c r="AR37" s="45"/>
      <c r="AS37" s="45"/>
      <c r="AT37" s="111">
        <f t="shared" si="13"/>
        <v>0</v>
      </c>
      <c r="AU37" s="76"/>
      <c r="AV37" s="76"/>
      <c r="AW37" s="253"/>
      <c r="AX37" s="45"/>
      <c r="AY37" s="111">
        <f t="shared" si="14"/>
        <v>0</v>
      </c>
      <c r="AZ37" s="76"/>
      <c r="BA37" s="253"/>
      <c r="BB37" s="253"/>
      <c r="BC37" s="253"/>
      <c r="BD37" s="111">
        <f t="shared" si="39"/>
        <v>0</v>
      </c>
      <c r="BE37" s="76"/>
      <c r="BF37" s="118"/>
      <c r="BG37" s="118"/>
      <c r="BH37" s="45"/>
      <c r="BI37" s="111">
        <f t="shared" si="40"/>
        <v>0</v>
      </c>
      <c r="BJ37" s="76"/>
      <c r="BK37" s="45"/>
      <c r="BL37" s="45"/>
      <c r="BM37" s="45"/>
      <c r="BN37" s="111">
        <f t="shared" si="41"/>
        <v>0</v>
      </c>
      <c r="BO37" s="76"/>
      <c r="BP37" s="45"/>
      <c r="BQ37" s="45"/>
      <c r="BR37" s="45"/>
      <c r="BS37" s="111">
        <f t="shared" si="42"/>
        <v>0</v>
      </c>
      <c r="BT37" s="76"/>
      <c r="BU37" s="45"/>
      <c r="BV37" s="45"/>
      <c r="BW37" s="45"/>
      <c r="BX37" s="111">
        <f t="shared" si="66"/>
        <v>0</v>
      </c>
      <c r="BY37" s="76"/>
      <c r="BZ37" s="45"/>
      <c r="CA37" s="45"/>
      <c r="CB37" s="45"/>
      <c r="CC37" s="111">
        <f t="shared" si="67"/>
        <v>0</v>
      </c>
      <c r="CD37" s="45"/>
      <c r="CE37" s="45"/>
      <c r="CF37" s="45"/>
      <c r="CG37" s="45"/>
      <c r="CH37" s="111">
        <f t="shared" si="68"/>
        <v>0</v>
      </c>
      <c r="CI37" s="45"/>
      <c r="CJ37" s="45"/>
      <c r="CK37" s="45"/>
      <c r="CL37" s="45"/>
      <c r="CM37" s="111">
        <f t="shared" si="69"/>
        <v>0</v>
      </c>
      <c r="CN37" s="45"/>
      <c r="CO37" s="45"/>
      <c r="CP37" s="45"/>
      <c r="CQ37" s="45"/>
      <c r="CR37" s="111">
        <f t="shared" si="70"/>
        <v>0</v>
      </c>
      <c r="CS37" s="45"/>
      <c r="CT37" s="45"/>
      <c r="CU37" s="45"/>
      <c r="CV37" s="45"/>
      <c r="CW37" s="111">
        <f t="shared" si="71"/>
        <v>0</v>
      </c>
    </row>
    <row r="38" spans="2:101">
      <c r="B38" s="24"/>
      <c r="C38" t="s">
        <v>64</v>
      </c>
      <c r="E38" s="32"/>
      <c r="F38" s="32"/>
      <c r="I38" s="45"/>
      <c r="J38" s="45">
        <v>82</v>
      </c>
      <c r="K38" s="50"/>
      <c r="L38" s="45"/>
      <c r="M38" s="45"/>
      <c r="N38" s="45"/>
      <c r="O38" s="45">
        <v>110</v>
      </c>
      <c r="P38" s="50"/>
      <c r="Q38" s="45"/>
      <c r="R38" s="45"/>
      <c r="S38" s="45"/>
      <c r="T38" s="101"/>
      <c r="U38" s="50"/>
      <c r="V38" s="76"/>
      <c r="W38" s="45"/>
      <c r="X38" s="45"/>
      <c r="Y38" s="45"/>
      <c r="Z38" s="50"/>
      <c r="AA38" s="76"/>
      <c r="AB38" s="45"/>
      <c r="AC38" s="118"/>
      <c r="AD38" s="118"/>
      <c r="AE38" s="111">
        <f t="shared" si="10"/>
        <v>0</v>
      </c>
      <c r="AF38" s="76"/>
      <c r="AG38" s="76"/>
      <c r="AH38" s="76"/>
      <c r="AI38" s="76"/>
      <c r="AJ38" s="50">
        <f t="shared" si="49"/>
        <v>0</v>
      </c>
      <c r="AK38" s="76"/>
      <c r="AL38" s="76"/>
      <c r="AM38" s="45"/>
      <c r="AN38" s="45"/>
      <c r="AO38" s="111">
        <f t="shared" si="12"/>
        <v>0</v>
      </c>
      <c r="AP38" s="76"/>
      <c r="AQ38" s="45"/>
      <c r="AR38" s="45"/>
      <c r="AS38" s="118"/>
      <c r="AT38" s="111">
        <f t="shared" si="13"/>
        <v>0</v>
      </c>
      <c r="AU38" s="76">
        <v>2396</v>
      </c>
      <c r="AV38" s="76">
        <v>2391</v>
      </c>
      <c r="AW38" s="253">
        <v>2368</v>
      </c>
      <c r="AX38" s="253">
        <v>4179</v>
      </c>
      <c r="AY38" s="111">
        <f t="shared" si="14"/>
        <v>4179</v>
      </c>
      <c r="AZ38" s="76">
        <v>1895</v>
      </c>
      <c r="BA38" s="253">
        <v>1977</v>
      </c>
      <c r="BB38" s="253">
        <v>2100</v>
      </c>
      <c r="BC38" s="253">
        <v>1887</v>
      </c>
      <c r="BD38" s="111">
        <f t="shared" si="39"/>
        <v>1887</v>
      </c>
      <c r="BE38" s="76">
        <v>1768</v>
      </c>
      <c r="BF38" s="118">
        <v>1676</v>
      </c>
      <c r="BG38" s="118">
        <v>1551</v>
      </c>
      <c r="BH38" s="45">
        <v>1376</v>
      </c>
      <c r="BI38" s="111">
        <f t="shared" si="40"/>
        <v>1376</v>
      </c>
      <c r="BJ38" s="76">
        <v>1315</v>
      </c>
      <c r="BK38" s="45">
        <v>1246</v>
      </c>
      <c r="BL38" s="45">
        <v>1169</v>
      </c>
      <c r="BM38" s="45">
        <v>1193</v>
      </c>
      <c r="BN38" s="111">
        <f t="shared" si="41"/>
        <v>1193</v>
      </c>
      <c r="BO38" s="76">
        <v>990</v>
      </c>
      <c r="BP38" s="45">
        <v>952</v>
      </c>
      <c r="BQ38" s="45">
        <f>2939</f>
        <v>2939</v>
      </c>
      <c r="BR38" s="45">
        <v>2937</v>
      </c>
      <c r="BS38" s="111">
        <f t="shared" si="42"/>
        <v>2937</v>
      </c>
      <c r="BT38" s="76">
        <v>3112</v>
      </c>
      <c r="BU38" s="45">
        <v>3368</v>
      </c>
      <c r="BV38" s="45">
        <v>3971</v>
      </c>
      <c r="BW38" s="45">
        <v>7145</v>
      </c>
      <c r="BX38" s="111">
        <f t="shared" si="66"/>
        <v>7145</v>
      </c>
      <c r="BY38" s="76">
        <v>6898</v>
      </c>
      <c r="BZ38" s="45">
        <v>4997</v>
      </c>
      <c r="CA38" s="45">
        <v>4841</v>
      </c>
      <c r="CB38" s="45">
        <v>7419</v>
      </c>
      <c r="CC38" s="111">
        <f t="shared" si="67"/>
        <v>7419</v>
      </c>
      <c r="CD38" s="45">
        <v>6977</v>
      </c>
      <c r="CE38" s="45">
        <v>5807</v>
      </c>
      <c r="CF38" s="45">
        <v>10281</v>
      </c>
      <c r="CG38" s="45">
        <v>8972</v>
      </c>
      <c r="CH38" s="111">
        <f t="shared" si="68"/>
        <v>8972</v>
      </c>
      <c r="CI38" s="45">
        <v>7536</v>
      </c>
      <c r="CJ38" s="45">
        <v>7012</v>
      </c>
      <c r="CK38" s="45">
        <v>11607</v>
      </c>
      <c r="CL38" s="45">
        <v>15541</v>
      </c>
      <c r="CM38" s="111">
        <f t="shared" si="69"/>
        <v>15541</v>
      </c>
      <c r="CN38" s="45">
        <v>20298</v>
      </c>
      <c r="CO38" s="45">
        <v>12533</v>
      </c>
      <c r="CP38" s="45">
        <v>30223</v>
      </c>
      <c r="CQ38" s="45">
        <v>33201</v>
      </c>
      <c r="CR38" s="111">
        <f t="shared" si="70"/>
        <v>33201</v>
      </c>
      <c r="CS38" s="45">
        <f>CR38</f>
        <v>33201</v>
      </c>
      <c r="CT38" s="45">
        <f>CS38</f>
        <v>33201</v>
      </c>
      <c r="CU38" s="45">
        <f>CT38</f>
        <v>33201</v>
      </c>
      <c r="CV38" s="45">
        <f>CU38</f>
        <v>33201</v>
      </c>
      <c r="CW38" s="111">
        <f t="shared" si="71"/>
        <v>33201</v>
      </c>
    </row>
    <row r="39" spans="2:101">
      <c r="B39" s="24"/>
      <c r="C39" s="254" t="s">
        <v>483</v>
      </c>
      <c r="E39" s="32"/>
      <c r="F39" s="32"/>
      <c r="I39" s="45"/>
      <c r="J39" s="45">
        <v>381</v>
      </c>
      <c r="K39" s="50"/>
      <c r="L39" s="45"/>
      <c r="M39" s="45"/>
      <c r="N39" s="45"/>
      <c r="O39" s="45">
        <v>258</v>
      </c>
      <c r="P39" s="50"/>
      <c r="Q39" s="45">
        <v>943</v>
      </c>
      <c r="R39" s="98">
        <v>317</v>
      </c>
      <c r="S39" s="98">
        <v>289</v>
      </c>
      <c r="T39" s="101">
        <v>281</v>
      </c>
      <c r="U39" s="50"/>
      <c r="V39" s="76">
        <v>244</v>
      </c>
      <c r="W39" s="76">
        <v>247</v>
      </c>
      <c r="X39" s="76">
        <v>225</v>
      </c>
      <c r="Y39" s="82">
        <v>0</v>
      </c>
      <c r="Z39" s="50"/>
      <c r="AA39" s="118">
        <v>250</v>
      </c>
      <c r="AB39" s="118">
        <v>0</v>
      </c>
      <c r="AC39" s="118">
        <v>0</v>
      </c>
      <c r="AD39" s="118">
        <v>1601</v>
      </c>
      <c r="AE39" s="111">
        <f t="shared" si="10"/>
        <v>1601</v>
      </c>
      <c r="AF39" s="76">
        <v>1830</v>
      </c>
      <c r="AG39" s="76">
        <v>2019</v>
      </c>
      <c r="AH39" s="76">
        <v>3239</v>
      </c>
      <c r="AI39" s="76">
        <v>2857</v>
      </c>
      <c r="AJ39" s="50">
        <f t="shared" si="49"/>
        <v>2857</v>
      </c>
      <c r="AK39" s="76">
        <v>2762</v>
      </c>
      <c r="AL39" s="76">
        <v>2663</v>
      </c>
      <c r="AM39" s="76">
        <v>2577</v>
      </c>
      <c r="AN39" s="76">
        <v>3471</v>
      </c>
      <c r="AO39" s="111">
        <f t="shared" si="12"/>
        <v>3471</v>
      </c>
      <c r="AP39" s="76">
        <v>3346</v>
      </c>
      <c r="AQ39" s="76">
        <v>3178</v>
      </c>
      <c r="AR39" s="76">
        <v>3015</v>
      </c>
      <c r="AS39" s="118">
        <v>4307</v>
      </c>
      <c r="AT39" s="111">
        <f t="shared" si="13"/>
        <v>4307</v>
      </c>
      <c r="AU39" s="76">
        <v>4486</v>
      </c>
      <c r="AV39" s="76">
        <v>4140</v>
      </c>
      <c r="AW39" s="253">
        <v>3900</v>
      </c>
      <c r="AX39" s="253">
        <v>1911</v>
      </c>
      <c r="AY39" s="111">
        <f t="shared" si="14"/>
        <v>1911</v>
      </c>
      <c r="AZ39" s="76">
        <v>3912</v>
      </c>
      <c r="BA39" s="253">
        <v>3899</v>
      </c>
      <c r="BB39" s="253">
        <v>3498</v>
      </c>
      <c r="BC39" s="253">
        <v>3064</v>
      </c>
      <c r="BD39" s="111">
        <f t="shared" si="39"/>
        <v>3064</v>
      </c>
      <c r="BE39" s="76">
        <v>4690</v>
      </c>
      <c r="BF39" s="118">
        <v>4290</v>
      </c>
      <c r="BG39" s="118">
        <v>3979</v>
      </c>
      <c r="BH39" s="75">
        <f>5371+1368</f>
        <v>6739</v>
      </c>
      <c r="BI39" s="111">
        <f t="shared" si="40"/>
        <v>6739</v>
      </c>
      <c r="BJ39" s="76">
        <v>1424</v>
      </c>
      <c r="BK39" s="253">
        <v>1024</v>
      </c>
      <c r="BL39" s="253">
        <v>1002</v>
      </c>
      <c r="BM39" s="253">
        <v>405</v>
      </c>
      <c r="BN39" s="111">
        <f t="shared" si="41"/>
        <v>405</v>
      </c>
      <c r="BO39" s="76">
        <v>0</v>
      </c>
      <c r="BP39" s="75">
        <v>0</v>
      </c>
      <c r="BQ39" s="75">
        <v>0</v>
      </c>
      <c r="BR39" s="75">
        <v>0</v>
      </c>
      <c r="BS39" s="111">
        <f t="shared" si="42"/>
        <v>0</v>
      </c>
      <c r="BT39" s="76">
        <v>0</v>
      </c>
      <c r="BU39" s="75">
        <v>0</v>
      </c>
      <c r="BV39" s="75">
        <v>0</v>
      </c>
      <c r="BW39" s="75">
        <v>0</v>
      </c>
      <c r="BX39" s="111">
        <f t="shared" si="66"/>
        <v>0</v>
      </c>
      <c r="BY39" s="76">
        <v>0</v>
      </c>
      <c r="BZ39" s="75">
        <v>0</v>
      </c>
      <c r="CA39" s="75">
        <v>0</v>
      </c>
      <c r="CB39" s="75">
        <v>0</v>
      </c>
      <c r="CC39" s="111">
        <f t="shared" si="67"/>
        <v>0</v>
      </c>
      <c r="CD39" s="75">
        <v>0</v>
      </c>
      <c r="CE39" s="75">
        <v>0</v>
      </c>
      <c r="CF39" s="75">
        <v>0</v>
      </c>
      <c r="CG39" s="523">
        <v>229</v>
      </c>
      <c r="CH39" s="111">
        <f t="shared" si="68"/>
        <v>229</v>
      </c>
      <c r="CI39" s="523">
        <v>232</v>
      </c>
      <c r="CJ39" s="523">
        <v>680</v>
      </c>
      <c r="CK39" s="523">
        <v>640</v>
      </c>
      <c r="CL39" s="523">
        <v>241</v>
      </c>
      <c r="CM39" s="111">
        <f t="shared" si="69"/>
        <v>241</v>
      </c>
      <c r="CN39" s="523">
        <v>2558</v>
      </c>
      <c r="CO39" s="523">
        <v>296</v>
      </c>
      <c r="CP39" s="523">
        <v>299</v>
      </c>
      <c r="CQ39" s="523">
        <v>287</v>
      </c>
      <c r="CR39" s="111">
        <f t="shared" si="70"/>
        <v>287</v>
      </c>
      <c r="CS39" s="75">
        <v>0</v>
      </c>
      <c r="CT39" s="75">
        <v>0</v>
      </c>
      <c r="CU39" s="75">
        <v>0</v>
      </c>
      <c r="CV39" s="75">
        <v>0</v>
      </c>
      <c r="CW39" s="111">
        <f t="shared" si="71"/>
        <v>0</v>
      </c>
    </row>
    <row r="40" spans="2:101" s="1" customFormat="1" ht="13.15">
      <c r="B40" s="14" t="s">
        <v>65</v>
      </c>
      <c r="E40" s="52"/>
      <c r="F40" s="52"/>
      <c r="I40" s="44"/>
      <c r="J40" s="44">
        <f>SUM(J31:J39)</f>
        <v>15077</v>
      </c>
      <c r="K40" s="49"/>
      <c r="L40" s="44"/>
      <c r="M40" s="44"/>
      <c r="N40" s="44"/>
      <c r="O40" s="44">
        <f>SUM(O31:O39)</f>
        <v>16607</v>
      </c>
      <c r="P40" s="49"/>
      <c r="Q40" s="44">
        <f>SUM(Q31:Q39)</f>
        <v>16658</v>
      </c>
      <c r="R40" s="44">
        <f>SUM(R31:R39)</f>
        <v>14057</v>
      </c>
      <c r="S40" s="44">
        <f>SUM(S31:S39)</f>
        <v>14507</v>
      </c>
      <c r="T40" s="102">
        <f>SUM(T31:T39)</f>
        <v>14372</v>
      </c>
      <c r="U40" s="49"/>
      <c r="V40" s="44">
        <f>SUM(V31:V39)</f>
        <v>14980</v>
      </c>
      <c r="W40" s="44">
        <f>SUM(W31:W39)</f>
        <v>16359</v>
      </c>
      <c r="X40" s="44">
        <f>SUM(X31:X39)</f>
        <v>17837</v>
      </c>
      <c r="Y40" s="44">
        <f>SUM(Y31:Y39)</f>
        <v>18065</v>
      </c>
      <c r="Z40" s="49"/>
      <c r="AA40" s="44">
        <f>SUM(AA31:AA39)</f>
        <v>18720</v>
      </c>
      <c r="AB40" s="44">
        <f>SUM(AB31:AB39)</f>
        <v>20549</v>
      </c>
      <c r="AC40" s="44">
        <f>SUM(AC31:AC39)</f>
        <v>23914</v>
      </c>
      <c r="AD40" s="44">
        <f>SUM(AD31:AD39)</f>
        <v>24384</v>
      </c>
      <c r="AE40" s="111">
        <f t="shared" si="10"/>
        <v>24384</v>
      </c>
      <c r="AF40" s="44">
        <f>SUM(AF31:AF39)</f>
        <v>25790</v>
      </c>
      <c r="AG40" s="44">
        <f>SUM(AG31:AG39)</f>
        <v>28460</v>
      </c>
      <c r="AH40" s="44">
        <f>SUM(AH31:AH39)</f>
        <v>31210</v>
      </c>
      <c r="AI40" s="44">
        <f>SUM(AI31:AI39)</f>
        <v>30557</v>
      </c>
      <c r="AJ40" s="50">
        <f t="shared" si="49"/>
        <v>30557</v>
      </c>
      <c r="AK40" s="44">
        <f>SUM(AK31:AK39)</f>
        <v>31462</v>
      </c>
      <c r="AL40" s="44">
        <f>SUM(AL31:AL39)</f>
        <v>32035</v>
      </c>
      <c r="AM40" s="44">
        <f>SUM(AM31:AM39)</f>
        <v>33718</v>
      </c>
      <c r="AN40" s="44">
        <f>SUM(AN31:AN39)</f>
        <v>38684</v>
      </c>
      <c r="AO40" s="166">
        <f t="shared" si="12"/>
        <v>38684</v>
      </c>
      <c r="AP40" s="44">
        <f>SUM(AP31:AP39)</f>
        <v>38646</v>
      </c>
      <c r="AQ40" s="44">
        <f>SUM(AQ31:AQ39)</f>
        <v>38014</v>
      </c>
      <c r="AR40" s="44">
        <f>SUM(AR31:AR39)</f>
        <v>38152</v>
      </c>
      <c r="AS40" s="44">
        <f>SUM(AS31:AS39)</f>
        <v>39546</v>
      </c>
      <c r="AT40" s="166">
        <f t="shared" si="13"/>
        <v>39546</v>
      </c>
      <c r="AU40" s="44">
        <f>SUM(AU31:AU39)</f>
        <v>48332</v>
      </c>
      <c r="AV40" s="44">
        <f>SUM(AV31:AV39)</f>
        <v>50913</v>
      </c>
      <c r="AW40" s="44">
        <f>SUM(AW31:AW39)</f>
        <v>47464</v>
      </c>
      <c r="AX40" s="44">
        <f>SUM(AX31:AX39)</f>
        <v>49098</v>
      </c>
      <c r="AY40" s="166">
        <f t="shared" si="14"/>
        <v>49098</v>
      </c>
      <c r="AZ40" s="44">
        <f>SUM(AZ31:AZ39)</f>
        <v>54512</v>
      </c>
      <c r="BA40" s="44">
        <f>SUM(BA31:BA39)</f>
        <v>54842</v>
      </c>
      <c r="BB40" s="44">
        <f>SUM(BB31:BB39)</f>
        <v>53848</v>
      </c>
      <c r="BC40" s="44">
        <f>SUM(BC31:BC39)</f>
        <v>58700</v>
      </c>
      <c r="BD40" s="166">
        <f t="shared" si="39"/>
        <v>58700</v>
      </c>
      <c r="BE40" s="44">
        <f>SUM(BE31:BE39)</f>
        <v>51245</v>
      </c>
      <c r="BF40" s="120">
        <f>SUM(BF31:BF39)</f>
        <v>56984</v>
      </c>
      <c r="BG40" s="120">
        <f>SUM(BG31:BG39)</f>
        <v>57889</v>
      </c>
      <c r="BH40" s="44">
        <f>SUM(BH31:BH39)</f>
        <v>67149</v>
      </c>
      <c r="BI40" s="166">
        <f t="shared" si="40"/>
        <v>67149</v>
      </c>
      <c r="BJ40" s="44">
        <f>SUM(BJ31:BJ39)</f>
        <v>76493</v>
      </c>
      <c r="BK40" s="44">
        <f>SUM(BK31:BK39)</f>
        <v>80274</v>
      </c>
      <c r="BL40" s="44">
        <f>SUM(BL31:BL39)</f>
        <v>81529</v>
      </c>
      <c r="BM40" s="44">
        <f>SUM(BM31:BM39)</f>
        <v>92564</v>
      </c>
      <c r="BN40" s="166">
        <f t="shared" si="41"/>
        <v>92564</v>
      </c>
      <c r="BO40" s="44">
        <f>SUM(BO31:BO39)</f>
        <v>84631</v>
      </c>
      <c r="BP40" s="44">
        <f>SUM(BP31:BP39)</f>
        <v>88353</v>
      </c>
      <c r="BQ40" s="44">
        <f>SUM(BQ31:BQ39)</f>
        <v>92746</v>
      </c>
      <c r="BR40" s="44">
        <f>SUM(BR31:BR39)</f>
        <v>104804</v>
      </c>
      <c r="BS40" s="166">
        <f t="shared" si="42"/>
        <v>104804</v>
      </c>
      <c r="BT40" s="44">
        <f>SUM(BT31:BT39)</f>
        <v>109314</v>
      </c>
      <c r="BU40" s="44">
        <f>SUM(BU31:BU39)</f>
        <v>117165</v>
      </c>
      <c r="BV40" s="44">
        <f>SUM(BV31:BV39)</f>
        <v>120755</v>
      </c>
      <c r="BW40" s="44">
        <f>SUM(BW31:BW39)</f>
        <v>131587</v>
      </c>
      <c r="BX40" s="166">
        <f t="shared" si="66"/>
        <v>131587</v>
      </c>
      <c r="BY40" s="44">
        <f>SUM(BY31:BY39)</f>
        <v>121787</v>
      </c>
      <c r="BZ40" s="44">
        <f>SUM(BZ31:BZ39)</f>
        <v>125756</v>
      </c>
      <c r="CA40" s="44">
        <f>SUM(CA31:CA39)</f>
        <v>129427</v>
      </c>
      <c r="CB40" s="44">
        <f>SUM(CB31:CB39)</f>
        <v>135841</v>
      </c>
      <c r="CC40" s="166">
        <f t="shared" si="67"/>
        <v>135841</v>
      </c>
      <c r="CD40" s="44">
        <f>SUM(CD31:CD39)</f>
        <v>131037</v>
      </c>
      <c r="CE40" s="44">
        <f>SUM(CE31:CE39)</f>
        <v>134557</v>
      </c>
      <c r="CF40" s="44">
        <f>SUM(CF31:CF39)</f>
        <v>160564</v>
      </c>
      <c r="CG40" s="44">
        <f>SUM(CG31:CG39)</f>
        <v>156369</v>
      </c>
      <c r="CH40" s="166">
        <f t="shared" si="68"/>
        <v>156369</v>
      </c>
      <c r="CI40" s="44">
        <f>SUM(CI31:CI39)</f>
        <v>156882</v>
      </c>
      <c r="CJ40" s="44">
        <f>SUM(CJ31:CJ39)</f>
        <v>151100</v>
      </c>
      <c r="CK40" s="44">
        <f>SUM(CK31:CK39)</f>
        <v>173935</v>
      </c>
      <c r="CL40" s="44">
        <f>SUM(CL31:CL39)</f>
        <v>176540</v>
      </c>
      <c r="CM40" s="166">
        <f t="shared" si="69"/>
        <v>176540</v>
      </c>
      <c r="CN40" s="44">
        <f>SUM(CN31:CN39)</f>
        <v>188129</v>
      </c>
      <c r="CO40" s="44">
        <f>SUM(CO31:CO39)</f>
        <v>171324</v>
      </c>
      <c r="CP40" s="44">
        <f>SUM(CP31:CP39)</f>
        <v>199740</v>
      </c>
      <c r="CQ40" s="44">
        <f>SUM(CQ31:CQ39)</f>
        <v>195966</v>
      </c>
      <c r="CR40" s="166">
        <f t="shared" si="70"/>
        <v>195966</v>
      </c>
      <c r="CS40" s="44">
        <f>SUM(CS31:CS39)</f>
        <v>215196.82076</v>
      </c>
      <c r="CT40" s="44">
        <f>SUM(CT31:CT39)</f>
        <v>221632.86080000002</v>
      </c>
      <c r="CU40" s="44">
        <f>SUM(CU31:CU39)</f>
        <v>227614.256032</v>
      </c>
      <c r="CV40" s="44">
        <f>SUM(CV31:CV39)</f>
        <v>230771.50895999998</v>
      </c>
      <c r="CW40" s="166">
        <f t="shared" si="71"/>
        <v>230771.50895999998</v>
      </c>
    </row>
    <row r="41" spans="2:101">
      <c r="B41" s="24"/>
      <c r="E41" s="32"/>
      <c r="F41" s="32"/>
      <c r="I41" s="45"/>
      <c r="J41" s="45"/>
      <c r="K41" s="50"/>
      <c r="L41" s="45"/>
      <c r="M41" s="45"/>
      <c r="N41" s="45"/>
      <c r="O41" s="45"/>
      <c r="P41" s="50"/>
      <c r="Q41" s="45"/>
      <c r="R41" s="45"/>
      <c r="S41" s="45"/>
      <c r="T41" s="101"/>
      <c r="U41" s="50"/>
      <c r="V41" s="45"/>
      <c r="W41" s="45"/>
      <c r="X41" s="45"/>
      <c r="Y41" s="45"/>
      <c r="Z41" s="50"/>
      <c r="AA41" s="45"/>
      <c r="AB41" s="45"/>
      <c r="AC41" s="45"/>
      <c r="AD41" s="45"/>
      <c r="AE41" s="111">
        <f t="shared" si="10"/>
        <v>0</v>
      </c>
      <c r="AF41" s="76"/>
      <c r="AG41" s="76"/>
      <c r="AH41" s="76"/>
      <c r="AI41" s="76"/>
      <c r="AJ41" s="50">
        <f t="shared" si="49"/>
        <v>0</v>
      </c>
      <c r="AK41" s="45"/>
      <c r="AL41" s="45"/>
      <c r="AM41" s="45"/>
      <c r="AN41" s="45"/>
      <c r="AO41" s="111">
        <f t="shared" si="12"/>
        <v>0</v>
      </c>
      <c r="AP41" s="45"/>
      <c r="AQ41" s="45"/>
      <c r="AR41" s="45"/>
      <c r="AS41" s="45"/>
      <c r="AT41" s="111">
        <f t="shared" si="13"/>
        <v>0</v>
      </c>
      <c r="AU41" s="45"/>
      <c r="AV41" s="76"/>
      <c r="AW41" s="253"/>
      <c r="AX41" s="45"/>
      <c r="AY41" s="111">
        <f t="shared" si="14"/>
        <v>0</v>
      </c>
      <c r="AZ41" s="45"/>
      <c r="BA41" s="253"/>
      <c r="BB41" s="253"/>
      <c r="BC41" s="45"/>
      <c r="BD41" s="111">
        <f t="shared" si="39"/>
        <v>0</v>
      </c>
      <c r="BE41" s="45"/>
      <c r="BF41" s="118"/>
      <c r="BG41" s="118"/>
      <c r="BH41" s="45"/>
      <c r="BI41" s="111">
        <f t="shared" si="40"/>
        <v>0</v>
      </c>
      <c r="BJ41" s="45"/>
      <c r="BK41" s="45"/>
      <c r="BL41" s="45"/>
      <c r="BM41" s="45"/>
      <c r="BN41" s="111">
        <f t="shared" si="41"/>
        <v>0</v>
      </c>
      <c r="BO41" s="45"/>
      <c r="BP41" s="45"/>
      <c r="BQ41" s="45"/>
      <c r="BR41" s="45"/>
      <c r="BS41" s="111">
        <f t="shared" si="42"/>
        <v>0</v>
      </c>
      <c r="BT41" s="45"/>
      <c r="BU41" s="45"/>
      <c r="BV41" s="45"/>
      <c r="BW41" s="45"/>
      <c r="BX41" s="111">
        <f t="shared" si="66"/>
        <v>0</v>
      </c>
      <c r="BY41" s="45"/>
      <c r="BZ41" s="45"/>
      <c r="CA41" s="45"/>
      <c r="CB41" s="45"/>
      <c r="CC41" s="111">
        <f t="shared" si="67"/>
        <v>0</v>
      </c>
      <c r="CD41" s="45"/>
      <c r="CE41" s="45"/>
      <c r="CF41" s="45"/>
      <c r="CG41" s="45"/>
      <c r="CH41" s="111">
        <f t="shared" si="68"/>
        <v>0</v>
      </c>
      <c r="CI41" s="45"/>
      <c r="CJ41" s="45"/>
      <c r="CK41" s="45"/>
      <c r="CL41" s="45"/>
      <c r="CM41" s="111">
        <f t="shared" si="69"/>
        <v>0</v>
      </c>
      <c r="CN41" s="45"/>
      <c r="CO41" s="45"/>
      <c r="CP41" s="45"/>
      <c r="CQ41" s="45"/>
      <c r="CR41" s="111">
        <f t="shared" si="70"/>
        <v>0</v>
      </c>
      <c r="CS41" s="45"/>
      <c r="CT41" s="45"/>
      <c r="CU41" s="45"/>
      <c r="CV41" s="45"/>
      <c r="CW41" s="111">
        <f t="shared" si="71"/>
        <v>0</v>
      </c>
    </row>
    <row r="42" spans="2:101" s="1" customFormat="1" ht="13.15">
      <c r="B42" s="14" t="s">
        <v>66</v>
      </c>
      <c r="E42" s="52"/>
      <c r="F42" s="52"/>
      <c r="I42" s="44"/>
      <c r="J42" s="44">
        <f>65964-61844</f>
        <v>4120</v>
      </c>
      <c r="K42" s="49"/>
      <c r="L42" s="44"/>
      <c r="M42" s="44"/>
      <c r="N42" s="44"/>
      <c r="O42" s="44">
        <f>65778-60466</f>
        <v>5312</v>
      </c>
      <c r="P42" s="49"/>
      <c r="Q42" s="44">
        <f>65778-59496</f>
        <v>6282</v>
      </c>
      <c r="R42" s="44">
        <v>40595</v>
      </c>
      <c r="S42" s="44">
        <f>S18-S40</f>
        <v>41720</v>
      </c>
      <c r="T42" s="102">
        <f>T18-T40</f>
        <v>43508</v>
      </c>
      <c r="U42" s="49"/>
      <c r="V42" s="44">
        <v>44337</v>
      </c>
      <c r="W42" s="44">
        <f>W18-W40</f>
        <v>44856</v>
      </c>
      <c r="X42" s="44">
        <f>X18-X40</f>
        <v>45585</v>
      </c>
      <c r="Y42" s="44">
        <f>Y18-Y40</f>
        <v>59553</v>
      </c>
      <c r="Z42" s="49"/>
      <c r="AA42" s="44">
        <f>AA18-AA40</f>
        <v>60276</v>
      </c>
      <c r="AB42" s="44">
        <f>AB18-AB40</f>
        <v>62397</v>
      </c>
      <c r="AC42" s="44">
        <f>AC18-AC40</f>
        <v>132830</v>
      </c>
      <c r="AD42" s="44">
        <f>AD18-AD40</f>
        <v>134817</v>
      </c>
      <c r="AE42" s="111">
        <f t="shared" si="10"/>
        <v>134817</v>
      </c>
      <c r="AF42" s="44">
        <f>AF18-AF40</f>
        <v>136989</v>
      </c>
      <c r="AG42" s="44">
        <f>AG18-AG40</f>
        <v>139528</v>
      </c>
      <c r="AH42" s="44">
        <f>AH18-AH40</f>
        <v>142380</v>
      </c>
      <c r="AI42" s="44">
        <f>AI18-AI40</f>
        <v>192773</v>
      </c>
      <c r="AJ42" s="50">
        <f t="shared" si="49"/>
        <v>192773</v>
      </c>
      <c r="AK42" s="44">
        <f t="shared" ref="AK42:AY42" si="72">AK18-AK40</f>
        <v>195097</v>
      </c>
      <c r="AL42" s="44">
        <f t="shared" si="72"/>
        <v>198137</v>
      </c>
      <c r="AM42" s="44">
        <f t="shared" si="72"/>
        <v>200919</v>
      </c>
      <c r="AN42" s="44">
        <f t="shared" si="72"/>
        <v>205091</v>
      </c>
      <c r="AO42" s="49">
        <f t="shared" si="72"/>
        <v>205091</v>
      </c>
      <c r="AP42" s="44">
        <f t="shared" si="72"/>
        <v>208224</v>
      </c>
      <c r="AQ42" s="44">
        <f t="shared" si="72"/>
        <v>211912</v>
      </c>
      <c r="AR42" s="44">
        <f t="shared" si="72"/>
        <v>214725</v>
      </c>
      <c r="AS42" s="44">
        <f t="shared" si="72"/>
        <v>222185</v>
      </c>
      <c r="AT42" s="49">
        <f t="shared" si="72"/>
        <v>222185</v>
      </c>
      <c r="AU42" s="44">
        <f t="shared" si="72"/>
        <v>233393</v>
      </c>
      <c r="AV42" s="44">
        <f t="shared" si="72"/>
        <v>236842</v>
      </c>
      <c r="AW42" s="44">
        <f t="shared" si="72"/>
        <v>244810</v>
      </c>
      <c r="AX42" s="44">
        <f t="shared" si="72"/>
        <v>249267</v>
      </c>
      <c r="AY42" s="49">
        <f t="shared" si="72"/>
        <v>249267</v>
      </c>
      <c r="AZ42" s="44">
        <f t="shared" ref="AZ42:BI42" si="73">AZ18-AZ40</f>
        <v>273406</v>
      </c>
      <c r="BA42" s="44">
        <f t="shared" si="73"/>
        <v>279030</v>
      </c>
      <c r="BB42" s="44">
        <f t="shared" si="73"/>
        <v>285173</v>
      </c>
      <c r="BC42" s="44">
        <f t="shared" si="73"/>
        <v>276820</v>
      </c>
      <c r="BD42" s="49">
        <f t="shared" si="73"/>
        <v>276820</v>
      </c>
      <c r="BE42" s="44">
        <f t="shared" si="73"/>
        <v>288351</v>
      </c>
      <c r="BF42" s="120">
        <f t="shared" si="73"/>
        <v>294689</v>
      </c>
      <c r="BG42" s="120">
        <f t="shared" si="73"/>
        <v>310571</v>
      </c>
      <c r="BH42" s="44">
        <f t="shared" si="73"/>
        <v>318974</v>
      </c>
      <c r="BI42" s="49">
        <f t="shared" si="73"/>
        <v>318974</v>
      </c>
      <c r="BJ42" s="44">
        <f t="shared" ref="BJ42:BN42" si="74">BJ18-BJ40</f>
        <v>330704</v>
      </c>
      <c r="BK42" s="44">
        <f t="shared" si="74"/>
        <v>338333</v>
      </c>
      <c r="BL42" s="44">
        <f t="shared" si="74"/>
        <v>345068</v>
      </c>
      <c r="BM42" s="44">
        <f t="shared" si="74"/>
        <v>354876</v>
      </c>
      <c r="BN42" s="49">
        <f t="shared" si="74"/>
        <v>354876</v>
      </c>
      <c r="BO42" s="44">
        <f t="shared" ref="BO42:BS42" si="75">BO18-BO40</f>
        <v>355188</v>
      </c>
      <c r="BP42" s="44">
        <f t="shared" si="75"/>
        <v>373310</v>
      </c>
      <c r="BQ42" s="44">
        <f t="shared" si="75"/>
        <v>394940</v>
      </c>
      <c r="BR42" s="44">
        <f t="shared" si="75"/>
        <v>420721</v>
      </c>
      <c r="BS42" s="49">
        <f t="shared" si="75"/>
        <v>420721</v>
      </c>
      <c r="BT42" s="44">
        <f t="shared" ref="BT42:BX42" si="76">BT18-BT40</f>
        <v>440523</v>
      </c>
      <c r="BU42" s="44">
        <f t="shared" si="76"/>
        <v>455113</v>
      </c>
      <c r="BV42" s="44">
        <f t="shared" si="76"/>
        <v>470528</v>
      </c>
      <c r="BW42" s="44">
        <f t="shared" si="76"/>
        <v>484259</v>
      </c>
      <c r="BX42" s="49">
        <f t="shared" si="76"/>
        <v>484259</v>
      </c>
      <c r="BY42" s="44">
        <f t="shared" ref="BY42:CD42" si="77">BY18-BY40</f>
        <v>491521</v>
      </c>
      <c r="BZ42" s="44">
        <f t="shared" si="77"/>
        <v>497020</v>
      </c>
      <c r="CA42" s="44">
        <f t="shared" si="77"/>
        <v>507663</v>
      </c>
      <c r="CB42" s="44">
        <f t="shared" si="77"/>
        <v>537073</v>
      </c>
      <c r="CC42" s="49">
        <f t="shared" si="77"/>
        <v>537073</v>
      </c>
      <c r="CD42" s="44">
        <f t="shared" si="77"/>
        <v>565890</v>
      </c>
      <c r="CE42" s="44">
        <f t="shared" ref="CE42:CI42" si="78">CE18-CE40</f>
        <v>600981</v>
      </c>
      <c r="CF42" s="44">
        <f t="shared" si="78"/>
        <v>626844</v>
      </c>
      <c r="CG42" s="44">
        <f t="shared" si="78"/>
        <v>667475</v>
      </c>
      <c r="CH42" s="49">
        <f t="shared" si="78"/>
        <v>667475</v>
      </c>
      <c r="CI42" s="44">
        <f t="shared" si="78"/>
        <v>682965</v>
      </c>
      <c r="CJ42" s="44">
        <f t="shared" ref="CJ42:CN42" si="79">CJ18-CJ40</f>
        <v>703421</v>
      </c>
      <c r="CK42" s="44">
        <f t="shared" si="79"/>
        <v>829365</v>
      </c>
      <c r="CL42" s="44">
        <f t="shared" si="79"/>
        <v>854690</v>
      </c>
      <c r="CM42" s="49">
        <f t="shared" si="79"/>
        <v>854690</v>
      </c>
      <c r="CN42" s="44">
        <f t="shared" si="79"/>
        <v>920921</v>
      </c>
      <c r="CO42" s="44">
        <f t="shared" ref="CO42" si="80">CO18-CO40</f>
        <v>949780</v>
      </c>
      <c r="CP42" s="44">
        <f t="shared" ref="CP42:CS42" si="81">CP18-CP40</f>
        <v>958940</v>
      </c>
      <c r="CQ42" s="44">
        <f t="shared" si="81"/>
        <v>973893</v>
      </c>
      <c r="CR42" s="49">
        <f t="shared" si="81"/>
        <v>973893</v>
      </c>
      <c r="CS42" s="44">
        <f t="shared" si="81"/>
        <v>1009192.3751405</v>
      </c>
      <c r="CT42" s="44">
        <f t="shared" ref="CT42:CW42" si="82">CT18-CT40</f>
        <v>1048915.2172365002</v>
      </c>
      <c r="CU42" s="44">
        <f t="shared" si="82"/>
        <v>1092051.50532258</v>
      </c>
      <c r="CV42" s="44">
        <f t="shared" si="82"/>
        <v>1136952.5828585799</v>
      </c>
      <c r="CW42" s="49">
        <f t="shared" si="82"/>
        <v>1136952.5828585799</v>
      </c>
    </row>
    <row r="43" spans="2:101">
      <c r="B43" s="24"/>
      <c r="E43" s="32"/>
      <c r="F43" s="32"/>
      <c r="I43" s="45"/>
      <c r="J43" s="45"/>
      <c r="K43" s="50"/>
      <c r="L43" s="45"/>
      <c r="M43" s="45"/>
      <c r="N43" s="45"/>
      <c r="O43" s="45"/>
      <c r="P43" s="50"/>
      <c r="Q43" s="45"/>
      <c r="R43" s="45"/>
      <c r="S43" s="45"/>
      <c r="T43" s="101"/>
      <c r="U43" s="50"/>
      <c r="V43" s="45"/>
      <c r="W43" s="45"/>
      <c r="X43" s="45"/>
      <c r="Y43" s="45"/>
      <c r="Z43" s="50"/>
      <c r="AA43" s="45"/>
      <c r="AB43" s="45"/>
      <c r="AC43" s="45"/>
      <c r="AD43" s="45"/>
      <c r="AE43" s="111">
        <f t="shared" si="10"/>
        <v>0</v>
      </c>
      <c r="AF43" s="76"/>
      <c r="AG43" s="76"/>
      <c r="AH43" s="76"/>
      <c r="AI43" s="45"/>
      <c r="AJ43" s="50">
        <f t="shared" si="49"/>
        <v>0</v>
      </c>
      <c r="AK43" s="45"/>
      <c r="AL43" s="45"/>
      <c r="AM43" s="45"/>
      <c r="AN43" s="45"/>
      <c r="AO43" s="111">
        <f t="shared" si="12"/>
        <v>0</v>
      </c>
      <c r="AP43" s="45"/>
      <c r="AQ43" s="45"/>
      <c r="AR43" s="45"/>
      <c r="AS43" s="45"/>
      <c r="AT43" s="111">
        <f t="shared" si="13"/>
        <v>0</v>
      </c>
      <c r="AU43" s="45"/>
      <c r="AV43" s="76"/>
      <c r="AW43" s="253"/>
      <c r="AX43" s="45"/>
      <c r="AY43" s="111">
        <f t="shared" si="14"/>
        <v>0</v>
      </c>
      <c r="AZ43" s="45"/>
      <c r="BA43" s="45"/>
      <c r="BB43" s="253"/>
      <c r="BC43" s="45"/>
      <c r="BD43" s="111">
        <f>BC43</f>
        <v>0</v>
      </c>
      <c r="BE43" s="45"/>
      <c r="BF43" s="45"/>
      <c r="BG43" s="45"/>
      <c r="BH43" s="45"/>
      <c r="BI43" s="111">
        <f>BH43</f>
        <v>0</v>
      </c>
      <c r="BJ43" s="45"/>
      <c r="BK43" s="45"/>
      <c r="BL43" s="45"/>
      <c r="BM43" s="45"/>
      <c r="BN43" s="111">
        <f>BM43</f>
        <v>0</v>
      </c>
      <c r="BO43" s="45"/>
      <c r="BP43" s="45"/>
      <c r="BQ43" s="45"/>
      <c r="BR43" s="45"/>
      <c r="BS43" s="111">
        <f>BR43</f>
        <v>0</v>
      </c>
      <c r="BT43" s="45"/>
      <c r="BU43" s="45"/>
      <c r="BV43" s="45"/>
      <c r="BW43" s="45"/>
      <c r="BX43" s="111">
        <f>BW43</f>
        <v>0</v>
      </c>
      <c r="BY43" s="45"/>
      <c r="BZ43" s="45"/>
      <c r="CA43" s="45"/>
      <c r="CB43" s="45"/>
      <c r="CC43" s="111">
        <f>CB43</f>
        <v>0</v>
      </c>
      <c r="CD43" s="45"/>
      <c r="CE43" s="45"/>
      <c r="CF43" s="45"/>
      <c r="CG43" s="45"/>
      <c r="CH43" s="111">
        <f>CG43</f>
        <v>0</v>
      </c>
      <c r="CI43" s="45"/>
      <c r="CJ43" s="45"/>
      <c r="CK43" s="45"/>
      <c r="CL43" s="45"/>
      <c r="CM43" s="111">
        <f>CL43</f>
        <v>0</v>
      </c>
      <c r="CN43" s="45"/>
      <c r="CO43" s="45"/>
      <c r="CP43" s="45"/>
      <c r="CQ43" s="45"/>
      <c r="CR43" s="111">
        <f>CQ43</f>
        <v>0</v>
      </c>
      <c r="CS43" s="45"/>
      <c r="CT43" s="45"/>
      <c r="CU43" s="45"/>
      <c r="CV43" s="45"/>
      <c r="CW43" s="111">
        <f>CV43</f>
        <v>0</v>
      </c>
    </row>
    <row r="44" spans="2:101" s="1" customFormat="1" ht="13.5" thickBot="1">
      <c r="B44" s="46" t="s">
        <v>67</v>
      </c>
      <c r="C44" s="47"/>
      <c r="D44" s="47"/>
      <c r="E44" s="53"/>
      <c r="F44" s="53"/>
      <c r="G44" s="47"/>
      <c r="H44" s="47"/>
      <c r="I44" s="48"/>
      <c r="J44" s="48">
        <f>+J42+J40</f>
        <v>19197</v>
      </c>
      <c r="K44" s="51"/>
      <c r="L44" s="48"/>
      <c r="M44" s="48"/>
      <c r="N44" s="48"/>
      <c r="O44" s="48">
        <f>O42+O40</f>
        <v>21919</v>
      </c>
      <c r="P44" s="51"/>
      <c r="Q44" s="48">
        <f>Q42+Q40</f>
        <v>22940</v>
      </c>
      <c r="R44" s="48">
        <f>R42+R40</f>
        <v>54652</v>
      </c>
      <c r="S44" s="48">
        <f>S42+S40</f>
        <v>56227</v>
      </c>
      <c r="T44" s="104">
        <f>T42+T40</f>
        <v>57880</v>
      </c>
      <c r="U44" s="51"/>
      <c r="V44" s="48">
        <f>V42+V40</f>
        <v>59317</v>
      </c>
      <c r="W44" s="48">
        <f>W42+W40</f>
        <v>61215</v>
      </c>
      <c r="X44" s="48">
        <f>X42+X40</f>
        <v>63422</v>
      </c>
      <c r="Y44" s="48">
        <f>Y42+Y40</f>
        <v>77618</v>
      </c>
      <c r="Z44" s="51"/>
      <c r="AA44" s="48">
        <f>AA42+AA40</f>
        <v>78996</v>
      </c>
      <c r="AB44" s="48">
        <f>AB42+AB40</f>
        <v>82946</v>
      </c>
      <c r="AC44" s="48">
        <f>AC42+AC40</f>
        <v>156744</v>
      </c>
      <c r="AD44" s="48">
        <f>AD42+AD40</f>
        <v>159201</v>
      </c>
      <c r="AE44" s="167">
        <f t="shared" si="10"/>
        <v>159201</v>
      </c>
      <c r="AF44" s="48">
        <f>AF42+AF40</f>
        <v>162779</v>
      </c>
      <c r="AG44" s="48">
        <f>AG42+AG40</f>
        <v>167988</v>
      </c>
      <c r="AH44" s="48">
        <f>AH42+AH40</f>
        <v>173590</v>
      </c>
      <c r="AI44" s="48">
        <f>AI42+AI40</f>
        <v>223330</v>
      </c>
      <c r="AJ44" s="61">
        <f t="shared" si="49"/>
        <v>223330</v>
      </c>
      <c r="AK44" s="48">
        <f t="shared" ref="AK44:AY44" si="83">AK42+AK40</f>
        <v>226559</v>
      </c>
      <c r="AL44" s="48">
        <f t="shared" si="83"/>
        <v>230172</v>
      </c>
      <c r="AM44" s="48">
        <f t="shared" si="83"/>
        <v>234637</v>
      </c>
      <c r="AN44" s="48">
        <f t="shared" si="83"/>
        <v>243775</v>
      </c>
      <c r="AO44" s="51">
        <f t="shared" si="83"/>
        <v>243775</v>
      </c>
      <c r="AP44" s="48">
        <f t="shared" si="83"/>
        <v>246870</v>
      </c>
      <c r="AQ44" s="48">
        <f t="shared" si="83"/>
        <v>249926</v>
      </c>
      <c r="AR44" s="48">
        <f t="shared" si="83"/>
        <v>252877</v>
      </c>
      <c r="AS44" s="48">
        <f t="shared" si="83"/>
        <v>261731</v>
      </c>
      <c r="AT44" s="51">
        <f t="shared" si="83"/>
        <v>261731</v>
      </c>
      <c r="AU44" s="48">
        <f t="shared" si="83"/>
        <v>281725</v>
      </c>
      <c r="AV44" s="48">
        <f t="shared" si="83"/>
        <v>287755</v>
      </c>
      <c r="AW44" s="48">
        <f t="shared" si="83"/>
        <v>292274</v>
      </c>
      <c r="AX44" s="48">
        <f t="shared" si="83"/>
        <v>298365</v>
      </c>
      <c r="AY44" s="51">
        <f t="shared" si="83"/>
        <v>298365</v>
      </c>
      <c r="AZ44" s="48">
        <f t="shared" ref="AZ44:BI44" si="84">AZ42+AZ40</f>
        <v>327918</v>
      </c>
      <c r="BA44" s="48">
        <f t="shared" si="84"/>
        <v>333872</v>
      </c>
      <c r="BB44" s="48">
        <f t="shared" si="84"/>
        <v>339021</v>
      </c>
      <c r="BC44" s="48">
        <f t="shared" si="84"/>
        <v>335520</v>
      </c>
      <c r="BD44" s="51">
        <f t="shared" si="84"/>
        <v>335520</v>
      </c>
      <c r="BE44" s="48">
        <f t="shared" si="84"/>
        <v>339596</v>
      </c>
      <c r="BF44" s="48">
        <f t="shared" si="84"/>
        <v>351673</v>
      </c>
      <c r="BG44" s="48">
        <f t="shared" si="84"/>
        <v>368460</v>
      </c>
      <c r="BH44" s="48">
        <f t="shared" si="84"/>
        <v>386123</v>
      </c>
      <c r="BI44" s="51">
        <f t="shared" si="84"/>
        <v>386123</v>
      </c>
      <c r="BJ44" s="48">
        <f t="shared" ref="BJ44:BN44" si="85">BJ42+BJ40</f>
        <v>407197</v>
      </c>
      <c r="BK44" s="48">
        <f t="shared" si="85"/>
        <v>418607</v>
      </c>
      <c r="BL44" s="48">
        <f t="shared" si="85"/>
        <v>426597</v>
      </c>
      <c r="BM44" s="48">
        <f t="shared" si="85"/>
        <v>447440</v>
      </c>
      <c r="BN44" s="51">
        <f t="shared" si="85"/>
        <v>447440</v>
      </c>
      <c r="BO44" s="48">
        <f t="shared" ref="BO44:BS44" si="86">BO42+BO40</f>
        <v>439819</v>
      </c>
      <c r="BP44" s="48">
        <f t="shared" si="86"/>
        <v>461663</v>
      </c>
      <c r="BQ44" s="48">
        <f t="shared" si="86"/>
        <v>487686</v>
      </c>
      <c r="BR44" s="48">
        <f t="shared" si="86"/>
        <v>525525</v>
      </c>
      <c r="BS44" s="51">
        <f t="shared" si="86"/>
        <v>525525</v>
      </c>
      <c r="BT44" s="48">
        <f t="shared" ref="BT44:BX44" si="87">BT42+BT40</f>
        <v>549837</v>
      </c>
      <c r="BU44" s="48">
        <f t="shared" si="87"/>
        <v>572278</v>
      </c>
      <c r="BV44" s="48">
        <f t="shared" si="87"/>
        <v>591283</v>
      </c>
      <c r="BW44" s="48">
        <f t="shared" si="87"/>
        <v>615846</v>
      </c>
      <c r="BX44" s="51">
        <f t="shared" si="87"/>
        <v>615846</v>
      </c>
      <c r="BY44" s="48">
        <f t="shared" ref="BY44:CD44" si="88">BY42+BY40</f>
        <v>613308</v>
      </c>
      <c r="BZ44" s="48">
        <f t="shared" si="88"/>
        <v>622776</v>
      </c>
      <c r="CA44" s="48">
        <f t="shared" si="88"/>
        <v>637090</v>
      </c>
      <c r="CB44" s="48">
        <f t="shared" si="88"/>
        <v>672914</v>
      </c>
      <c r="CC44" s="51">
        <f t="shared" si="88"/>
        <v>672914</v>
      </c>
      <c r="CD44" s="48">
        <f t="shared" si="88"/>
        <v>696927</v>
      </c>
      <c r="CE44" s="48">
        <f t="shared" ref="CE44:CI44" si="89">CE42+CE40</f>
        <v>735538</v>
      </c>
      <c r="CF44" s="48">
        <f t="shared" si="89"/>
        <v>787408</v>
      </c>
      <c r="CG44" s="48">
        <f t="shared" si="89"/>
        <v>823844</v>
      </c>
      <c r="CH44" s="51">
        <f t="shared" si="89"/>
        <v>823844</v>
      </c>
      <c r="CI44" s="48">
        <f t="shared" si="89"/>
        <v>839847</v>
      </c>
      <c r="CJ44" s="48">
        <f t="shared" ref="CJ44:CN44" si="90">CJ42+CJ40</f>
        <v>854521</v>
      </c>
      <c r="CK44" s="48">
        <f t="shared" si="90"/>
        <v>1003300</v>
      </c>
      <c r="CL44" s="48">
        <f t="shared" si="90"/>
        <v>1031230</v>
      </c>
      <c r="CM44" s="51">
        <f t="shared" si="90"/>
        <v>1031230</v>
      </c>
      <c r="CN44" s="48">
        <f t="shared" si="90"/>
        <v>1109050</v>
      </c>
      <c r="CO44" s="48">
        <f t="shared" ref="CO44" si="91">CO42+CO40</f>
        <v>1121104</v>
      </c>
      <c r="CP44" s="48">
        <f t="shared" ref="CP44:CS44" si="92">CP42+CP40</f>
        <v>1158680</v>
      </c>
      <c r="CQ44" s="48">
        <f t="shared" si="92"/>
        <v>1169859</v>
      </c>
      <c r="CR44" s="51">
        <f t="shared" si="92"/>
        <v>1169859</v>
      </c>
      <c r="CS44" s="48">
        <f t="shared" si="92"/>
        <v>1224389.1959005001</v>
      </c>
      <c r="CT44" s="48">
        <f t="shared" ref="CT44:CW44" si="93">CT42+CT40</f>
        <v>1270548.0780365001</v>
      </c>
      <c r="CU44" s="48">
        <f t="shared" si="93"/>
        <v>1319665.7613545801</v>
      </c>
      <c r="CV44" s="48">
        <f t="shared" si="93"/>
        <v>1367724.0918185799</v>
      </c>
      <c r="CW44" s="51">
        <f t="shared" si="93"/>
        <v>1367724.0918185799</v>
      </c>
    </row>
    <row r="46" spans="2:101">
      <c r="B46" t="s">
        <v>109</v>
      </c>
      <c r="J46" s="73">
        <f>J8/(IS!J4*4)*365</f>
        <v>51.542698019801975</v>
      </c>
      <c r="O46" s="73">
        <f>O8/(IS!O4*4)*365</f>
        <v>43.572537821861538</v>
      </c>
      <c r="Q46" s="73">
        <f>Q8/(IS!Q4*4)*365</f>
        <v>45.65617983012789</v>
      </c>
      <c r="R46" s="71">
        <f>R8/(IS!R4*4)*365</f>
        <v>41.581117507309941</v>
      </c>
      <c r="S46" s="71">
        <f>S8/(IS!S4*4)*365</f>
        <v>43.810482116438955</v>
      </c>
      <c r="T46" s="105">
        <f>T8/(IS!T4*4)*365</f>
        <v>42.673672287943617</v>
      </c>
      <c r="V46" s="73">
        <f>V8/(IS!V4*4)*365</f>
        <v>45.852241283895957</v>
      </c>
      <c r="W46" s="71">
        <f>W8/(IS!W4*4)*365</f>
        <v>48.142444572002589</v>
      </c>
      <c r="X46" s="71">
        <f>X8/(IS!X4*4)*365</f>
        <v>45.216610857106062</v>
      </c>
      <c r="Y46" s="71">
        <f>Y8/(IS!Y4*4)*365</f>
        <v>45.803425003153777</v>
      </c>
      <c r="AA46" s="73">
        <f>AA8/(IS!AA4*4)*365</f>
        <v>44.046585823152292</v>
      </c>
      <c r="AB46" s="71">
        <f>AB8/(IS!AB4*4)*365</f>
        <v>46.231763088491107</v>
      </c>
      <c r="AC46" s="71">
        <f>AC8/(IS!AC4*4)*365</f>
        <v>45.681279913159322</v>
      </c>
      <c r="AD46" s="71">
        <f>AD8/(IS!AD4*4)*365</f>
        <v>44.399350649350644</v>
      </c>
      <c r="AF46" s="73">
        <f>AF8/(IS!AF4*4)*365</f>
        <v>41.445141461771641</v>
      </c>
      <c r="AG46" s="71">
        <f>AG8/(IS!AG4*4)*365</f>
        <v>41.634724062670514</v>
      </c>
      <c r="AH46" s="71">
        <f>AH8/(IS!AH4*4)*365</f>
        <v>37.664951125592417</v>
      </c>
      <c r="AI46" s="71">
        <f>AI8/(IS!AI4*4)*365</f>
        <v>37.875942873485144</v>
      </c>
      <c r="AK46" s="73">
        <f>AK8/(IS!AK4*4)*365</f>
        <v>38.36164000138222</v>
      </c>
      <c r="AL46" s="71">
        <f>AL8/(IS!AL4*4)*365</f>
        <v>39.164147909967845</v>
      </c>
      <c r="AM46" s="71">
        <f>AM8/(IS!AM4*4)*365</f>
        <v>38.160724173998645</v>
      </c>
      <c r="AN46" s="71">
        <f>AN8/(IS!AN4*4)*365</f>
        <v>39.750790915767467</v>
      </c>
      <c r="AP46" s="73">
        <f>AP8/(IS!AP4*4)*365</f>
        <v>39.054605085204223</v>
      </c>
      <c r="AQ46" s="71">
        <f>AQ8/(IS!AQ4*4)*365</f>
        <v>40.53232636564897</v>
      </c>
      <c r="AR46" s="71">
        <f>AR8/(IS!AR4*4)*365</f>
        <v>40.577916687317241</v>
      </c>
      <c r="AS46" s="71">
        <f>AS8/(IS!AS4*4)*365</f>
        <v>37.956190374988196</v>
      </c>
      <c r="AU46" s="73">
        <f>AU8/(IS!AU4*4)*365</f>
        <v>40.875293317835919</v>
      </c>
      <c r="AV46" s="73">
        <f>AV8/(IS!AV4*4)*365</f>
        <v>39.374458828747017</v>
      </c>
      <c r="AW46" s="73">
        <f>AW8/(IS!AW4*4)*365</f>
        <v>39.550183629575521</v>
      </c>
      <c r="AX46" s="73">
        <f>AX8/(IS!AX4*4)*365</f>
        <v>37.074724349307687</v>
      </c>
      <c r="AY46" s="73"/>
      <c r="AZ46" s="73">
        <f>AZ8/(IS!AZ4*4)*365</f>
        <v>39.856422822152041</v>
      </c>
      <c r="BA46" s="73">
        <f>BA8/(IS!BA4*4)*365</f>
        <v>36.21658776066613</v>
      </c>
      <c r="BB46" s="73">
        <f>BB8/(IS!BB4*4)*365</f>
        <v>39.287065894924311</v>
      </c>
      <c r="BC46" s="73">
        <f>BC8/(IS!BC4*4)*365</f>
        <v>39.035244845360829</v>
      </c>
      <c r="BE46" s="73">
        <f>BE8/(IS!BE4*4)*365</f>
        <v>40.068960265348949</v>
      </c>
      <c r="BF46" s="73">
        <f>BF8/(IS!BF4*4)*365</f>
        <v>42.078272576975337</v>
      </c>
      <c r="BG46" s="73">
        <f>BG8/(IS!BG4*4)*365</f>
        <v>39.608723834065025</v>
      </c>
      <c r="BH46" s="73">
        <f>BH8/(IS!BH4*4)*365</f>
        <v>38.477043673012318</v>
      </c>
      <c r="BJ46" s="73">
        <f>BJ8/(IS!BJ4*4)*365</f>
        <v>38.582278811964024</v>
      </c>
      <c r="BK46" s="73">
        <f>BK8/(IS!BK4*4)*365</f>
        <v>40.941262093420306</v>
      </c>
      <c r="BL46" s="73">
        <f>BL8/(IS!BL4*4)*365</f>
        <v>37.801696791112114</v>
      </c>
      <c r="BM46" s="73">
        <f>BM8/(IS!BM4*4)*365</f>
        <v>39.559690924339712</v>
      </c>
      <c r="BO46" s="73">
        <f>BO8/(IS!BO4*4)*365</f>
        <v>40.925487249299117</v>
      </c>
      <c r="BP46" s="73">
        <f>BP8/(IS!BP4*4)*365</f>
        <v>45.689598136900742</v>
      </c>
      <c r="BQ46" s="73">
        <f>BQ8/(IS!BQ4*4)*365</f>
        <v>39.052251844589414</v>
      </c>
      <c r="BR46" s="73">
        <f>BR8/(IS!BR4*4)*365</f>
        <v>36.779090843616459</v>
      </c>
      <c r="BT46" s="73">
        <f>BT8/(IS!BT4*4)*365</f>
        <v>35.72255089129132</v>
      </c>
      <c r="BU46" s="73">
        <f>BU8/(IS!BU4*4)*365</f>
        <v>36.616211299040607</v>
      </c>
      <c r="BV46" s="73">
        <f>BV8/(IS!BV4*4)*365</f>
        <v>32.93453165384576</v>
      </c>
      <c r="BW46" s="73">
        <f>BW8/(IS!BW4*4)*365</f>
        <v>30.691954727704466</v>
      </c>
      <c r="BY46" s="73">
        <f>BY8/(IS!BY4*4)*365</f>
        <v>33.638098542678698</v>
      </c>
      <c r="BZ46" s="73">
        <f>BZ8/(IS!BZ4*4)*365</f>
        <v>33.519401802560957</v>
      </c>
      <c r="CA46" s="73">
        <f>CA8/(IS!CA4*4)*365</f>
        <v>29.320735723145191</v>
      </c>
      <c r="CB46" s="73">
        <f>CB8/(IS!CB4*4)*365</f>
        <v>29.491089429428445</v>
      </c>
      <c r="CC46" s="73"/>
      <c r="CD46" s="73">
        <f>CD8/(IS!CD4*4)*365</f>
        <v>31.49034107159882</v>
      </c>
      <c r="CE46" s="73">
        <f>CE8/(IS!CE4*4)*365</f>
        <v>31.480186480186479</v>
      </c>
      <c r="CF46" s="73">
        <f>CF8/(IS!CF4*4)*365</f>
        <v>30.363304486919599</v>
      </c>
      <c r="CG46" s="73">
        <f>CG8/(IS!CG4*4)*365</f>
        <v>29.484013382540613</v>
      </c>
      <c r="CH46" s="73"/>
      <c r="CI46" s="73">
        <f>CI8/(IS!CI4*4)*365</f>
        <v>31.805361488474087</v>
      </c>
      <c r="CJ46" s="73">
        <f>CJ8/(IS!CJ4*4)*365</f>
        <v>32.910858681215657</v>
      </c>
      <c r="CK46" s="73">
        <f>CK8/(IS!CK4*4)*365</f>
        <v>30.97859621470376</v>
      </c>
      <c r="CL46" s="73">
        <f>CL8/(IS!CL4*4)*365</f>
        <v>27.782324597588161</v>
      </c>
      <c r="CM46" s="73"/>
      <c r="CN46" s="73">
        <f>CN8/(IS!CN4*4)*365</f>
        <v>31.861026499732855</v>
      </c>
      <c r="CO46" s="73">
        <f>CO8/(IS!CO4*4)*365</f>
        <v>32.873372465314837</v>
      </c>
      <c r="CP46" s="73">
        <f>CP8/(IS!CP4*4)*365</f>
        <v>32.404840077091578</v>
      </c>
      <c r="CQ46" s="73">
        <f>CQ8/(IS!CQ4*4)*365</f>
        <v>32.286960426053191</v>
      </c>
      <c r="CR46" s="73"/>
      <c r="CS46" s="73">
        <f>CS8/(IS!CS4*4)*365</f>
        <v>30.112500000000001</v>
      </c>
      <c r="CT46" s="73">
        <f>CT8/(IS!CT4*4)*365</f>
        <v>30.112500000000001</v>
      </c>
      <c r="CU46" s="73">
        <f>CU8/(IS!CU4*4)*365</f>
        <v>30.112499999999997</v>
      </c>
      <c r="CV46" s="73">
        <f>CV8/(IS!CV4*4)*365</f>
        <v>30.112500000000001</v>
      </c>
      <c r="CW46" s="73"/>
    </row>
    <row r="47" spans="2:101">
      <c r="Q47" s="86"/>
    </row>
    <row r="48" spans="2:101">
      <c r="C48" t="s">
        <v>153</v>
      </c>
      <c r="O48" s="85">
        <f>+O33+O28</f>
        <v>7432</v>
      </c>
      <c r="Q48" s="85">
        <f>+Q33+Q28</f>
        <v>7751</v>
      </c>
      <c r="R48" s="85">
        <f>+R33+R28</f>
        <v>8021</v>
      </c>
      <c r="S48" s="85">
        <f>+S33+S28</f>
        <v>8298</v>
      </c>
      <c r="T48" s="85">
        <f>+T33+T28</f>
        <v>8587</v>
      </c>
      <c r="V48" s="85">
        <f>+V33+V28</f>
        <v>8851</v>
      </c>
      <c r="W48" s="85">
        <f>+W33+W28</f>
        <v>9195</v>
      </c>
      <c r="X48" s="85">
        <f>+X33+X28</f>
        <v>9910</v>
      </c>
      <c r="Y48" s="85">
        <f>+Y33+Y28</f>
        <v>10439</v>
      </c>
      <c r="AA48" s="85">
        <f>+AA33+AA28</f>
        <v>11371</v>
      </c>
      <c r="AB48" s="85">
        <f>+AB33+AB28</f>
        <v>12239</v>
      </c>
      <c r="AC48" s="85">
        <f>+AC33+AC28</f>
        <v>13265</v>
      </c>
      <c r="AD48" s="85">
        <f>+AD33+AD28</f>
        <v>13811</v>
      </c>
      <c r="AF48" s="85">
        <f>+AF33+AF28</f>
        <v>14166</v>
      </c>
      <c r="AG48" s="85">
        <f>+AG33+AG28</f>
        <v>14860</v>
      </c>
      <c r="AH48" s="85">
        <f>+AH33+AH28</f>
        <v>15217</v>
      </c>
      <c r="AI48" s="85">
        <f>+AI33+AI28</f>
        <v>15120</v>
      </c>
      <c r="AK48" s="85">
        <f>+AK33+AK28</f>
        <v>15694</v>
      </c>
      <c r="AL48" s="85">
        <f>+AL33+AL28</f>
        <v>16929</v>
      </c>
      <c r="AM48" s="85">
        <f>+AM33+AM28</f>
        <v>17198</v>
      </c>
      <c r="AN48" s="85">
        <f>+AN33+AN28</f>
        <v>18158</v>
      </c>
      <c r="AP48" s="85">
        <f>+AP33+AP28</f>
        <v>18080</v>
      </c>
      <c r="AQ48" s="85">
        <f>+AQ33+AQ28</f>
        <v>18829</v>
      </c>
      <c r="AR48" s="85">
        <f>+AR33+AR28</f>
        <v>19773</v>
      </c>
      <c r="AS48" s="85">
        <f>+AS33+AS28</f>
        <v>18745</v>
      </c>
      <c r="AU48" s="85">
        <f>+AU33+AU28</f>
        <v>22210</v>
      </c>
      <c r="AV48" s="85">
        <f>+AV33+AV28</f>
        <v>23517</v>
      </c>
      <c r="AW48" s="85">
        <f>+AW33+AW28</f>
        <v>23119</v>
      </c>
      <c r="AX48" s="85">
        <f>+AX33+AX28</f>
        <v>21902</v>
      </c>
      <c r="AZ48" s="85">
        <f>+AZ33+AZ28</f>
        <v>26890</v>
      </c>
      <c r="BA48" s="85">
        <f>+BA33+BA28</f>
        <v>27674</v>
      </c>
      <c r="BB48" s="85">
        <f>+BB33+BB28</f>
        <v>26834</v>
      </c>
      <c r="BC48" s="85">
        <f>+BC33+BC28</f>
        <v>27009</v>
      </c>
      <c r="BE48" s="85">
        <f>+BE33+BE28</f>
        <v>24274</v>
      </c>
      <c r="BF48" s="85">
        <f>+BF33+BF28</f>
        <v>26831</v>
      </c>
      <c r="BG48" s="85">
        <f>+BG33+BG28</f>
        <v>27633</v>
      </c>
      <c r="BH48" s="85">
        <f>+BH33+BH28</f>
        <v>27840</v>
      </c>
      <c r="BJ48" s="85">
        <f>+BJ33+BJ28</f>
        <v>31538</v>
      </c>
      <c r="BK48" s="85">
        <f>+BK33+BK28</f>
        <v>33090</v>
      </c>
      <c r="BL48" s="85">
        <f>+BL33+BL28</f>
        <v>32952</v>
      </c>
      <c r="BM48" s="85">
        <f>+BM33+BM28</f>
        <v>34314</v>
      </c>
      <c r="BO48" s="85">
        <f>+BO33+BO28</f>
        <v>37710</v>
      </c>
      <c r="BP48" s="85">
        <f>+BP33+BP28</f>
        <v>39019</v>
      </c>
      <c r="BQ48" s="85">
        <f>+BQ33+BQ28</f>
        <v>38275</v>
      </c>
      <c r="BR48" s="85">
        <f>+BR33+BR28</f>
        <v>40943</v>
      </c>
      <c r="BT48" s="85">
        <f>+BT33+BT28</f>
        <v>48508</v>
      </c>
      <c r="BU48" s="85">
        <f>+BU33+BU28</f>
        <v>53472</v>
      </c>
      <c r="BV48" s="85">
        <f>+BV33+BV28</f>
        <v>54344</v>
      </c>
      <c r="BW48" s="85">
        <f>+BW33+BW28</f>
        <v>55572</v>
      </c>
      <c r="BY48" s="85">
        <f>+BY33+BY28</f>
        <v>61921</v>
      </c>
      <c r="BZ48" s="85">
        <f>+BZ33+BZ28</f>
        <v>64374</v>
      </c>
      <c r="CA48" s="85">
        <f>+CA33+CA28</f>
        <v>64095</v>
      </c>
      <c r="CB48" s="85">
        <f>+CB33+CB28</f>
        <v>62194</v>
      </c>
      <c r="CC48" s="85"/>
      <c r="CD48" s="85">
        <f t="shared" ref="CD48:CF48" si="94">+CD33+CD28</f>
        <v>68012</v>
      </c>
      <c r="CE48" s="85">
        <f t="shared" si="94"/>
        <v>72105</v>
      </c>
      <c r="CF48" s="85">
        <f t="shared" si="94"/>
        <v>78702</v>
      </c>
      <c r="CG48" s="85">
        <f t="shared" ref="CG48:CK48" si="95">+CG33+CG28</f>
        <v>76117</v>
      </c>
      <c r="CH48" s="85"/>
      <c r="CI48" s="85">
        <f t="shared" si="95"/>
        <v>80174</v>
      </c>
      <c r="CJ48" s="85">
        <f t="shared" si="95"/>
        <v>83504</v>
      </c>
      <c r="CK48" s="85">
        <f t="shared" si="95"/>
        <v>85433</v>
      </c>
      <c r="CL48" s="85">
        <f t="shared" ref="CL48" si="96">+CL33+CL28</f>
        <v>80445</v>
      </c>
      <c r="CM48" s="85"/>
      <c r="CN48" s="85">
        <f t="shared" ref="CN48:CQ48" si="97">+CN33+CN28</f>
        <v>84368</v>
      </c>
      <c r="CO48" s="85">
        <f t="shared" si="97"/>
        <v>84675</v>
      </c>
      <c r="CP48" s="85">
        <f t="shared" si="97"/>
        <v>82716</v>
      </c>
      <c r="CQ48" s="85">
        <f t="shared" si="97"/>
        <v>80878</v>
      </c>
      <c r="CR48" s="85"/>
      <c r="CS48" s="85">
        <f t="shared" ref="CS48:CV48" si="98">+CS33+CS28</f>
        <v>99677.491104999994</v>
      </c>
      <c r="CT48" s="85">
        <f t="shared" si="98"/>
        <v>102160.3728</v>
      </c>
      <c r="CU48" s="85">
        <f t="shared" si="98"/>
        <v>105453.500512</v>
      </c>
      <c r="CV48" s="85">
        <f t="shared" si="98"/>
        <v>107191.76335999998</v>
      </c>
      <c r="CW48" s="85"/>
    </row>
    <row r="49" spans="3:101">
      <c r="C49" t="s">
        <v>154</v>
      </c>
      <c r="Q49" s="72">
        <f>Q48/O48-1</f>
        <v>4.2922497308934382E-2</v>
      </c>
      <c r="R49" s="72">
        <f>R48/Q48-1</f>
        <v>3.4834214940007824E-2</v>
      </c>
      <c r="S49" s="72">
        <f>S48/R48-1</f>
        <v>3.4534347338237126E-2</v>
      </c>
      <c r="T49" s="72">
        <f>T48/S48-1</f>
        <v>3.4827669317907928E-2</v>
      </c>
      <c r="V49" s="72">
        <f>V48/T48-1</f>
        <v>3.0744148130895432E-2</v>
      </c>
      <c r="W49" s="72">
        <f>W48/V48-1</f>
        <v>3.886566489662191E-2</v>
      </c>
      <c r="X49" s="72">
        <f>X48/W48-1</f>
        <v>7.7759651984774303E-2</v>
      </c>
      <c r="Y49" s="72">
        <f>Y48/X48-1</f>
        <v>5.3380423814328948E-2</v>
      </c>
      <c r="AA49" s="72">
        <f>AA48/Y48-1</f>
        <v>8.9280582431267463E-2</v>
      </c>
      <c r="AB49" s="72">
        <f>AB48/AA48-1</f>
        <v>7.6334535221176614E-2</v>
      </c>
      <c r="AC49" s="72">
        <f>AC48/AB48-1</f>
        <v>8.3830378298880737E-2</v>
      </c>
      <c r="AD49" s="72">
        <f>AD48/AC48-1</f>
        <v>4.1160949868073837E-2</v>
      </c>
      <c r="AF49" s="72">
        <f>AF48/AD48-1</f>
        <v>2.5704148866845244E-2</v>
      </c>
      <c r="AG49" s="72">
        <f>AG48/AF48-1</f>
        <v>4.8990540731328469E-2</v>
      </c>
      <c r="AH49" s="72">
        <f>AH48/AG48-1</f>
        <v>2.4024226110363367E-2</v>
      </c>
      <c r="AI49" s="72">
        <f>AI48/AH48-1</f>
        <v>-6.3744496287047037E-3</v>
      </c>
      <c r="AK49" s="72">
        <f>AK48/AI48-1</f>
        <v>3.7962962962962976E-2</v>
      </c>
      <c r="AL49" s="72">
        <f>AL48/AK48-1</f>
        <v>7.8692493946731279E-2</v>
      </c>
      <c r="AM49" s="72">
        <f>AM48/AL48-1</f>
        <v>1.5889893082875473E-2</v>
      </c>
      <c r="AN49" s="72">
        <f>AN48/AM48-1</f>
        <v>5.582044423770216E-2</v>
      </c>
      <c r="AP49" s="72">
        <f>AP48/AN48-1</f>
        <v>-4.2956272717259436E-3</v>
      </c>
      <c r="AQ49" s="72">
        <f>AQ48/AP48-1</f>
        <v>4.1426991150442571E-2</v>
      </c>
      <c r="AR49" s="72">
        <f>AR48/AQ48-1</f>
        <v>5.0135429390833375E-2</v>
      </c>
      <c r="AS49" s="72">
        <f>AS48/AR48-1</f>
        <v>-5.1990087493046122E-2</v>
      </c>
      <c r="AU49" s="72">
        <f>AU48/AS48-1</f>
        <v>0.18484929314483867</v>
      </c>
      <c r="AV49" s="72">
        <f>AV48/AU48-1</f>
        <v>5.8847366051328232E-2</v>
      </c>
      <c r="AW49" s="72">
        <f>AW48/AV48-1</f>
        <v>-1.6923927371688574E-2</v>
      </c>
      <c r="AX49" s="72">
        <f>AX48/AW48-1</f>
        <v>-5.2640685150741828E-2</v>
      </c>
      <c r="AZ49" s="72">
        <f>AZ48/AX48-1</f>
        <v>0.22774175874349378</v>
      </c>
      <c r="BA49" s="72">
        <f>BA48/AZ48-1</f>
        <v>2.9155820007437772E-2</v>
      </c>
      <c r="BB49" s="72">
        <f>BB48/BA48-1</f>
        <v>-3.0353400303533951E-2</v>
      </c>
      <c r="BC49" s="72">
        <f>BC48/BB48-1</f>
        <v>6.521577103674403E-3</v>
      </c>
      <c r="BE49" s="72">
        <f>BE48/BC48-1</f>
        <v>-0.10126254211559105</v>
      </c>
      <c r="BF49" s="72">
        <f>BF48/BE48-1</f>
        <v>0.1053390458927248</v>
      </c>
      <c r="BG49" s="72">
        <f>BG48/BF48-1</f>
        <v>2.9890797957586424E-2</v>
      </c>
      <c r="BH49" s="72">
        <f>BH48/BG48-1</f>
        <v>7.4910433177721725E-3</v>
      </c>
      <c r="BJ49" s="72">
        <f>BJ48/BH48-1</f>
        <v>0.13283045977011487</v>
      </c>
      <c r="BK49" s="72">
        <f>BK48/BJ48-1</f>
        <v>4.9210476250872048E-2</v>
      </c>
      <c r="BL49" s="72">
        <f>BL48/BK48-1</f>
        <v>-4.1704442429737476E-3</v>
      </c>
      <c r="BM49" s="72">
        <f>BM48/BL48-1</f>
        <v>4.1332847778587034E-2</v>
      </c>
      <c r="BO49" s="72">
        <f>BO48/BM48-1</f>
        <v>9.8968351110334085E-2</v>
      </c>
      <c r="BP49" s="72">
        <f>BP48/BO48-1</f>
        <v>3.4712277910368572E-2</v>
      </c>
      <c r="BQ49" s="72">
        <f>BQ48/BP48-1</f>
        <v>-1.9067633716907118E-2</v>
      </c>
      <c r="BR49" s="72">
        <f>BR48/BQ48-1</f>
        <v>6.9706074461136414E-2</v>
      </c>
      <c r="BT49" s="72">
        <f>BT48/BR48-1</f>
        <v>0.18476906919375713</v>
      </c>
      <c r="BU49" s="72">
        <f>BU48/BT48-1</f>
        <v>0.10233363568895859</v>
      </c>
      <c r="BV49" s="72">
        <f>BV48/BU48-1</f>
        <v>1.6307600239377606E-2</v>
      </c>
      <c r="BW49" s="72">
        <f>BW48/BV48-1</f>
        <v>2.2596790814073398E-2</v>
      </c>
      <c r="BY49" s="72">
        <f>BY48/BW48-1</f>
        <v>0.11424818253796887</v>
      </c>
      <c r="BZ49" s="72">
        <f>BZ48/BY48-1</f>
        <v>3.961499329791196E-2</v>
      </c>
      <c r="CA49" s="72">
        <f>CA48/BZ48-1</f>
        <v>-4.3340479075403282E-3</v>
      </c>
      <c r="CB49" s="72">
        <f>CB48/CA48-1</f>
        <v>-2.9659099773773345E-2</v>
      </c>
      <c r="CC49" s="72"/>
      <c r="CD49" s="72">
        <f>CD48/CB48-1</f>
        <v>9.3546001221982866E-2</v>
      </c>
      <c r="CE49" s="72">
        <f t="shared" ref="CE49:CG49" si="99">CE48/CD48-1</f>
        <v>6.0180556372404936E-2</v>
      </c>
      <c r="CF49" s="72">
        <f t="shared" si="99"/>
        <v>9.1491574786769281E-2</v>
      </c>
      <c r="CG49" s="72">
        <f t="shared" si="99"/>
        <v>-3.2845416889024426E-2</v>
      </c>
      <c r="CH49" s="72"/>
      <c r="CI49" s="72">
        <f>CI48/CG48-1</f>
        <v>5.3299525730126085E-2</v>
      </c>
      <c r="CJ49" s="72">
        <f t="shared" ref="CJ49:CL49" si="100">CJ48/CI48-1</f>
        <v>4.1534662109910858E-2</v>
      </c>
      <c r="CK49" s="72">
        <f t="shared" si="100"/>
        <v>2.3100689787315609E-2</v>
      </c>
      <c r="CL49" s="72">
        <f t="shared" si="100"/>
        <v>-5.8384933222525248E-2</v>
      </c>
      <c r="CM49" s="72"/>
      <c r="CN49" s="72">
        <f>CN48/CL48-1</f>
        <v>4.876623780222511E-2</v>
      </c>
      <c r="CO49" s="72">
        <f t="shared" ref="CO49" si="101">CO48/CN48-1</f>
        <v>3.63882040584107E-3</v>
      </c>
      <c r="CP49" s="72">
        <f t="shared" ref="CP49:CQ49" si="102">CP48/CO48-1</f>
        <v>-2.3135518157661683E-2</v>
      </c>
      <c r="CQ49" s="72">
        <f t="shared" si="102"/>
        <v>-2.2220610280961339E-2</v>
      </c>
      <c r="CR49" s="72"/>
      <c r="CS49" s="72">
        <f>CS48/CQ48-1</f>
        <v>0.2324425814807487</v>
      </c>
      <c r="CT49" s="72">
        <f t="shared" ref="CT49" si="103">CT48/CS48-1</f>
        <v>2.490915117821868E-2</v>
      </c>
      <c r="CU49" s="72">
        <f t="shared" ref="CU49" si="104">CU48/CT48-1</f>
        <v>3.2234883465499742E-2</v>
      </c>
      <c r="CV49" s="72">
        <f t="shared" ref="CV49" si="105">CV48/CU48-1</f>
        <v>1.6483690342760982E-2</v>
      </c>
      <c r="CW49" s="72"/>
    </row>
    <row r="50" spans="3:101">
      <c r="C50" t="s">
        <v>155</v>
      </c>
      <c r="Q50" s="86"/>
      <c r="V50" s="72">
        <f>V48/Q48-1</f>
        <v>0.1419171719778094</v>
      </c>
      <c r="W50" s="72">
        <f>W48/R48-1</f>
        <v>0.14636578980177029</v>
      </c>
      <c r="X50" s="72">
        <f>X48/S48-1</f>
        <v>0.19426367799469757</v>
      </c>
      <c r="Y50" s="72">
        <f>Y48/T48-1</f>
        <v>0.21567485734249447</v>
      </c>
      <c r="AA50" s="72">
        <f>AA48/V48-1</f>
        <v>0.28471359168455534</v>
      </c>
      <c r="AB50" s="72">
        <f>AB48/W48-1</f>
        <v>0.33104948341489937</v>
      </c>
      <c r="AC50" s="72">
        <f>AC48/X48-1</f>
        <v>0.33854692230070627</v>
      </c>
      <c r="AD50" s="72">
        <f>AD48/Y48-1</f>
        <v>0.32301944630711743</v>
      </c>
      <c r="AF50" s="72">
        <f>AF48/AA48-1</f>
        <v>0.24580072113270601</v>
      </c>
      <c r="AG50" s="72">
        <f>AG48/AB48-1</f>
        <v>0.21415148296429454</v>
      </c>
      <c r="AH50" s="72">
        <f>AH48/AC48-1</f>
        <v>0.14715416509611767</v>
      </c>
      <c r="AI50" s="72">
        <f>AI48/AD48-1</f>
        <v>9.4779523568170321E-2</v>
      </c>
      <c r="AK50" s="72">
        <f>AK48/AF48-1</f>
        <v>0.10786389947762243</v>
      </c>
      <c r="AL50" s="72">
        <f>AL48/AG48-1</f>
        <v>0.13923283983849255</v>
      </c>
      <c r="AM50" s="72">
        <f>AM48/AH48-1</f>
        <v>0.13018334757179462</v>
      </c>
      <c r="AN50" s="72">
        <f>AN48/AI48-1</f>
        <v>0.20092592592592595</v>
      </c>
      <c r="AP50" s="72">
        <f>AP48/AK48-1</f>
        <v>0.15203262393271322</v>
      </c>
      <c r="AQ50" s="72">
        <f>AQ48/AL48-1</f>
        <v>0.11223344556677883</v>
      </c>
      <c r="AR50" s="72">
        <f>AR48/AM48-1</f>
        <v>0.14972671240841962</v>
      </c>
      <c r="AS50" s="72">
        <f>AS48/AN48-1</f>
        <v>3.2327348826963309E-2</v>
      </c>
      <c r="AU50" s="72">
        <f>AU48/AP48-1</f>
        <v>0.22842920353982299</v>
      </c>
      <c r="AV50" s="72">
        <f>AV48/AQ48-1</f>
        <v>0.24897764087312124</v>
      </c>
      <c r="AW50" s="72">
        <f>AW48/AR48-1</f>
        <v>0.16922065442775502</v>
      </c>
      <c r="AX50" s="72">
        <f>AX48/AS48-1</f>
        <v>0.16841824486529733</v>
      </c>
      <c r="AZ50" s="72">
        <f>AZ48/AU48-1</f>
        <v>0.21071589374155786</v>
      </c>
      <c r="BA50" s="72">
        <f>BA48/AV48-1</f>
        <v>0.17676574392992306</v>
      </c>
      <c r="BB50" s="72">
        <f>BB48/AW48-1</f>
        <v>0.16069034127773696</v>
      </c>
      <c r="BC50" s="72">
        <f>BC48/AX48-1</f>
        <v>0.2331750525066203</v>
      </c>
      <c r="BE50" s="72">
        <f>BE48/AZ48-1</f>
        <v>-9.7285236147266696E-2</v>
      </c>
      <c r="BF50" s="72">
        <f>BF48/BA48-1</f>
        <v>-3.0461805304618061E-2</v>
      </c>
      <c r="BG50" s="72">
        <f>BG48/BB48-1</f>
        <v>2.9775657747633577E-2</v>
      </c>
      <c r="BH50" s="72">
        <f>BH48/BC48-1</f>
        <v>3.076752193713217E-2</v>
      </c>
      <c r="BJ50" s="72">
        <f>BJ48/BE48-1</f>
        <v>0.29925022657987976</v>
      </c>
      <c r="BK50" s="72">
        <f>BK48/BF48-1</f>
        <v>0.23327494316275943</v>
      </c>
      <c r="BL50" s="72">
        <f>BL48/BG48-1</f>
        <v>0.1924872435131908</v>
      </c>
      <c r="BM50" s="72">
        <f>BM48/BH48-1</f>
        <v>0.23254310344827589</v>
      </c>
      <c r="BO50" s="72">
        <f>BO48/BJ48-1</f>
        <v>0.19570042488426664</v>
      </c>
      <c r="BP50" s="72">
        <f>BP48/BK48-1</f>
        <v>0.17917799939558776</v>
      </c>
      <c r="BQ50" s="72">
        <f>BQ48/BL48-1</f>
        <v>0.16153799465889773</v>
      </c>
      <c r="BR50" s="72">
        <f>BR48/BM48-1</f>
        <v>0.19318645450836391</v>
      </c>
      <c r="BT50" s="72">
        <f>BT48/BO48-1</f>
        <v>0.28634314505436231</v>
      </c>
      <c r="BU50" s="72">
        <f>BU48/BP48-1</f>
        <v>0.37040928778287507</v>
      </c>
      <c r="BV50" s="72">
        <f>BV48/BQ48-1</f>
        <v>0.41983017635532338</v>
      </c>
      <c r="BW50" s="72">
        <f>BW48/BR48-1</f>
        <v>0.35730161443958663</v>
      </c>
      <c r="BY50" s="72">
        <f>BY48/BT48-1</f>
        <v>0.27651109095406934</v>
      </c>
      <c r="BZ50" s="72">
        <f>BZ48/BU48-1</f>
        <v>0.20388240574506278</v>
      </c>
      <c r="CA50" s="72">
        <f>CA48/BV48-1</f>
        <v>0.17943103194464882</v>
      </c>
      <c r="CB50" s="72">
        <f>CB48/BW48-1</f>
        <v>0.1191607284243863</v>
      </c>
      <c r="CC50" s="72"/>
      <c r="CD50" s="72">
        <f t="shared" ref="CD50:CL50" si="106">CD48/BY48-1</f>
        <v>9.836727443032256E-2</v>
      </c>
      <c r="CE50" s="72">
        <f t="shared" si="106"/>
        <v>0.12009506943797188</v>
      </c>
      <c r="CF50" s="72">
        <f t="shared" si="106"/>
        <v>0.22789609173882508</v>
      </c>
      <c r="CG50" s="72">
        <f t="shared" si="106"/>
        <v>0.2238640383316719</v>
      </c>
      <c r="CH50" s="72"/>
      <c r="CI50" s="72">
        <f t="shared" si="106"/>
        <v>0.17882138446156559</v>
      </c>
      <c r="CJ50" s="72">
        <f t="shared" si="106"/>
        <v>0.15808889813466465</v>
      </c>
      <c r="CK50" s="72">
        <f t="shared" si="106"/>
        <v>8.5525145485502385E-2</v>
      </c>
      <c r="CL50" s="72">
        <f t="shared" si="106"/>
        <v>5.6859834202609205E-2</v>
      </c>
      <c r="CM50" s="72"/>
      <c r="CN50" s="72">
        <f t="shared" ref="CN50:CO50" si="107">CN48/CI48-1</f>
        <v>5.2311223089779757E-2</v>
      </c>
      <c r="CO50" s="72">
        <f t="shared" si="107"/>
        <v>1.40232803219007E-2</v>
      </c>
      <c r="CP50" s="72">
        <f t="shared" ref="CP50:CQ50" si="108">CP48/CK48-1</f>
        <v>-3.1802699191179062E-2</v>
      </c>
      <c r="CQ50" s="72">
        <f t="shared" si="108"/>
        <v>5.3825595127106052E-3</v>
      </c>
      <c r="CR50" s="72"/>
      <c r="CS50" s="72">
        <f t="shared" ref="CS50" si="109">CS48/CN48-1</f>
        <v>0.18146087503555841</v>
      </c>
      <c r="CT50" s="72">
        <f t="shared" ref="CT50" si="110">CT48/CO48-1</f>
        <v>0.20649982639503972</v>
      </c>
      <c r="CU50" s="72">
        <f t="shared" ref="CU50" si="111">CU48/CP48-1</f>
        <v>0.27488636433096381</v>
      </c>
      <c r="CV50" s="72">
        <f t="shared" ref="CV50" si="112">CV48/CQ48-1</f>
        <v>0.32535131135784745</v>
      </c>
      <c r="CW50" s="72"/>
    </row>
    <row r="51" spans="3:101">
      <c r="Q51" s="86"/>
      <c r="V51" s="72"/>
      <c r="W51" s="72"/>
      <c r="X51" s="72"/>
      <c r="Y51" s="72"/>
      <c r="AA51" s="72"/>
      <c r="AB51" s="72"/>
      <c r="AC51" s="72"/>
      <c r="AD51" s="72"/>
      <c r="AF51" s="72"/>
      <c r="AK51" s="72"/>
      <c r="AP51" s="72"/>
      <c r="AU51" s="72"/>
      <c r="AZ51" s="72"/>
      <c r="BE51" s="72"/>
      <c r="BJ51" s="72"/>
      <c r="BO51" s="72"/>
      <c r="BT51" s="72"/>
      <c r="BY51" s="72"/>
    </row>
    <row r="52" spans="3:101">
      <c r="C52" s="4" t="s">
        <v>156</v>
      </c>
      <c r="Q52" s="86"/>
      <c r="V52" s="72">
        <f>V33/Q33-1</f>
        <v>0.27513227513227512</v>
      </c>
      <c r="W52" s="72">
        <f>W33/R33-1</f>
        <v>0.260327717516732</v>
      </c>
      <c r="X52" s="72">
        <f>X33/S33-1</f>
        <v>0.32006920415224904</v>
      </c>
      <c r="Y52" s="72">
        <f>Y33/T33-1</f>
        <v>0.31927229108356658</v>
      </c>
      <c r="AA52" s="72">
        <f>AA33/V33-1</f>
        <v>0.37570728027159572</v>
      </c>
      <c r="AB52" s="72">
        <f>AB33/W33-1</f>
        <v>0.44167734847097595</v>
      </c>
      <c r="AC52" s="72">
        <f>AC33/X33-1</f>
        <v>0.31110747051114029</v>
      </c>
      <c r="AD52" s="72">
        <f>AD33/Y33-1</f>
        <v>0.25958478557357179</v>
      </c>
      <c r="AF52" s="72">
        <f>AF33/AA33-1</f>
        <v>0.14326843981354531</v>
      </c>
      <c r="AG52" s="72">
        <f>AG33/AB33-1</f>
        <v>0.10326432109742156</v>
      </c>
      <c r="AH52" s="72">
        <f>AH33/AC33-1</f>
        <v>9.5214294639510255E-2</v>
      </c>
      <c r="AI52" s="72">
        <f>AI33/AD33-1</f>
        <v>5.6905678537054971E-2</v>
      </c>
      <c r="AK52" s="72">
        <f>AK33/AF33-1</f>
        <v>0.10336970859815331</v>
      </c>
      <c r="AL52" s="72">
        <f>AL33/AG33-1</f>
        <v>0.15323509095095567</v>
      </c>
      <c r="AM52" s="72">
        <f>AM33/AH33-1</f>
        <v>0.16794067313177408</v>
      </c>
      <c r="AN52" s="72">
        <f>AN33/AI33-1</f>
        <v>0.21263517359134898</v>
      </c>
      <c r="AP52" s="72">
        <f>AP33/AK33-1</f>
        <v>0.14661449842408425</v>
      </c>
      <c r="AQ52" s="72">
        <f>AQ33/AL33-1</f>
        <v>9.7733852450833547E-2</v>
      </c>
      <c r="AR52" s="72">
        <f>AR33/AM33-1</f>
        <v>0.14301064765067895</v>
      </c>
      <c r="AS52" s="72">
        <f>AS33/AN33-1</f>
        <v>3.3042335492349473E-2</v>
      </c>
      <c r="AU52" s="72">
        <f>AU33/AP33-1</f>
        <v>3.0900473933649364E-2</v>
      </c>
      <c r="AV52" s="72">
        <f>AV33/AQ33-1</f>
        <v>2.1826118588577748E-2</v>
      </c>
      <c r="AW52" s="72">
        <f>AW33/AR33-1</f>
        <v>-6.3156995128621496E-2</v>
      </c>
      <c r="AX52" s="72">
        <f>AX33/AS33-1</f>
        <v>-1.4357110404361606E-2</v>
      </c>
      <c r="AZ52" s="72">
        <f>AZ33/AU33-1</f>
        <v>1.940051489518213E-2</v>
      </c>
      <c r="BA52" s="72">
        <f>BA33/AV33-1</f>
        <v>-1.655393378426484E-2</v>
      </c>
      <c r="BB52" s="72">
        <f>BB33/AW33-1</f>
        <v>-3.0742565225323815E-2</v>
      </c>
      <c r="BC52" s="72">
        <f>BC33/AX33-1</f>
        <v>-2.2586890384438063E-2</v>
      </c>
      <c r="BE52" s="72">
        <f>BE33/AZ33-1</f>
        <v>-0.75728330477135386</v>
      </c>
      <c r="BF52" s="72">
        <f>BF33/BA33-1</f>
        <v>-0.76108597285067869</v>
      </c>
      <c r="BG52" s="72">
        <f>BG33/BB33-1</f>
        <v>-0.74729411764705889</v>
      </c>
      <c r="BH52" s="72">
        <f>BH33/BC33-1</f>
        <v>-0.76306357291077154</v>
      </c>
      <c r="BJ52" s="72">
        <f>BJ33/BE33-1</f>
        <v>-1.5607580824972156E-2</v>
      </c>
      <c r="BK52" s="72">
        <f>BK33/BF33-1</f>
        <v>2.8030303030303072E-2</v>
      </c>
      <c r="BL52" s="72">
        <f>BL33/BG33-1</f>
        <v>-3.1284916201117285E-2</v>
      </c>
      <c r="BM52" s="72">
        <f>BM33/BH33-1</f>
        <v>0.13495222929936301</v>
      </c>
      <c r="BO52" s="72">
        <f>BO33/BJ33-1</f>
        <v>4.9830124575311441E-2</v>
      </c>
      <c r="BP52" s="72">
        <f>BP33/BK33-1</f>
        <v>1.179071481208549E-2</v>
      </c>
      <c r="BQ52" s="72">
        <f>BQ33/BL33-1</f>
        <v>3.5371011149557763E-2</v>
      </c>
      <c r="BR52" s="72">
        <f>BR33/BM33-1</f>
        <v>5.0859347597334237E-2</v>
      </c>
      <c r="BT52" s="72">
        <f>BT33/BO33-1</f>
        <v>0.44804027328299179</v>
      </c>
      <c r="BU52" s="72">
        <f>BU33/BP33-1</f>
        <v>0.81755280407865993</v>
      </c>
      <c r="BV52" s="72">
        <f>BV33/BQ33-1</f>
        <v>0.91570738952840691</v>
      </c>
      <c r="BW52" s="72">
        <f>BW33/BR33-1</f>
        <v>0.71695594125500661</v>
      </c>
      <c r="BY52" s="72">
        <f>BY33/BT33-1</f>
        <v>0.27216290042215041</v>
      </c>
      <c r="BZ52" s="72">
        <f>BZ33/BU33-1</f>
        <v>5.8104588258865997E-2</v>
      </c>
      <c r="CA52" s="72">
        <f>CA33/BV33-1</f>
        <v>-2.5198681915099552E-3</v>
      </c>
      <c r="CB52" s="72">
        <f>CB33/BW33-1</f>
        <v>-7.251166407465004E-2</v>
      </c>
      <c r="CC52" s="72"/>
      <c r="CD52" s="72">
        <f t="shared" ref="CD52:CL52" si="113">CD33/BY33-1</f>
        <v>-3.5135662697638459E-3</v>
      </c>
      <c r="CE52" s="72">
        <f t="shared" si="113"/>
        <v>8.3885627722022349E-2</v>
      </c>
      <c r="CF52" s="72">
        <f t="shared" si="113"/>
        <v>0.33093664982510695</v>
      </c>
      <c r="CG52" s="72">
        <f t="shared" si="113"/>
        <v>0.45252567595891846</v>
      </c>
      <c r="CH52" s="72"/>
      <c r="CI52" s="72">
        <f t="shared" si="113"/>
        <v>0.26797257590597456</v>
      </c>
      <c r="CJ52" s="72">
        <f t="shared" si="113"/>
        <v>0.2423130677847658</v>
      </c>
      <c r="CK52" s="72">
        <f t="shared" si="113"/>
        <v>-4.365600817637616E-2</v>
      </c>
      <c r="CL52" s="72">
        <f t="shared" si="113"/>
        <v>-0.10692640692640698</v>
      </c>
      <c r="CM52" s="72"/>
      <c r="CN52" s="72">
        <f t="shared" ref="CN52:CO52" si="114">CN33/CI33-1</f>
        <v>-0.11200370770894486</v>
      </c>
      <c r="CO52" s="72">
        <f t="shared" si="114"/>
        <v>-0.22978484038813107</v>
      </c>
      <c r="CP52" s="72">
        <f t="shared" ref="CP52:CQ52" si="115">CP33/CK33-1</f>
        <v>-0.2137404580152672</v>
      </c>
      <c r="CQ52" s="72">
        <f t="shared" si="115"/>
        <v>-0.14558086928421388</v>
      </c>
      <c r="CR52" s="72"/>
      <c r="CS52" s="72">
        <f t="shared" ref="CS52" si="116">CS33/CN33-1</f>
        <v>-8.0027835768963107E-2</v>
      </c>
      <c r="CT52" s="72">
        <f t="shared" ref="CT52" si="117">CT33/CO33-1</f>
        <v>-3.4507942304181083E-2</v>
      </c>
      <c r="CU52" s="72">
        <f t="shared" ref="CU52" si="118">CU33/CP33-1</f>
        <v>2.6796116504854472E-2</v>
      </c>
      <c r="CV52" s="72">
        <f t="shared" ref="CV52" si="119">CV33/CQ33-1</f>
        <v>0</v>
      </c>
      <c r="CW52" s="72"/>
    </row>
    <row r="53" spans="3:101">
      <c r="C53" s="4" t="s">
        <v>157</v>
      </c>
      <c r="Q53" s="86"/>
      <c r="V53" s="72">
        <f>V33/T33-1</f>
        <v>5.997600959616145E-2</v>
      </c>
      <c r="W53" s="72">
        <f>W33/V33-1</f>
        <v>2.9988683515654424E-2</v>
      </c>
      <c r="X53" s="72">
        <f>X33/W33-1</f>
        <v>0.11774400292986642</v>
      </c>
      <c r="Y53" s="72">
        <f>Y33/X33-1</f>
        <v>8.1094364351245174E-2</v>
      </c>
      <c r="AA53" s="72">
        <f>AA33/Y33-1</f>
        <v>0.10531898772541304</v>
      </c>
      <c r="AB53" s="72">
        <f>AB33/AA33-1</f>
        <v>7.9380312585686896E-2</v>
      </c>
      <c r="AC53" s="72">
        <f>AC33/AB33-1</f>
        <v>1.6512130064778363E-2</v>
      </c>
      <c r="AD53" s="72">
        <f>AD33/AC33-1</f>
        <v>3.8610521054604607E-2</v>
      </c>
      <c r="AF53" s="72">
        <f>AF33/AD33-1</f>
        <v>3.2483156881617514E-3</v>
      </c>
      <c r="AG53" s="72">
        <f>AG33/AF33-1</f>
        <v>4.1611704041252029E-2</v>
      </c>
      <c r="AH53" s="72">
        <f>AH33/AG33-1</f>
        <v>9.0950955560671343E-3</v>
      </c>
      <c r="AI53" s="72">
        <f>AI33/AH33-1</f>
        <v>2.2818026240729594E-3</v>
      </c>
      <c r="AK53" s="72">
        <f>AK33/AI33-1</f>
        <v>4.7353443369379633E-2</v>
      </c>
      <c r="AL53" s="72">
        <f>AL33/AK33-1</f>
        <v>8.8686012389957547E-2</v>
      </c>
      <c r="AM53" s="72">
        <f>AM33/AL33-1</f>
        <v>2.1962663472097521E-2</v>
      </c>
      <c r="AN53" s="72">
        <f>AN33/AM33-1</f>
        <v>4.0636905343362395E-2</v>
      </c>
      <c r="AP53" s="72">
        <f>AP33/AN33-1</f>
        <v>-9.6686379423636115E-3</v>
      </c>
      <c r="AQ53" s="72">
        <f>AQ33/AP33-1</f>
        <v>4.2274881516587648E-2</v>
      </c>
      <c r="AR53" s="72">
        <f>AR33/AQ33-1</f>
        <v>6.4114223353946898E-2</v>
      </c>
      <c r="AS53" s="72">
        <f>AS33/AR33-1</f>
        <v>-5.9482095547389147E-2</v>
      </c>
      <c r="AU53" s="72">
        <f>AU33/AS33-1</f>
        <v>-1.1721944570649678E-2</v>
      </c>
      <c r="AV53" s="72">
        <f>AV33/AU33-1</f>
        <v>3.3100404560500118E-2</v>
      </c>
      <c r="AW53" s="72">
        <f>AW33/AV33-1</f>
        <v>-2.4385902456390163E-2</v>
      </c>
      <c r="AX53" s="72">
        <f>AX33/AW33-1</f>
        <v>-1.0490786352855275E-2</v>
      </c>
      <c r="AZ53" s="72">
        <f>AZ33/AX33-1</f>
        <v>2.2125933437816991E-2</v>
      </c>
      <c r="BA53" s="72">
        <f>BA33/AZ33-1</f>
        <v>-3.3372418147379346E-3</v>
      </c>
      <c r="BB53" s="72">
        <f>BB33/BA33-1</f>
        <v>-3.8461538461538436E-2</v>
      </c>
      <c r="BC53" s="72">
        <f>BC33/BB33-1</f>
        <v>-2.1647058823529575E-3</v>
      </c>
      <c r="BE53" s="72">
        <f>BE33/BC33-1</f>
        <v>-0.74617996604414261</v>
      </c>
      <c r="BF53" s="72">
        <f>BF33/BE33-1</f>
        <v>-1.8952062430323324E-2</v>
      </c>
      <c r="BG53" s="72">
        <f>BG33/BF33-1</f>
        <v>1.7045454545454586E-2</v>
      </c>
      <c r="BH53" s="72">
        <f>BH33/BG33-1</f>
        <v>-6.4432029795158274E-2</v>
      </c>
      <c r="BJ53" s="72">
        <f>BJ33/BH33-1</f>
        <v>5.45382165605095E-2</v>
      </c>
      <c r="BK53" s="72">
        <f>BK33/BJ33-1</f>
        <v>2.4537561343903391E-2</v>
      </c>
      <c r="BL53" s="72">
        <f>BL33/BK33-1</f>
        <v>-4.1635961680176914E-2</v>
      </c>
      <c r="BM53" s="72">
        <f>BM33/BL33-1</f>
        <v>9.6116878123798433E-2</v>
      </c>
      <c r="BO53" s="72">
        <f>BO33/BM33-1</f>
        <v>-2.4552788495264766E-2</v>
      </c>
      <c r="BP53" s="72">
        <f>BP33/BO33-1</f>
        <v>-1.2585400934915447E-2</v>
      </c>
      <c r="BQ53" s="72">
        <f>BQ33/BP33-1</f>
        <v>-1.9300801165331394E-2</v>
      </c>
      <c r="BR53" s="72">
        <f>BR33/BQ33-1</f>
        <v>0.11251392499071677</v>
      </c>
      <c r="BT53" s="72">
        <f>BT33/BR33-1</f>
        <v>0.34412550066755676</v>
      </c>
      <c r="BU53" s="72">
        <f>BU33/BT33-1</f>
        <v>0.23938415694065052</v>
      </c>
      <c r="BV53" s="72">
        <f>BV33/BU33-1</f>
        <v>3.3660589060308554E-2</v>
      </c>
      <c r="BW53" s="72">
        <f>BW33/BV33-1</f>
        <v>-2.9075402209730594E-3</v>
      </c>
      <c r="BY53" s="72">
        <f>BY33/BW33-1</f>
        <v>-4.0824261275271834E-3</v>
      </c>
      <c r="BZ53" s="72">
        <f>BZ33/BY33-1</f>
        <v>3.0841303923482277E-2</v>
      </c>
      <c r="CA53" s="72">
        <f>CA33/BZ33-1</f>
        <v>-2.5563340276462787E-2</v>
      </c>
      <c r="CB53" s="72">
        <f>CB33/CA33-1</f>
        <v>-7.2872133696074592E-2</v>
      </c>
      <c r="CC53" s="72"/>
      <c r="CD53" s="72">
        <f t="shared" ref="CD53:CL53" si="120">CD33/CC33-1</f>
        <v>7.0006287989939242E-2</v>
      </c>
      <c r="CE53" s="72">
        <f t="shared" si="120"/>
        <v>0.12125367286973554</v>
      </c>
      <c r="CF53" s="72">
        <f t="shared" si="120"/>
        <v>0.19654088050314455</v>
      </c>
      <c r="CG53" s="72">
        <f t="shared" si="120"/>
        <v>1.1826544021025009E-2</v>
      </c>
      <c r="CH53" s="72"/>
      <c r="CI53" s="72">
        <f t="shared" si="120"/>
        <v>-6.5945165945165973E-2</v>
      </c>
      <c r="CJ53" s="72">
        <f t="shared" si="120"/>
        <v>9.8563262783871508E-2</v>
      </c>
      <c r="CK53" s="72">
        <f t="shared" si="120"/>
        <v>-7.889185768527629E-2</v>
      </c>
      <c r="CL53" s="72">
        <f t="shared" si="120"/>
        <v>-5.5114503816793947E-2</v>
      </c>
      <c r="CM53" s="72"/>
      <c r="CN53" s="72">
        <f t="shared" ref="CN53:CO53" si="121">CN33/CM33-1</f>
        <v>-7.1255453223460941E-2</v>
      </c>
      <c r="CO53" s="72">
        <f t="shared" si="121"/>
        <v>-4.7146833681280476E-2</v>
      </c>
      <c r="CP53" s="72">
        <f t="shared" ref="CP53:CQ53" si="122">CP33/CO33-1</f>
        <v>-5.9704217637392754E-2</v>
      </c>
      <c r="CQ53" s="72">
        <f t="shared" si="122"/>
        <v>2.6796116504854472E-2</v>
      </c>
      <c r="CR53" s="72"/>
      <c r="CS53" s="72">
        <f t="shared" ref="CS53" si="123">CS33/CR33-1</f>
        <v>0</v>
      </c>
      <c r="CT53" s="72">
        <f t="shared" ref="CT53" si="124">CT33/CS33-1</f>
        <v>0</v>
      </c>
      <c r="CU53" s="72">
        <f t="shared" ref="CU53" si="125">CU33/CT33-1</f>
        <v>0</v>
      </c>
      <c r="CV53" s="72">
        <f t="shared" ref="CV53" si="126">CV33/CU33-1</f>
        <v>0</v>
      </c>
      <c r="CW53" s="72"/>
    </row>
    <row r="54" spans="3:101">
      <c r="W54" s="72"/>
    </row>
    <row r="55" spans="3:101">
      <c r="C55" t="s">
        <v>101</v>
      </c>
      <c r="J55" s="72">
        <f>J8/IS!J4</f>
        <v>0.5648514851485148</v>
      </c>
      <c r="K55" s="72"/>
      <c r="L55" s="72"/>
      <c r="M55" s="72"/>
      <c r="N55" s="72"/>
      <c r="O55" s="72">
        <f>O8/IS!O4</f>
        <v>0.47750726380122233</v>
      </c>
      <c r="P55" s="72"/>
      <c r="Q55" s="72">
        <f>Q8/IS!Q4</f>
        <v>0.5003416967685248</v>
      </c>
      <c r="R55" s="72">
        <f>R8/IS!R4</f>
        <v>0.45568347953216376</v>
      </c>
      <c r="S55" s="72">
        <f>S8/IS!S4</f>
        <v>0.48011487250892004</v>
      </c>
      <c r="T55" s="72">
        <f>T8/IS!T4</f>
        <v>0.46765668260760129</v>
      </c>
      <c r="U55" s="72"/>
      <c r="V55" s="72">
        <f>V8/IS!V4</f>
        <v>0.5024903154399557</v>
      </c>
      <c r="W55" s="72">
        <f>W8/IS!W4</f>
        <v>0.52758843366578179</v>
      </c>
      <c r="X55" s="72">
        <f>X8/IS!X4</f>
        <v>0.49552450254362806</v>
      </c>
      <c r="Y55" s="72">
        <f>Y8/IS!Y4</f>
        <v>0.50195534250031537</v>
      </c>
      <c r="Z55" s="72"/>
      <c r="AA55" s="72">
        <f>AA8/IS!AA4</f>
        <v>0.48270231039071004</v>
      </c>
      <c r="AB55" s="72">
        <f>AB8/IS!AB4</f>
        <v>0.50664945850401211</v>
      </c>
      <c r="AC55" s="72">
        <f>AC8/IS!AC4</f>
        <v>0.500616766171609</v>
      </c>
      <c r="AD55" s="72">
        <f>AD8/IS!AD4</f>
        <v>0.48656822629425367</v>
      </c>
      <c r="AE55" s="72"/>
      <c r="AF55" s="72">
        <f>AF8/IS!AF4</f>
        <v>0.45419333108790838</v>
      </c>
      <c r="AG55" s="72">
        <f>AG8/IS!AG4</f>
        <v>0.45627094863200562</v>
      </c>
      <c r="AH55" s="72">
        <f>AH8/IS!AH4</f>
        <v>0.41276658767772512</v>
      </c>
      <c r="AI55" s="72">
        <f>AI8/IS!AI4</f>
        <v>0.4150788260107961</v>
      </c>
      <c r="AJ55" s="72"/>
      <c r="AK55" s="72">
        <f>AK8/IS!AK4</f>
        <v>0.42040153426172294</v>
      </c>
      <c r="AL55" s="72">
        <f>AL8/IS!AL4</f>
        <v>0.42919614147909968</v>
      </c>
      <c r="AM55" s="72">
        <f>AM8/IS!AM4</f>
        <v>0.41819971697532765</v>
      </c>
      <c r="AN55" s="72">
        <f>AN8/IS!AN4</f>
        <v>0.43562510592621884</v>
      </c>
      <c r="AO55" s="72"/>
      <c r="AP55" s="72">
        <f>AP8/IS!AP4</f>
        <v>0.4279956721666216</v>
      </c>
      <c r="AQ55" s="72">
        <f>AQ8/IS!AQ4</f>
        <v>0.44418987797971476</v>
      </c>
      <c r="AR55" s="72">
        <f>AR8/IS!AR4</f>
        <v>0.44468949794320267</v>
      </c>
      <c r="AS55" s="72">
        <f>AS8/IS!AS4</f>
        <v>0.41595825068480213</v>
      </c>
      <c r="AT55" s="72"/>
      <c r="AU55" s="72">
        <f>AU8/IS!AU4</f>
        <v>0.44794841992148948</v>
      </c>
      <c r="AV55" s="72">
        <f>AV8/IS!AV4</f>
        <v>0.43150091867120016</v>
      </c>
      <c r="AW55" s="72">
        <f>AW8/IS!AW4</f>
        <v>0.43342666991315643</v>
      </c>
      <c r="AX55" s="72">
        <f>AX8/IS!AX4</f>
        <v>0.40629834903350892</v>
      </c>
      <c r="AY55" s="72"/>
      <c r="AZ55" s="72">
        <f>AZ8/IS!AZ4</f>
        <v>0.43678271585920048</v>
      </c>
      <c r="BA55" s="72">
        <f>BA8/IS!BA4</f>
        <v>0.3968941124456562</v>
      </c>
      <c r="BB55" s="72">
        <f>BB8/IS!BB4</f>
        <v>0.43054318788958146</v>
      </c>
      <c r="BC55" s="72">
        <f>BC8/IS!BC4</f>
        <v>0.4277835051546392</v>
      </c>
      <c r="BD55" s="72"/>
      <c r="BE55" s="72">
        <f>BE8/IS!BE4</f>
        <v>0.43911189331889255</v>
      </c>
      <c r="BF55" s="72">
        <f>BF8/IS!BF4</f>
        <v>0.46113175426822284</v>
      </c>
      <c r="BG55" s="72">
        <f>BG8/IS!BG4</f>
        <v>0.43406820640071259</v>
      </c>
      <c r="BH55" s="72">
        <f>BH8/IS!BH4</f>
        <v>0.42166623203301168</v>
      </c>
      <c r="BJ55" s="72">
        <f>BJ8/IS!BJ4</f>
        <v>0.42281949382974271</v>
      </c>
      <c r="BK55" s="72">
        <f>BK8/IS!BK4</f>
        <v>0.44867136540734581</v>
      </c>
      <c r="BL55" s="72">
        <f>BL8/IS!BL4</f>
        <v>0.41426517031355742</v>
      </c>
      <c r="BM55" s="72">
        <f>BM8/IS!BM4</f>
        <v>0.43353085944481873</v>
      </c>
      <c r="BO55" s="72">
        <f>BO8/IS!BO4</f>
        <v>0.44849849040327799</v>
      </c>
      <c r="BP55" s="72">
        <f>BP8/IS!BP4</f>
        <v>0.50070792478795334</v>
      </c>
      <c r="BQ55" s="72">
        <f>BQ8/IS!BQ4</f>
        <v>0.42796988322837715</v>
      </c>
      <c r="BR55" s="72">
        <f>BR8/IS!BR4</f>
        <v>0.40305852979305706</v>
      </c>
      <c r="BT55" s="72">
        <f>BT8/IS!BT4</f>
        <v>0.39148000976757608</v>
      </c>
      <c r="BU55" s="72">
        <f>BU8/IS!BU4</f>
        <v>0.4012735484826368</v>
      </c>
      <c r="BV55" s="72">
        <f>BV8/IS!BV4</f>
        <v>0.36092637428872065</v>
      </c>
      <c r="BW55" s="72">
        <f>BW8/IS!BW4</f>
        <v>0.33635018879676126</v>
      </c>
      <c r="BY55" s="72">
        <f>BY8/IS!BY4</f>
        <v>0.36863669635812268</v>
      </c>
      <c r="BZ55" s="72">
        <f>BZ8/IS!BZ4</f>
        <v>0.36733591016505157</v>
      </c>
      <c r="CA55" s="72">
        <f>CA8/IS!CA4</f>
        <v>0.32132313121255002</v>
      </c>
      <c r="CB55" s="72">
        <f>CB8/IS!CB4</f>
        <v>0.3231900211444213</v>
      </c>
      <c r="CC55" s="74"/>
      <c r="CD55" s="72">
        <f>CD8/IS!CD4</f>
        <v>0.34509962818190487</v>
      </c>
      <c r="CE55" s="72">
        <f>CE8/IS!CE4</f>
        <v>0.34498834498834496</v>
      </c>
      <c r="CF55" s="72">
        <f>CF8/IS!CF4</f>
        <v>0.33274854232240658</v>
      </c>
      <c r="CG55" s="72">
        <f>CG8/IS!CG4</f>
        <v>0.32311247542510263</v>
      </c>
      <c r="CH55" s="74"/>
      <c r="CI55" s="72">
        <f>CI8/IS!CI4</f>
        <v>0.34855190672300368</v>
      </c>
      <c r="CJ55" s="72">
        <f>CJ8/IS!CJ4</f>
        <v>0.36066694445167841</v>
      </c>
      <c r="CK55" s="72">
        <f>CK8/IS!CK4</f>
        <v>0.33949146536661656</v>
      </c>
      <c r="CL55" s="72">
        <f>CL8/IS!CL4</f>
        <v>0.3044638312064456</v>
      </c>
      <c r="CM55" s="74"/>
      <c r="CN55" s="72">
        <f>CN8/IS!CN4</f>
        <v>0.34916193424364772</v>
      </c>
      <c r="CO55" s="72">
        <f>CO8/IS!CO4</f>
        <v>0.36025613660618999</v>
      </c>
      <c r="CP55" s="74">
        <v>0.33</v>
      </c>
      <c r="CQ55" s="72">
        <f>CQ8/IS!CQ4</f>
        <v>0.35382970329921309</v>
      </c>
      <c r="CR55" s="74"/>
      <c r="CS55" s="74">
        <v>0.33</v>
      </c>
      <c r="CT55" s="74">
        <v>0.33</v>
      </c>
      <c r="CU55" s="74">
        <v>0.33</v>
      </c>
      <c r="CV55" s="74">
        <v>0.33</v>
      </c>
      <c r="CW55" s="74"/>
    </row>
    <row r="56" spans="3:101">
      <c r="C56" t="s">
        <v>102</v>
      </c>
      <c r="J56" s="72">
        <f>J9/IS!J4</f>
        <v>0.50222772277227723</v>
      </c>
      <c r="K56" s="72"/>
      <c r="L56" s="72"/>
      <c r="M56" s="72"/>
      <c r="N56" s="72"/>
      <c r="O56" s="72">
        <f>O9/IS!O4</f>
        <v>0.41338543232141067</v>
      </c>
      <c r="P56" s="72"/>
      <c r="Q56" s="72">
        <f>Q9/IS!Q4</f>
        <v>0.4157961534706629</v>
      </c>
      <c r="R56" s="72">
        <f>R9/IS!R4</f>
        <v>0.41748903508771928</v>
      </c>
      <c r="S56" s="72">
        <f>S9/IS!S4</f>
        <v>0.39865982072926637</v>
      </c>
      <c r="T56" s="72">
        <f>T9/IS!T4</f>
        <v>0.39600637637385688</v>
      </c>
      <c r="U56" s="72"/>
      <c r="V56" s="72">
        <f>V9/IS!V4</f>
        <v>0.38635465254170293</v>
      </c>
      <c r="W56" s="72">
        <f>W9/IS!W4</f>
        <v>0.3714572720097582</v>
      </c>
      <c r="X56" s="72">
        <f>X9/IS!X4</f>
        <v>0.35327451864253978</v>
      </c>
      <c r="Y56" s="72">
        <f>Y9/IS!Y4</f>
        <v>0.36255834489718686</v>
      </c>
      <c r="Z56" s="72"/>
      <c r="AA56" s="72">
        <f>AA9/IS!AA4</f>
        <v>0.36802951493891373</v>
      </c>
      <c r="AB56" s="72">
        <f>AB9/IS!AB4</f>
        <v>0.36524325234274169</v>
      </c>
      <c r="AC56" s="72">
        <f>AC9/IS!AC4</f>
        <v>0.34060295060936496</v>
      </c>
      <c r="AD56" s="72">
        <f>AD9/IS!AD4</f>
        <v>0.32672122398149794</v>
      </c>
      <c r="AE56" s="72"/>
      <c r="AF56" s="72">
        <f>AF9/IS!AF4</f>
        <v>0.33091950151566185</v>
      </c>
      <c r="AG56" s="72">
        <f>AG9/IS!AG4</f>
        <v>0.32301816197677136</v>
      </c>
      <c r="AH56" s="72">
        <f>AH9/IS!AH4</f>
        <v>0.32208975118483413</v>
      </c>
      <c r="AI56" s="72">
        <f>AI9/IS!AI4</f>
        <v>0.32345475994709183</v>
      </c>
      <c r="AJ56" s="72"/>
      <c r="AK56" s="72">
        <f>AK9/IS!AK4</f>
        <v>0.32962438232143476</v>
      </c>
      <c r="AL56" s="72">
        <f>AL9/IS!AL4</f>
        <v>0.33488745980707396</v>
      </c>
      <c r="AM56" s="72">
        <f>AM9/IS!AM4</f>
        <v>0.34245985356549558</v>
      </c>
      <c r="AN56" s="72">
        <f>AN9/IS!AN4</f>
        <v>0.34051748488785943</v>
      </c>
      <c r="AO56" s="72"/>
      <c r="AP56" s="72">
        <f>AP9/IS!AP4</f>
        <v>0.34922910467946983</v>
      </c>
      <c r="AQ56" s="72">
        <f>AQ9/IS!AQ4</f>
        <v>0.36047469494928691</v>
      </c>
      <c r="AR56" s="72">
        <f>AR9/IS!AR4</f>
        <v>0.3657877781632552</v>
      </c>
      <c r="AS56" s="72">
        <f>AS9/IS!AS4</f>
        <v>0.35623878341362047</v>
      </c>
      <c r="AT56" s="72"/>
      <c r="AU56" s="72">
        <f>AU9/IS!AU4</f>
        <v>0.3464768964231672</v>
      </c>
      <c r="AV56" s="72">
        <f>AV9/IS!AV4</f>
        <v>0.36489197693818504</v>
      </c>
      <c r="AW56" s="72">
        <f>AW9/IS!AW4</f>
        <v>0.37835808781754726</v>
      </c>
      <c r="AX56" s="72">
        <f>AX9/IS!AX4</f>
        <v>0.37649086386870606</v>
      </c>
      <c r="AY56" s="72"/>
      <c r="AZ56" s="72">
        <f>AZ9/IS!AZ4</f>
        <v>0.40260340445197568</v>
      </c>
      <c r="BA56" s="72">
        <f>BA9/IS!BA4</f>
        <v>0.40374696043032937</v>
      </c>
      <c r="BB56" s="72">
        <f>BB9/IS!BB4</f>
        <v>0.41542297417631346</v>
      </c>
      <c r="BC56" s="72">
        <f>BC9/IS!BC4</f>
        <v>0.4311168384879725</v>
      </c>
      <c r="BD56" s="72"/>
      <c r="BE56" s="72">
        <f>BE9/IS!BE4</f>
        <v>0.52998713869897784</v>
      </c>
      <c r="BF56" s="72">
        <f>BF9/IS!BF4</f>
        <v>0.52734445335646818</v>
      </c>
      <c r="BG56" s="72">
        <f>BG9/IS!BG4</f>
        <v>0.52704078386460518</v>
      </c>
      <c r="BH56" s="72">
        <f>BH9/IS!BH4</f>
        <v>0.52926107165319303</v>
      </c>
      <c r="BJ56" s="72">
        <f>BJ9/IS!BJ4</f>
        <v>0.51830161054172763</v>
      </c>
      <c r="BK56" s="72">
        <f>BK9/IS!BK4</f>
        <v>0.51200221803907831</v>
      </c>
      <c r="BL56" s="72">
        <f>BL9/IS!BL4</f>
        <v>0.48757895330475975</v>
      </c>
      <c r="BM56" s="72">
        <f>BM9/IS!BM4</f>
        <v>0.4849793078795045</v>
      </c>
      <c r="BO56" s="72">
        <f>BO9/IS!BO4</f>
        <v>0.47906782402415354</v>
      </c>
      <c r="BP56" s="72">
        <f>BP9/IS!BP4</f>
        <v>0.47367446045545369</v>
      </c>
      <c r="BQ56" s="72">
        <f>BQ9/IS!BQ4</f>
        <v>0.45956986814485212</v>
      </c>
      <c r="BR56" s="72">
        <f>BR9/IS!BR4</f>
        <v>0.45016084889806501</v>
      </c>
      <c r="BT56" s="72">
        <f>BT9/IS!BT4</f>
        <v>0.42917397384953493</v>
      </c>
      <c r="BU56" s="72">
        <f>BU9/IS!BU4</f>
        <v>0.42468187732047091</v>
      </c>
      <c r="BV56" s="72">
        <f>BV9/IS!BV4</f>
        <v>0.42490831264621454</v>
      </c>
      <c r="BW56" s="72">
        <f>BW9/IS!BW4</f>
        <v>0.43334695784187782</v>
      </c>
      <c r="BY56" s="72">
        <f>BY9/IS!BY4</f>
        <v>0.44404095329537135</v>
      </c>
      <c r="BZ56" s="72">
        <f>BZ9/IS!BZ4</f>
        <v>0.44234186374544321</v>
      </c>
      <c r="CA56" s="72">
        <f>CA9/IS!CA4</f>
        <v>0.43745086735496042</v>
      </c>
      <c r="CB56" s="72">
        <f>CB9/IS!CB4</f>
        <v>0.43235424281663359</v>
      </c>
      <c r="CC56" s="74"/>
      <c r="CD56" s="72">
        <f>CD9/IS!CD4</f>
        <v>0.42778148536562111</v>
      </c>
      <c r="CE56" s="72">
        <f>CE9/IS!CE4</f>
        <v>0.43131210894368788</v>
      </c>
      <c r="CF56" s="72">
        <f>CF9/IS!CF4</f>
        <v>0.43877754107665429</v>
      </c>
      <c r="CG56" s="72">
        <f>CG9/IS!CG4</f>
        <v>0.43046942365398544</v>
      </c>
      <c r="CH56" s="74"/>
      <c r="CI56" s="72">
        <f>CI9/IS!CI4</f>
        <v>0.42551612558164409</v>
      </c>
      <c r="CJ56" s="72">
        <f>CJ9/IS!CJ4</f>
        <v>0.41874788405948071</v>
      </c>
      <c r="CK56" s="72">
        <f>CK9/IS!CK4</f>
        <v>0.39505516659946482</v>
      </c>
      <c r="CL56" s="72">
        <f>CL9/IS!CL4</f>
        <v>0.38232489014493265</v>
      </c>
      <c r="CM56" s="74"/>
      <c r="CN56" s="72">
        <f>CN9/IS!CN4</f>
        <v>0.36963574572154073</v>
      </c>
      <c r="CO56" s="72">
        <f>CO9/IS!CO4</f>
        <v>0.35650480256136607</v>
      </c>
      <c r="CP56" s="74">
        <v>0.39</v>
      </c>
      <c r="CQ56" s="72">
        <f>CQ9/IS!CQ4</f>
        <v>0.34618379253784026</v>
      </c>
      <c r="CR56" s="74"/>
      <c r="CS56" s="74">
        <v>0.39</v>
      </c>
      <c r="CT56" s="74">
        <v>0.39</v>
      </c>
      <c r="CU56" s="74">
        <v>0.39</v>
      </c>
      <c r="CV56" s="74">
        <v>0.39</v>
      </c>
      <c r="CW56" s="74"/>
    </row>
    <row r="57" spans="3:101">
      <c r="C57" t="s">
        <v>103</v>
      </c>
      <c r="J57" s="72">
        <f>J10/IS!J4</f>
        <v>9.7153465346534656E-2</v>
      </c>
      <c r="K57" s="72"/>
      <c r="L57" s="72"/>
      <c r="M57" s="72"/>
      <c r="N57" s="72"/>
      <c r="O57" s="72">
        <f>O10/IS!O4</f>
        <v>0.14427412082957619</v>
      </c>
      <c r="P57" s="72"/>
      <c r="Q57" s="72">
        <f>Q10/IS!Q4</f>
        <v>0.19652445572586155</v>
      </c>
      <c r="R57" s="72">
        <f>R10/IS!R4</f>
        <v>8.7445175438596492E-2</v>
      </c>
      <c r="S57" s="72">
        <f>S10/IS!S4</f>
        <v>8.624140631798799E-2</v>
      </c>
      <c r="T57" s="72">
        <f>T10/IS!T4</f>
        <v>7.3328299353972642E-2</v>
      </c>
      <c r="U57" s="72"/>
      <c r="V57" s="72">
        <f>V10/IS!V4</f>
        <v>9.7557119139852946E-2</v>
      </c>
      <c r="W57" s="72">
        <f>W10/IS!W4</f>
        <v>0.11221927244026692</v>
      </c>
      <c r="X57" s="72">
        <f>X10/IS!X4</f>
        <v>7.9399832571318177E-2</v>
      </c>
      <c r="Y57" s="72">
        <f>Y10/IS!Y4</f>
        <v>0.16071653841301881</v>
      </c>
      <c r="Z57" s="72"/>
      <c r="AA57" s="72">
        <f>AA10/IS!AA4</f>
        <v>0.16196927543244224</v>
      </c>
      <c r="AB57" s="72">
        <f>AB10/IS!AB4</f>
        <v>0.13388698726221873</v>
      </c>
      <c r="AC57" s="72">
        <f>AC10/IS!AC4</f>
        <v>0.15690531405733457</v>
      </c>
      <c r="AD57" s="72">
        <f>AD10/IS!AD4</f>
        <v>0.31911581569115816</v>
      </c>
      <c r="AE57" s="72"/>
      <c r="AF57" s="72">
        <f>AF10/IS!AF4</f>
        <v>0.18714213539912428</v>
      </c>
      <c r="AG57" s="72">
        <f>AG10/IS!AG4</f>
        <v>0.18310078727882143</v>
      </c>
      <c r="AH57" s="72">
        <f>AH10/IS!AH4</f>
        <v>0.16957938388625593</v>
      </c>
      <c r="AI57" s="72">
        <f>AI10/IS!AI4</f>
        <v>0.14735637936581703</v>
      </c>
      <c r="AJ57" s="72"/>
      <c r="AK57" s="72">
        <f>AK10/IS!AK4</f>
        <v>0.14060610249144753</v>
      </c>
      <c r="AL57" s="72">
        <f>AL10/IS!AL4</f>
        <v>0.14848874598070738</v>
      </c>
      <c r="AM57" s="72">
        <f>AM10/IS!AM4</f>
        <v>0.15677105765089522</v>
      </c>
      <c r="AN57" s="72">
        <f>AN10/IS!AN4</f>
        <v>0.11078470142929778</v>
      </c>
      <c r="AO57" s="72"/>
      <c r="AP57" s="72">
        <f>AP10/IS!AP4</f>
        <v>0.10476061671625643</v>
      </c>
      <c r="AQ57" s="72">
        <f>AQ10/IS!AQ4</f>
        <v>0.16652937239355403</v>
      </c>
      <c r="AR57" s="72">
        <f>AR10/IS!AR4</f>
        <v>0.14283590226495516</v>
      </c>
      <c r="AS57" s="72">
        <f>AS10/IS!AS4</f>
        <v>0.11877774629262303</v>
      </c>
      <c r="AT57" s="72"/>
      <c r="AU57" s="72">
        <f>AU10/IS!AU4</f>
        <v>0.12125265904954056</v>
      </c>
      <c r="AV57" s="72">
        <f>AV10/IS!AV4</f>
        <v>0.15923634136554665</v>
      </c>
      <c r="AW57" s="72">
        <f>AW10/IS!AW4</f>
        <v>0.14858777696615535</v>
      </c>
      <c r="AX57" s="72">
        <f>AX10/IS!AX4</f>
        <v>0.13728677464209474</v>
      </c>
      <c r="AY57" s="72"/>
      <c r="AZ57" s="72">
        <f>AZ10/IS!AZ4</f>
        <v>0.13463760301933297</v>
      </c>
      <c r="BA57" s="72">
        <f>BA10/IS!BA4</f>
        <v>0.12812246702527449</v>
      </c>
      <c r="BB57" s="72">
        <f>BB10/IS!BB4</f>
        <v>0.1042386464826358</v>
      </c>
      <c r="BC57" s="72">
        <f>BC10/IS!BC4</f>
        <v>0.10565292096219932</v>
      </c>
      <c r="BD57" s="72"/>
      <c r="BE57" s="72">
        <f>BE10/IS!BE4</f>
        <v>9.6392066608001079E-2</v>
      </c>
      <c r="BF57" s="72">
        <f>BF10/IS!BF4</f>
        <v>0.11068733528670344</v>
      </c>
      <c r="BG57" s="72">
        <f>BG10/IS!BG4</f>
        <v>0.10518864923331425</v>
      </c>
      <c r="BH57" s="72">
        <f>BH10/IS!BH4</f>
        <v>0.14157296476399392</v>
      </c>
      <c r="BJ57" s="72">
        <f>BJ10/IS!BJ4</f>
        <v>0.13233931932948875</v>
      </c>
      <c r="BK57" s="72">
        <f>BK10/IS!BK4</f>
        <v>0.12060587488508515</v>
      </c>
      <c r="BL57" s="72">
        <f>BL10/IS!BL4</f>
        <v>0.11821847507331379</v>
      </c>
      <c r="BM57" s="72">
        <f>BM10/IS!BM4</f>
        <v>0.15507403791951385</v>
      </c>
      <c r="BO57" s="72">
        <f>BO10/IS!BO4</f>
        <v>8.731399611817986E-2</v>
      </c>
      <c r="BP57" s="72">
        <f>BP10/IS!BP4</f>
        <v>6.2390007013086682E-2</v>
      </c>
      <c r="BQ57" s="72">
        <f>BQ10/IS!BQ4</f>
        <v>6.4959714418592954E-2</v>
      </c>
      <c r="BR57" s="72">
        <f>BR10/IS!BR4</f>
        <v>0.14778892783406156</v>
      </c>
      <c r="BT57" s="72">
        <f>BT10/IS!BT4</f>
        <v>0.16083201989033677</v>
      </c>
      <c r="BU57" s="72">
        <f>BU10/IS!BU4</f>
        <v>0.12387480299135806</v>
      </c>
      <c r="BV57" s="72">
        <f>BV10/IS!BV4</f>
        <v>0.14655674400073554</v>
      </c>
      <c r="BW57" s="72">
        <f>BW10/IS!BW4</f>
        <v>0.15611740433648644</v>
      </c>
      <c r="BY57" s="72">
        <f>BY10/IS!BY4</f>
        <v>0.21791373950738166</v>
      </c>
      <c r="BZ57" s="72">
        <f>BZ10/IS!BZ4</f>
        <v>0.16406235688508675</v>
      </c>
      <c r="CA57" s="72">
        <f>CA10/IS!CA4</f>
        <v>0.13316912111524554</v>
      </c>
      <c r="CB57" s="72">
        <f>CB10/IS!CB4</f>
        <v>0.13374256257273517</v>
      </c>
      <c r="CC57" s="74"/>
      <c r="CD57" s="72">
        <f>CD10/IS!CD4</f>
        <v>0.1243445514348365</v>
      </c>
      <c r="CE57" s="72">
        <f>CE10/IS!CE4</f>
        <v>0.10394430131272236</v>
      </c>
      <c r="CF57" s="72">
        <f>CF10/IS!CF4</f>
        <v>0.11604661619772816</v>
      </c>
      <c r="CG57" s="72">
        <f>CG10/IS!CG4</f>
        <v>0.11560031731797331</v>
      </c>
      <c r="CH57" s="74"/>
      <c r="CI57" s="72">
        <f>CI10/IS!CI4</f>
        <v>9.1558806225597686E-2</v>
      </c>
      <c r="CJ57" s="72">
        <f>CJ10/IS!CJ4</f>
        <v>0.10050391937290033</v>
      </c>
      <c r="CK57" s="72">
        <f>CK10/IS!CK4</f>
        <v>0.11387045929401415</v>
      </c>
      <c r="CL57" s="72">
        <f>CL10/IS!CL4</f>
        <v>0.13757774696179795</v>
      </c>
      <c r="CM57" s="74"/>
      <c r="CN57" s="72">
        <f>CN10/IS!CN4</f>
        <v>0.14550892596489101</v>
      </c>
      <c r="CO57" s="72">
        <f>CO10/IS!CO4</f>
        <v>0.14649413020277482</v>
      </c>
      <c r="CP57" s="74">
        <v>0.1</v>
      </c>
      <c r="CQ57" s="72">
        <f>CQ10/IS!CQ4</f>
        <v>0.25481178498017149</v>
      </c>
      <c r="CR57" s="74"/>
      <c r="CS57" s="74">
        <v>0.1</v>
      </c>
      <c r="CT57" s="74">
        <v>0.1</v>
      </c>
      <c r="CU57" s="74">
        <v>0.1</v>
      </c>
      <c r="CV57" s="74">
        <v>0.1</v>
      </c>
      <c r="CW57" s="74"/>
    </row>
    <row r="58" spans="3:101">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J58" s="72"/>
      <c r="BK58" s="72"/>
      <c r="BL58" s="72"/>
      <c r="BM58" s="72"/>
      <c r="BO58" s="72"/>
      <c r="BP58" s="72"/>
      <c r="BQ58" s="72"/>
      <c r="BR58" s="72"/>
      <c r="BT58" s="72"/>
      <c r="BU58" s="72"/>
      <c r="BV58" s="72"/>
      <c r="BW58" s="72"/>
      <c r="BY58" s="72"/>
      <c r="BZ58" s="72"/>
      <c r="CA58" s="72"/>
      <c r="CB58" s="72"/>
      <c r="CC58" s="74"/>
      <c r="CD58" s="72"/>
      <c r="CE58" s="72"/>
      <c r="CF58" s="72"/>
      <c r="CG58" s="72"/>
      <c r="CH58" s="74"/>
      <c r="CI58" s="72"/>
      <c r="CJ58" s="72"/>
      <c r="CK58" s="72"/>
      <c r="CL58" s="72"/>
      <c r="CM58" s="74"/>
      <c r="CN58" s="72"/>
      <c r="CO58" s="72"/>
      <c r="CP58" s="74"/>
      <c r="CQ58" s="72"/>
      <c r="CR58" s="74"/>
      <c r="CS58" s="74"/>
      <c r="CT58" s="74"/>
      <c r="CU58" s="74"/>
      <c r="CV58" s="74"/>
      <c r="CW58" s="74"/>
    </row>
    <row r="59" spans="3:101">
      <c r="C59" t="s">
        <v>104</v>
      </c>
      <c r="J59" s="72">
        <f>J24/IS!J4</f>
        <v>9.950495049504951E-2</v>
      </c>
      <c r="K59" s="72"/>
      <c r="L59" s="72"/>
      <c r="M59" s="72"/>
      <c r="N59" s="72"/>
      <c r="O59" s="72">
        <f>O24/IS!O4</f>
        <v>0.13475603646929166</v>
      </c>
      <c r="P59" s="72"/>
      <c r="Q59" s="72">
        <f>Q24/IS!Q4</f>
        <v>0.11793419896514692</v>
      </c>
      <c r="R59" s="72">
        <f>R24/IS!R4</f>
        <v>8.9820906432748537E-2</v>
      </c>
      <c r="S59" s="72">
        <f>S24/IS!S4</f>
        <v>9.2072056391958923E-2</v>
      </c>
      <c r="T59" s="72">
        <f>T24/IS!T4</f>
        <v>8.3731856699387527E-2</v>
      </c>
      <c r="U59" s="72"/>
      <c r="V59" s="72">
        <f>V24/IS!V4</f>
        <v>0.12483200252984426</v>
      </c>
      <c r="W59" s="72">
        <f>W24/IS!W4</f>
        <v>0.13065939585276601</v>
      </c>
      <c r="X59" s="72">
        <f>X24/IS!X4</f>
        <v>8.9316762186876161E-2</v>
      </c>
      <c r="Y59" s="72">
        <f>Y24/IS!Y4</f>
        <v>8.8999621546612839E-2</v>
      </c>
      <c r="Z59" s="72"/>
      <c r="AA59" s="72">
        <f>AA24/IS!AA4</f>
        <v>7.4996975928389983E-2</v>
      </c>
      <c r="AB59" s="72">
        <f>AB24/IS!AB4</f>
        <v>0.10908478761012289</v>
      </c>
      <c r="AC59" s="72">
        <f>AC24/IS!AC4</f>
        <v>0.13514580352296837</v>
      </c>
      <c r="AD59" s="72">
        <f>AD24/IS!AD4</f>
        <v>8.2592065468777801E-2</v>
      </c>
      <c r="AE59" s="72"/>
      <c r="AF59" s="72">
        <f>AF24/IS!AF4</f>
        <v>8.5634893903671266E-2</v>
      </c>
      <c r="AG59" s="72">
        <f>AG24/IS!AG4</f>
        <v>6.4307428482344692E-2</v>
      </c>
      <c r="AH59" s="72">
        <f>AH24/IS!AH4</f>
        <v>6.238892180094787E-2</v>
      </c>
      <c r="AI59" s="72">
        <f>AI24/IS!AI4</f>
        <v>6.4276266399742613E-2</v>
      </c>
      <c r="AJ59" s="72"/>
      <c r="AK59" s="72">
        <f>AK24/IS!AK4</f>
        <v>7.7507861363557834E-2</v>
      </c>
      <c r="AL59" s="72">
        <f>AL24/IS!AL4</f>
        <v>9.6430868167202574E-2</v>
      </c>
      <c r="AM59" s="72">
        <f>AM24/IS!AM4</f>
        <v>6.4541930720482366E-2</v>
      </c>
      <c r="AN59" s="72">
        <f>AN24/IS!AN4</f>
        <v>0.11188633410541778</v>
      </c>
      <c r="AO59" s="72"/>
      <c r="AP59" s="72">
        <f>AP24/IS!AP4</f>
        <v>9.3156613470381386E-2</v>
      </c>
      <c r="AQ59" s="72">
        <f>AQ24/IS!AQ4</f>
        <v>9.540235802914071E-2</v>
      </c>
      <c r="AR59" s="72">
        <f>AR24/IS!AR4</f>
        <v>5.9002824998760965E-2</v>
      </c>
      <c r="AS59" s="72">
        <f>AS24/IS!AS4</f>
        <v>5.1076792292434114E-2</v>
      </c>
      <c r="AT59" s="72"/>
      <c r="AU59" s="72">
        <f>AU24/IS!AU4</f>
        <v>8.5528191407706303E-2</v>
      </c>
      <c r="AV59" s="72">
        <f>AV24/IS!AV4</f>
        <v>7.5626702709552074E-2</v>
      </c>
      <c r="AW59" s="72">
        <f>AW24/IS!AW4</f>
        <v>4.954954954954955E-2</v>
      </c>
      <c r="AX59" s="72">
        <f>AX24/IS!AX4</f>
        <v>4.5083331701298447E-2</v>
      </c>
      <c r="AY59" s="72"/>
      <c r="AZ59" s="72">
        <f>AZ24/IS!AZ4</f>
        <v>6.8936301317106985E-2</v>
      </c>
      <c r="BA59" s="72">
        <f>BA24/IS!BA4</f>
        <v>5.0106845479330926E-2</v>
      </c>
      <c r="BB59" s="72">
        <f>BB24/IS!BB4</f>
        <v>5.5013357079252007E-2</v>
      </c>
      <c r="BC59" s="72">
        <f>BC24/IS!BC4</f>
        <v>7.6683848797250861E-2</v>
      </c>
      <c r="BD59" s="72"/>
      <c r="BE59" s="72">
        <f>BE24/IS!BE4</f>
        <v>5.8755838353753469E-2</v>
      </c>
      <c r="BF59" s="72">
        <f>BF24/IS!BF4</f>
        <v>6.0712707272757037E-2</v>
      </c>
      <c r="BG59" s="72">
        <f>BG24/IS!BG4</f>
        <v>6.1287141311955208E-2</v>
      </c>
      <c r="BH59" s="72">
        <f>BH24/IS!BH4</f>
        <v>6.8109650401141295E-2</v>
      </c>
      <c r="BJ59" s="72">
        <f>BJ24/IS!BJ4</f>
        <v>6.5601936235694866E-2</v>
      </c>
      <c r="BK59" s="72">
        <f>BK24/IS!BK4</f>
        <v>5.4108479621765966E-2</v>
      </c>
      <c r="BL59" s="72">
        <f>BL24/IS!BL4</f>
        <v>6.1569478908188584E-2</v>
      </c>
      <c r="BM59" s="72">
        <f>BM24/IS!BM4</f>
        <v>5.8762872423796624E-2</v>
      </c>
      <c r="BO59" s="72">
        <f>BO24/IS!BO4</f>
        <v>6.2028251024369208E-2</v>
      </c>
      <c r="BP59" s="72">
        <f>BP24/IS!BP4</f>
        <v>5.6316409299617586E-2</v>
      </c>
      <c r="BQ59" s="72">
        <f>BQ24/IS!BQ4</f>
        <v>6.330052666641528E-2</v>
      </c>
      <c r="BR59" s="72">
        <f>BR24/IS!BR4</f>
        <v>6.4267537331348726E-2</v>
      </c>
      <c r="BT59" s="72">
        <f>BT24/IS!BT4</f>
        <v>5.6396652385286482E-2</v>
      </c>
      <c r="BU59" s="72">
        <f>BU24/IS!BU4</f>
        <v>6.285236780587905E-2</v>
      </c>
      <c r="BV59" s="72">
        <f>BV24/IS!BV4</f>
        <v>3.8329911019849415E-2</v>
      </c>
      <c r="BW59" s="72">
        <f>BW24/IS!BW4</f>
        <v>8.1065825839853639E-2</v>
      </c>
      <c r="BY59" s="72">
        <f>BY24/IS!BY4</f>
        <v>4.4974475487912696E-2</v>
      </c>
      <c r="BZ59" s="72">
        <f>BZ24/IS!BZ4</f>
        <v>4.0685852461118541E-2</v>
      </c>
      <c r="CA59" s="72">
        <f>CA24/IS!CA4</f>
        <v>7.1624478102126021E-2</v>
      </c>
      <c r="CB59" s="72">
        <f>CB24/IS!CB4</f>
        <v>9.2248684620301918E-2</v>
      </c>
      <c r="CC59" s="74"/>
      <c r="CD59" s="72">
        <f>CD24/IS!CD4</f>
        <v>4.241745320494486E-2</v>
      </c>
      <c r="CE59" s="72">
        <f>CE24/IS!CE4</f>
        <v>4.7256471598576863E-2</v>
      </c>
      <c r="CF59" s="72">
        <f>CF24/IS!CF4</f>
        <v>4.5665298059132692E-2</v>
      </c>
      <c r="CG59" s="72">
        <f>CG24/IS!CG4</f>
        <v>5.1184768737281415E-2</v>
      </c>
      <c r="CH59" s="74"/>
      <c r="CI59" s="72">
        <f>CI24/IS!CI4</f>
        <v>8.2252500401133868E-2</v>
      </c>
      <c r="CJ59" s="72">
        <f>CJ24/IS!CJ4</f>
        <v>3.8262715174874347E-2</v>
      </c>
      <c r="CK59" s="72">
        <f>CK24/IS!CK4</f>
        <v>4.952775435895556E-2</v>
      </c>
      <c r="CL59" s="72">
        <f>CL24/IS!CL4</f>
        <v>5.0185188435815972E-2</v>
      </c>
      <c r="CM59" s="74"/>
      <c r="CN59" s="72">
        <f>CN24/IS!CN4</f>
        <v>6.1994282535293502E-2</v>
      </c>
      <c r="CO59" s="72">
        <f>CO24/IS!CO4</f>
        <v>6.1921024546424758E-2</v>
      </c>
      <c r="CP59" s="74">
        <v>7.0000000000000007E-2</v>
      </c>
      <c r="CQ59" s="72">
        <f>CQ24/IS!CQ4</f>
        <v>7.140855013184394E-2</v>
      </c>
      <c r="CR59" s="74"/>
      <c r="CS59" s="74">
        <v>7.0000000000000007E-2</v>
      </c>
      <c r="CT59" s="74">
        <v>7.0000000000000007E-2</v>
      </c>
      <c r="CU59" s="74">
        <v>7.0000000000000007E-2</v>
      </c>
      <c r="CV59" s="74">
        <v>7.0000000000000007E-2</v>
      </c>
      <c r="CW59" s="74"/>
    </row>
    <row r="60" spans="3:101">
      <c r="C60" t="s">
        <v>105</v>
      </c>
      <c r="J60" s="72">
        <f>J25/IS!J4</f>
        <v>0.23316831683168318</v>
      </c>
      <c r="K60" s="72"/>
      <c r="L60" s="72"/>
      <c r="M60" s="72"/>
      <c r="N60" s="72"/>
      <c r="O60" s="72">
        <f>O25/IS!O4</f>
        <v>0.30107203687005313</v>
      </c>
      <c r="P60" s="72"/>
      <c r="Q60" s="72">
        <f>Q25/IS!Q4</f>
        <v>0.26037293761593283</v>
      </c>
      <c r="R60" s="72">
        <f>R25/IS!R4</f>
        <v>0.31944444444444442</v>
      </c>
      <c r="S60" s="72">
        <f>S25/IS!S4</f>
        <v>0.32364459141937169</v>
      </c>
      <c r="T60" s="72">
        <f>T25/IS!T4</f>
        <v>0.30010906955281486</v>
      </c>
      <c r="U60" s="72"/>
      <c r="V60" s="72">
        <f>V25/IS!V4</f>
        <v>0.2657917621946399</v>
      </c>
      <c r="W60" s="72">
        <f>W25/IS!W4</f>
        <v>0.27523857358111503</v>
      </c>
      <c r="X60" s="72">
        <f>X25/IS!X4</f>
        <v>0.3341490115268208</v>
      </c>
      <c r="Y60" s="72">
        <f>Y25/IS!Y4</f>
        <v>0.32282073924561627</v>
      </c>
      <c r="Z60" s="72"/>
      <c r="AA60" s="72">
        <f>AA25/IS!AA4</f>
        <v>0.27506955364703034</v>
      </c>
      <c r="AB60" s="72">
        <f>AB25/IS!AB4</f>
        <v>0.26968183603613716</v>
      </c>
      <c r="AC60" s="72">
        <f>AC25/IS!AC4</f>
        <v>0.32733014259633886</v>
      </c>
      <c r="AD60" s="72">
        <f>AD25/IS!AD4</f>
        <v>0.26854652197117951</v>
      </c>
      <c r="AE60" s="72"/>
      <c r="AF60" s="72">
        <f>AF25/IS!AF4</f>
        <v>0.28195520377231392</v>
      </c>
      <c r="AG60" s="72">
        <f>AG25/IS!AG4</f>
        <v>0.25376101021124015</v>
      </c>
      <c r="AH60" s="72">
        <f>AH25/IS!AH4</f>
        <v>0.31116706161137442</v>
      </c>
      <c r="AI60" s="72">
        <f>AI25/IS!AI4</f>
        <v>0.28531083544846819</v>
      </c>
      <c r="AJ60" s="72"/>
      <c r="AK60" s="72">
        <f>AK25/IS!AK4</f>
        <v>0.26586958775355057</v>
      </c>
      <c r="AL60" s="72">
        <f>AL25/IS!AL4</f>
        <v>0.24562700964630224</v>
      </c>
      <c r="AM60" s="72">
        <f>AM25/IS!AM4</f>
        <v>0.30898910970282412</v>
      </c>
      <c r="AN60" s="72">
        <f>AN25/IS!AN4</f>
        <v>0.28037963956838596</v>
      </c>
      <c r="AO60" s="72"/>
      <c r="AP60" s="72">
        <f>AP25/IS!AP4</f>
        <v>0.27868542061130647</v>
      </c>
      <c r="AQ60" s="72">
        <f>AQ25/IS!AQ4</f>
        <v>0.24373165834320135</v>
      </c>
      <c r="AR60" s="72">
        <f>AR25/IS!AR4</f>
        <v>0.2458740149675373</v>
      </c>
      <c r="AS60" s="72">
        <f>AS25/IS!AS4</f>
        <v>0.26329460659299142</v>
      </c>
      <c r="AT60" s="72"/>
      <c r="AU60" s="72">
        <f>AU25/IS!AU4</f>
        <v>0.24853615210859886</v>
      </c>
      <c r="AV60" s="72">
        <f>AV25/IS!AV4</f>
        <v>0.25454583852505752</v>
      </c>
      <c r="AW60" s="72">
        <f>AW25/IS!AW4</f>
        <v>0.23934745556367179</v>
      </c>
      <c r="AX60" s="72">
        <f>AX25/IS!AX4</f>
        <v>0.26908991206596033</v>
      </c>
      <c r="AY60" s="72"/>
      <c r="AZ60" s="72">
        <f>AZ25/IS!AZ4</f>
        <v>0.23630901948702149</v>
      </c>
      <c r="BA60" s="72">
        <f>BA25/IS!BA4</f>
        <v>0.24395770392749244</v>
      </c>
      <c r="BB60" s="72">
        <f>BB25/IS!BB4</f>
        <v>0.22584149599287623</v>
      </c>
      <c r="BC60" s="72">
        <f>BC25/IS!BC4</f>
        <v>0.2729553264604811</v>
      </c>
      <c r="BD60" s="72"/>
      <c r="BE60" s="72">
        <f>BE25/IS!BE4</f>
        <v>0.19659175522913422</v>
      </c>
      <c r="BF60" s="72">
        <f>BF25/IS!BF4</f>
        <v>0.2348463767167013</v>
      </c>
      <c r="BG60" s="72">
        <f>BG25/IS!BG4</f>
        <v>0.24651651078450085</v>
      </c>
      <c r="BH60" s="72">
        <f>BH25/IS!BH4</f>
        <v>0.3131663317430855</v>
      </c>
      <c r="BJ60" s="72">
        <f>BJ25/IS!BJ4</f>
        <v>0.17889264051154868</v>
      </c>
      <c r="BK60" s="72">
        <f>BK25/IS!BK4</f>
        <v>0.23177049132484057</v>
      </c>
      <c r="BL60" s="72">
        <f>BL25/IS!BL4</f>
        <v>0.24898488608166028</v>
      </c>
      <c r="BM60" s="72">
        <f>BM25/IS!BM4</f>
        <v>0.30664210193447267</v>
      </c>
      <c r="BO60" s="72">
        <f>BO25/IS!BO4</f>
        <v>0.17700021565667456</v>
      </c>
      <c r="BP60" s="72">
        <f>BP25/IS!BP4</f>
        <v>0.22428645151046009</v>
      </c>
      <c r="BQ60" s="72">
        <f>BQ25/IS!BQ4</f>
        <v>0.24352351144462461</v>
      </c>
      <c r="BR60" s="72">
        <f>BR25/IS!BR4</f>
        <v>0.2633480578095741</v>
      </c>
      <c r="BT60" s="72">
        <f>BT25/IS!BT4</f>
        <v>0.2267409594423602</v>
      </c>
      <c r="BU60" s="72">
        <f>BU25/IS!BU4</f>
        <v>0.29055733612583168</v>
      </c>
      <c r="BV60" s="72">
        <f>BV25/IS!BV4</f>
        <v>0.3165486734704302</v>
      </c>
      <c r="BW60" s="72">
        <f>BW25/IS!BW4</f>
        <v>0.30811826073416637</v>
      </c>
      <c r="BY60" s="72">
        <f>BY25/IS!BY4</f>
        <v>0.20847394788626619</v>
      </c>
      <c r="BZ60" s="72">
        <f>BZ25/IS!BZ4</f>
        <v>0.23681510927109858</v>
      </c>
      <c r="CA60" s="72">
        <f>CA25/IS!CA4</f>
        <v>0.25137571406110792</v>
      </c>
      <c r="CB60" s="72">
        <f>CB25/IS!CB4</f>
        <v>0.24779130947892933</v>
      </c>
      <c r="CC60" s="74"/>
      <c r="CD60" s="72">
        <f>CD25/IS!CD4</f>
        <v>0.20998983061620111</v>
      </c>
      <c r="CE60" s="72">
        <f>CE25/IS!CE4</f>
        <v>0.2195819531345847</v>
      </c>
      <c r="CF60" s="72">
        <f>CF25/IS!CF4</f>
        <v>0.30571792925011609</v>
      </c>
      <c r="CG60" s="72">
        <f>CG25/IS!CG4</f>
        <v>0.28688304073397025</v>
      </c>
      <c r="CH60" s="74"/>
      <c r="CI60" s="72">
        <f>CI25/IS!CI4</f>
        <v>0.22055677381398084</v>
      </c>
      <c r="CJ60" s="72">
        <f>CJ25/IS!CJ4</f>
        <v>0.20987525716815542</v>
      </c>
      <c r="CK60" s="72">
        <f>CK25/IS!CK4</f>
        <v>0.28108695917793824</v>
      </c>
      <c r="CL60" s="72">
        <f>CL25/IS!CL4</f>
        <v>0.27593954606891469</v>
      </c>
      <c r="CM60" s="74"/>
      <c r="CN60" s="72">
        <f>CN25/IS!CN4</f>
        <v>0.22444078458157302</v>
      </c>
      <c r="CO60" s="72">
        <f>CO25/IS!CO4</f>
        <v>0.20655282817502668</v>
      </c>
      <c r="CP60" s="74">
        <v>0.26</v>
      </c>
      <c r="CQ60" s="72">
        <f>CQ25/IS!CQ4</f>
        <v>0.24695824595643959</v>
      </c>
      <c r="CR60" s="74"/>
      <c r="CS60" s="74">
        <v>0.25</v>
      </c>
      <c r="CT60" s="74">
        <v>0.26</v>
      </c>
      <c r="CU60" s="74">
        <v>0.26</v>
      </c>
      <c r="CV60" s="74">
        <v>0.26</v>
      </c>
      <c r="CW60" s="74"/>
    </row>
    <row r="61" spans="3:101">
      <c r="C61" t="s">
        <v>106</v>
      </c>
      <c r="J61" s="72">
        <f>J26/IS!J4</f>
        <v>7.017326732673268E-2</v>
      </c>
      <c r="K61" s="72"/>
      <c r="L61" s="72"/>
      <c r="M61" s="72"/>
      <c r="N61" s="72"/>
      <c r="O61" s="72">
        <f>O26/IS!O4</f>
        <v>0.1073038773669973</v>
      </c>
      <c r="P61" s="72"/>
      <c r="Q61" s="72">
        <f>Q26/IS!Q4</f>
        <v>0.142243483354486</v>
      </c>
      <c r="R61" s="72">
        <f>R26/IS!R4</f>
        <v>8.1962719298245612E-2</v>
      </c>
      <c r="S61" s="72">
        <f>S26/IS!S4</f>
        <v>8.8852145157079454E-2</v>
      </c>
      <c r="T61" s="72">
        <f>T26/IS!T4</f>
        <v>6.7707022401208156E-2</v>
      </c>
      <c r="U61" s="72"/>
      <c r="V61" s="72">
        <f>V26/IS!V4</f>
        <v>7.4630405565657365E-2</v>
      </c>
      <c r="W61" s="72">
        <f>W26/IS!W4</f>
        <v>9.0406830738322452E-2</v>
      </c>
      <c r="X61" s="72">
        <f>X26/IS!X4</f>
        <v>7.2509498357911012E-2</v>
      </c>
      <c r="Y61" s="72">
        <f>Y26/IS!Y4</f>
        <v>6.9193894285353857E-2</v>
      </c>
      <c r="Z61" s="72"/>
      <c r="AA61" s="72">
        <f>AA26/IS!AA4</f>
        <v>7.929115761461232E-2</v>
      </c>
      <c r="AB61" s="72">
        <f>AB26/IS!AB4</f>
        <v>8.7537175242691209E-2</v>
      </c>
      <c r="AC61" s="72">
        <f>AC26/IS!AC4</f>
        <v>6.2959490797848724E-2</v>
      </c>
      <c r="AD61" s="72">
        <f>AD26/IS!AD4</f>
        <v>4.7900729407578724E-2</v>
      </c>
      <c r="AE61" s="72"/>
      <c r="AF61" s="72">
        <f>AF26/IS!AF4</f>
        <v>4.4754125968339512E-2</v>
      </c>
      <c r="AG61" s="72">
        <f>AG26/IS!AG4</f>
        <v>0.13329176085431443</v>
      </c>
      <c r="AH61" s="72">
        <f>AH26/IS!AH4</f>
        <v>9.8674466824644549E-2</v>
      </c>
      <c r="AI61" s="72">
        <f>AI26/IS!AI4</f>
        <v>0.10013227040360348</v>
      </c>
      <c r="AJ61" s="72"/>
      <c r="AK61" s="72">
        <f>AK26/IS!AK4</f>
        <v>0.1060506582812122</v>
      </c>
      <c r="AL61" s="72">
        <f>AL26/IS!AL4</f>
        <v>5.8038585209003214E-2</v>
      </c>
      <c r="AM61" s="72">
        <f>AM26/IS!AM4</f>
        <v>5.5405155971205315E-2</v>
      </c>
      <c r="AN61" s="72">
        <f>AN26/IS!AN4</f>
        <v>8.9486469690977913E-2</v>
      </c>
      <c r="AO61" s="72"/>
      <c r="AP61" s="72">
        <f>AP26/IS!AP4</f>
        <v>7.5628888287800913E-2</v>
      </c>
      <c r="AQ61" s="72">
        <f>AQ26/IS!AQ4</f>
        <v>5.4806157648149105E-2</v>
      </c>
      <c r="AR61" s="72">
        <f>AR26/IS!AR4</f>
        <v>5.7937255290677503E-2</v>
      </c>
      <c r="AS61" s="72">
        <f>AS26/IS!AS4</f>
        <v>4.6920751865495422E-2</v>
      </c>
      <c r="AT61" s="72"/>
      <c r="AU61" s="72">
        <f>AU26/IS!AU4</f>
        <v>6.4168073861268882E-2</v>
      </c>
      <c r="AV61" s="72">
        <f>AV26/IS!AV4</f>
        <v>8.2089079428100772E-2</v>
      </c>
      <c r="AW61" s="72">
        <f>AW26/IS!AW4</f>
        <v>5.0909017125233338E-2</v>
      </c>
      <c r="AX61" s="72">
        <f>AX26/IS!AX4</f>
        <v>6.8702140576956977E-2</v>
      </c>
      <c r="AY61" s="72"/>
      <c r="AZ61" s="72">
        <f>AZ26/IS!AZ4</f>
        <v>8.5862281444966493E-2</v>
      </c>
      <c r="BA61" s="72">
        <f>BA26/IS!BA4</f>
        <v>6.8583744749834211E-2</v>
      </c>
      <c r="BB61" s="72">
        <f>BB26/IS!BB4</f>
        <v>7.1077471059661626E-2</v>
      </c>
      <c r="BC61" s="72">
        <f>BC26/IS!BC4</f>
        <v>8.0962199312714783E-2</v>
      </c>
      <c r="BD61" s="72"/>
      <c r="BE61" s="72">
        <f>BE26/IS!BE4</f>
        <v>6.956948487104854E-2</v>
      </c>
      <c r="BF61" s="72">
        <f>BF26/IS!BF4</f>
        <v>7.7883812672897804E-2</v>
      </c>
      <c r="BG61" s="72">
        <f>BG26/IS!BG4</f>
        <v>6.324362155627665E-2</v>
      </c>
      <c r="BH61" s="72">
        <f>BH26/IS!BH4</f>
        <v>6.991977174063109E-2</v>
      </c>
      <c r="BJ61" s="72">
        <f>BJ26/IS!BJ4</f>
        <v>6.9008276809991928E-2</v>
      </c>
      <c r="BK61" s="72">
        <f>BK26/IS!BK4</f>
        <v>7.2436486742838799E-2</v>
      </c>
      <c r="BL61" s="72">
        <f>BL26/IS!BL4</f>
        <v>6.8717572749830813E-2</v>
      </c>
      <c r="BM61" s="72">
        <f>BM26/IS!BM4</f>
        <v>8.5339529512050927E-2</v>
      </c>
      <c r="BO61" s="72">
        <f>BO26/IS!BO4</f>
        <v>7.2433685572568476E-2</v>
      </c>
      <c r="BP61" s="72">
        <f>BP26/IS!BP4</f>
        <v>6.7047755150649035E-2</v>
      </c>
      <c r="BQ61" s="72">
        <f>BQ26/IS!BQ4</f>
        <v>7.5945548474678534E-2</v>
      </c>
      <c r="BR61" s="72">
        <f>BR26/IS!BR4</f>
        <v>0.13397272770922361</v>
      </c>
      <c r="BT61" s="72">
        <f>BT26/IS!BT4</f>
        <v>0.1111949741381224</v>
      </c>
      <c r="BU61" s="72">
        <f>BU26/IS!BU4</f>
        <v>5.5225885613344759E-2</v>
      </c>
      <c r="BV61" s="72">
        <f>BV26/IS!BV4</f>
        <v>7.2634772748168805E-2</v>
      </c>
      <c r="BW61" s="72">
        <f>BW26/IS!BW4</f>
        <v>8.1211802717116269E-2</v>
      </c>
      <c r="BY61" s="72">
        <f>BY26/IS!BY4</f>
        <v>6.3046020172444928E-2</v>
      </c>
      <c r="BZ61" s="72">
        <f>BZ26/IS!BZ4</f>
        <v>6.8768433200828011E-2</v>
      </c>
      <c r="CA61" s="72">
        <f>CA26/IS!CA4</f>
        <v>4.543787013259263E-2</v>
      </c>
      <c r="CB61" s="72">
        <f>CB26/IS!CB4</f>
        <v>6.1064760936910947E-2</v>
      </c>
      <c r="CC61" s="74"/>
      <c r="CD61" s="72">
        <f>CD26/IS!CD4</f>
        <v>6.4853656211268942E-2</v>
      </c>
      <c r="CE61" s="72">
        <f>CE26/IS!CE4</f>
        <v>5.1481413323518584E-2</v>
      </c>
      <c r="CF61" s="72">
        <f>CF26/IS!CF4</f>
        <v>6.5604705847664396E-2</v>
      </c>
      <c r="CG61" s="72">
        <f>CG26/IS!CG4</f>
        <v>5.5282309522988307E-2</v>
      </c>
      <c r="CH61" s="74"/>
      <c r="CI61" s="72">
        <f>CI26/IS!CI4</f>
        <v>7.1829705300315558E-2</v>
      </c>
      <c r="CJ61" s="72">
        <f>CJ26/IS!CJ4</f>
        <v>6.1498997369723168E-2</v>
      </c>
      <c r="CK61" s="72">
        <f>CK26/IS!CK4</f>
        <v>5.4787825470718324E-2</v>
      </c>
      <c r="CL61" s="72">
        <f>CL26/IS!CL4</f>
        <v>7.0845547578507612E-2</v>
      </c>
      <c r="CM61" s="74"/>
      <c r="CN61" s="72">
        <f>CN26/IS!CN4</f>
        <v>9.1655696258310423E-2</v>
      </c>
      <c r="CO61" s="72">
        <f>CO26/IS!CO4</f>
        <v>6.7822838847385269E-2</v>
      </c>
      <c r="CP61" s="74">
        <v>7.0000000000000007E-2</v>
      </c>
      <c r="CQ61" s="72">
        <f>CQ26/IS!CQ4</f>
        <v>6.7863297552062787E-2</v>
      </c>
      <c r="CR61" s="74"/>
      <c r="CS61" s="74">
        <v>7.0000000000000007E-2</v>
      </c>
      <c r="CT61" s="74">
        <v>7.0000000000000007E-2</v>
      </c>
      <c r="CU61" s="74">
        <v>7.0000000000000007E-2</v>
      </c>
      <c r="CV61" s="74">
        <v>7.0000000000000007E-2</v>
      </c>
      <c r="CW61" s="74"/>
    </row>
    <row r="62" spans="3:101">
      <c r="C62" t="s">
        <v>107</v>
      </c>
      <c r="J62" s="72">
        <f>J28/IS!J4</f>
        <v>0.31856435643564357</v>
      </c>
      <c r="K62" s="72"/>
      <c r="L62" s="72"/>
      <c r="M62" s="72"/>
      <c r="N62" s="72"/>
      <c r="O62" s="72">
        <f>O28/IS!O4</f>
        <v>0.34134856226830979</v>
      </c>
      <c r="P62" s="72"/>
      <c r="Q62" s="72">
        <f>Q28/IS!Q4</f>
        <v>0.35077613980279215</v>
      </c>
      <c r="R62" s="72">
        <f>R28/IS!R4</f>
        <v>0.33698830409356723</v>
      </c>
      <c r="S62" s="72">
        <f>S28/IS!S4</f>
        <v>0.31972848316073449</v>
      </c>
      <c r="T62" s="72">
        <f>T28/IS!T4</f>
        <v>0.30078026680090614</v>
      </c>
      <c r="U62" s="72"/>
      <c r="V62" s="72">
        <f>V28/IS!V4</f>
        <v>0.2805755395683453</v>
      </c>
      <c r="W62" s="72">
        <f>W28/IS!W4</f>
        <v>0.26791992537848891</v>
      </c>
      <c r="X62" s="72">
        <f>X28/IS!X4</f>
        <v>0.24508983192736172</v>
      </c>
      <c r="Y62" s="72">
        <f>Y28/IS!Y4</f>
        <v>0.24221016778100163</v>
      </c>
      <c r="Z62" s="72"/>
      <c r="AA62" s="72">
        <f>AA28/IS!AA4</f>
        <v>0.24658279908068223</v>
      </c>
      <c r="AB62" s="72">
        <f>AB28/IS!AB4</f>
        <v>0.24499186353178834</v>
      </c>
      <c r="AC62" s="72">
        <f>AC28/IS!AC4</f>
        <v>0.25963388760053291</v>
      </c>
      <c r="AD62" s="72">
        <f>AD28/IS!AD4</f>
        <v>0.24457391923145347</v>
      </c>
      <c r="AE62" s="72"/>
      <c r="AF62" s="72">
        <f>AF28/IS!AF4</f>
        <v>0.24532670932974066</v>
      </c>
      <c r="AG62" s="72">
        <f>AG28/IS!AG4</f>
        <v>0.24062670512120976</v>
      </c>
      <c r="AH62" s="72">
        <f>AH28/IS!AH4</f>
        <v>0.23889218009478674</v>
      </c>
      <c r="AI62" s="72">
        <f>AI28/IS!AI4</f>
        <v>0.22646838022378724</v>
      </c>
      <c r="AJ62" s="72"/>
      <c r="AK62" s="72">
        <f>AK28/IS!AK4</f>
        <v>0.22436849925705796</v>
      </c>
      <c r="AL62" s="72">
        <f>AL28/IS!AL4</f>
        <v>0.22225080385852089</v>
      </c>
      <c r="AM62" s="72">
        <f>AM28/IS!AM4</f>
        <v>0.21414508090814002</v>
      </c>
      <c r="AN62" s="72">
        <f>AN28/IS!AN4</f>
        <v>0.21199367267386024</v>
      </c>
      <c r="AO62" s="72"/>
      <c r="AP62" s="72">
        <f>AP28/IS!AP4</f>
        <v>0.20367865837165269</v>
      </c>
      <c r="AQ62" s="72">
        <f>AQ28/IS!AQ4</f>
        <v>0.20164238274210988</v>
      </c>
      <c r="AR62" s="72">
        <f>AR28/IS!AR4</f>
        <v>0.2000297368290628</v>
      </c>
      <c r="AS62" s="72">
        <f>AS28/IS!AS4</f>
        <v>0.18277132332105411</v>
      </c>
      <c r="AT62" s="72"/>
      <c r="AU62" s="72">
        <f>AU28/IS!AU4</f>
        <v>0.24855808241408803</v>
      </c>
      <c r="AV62" s="72">
        <f>AV28/IS!AV4</f>
        <v>0.25936094274672128</v>
      </c>
      <c r="AW62" s="72">
        <f>AW28/IS!AW4</f>
        <v>0.24667234802369936</v>
      </c>
      <c r="AX62" s="72">
        <f>AX28/IS!AX4</f>
        <v>0.21650574802686981</v>
      </c>
      <c r="AY62" s="72"/>
      <c r="AZ62" s="72">
        <f>AZ28/IS!AZ4</f>
        <v>0.30430177924978818</v>
      </c>
      <c r="BA62" s="72">
        <f>BA28/IS!BA4</f>
        <v>0.3062412497236755</v>
      </c>
      <c r="BB62" s="72">
        <f>BB28/IS!BB4</f>
        <v>0.28867319679430098</v>
      </c>
      <c r="BC62" s="72">
        <f>BC28/IS!BC4</f>
        <v>0.28190721649484535</v>
      </c>
      <c r="BD62" s="72"/>
      <c r="BE62" s="72">
        <f>BE28/IS!BE4</f>
        <v>0.36524402626413049</v>
      </c>
      <c r="BF62" s="72">
        <f>BF28/IS!BF4</f>
        <v>0.39598304169190224</v>
      </c>
      <c r="BG62" s="72">
        <f>BG28/IS!BG4</f>
        <v>0.39683145638480627</v>
      </c>
      <c r="BH62" s="72">
        <f>BH28/IS!BH4</f>
        <v>0.38853180751353755</v>
      </c>
      <c r="BJ62" s="72">
        <f>BJ28/IS!BJ4</f>
        <v>0.43160426688977199</v>
      </c>
      <c r="BK62" s="72">
        <f>BK28/IS!BK4</f>
        <v>0.44325759897269768</v>
      </c>
      <c r="BL62" s="72">
        <f>BL28/IS!BL4</f>
        <v>0.42791281299345818</v>
      </c>
      <c r="BM62" s="72">
        <f>BM28/IS!BM4</f>
        <v>0.43258218415299793</v>
      </c>
      <c r="BO62" s="72">
        <f>BO28/IS!BO4</f>
        <v>0.4707919991373733</v>
      </c>
      <c r="BP62" s="72">
        <f>BP28/IS!BP4</f>
        <v>0.47997300623238459</v>
      </c>
      <c r="BQ62" s="72">
        <f>BQ28/IS!BQ4</f>
        <v>0.44725165604535111</v>
      </c>
      <c r="BR62" s="72">
        <f>BR28/IS!BR4</f>
        <v>0.45550247275171651</v>
      </c>
      <c r="BT62" s="72">
        <f>BT28/IS!BT4</f>
        <v>0.49371767265300687</v>
      </c>
      <c r="BU62" s="72">
        <f>BU28/IS!BU4</f>
        <v>0.51281481716540267</v>
      </c>
      <c r="BV62" s="72">
        <f>BV28/IS!BV4</f>
        <v>0.50246713046676272</v>
      </c>
      <c r="BW62" s="72">
        <f>BW28/IS!BW4</f>
        <v>0.49075479777336606</v>
      </c>
      <c r="BY62" s="72">
        <f>BY28/IS!BY4</f>
        <v>0.53994087059024842</v>
      </c>
      <c r="BZ62" s="72">
        <f>BZ28/IS!BZ4</f>
        <v>0.54125373243693786</v>
      </c>
      <c r="CA62" s="72">
        <f>CA28/IS!CA4</f>
        <v>0.51490138532222285</v>
      </c>
      <c r="CB62" s="72">
        <f>CB28/IS!CB4</f>
        <v>0.47061089347473323</v>
      </c>
      <c r="CC62" s="74"/>
      <c r="CD62" s="72">
        <f>CD28/IS!CD4</f>
        <v>0.49978548956049196</v>
      </c>
      <c r="CE62" s="72">
        <f>CE28/IS!CE4</f>
        <v>0.5089942951785057</v>
      </c>
      <c r="CF62" s="72">
        <f>CF28/IS!CF4</f>
        <v>0.52965111564856515</v>
      </c>
      <c r="CG62" s="72">
        <f>CG28/IS!CG4</f>
        <v>0.47726692649949987</v>
      </c>
      <c r="CH62" s="74"/>
      <c r="CI62" s="72">
        <f>CI28/IS!CI4</f>
        <v>0.49273279135690218</v>
      </c>
      <c r="CJ62" s="72">
        <f>CJ28/IS!CJ4</f>
        <v>0.49736321258366101</v>
      </c>
      <c r="CK62" s="72">
        <f>CK28/IS!CK4</f>
        <v>0.48191659641020002</v>
      </c>
      <c r="CL62" s="72">
        <f>CL28/IS!CL4</f>
        <v>0.43448191121487123</v>
      </c>
      <c r="CM62" s="74"/>
      <c r="CN62" s="72">
        <f>CN28/IS!CN4</f>
        <v>0.43305113220122393</v>
      </c>
      <c r="CO62" s="72">
        <f>CO28/IS!CO4</f>
        <v>0.42261472785485593</v>
      </c>
      <c r="CP62" s="74">
        <v>0.49</v>
      </c>
      <c r="CQ62" s="72">
        <f>CQ28/IS!CQ4</f>
        <v>0.39236550879305693</v>
      </c>
      <c r="CR62" s="74"/>
      <c r="CS62" s="74">
        <v>0.49</v>
      </c>
      <c r="CT62" s="74">
        <v>0.49</v>
      </c>
      <c r="CU62" s="74">
        <v>0.49</v>
      </c>
      <c r="CV62" s="74">
        <v>0.49</v>
      </c>
      <c r="CW62" s="74"/>
    </row>
    <row r="63" spans="3:101" hidden="1">
      <c r="C63" s="254" t="s">
        <v>333</v>
      </c>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f>AP27/IS!AP4</f>
        <v>1.8312144982418177E-2</v>
      </c>
      <c r="AQ63" s="72">
        <f>AQ27/IS!AQ4</f>
        <v>1.8122844050867528E-2</v>
      </c>
      <c r="AR63" s="72">
        <f>AR27/IS!AR4</f>
        <v>1.7916439510333549E-2</v>
      </c>
      <c r="AS63" s="72">
        <f>AS27/IS!AS4</f>
        <v>2.8194956078209123E-2</v>
      </c>
      <c r="AT63" s="72"/>
      <c r="AU63" s="72">
        <f>AU27/IS!AU4</f>
        <v>2.3706660233777058E-2</v>
      </c>
      <c r="AV63" s="72">
        <f>AV27/IS!AV4</f>
        <v>2.8383772254017867E-2</v>
      </c>
      <c r="AW63" s="72">
        <f>AW27/IS!AW4</f>
        <v>2.6986445905364823E-2</v>
      </c>
      <c r="AX63" s="72">
        <f>AX27/IS!AX4</f>
        <v>3.0473355398444996E-2</v>
      </c>
      <c r="AY63" s="72"/>
      <c r="AZ63" s="72">
        <f>AZ27/IS!AZ4</f>
        <v>2.8960948933220366E-2</v>
      </c>
      <c r="BA63" s="72">
        <f>BA27/IS!BA4</f>
        <v>2.9585144794046128E-2</v>
      </c>
      <c r="BB63" s="72">
        <f>BB27/IS!BB4</f>
        <v>2.9474621549421192E-2</v>
      </c>
      <c r="BC63" s="72">
        <f>BC27/IS!BC4</f>
        <v>2.8848797250859107E-2</v>
      </c>
      <c r="BD63" s="72"/>
      <c r="BE63" s="72">
        <f>BE27/IS!BE4</f>
        <v>2.2219589792188452E-2</v>
      </c>
      <c r="BF63" s="72">
        <f>BF27/IS!BF4</f>
        <v>2.2474668936504558E-2</v>
      </c>
      <c r="BG63" s="72">
        <f>BG27/IS!BG4</f>
        <v>2.2252974486225107E-2</v>
      </c>
      <c r="BH63" s="72">
        <f>BH27/IS!BH4</f>
        <v>2.732056021721456E-2</v>
      </c>
      <c r="BJ63" s="72">
        <f>BJ27/IS!BJ4</f>
        <v>0</v>
      </c>
      <c r="BK63" s="72">
        <f>BK27/IS!BK4</f>
        <v>0</v>
      </c>
      <c r="BL63" s="72">
        <f>BL27/IS!BL4</f>
        <v>0</v>
      </c>
      <c r="BM63" s="72">
        <f>BM27/IS!BM4</f>
        <v>0</v>
      </c>
      <c r="BO63" s="72">
        <f>BO27/IS!BO4</f>
        <v>0</v>
      </c>
      <c r="BP63" s="72">
        <f>BP27/IS!BP4</f>
        <v>0</v>
      </c>
      <c r="BQ63" s="72">
        <f>BQ27/IS!BQ4</f>
        <v>0</v>
      </c>
      <c r="BR63" s="72">
        <f>BR27/IS!BR4</f>
        <v>0</v>
      </c>
      <c r="BT63" s="72">
        <f>BT27/IS!BT4</f>
        <v>0</v>
      </c>
      <c r="BU63" s="72">
        <f>BU27/IS!BU4</f>
        <v>0</v>
      </c>
      <c r="BV63" s="72">
        <f>BV27/IS!BV4</f>
        <v>0</v>
      </c>
      <c r="BW63" s="72">
        <f>BW27/IS!BW4</f>
        <v>0</v>
      </c>
      <c r="BY63" s="72">
        <f>BY27/IS!BY4</f>
        <v>0</v>
      </c>
      <c r="BZ63" s="72">
        <f>BZ27/IS!BZ4</f>
        <v>0</v>
      </c>
      <c r="CA63" s="72">
        <f>CA27/IS!CA4</f>
        <v>0</v>
      </c>
      <c r="CB63" s="72">
        <f>CB27/IS!CB4</f>
        <v>0</v>
      </c>
      <c r="CC63" s="74"/>
      <c r="CD63" s="72">
        <f>CD27/IS!CD4</f>
        <v>0</v>
      </c>
      <c r="CE63" s="72">
        <f>CE27/IS!CE4</f>
        <v>0</v>
      </c>
      <c r="CF63" s="72">
        <f>CF27/IS!CF4</f>
        <v>0</v>
      </c>
      <c r="CG63" s="72">
        <f>CG27/IS!CG4</f>
        <v>0</v>
      </c>
      <c r="CH63" s="74"/>
      <c r="CI63" s="72">
        <f>CI27/IS!CI4</f>
        <v>0</v>
      </c>
      <c r="CJ63" s="72">
        <f>CJ27/IS!CJ4</f>
        <v>0</v>
      </c>
      <c r="CK63" s="72">
        <f>CK27/IS!CK4</f>
        <v>0</v>
      </c>
      <c r="CL63" s="72">
        <f>CL27/IS!CL4</f>
        <v>0</v>
      </c>
      <c r="CM63" s="74"/>
      <c r="CN63" s="72">
        <f>CN27/IS!CN4</f>
        <v>0</v>
      </c>
      <c r="CO63" s="72">
        <f>CO27/IS!CO4</f>
        <v>0</v>
      </c>
      <c r="CP63" s="74">
        <v>0</v>
      </c>
      <c r="CQ63" s="72">
        <f>CQ27/IS!CQ4</f>
        <v>0</v>
      </c>
      <c r="CR63" s="74"/>
      <c r="CS63" s="74">
        <v>0</v>
      </c>
      <c r="CT63" s="74">
        <v>0</v>
      </c>
      <c r="CU63" s="74">
        <v>0</v>
      </c>
      <c r="CV63" s="74">
        <v>0</v>
      </c>
      <c r="CW63" s="74"/>
    </row>
    <row r="64" spans="3:101">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4"/>
      <c r="AR64" s="74"/>
      <c r="AS64" s="74"/>
      <c r="AT64" s="72"/>
      <c r="AU64" s="74"/>
      <c r="AV64" s="74"/>
      <c r="AW64" s="74"/>
      <c r="AX64" s="74"/>
      <c r="AY64" s="72"/>
      <c r="AZ64" s="74"/>
      <c r="BA64" s="74"/>
      <c r="BB64" s="74"/>
      <c r="BC64" s="74"/>
      <c r="BE64" s="74"/>
      <c r="BF64" s="74"/>
      <c r="BG64" s="74"/>
      <c r="BH64" s="74"/>
      <c r="BJ64" s="74"/>
      <c r="BK64" s="74"/>
      <c r="BL64" s="74"/>
      <c r="BM64" s="74"/>
      <c r="BO64" s="74"/>
      <c r="BP64" s="74"/>
      <c r="BQ64" s="74"/>
      <c r="BR64" s="74"/>
      <c r="BT64" s="74"/>
      <c r="BU64" s="74"/>
      <c r="BV64" s="74"/>
      <c r="BW64" s="74"/>
      <c r="BY64" s="74"/>
      <c r="BZ64" s="74"/>
      <c r="CA64" s="74"/>
      <c r="CB64" s="74"/>
      <c r="CC64" s="74"/>
      <c r="CD64" s="74"/>
      <c r="CE64" s="74"/>
      <c r="CF64" s="74"/>
      <c r="CG64" s="74"/>
      <c r="CH64" s="74"/>
      <c r="CI64" s="74"/>
      <c r="CJ64" s="74"/>
      <c r="CK64" s="74"/>
      <c r="CL64" s="74"/>
      <c r="CM64" s="74"/>
      <c r="CN64" s="74"/>
      <c r="CO64" s="74"/>
      <c r="CP64" s="74"/>
      <c r="CQ64" s="74"/>
      <c r="CR64" s="74"/>
      <c r="CS64" s="74"/>
      <c r="CT64" s="74"/>
      <c r="CU64" s="74"/>
      <c r="CV64" s="74"/>
      <c r="CW64" s="74"/>
    </row>
    <row r="65" spans="3:101">
      <c r="C65" t="s">
        <v>108</v>
      </c>
      <c r="J65" s="72">
        <f>J33/IS!J4</f>
        <v>0.49678217821782178</v>
      </c>
      <c r="K65" s="72"/>
      <c r="L65" s="72"/>
      <c r="M65" s="72"/>
      <c r="N65" s="72"/>
      <c r="O65" s="72">
        <f>O33/IS!O4</f>
        <v>0.40326620579100292</v>
      </c>
      <c r="P65" s="72"/>
      <c r="Q65" s="72">
        <f>Q33/IS!Q4</f>
        <v>0.40593576100751733</v>
      </c>
      <c r="R65" s="72">
        <f>R33/IS!R4</f>
        <v>0.39592470760233917</v>
      </c>
      <c r="S65" s="72">
        <f>S33/IS!S4</f>
        <v>0.40240187973196412</v>
      </c>
      <c r="T65" s="72">
        <f>T33/IS!T4</f>
        <v>0.41966607936907457</v>
      </c>
      <c r="U65" s="72"/>
      <c r="V65" s="72">
        <f>V33/IS!V4</f>
        <v>0.41916357024270695</v>
      </c>
      <c r="W65" s="72">
        <f>W33/IS!W4</f>
        <v>0.39183468465236421</v>
      </c>
      <c r="X65" s="72">
        <f>X33/IS!X4</f>
        <v>0.39307102839848024</v>
      </c>
      <c r="Y65" s="72">
        <f>Y33/IS!Y4</f>
        <v>0.41623565030907028</v>
      </c>
      <c r="Z65" s="72"/>
      <c r="AA65" s="72">
        <f>AA33/IS!AA4</f>
        <v>0.44115156646909398</v>
      </c>
      <c r="AB65" s="72">
        <f>AB33/IS!AB4</f>
        <v>0.44178216710622298</v>
      </c>
      <c r="AC65" s="72">
        <f>AC33/IS!AC4</f>
        <v>0.39487837371095869</v>
      </c>
      <c r="AD65" s="72">
        <f>AD33/IS!AD4</f>
        <v>0.3696851094111368</v>
      </c>
      <c r="AE65" s="72"/>
      <c r="AF65" s="72">
        <f>AF33/IS!AF4</f>
        <v>0.35108622431795217</v>
      </c>
      <c r="AG65" s="72">
        <f>AG33/IS!AG4</f>
        <v>0.33852989321069454</v>
      </c>
      <c r="AH65" s="72">
        <f>AH33/IS!AH4</f>
        <v>0.32453347156398105</v>
      </c>
      <c r="AI65" s="72">
        <f>AI33/IS!AI4</f>
        <v>0.31405283666392592</v>
      </c>
      <c r="AJ65" s="72"/>
      <c r="AK65" s="72">
        <f>AK33/IS!AK4</f>
        <v>0.3179446421783752</v>
      </c>
      <c r="AL65" s="72">
        <f>AL33/IS!AL4</f>
        <v>0.32209003215434084</v>
      </c>
      <c r="AM65" s="72">
        <f>AM33/IS!AM4</f>
        <v>0.31492647511228694</v>
      </c>
      <c r="AN65" s="72">
        <f>AN33/IS!AN4</f>
        <v>0.30091520253093046</v>
      </c>
      <c r="AO65" s="72"/>
      <c r="AP65" s="72">
        <f>AP33/IS!AP4</f>
        <v>0.28536651338923452</v>
      </c>
      <c r="AQ65" s="72">
        <f>AQ33/IS!AQ4</f>
        <v>0.28306646758997067</v>
      </c>
      <c r="AR65" s="72">
        <f>AR33/IS!AR4</f>
        <v>0.28995886405312982</v>
      </c>
      <c r="AS65" s="72">
        <f>AS33/IS!AS4</f>
        <v>0.25987059601397938</v>
      </c>
      <c r="AT65" s="72"/>
      <c r="AU65" s="72">
        <f>AU33/IS!AU4</f>
        <v>0.23851400250005483</v>
      </c>
      <c r="AV65" s="72">
        <f>AV33/IS!AV4</f>
        <v>0.2372917150640958</v>
      </c>
      <c r="AW65" s="72">
        <f>AW33/IS!AW4</f>
        <v>0.22242512783053323</v>
      </c>
      <c r="AX65" s="72">
        <f>AX33/IS!AX4</f>
        <v>0.212432188950471</v>
      </c>
      <c r="AY65" s="72"/>
      <c r="AZ65" s="72">
        <f>AZ33/IS!AZ4</f>
        <v>0.21349071863205732</v>
      </c>
      <c r="BA65" s="72">
        <f>BA33/IS!BA4</f>
        <v>0.20355905975978189</v>
      </c>
      <c r="BB65" s="72">
        <f>BB33/IS!BB4</f>
        <v>0.18922528940338379</v>
      </c>
      <c r="BC65" s="72">
        <f>BC33/IS!BC4</f>
        <v>0.18216494845360826</v>
      </c>
      <c r="BE65" s="72">
        <f>BE33/IS!BE4</f>
        <v>4.5539159277059503E-2</v>
      </c>
      <c r="BF65" s="72">
        <f>BF33/IS!BF4</f>
        <v>4.3214221407408618E-2</v>
      </c>
      <c r="BG65" s="72">
        <f>BG33/IS!BG4</f>
        <v>4.2708532162626454E-2</v>
      </c>
      <c r="BH65" s="72">
        <f>BH33/IS!BH4</f>
        <v>3.8534108515240299E-2</v>
      </c>
      <c r="BJ65" s="72">
        <f>BJ33/IS!BJ4</f>
        <v>3.9576299040846204E-2</v>
      </c>
      <c r="BK65" s="72">
        <f>BK33/IS!BK4</f>
        <v>3.960367143836916E-2</v>
      </c>
      <c r="BL65" s="72">
        <f>BL33/IS!BL4</f>
        <v>3.6670990300022556E-2</v>
      </c>
      <c r="BM65" s="72">
        <f>BM33/IS!BM4</f>
        <v>3.9198163144652361E-2</v>
      </c>
      <c r="BO65" s="72">
        <f>BO33/IS!BO4</f>
        <v>3.7483825749406945E-2</v>
      </c>
      <c r="BP65" s="72">
        <f>BP33/IS!BP4</f>
        <v>3.6335728368597248E-2</v>
      </c>
      <c r="BQ65" s="72">
        <f>BQ33/IS!BQ4</f>
        <v>3.3849944065261386E-2</v>
      </c>
      <c r="BR65" s="72">
        <f>BR33/IS!BR4</f>
        <v>3.5962932731550393E-2</v>
      </c>
      <c r="BT65" s="72">
        <f>BT33/IS!BT4</f>
        <v>4.4697760117210911E-2</v>
      </c>
      <c r="BU65" s="72">
        <f>BU33/IS!BU4</f>
        <v>5.279302721628111E-2</v>
      </c>
      <c r="BV65" s="72">
        <f>BV33/IS!BV4</f>
        <v>5.2703627652292952E-2</v>
      </c>
      <c r="BW65" s="72">
        <f>BW33/IS!BW4</f>
        <v>5.0060337109268556E-2</v>
      </c>
      <c r="BY65" s="72">
        <f>BY33/IS!BY4</f>
        <v>4.8700959189299668E-2</v>
      </c>
      <c r="BZ65" s="72">
        <f>BZ33/IS!BZ4</f>
        <v>4.8370550843576547E-2</v>
      </c>
      <c r="CA65" s="72">
        <f>CA33/IS!CA4</f>
        <v>4.4948727355309817E-2</v>
      </c>
      <c r="CB65" s="72">
        <f>CB33/IS!CB4</f>
        <v>3.9100788408267632E-2</v>
      </c>
      <c r="CC65" s="72"/>
      <c r="CD65" s="72">
        <f>CD33/IS!CD4</f>
        <v>4.0558362729208375E-2</v>
      </c>
      <c r="CE65" s="72">
        <f>CE33/IS!CE4</f>
        <v>4.3890320206109681E-2</v>
      </c>
      <c r="CF65" s="72">
        <f>CF33/IS!CF4</f>
        <v>5.048613824164646E-2</v>
      </c>
      <c r="CG65" s="72">
        <f>CG33/IS!CG4</f>
        <v>4.7804642499913771E-2</v>
      </c>
      <c r="CH65" s="72"/>
      <c r="CI65" s="72">
        <f>CI33/IS!CI4</f>
        <v>4.3275659196662569E-2</v>
      </c>
      <c r="CJ65" s="72">
        <f>CJ33/IS!CJ4</f>
        <v>4.6296778561941719E-2</v>
      </c>
      <c r="CK65" s="72">
        <f>CK33/IS!CK4</f>
        <v>4.0015639700401992E-2</v>
      </c>
      <c r="CL65" s="72">
        <f>CL33/IS!CL4</f>
        <v>3.6212677069985433E-2</v>
      </c>
      <c r="CM65" s="72"/>
      <c r="CN65" s="72">
        <f>CN33/IS!CN4</f>
        <v>3.166087392384425E-2</v>
      </c>
      <c r="CO65" s="72">
        <f>CO33/IS!CO4</f>
        <v>2.9226254002134473E-2</v>
      </c>
      <c r="CP65" s="72">
        <f>CP33/IS!CP4</f>
        <v>2.7118965371977419E-2</v>
      </c>
      <c r="CQ65" s="72">
        <f>CQ33/IS!CQ4</f>
        <v>2.7448456283869362E-2</v>
      </c>
      <c r="CR65" s="72"/>
      <c r="CS65" s="72">
        <f>CS33/IS!CS4</f>
        <v>2.7451361053717378E-2</v>
      </c>
      <c r="CT65" s="72">
        <f>CT33/IS!CT4</f>
        <v>2.6747770547022258E-2</v>
      </c>
      <c r="CU65" s="72">
        <f>CU33/IS!CU4</f>
        <v>2.5868387685933632E-2</v>
      </c>
      <c r="CV65" s="72">
        <f>CV33/IS!CV4</f>
        <v>2.542712766010647E-2</v>
      </c>
      <c r="CW65" s="72"/>
    </row>
    <row r="67" spans="3:101">
      <c r="Q67" s="85"/>
      <c r="CM67" s="609">
        <f>CF!CM39</f>
        <v>137352</v>
      </c>
      <c r="CR67" s="609">
        <f>CF!CR39</f>
        <v>152266</v>
      </c>
      <c r="CW67" s="609">
        <f>CF!CW39</f>
        <v>245206.0490778322</v>
      </c>
    </row>
    <row r="68" spans="3:101">
      <c r="Q68" s="86"/>
    </row>
  </sheetData>
  <phoneticPr fontId="8" type="noConversion"/>
  <pageMargins left="0.75" right="0.75" top="1" bottom="1" header="0.5" footer="0.5"/>
  <pageSetup orientation="portrait" r:id="rId1"/>
  <headerFooter alignWithMargins="0"/>
  <ignoredErrors>
    <ignoredError sqref="BS11:CG11 CH42 BS16:CG16 BS14:BY14 CC14 BS12:BY12 CC12 BS13:BY13 CC13 BS15:BY15 CC15 BS18:CG23 BS17:BY17 CC17 BS27:CG27 BS24:BY24 CC24 BS25:BY25 CC25 BS26:BY26 CC26 BS30:CG32 BS28:BY28 CC28 BS29:BY29 CC29 BS35:CG35 BS33:BY33 CC33 BS34:BY34 CC34 BS40:CG42 BS38:BY38 CC38 BS37:CG37 BS36:CD36 CF36:CG36 BS39:CF39"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2:CW71"/>
  <sheetViews>
    <sheetView showGridLines="0" zoomScaleNormal="100" workbookViewId="0">
      <pane xSplit="3" ySplit="4" topLeftCell="CS5" activePane="bottomRight" state="frozen"/>
      <selection pane="topRight" activeCell="D1" sqref="D1"/>
      <selection pane="bottomLeft" activeCell="A5" sqref="A5"/>
      <selection pane="bottomRight" activeCell="CS9" sqref="CS9"/>
    </sheetView>
  </sheetViews>
  <sheetFormatPr defaultRowHeight="12.75" outlineLevelCol="1"/>
  <cols>
    <col min="1" max="1" width="4" customWidth="1"/>
    <col min="2" max="2" width="3.73046875" customWidth="1"/>
    <col min="3" max="3" width="43" customWidth="1"/>
    <col min="4" max="5" width="9.19921875" hidden="1" customWidth="1" outlineLevel="1"/>
    <col min="6" max="6" width="9.796875" hidden="1" customWidth="1" outlineLevel="1"/>
    <col min="7" max="46" width="9.19921875" hidden="1" customWidth="1" outlineLevel="1"/>
    <col min="47" max="50" width="8.73046875" hidden="1" customWidth="1" outlineLevel="1"/>
    <col min="51" max="51" width="9.19921875" hidden="1" customWidth="1" outlineLevel="1"/>
    <col min="52" max="55" width="8.73046875" hidden="1" customWidth="1" outlineLevel="1"/>
    <col min="56" max="56" width="9.19921875" customWidth="1" collapsed="1"/>
    <col min="57" max="60" width="9.19921875" hidden="1" customWidth="1" outlineLevel="1"/>
    <col min="61" max="61" width="9.19921875" customWidth="1" collapsed="1"/>
    <col min="62" max="65" width="9.19921875" customWidth="1" outlineLevel="1"/>
    <col min="66" max="66" width="9.19921875" customWidth="1"/>
    <col min="67" max="70" width="9.19921875" hidden="1" customWidth="1" outlineLevel="1"/>
    <col min="71" max="71" width="9.19921875" collapsed="1"/>
    <col min="72" max="75" width="9.19921875" hidden="1" customWidth="1" outlineLevel="1"/>
    <col min="76" max="76" width="9.265625" bestFit="1" customWidth="1" collapsed="1"/>
    <col min="77" max="80" width="9.19921875" hidden="1" customWidth="1" outlineLevel="1"/>
    <col min="81" max="81" width="9.265625" bestFit="1" customWidth="1" collapsed="1"/>
    <col min="82" max="85" width="9.19921875" hidden="1" customWidth="1" outlineLevel="1"/>
    <col min="86" max="86" width="9.265625" bestFit="1" customWidth="1" collapsed="1"/>
    <col min="87" max="89" width="9.19921875" outlineLevel="1"/>
    <col min="90" max="90" width="8.796875" customWidth="1" outlineLevel="1"/>
    <col min="91" max="91" width="9.265625" bestFit="1" customWidth="1"/>
    <col min="92" max="92" width="9.265625" bestFit="1" customWidth="1" outlineLevel="1"/>
    <col min="93" max="93" width="9.19921875" outlineLevel="1"/>
    <col min="94" max="94" width="8.73046875" outlineLevel="1"/>
    <col min="95" max="95" width="8.796875" customWidth="1" outlineLevel="1"/>
    <col min="96" max="96" width="9.265625" bestFit="1" customWidth="1"/>
    <col min="97" max="100" width="8.73046875" outlineLevel="1"/>
  </cols>
  <sheetData>
    <row r="2" spans="2:101">
      <c r="BY2" s="85"/>
      <c r="BZ2" s="85"/>
      <c r="CA2" s="85"/>
      <c r="CD2" s="85"/>
      <c r="CE2" s="85"/>
      <c r="CF2" s="85"/>
      <c r="CK2" s="85"/>
      <c r="CL2" s="85"/>
      <c r="CO2" s="85">
        <f>+CO29-CJ29</f>
        <v>2881</v>
      </c>
      <c r="CP2" s="85">
        <f>+CP29-CK29</f>
        <v>7283</v>
      </c>
      <c r="CQ2" s="85">
        <f>+CQ29-CL29</f>
        <v>5309</v>
      </c>
    </row>
    <row r="3" spans="2:101" ht="13.15" thickBot="1">
      <c r="BP3" s="85">
        <f>BP29-BK29</f>
        <v>2667</v>
      </c>
      <c r="BZ3" s="85"/>
      <c r="CB3" s="85"/>
      <c r="CD3" s="85"/>
      <c r="CE3" s="85"/>
    </row>
    <row r="4" spans="2:101" ht="13.5" thickBot="1">
      <c r="B4" s="631" t="s">
        <v>68</v>
      </c>
      <c r="C4" s="621"/>
      <c r="D4" s="621">
        <f>IS!D3</f>
        <v>2005</v>
      </c>
      <c r="E4" s="621">
        <f>IS!E3</f>
        <v>2006</v>
      </c>
      <c r="F4" s="621">
        <f>IS!F3</f>
        <v>2007</v>
      </c>
      <c r="G4" s="630" t="str">
        <f>IS!G3</f>
        <v>1Q08</v>
      </c>
      <c r="H4" s="622" t="str">
        <f>IS!H3</f>
        <v>2Q08</v>
      </c>
      <c r="I4" s="622" t="str">
        <f>IS!I3</f>
        <v>2Q08</v>
      </c>
      <c r="J4" s="629" t="str">
        <f>IS!J3</f>
        <v>4Q08</v>
      </c>
      <c r="K4" s="621">
        <f>IS!K3</f>
        <v>2008</v>
      </c>
      <c r="L4" s="630" t="str">
        <f>IS!L3</f>
        <v>1Q09</v>
      </c>
      <c r="M4" s="622" t="str">
        <f>IS!M3</f>
        <v>2Q09</v>
      </c>
      <c r="N4" s="622" t="str">
        <f>IS!N3</f>
        <v>2Q09</v>
      </c>
      <c r="O4" s="629" t="str">
        <f>IS!O3</f>
        <v>4Q09</v>
      </c>
      <c r="P4" s="621">
        <f>IS!P3</f>
        <v>2009</v>
      </c>
      <c r="Q4" s="630" t="str">
        <f>IS!Q3</f>
        <v>1QA10</v>
      </c>
      <c r="R4" s="622" t="str">
        <f>IS!R3</f>
        <v>2QA10</v>
      </c>
      <c r="S4" s="622" t="str">
        <f>IS!S3</f>
        <v>3Q10</v>
      </c>
      <c r="T4" s="629" t="str">
        <f>IS!T3</f>
        <v>4Q10</v>
      </c>
      <c r="U4" s="621">
        <f>IS!U3</f>
        <v>2010</v>
      </c>
      <c r="V4" s="630" t="str">
        <f>IS!V3</f>
        <v>1Q11</v>
      </c>
      <c r="W4" s="622" t="str">
        <f>IS!W3</f>
        <v>2Q11</v>
      </c>
      <c r="X4" s="622" t="str">
        <f>IS!X3</f>
        <v>3Q11</v>
      </c>
      <c r="Y4" s="629" t="str">
        <f>IS!Y3</f>
        <v>4Q11</v>
      </c>
      <c r="Z4" s="621">
        <f>IS!Z3</f>
        <v>2011</v>
      </c>
      <c r="AA4" s="630" t="str">
        <f>IS!AA3</f>
        <v>1Q12</v>
      </c>
      <c r="AB4" s="622" t="str">
        <f>IS!AB3</f>
        <v>2Q12</v>
      </c>
      <c r="AC4" s="622" t="str">
        <f>IS!AC3</f>
        <v>3Q12</v>
      </c>
      <c r="AD4" s="629" t="str">
        <f>IS!AD3</f>
        <v>4Q12</v>
      </c>
      <c r="AE4" s="621">
        <f>IS!AE3</f>
        <v>2012</v>
      </c>
      <c r="AF4" s="630" t="str">
        <f>IS!AF3</f>
        <v>1Q13</v>
      </c>
      <c r="AG4" s="622" t="str">
        <f>IS!AG3</f>
        <v>2Q13</v>
      </c>
      <c r="AH4" s="622" t="str">
        <f>IS!AH3</f>
        <v>3Q13</v>
      </c>
      <c r="AI4" s="629" t="str">
        <f>IS!AI3</f>
        <v>4Q13</v>
      </c>
      <c r="AJ4" s="621">
        <f>IS!AJ3</f>
        <v>2013</v>
      </c>
      <c r="AK4" s="630" t="str">
        <f>IS!AK3</f>
        <v>1Q14</v>
      </c>
      <c r="AL4" s="622" t="str">
        <f>IS!AL3</f>
        <v>2Q14</v>
      </c>
      <c r="AM4" s="622" t="str">
        <f>IS!AM3</f>
        <v>3Q14</v>
      </c>
      <c r="AN4" s="629" t="str">
        <f>IS!AN3</f>
        <v>4Q14</v>
      </c>
      <c r="AO4" s="621">
        <f>IS!AO3</f>
        <v>2014</v>
      </c>
      <c r="AP4" s="630" t="str">
        <f>IS!AP3</f>
        <v>1Q15</v>
      </c>
      <c r="AQ4" s="622" t="str">
        <f>IS!AQ3</f>
        <v>2Q15</v>
      </c>
      <c r="AR4" s="622" t="str">
        <f>IS!AR3</f>
        <v>3Q15</v>
      </c>
      <c r="AS4" s="629" t="str">
        <f>IS!AS3</f>
        <v>4Q15</v>
      </c>
      <c r="AT4" s="630">
        <f>IS!AT3</f>
        <v>2015</v>
      </c>
      <c r="AU4" s="630" t="str">
        <f>IS!AU3</f>
        <v>1Q16</v>
      </c>
      <c r="AV4" s="622" t="str">
        <f>IS!AV3</f>
        <v>2Q16</v>
      </c>
      <c r="AW4" s="622" t="str">
        <f>IS!AW3</f>
        <v>3Q16</v>
      </c>
      <c r="AX4" s="632" t="str">
        <f>IS!AX3</f>
        <v>4Q16</v>
      </c>
      <c r="AY4" s="623">
        <f>IS!AY3</f>
        <v>2016</v>
      </c>
      <c r="AZ4" s="630" t="str">
        <f>IS!AZ3</f>
        <v>1Q17</v>
      </c>
      <c r="BA4" s="622" t="str">
        <f>IS!BA3</f>
        <v>2Q17</v>
      </c>
      <c r="BB4" s="622" t="str">
        <f>IS!BB3</f>
        <v>3Q17</v>
      </c>
      <c r="BC4" s="629" t="str">
        <f>IS!BC3</f>
        <v>4Q17</v>
      </c>
      <c r="BD4" s="629">
        <f>IS!BD3</f>
        <v>2017</v>
      </c>
      <c r="BE4" s="630" t="str">
        <f>IS!BE3</f>
        <v>1Q18</v>
      </c>
      <c r="BF4" s="622" t="str">
        <f>IS!BF3</f>
        <v>2Q18</v>
      </c>
      <c r="BG4" s="622" t="str">
        <f>IS!BG3</f>
        <v>3Q18</v>
      </c>
      <c r="BH4" s="629" t="str">
        <f>IS!BH3</f>
        <v>4Q18</v>
      </c>
      <c r="BI4" s="629">
        <f>IS!BI3</f>
        <v>2018</v>
      </c>
      <c r="BJ4" s="630" t="str">
        <f>IS!BJ3</f>
        <v>1Q19</v>
      </c>
      <c r="BK4" s="622" t="str">
        <f>IS!BK3</f>
        <v>2Q19</v>
      </c>
      <c r="BL4" s="622" t="str">
        <f>IS!BL3</f>
        <v>3Q19</v>
      </c>
      <c r="BM4" s="629" t="str">
        <f>IS!BM3</f>
        <v>4Q19</v>
      </c>
      <c r="BN4" s="629">
        <f>IS!BN3</f>
        <v>2019</v>
      </c>
      <c r="BO4" s="630" t="str">
        <f>IS!BO3</f>
        <v>1Q20</v>
      </c>
      <c r="BP4" s="622" t="str">
        <f>IS!BP3</f>
        <v>2Q20</v>
      </c>
      <c r="BQ4" s="622" t="str">
        <f>IS!BQ3</f>
        <v>3Q20</v>
      </c>
      <c r="BR4" s="629" t="str">
        <f>IS!BR3</f>
        <v>4Q20</v>
      </c>
      <c r="BS4" s="629">
        <f>IS!BS3</f>
        <v>2020</v>
      </c>
      <c r="BT4" s="630" t="str">
        <f>IS!BT3</f>
        <v>1Q21</v>
      </c>
      <c r="BU4" s="622" t="str">
        <f>IS!BU3</f>
        <v>2Q21</v>
      </c>
      <c r="BV4" s="622" t="str">
        <f>IS!BV3</f>
        <v>3Q21</v>
      </c>
      <c r="BW4" s="629" t="str">
        <f>IS!BW3</f>
        <v>4Q21</v>
      </c>
      <c r="BX4" s="629">
        <f>IS!BX3</f>
        <v>2021</v>
      </c>
      <c r="BY4" s="630" t="str">
        <f>IS!BY3</f>
        <v>1Q22</v>
      </c>
      <c r="BZ4" s="622" t="str">
        <f>IS!BZ3</f>
        <v>2Q22</v>
      </c>
      <c r="CA4" s="622" t="str">
        <f>IS!CA3</f>
        <v>3Q22</v>
      </c>
      <c r="CB4" s="629" t="str">
        <f>IS!CB3</f>
        <v>4Q22</v>
      </c>
      <c r="CC4" s="629">
        <f>IS!CC3</f>
        <v>2022</v>
      </c>
      <c r="CD4" s="630" t="str">
        <f>IS!CD3</f>
        <v>1Q23</v>
      </c>
      <c r="CE4" s="622" t="str">
        <f>IS!CE3</f>
        <v>2Q23</v>
      </c>
      <c r="CF4" s="622" t="str">
        <f>IS!CF3</f>
        <v>3Q23</v>
      </c>
      <c r="CG4" s="629" t="str">
        <f>IS!CG3</f>
        <v>4Q23</v>
      </c>
      <c r="CH4" s="629">
        <f>IS!CH3</f>
        <v>2023</v>
      </c>
      <c r="CI4" s="630" t="str">
        <f>IS!CI3</f>
        <v>1Q24</v>
      </c>
      <c r="CJ4" s="622" t="str">
        <f>IS!CJ3</f>
        <v>2Q24</v>
      </c>
      <c r="CK4" s="622" t="str">
        <f>IS!CK3</f>
        <v>3Q24</v>
      </c>
      <c r="CL4" s="629" t="str">
        <f>IS!CL3</f>
        <v>4Q24</v>
      </c>
      <c r="CM4" s="629">
        <f>IS!CM3</f>
        <v>2024</v>
      </c>
      <c r="CN4" s="630" t="str">
        <f>IS!CN3</f>
        <v>1Q25</v>
      </c>
      <c r="CO4" s="622" t="str">
        <f>IS!CO3</f>
        <v>2Q25</v>
      </c>
      <c r="CP4" s="622" t="str">
        <f>IS!CP3</f>
        <v>3Q25</v>
      </c>
      <c r="CQ4" s="629" t="str">
        <f>IS!CQ3</f>
        <v>4Q25</v>
      </c>
      <c r="CR4" s="629">
        <f>IS!CR3</f>
        <v>2025</v>
      </c>
      <c r="CS4" s="630" t="str">
        <f>IS!CS3</f>
        <v>1Q26E</v>
      </c>
      <c r="CT4" s="622" t="str">
        <f>IS!CT3</f>
        <v>2Q26E</v>
      </c>
      <c r="CU4" s="622" t="str">
        <f>IS!CU3</f>
        <v>3Q26E</v>
      </c>
      <c r="CV4" s="629" t="str">
        <f>IS!CV3</f>
        <v>4Q26E</v>
      </c>
      <c r="CW4" s="629" t="str">
        <f>IS!CW3</f>
        <v>2026E</v>
      </c>
    </row>
    <row r="5" spans="2:101" ht="13.15">
      <c r="B5" s="15" t="s">
        <v>69</v>
      </c>
      <c r="C5" s="30"/>
      <c r="D5" s="38"/>
      <c r="E5" s="38"/>
      <c r="F5" s="43"/>
      <c r="G5" s="43"/>
      <c r="H5" s="30"/>
      <c r="I5" s="30"/>
      <c r="J5" s="54"/>
      <c r="K5" s="43"/>
      <c r="L5" s="43"/>
      <c r="M5" s="30"/>
      <c r="N5" s="30"/>
      <c r="O5" s="54"/>
      <c r="P5" s="38"/>
      <c r="Q5" s="43"/>
      <c r="R5" s="30"/>
      <c r="S5" s="30"/>
      <c r="T5" s="54"/>
      <c r="U5" s="38"/>
      <c r="V5" s="43"/>
      <c r="W5" s="30"/>
      <c r="X5" s="30"/>
      <c r="Y5" s="54"/>
      <c r="Z5" s="38"/>
      <c r="AA5" s="43"/>
      <c r="AB5" s="30"/>
      <c r="AC5" s="30"/>
      <c r="AD5" s="54"/>
      <c r="AE5" s="38"/>
      <c r="AF5" s="43"/>
      <c r="AG5" s="30"/>
      <c r="AH5" s="30"/>
      <c r="AI5" s="54"/>
      <c r="AJ5" s="38"/>
      <c r="AK5" s="43"/>
      <c r="AL5" s="30"/>
      <c r="AM5" s="30"/>
      <c r="AN5" s="54"/>
      <c r="AO5" s="38"/>
      <c r="AP5" s="43"/>
      <c r="AQ5" s="30"/>
      <c r="AR5" s="30"/>
      <c r="AS5" s="54"/>
      <c r="AT5" s="38"/>
      <c r="AU5" s="24"/>
      <c r="AV5" s="254"/>
      <c r="AW5" s="254"/>
      <c r="AY5" s="351"/>
      <c r="AZ5" s="24"/>
      <c r="BC5" s="382"/>
      <c r="BD5" s="38"/>
      <c r="BE5" s="24"/>
      <c r="BH5" s="168"/>
      <c r="BI5" s="38"/>
      <c r="BJ5" s="24"/>
      <c r="BM5" s="168"/>
      <c r="BN5" s="38"/>
      <c r="BO5" s="24"/>
      <c r="BR5" s="168"/>
      <c r="BS5" s="38"/>
      <c r="BT5" s="24"/>
      <c r="BW5" s="168"/>
      <c r="BX5" s="38"/>
      <c r="BY5" s="24"/>
      <c r="CB5" s="168"/>
      <c r="CC5" s="38"/>
      <c r="CD5" s="24"/>
      <c r="CG5" s="168"/>
      <c r="CH5" s="38"/>
      <c r="CI5" s="24"/>
      <c r="CL5" s="168"/>
      <c r="CM5" s="38"/>
      <c r="CN5" s="24"/>
      <c r="CQ5" s="168"/>
      <c r="CR5" s="38"/>
      <c r="CS5" s="24"/>
      <c r="CV5" s="168"/>
      <c r="CW5" s="38"/>
    </row>
    <row r="6" spans="2:101">
      <c r="B6" s="24"/>
      <c r="C6" t="s">
        <v>70</v>
      </c>
      <c r="D6" s="32"/>
      <c r="E6" s="32"/>
      <c r="F6" s="56">
        <v>-2156</v>
      </c>
      <c r="G6" s="56"/>
      <c r="H6" s="45"/>
      <c r="I6" s="45"/>
      <c r="J6" s="57"/>
      <c r="K6" s="56">
        <v>-1895</v>
      </c>
      <c r="L6" s="56">
        <f>IS!L64</f>
        <v>-54</v>
      </c>
      <c r="M6" s="45"/>
      <c r="N6" s="45"/>
      <c r="O6" s="57"/>
      <c r="P6" s="50">
        <v>1162</v>
      </c>
      <c r="Q6" s="56">
        <f>IS!Q64</f>
        <v>919</v>
      </c>
      <c r="R6" s="45">
        <f>IS!R64</f>
        <v>638</v>
      </c>
      <c r="S6" s="45">
        <f>IS!S64</f>
        <v>886</v>
      </c>
      <c r="T6" s="57">
        <f>U6-SUM(Q6:S6)</f>
        <v>441</v>
      </c>
      <c r="U6" s="50">
        <v>2884</v>
      </c>
      <c r="V6" s="56">
        <f>IS!V64</f>
        <v>492</v>
      </c>
      <c r="W6" s="45">
        <f>IS!W64</f>
        <v>-109</v>
      </c>
      <c r="X6" s="45">
        <f>IS!X64</f>
        <v>177</v>
      </c>
      <c r="Y6" s="57">
        <f>IS!Y64</f>
        <v>13143</v>
      </c>
      <c r="Z6" s="50">
        <f>SUM(V6:Y6)</f>
        <v>13703</v>
      </c>
      <c r="AA6" s="45">
        <f>IS!AA64</f>
        <v>256</v>
      </c>
      <c r="AB6" s="45">
        <f>IS!AB64</f>
        <v>426</v>
      </c>
      <c r="AC6" s="45">
        <f>IS!AC64</f>
        <v>174</v>
      </c>
      <c r="AD6" s="57">
        <f>IS!AD64</f>
        <v>366</v>
      </c>
      <c r="AE6" s="50">
        <f>SUM(AA6:AD6)</f>
        <v>1222</v>
      </c>
      <c r="AF6" s="45">
        <f>IS!AF64</f>
        <v>199</v>
      </c>
      <c r="AG6" s="45">
        <f>IS!AG64</f>
        <v>288</v>
      </c>
      <c r="AH6" s="45">
        <f>IS!AH64</f>
        <v>270</v>
      </c>
      <c r="AI6" s="57">
        <f>IS!AI64</f>
        <v>294</v>
      </c>
      <c r="AJ6" s="50">
        <f>SUM(AF6:AI6)</f>
        <v>1051</v>
      </c>
      <c r="AK6" s="45">
        <f>IS!AK64</f>
        <v>373</v>
      </c>
      <c r="AL6" s="45">
        <f>IS!AL64</f>
        <v>639</v>
      </c>
      <c r="AM6" s="45">
        <f>IS!AM64</f>
        <v>838</v>
      </c>
      <c r="AN6" s="114">
        <f>IS!AN64</f>
        <v>854</v>
      </c>
      <c r="AO6" s="50">
        <f>SUM(AK6:AN6)</f>
        <v>2704</v>
      </c>
      <c r="AP6" s="45">
        <f>IS!AP64</f>
        <v>586</v>
      </c>
      <c r="AQ6" s="76">
        <f>IS!AQ64</f>
        <v>651</v>
      </c>
      <c r="AR6" s="76">
        <f>IS!AR64</f>
        <v>1270</v>
      </c>
      <c r="AS6" s="114">
        <f>IS!AS64</f>
        <v>2132</v>
      </c>
      <c r="AT6" s="50">
        <f>SUM(AP6:AS6)</f>
        <v>4639</v>
      </c>
      <c r="AU6" s="76">
        <f>IS!AU64</f>
        <v>1044</v>
      </c>
      <c r="AV6" s="253">
        <f>IS!AV64</f>
        <v>352</v>
      </c>
      <c r="AW6" s="253">
        <f>IS!AW64</f>
        <v>2509</v>
      </c>
      <c r="AX6" s="45">
        <f>IS!AX64</f>
        <v>1805</v>
      </c>
      <c r="AY6" s="50">
        <f>SUM(AU6:AX6)</f>
        <v>5710</v>
      </c>
      <c r="AZ6" s="253">
        <f>IS!AZ64</f>
        <v>2971</v>
      </c>
      <c r="BA6" s="253">
        <f>IS!BA64</f>
        <v>1825</v>
      </c>
      <c r="BB6" s="253">
        <f>IS!BB64</f>
        <v>1864</v>
      </c>
      <c r="BC6" s="360">
        <f>IS!BC64</f>
        <v>-9101</v>
      </c>
      <c r="BD6" s="359">
        <f>SUM(AZ6:BC6)</f>
        <v>-2441</v>
      </c>
      <c r="BE6" s="253">
        <f>IS!BE64</f>
        <v>3254</v>
      </c>
      <c r="BF6" s="45">
        <f>IS!BF64</f>
        <v>5416</v>
      </c>
      <c r="BG6" s="45">
        <f>IS!BG64</f>
        <v>8061</v>
      </c>
      <c r="BH6" s="57">
        <f>23872-BG6-BF6-BE6</f>
        <v>7141</v>
      </c>
      <c r="BI6" s="50">
        <f>SUM(BE6:BH6)</f>
        <v>23872</v>
      </c>
      <c r="BJ6" s="45">
        <f>IS!BJ64</f>
        <v>6813</v>
      </c>
      <c r="BK6" s="45">
        <f>IS!BK64</f>
        <v>8796</v>
      </c>
      <c r="BL6" s="45">
        <f>IS!BL64</f>
        <v>8941</v>
      </c>
      <c r="BM6" s="57">
        <f>IS!BM64</f>
        <v>9162</v>
      </c>
      <c r="BN6" s="50">
        <f>SUM(BJ6:BM6)</f>
        <v>33712</v>
      </c>
      <c r="BO6" s="45">
        <f>9515</f>
        <v>9515</v>
      </c>
      <c r="BP6" s="45">
        <f>20709-BO6</f>
        <v>11194</v>
      </c>
      <c r="BQ6" s="45">
        <f>32116-BP6-BO6</f>
        <v>11407</v>
      </c>
      <c r="BR6" s="57">
        <f>IS!BR64</f>
        <v>13470</v>
      </c>
      <c r="BS6" s="50">
        <f>SUM(BO6:BR6)</f>
        <v>45586</v>
      </c>
      <c r="BT6" s="45">
        <f>IS!BT64</f>
        <v>10200</v>
      </c>
      <c r="BU6" s="45">
        <f>IS!BU64</f>
        <v>10183</v>
      </c>
      <c r="BV6" s="45">
        <v>11449</v>
      </c>
      <c r="BW6" s="57">
        <f>IS!BW64</f>
        <v>12765</v>
      </c>
      <c r="BX6" s="50">
        <f>SUM(BT6:BW6)</f>
        <v>44597</v>
      </c>
      <c r="BY6" s="45">
        <f>IS!BY64</f>
        <v>12603</v>
      </c>
      <c r="BZ6" s="45">
        <f>IS!BZ64</f>
        <v>10753</v>
      </c>
      <c r="CA6" s="45">
        <f>IS!CA64</f>
        <v>15863</v>
      </c>
      <c r="CB6" s="57">
        <v>15915</v>
      </c>
      <c r="CC6" s="50">
        <f>SUM(BY6:CB6)</f>
        <v>55134</v>
      </c>
      <c r="CD6" s="45">
        <f>IS!CD64</f>
        <v>15289</v>
      </c>
      <c r="CE6" s="45">
        <f>IS!CE64</f>
        <v>14682</v>
      </c>
      <c r="CF6" s="45">
        <f>IS!CF64</f>
        <v>16842</v>
      </c>
      <c r="CG6" s="57">
        <f>65824-CF6-CE6-CD6</f>
        <v>19011</v>
      </c>
      <c r="CH6" s="50">
        <f>SUM(CD6:CG6)</f>
        <v>65824</v>
      </c>
      <c r="CI6" s="45">
        <v>18003</v>
      </c>
      <c r="CJ6" s="45">
        <v>18032</v>
      </c>
      <c r="CK6" s="45">
        <f>IS!CK64</f>
        <v>23460</v>
      </c>
      <c r="CL6" s="57">
        <f>CM6-SUM(CI6:CK6)</f>
        <v>17559</v>
      </c>
      <c r="CM6" s="50">
        <v>77054</v>
      </c>
      <c r="CN6" s="45">
        <v>22196</v>
      </c>
      <c r="CO6" s="45">
        <f>IS!CO64</f>
        <v>19733</v>
      </c>
      <c r="CP6" s="45">
        <f>67498-CO6-CN6</f>
        <v>25569</v>
      </c>
      <c r="CQ6" s="57">
        <f>CR6-SUM(CN6:CP6)</f>
        <v>25841</v>
      </c>
      <c r="CR6" s="50">
        <v>93339</v>
      </c>
      <c r="CS6" s="45">
        <f>IS!CS64</f>
        <v>18312.375140500011</v>
      </c>
      <c r="CT6" s="45">
        <f>IS!CT64</f>
        <v>23587.842096000008</v>
      </c>
      <c r="CU6" s="45">
        <f>IS!CU64</f>
        <v>27001.28808608</v>
      </c>
      <c r="CV6" s="57">
        <f>IS!CV64</f>
        <v>28766.077535999997</v>
      </c>
      <c r="CW6" s="50">
        <f>SUM(CS6:CV6)</f>
        <v>97667.582858580019</v>
      </c>
    </row>
    <row r="7" spans="2:101">
      <c r="B7" s="24"/>
      <c r="C7" s="4" t="s">
        <v>140</v>
      </c>
      <c r="D7" s="32"/>
      <c r="E7" s="32"/>
      <c r="F7" s="56"/>
      <c r="G7" s="56"/>
      <c r="H7" s="45"/>
      <c r="I7" s="45"/>
      <c r="J7" s="57"/>
      <c r="K7" s="56"/>
      <c r="L7" s="56"/>
      <c r="M7" s="45"/>
      <c r="N7" s="45"/>
      <c r="O7" s="57"/>
      <c r="P7" s="50"/>
      <c r="Q7" s="56"/>
      <c r="R7" s="45"/>
      <c r="S7" s="45"/>
      <c r="T7" s="57"/>
      <c r="U7" s="50"/>
      <c r="V7" s="56"/>
      <c r="W7" s="45"/>
      <c r="X7" s="45"/>
      <c r="Y7" s="57">
        <v>-12708</v>
      </c>
      <c r="Z7" s="50">
        <f>SUM(V7:Y7)</f>
        <v>-12708</v>
      </c>
      <c r="AA7" s="45">
        <v>142</v>
      </c>
      <c r="AB7" s="45">
        <v>222</v>
      </c>
      <c r="AC7" s="45">
        <f>220-AB7-AA7</f>
        <v>-144</v>
      </c>
      <c r="AD7" s="57">
        <f>-15-AC7-AB7-AA7</f>
        <v>-235</v>
      </c>
      <c r="AE7" s="50">
        <f t="shared" ref="AE7:AE28" si="0">SUM(AA7:AD7)</f>
        <v>-15</v>
      </c>
      <c r="AF7" s="45">
        <v>-72</v>
      </c>
      <c r="AG7" s="45">
        <f>31-AF7</f>
        <v>103</v>
      </c>
      <c r="AH7" s="76">
        <f>155-AG7-AF7</f>
        <v>124</v>
      </c>
      <c r="AI7" s="114">
        <f>443-AH7-AG7-AF7</f>
        <v>288</v>
      </c>
      <c r="AJ7" s="50">
        <f>SUM(AF7:AI7)</f>
        <v>443</v>
      </c>
      <c r="AK7" s="76">
        <v>173</v>
      </c>
      <c r="AL7" s="76">
        <f>576-AK7</f>
        <v>403</v>
      </c>
      <c r="AM7" s="76">
        <f>1065-AL7-AK7</f>
        <v>489</v>
      </c>
      <c r="AN7" s="114">
        <v>-34</v>
      </c>
      <c r="AO7" s="50">
        <f>SUM(AK7:AN7)</f>
        <v>1031</v>
      </c>
      <c r="AP7" s="45">
        <v>-51</v>
      </c>
      <c r="AQ7" s="76">
        <f>155-AP7</f>
        <v>206</v>
      </c>
      <c r="AR7" s="76">
        <f>277-AQ7-AP7</f>
        <v>122</v>
      </c>
      <c r="AS7" s="114">
        <f>-38-AR7-AQ7-AP7</f>
        <v>-315</v>
      </c>
      <c r="AT7" s="50">
        <f>SUM(AP7:AS7)</f>
        <v>-38</v>
      </c>
      <c r="AU7" s="76">
        <v>-302</v>
      </c>
      <c r="AV7" s="253">
        <f>-439-AU7</f>
        <v>-137</v>
      </c>
      <c r="AW7" s="253">
        <f>-818-AV7-AU7</f>
        <v>-379</v>
      </c>
      <c r="AX7" s="253">
        <f>-1698-AW7-AV7-AU7</f>
        <v>-880</v>
      </c>
      <c r="AY7" s="50">
        <f>SUM(AU7:AX7)</f>
        <v>-1698</v>
      </c>
      <c r="AZ7" s="253">
        <v>310</v>
      </c>
      <c r="BA7" s="253">
        <f>1236-AZ7</f>
        <v>926</v>
      </c>
      <c r="BB7" s="253">
        <f>1968-BA7-AZ7</f>
        <v>732</v>
      </c>
      <c r="BC7" s="360">
        <f>10854-BB7-BA7-AZ7</f>
        <v>8886</v>
      </c>
      <c r="BD7" s="359">
        <f t="shared" ref="BD7:BD13" si="1">SUM(AZ7:BC7)</f>
        <v>10854</v>
      </c>
      <c r="BE7" s="253">
        <v>1020</v>
      </c>
      <c r="BF7" s="45">
        <f>1498-BE7</f>
        <v>478</v>
      </c>
      <c r="BG7" s="45">
        <f>1934-BF7-BE7</f>
        <v>436</v>
      </c>
      <c r="BH7" s="57">
        <f>2798-BG7-BF7-BE7</f>
        <v>864</v>
      </c>
      <c r="BI7" s="50">
        <f t="shared" ref="BI7:BI13" si="2">SUM(BE7:BH7)</f>
        <v>2798</v>
      </c>
      <c r="BJ7" s="45">
        <v>838</v>
      </c>
      <c r="BK7" s="45">
        <f>2634-BJ7</f>
        <v>1796</v>
      </c>
      <c r="BL7" s="45">
        <f>5360-BK7-BJ7</f>
        <v>2726</v>
      </c>
      <c r="BM7" s="57">
        <v>2221</v>
      </c>
      <c r="BN7" s="50">
        <f t="shared" ref="BN7:BN28" si="3">SUM(BJ7:BM7)</f>
        <v>7581</v>
      </c>
      <c r="BO7" s="45">
        <v>668</v>
      </c>
      <c r="BP7" s="45">
        <f>1443-BO7</f>
        <v>775</v>
      </c>
      <c r="BQ7" s="45">
        <f>4324-BP7-BO7</f>
        <v>2881</v>
      </c>
      <c r="BR7" s="57">
        <f>4241-BQ7-BP7-BO7</f>
        <v>-83</v>
      </c>
      <c r="BS7" s="50">
        <f t="shared" ref="BS7:BS16" si="4">SUM(BO7:BR7)</f>
        <v>4241</v>
      </c>
      <c r="BT7" s="45">
        <v>163</v>
      </c>
      <c r="BU7" s="45">
        <v>188</v>
      </c>
      <c r="BV7" s="45">
        <v>662</v>
      </c>
      <c r="BW7" s="57">
        <f>3881-BV7-BU7-BT7</f>
        <v>2868</v>
      </c>
      <c r="BX7" s="50">
        <f t="shared" ref="BX7" si="5">SUM(BT7:BW7)</f>
        <v>3881</v>
      </c>
      <c r="BY7" s="45">
        <v>-269</v>
      </c>
      <c r="BZ7" s="45">
        <v>-1891</v>
      </c>
      <c r="CA7" s="45">
        <f>+-2092-BZ7-BY7</f>
        <v>68</v>
      </c>
      <c r="CB7" s="57">
        <v>-1640</v>
      </c>
      <c r="CC7" s="50">
        <f t="shared" ref="CC7" si="6">SUM(BY7:CB7)</f>
        <v>-3732</v>
      </c>
      <c r="CD7" s="45">
        <v>-5147</v>
      </c>
      <c r="CE7" s="45">
        <v>-3507</v>
      </c>
      <c r="CF7" s="45">
        <v>-3252</v>
      </c>
      <c r="CG7" s="57">
        <f>-10079-CF7-CE7-CD7</f>
        <v>1827</v>
      </c>
      <c r="CH7" s="50">
        <f t="shared" ref="CH7" si="7">SUM(CD7:CG7)</f>
        <v>-10079</v>
      </c>
      <c r="CI7" s="45">
        <v>-7070</v>
      </c>
      <c r="CJ7" s="45">
        <v>-1102</v>
      </c>
      <c r="CK7" s="45">
        <v>-1746</v>
      </c>
      <c r="CL7" s="57">
        <f t="shared" ref="CL7:CL28" si="8">CM7-SUM(CI7:CK7)</f>
        <v>132</v>
      </c>
      <c r="CM7" s="50">
        <v>-9786</v>
      </c>
      <c r="CN7" s="45">
        <v>-4418</v>
      </c>
      <c r="CO7" s="45">
        <v>-1496</v>
      </c>
      <c r="CP7" s="45">
        <f>12583-CO7-CN7</f>
        <v>18497</v>
      </c>
      <c r="CQ7" s="57">
        <f t="shared" ref="CQ7:CQ18" si="9">CR7-SUM(CN7:CP7)</f>
        <v>6326</v>
      </c>
      <c r="CR7" s="50">
        <v>18909</v>
      </c>
      <c r="CS7" s="45"/>
      <c r="CT7" s="45"/>
      <c r="CU7" s="45"/>
      <c r="CV7" s="57"/>
      <c r="CW7" s="50">
        <f t="shared" ref="CW7:CW8" si="10">SUM(CS7:CV7)</f>
        <v>0</v>
      </c>
    </row>
    <row r="8" spans="2:101">
      <c r="B8" s="24"/>
      <c r="C8" s="254" t="s">
        <v>355</v>
      </c>
      <c r="D8" s="32"/>
      <c r="E8" s="32"/>
      <c r="F8" s="56"/>
      <c r="G8" s="56"/>
      <c r="H8" s="45"/>
      <c r="I8" s="45"/>
      <c r="J8" s="57"/>
      <c r="K8" s="56"/>
      <c r="L8" s="56"/>
      <c r="M8" s="45"/>
      <c r="N8" s="45"/>
      <c r="O8" s="57"/>
      <c r="P8" s="50"/>
      <c r="Q8" s="56"/>
      <c r="R8" s="45"/>
      <c r="S8" s="45"/>
      <c r="T8" s="57"/>
      <c r="U8" s="50"/>
      <c r="V8" s="56"/>
      <c r="W8" s="45"/>
      <c r="X8" s="45"/>
      <c r="Y8" s="57"/>
      <c r="Z8" s="50"/>
      <c r="AA8" s="45"/>
      <c r="AB8" s="45"/>
      <c r="AC8" s="45"/>
      <c r="AD8" s="57"/>
      <c r="AE8" s="50"/>
      <c r="AF8" s="45"/>
      <c r="AG8" s="45"/>
      <c r="AH8" s="76"/>
      <c r="AI8" s="114"/>
      <c r="AJ8" s="50"/>
      <c r="AK8" s="76"/>
      <c r="AL8" s="76"/>
      <c r="AM8" s="76"/>
      <c r="AN8" s="76"/>
      <c r="AO8" s="50"/>
      <c r="AP8" s="45"/>
      <c r="AQ8" s="76"/>
      <c r="AR8" s="76"/>
      <c r="AS8" s="76"/>
      <c r="AT8" s="50"/>
      <c r="AU8" s="76"/>
      <c r="AV8" s="253"/>
      <c r="AW8" s="253"/>
      <c r="AX8" s="253"/>
      <c r="AY8" s="50"/>
      <c r="AZ8" s="253"/>
      <c r="BA8" s="253"/>
      <c r="BB8" s="253"/>
      <c r="BC8" s="253"/>
      <c r="BD8" s="359"/>
      <c r="BE8" s="253"/>
      <c r="BF8" s="45"/>
      <c r="BG8" s="45"/>
      <c r="BH8" s="45"/>
      <c r="BI8" s="50"/>
      <c r="BJ8" s="45"/>
      <c r="BK8" s="45">
        <f>-344-BJ8</f>
        <v>-344</v>
      </c>
      <c r="BL8" s="45">
        <f>-366-BK8-BJ8</f>
        <v>-22</v>
      </c>
      <c r="BM8" s="45">
        <v>-79</v>
      </c>
      <c r="BN8" s="50">
        <f t="shared" si="3"/>
        <v>-445</v>
      </c>
      <c r="BO8" s="45">
        <v>72</v>
      </c>
      <c r="BP8" s="45">
        <f>72-BO8</f>
        <v>0</v>
      </c>
      <c r="BQ8" s="45">
        <f>72-BP8-BO8</f>
        <v>0</v>
      </c>
      <c r="BR8" s="45">
        <f>-85-BO8</f>
        <v>-157</v>
      </c>
      <c r="BS8" s="50">
        <f t="shared" si="4"/>
        <v>-85</v>
      </c>
      <c r="BT8" s="45"/>
      <c r="BU8" s="45"/>
      <c r="BV8" s="45"/>
      <c r="BW8" s="45"/>
      <c r="BX8" s="50"/>
      <c r="BY8" s="45"/>
      <c r="BZ8" s="45"/>
      <c r="CA8" s="45"/>
      <c r="CB8" s="45"/>
      <c r="CC8" s="50"/>
      <c r="CD8" s="45"/>
      <c r="CE8" s="45"/>
      <c r="CF8" s="45"/>
      <c r="CG8" s="45"/>
      <c r="CH8" s="50"/>
      <c r="CI8" s="45"/>
      <c r="CJ8" s="45"/>
      <c r="CK8" s="45"/>
      <c r="CL8" s="57">
        <f t="shared" si="8"/>
        <v>0</v>
      </c>
      <c r="CM8" s="50"/>
      <c r="CN8" s="45"/>
      <c r="CO8" s="45"/>
      <c r="CP8" s="45"/>
      <c r="CQ8" s="57">
        <f t="shared" si="9"/>
        <v>0</v>
      </c>
      <c r="CR8" s="50"/>
      <c r="CS8" s="45"/>
      <c r="CT8" s="45"/>
      <c r="CU8" s="45"/>
      <c r="CV8" s="45"/>
      <c r="CW8" s="50">
        <f t="shared" si="10"/>
        <v>0</v>
      </c>
    </row>
    <row r="9" spans="2:101">
      <c r="B9" s="24"/>
      <c r="C9" t="s">
        <v>71</v>
      </c>
      <c r="D9" s="32"/>
      <c r="E9" s="32"/>
      <c r="F9" s="56">
        <v>1729</v>
      </c>
      <c r="G9" s="56">
        <v>505</v>
      </c>
      <c r="H9" s="45">
        <v>486</v>
      </c>
      <c r="I9" s="45">
        <v>494</v>
      </c>
      <c r="J9" s="57">
        <v>503</v>
      </c>
      <c r="K9" s="56">
        <v>1963</v>
      </c>
      <c r="L9" s="56">
        <v>442</v>
      </c>
      <c r="M9" s="45">
        <v>321</v>
      </c>
      <c r="N9" s="45">
        <v>326</v>
      </c>
      <c r="O9" s="57">
        <v>366</v>
      </c>
      <c r="P9" s="50">
        <v>1445</v>
      </c>
      <c r="Q9" s="56">
        <v>340</v>
      </c>
      <c r="R9" s="45">
        <v>403</v>
      </c>
      <c r="S9" s="45">
        <v>405</v>
      </c>
      <c r="T9" s="114">
        <v>385</v>
      </c>
      <c r="U9" s="50">
        <f>SUM(Q9:T9)</f>
        <v>1533</v>
      </c>
      <c r="V9" s="56">
        <v>422</v>
      </c>
      <c r="W9" s="45">
        <f>895-V9</f>
        <v>473</v>
      </c>
      <c r="X9" s="45">
        <v>541</v>
      </c>
      <c r="Y9" s="57">
        <f>2004-X9-W9-V9</f>
        <v>568</v>
      </c>
      <c r="Z9" s="50">
        <f t="shared" ref="Z9:Z28" si="11">SUM(V9:Y9)</f>
        <v>2004</v>
      </c>
      <c r="AA9" s="64">
        <v>592</v>
      </c>
      <c r="AB9" s="45">
        <v>652</v>
      </c>
      <c r="AC9" s="45">
        <f>2117-AB9-AA9</f>
        <v>873</v>
      </c>
      <c r="AD9" s="57">
        <f>3151-AC9-AB9-AA9</f>
        <v>1034</v>
      </c>
      <c r="AE9" s="50">
        <f t="shared" si="0"/>
        <v>3151</v>
      </c>
      <c r="AF9" s="76">
        <v>1171</v>
      </c>
      <c r="AG9" s="76">
        <f>2353-AF9</f>
        <v>1182</v>
      </c>
      <c r="AH9" s="76">
        <f>3586-AG9-AF9</f>
        <v>1233</v>
      </c>
      <c r="AI9" s="114">
        <f>4893-AH9-AG9-AF9</f>
        <v>1307</v>
      </c>
      <c r="AJ9" s="50">
        <f t="shared" ref="AJ9:AJ28" si="12">SUM(AF9:AI9)</f>
        <v>4893</v>
      </c>
      <c r="AK9" s="76">
        <v>1304</v>
      </c>
      <c r="AL9" s="76">
        <f>2823-AK9</f>
        <v>1519</v>
      </c>
      <c r="AM9" s="76">
        <f>4253-AL9-AK9</f>
        <v>1430</v>
      </c>
      <c r="AN9" s="76">
        <v>1461</v>
      </c>
      <c r="AO9" s="50">
        <f t="shared" ref="AO9:AO28" si="13">SUM(AK9:AN9)</f>
        <v>5714</v>
      </c>
      <c r="AP9" s="118">
        <v>1541</v>
      </c>
      <c r="AQ9" s="76">
        <f>3109-AP9</f>
        <v>1568</v>
      </c>
      <c r="AR9" s="76">
        <f>4693-AQ9-AP9</f>
        <v>1584</v>
      </c>
      <c r="AS9" s="76">
        <f>6265-AR9-AQ9-AP9</f>
        <v>1572</v>
      </c>
      <c r="AT9" s="50">
        <f t="shared" ref="AT9:AT28" si="14">SUM(AP9:AS9)</f>
        <v>6265</v>
      </c>
      <c r="AU9" s="76">
        <v>1626</v>
      </c>
      <c r="AV9" s="253">
        <f>3259-AU9</f>
        <v>1633</v>
      </c>
      <c r="AW9" s="253">
        <f>4883-AV9-AU9</f>
        <v>1624</v>
      </c>
      <c r="AX9" s="253">
        <f>6598-AW9-AV9-AU9</f>
        <v>1715</v>
      </c>
      <c r="AY9" s="50">
        <f t="shared" ref="AY9:AY28" si="15">SUM(AU9:AX9)</f>
        <v>6598</v>
      </c>
      <c r="AZ9" s="253">
        <v>1691</v>
      </c>
      <c r="BA9" s="253">
        <f>3431-AZ9</f>
        <v>1740</v>
      </c>
      <c r="BB9" s="253">
        <f>5261-BA9-AZ9</f>
        <v>1830</v>
      </c>
      <c r="BC9" s="253">
        <f>7208-BB9-BA9-AZ9</f>
        <v>1947</v>
      </c>
      <c r="BD9" s="359">
        <f t="shared" si="1"/>
        <v>7208</v>
      </c>
      <c r="BE9" s="253">
        <v>2083</v>
      </c>
      <c r="BF9" s="118">
        <f>4176-BE9</f>
        <v>2093</v>
      </c>
      <c r="BG9" s="523">
        <f>6308-BF9-BE9</f>
        <v>2132</v>
      </c>
      <c r="BH9" s="118">
        <f>8593-BG9-BF9-BE9</f>
        <v>2285</v>
      </c>
      <c r="BI9" s="144">
        <f t="shared" si="2"/>
        <v>8593</v>
      </c>
      <c r="BJ9" s="118">
        <v>2637</v>
      </c>
      <c r="BK9" s="118">
        <f>5324-BJ9</f>
        <v>2687</v>
      </c>
      <c r="BL9" s="118">
        <f>8143-BK9-BJ9</f>
        <v>2819</v>
      </c>
      <c r="BM9" s="118">
        <f>11123-BL9-BK9-BJ9</f>
        <v>2980</v>
      </c>
      <c r="BN9" s="144">
        <f t="shared" si="3"/>
        <v>11123</v>
      </c>
      <c r="BO9" s="118">
        <v>3138</v>
      </c>
      <c r="BP9" s="118">
        <f>6276-BO9</f>
        <v>3138</v>
      </c>
      <c r="BQ9" s="118">
        <f>9474-BP9-BO9</f>
        <v>3198</v>
      </c>
      <c r="BR9" s="523">
        <f>13127-BQ9-BP9-BO9</f>
        <v>3653</v>
      </c>
      <c r="BS9" s="50">
        <f t="shared" si="4"/>
        <v>13127</v>
      </c>
      <c r="BT9" s="523">
        <v>3765</v>
      </c>
      <c r="BU9" s="523">
        <v>3529</v>
      </c>
      <c r="BV9" s="523">
        <v>3695</v>
      </c>
      <c r="BW9" s="523">
        <f>14788-BV9-BU9-BT9</f>
        <v>3799</v>
      </c>
      <c r="BX9" s="50">
        <f t="shared" ref="BX9:BX16" si="16">SUM(BT9:BW9)</f>
        <v>14788</v>
      </c>
      <c r="BY9" s="523">
        <v>3864</v>
      </c>
      <c r="BZ9" s="523">
        <v>3950</v>
      </c>
      <c r="CA9" s="523">
        <f>11983-BZ9-BY9</f>
        <v>4169</v>
      </c>
      <c r="CB9" s="523">
        <v>4438</v>
      </c>
      <c r="CC9" s="50">
        <f t="shared" ref="CC9:CC16" si="17">SUM(BY9:CB9)</f>
        <v>16421</v>
      </c>
      <c r="CD9" s="523">
        <v>4626</v>
      </c>
      <c r="CE9" s="523">
        <v>4663</v>
      </c>
      <c r="CF9" s="523">
        <v>4675</v>
      </c>
      <c r="CG9" s="523">
        <f>18631-CF9-CE9-CD9</f>
        <v>4667</v>
      </c>
      <c r="CH9" s="536">
        <f t="shared" ref="CH9:CH17" si="18">SUM(CD9:CG9)</f>
        <v>18631</v>
      </c>
      <c r="CI9" s="523">
        <v>4694</v>
      </c>
      <c r="CJ9" s="523">
        <v>4683</v>
      </c>
      <c r="CK9" s="523">
        <v>4633</v>
      </c>
      <c r="CL9" s="57">
        <f t="shared" si="8"/>
        <v>4711</v>
      </c>
      <c r="CM9" s="536">
        <v>18721</v>
      </c>
      <c r="CN9" s="523">
        <v>4957</v>
      </c>
      <c r="CO9" s="523">
        <v>4991</v>
      </c>
      <c r="CP9" s="523">
        <f>15302-CO9-CN9</f>
        <v>5354</v>
      </c>
      <c r="CQ9" s="57">
        <f t="shared" si="9"/>
        <v>5787</v>
      </c>
      <c r="CR9" s="536">
        <v>21089</v>
      </c>
      <c r="CS9" s="523">
        <f>BS!CR12*CS68</f>
        <v>4527.2849999999999</v>
      </c>
      <c r="CT9" s="523">
        <f>BS!CS12*CT68</f>
        <v>5591.1246599999995</v>
      </c>
      <c r="CU9" s="523">
        <f>BS!CT12*CU68</f>
        <v>5703.8252021599992</v>
      </c>
      <c r="CV9" s="523">
        <f>BS!CU12*CV68</f>
        <v>5802.5508770921597</v>
      </c>
      <c r="CW9" s="536">
        <f t="shared" ref="CW9:CW17" si="19">SUM(CS9:CV9)</f>
        <v>21624.785739252158</v>
      </c>
    </row>
    <row r="10" spans="2:101">
      <c r="B10" s="24"/>
      <c r="C10" s="4" t="s">
        <v>136</v>
      </c>
      <c r="D10" s="32"/>
      <c r="E10" s="32"/>
      <c r="F10" s="56"/>
      <c r="G10" s="56"/>
      <c r="H10" s="45"/>
      <c r="I10" s="45"/>
      <c r="J10" s="57"/>
      <c r="K10" s="56"/>
      <c r="L10" s="56"/>
      <c r="M10" s="45"/>
      <c r="N10" s="45"/>
      <c r="O10" s="57"/>
      <c r="P10" s="50"/>
      <c r="Q10" s="56"/>
      <c r="R10" s="45"/>
      <c r="S10" s="45"/>
      <c r="T10" s="106"/>
      <c r="U10" s="50"/>
      <c r="V10" s="56"/>
      <c r="W10" s="45">
        <v>123</v>
      </c>
      <c r="X10" s="45">
        <v>260</v>
      </c>
      <c r="Y10" s="45">
        <f>IS!Y36</f>
        <v>260</v>
      </c>
      <c r="Z10" s="50">
        <f t="shared" si="11"/>
        <v>643</v>
      </c>
      <c r="AA10" s="45">
        <f>IS!AA36</f>
        <v>260</v>
      </c>
      <c r="AB10" s="45">
        <v>260</v>
      </c>
      <c r="AC10" s="45">
        <f>IS!AC36</f>
        <v>530</v>
      </c>
      <c r="AD10" s="45">
        <f>IS!AD36</f>
        <v>717</v>
      </c>
      <c r="AE10" s="50">
        <f t="shared" si="0"/>
        <v>1767</v>
      </c>
      <c r="AF10" s="45">
        <v>717</v>
      </c>
      <c r="AG10" s="45">
        <f>IS!AG36</f>
        <v>717</v>
      </c>
      <c r="AH10" s="76">
        <f>IS!AH36</f>
        <v>1007</v>
      </c>
      <c r="AI10" s="76">
        <f>IS!AI36</f>
        <v>717</v>
      </c>
      <c r="AJ10" s="50">
        <f t="shared" si="12"/>
        <v>3158</v>
      </c>
      <c r="AK10" s="76">
        <v>717</v>
      </c>
      <c r="AL10" s="76">
        <f>1399-AK10</f>
        <v>682</v>
      </c>
      <c r="AM10" s="76">
        <f>2044-AL10-AK10</f>
        <v>645</v>
      </c>
      <c r="AN10" s="76">
        <v>812</v>
      </c>
      <c r="AO10" s="50">
        <f t="shared" si="13"/>
        <v>2856</v>
      </c>
      <c r="AP10" s="45">
        <v>845</v>
      </c>
      <c r="AQ10" s="76">
        <f>1678-AP10</f>
        <v>833</v>
      </c>
      <c r="AR10" s="76">
        <f>IS!AR36</f>
        <v>829</v>
      </c>
      <c r="AS10" s="76">
        <f>3307-AR10-AQ10-AP10</f>
        <v>800</v>
      </c>
      <c r="AT10" s="50">
        <f t="shared" si="14"/>
        <v>3307</v>
      </c>
      <c r="AU10" s="76">
        <v>1161</v>
      </c>
      <c r="AV10" s="253">
        <f>2359-AU10</f>
        <v>1198</v>
      </c>
      <c r="AW10" s="253">
        <f>3553-AV10-AU10</f>
        <v>1194</v>
      </c>
      <c r="AX10" s="253">
        <f>4738-AW10-AV10-AU10</f>
        <v>1185</v>
      </c>
      <c r="AY10" s="50">
        <f t="shared" si="15"/>
        <v>4738</v>
      </c>
      <c r="AZ10" s="253">
        <v>1215</v>
      </c>
      <c r="BA10" s="253">
        <f>2332-AZ10</f>
        <v>1117</v>
      </c>
      <c r="BB10" s="253">
        <f>3460-BA10-AZ10</f>
        <v>1128</v>
      </c>
      <c r="BC10" s="253">
        <f>4574-BB10-BA10-AZ10</f>
        <v>1114</v>
      </c>
      <c r="BD10" s="359">
        <f t="shared" si="1"/>
        <v>4574</v>
      </c>
      <c r="BE10" s="253">
        <v>1125</v>
      </c>
      <c r="BF10" s="45">
        <f>IS!BF36</f>
        <v>1033</v>
      </c>
      <c r="BG10" s="45">
        <f>3086-BF10-BE10</f>
        <v>928</v>
      </c>
      <c r="BH10" s="45">
        <f>4093-BG10-BF10-BE10</f>
        <v>1007</v>
      </c>
      <c r="BI10" s="50">
        <f t="shared" si="2"/>
        <v>4093</v>
      </c>
      <c r="BJ10" s="45">
        <f>IS!BJ36</f>
        <v>1304</v>
      </c>
      <c r="BK10" s="45">
        <f>IS!BK36</f>
        <v>1266</v>
      </c>
      <c r="BL10" s="45">
        <f>3897-BK10-BJ10</f>
        <v>1327</v>
      </c>
      <c r="BM10" s="45">
        <v>1418</v>
      </c>
      <c r="BN10" s="50">
        <f t="shared" si="3"/>
        <v>5315</v>
      </c>
      <c r="BO10" s="45">
        <v>1336</v>
      </c>
      <c r="BP10" s="45">
        <f>2652-BO10</f>
        <v>1316</v>
      </c>
      <c r="BQ10" s="45">
        <f>3985-BP10-BO10</f>
        <v>1333</v>
      </c>
      <c r="BR10" s="45">
        <f>5538-BQ10-BP10-BO10</f>
        <v>1553</v>
      </c>
      <c r="BS10" s="50">
        <f t="shared" si="4"/>
        <v>5538</v>
      </c>
      <c r="BT10" s="45">
        <f>IS!BT36</f>
        <v>2664</v>
      </c>
      <c r="BU10" s="45">
        <f>IS!BU36</f>
        <v>2671</v>
      </c>
      <c r="BV10" s="45">
        <v>2399</v>
      </c>
      <c r="BW10" s="45">
        <f>10126-BV10-BU10-BT10</f>
        <v>2392</v>
      </c>
      <c r="BX10" s="50">
        <f t="shared" si="16"/>
        <v>10126</v>
      </c>
      <c r="BY10" s="45">
        <v>2470</v>
      </c>
      <c r="BZ10" s="45">
        <v>2468</v>
      </c>
      <c r="CA10" s="45">
        <f>7936-BZ10-BY10</f>
        <v>2998</v>
      </c>
      <c r="CB10" s="45">
        <v>3832</v>
      </c>
      <c r="CC10" s="50">
        <f t="shared" si="17"/>
        <v>11768</v>
      </c>
      <c r="CD10" s="45">
        <v>3851</v>
      </c>
      <c r="CE10" s="45">
        <v>3479</v>
      </c>
      <c r="CF10" s="45">
        <v>3788</v>
      </c>
      <c r="CG10" s="118">
        <f>16116-CF10-CE10-CD10</f>
        <v>4998</v>
      </c>
      <c r="CH10" s="50">
        <f t="shared" si="18"/>
        <v>16116</v>
      </c>
      <c r="CI10" s="45">
        <v>4338</v>
      </c>
      <c r="CJ10" s="45">
        <v>4840</v>
      </c>
      <c r="CK10" s="45">
        <v>6470</v>
      </c>
      <c r="CL10" s="57">
        <f t="shared" si="8"/>
        <v>7862</v>
      </c>
      <c r="CM10" s="50">
        <v>23510</v>
      </c>
      <c r="CN10" s="45">
        <v>8588</v>
      </c>
      <c r="CO10" s="45">
        <v>9509</v>
      </c>
      <c r="CP10" s="45">
        <f>27590-CO10-CN10</f>
        <v>9493</v>
      </c>
      <c r="CQ10" s="57">
        <f t="shared" si="9"/>
        <v>9579</v>
      </c>
      <c r="CR10" s="50">
        <v>37169</v>
      </c>
      <c r="CS10" s="45">
        <f>IS!CS36</f>
        <v>9600</v>
      </c>
      <c r="CT10" s="45">
        <f>IS!CT36</f>
        <v>9600</v>
      </c>
      <c r="CU10" s="45">
        <f>IS!CU36</f>
        <v>9550</v>
      </c>
      <c r="CV10" s="45">
        <f>IS!CV36</f>
        <v>9550</v>
      </c>
      <c r="CW10" s="50">
        <f t="shared" si="19"/>
        <v>38300</v>
      </c>
    </row>
    <row r="11" spans="2:101">
      <c r="B11" s="24"/>
      <c r="C11" t="s">
        <v>72</v>
      </c>
      <c r="D11" s="32"/>
      <c r="E11" s="32"/>
      <c r="F11" s="56">
        <v>151</v>
      </c>
      <c r="G11" s="56"/>
      <c r="H11" s="45"/>
      <c r="I11" s="45"/>
      <c r="J11" s="57"/>
      <c r="K11" s="56">
        <v>396</v>
      </c>
      <c r="L11" s="56">
        <v>96</v>
      </c>
      <c r="M11" s="45"/>
      <c r="N11" s="45"/>
      <c r="O11" s="57"/>
      <c r="P11" s="50">
        <v>439</v>
      </c>
      <c r="Q11" s="56">
        <v>102</v>
      </c>
      <c r="R11" s="45">
        <f>165-Q11</f>
        <v>63</v>
      </c>
      <c r="S11" s="45">
        <f>225-R11-Q11</f>
        <v>60</v>
      </c>
      <c r="T11" s="57">
        <f t="shared" ref="T11:T28" si="20">U11-SUM(Q11:S11)</f>
        <v>49</v>
      </c>
      <c r="U11" s="50">
        <v>274</v>
      </c>
      <c r="V11" s="56">
        <v>55</v>
      </c>
      <c r="W11" s="45">
        <f>120-V11</f>
        <v>65</v>
      </c>
      <c r="X11" s="45">
        <v>125</v>
      </c>
      <c r="Y11" s="57">
        <f>425-X11-W11-V11</f>
        <v>180</v>
      </c>
      <c r="Z11" s="50">
        <f t="shared" si="11"/>
        <v>425</v>
      </c>
      <c r="AA11" s="56">
        <v>82</v>
      </c>
      <c r="AB11" s="45">
        <v>82</v>
      </c>
      <c r="AC11" s="45">
        <f>295-AB11-AA11</f>
        <v>131</v>
      </c>
      <c r="AD11" s="57">
        <f>383-AC11-AB11-AA11</f>
        <v>88</v>
      </c>
      <c r="AE11" s="50">
        <f t="shared" si="0"/>
        <v>383</v>
      </c>
      <c r="AF11" s="56">
        <v>80</v>
      </c>
      <c r="AG11" s="45">
        <f>185-AF11</f>
        <v>105</v>
      </c>
      <c r="AH11" s="76">
        <f>315-AG11-AF11</f>
        <v>130</v>
      </c>
      <c r="AI11" s="114">
        <f>479-AH11-AG11-AF11</f>
        <v>164</v>
      </c>
      <c r="AJ11" s="50">
        <f t="shared" si="12"/>
        <v>479</v>
      </c>
      <c r="AK11" s="150">
        <v>157</v>
      </c>
      <c r="AL11" s="76">
        <f>323-AK11</f>
        <v>166</v>
      </c>
      <c r="AM11" s="76">
        <f>507-AL11-AK11</f>
        <v>184</v>
      </c>
      <c r="AN11" s="114">
        <v>210</v>
      </c>
      <c r="AO11" s="50">
        <f t="shared" si="13"/>
        <v>717</v>
      </c>
      <c r="AP11" s="56">
        <v>138</v>
      </c>
      <c r="AQ11" s="76">
        <f>518-AP11</f>
        <v>380</v>
      </c>
      <c r="AR11" s="76">
        <f>846-AQ11-AP11</f>
        <v>328</v>
      </c>
      <c r="AS11" s="114">
        <f>1271-AR11-AQ11-AP11</f>
        <v>425</v>
      </c>
      <c r="AT11" s="50">
        <f t="shared" si="14"/>
        <v>1271</v>
      </c>
      <c r="AU11" s="150">
        <v>304</v>
      </c>
      <c r="AV11" s="253">
        <f>592-AU11</f>
        <v>288</v>
      </c>
      <c r="AW11" s="253">
        <f>977-AV11-AU11</f>
        <v>385</v>
      </c>
      <c r="AX11" s="253">
        <f>1375-AW11-AV11-AU11</f>
        <v>398</v>
      </c>
      <c r="AY11" s="50">
        <f t="shared" si="15"/>
        <v>1375</v>
      </c>
      <c r="AZ11" s="361">
        <v>332</v>
      </c>
      <c r="BA11" s="253">
        <f>873-AZ11</f>
        <v>541</v>
      </c>
      <c r="BB11" s="253">
        <f>1365-BA11-AZ11</f>
        <v>492</v>
      </c>
      <c r="BC11" s="360">
        <f>1705-BB11-BA11-AZ11</f>
        <v>340</v>
      </c>
      <c r="BD11" s="359">
        <f t="shared" si="1"/>
        <v>1705</v>
      </c>
      <c r="BE11" s="361">
        <v>410</v>
      </c>
      <c r="BF11" s="45">
        <f>985-BE11</f>
        <v>575</v>
      </c>
      <c r="BG11" s="45">
        <f>1780-BF11-BE11</f>
        <v>795</v>
      </c>
      <c r="BH11" s="57">
        <f>2592-BG11-BF11-BE11</f>
        <v>812</v>
      </c>
      <c r="BI11" s="50">
        <f t="shared" si="2"/>
        <v>2592</v>
      </c>
      <c r="BJ11" s="150">
        <v>655</v>
      </c>
      <c r="BK11" s="45">
        <f>1504-BJ11</f>
        <v>849</v>
      </c>
      <c r="BL11" s="45">
        <f>2429-BK11-BJ11</f>
        <v>925</v>
      </c>
      <c r="BM11" s="57">
        <v>1070</v>
      </c>
      <c r="BN11" s="50">
        <f t="shared" si="3"/>
        <v>3499</v>
      </c>
      <c r="BO11" s="150">
        <v>1285</v>
      </c>
      <c r="BP11" s="45">
        <f>3020-BO11</f>
        <v>1735</v>
      </c>
      <c r="BQ11" s="45">
        <f>4198-BP11-BO11</f>
        <v>1178</v>
      </c>
      <c r="BR11" s="57">
        <f>5660-BQ11-BP11-BO11</f>
        <v>1462</v>
      </c>
      <c r="BS11" s="50">
        <f t="shared" si="4"/>
        <v>5660</v>
      </c>
      <c r="BT11" s="150">
        <v>1205</v>
      </c>
      <c r="BU11" s="45">
        <v>1626</v>
      </c>
      <c r="BV11" s="45">
        <v>1206</v>
      </c>
      <c r="BW11" s="57">
        <f>4717-BV11-BU11-BT11</f>
        <v>680</v>
      </c>
      <c r="BX11" s="50">
        <f t="shared" si="16"/>
        <v>4717</v>
      </c>
      <c r="BY11" s="150">
        <v>1144</v>
      </c>
      <c r="BZ11" s="45">
        <v>1490</v>
      </c>
      <c r="CA11" s="45">
        <f>2889-BZ11-BY11</f>
        <v>255</v>
      </c>
      <c r="CB11" s="57">
        <v>470</v>
      </c>
      <c r="CC11" s="50">
        <f t="shared" si="17"/>
        <v>3359</v>
      </c>
      <c r="CD11" s="45">
        <v>1206</v>
      </c>
      <c r="CE11" s="45">
        <v>1285</v>
      </c>
      <c r="CF11" s="523">
        <v>1513</v>
      </c>
      <c r="CG11" s="118">
        <f>5707-CF11-CE11-CD11</f>
        <v>1703</v>
      </c>
      <c r="CH11" s="50">
        <f t="shared" si="18"/>
        <v>5707</v>
      </c>
      <c r="CI11" s="523">
        <v>1408</v>
      </c>
      <c r="CJ11" s="523">
        <v>2238</v>
      </c>
      <c r="CK11" s="523">
        <v>2593</v>
      </c>
      <c r="CL11" s="57">
        <f t="shared" si="8"/>
        <v>1444</v>
      </c>
      <c r="CM11" s="50">
        <v>7683</v>
      </c>
      <c r="CN11" s="523">
        <v>1822</v>
      </c>
      <c r="CO11" s="523">
        <v>2289</v>
      </c>
      <c r="CP11" s="523">
        <f>6843-CO11-CN11</f>
        <v>2732</v>
      </c>
      <c r="CQ11" s="57">
        <f t="shared" si="9"/>
        <v>3075</v>
      </c>
      <c r="CR11" s="50">
        <v>9918</v>
      </c>
      <c r="CS11" s="123">
        <v>1200</v>
      </c>
      <c r="CT11" s="123">
        <v>1200</v>
      </c>
      <c r="CU11" s="123">
        <v>1200</v>
      </c>
      <c r="CV11" s="123">
        <v>1200</v>
      </c>
      <c r="CW11" s="50">
        <f t="shared" si="19"/>
        <v>4800</v>
      </c>
    </row>
    <row r="12" spans="2:101" hidden="1">
      <c r="B12" s="24"/>
      <c r="C12" t="s">
        <v>223</v>
      </c>
      <c r="D12" s="32"/>
      <c r="E12" s="32"/>
      <c r="F12" s="56"/>
      <c r="G12" s="56"/>
      <c r="H12" s="45"/>
      <c r="I12" s="45"/>
      <c r="J12" s="57"/>
      <c r="K12" s="56"/>
      <c r="L12" s="56"/>
      <c r="M12" s="45"/>
      <c r="N12" s="45"/>
      <c r="O12" s="57"/>
      <c r="P12" s="50"/>
      <c r="Q12" s="56"/>
      <c r="R12" s="45"/>
      <c r="S12" s="45"/>
      <c r="T12" s="57"/>
      <c r="U12" s="50"/>
      <c r="V12" s="56"/>
      <c r="W12" s="45"/>
      <c r="X12" s="45"/>
      <c r="Y12" s="57"/>
      <c r="Z12" s="50"/>
      <c r="AA12" s="56"/>
      <c r="AB12" s="45"/>
      <c r="AC12" s="45"/>
      <c r="AD12" s="57"/>
      <c r="AE12" s="50"/>
      <c r="AF12" s="56"/>
      <c r="AG12" s="45"/>
      <c r="AH12" s="76"/>
      <c r="AI12" s="114"/>
      <c r="AJ12" s="50"/>
      <c r="AK12" s="150"/>
      <c r="AL12" s="76"/>
      <c r="AM12" s="76"/>
      <c r="AN12" s="114"/>
      <c r="AO12" s="50"/>
      <c r="AP12" s="56"/>
      <c r="AQ12" s="76"/>
      <c r="AR12" s="76"/>
      <c r="AS12" s="114"/>
      <c r="AT12" s="50"/>
      <c r="AU12" s="150">
        <v>-365</v>
      </c>
      <c r="AV12" s="253">
        <f>-72-AU12</f>
        <v>293</v>
      </c>
      <c r="AW12" s="253">
        <f>-1103-AV12-AU12</f>
        <v>-1031</v>
      </c>
      <c r="AX12" s="253"/>
      <c r="AY12" s="50">
        <f t="shared" si="15"/>
        <v>-1103</v>
      </c>
      <c r="AZ12" s="361"/>
      <c r="BA12" s="253"/>
      <c r="BB12" s="253"/>
      <c r="BC12" s="360"/>
      <c r="BD12" s="359">
        <f t="shared" si="1"/>
        <v>0</v>
      </c>
      <c r="BE12" s="361"/>
      <c r="BF12" s="45"/>
      <c r="BG12" s="45"/>
      <c r="BH12" s="57">
        <v>94</v>
      </c>
      <c r="BI12" s="50">
        <f t="shared" si="2"/>
        <v>94</v>
      </c>
      <c r="BJ12" s="150">
        <v>56</v>
      </c>
      <c r="BK12" s="45">
        <f>0-BJ12</f>
        <v>-56</v>
      </c>
      <c r="BL12" s="45">
        <f>0-BK12-BJ12</f>
        <v>0</v>
      </c>
      <c r="BM12" s="57"/>
      <c r="BN12" s="50">
        <f t="shared" si="3"/>
        <v>0</v>
      </c>
      <c r="BO12" s="150"/>
      <c r="BP12" s="45"/>
      <c r="BQ12" s="45"/>
      <c r="BR12" s="57"/>
      <c r="BS12" s="50">
        <f t="shared" si="4"/>
        <v>0</v>
      </c>
      <c r="BT12" s="150"/>
      <c r="BU12" s="45"/>
      <c r="BV12" s="45"/>
      <c r="BW12" s="57"/>
      <c r="BX12" s="50">
        <f t="shared" si="16"/>
        <v>0</v>
      </c>
      <c r="BY12" s="150"/>
      <c r="BZ12" s="45"/>
      <c r="CA12" s="45"/>
      <c r="CB12" s="57"/>
      <c r="CC12" s="50">
        <f t="shared" si="17"/>
        <v>0</v>
      </c>
      <c r="CD12" s="45"/>
      <c r="CE12" s="45"/>
      <c r="CF12" s="45"/>
      <c r="CG12" s="143"/>
      <c r="CH12" s="50">
        <f t="shared" si="18"/>
        <v>0</v>
      </c>
      <c r="CI12" s="45"/>
      <c r="CJ12" s="45"/>
      <c r="CK12" s="45"/>
      <c r="CL12" s="57">
        <f t="shared" si="8"/>
        <v>0</v>
      </c>
      <c r="CM12" s="50"/>
      <c r="CN12" s="45"/>
      <c r="CO12" s="45"/>
      <c r="CP12" s="523"/>
      <c r="CQ12" s="57">
        <f t="shared" si="9"/>
        <v>0</v>
      </c>
      <c r="CR12" s="50"/>
      <c r="CS12" s="45"/>
      <c r="CT12" s="45"/>
      <c r="CU12" s="45"/>
      <c r="CV12" s="57"/>
      <c r="CW12" s="50">
        <f t="shared" si="19"/>
        <v>0</v>
      </c>
    </row>
    <row r="13" spans="2:101" hidden="1">
      <c r="B13" s="24"/>
      <c r="C13" t="s">
        <v>73</v>
      </c>
      <c r="D13" s="32"/>
      <c r="E13" s="32"/>
      <c r="F13" s="56">
        <v>29</v>
      </c>
      <c r="G13" s="56"/>
      <c r="H13" s="45"/>
      <c r="I13" s="45"/>
      <c r="J13" s="57"/>
      <c r="K13" s="56">
        <v>25</v>
      </c>
      <c r="L13" s="56"/>
      <c r="M13" s="45"/>
      <c r="N13" s="45"/>
      <c r="O13" s="57"/>
      <c r="P13" s="50">
        <v>10</v>
      </c>
      <c r="Q13" s="56"/>
      <c r="R13" s="45">
        <v>2</v>
      </c>
      <c r="S13" s="45">
        <f>-R13</f>
        <v>-2</v>
      </c>
      <c r="T13" s="57">
        <v>0</v>
      </c>
      <c r="U13" s="50">
        <f>SUM(Q13:T13)</f>
        <v>0</v>
      </c>
      <c r="V13" s="56"/>
      <c r="W13" s="45"/>
      <c r="X13" s="45"/>
      <c r="Y13" s="57"/>
      <c r="Z13" s="50">
        <f t="shared" si="11"/>
        <v>0</v>
      </c>
      <c r="AA13" s="56"/>
      <c r="AB13" s="45"/>
      <c r="AC13" s="45"/>
      <c r="AD13" s="57"/>
      <c r="AE13" s="50">
        <f t="shared" si="0"/>
        <v>0</v>
      </c>
      <c r="AF13" s="56"/>
      <c r="AG13" s="45"/>
      <c r="AH13" s="76"/>
      <c r="AI13" s="114"/>
      <c r="AJ13" s="50">
        <f t="shared" si="12"/>
        <v>0</v>
      </c>
      <c r="AK13" s="150"/>
      <c r="AL13" s="76"/>
      <c r="AM13" s="76"/>
      <c r="AN13" s="114"/>
      <c r="AO13" s="50">
        <f t="shared" si="13"/>
        <v>0</v>
      </c>
      <c r="AP13" s="56"/>
      <c r="AQ13" s="76"/>
      <c r="AR13" s="76"/>
      <c r="AS13" s="114"/>
      <c r="AT13" s="50">
        <f t="shared" si="14"/>
        <v>0</v>
      </c>
      <c r="AU13" s="150"/>
      <c r="AV13" s="253"/>
      <c r="AW13" s="253"/>
      <c r="AX13" s="253"/>
      <c r="AY13" s="50">
        <f t="shared" si="15"/>
        <v>0</v>
      </c>
      <c r="AZ13" s="361"/>
      <c r="BA13" s="253"/>
      <c r="BB13" s="253"/>
      <c r="BC13" s="360"/>
      <c r="BD13" s="359">
        <f t="shared" si="1"/>
        <v>0</v>
      </c>
      <c r="BE13" s="361"/>
      <c r="BF13" s="45"/>
      <c r="BG13" s="45"/>
      <c r="BH13" s="57"/>
      <c r="BI13" s="50">
        <f t="shared" si="2"/>
        <v>0</v>
      </c>
      <c r="BJ13" s="150"/>
      <c r="BK13" s="45"/>
      <c r="BL13" s="45"/>
      <c r="BM13" s="57"/>
      <c r="BN13" s="50">
        <f t="shared" si="3"/>
        <v>0</v>
      </c>
      <c r="BO13" s="150"/>
      <c r="BP13" s="45"/>
      <c r="BQ13" s="45"/>
      <c r="BR13" s="57"/>
      <c r="BS13" s="50">
        <f t="shared" si="4"/>
        <v>0</v>
      </c>
      <c r="BT13" s="150"/>
      <c r="BU13" s="45"/>
      <c r="BV13" s="45"/>
      <c r="BW13" s="57"/>
      <c r="BX13" s="50">
        <f t="shared" si="16"/>
        <v>0</v>
      </c>
      <c r="BY13" s="150"/>
      <c r="BZ13" s="45"/>
      <c r="CA13" s="45"/>
      <c r="CB13" s="57"/>
      <c r="CC13" s="50">
        <f t="shared" si="17"/>
        <v>0</v>
      </c>
      <c r="CD13" s="45"/>
      <c r="CE13" s="45"/>
      <c r="CF13" s="45"/>
      <c r="CG13" s="143"/>
      <c r="CH13" s="50">
        <f t="shared" si="18"/>
        <v>0</v>
      </c>
      <c r="CI13" s="45"/>
      <c r="CJ13" s="45"/>
      <c r="CK13" s="45"/>
      <c r="CL13" s="57">
        <f t="shared" si="8"/>
        <v>0</v>
      </c>
      <c r="CM13" s="50"/>
      <c r="CN13" s="45"/>
      <c r="CO13" s="45"/>
      <c r="CP13" s="523"/>
      <c r="CQ13" s="57">
        <f t="shared" si="9"/>
        <v>0</v>
      </c>
      <c r="CR13" s="50"/>
      <c r="CS13" s="45"/>
      <c r="CT13" s="45"/>
      <c r="CU13" s="45"/>
      <c r="CV13" s="57"/>
      <c r="CW13" s="50">
        <f t="shared" si="19"/>
        <v>0</v>
      </c>
    </row>
    <row r="14" spans="2:101">
      <c r="B14" s="24"/>
      <c r="C14" t="s">
        <v>74</v>
      </c>
      <c r="D14" s="32"/>
      <c r="E14" s="32"/>
      <c r="F14" s="56">
        <v>46</v>
      </c>
      <c r="G14" s="56"/>
      <c r="H14" s="45"/>
      <c r="I14" s="45"/>
      <c r="J14" s="57"/>
      <c r="K14" s="56">
        <v>157</v>
      </c>
      <c r="L14" s="56">
        <v>48</v>
      </c>
      <c r="M14" s="45"/>
      <c r="N14" s="45"/>
      <c r="O14" s="57"/>
      <c r="P14" s="50">
        <v>228</v>
      </c>
      <c r="Q14" s="56">
        <v>51</v>
      </c>
      <c r="R14" s="45">
        <f>226-Q14</f>
        <v>175</v>
      </c>
      <c r="S14" s="45">
        <f>458-R14-Q14</f>
        <v>232</v>
      </c>
      <c r="T14" s="57">
        <f t="shared" si="20"/>
        <v>292</v>
      </c>
      <c r="U14" s="50">
        <v>750</v>
      </c>
      <c r="V14" s="56">
        <f>IS!V37</f>
        <v>312</v>
      </c>
      <c r="W14" s="45">
        <f>IS!W37</f>
        <v>487</v>
      </c>
      <c r="X14" s="45">
        <f>IS!X37</f>
        <v>487</v>
      </c>
      <c r="Y14" s="57">
        <f>IS!Y37</f>
        <v>482</v>
      </c>
      <c r="Z14" s="50">
        <f t="shared" si="11"/>
        <v>1768</v>
      </c>
      <c r="AA14" s="45">
        <f>IS!AA37</f>
        <v>612</v>
      </c>
      <c r="AB14" s="45">
        <f>IS!AB37</f>
        <v>715</v>
      </c>
      <c r="AC14" s="45">
        <f>2042-AB14-AA14</f>
        <v>715</v>
      </c>
      <c r="AD14" s="57">
        <f>2755-AC14-AB14-AA14</f>
        <v>713</v>
      </c>
      <c r="AE14" s="50">
        <f t="shared" si="0"/>
        <v>2755</v>
      </c>
      <c r="AF14" s="45">
        <v>924</v>
      </c>
      <c r="AG14" s="45">
        <f>2035-AF14</f>
        <v>1111</v>
      </c>
      <c r="AH14" s="76">
        <f>3120-AG14-AF14</f>
        <v>1085</v>
      </c>
      <c r="AI14" s="114">
        <f>4203-AH14-AG14-AF14</f>
        <v>1083</v>
      </c>
      <c r="AJ14" s="50">
        <f t="shared" si="12"/>
        <v>4203</v>
      </c>
      <c r="AK14" s="76">
        <v>1339</v>
      </c>
      <c r="AL14" s="76">
        <f>2698-AK14</f>
        <v>1359</v>
      </c>
      <c r="AM14" s="76">
        <f>3991-AL14-AK14</f>
        <v>1293</v>
      </c>
      <c r="AN14" s="114">
        <v>1405</v>
      </c>
      <c r="AO14" s="50">
        <f t="shared" si="13"/>
        <v>5396</v>
      </c>
      <c r="AP14" s="45">
        <f>IS!AP37</f>
        <v>1499</v>
      </c>
      <c r="AQ14" s="76">
        <f>3146-AP14</f>
        <v>1647</v>
      </c>
      <c r="AR14" s="76">
        <f>4756-AQ14-AP14</f>
        <v>1610</v>
      </c>
      <c r="AS14" s="114">
        <f>6379-AR14-AQ14-AP14</f>
        <v>1623</v>
      </c>
      <c r="AT14" s="50">
        <f t="shared" si="14"/>
        <v>6379</v>
      </c>
      <c r="AU14" s="76">
        <v>1927</v>
      </c>
      <c r="AV14" s="253">
        <f>3992-AU14</f>
        <v>2065</v>
      </c>
      <c r="AW14" s="253">
        <f>6004-AV14-AU14</f>
        <v>2012</v>
      </c>
      <c r="AX14" s="253">
        <f>8023-AW14-AV14-AU14</f>
        <v>2019</v>
      </c>
      <c r="AY14" s="50">
        <f t="shared" si="15"/>
        <v>8023</v>
      </c>
      <c r="AZ14" s="253">
        <v>2300</v>
      </c>
      <c r="BA14" s="253">
        <f>4486-AZ14</f>
        <v>2186</v>
      </c>
      <c r="BB14" s="253">
        <f>6833-BA14-AZ14</f>
        <v>2347</v>
      </c>
      <c r="BC14" s="360">
        <f>12728-BB14-BA14-AZ14</f>
        <v>5895</v>
      </c>
      <c r="BD14" s="359">
        <f t="shared" ref="BD14:BD28" si="21">SUM(AZ14:BC14)</f>
        <v>12728</v>
      </c>
      <c r="BE14" s="253">
        <v>3533</v>
      </c>
      <c r="BF14" s="45">
        <f>6712-BE14</f>
        <v>3179</v>
      </c>
      <c r="BG14" s="45">
        <f>9978-BF14-BE14</f>
        <v>3266</v>
      </c>
      <c r="BH14" s="57">
        <f>12510-BG14-BF14-BE14</f>
        <v>2532</v>
      </c>
      <c r="BI14" s="50">
        <f t="shared" ref="BI14:BI28" si="22">SUM(BE14:BH14)</f>
        <v>12510</v>
      </c>
      <c r="BJ14" s="45">
        <v>5294</v>
      </c>
      <c r="BK14" s="45">
        <f>8169-BJ14</f>
        <v>2875</v>
      </c>
      <c r="BL14" s="45">
        <f>11316-BK14-BJ14</f>
        <v>3147</v>
      </c>
      <c r="BM14" s="57">
        <v>3374</v>
      </c>
      <c r="BN14" s="50">
        <f t="shared" si="3"/>
        <v>14690</v>
      </c>
      <c r="BO14" s="45">
        <v>4344</v>
      </c>
      <c r="BP14" s="45">
        <f>9353-BO14</f>
        <v>5009</v>
      </c>
      <c r="BQ14" s="45">
        <f>14246-BP14-BO14</f>
        <v>4893</v>
      </c>
      <c r="BR14" s="57">
        <f>18936-BQ14-BP14-BO14</f>
        <v>4690</v>
      </c>
      <c r="BS14" s="50">
        <f t="shared" si="4"/>
        <v>18936</v>
      </c>
      <c r="BT14" s="45">
        <v>6925</v>
      </c>
      <c r="BU14" s="45">
        <v>7499</v>
      </c>
      <c r="BV14" s="45">
        <v>6849</v>
      </c>
      <c r="BW14" s="57">
        <f>27574-BV14-BU14-BT14</f>
        <v>6301</v>
      </c>
      <c r="BX14" s="50">
        <f t="shared" si="16"/>
        <v>27574</v>
      </c>
      <c r="BY14" s="45">
        <v>9015</v>
      </c>
      <c r="BZ14" s="45">
        <v>8661</v>
      </c>
      <c r="CA14" s="45">
        <f>25636-BZ14-BY14</f>
        <v>7960</v>
      </c>
      <c r="CB14" s="57">
        <v>7763</v>
      </c>
      <c r="CC14" s="50">
        <f t="shared" si="17"/>
        <v>33399</v>
      </c>
      <c r="CD14" s="45">
        <f>IS!CD37</f>
        <v>11780</v>
      </c>
      <c r="CE14" s="45">
        <v>12881</v>
      </c>
      <c r="CF14" s="45">
        <v>11436</v>
      </c>
      <c r="CG14" s="143">
        <f>45508-CF14-CE14-CD14</f>
        <v>9411</v>
      </c>
      <c r="CH14" s="50">
        <f t="shared" si="18"/>
        <v>45508</v>
      </c>
      <c r="CI14" s="45">
        <v>20018</v>
      </c>
      <c r="CJ14" s="45">
        <v>11494</v>
      </c>
      <c r="CK14" s="45">
        <v>10752</v>
      </c>
      <c r="CL14" s="57">
        <f t="shared" si="8"/>
        <v>12293</v>
      </c>
      <c r="CM14" s="50">
        <v>54557</v>
      </c>
      <c r="CN14" s="45">
        <v>13867</v>
      </c>
      <c r="CO14" s="45">
        <v>14998</v>
      </c>
      <c r="CP14" s="523">
        <f>43318-CO14-CN14</f>
        <v>14453</v>
      </c>
      <c r="CQ14" s="57">
        <f t="shared" si="9"/>
        <v>10410</v>
      </c>
      <c r="CR14" s="50">
        <v>53728</v>
      </c>
      <c r="CS14" s="45">
        <f>IS!CS37</f>
        <v>17200</v>
      </c>
      <c r="CT14" s="45">
        <f>IS!CT37</f>
        <v>16635</v>
      </c>
      <c r="CU14" s="45">
        <f>IS!CU37</f>
        <v>16635</v>
      </c>
      <c r="CV14" s="57">
        <f>IS!CV37</f>
        <v>16635</v>
      </c>
      <c r="CW14" s="50">
        <f t="shared" si="19"/>
        <v>67105</v>
      </c>
    </row>
    <row r="15" spans="2:101" hidden="1">
      <c r="B15" s="24"/>
      <c r="C15" t="s">
        <v>75</v>
      </c>
      <c r="D15" s="32"/>
      <c r="E15" s="32"/>
      <c r="F15" s="56">
        <v>68</v>
      </c>
      <c r="G15" s="56"/>
      <c r="H15" s="45"/>
      <c r="I15" s="45"/>
      <c r="J15" s="57"/>
      <c r="K15" s="56">
        <v>45</v>
      </c>
      <c r="L15" s="56">
        <v>-115</v>
      </c>
      <c r="M15" s="45"/>
      <c r="N15" s="45"/>
      <c r="O15" s="57"/>
      <c r="P15" s="50">
        <v>381</v>
      </c>
      <c r="Q15" s="56">
        <v>27</v>
      </c>
      <c r="R15" s="45">
        <v>0</v>
      </c>
      <c r="S15" s="45">
        <f>27-R15-Q15</f>
        <v>0</v>
      </c>
      <c r="T15" s="57">
        <f t="shared" si="20"/>
        <v>0</v>
      </c>
      <c r="U15" s="50">
        <v>27</v>
      </c>
      <c r="V15" s="56"/>
      <c r="W15" s="45"/>
      <c r="X15" s="45"/>
      <c r="Y15" s="57"/>
      <c r="Z15" s="50">
        <f t="shared" si="11"/>
        <v>0</v>
      </c>
      <c r="AA15" s="56"/>
      <c r="AB15" s="45"/>
      <c r="AC15" s="45"/>
      <c r="AD15" s="57"/>
      <c r="AE15" s="50">
        <f t="shared" si="0"/>
        <v>0</v>
      </c>
      <c r="AF15" s="56"/>
      <c r="AG15" s="45"/>
      <c r="AH15" s="76"/>
      <c r="AI15" s="114"/>
      <c r="AJ15" s="50">
        <f t="shared" si="12"/>
        <v>0</v>
      </c>
      <c r="AK15" s="150"/>
      <c r="AL15" s="76"/>
      <c r="AM15" s="76"/>
      <c r="AN15" s="114"/>
      <c r="AO15" s="50">
        <f t="shared" si="13"/>
        <v>0</v>
      </c>
      <c r="AP15" s="56"/>
      <c r="AQ15" s="76"/>
      <c r="AR15" s="76"/>
      <c r="AS15" s="114"/>
      <c r="AT15" s="50">
        <f t="shared" si="14"/>
        <v>0</v>
      </c>
      <c r="AU15" s="150"/>
      <c r="AV15" s="253"/>
      <c r="AW15" s="253"/>
      <c r="AX15" s="253"/>
      <c r="AY15" s="50">
        <f t="shared" si="15"/>
        <v>0</v>
      </c>
      <c r="AZ15" s="361"/>
      <c r="BA15" s="253"/>
      <c r="BB15" s="253"/>
      <c r="BC15" s="360"/>
      <c r="BD15" s="359">
        <f t="shared" si="21"/>
        <v>0</v>
      </c>
      <c r="BE15" s="361"/>
      <c r="BF15" s="45"/>
      <c r="BG15" s="45"/>
      <c r="BH15" s="57"/>
      <c r="BI15" s="50">
        <f t="shared" si="22"/>
        <v>0</v>
      </c>
      <c r="BJ15" s="150"/>
      <c r="BK15" s="45"/>
      <c r="BL15" s="45"/>
      <c r="BM15" s="57"/>
      <c r="BN15" s="50">
        <f t="shared" si="3"/>
        <v>0</v>
      </c>
      <c r="BO15" s="150"/>
      <c r="BP15" s="45"/>
      <c r="BQ15" s="45"/>
      <c r="BR15" s="57"/>
      <c r="BS15" s="50">
        <f t="shared" si="4"/>
        <v>0</v>
      </c>
      <c r="BT15" s="150"/>
      <c r="BU15" s="45"/>
      <c r="BV15" s="45"/>
      <c r="BW15" s="57"/>
      <c r="BX15" s="50">
        <f t="shared" si="16"/>
        <v>0</v>
      </c>
      <c r="BY15" s="150"/>
      <c r="BZ15" s="45"/>
      <c r="CA15" s="45"/>
      <c r="CB15" s="57"/>
      <c r="CC15" s="50">
        <f t="shared" si="17"/>
        <v>0</v>
      </c>
      <c r="CD15" s="45"/>
      <c r="CE15" s="45"/>
      <c r="CF15" s="45"/>
      <c r="CG15" s="143"/>
      <c r="CH15" s="50">
        <f t="shared" si="18"/>
        <v>0</v>
      </c>
      <c r="CI15" s="45"/>
      <c r="CJ15" s="45"/>
      <c r="CK15" s="45"/>
      <c r="CL15" s="57">
        <f t="shared" si="8"/>
        <v>0</v>
      </c>
      <c r="CM15" s="50"/>
      <c r="CN15" s="45"/>
      <c r="CO15" s="45"/>
      <c r="CP15" s="523"/>
      <c r="CQ15" s="57">
        <f t="shared" si="9"/>
        <v>0</v>
      </c>
      <c r="CR15" s="50"/>
      <c r="CS15" s="45"/>
      <c r="CT15" s="45"/>
      <c r="CU15" s="45"/>
      <c r="CV15" s="57"/>
      <c r="CW15" s="50">
        <f t="shared" si="19"/>
        <v>0</v>
      </c>
    </row>
    <row r="16" spans="2:101" hidden="1">
      <c r="B16" s="24"/>
      <c r="C16" t="s">
        <v>95</v>
      </c>
      <c r="D16" s="32"/>
      <c r="E16" s="32"/>
      <c r="F16" s="56">
        <v>57</v>
      </c>
      <c r="G16" s="56"/>
      <c r="H16" s="45"/>
      <c r="I16" s="45"/>
      <c r="J16" s="57"/>
      <c r="K16" s="56">
        <v>33</v>
      </c>
      <c r="L16" s="56"/>
      <c r="M16" s="45"/>
      <c r="N16" s="45"/>
      <c r="O16" s="57"/>
      <c r="P16" s="50"/>
      <c r="Q16" s="56"/>
      <c r="R16" s="45"/>
      <c r="S16" s="45"/>
      <c r="T16" s="57">
        <f t="shared" si="20"/>
        <v>1</v>
      </c>
      <c r="U16" s="50">
        <v>1</v>
      </c>
      <c r="V16" s="56"/>
      <c r="W16" s="45"/>
      <c r="X16" s="45"/>
      <c r="Y16" s="57"/>
      <c r="Z16" s="50">
        <f t="shared" si="11"/>
        <v>0</v>
      </c>
      <c r="AA16" s="56"/>
      <c r="AB16" s="45"/>
      <c r="AC16" s="45"/>
      <c r="AD16" s="57"/>
      <c r="AE16" s="50">
        <f t="shared" si="0"/>
        <v>0</v>
      </c>
      <c r="AF16" s="56"/>
      <c r="AG16" s="45"/>
      <c r="AH16" s="76"/>
      <c r="AI16" s="114"/>
      <c r="AJ16" s="50">
        <f t="shared" si="12"/>
        <v>0</v>
      </c>
      <c r="AK16" s="150"/>
      <c r="AL16" s="76"/>
      <c r="AM16" s="76"/>
      <c r="AN16" s="114"/>
      <c r="AO16" s="50">
        <f t="shared" si="13"/>
        <v>0</v>
      </c>
      <c r="AP16" s="56"/>
      <c r="AQ16" s="76"/>
      <c r="AR16" s="76"/>
      <c r="AS16" s="114"/>
      <c r="AT16" s="50">
        <f t="shared" si="14"/>
        <v>0</v>
      </c>
      <c r="AU16" s="150"/>
      <c r="AV16" s="253"/>
      <c r="AW16" s="253"/>
      <c r="AX16" s="253"/>
      <c r="AY16" s="50">
        <f t="shared" si="15"/>
        <v>0</v>
      </c>
      <c r="AZ16" s="361"/>
      <c r="BA16" s="253"/>
      <c r="BB16" s="253"/>
      <c r="BC16" s="360"/>
      <c r="BD16" s="359">
        <f t="shared" si="21"/>
        <v>0</v>
      </c>
      <c r="BE16" s="361"/>
      <c r="BF16" s="45"/>
      <c r="BG16" s="45"/>
      <c r="BH16" s="57"/>
      <c r="BI16" s="50">
        <f t="shared" si="22"/>
        <v>0</v>
      </c>
      <c r="BJ16" s="150"/>
      <c r="BK16" s="45"/>
      <c r="BL16" s="45"/>
      <c r="BM16" s="57"/>
      <c r="BN16" s="50">
        <f t="shared" si="3"/>
        <v>0</v>
      </c>
      <c r="BO16" s="150"/>
      <c r="BP16" s="45"/>
      <c r="BQ16" s="45"/>
      <c r="BR16" s="57"/>
      <c r="BS16" s="50">
        <f t="shared" si="4"/>
        <v>0</v>
      </c>
      <c r="BT16" s="150"/>
      <c r="BU16" s="45"/>
      <c r="BV16" s="45"/>
      <c r="BW16" s="57"/>
      <c r="BX16" s="50">
        <f t="shared" si="16"/>
        <v>0</v>
      </c>
      <c r="BY16" s="150"/>
      <c r="BZ16" s="45"/>
      <c r="CA16" s="45"/>
      <c r="CB16" s="57"/>
      <c r="CC16" s="50">
        <f t="shared" si="17"/>
        <v>0</v>
      </c>
      <c r="CD16" s="45"/>
      <c r="CE16" s="45"/>
      <c r="CF16" s="45"/>
      <c r="CG16" s="143"/>
      <c r="CH16" s="50">
        <f t="shared" si="18"/>
        <v>0</v>
      </c>
      <c r="CI16" s="45"/>
      <c r="CJ16" s="45"/>
      <c r="CK16" s="45"/>
      <c r="CL16" s="57">
        <f t="shared" si="8"/>
        <v>0</v>
      </c>
      <c r="CM16" s="50"/>
      <c r="CN16" s="45"/>
      <c r="CO16" s="45"/>
      <c r="CP16" s="523"/>
      <c r="CQ16" s="57">
        <f t="shared" si="9"/>
        <v>0</v>
      </c>
      <c r="CR16" s="50"/>
      <c r="CS16" s="45"/>
      <c r="CT16" s="45"/>
      <c r="CU16" s="45"/>
      <c r="CV16" s="57"/>
      <c r="CW16" s="50">
        <f t="shared" si="19"/>
        <v>0</v>
      </c>
    </row>
    <row r="17" spans="2:101">
      <c r="B17" s="24"/>
      <c r="C17" s="254" t="s">
        <v>550</v>
      </c>
      <c r="D17" s="32"/>
      <c r="E17" s="32"/>
      <c r="F17" s="113">
        <v>-6</v>
      </c>
      <c r="G17" s="113"/>
      <c r="H17" s="64"/>
      <c r="I17" s="64"/>
      <c r="J17" s="664"/>
      <c r="K17" s="113">
        <v>-8</v>
      </c>
      <c r="L17" s="113">
        <f>8-6</f>
        <v>2</v>
      </c>
      <c r="M17" s="64"/>
      <c r="N17" s="64"/>
      <c r="O17" s="664"/>
      <c r="P17" s="112">
        <v>-6</v>
      </c>
      <c r="Q17" s="113">
        <v>2</v>
      </c>
      <c r="R17" s="64">
        <f>3-Q17</f>
        <v>1</v>
      </c>
      <c r="S17" s="64">
        <f>1-18-R17-Q17</f>
        <v>-20</v>
      </c>
      <c r="T17" s="664">
        <f t="shared" ref="T17" si="23">U17-SUM(Q17:S17)</f>
        <v>0</v>
      </c>
      <c r="U17" s="112">
        <v>-17</v>
      </c>
      <c r="V17" s="113">
        <v>0</v>
      </c>
      <c r="W17" s="64"/>
      <c r="X17" s="64"/>
      <c r="Y17" s="664">
        <v>-10</v>
      </c>
      <c r="Z17" s="112">
        <f t="shared" ref="Z17" si="24">SUM(V17:Y17)</f>
        <v>-10</v>
      </c>
      <c r="AA17" s="113"/>
      <c r="AB17" s="64"/>
      <c r="AC17" s="64"/>
      <c r="AD17" s="664">
        <v>-42</v>
      </c>
      <c r="AE17" s="112">
        <f t="shared" ref="AE17" si="25">SUM(AA17:AD17)</f>
        <v>-42</v>
      </c>
      <c r="AF17" s="64">
        <v>0</v>
      </c>
      <c r="AG17" s="64">
        <f>2512-AF17</f>
        <v>2512</v>
      </c>
      <c r="AH17" s="98">
        <f>2643-AG17-AF17</f>
        <v>131</v>
      </c>
      <c r="AI17" s="834">
        <f>28-AH17-AG17</f>
        <v>-2615</v>
      </c>
      <c r="AJ17" s="112">
        <f t="shared" ref="AJ17" si="26">SUM(AF17:AI17)</f>
        <v>28</v>
      </c>
      <c r="AK17" s="76"/>
      <c r="AL17" s="76"/>
      <c r="AM17" s="76"/>
      <c r="AN17" s="114"/>
      <c r="AO17" s="50"/>
      <c r="AP17" s="45"/>
      <c r="AQ17" s="76"/>
      <c r="AR17" s="76"/>
      <c r="AS17" s="114"/>
      <c r="AT17" s="50"/>
      <c r="AU17" s="76"/>
      <c r="AV17" s="253"/>
      <c r="AW17" s="253"/>
      <c r="AX17" s="253"/>
      <c r="AY17" s="50"/>
      <c r="AZ17" s="253">
        <v>-25</v>
      </c>
      <c r="BA17" s="253">
        <f>9-AZ17</f>
        <v>34</v>
      </c>
      <c r="BB17" s="253">
        <f>-19-BA17-AZ17</f>
        <v>-28</v>
      </c>
      <c r="BC17" s="57">
        <f>-15-BB17-BA17-AZ17</f>
        <v>4</v>
      </c>
      <c r="BD17" s="359">
        <f t="shared" si="21"/>
        <v>-15</v>
      </c>
      <c r="BE17" s="253">
        <v>-32</v>
      </c>
      <c r="BF17" s="45">
        <f>-211-BE17</f>
        <v>-179</v>
      </c>
      <c r="BG17" s="45">
        <f>-255-BF17-BE17</f>
        <v>-44</v>
      </c>
      <c r="BH17" s="57">
        <f>-364-BG17-BF17-BE17</f>
        <v>-109</v>
      </c>
      <c r="BI17" s="50">
        <f t="shared" si="22"/>
        <v>-364</v>
      </c>
      <c r="BJ17" s="76">
        <v>-240</v>
      </c>
      <c r="BK17" s="45">
        <f>-357-BJ17</f>
        <v>-117</v>
      </c>
      <c r="BL17" s="45">
        <f>-551-BK17-BJ17</f>
        <v>-194</v>
      </c>
      <c r="BM17" s="57">
        <v>-23</v>
      </c>
      <c r="BN17" s="50">
        <f t="shared" si="3"/>
        <v>-574</v>
      </c>
      <c r="BO17" s="76">
        <v>-105</v>
      </c>
      <c r="BP17" s="45">
        <f>-129-BO17</f>
        <v>-24</v>
      </c>
      <c r="BQ17" s="45">
        <f>-16-BP17-BO17</f>
        <v>113</v>
      </c>
      <c r="BR17" s="57">
        <f>-24-BQ17-BP17-BO17</f>
        <v>-8</v>
      </c>
      <c r="BS17" s="50">
        <f t="shared" ref="BS17:BS28" si="27">SUM(BO17:BR17)</f>
        <v>-24</v>
      </c>
      <c r="BT17" s="76">
        <v>76</v>
      </c>
      <c r="BU17" s="45">
        <v>94</v>
      </c>
      <c r="BV17" s="45">
        <v>64</v>
      </c>
      <c r="BW17" s="57">
        <f>323-BV17-BU17-BT17</f>
        <v>89</v>
      </c>
      <c r="BX17" s="50">
        <f t="shared" ref="BX17:BX27" si="28">SUM(BT17:BW17)</f>
        <v>323</v>
      </c>
      <c r="BY17" s="76">
        <v>-7</v>
      </c>
      <c r="BZ17" s="45">
        <v>15</v>
      </c>
      <c r="CA17" s="45">
        <f>43-BZ17-BY17</f>
        <v>35</v>
      </c>
      <c r="CB17" s="57">
        <v>177</v>
      </c>
      <c r="CC17" s="50">
        <f>SUM(BY17:CB17)</f>
        <v>220</v>
      </c>
      <c r="CD17" s="45">
        <v>502</v>
      </c>
      <c r="CE17" s="45">
        <v>641</v>
      </c>
      <c r="CF17" s="45">
        <v>568</v>
      </c>
      <c r="CG17" s="143">
        <f>2415-CF17-CE17-CD17</f>
        <v>704</v>
      </c>
      <c r="CH17" s="50">
        <f t="shared" si="18"/>
        <v>2415</v>
      </c>
      <c r="CI17" s="45">
        <v>-431</v>
      </c>
      <c r="CJ17" s="45">
        <v>-476</v>
      </c>
      <c r="CK17" s="45">
        <v>-18</v>
      </c>
      <c r="CL17" s="57">
        <f t="shared" si="8"/>
        <v>1502</v>
      </c>
      <c r="CM17" s="50">
        <v>577</v>
      </c>
      <c r="CN17" s="45">
        <v>168</v>
      </c>
      <c r="CO17" s="45">
        <v>106</v>
      </c>
      <c r="CP17" s="523">
        <f>-343-CO17-CN17</f>
        <v>-617</v>
      </c>
      <c r="CQ17" s="57">
        <f t="shared" si="9"/>
        <v>-744</v>
      </c>
      <c r="CR17" s="50">
        <v>-1087</v>
      </c>
      <c r="CS17" s="45"/>
      <c r="CT17" s="45"/>
      <c r="CU17" s="45"/>
      <c r="CV17" s="57"/>
      <c r="CW17" s="50">
        <f t="shared" si="19"/>
        <v>0</v>
      </c>
    </row>
    <row r="18" spans="2:101">
      <c r="B18" s="24"/>
      <c r="C18" t="s">
        <v>40</v>
      </c>
      <c r="D18" s="32"/>
      <c r="E18" s="32"/>
      <c r="F18" s="56">
        <v>-800</v>
      </c>
      <c r="G18" s="56"/>
      <c r="H18" s="45"/>
      <c r="I18" s="45"/>
      <c r="J18" s="57"/>
      <c r="K18" s="56">
        <v>-811</v>
      </c>
      <c r="L18" s="56">
        <v>-166</v>
      </c>
      <c r="M18" s="45"/>
      <c r="N18" s="45"/>
      <c r="O18" s="57"/>
      <c r="P18" s="50">
        <v>-641</v>
      </c>
      <c r="Q18" s="56">
        <v>-460</v>
      </c>
      <c r="R18" s="45">
        <f>-385-Q18</f>
        <v>75</v>
      </c>
      <c r="S18" s="45">
        <f>-975-R18-Q18</f>
        <v>-590</v>
      </c>
      <c r="T18" s="57">
        <f t="shared" si="20"/>
        <v>-106</v>
      </c>
      <c r="U18" s="50">
        <v>-1081</v>
      </c>
      <c r="V18" s="56">
        <v>-837</v>
      </c>
      <c r="W18" s="45">
        <f>-1799-V18</f>
        <v>-962</v>
      </c>
      <c r="X18" s="45">
        <v>-466</v>
      </c>
      <c r="Y18" s="57">
        <f>-2810-X18-W18-V18</f>
        <v>-545</v>
      </c>
      <c r="Z18" s="50">
        <f t="shared" si="11"/>
        <v>-2810</v>
      </c>
      <c r="AA18" s="45">
        <v>-105</v>
      </c>
      <c r="AB18" s="45">
        <f>BS!AA8-BS!AB8-CF!AB11</f>
        <v>-1130</v>
      </c>
      <c r="AC18" s="45">
        <f>-1184-AB18-AA18</f>
        <v>51</v>
      </c>
      <c r="AD18" s="57">
        <f>-2067-AC18-AB18-AA18</f>
        <v>-883</v>
      </c>
      <c r="AE18" s="50">
        <f t="shared" si="0"/>
        <v>-2067</v>
      </c>
      <c r="AF18" s="45">
        <v>72</v>
      </c>
      <c r="AG18" s="45">
        <f>-951-AF18</f>
        <v>-1023</v>
      </c>
      <c r="AH18" s="76">
        <f>-523-AG18-AF18</f>
        <v>428</v>
      </c>
      <c r="AI18" s="114">
        <f>-1150-AH18-AG18-AF18</f>
        <v>-627</v>
      </c>
      <c r="AJ18" s="50">
        <f t="shared" si="12"/>
        <v>-1150</v>
      </c>
      <c r="AK18" s="76">
        <v>-712</v>
      </c>
      <c r="AL18" s="76">
        <f>-2060-AK18</f>
        <v>-1348</v>
      </c>
      <c r="AM18" s="76">
        <f>-2490-AL18-AK18</f>
        <v>-430</v>
      </c>
      <c r="AN18" s="114">
        <v>-1400</v>
      </c>
      <c r="AO18" s="50">
        <f t="shared" si="13"/>
        <v>-3890</v>
      </c>
      <c r="AP18" s="45">
        <v>-594</v>
      </c>
      <c r="AQ18" s="76">
        <f>-2397-AP18</f>
        <v>-1803</v>
      </c>
      <c r="AR18" s="76">
        <f>-3427-AQ18-AP18</f>
        <v>-1030</v>
      </c>
      <c r="AS18" s="114">
        <f>-3517-AR18-AQ18-AP18</f>
        <v>-90</v>
      </c>
      <c r="AT18" s="50">
        <f t="shared" si="14"/>
        <v>-3517</v>
      </c>
      <c r="AU18" s="76">
        <v>-2189</v>
      </c>
      <c r="AV18" s="253">
        <f>-2495-AU18</f>
        <v>-306</v>
      </c>
      <c r="AW18" s="253">
        <f>-3879-AV18-AU18</f>
        <v>-1384</v>
      </c>
      <c r="AX18" s="253">
        <f>-3735-AW18-AV18-AU18</f>
        <v>144</v>
      </c>
      <c r="AY18" s="50">
        <f t="shared" si="15"/>
        <v>-3735</v>
      </c>
      <c r="AZ18" s="253">
        <v>-2201</v>
      </c>
      <c r="BA18" s="253">
        <f>-1607-AZ18</f>
        <v>594</v>
      </c>
      <c r="BB18" s="253">
        <f>-4476-BA18-AZ18</f>
        <v>-2869</v>
      </c>
      <c r="BC18" s="360">
        <f>-5586-BB18-BA18-AZ18</f>
        <v>-1110</v>
      </c>
      <c r="BD18" s="359">
        <f t="shared" si="21"/>
        <v>-5586</v>
      </c>
      <c r="BE18" s="253">
        <v>-1520</v>
      </c>
      <c r="BF18" s="253">
        <f>-4373-BE18</f>
        <v>-2853</v>
      </c>
      <c r="BG18" s="253">
        <f>-4279-BF18-BE18</f>
        <v>94</v>
      </c>
      <c r="BH18" s="57">
        <f>-4569-BG18-BF18-BE18</f>
        <v>-290</v>
      </c>
      <c r="BI18" s="50">
        <f t="shared" si="22"/>
        <v>-4569</v>
      </c>
      <c r="BJ18" s="45">
        <v>-1328</v>
      </c>
      <c r="BK18" s="45">
        <f>-4769-BJ18</f>
        <v>-3441</v>
      </c>
      <c r="BL18" s="45">
        <f>-3670-BK18-BJ18</f>
        <v>1099</v>
      </c>
      <c r="BM18" s="57">
        <v>-3101</v>
      </c>
      <c r="BN18" s="50">
        <f t="shared" si="3"/>
        <v>-6771</v>
      </c>
      <c r="BO18" s="45">
        <v>-1053</v>
      </c>
      <c r="BP18" s="45">
        <f>-7071-BO18</f>
        <v>-6018</v>
      </c>
      <c r="BQ18" s="45">
        <f>-4551-BP18-BO18</f>
        <v>2520</v>
      </c>
      <c r="BR18" s="57">
        <f>-5922-BQ18-BP18-BO18</f>
        <v>-1371</v>
      </c>
      <c r="BS18" s="50">
        <f t="shared" si="27"/>
        <v>-5922</v>
      </c>
      <c r="BT18" s="45">
        <v>-2828</v>
      </c>
      <c r="BU18" s="45">
        <v>-4117</v>
      </c>
      <c r="BV18" s="45">
        <v>1618</v>
      </c>
      <c r="BW18" s="57">
        <f>-4959-BV18-BU18-BT18</f>
        <v>368</v>
      </c>
      <c r="BX18" s="50">
        <f t="shared" si="28"/>
        <v>-4959</v>
      </c>
      <c r="BY18" s="45">
        <v>-5563</v>
      </c>
      <c r="BZ18" s="45">
        <v>-2299</v>
      </c>
      <c r="CA18" s="45">
        <f>+-3999-BZ18-BY18</f>
        <v>3863</v>
      </c>
      <c r="CB18" s="57">
        <v>-2436</v>
      </c>
      <c r="CC18" s="50">
        <f t="shared" ref="CC18:CC27" si="29">SUM(BY18:CB18)</f>
        <v>-6435</v>
      </c>
      <c r="CD18" s="64">
        <v>-6220</v>
      </c>
      <c r="CE18" s="45">
        <v>-3717</v>
      </c>
      <c r="CF18" s="45">
        <v>1137</v>
      </c>
      <c r="CG18" s="143">
        <f>-11949-CF18-CE18-CD18</f>
        <v>-3149</v>
      </c>
      <c r="CH18" s="50">
        <f t="shared" ref="CH18:CH27" si="30">SUM(CD18:CG18)</f>
        <v>-11949</v>
      </c>
      <c r="CI18" s="45">
        <v>-6759</v>
      </c>
      <c r="CJ18" s="45">
        <v>-4648</v>
      </c>
      <c r="CK18" s="45">
        <v>-49</v>
      </c>
      <c r="CL18" s="57">
        <f t="shared" si="8"/>
        <v>1803</v>
      </c>
      <c r="CM18" s="50">
        <v>-9653</v>
      </c>
      <c r="CN18" s="45">
        <v>-7443</v>
      </c>
      <c r="CO18" s="45">
        <v>-6270</v>
      </c>
      <c r="CP18" s="523">
        <f>-16301-CO18-CN18</f>
        <v>-2588</v>
      </c>
      <c r="CQ18" s="57">
        <f t="shared" si="9"/>
        <v>-3996</v>
      </c>
      <c r="CR18" s="50">
        <v>-20297</v>
      </c>
      <c r="CS18" s="45">
        <f>BS!CR8-BS!CS8-CF!CS11</f>
        <v>3397.5672149999955</v>
      </c>
      <c r="CT18" s="45">
        <f>BS!CS8-BS!CT8-CF!CT11</f>
        <v>-2872.1448149999997</v>
      </c>
      <c r="CU18" s="45">
        <f>BS!CT8-BS!CU8-CF!CU11</f>
        <v>-3417.8207039999979</v>
      </c>
      <c r="CV18" s="57">
        <f>BS!CU8-BS!CV8-CF!CV11</f>
        <v>-2370.6668159999972</v>
      </c>
      <c r="CW18" s="50">
        <f t="shared" ref="CW18:CW27" si="31">SUM(CS18:CV18)</f>
        <v>-5263.0651199999993</v>
      </c>
    </row>
    <row r="19" spans="2:101">
      <c r="B19" s="24"/>
      <c r="C19" t="s">
        <v>42</v>
      </c>
      <c r="D19" s="32"/>
      <c r="E19" s="32"/>
      <c r="F19" s="113">
        <v>54</v>
      </c>
      <c r="G19" s="113"/>
      <c r="H19" s="64"/>
      <c r="I19" s="64"/>
      <c r="J19" s="664"/>
      <c r="K19" s="113">
        <v>232</v>
      </c>
      <c r="L19" s="113">
        <v>-9</v>
      </c>
      <c r="M19" s="64"/>
      <c r="N19" s="64"/>
      <c r="O19" s="664"/>
      <c r="P19" s="112">
        <v>-655</v>
      </c>
      <c r="Q19" s="113">
        <v>-573</v>
      </c>
      <c r="R19" s="64">
        <f>484-Q19</f>
        <v>1057</v>
      </c>
      <c r="S19" s="64">
        <f>450-R19-Q19</f>
        <v>-34</v>
      </c>
      <c r="T19" s="664">
        <f t="shared" si="20"/>
        <v>117</v>
      </c>
      <c r="U19" s="112">
        <v>567</v>
      </c>
      <c r="V19" s="113">
        <v>-360</v>
      </c>
      <c r="W19" s="64">
        <f>-593-V19</f>
        <v>-233</v>
      </c>
      <c r="X19" s="64">
        <v>329</v>
      </c>
      <c r="Y19" s="664">
        <f>-882-X19-W19-V19</f>
        <v>-618</v>
      </c>
      <c r="Z19" s="112">
        <f t="shared" si="11"/>
        <v>-882</v>
      </c>
      <c r="AA19" s="64">
        <v>-144</v>
      </c>
      <c r="AB19" s="64">
        <v>301</v>
      </c>
      <c r="AC19" s="64">
        <f>-484-AB19-AA19</f>
        <v>-641</v>
      </c>
      <c r="AD19" s="664">
        <f>-3534-AC19-AB19-AA19</f>
        <v>-3050</v>
      </c>
      <c r="AE19" s="112">
        <f t="shared" si="0"/>
        <v>-3534</v>
      </c>
      <c r="AF19" s="64">
        <v>2831</v>
      </c>
      <c r="AG19" s="64">
        <f>-1265-AF19</f>
        <v>-4096</v>
      </c>
      <c r="AH19" s="98">
        <f>-1770-AG19-AF19</f>
        <v>-505</v>
      </c>
      <c r="AI19" s="834">
        <f>2593-AH19-AG19-AF19</f>
        <v>4363</v>
      </c>
      <c r="AJ19" s="112">
        <f t="shared" si="12"/>
        <v>2593</v>
      </c>
      <c r="AK19" s="98">
        <v>66</v>
      </c>
      <c r="AL19" s="98">
        <f>-491-AK19</f>
        <v>-557</v>
      </c>
      <c r="AM19" s="98">
        <f>-929-AL19-AK19</f>
        <v>-438</v>
      </c>
      <c r="AN19" s="834">
        <v>210</v>
      </c>
      <c r="AO19" s="112">
        <f t="shared" si="13"/>
        <v>-719</v>
      </c>
      <c r="AP19" s="64">
        <v>-105</v>
      </c>
      <c r="AQ19" s="98">
        <f>-2710-AP19</f>
        <v>-2605</v>
      </c>
      <c r="AR19" s="98">
        <f>-2056-AQ19-AP19</f>
        <v>654</v>
      </c>
      <c r="AS19" s="834">
        <f>-2037-AR19-AQ19-AP19</f>
        <v>19</v>
      </c>
      <c r="AT19" s="112">
        <f t="shared" si="14"/>
        <v>-2037</v>
      </c>
      <c r="AU19" s="98">
        <v>99</v>
      </c>
      <c r="AV19" s="373">
        <f>-3138-AU19</f>
        <v>-3237</v>
      </c>
      <c r="AW19" s="373">
        <f>-2840-AV19-AU19</f>
        <v>298</v>
      </c>
      <c r="AX19" s="373">
        <f>-1911-AW19-AV19-AU19</f>
        <v>929</v>
      </c>
      <c r="AY19" s="112">
        <f t="shared" si="15"/>
        <v>-1911</v>
      </c>
      <c r="AZ19" s="373">
        <f>180</f>
        <v>180</v>
      </c>
      <c r="BA19" s="373">
        <f>-3-AZ19</f>
        <v>-183</v>
      </c>
      <c r="BB19" s="373">
        <f>1135-BA19-AZ19</f>
        <v>1138</v>
      </c>
      <c r="BC19" s="664">
        <f>393-BB19-BA19-AZ19</f>
        <v>-742</v>
      </c>
      <c r="BD19" s="826">
        <f t="shared" si="21"/>
        <v>393</v>
      </c>
      <c r="BE19" s="373">
        <v>367</v>
      </c>
      <c r="BF19" s="373">
        <f>-710-BE19</f>
        <v>-1077</v>
      </c>
      <c r="BG19" s="373">
        <f>-681-BF19-BE19</f>
        <v>29</v>
      </c>
      <c r="BH19" s="664">
        <f>-3333-BG19-BF19-BE19</f>
        <v>-2652</v>
      </c>
      <c r="BI19" s="112">
        <f t="shared" si="22"/>
        <v>-3333</v>
      </c>
      <c r="BJ19" s="64">
        <v>-337</v>
      </c>
      <c r="BK19" s="64">
        <f>-549-BJ19</f>
        <v>-212</v>
      </c>
      <c r="BL19" s="64">
        <f>-820-BK19-BJ19</f>
        <v>-271</v>
      </c>
      <c r="BM19" s="664">
        <f>-2768-BL19-BK19-BJ19</f>
        <v>-1948</v>
      </c>
      <c r="BN19" s="112">
        <f t="shared" si="3"/>
        <v>-2768</v>
      </c>
      <c r="BO19" s="64">
        <f>2041</f>
        <v>2041</v>
      </c>
      <c r="BP19" s="64">
        <f>3141-BO19</f>
        <v>1100</v>
      </c>
      <c r="BQ19" s="64">
        <f>2612-BP19-BO19</f>
        <v>-529</v>
      </c>
      <c r="BR19" s="664">
        <f>1201-BQ19-BP19-BO19</f>
        <v>-1411</v>
      </c>
      <c r="BS19" s="112">
        <f t="shared" ref="BS19" si="32">SUM(BO19:BR19)</f>
        <v>1201</v>
      </c>
      <c r="BT19" s="64">
        <v>-2257</v>
      </c>
      <c r="BU19" s="64">
        <v>1056</v>
      </c>
      <c r="BV19" s="64">
        <v>-2692</v>
      </c>
      <c r="BW19" s="664">
        <f>-6181-BV19-BU19-BT19</f>
        <v>-2288</v>
      </c>
      <c r="BX19" s="112">
        <f t="shared" ref="BX19" si="33">SUM(BT19:BW19)</f>
        <v>-6181</v>
      </c>
      <c r="BY19" s="64">
        <v>-6736</v>
      </c>
      <c r="BZ19" s="64">
        <v>5313</v>
      </c>
      <c r="CA19" s="64">
        <f>2202-BZ19-BY19</f>
        <v>3625</v>
      </c>
      <c r="CB19" s="664">
        <v>430</v>
      </c>
      <c r="CC19" s="112">
        <f t="shared" ref="CC19" si="34">SUM(BY19:CB19)</f>
        <v>2632</v>
      </c>
      <c r="CD19" s="64">
        <v>602</v>
      </c>
      <c r="CE19" s="64">
        <v>3010</v>
      </c>
      <c r="CF19" s="64">
        <v>-800</v>
      </c>
      <c r="CG19" s="835">
        <f>1834-CF19-CE19-CD19</f>
        <v>-978</v>
      </c>
      <c r="CH19" s="112">
        <f t="shared" ref="CH19" si="35">SUM(CD19:CG19)</f>
        <v>1834</v>
      </c>
      <c r="CI19" s="64">
        <v>3030</v>
      </c>
      <c r="CJ19" s="64">
        <v>-1131</v>
      </c>
      <c r="CK19" s="64">
        <v>-4157</v>
      </c>
      <c r="CL19" s="664">
        <f t="shared" ref="CL19" si="36">CM19-SUM(CI19:CK19)</f>
        <v>-5055</v>
      </c>
      <c r="CM19" s="112">
        <v>-7313</v>
      </c>
      <c r="CN19" s="64">
        <v>1174</v>
      </c>
      <c r="CO19" s="64">
        <v>-3432</v>
      </c>
      <c r="CP19" s="538">
        <f>-25233-CO19-CN19</f>
        <v>-22975</v>
      </c>
      <c r="CQ19" s="664">
        <f t="shared" ref="CQ19" si="37">CR19-SUM(CN19:CP19)</f>
        <v>-3453</v>
      </c>
      <c r="CR19" s="112">
        <v>-28686</v>
      </c>
      <c r="CS19" s="64">
        <f>BS!CR10-BS!CS10</f>
        <v>29826.83855</v>
      </c>
      <c r="CT19" s="64">
        <f>BS!CS10-BS!CT10</f>
        <v>-506.71055000000342</v>
      </c>
      <c r="CU19" s="64">
        <f>BS!CT10-BS!CU10</f>
        <v>-672.06687999999849</v>
      </c>
      <c r="CV19" s="664">
        <f>BS!CU10-BS!CV10</f>
        <v>-354.74751999999717</v>
      </c>
      <c r="CW19" s="112">
        <f t="shared" si="31"/>
        <v>28293.313600000001</v>
      </c>
    </row>
    <row r="20" spans="2:101">
      <c r="B20" s="24"/>
      <c r="C20" t="s">
        <v>76</v>
      </c>
      <c r="D20" s="32"/>
      <c r="E20" s="32"/>
      <c r="F20" s="56">
        <v>-2885</v>
      </c>
      <c r="G20" s="56"/>
      <c r="H20" s="45"/>
      <c r="I20" s="45"/>
      <c r="J20" s="57"/>
      <c r="K20" s="56">
        <v>-1659</v>
      </c>
      <c r="L20" s="56">
        <v>-16</v>
      </c>
      <c r="M20" s="45"/>
      <c r="N20" s="45"/>
      <c r="O20" s="57"/>
      <c r="P20" s="50">
        <v>-98</v>
      </c>
      <c r="Q20" s="56">
        <v>-235</v>
      </c>
      <c r="R20" s="45">
        <f>-488-Q20</f>
        <v>-253</v>
      </c>
      <c r="S20" s="45">
        <f>-724-R20-Q20</f>
        <v>-236</v>
      </c>
      <c r="T20" s="57">
        <f t="shared" si="20"/>
        <v>-195</v>
      </c>
      <c r="U20" s="50">
        <v>-919</v>
      </c>
      <c r="V20" s="56">
        <v>-255</v>
      </c>
      <c r="W20" s="45">
        <f>-708-V20</f>
        <v>-453</v>
      </c>
      <c r="X20" s="45">
        <v>-511</v>
      </c>
      <c r="Y20" s="57">
        <f>-1595-X20-W20-V20</f>
        <v>-376</v>
      </c>
      <c r="Z20" s="50">
        <f t="shared" si="11"/>
        <v>-1595</v>
      </c>
      <c r="AA20" s="45">
        <v>-497</v>
      </c>
      <c r="AB20" s="45">
        <v>-639</v>
      </c>
      <c r="AC20" s="45">
        <f>-1675-AB20-AA20</f>
        <v>-539</v>
      </c>
      <c r="AD20" s="57">
        <f>-2290-AC20-AB20-AA20</f>
        <v>-615</v>
      </c>
      <c r="AE20" s="50">
        <f t="shared" si="0"/>
        <v>-2290</v>
      </c>
      <c r="AF20" s="45">
        <v>-778</v>
      </c>
      <c r="AG20" s="45">
        <f>0-AF20</f>
        <v>778</v>
      </c>
      <c r="AH20" s="76"/>
      <c r="AI20" s="114">
        <f>-2184-AH20-AG20-AF20</f>
        <v>-2184</v>
      </c>
      <c r="AJ20" s="50">
        <f t="shared" si="12"/>
        <v>-2184</v>
      </c>
      <c r="AK20" s="76">
        <v>-764</v>
      </c>
      <c r="AL20" s="76">
        <f>-2260-AK20</f>
        <v>-1496</v>
      </c>
      <c r="AM20" s="76">
        <f>-3276-AL20-AK20</f>
        <v>-1016</v>
      </c>
      <c r="AN20" s="114">
        <v>-1314</v>
      </c>
      <c r="AO20" s="50">
        <f t="shared" si="13"/>
        <v>-4590</v>
      </c>
      <c r="AP20" s="45">
        <v>-863</v>
      </c>
      <c r="AQ20" s="76">
        <f>-2126-AP20</f>
        <v>-1263</v>
      </c>
      <c r="AR20" s="76">
        <f>-2904-AQ20-AP20</f>
        <v>-778</v>
      </c>
      <c r="AS20" s="114">
        <f>-3023-AR20-AQ20-AP20</f>
        <v>-119</v>
      </c>
      <c r="AT20" s="50">
        <f t="shared" si="14"/>
        <v>-3023</v>
      </c>
      <c r="AU20" s="76">
        <v>-765</v>
      </c>
      <c r="AV20" s="253">
        <f>-2592-AU20</f>
        <v>-1827</v>
      </c>
      <c r="AW20" s="253">
        <f>-4194-AV20-AU20</f>
        <v>-1602</v>
      </c>
      <c r="AX20" s="253">
        <f>-4964-AW20-AV20-AU20</f>
        <v>-770</v>
      </c>
      <c r="AY20" s="50">
        <f t="shared" si="15"/>
        <v>-4964</v>
      </c>
      <c r="AZ20" s="253">
        <v>-1649</v>
      </c>
      <c r="BA20" s="253">
        <f>-3025-AZ20</f>
        <v>-1376</v>
      </c>
      <c r="BB20" s="253">
        <f>-4487-BA20-AZ20</f>
        <v>-1462</v>
      </c>
      <c r="BC20" s="57">
        <f>-6548-BB20-BA20-AZ20</f>
        <v>-2061</v>
      </c>
      <c r="BD20" s="359">
        <f t="shared" si="21"/>
        <v>-6548</v>
      </c>
      <c r="BE20" s="253">
        <v>-1628</v>
      </c>
      <c r="BF20" s="253">
        <f>-2621-BE20</f>
        <v>-993</v>
      </c>
      <c r="BG20" s="253">
        <f>-3813-BF20-BE20</f>
        <v>-1192</v>
      </c>
      <c r="BH20" s="57">
        <f>-5564-BG20-BF20-BE20</f>
        <v>-1751</v>
      </c>
      <c r="BI20" s="50">
        <f t="shared" si="22"/>
        <v>-5564</v>
      </c>
      <c r="BJ20" s="45">
        <v>-414</v>
      </c>
      <c r="BK20" s="45">
        <f>-56-BJ20</f>
        <v>358</v>
      </c>
      <c r="BL20" s="45">
        <f>-151-BK20-BJ20</f>
        <v>-95</v>
      </c>
      <c r="BM20" s="57">
        <v>-1290</v>
      </c>
      <c r="BN20" s="50">
        <f t="shared" si="3"/>
        <v>-1441</v>
      </c>
      <c r="BO20" s="45">
        <v>-256</v>
      </c>
      <c r="BP20" s="45">
        <f>275-BO20</f>
        <v>531</v>
      </c>
      <c r="BQ20" s="45">
        <f>-1129-BP20-BO20</f>
        <v>-1404</v>
      </c>
      <c r="BR20" s="57">
        <f>-2481-BQ20-BP20-BO20</f>
        <v>-1352</v>
      </c>
      <c r="BS20" s="50">
        <f t="shared" si="27"/>
        <v>-2481</v>
      </c>
      <c r="BT20" s="45">
        <v>-986</v>
      </c>
      <c r="BU20" s="45">
        <v>-2352</v>
      </c>
      <c r="BV20" s="45">
        <v>-2348</v>
      </c>
      <c r="BW20" s="57">
        <f>-9299-BV20-BU20-BT20</f>
        <v>-3613</v>
      </c>
      <c r="BX20" s="50">
        <f t="shared" si="28"/>
        <v>-9299</v>
      </c>
      <c r="BY20" s="45">
        <v>-2797</v>
      </c>
      <c r="BZ20" s="45">
        <v>-2298</v>
      </c>
      <c r="CA20" s="45">
        <f>+-7174-BZ20-BY20</f>
        <v>-2079</v>
      </c>
      <c r="CB20" s="57">
        <v>-3472</v>
      </c>
      <c r="CC20" s="50">
        <f t="shared" si="29"/>
        <v>-10646</v>
      </c>
      <c r="CD20" s="64">
        <v>-1679</v>
      </c>
      <c r="CE20" s="45">
        <v>-3457</v>
      </c>
      <c r="CF20" s="45">
        <v>-2407</v>
      </c>
      <c r="CG20" s="143">
        <f>-10724-CF20-CE20-CD20</f>
        <v>-3181</v>
      </c>
      <c r="CH20" s="50">
        <f t="shared" si="30"/>
        <v>-10724</v>
      </c>
      <c r="CI20" s="45">
        <v>-1651</v>
      </c>
      <c r="CJ20" s="45">
        <v>-345</v>
      </c>
      <c r="CK20" s="45">
        <v>-244</v>
      </c>
      <c r="CL20" s="57">
        <f t="shared" si="8"/>
        <v>-880</v>
      </c>
      <c r="CM20" s="50">
        <v>-3120</v>
      </c>
      <c r="CN20" s="45">
        <v>-1247</v>
      </c>
      <c r="CO20" s="45">
        <v>835</v>
      </c>
      <c r="CP20" s="523">
        <f>234-CO20-CN20</f>
        <v>646</v>
      </c>
      <c r="CQ20" s="57">
        <f t="shared" ref="CQ20:CQ28" si="38">CR20-SUM(CN20:CP20)</f>
        <v>-77</v>
      </c>
      <c r="CR20" s="50">
        <v>157</v>
      </c>
      <c r="CS20" s="45">
        <f>BS!CR9-BS!CS9</f>
        <v>-8433.3296549999941</v>
      </c>
      <c r="CT20" s="45">
        <f>BS!CS9-BS!CT9</f>
        <v>-1976.1711450000148</v>
      </c>
      <c r="CU20" s="45">
        <f>BS!CT9-BS!CU9</f>
        <v>-2621.0608320000028</v>
      </c>
      <c r="CV20" s="57">
        <f>BS!CU9-BS!CV9</f>
        <v>-1383.5153279999795</v>
      </c>
      <c r="CW20" s="50">
        <f t="shared" si="31"/>
        <v>-14414.076959999991</v>
      </c>
    </row>
    <row r="21" spans="2:101">
      <c r="B21" s="24"/>
      <c r="C21" t="s">
        <v>53</v>
      </c>
      <c r="D21" s="32"/>
      <c r="E21" s="32"/>
      <c r="F21" s="56">
        <v>520</v>
      </c>
      <c r="G21" s="56"/>
      <c r="H21" s="45"/>
      <c r="I21" s="45"/>
      <c r="J21" s="57"/>
      <c r="K21" s="56">
        <v>-319</v>
      </c>
      <c r="L21" s="56">
        <v>269</v>
      </c>
      <c r="M21" s="45"/>
      <c r="N21" s="45"/>
      <c r="O21" s="57"/>
      <c r="P21" s="50">
        <v>541</v>
      </c>
      <c r="Q21" s="56">
        <v>-137</v>
      </c>
      <c r="R21" s="45">
        <f>-362-Q21</f>
        <v>-225</v>
      </c>
      <c r="S21" s="45">
        <f>-287-R21-Q21</f>
        <v>75</v>
      </c>
      <c r="T21" s="57">
        <f t="shared" si="20"/>
        <v>-60</v>
      </c>
      <c r="U21" s="50">
        <v>-347</v>
      </c>
      <c r="V21" s="56">
        <v>581</v>
      </c>
      <c r="W21" s="45">
        <f>823-V21</f>
        <v>242</v>
      </c>
      <c r="X21" s="45">
        <v>-434</v>
      </c>
      <c r="Y21" s="57">
        <f>413-X21-W21-V21</f>
        <v>24</v>
      </c>
      <c r="Z21" s="50">
        <f t="shared" si="11"/>
        <v>413</v>
      </c>
      <c r="AA21" s="45">
        <v>-171</v>
      </c>
      <c r="AB21" s="45">
        <f>BS!AB24-BS!AA24</f>
        <v>704</v>
      </c>
      <c r="AC21" s="45">
        <f>1328-AB21-AA21</f>
        <v>795</v>
      </c>
      <c r="AD21" s="57">
        <f>446-AC21-AB21-AA21</f>
        <v>-882</v>
      </c>
      <c r="AE21" s="50">
        <f t="shared" si="0"/>
        <v>446</v>
      </c>
      <c r="AF21" s="45">
        <v>177</v>
      </c>
      <c r="AG21" s="45">
        <f>-207-AF21</f>
        <v>-384</v>
      </c>
      <c r="AH21" s="76">
        <f>-172-AG21-AF21</f>
        <v>35</v>
      </c>
      <c r="AI21" s="114">
        <f>-59-AH21-AG21-AF21</f>
        <v>113</v>
      </c>
      <c r="AJ21" s="50">
        <f t="shared" si="12"/>
        <v>-59</v>
      </c>
      <c r="AK21" s="76">
        <v>445</v>
      </c>
      <c r="AL21" s="76">
        <f>1202-AK21</f>
        <v>757</v>
      </c>
      <c r="AM21" s="76">
        <f>300-AL21-AK21</f>
        <v>-902</v>
      </c>
      <c r="AN21" s="114">
        <v>971</v>
      </c>
      <c r="AO21" s="50">
        <f t="shared" si="13"/>
        <v>1271</v>
      </c>
      <c r="AP21" s="45">
        <v>-477</v>
      </c>
      <c r="AQ21" s="76">
        <f>125-AP21</f>
        <v>602</v>
      </c>
      <c r="AR21" s="76">
        <f>-1494-AQ21-AP21</f>
        <v>-1619</v>
      </c>
      <c r="AS21" s="114">
        <f>-1569-AR21-AQ21-AP21</f>
        <v>-75</v>
      </c>
      <c r="AT21" s="50">
        <f t="shared" si="14"/>
        <v>-1569</v>
      </c>
      <c r="AU21" s="76">
        <v>1694</v>
      </c>
      <c r="AV21" s="253">
        <f>719-AU21</f>
        <v>-975</v>
      </c>
      <c r="AW21" s="253">
        <f>-90-AV21-AU21</f>
        <v>-809</v>
      </c>
      <c r="AX21" s="253">
        <f>-382-AW21-AV21-AU21</f>
        <v>-292</v>
      </c>
      <c r="AY21" s="50">
        <f t="shared" si="15"/>
        <v>-382</v>
      </c>
      <c r="AZ21" s="253">
        <v>1169</v>
      </c>
      <c r="BA21" s="253">
        <f>195-AZ21</f>
        <v>-974</v>
      </c>
      <c r="BB21" s="253">
        <f>632-BA21-AZ21</f>
        <v>437</v>
      </c>
      <c r="BC21" s="57">
        <f>832-BB21-BA21-AZ21</f>
        <v>200</v>
      </c>
      <c r="BD21" s="50">
        <f t="shared" si="21"/>
        <v>832</v>
      </c>
      <c r="BE21" s="253">
        <v>317</v>
      </c>
      <c r="BF21" s="253">
        <f>189-BE21</f>
        <v>-128</v>
      </c>
      <c r="BG21" s="253">
        <f>382-BF21-BE21</f>
        <v>193</v>
      </c>
      <c r="BH21" s="57">
        <f>937-BG21-BF21-BE21</f>
        <v>555</v>
      </c>
      <c r="BI21" s="50">
        <f t="shared" si="22"/>
        <v>937</v>
      </c>
      <c r="BJ21" s="45">
        <v>353</v>
      </c>
      <c r="BK21" s="45">
        <f>-490-BJ21</f>
        <v>-843</v>
      </c>
      <c r="BL21" s="45">
        <f>181-BK21-BJ21</f>
        <v>671</v>
      </c>
      <c r="BM21" s="57">
        <v>-670</v>
      </c>
      <c r="BN21" s="50">
        <f t="shared" si="3"/>
        <v>-489</v>
      </c>
      <c r="BO21" s="45">
        <v>655</v>
      </c>
      <c r="BP21" s="45">
        <f>321-BO21</f>
        <v>-334</v>
      </c>
      <c r="BQ21" s="45">
        <f>1357-BP21-BO21</f>
        <v>1036</v>
      </c>
      <c r="BR21" s="57">
        <f>1214-BQ21-BP21-BO21</f>
        <v>-143</v>
      </c>
      <c r="BS21" s="50">
        <f t="shared" si="27"/>
        <v>1214</v>
      </c>
      <c r="BT21" s="45">
        <v>-828</v>
      </c>
      <c r="BU21" s="45">
        <v>681</v>
      </c>
      <c r="BV21" s="45">
        <v>-1371</v>
      </c>
      <c r="BW21" s="57">
        <f>2259-BV21-BU21-BT21</f>
        <v>3777</v>
      </c>
      <c r="BX21" s="50">
        <f t="shared" si="28"/>
        <v>2259</v>
      </c>
      <c r="BY21" s="45">
        <v>-3229</v>
      </c>
      <c r="BZ21" s="45">
        <v>-5</v>
      </c>
      <c r="CA21" s="45">
        <f>129-BZ21-BY21</f>
        <v>3363</v>
      </c>
      <c r="CB21" s="57">
        <v>15</v>
      </c>
      <c r="CC21" s="50">
        <f t="shared" si="29"/>
        <v>144</v>
      </c>
      <c r="CD21" s="64">
        <v>-4849</v>
      </c>
      <c r="CE21" s="45">
        <v>435</v>
      </c>
      <c r="CF21" s="45">
        <v>-875</v>
      </c>
      <c r="CG21" s="143">
        <f>-3947-CF21-CE21-CD21</f>
        <v>1342</v>
      </c>
      <c r="CH21" s="50">
        <f t="shared" si="30"/>
        <v>-3947</v>
      </c>
      <c r="CI21" s="45">
        <v>5098</v>
      </c>
      <c r="CJ21" s="45">
        <v>-6548</v>
      </c>
      <c r="CK21" s="45">
        <v>2115</v>
      </c>
      <c r="CL21" s="57">
        <f t="shared" si="8"/>
        <v>131</v>
      </c>
      <c r="CM21" s="50">
        <v>796</v>
      </c>
      <c r="CN21" s="45">
        <v>1677</v>
      </c>
      <c r="CO21" s="45">
        <v>405</v>
      </c>
      <c r="CP21" s="523">
        <f>2925-CO21-CN21</f>
        <v>843</v>
      </c>
      <c r="CQ21" s="57">
        <f t="shared" si="38"/>
        <v>1790</v>
      </c>
      <c r="CR21" s="50">
        <v>4715</v>
      </c>
      <c r="CS21" s="45">
        <f>BS!CS24-BS!CR24</f>
        <v>-272.78698499999882</v>
      </c>
      <c r="CT21" s="45">
        <f>BS!CT24-BS!CS24</f>
        <v>354.69738499999949</v>
      </c>
      <c r="CU21" s="45">
        <f>BS!CU24-BS!CT24</f>
        <v>470.44681600000149</v>
      </c>
      <c r="CV21" s="57">
        <f>BS!CV24-BS!CU24</f>
        <v>248.32326399999693</v>
      </c>
      <c r="CW21" s="50">
        <f t="shared" si="31"/>
        <v>800.68047999999908</v>
      </c>
    </row>
    <row r="22" spans="2:101" hidden="1">
      <c r="B22" s="24"/>
      <c r="C22" t="s">
        <v>58</v>
      </c>
      <c r="D22" s="32"/>
      <c r="E22" s="32"/>
      <c r="F22" s="56">
        <v>-101</v>
      </c>
      <c r="G22" s="56"/>
      <c r="H22" s="45"/>
      <c r="I22" s="45"/>
      <c r="J22" s="57"/>
      <c r="K22" s="56">
        <v>-4</v>
      </c>
      <c r="L22" s="56"/>
      <c r="M22" s="45"/>
      <c r="N22" s="45"/>
      <c r="O22" s="57"/>
      <c r="P22" s="50">
        <v>-34</v>
      </c>
      <c r="Q22" s="56"/>
      <c r="R22" s="45"/>
      <c r="S22" s="45"/>
      <c r="T22" s="57">
        <f t="shared" si="20"/>
        <v>0</v>
      </c>
      <c r="U22" s="50">
        <v>0</v>
      </c>
      <c r="V22" s="56"/>
      <c r="W22" s="45"/>
      <c r="X22" s="45"/>
      <c r="Y22" s="57"/>
      <c r="Z22" s="50">
        <f t="shared" si="11"/>
        <v>0</v>
      </c>
      <c r="AA22" s="56"/>
      <c r="AB22" s="45"/>
      <c r="AC22" s="45"/>
      <c r="AD22" s="57"/>
      <c r="AE22" s="50">
        <f t="shared" si="0"/>
        <v>0</v>
      </c>
      <c r="AF22" s="45"/>
      <c r="AG22" s="45">
        <v>0</v>
      </c>
      <c r="AH22" s="76"/>
      <c r="AI22" s="114"/>
      <c r="AJ22" s="50">
        <f t="shared" si="12"/>
        <v>0</v>
      </c>
      <c r="AK22" s="76"/>
      <c r="AL22" s="76"/>
      <c r="AM22" s="76"/>
      <c r="AN22" s="114"/>
      <c r="AO22" s="50">
        <f t="shared" si="13"/>
        <v>0</v>
      </c>
      <c r="AP22" s="45"/>
      <c r="AQ22" s="76"/>
      <c r="AR22" s="76"/>
      <c r="AS22" s="114"/>
      <c r="AT22" s="50">
        <f t="shared" si="14"/>
        <v>0</v>
      </c>
      <c r="AU22" s="76"/>
      <c r="AV22" s="253"/>
      <c r="AW22" s="253"/>
      <c r="AX22" s="253"/>
      <c r="AY22" s="50">
        <f t="shared" si="15"/>
        <v>0</v>
      </c>
      <c r="AZ22" s="253"/>
      <c r="BA22" s="253"/>
      <c r="BB22" s="253"/>
      <c r="BC22" s="57"/>
      <c r="BD22" s="50">
        <f t="shared" si="21"/>
        <v>0</v>
      </c>
      <c r="BE22" s="253"/>
      <c r="BF22" s="253"/>
      <c r="BG22" s="253"/>
      <c r="BH22" s="57"/>
      <c r="BI22" s="50">
        <f t="shared" si="22"/>
        <v>0</v>
      </c>
      <c r="BJ22" s="45"/>
      <c r="BK22" s="45"/>
      <c r="BL22" s="45"/>
      <c r="BM22" s="57"/>
      <c r="BN22" s="50">
        <f t="shared" si="3"/>
        <v>0</v>
      </c>
      <c r="BO22" s="45"/>
      <c r="BP22" s="45"/>
      <c r="BQ22" s="45"/>
      <c r="BR22" s="57"/>
      <c r="BS22" s="50">
        <f t="shared" si="27"/>
        <v>0</v>
      </c>
      <c r="BT22" s="45"/>
      <c r="BU22" s="45"/>
      <c r="BV22" s="45"/>
      <c r="BW22" s="57"/>
      <c r="BX22" s="50">
        <f t="shared" si="28"/>
        <v>0</v>
      </c>
      <c r="BY22" s="45"/>
      <c r="BZ22" s="45"/>
      <c r="CA22" s="45"/>
      <c r="CB22" s="57"/>
      <c r="CC22" s="50">
        <f t="shared" si="29"/>
        <v>0</v>
      </c>
      <c r="CD22" s="64"/>
      <c r="CE22" s="45"/>
      <c r="CF22" s="45"/>
      <c r="CG22" s="143"/>
      <c r="CH22" s="50">
        <f t="shared" si="30"/>
        <v>0</v>
      </c>
      <c r="CI22" s="45"/>
      <c r="CJ22" s="45"/>
      <c r="CK22" s="45"/>
      <c r="CL22" s="57">
        <f t="shared" si="8"/>
        <v>0</v>
      </c>
      <c r="CM22" s="50"/>
      <c r="CN22" s="45"/>
      <c r="CO22" s="45"/>
      <c r="CP22" s="523"/>
      <c r="CQ22" s="57">
        <f t="shared" si="38"/>
        <v>0</v>
      </c>
      <c r="CR22" s="50"/>
      <c r="CS22" s="45"/>
      <c r="CT22" s="45"/>
      <c r="CU22" s="45"/>
      <c r="CV22" s="57"/>
      <c r="CW22" s="50">
        <f t="shared" si="31"/>
        <v>0</v>
      </c>
    </row>
    <row r="23" spans="2:101">
      <c r="B23" s="24"/>
      <c r="C23" t="s">
        <v>77</v>
      </c>
      <c r="D23" s="32"/>
      <c r="E23" s="32"/>
      <c r="F23" s="56">
        <v>1849</v>
      </c>
      <c r="G23" s="56"/>
      <c r="H23" s="45"/>
      <c r="I23" s="45"/>
      <c r="J23" s="57"/>
      <c r="K23" s="56">
        <v>1526</v>
      </c>
      <c r="L23" s="56">
        <v>423</v>
      </c>
      <c r="M23" s="45"/>
      <c r="N23" s="45"/>
      <c r="O23" s="57"/>
      <c r="P23" s="50">
        <v>844</v>
      </c>
      <c r="Q23" s="56">
        <v>319</v>
      </c>
      <c r="R23" s="45">
        <f>590-Q23</f>
        <v>271</v>
      </c>
      <c r="S23" s="45">
        <f>866-R23-Q23</f>
        <v>276</v>
      </c>
      <c r="T23" s="57">
        <f t="shared" si="20"/>
        <v>289</v>
      </c>
      <c r="U23" s="50">
        <v>1155</v>
      </c>
      <c r="V23" s="56">
        <v>264</v>
      </c>
      <c r="W23" s="45">
        <f>608-V23</f>
        <v>344</v>
      </c>
      <c r="X23" s="45">
        <f>BS!X28+BS!X33-BS!W28-BS!W33</f>
        <v>715</v>
      </c>
      <c r="Y23" s="57">
        <f>1853-X23-W23-V23</f>
        <v>530</v>
      </c>
      <c r="Z23" s="50">
        <f t="shared" si="11"/>
        <v>1853</v>
      </c>
      <c r="AA23" s="45">
        <v>932</v>
      </c>
      <c r="AB23" s="45">
        <f>BS!AB28+BS!AB33-BS!AA28-BS!AA33</f>
        <v>868</v>
      </c>
      <c r="AC23" s="45">
        <f>2006-AB23-AA23</f>
        <v>206</v>
      </c>
      <c r="AD23" s="57">
        <f>2551-AC23-AB23-AA23</f>
        <v>545</v>
      </c>
      <c r="AE23" s="50">
        <f t="shared" si="0"/>
        <v>2551</v>
      </c>
      <c r="AF23" s="45">
        <f>BS!AF28+BS!AF33-BS!AD28-BS!AD33</f>
        <v>355</v>
      </c>
      <c r="AG23" s="45">
        <f>1049-AF23</f>
        <v>694</v>
      </c>
      <c r="AH23" s="76">
        <f>1406-AG23-AF23</f>
        <v>357</v>
      </c>
      <c r="AI23" s="114">
        <f>1309-AH23-AG23-AF23</f>
        <v>-97</v>
      </c>
      <c r="AJ23" s="50">
        <f t="shared" si="12"/>
        <v>1309</v>
      </c>
      <c r="AK23" s="76">
        <f>BS!AK28+BS!AK33-BS!AI28-BS!AI33</f>
        <v>574</v>
      </c>
      <c r="AL23" s="76">
        <f>1809-AK23</f>
        <v>1235</v>
      </c>
      <c r="AM23" s="76">
        <f>2077-AL23-AK23</f>
        <v>268</v>
      </c>
      <c r="AN23" s="114">
        <v>363</v>
      </c>
      <c r="AO23" s="50">
        <f t="shared" si="13"/>
        <v>2440</v>
      </c>
      <c r="AP23" s="45">
        <v>-78</v>
      </c>
      <c r="AQ23" s="76">
        <f>671-AP23</f>
        <v>749</v>
      </c>
      <c r="AR23" s="76">
        <f>1615-AQ23-AP23</f>
        <v>944</v>
      </c>
      <c r="AS23" s="114">
        <f>587-AR23-AQ23-AP23</f>
        <v>-1028</v>
      </c>
      <c r="AT23" s="50">
        <f t="shared" si="14"/>
        <v>587</v>
      </c>
      <c r="AU23" s="76">
        <v>3019</v>
      </c>
      <c r="AV23" s="253">
        <f>4325-AU23</f>
        <v>1306</v>
      </c>
      <c r="AW23" s="253">
        <f>3927-AV23-AU23</f>
        <v>-398</v>
      </c>
      <c r="AX23" s="253">
        <f>2710-AW23-AV23-AU23</f>
        <v>-1217</v>
      </c>
      <c r="AY23" s="50">
        <f t="shared" si="15"/>
        <v>2710</v>
      </c>
      <c r="AZ23" s="253">
        <v>4988</v>
      </c>
      <c r="BA23" s="253">
        <f>5772-AZ23</f>
        <v>784</v>
      </c>
      <c r="BB23" s="253">
        <f>4932-BA23-AZ23</f>
        <v>-840</v>
      </c>
      <c r="BC23" s="57">
        <f>5107-BB23-BA23-AZ23</f>
        <v>175</v>
      </c>
      <c r="BD23" s="50">
        <f t="shared" si="21"/>
        <v>5107</v>
      </c>
      <c r="BE23" s="253">
        <v>3680</v>
      </c>
      <c r="BF23" s="253">
        <f>6237-BE23</f>
        <v>2557</v>
      </c>
      <c r="BG23" s="253">
        <f>7039-BF23-BE23</f>
        <v>802</v>
      </c>
      <c r="BH23" s="57">
        <f>7094-BG23-BF23-BE23</f>
        <v>55</v>
      </c>
      <c r="BI23" s="50">
        <f t="shared" si="22"/>
        <v>7094</v>
      </c>
      <c r="BJ23" s="45">
        <v>3698</v>
      </c>
      <c r="BK23" s="45">
        <f>5250-BJ23</f>
        <v>1552</v>
      </c>
      <c r="BL23" s="45">
        <f>4929-BK23-BJ23</f>
        <v>-321</v>
      </c>
      <c r="BM23" s="57">
        <v>1437</v>
      </c>
      <c r="BN23" s="50">
        <f t="shared" si="3"/>
        <v>6366</v>
      </c>
      <c r="BO23" s="45">
        <v>3396</v>
      </c>
      <c r="BP23" s="45">
        <f>4705-BO23</f>
        <v>1309</v>
      </c>
      <c r="BQ23" s="45">
        <f>3961-BP23-BO23</f>
        <v>-744</v>
      </c>
      <c r="BR23" s="57">
        <f>4432-BQ23-BP23-BO23</f>
        <v>471</v>
      </c>
      <c r="BS23" s="50">
        <f t="shared" si="27"/>
        <v>4432</v>
      </c>
      <c r="BT23" s="45">
        <f>BS!BT28+BS!BT33-BS!BS28-BS!BS33</f>
        <v>7565</v>
      </c>
      <c r="BU23" s="45">
        <v>5328</v>
      </c>
      <c r="BV23" s="45">
        <v>508</v>
      </c>
      <c r="BW23" s="57">
        <f>14483-BV23-BU23-BT23</f>
        <v>1082</v>
      </c>
      <c r="BX23" s="50">
        <f t="shared" si="28"/>
        <v>14483</v>
      </c>
      <c r="BY23" s="45">
        <v>6349</v>
      </c>
      <c r="BZ23" s="45">
        <v>2453</v>
      </c>
      <c r="CA23" s="45">
        <f>8261-BZ23-BY23</f>
        <v>-541</v>
      </c>
      <c r="CB23" s="57">
        <v>-2296</v>
      </c>
      <c r="CC23" s="50">
        <f t="shared" si="29"/>
        <v>5965</v>
      </c>
      <c r="CD23" s="64">
        <f>BS!CD28+BS!CD33-BS!CC28-BS!CC33</f>
        <v>5818</v>
      </c>
      <c r="CE23" s="45">
        <v>4091</v>
      </c>
      <c r="CF23" s="45">
        <v>133</v>
      </c>
      <c r="CG23" s="143">
        <f>6464-CF23-CE23-CD23</f>
        <v>-3578</v>
      </c>
      <c r="CH23" s="50">
        <f t="shared" si="30"/>
        <v>6464</v>
      </c>
      <c r="CI23" s="45">
        <v>4129</v>
      </c>
      <c r="CJ23" s="45">
        <v>1836</v>
      </c>
      <c r="CK23" s="45">
        <v>-541</v>
      </c>
      <c r="CL23" s="57">
        <f t="shared" si="8"/>
        <v>-4696</v>
      </c>
      <c r="CM23" s="50">
        <v>728</v>
      </c>
      <c r="CN23" s="45">
        <v>3160</v>
      </c>
      <c r="CO23" s="45">
        <v>-148</v>
      </c>
      <c r="CP23" s="523">
        <f>1051-CO23-CN23</f>
        <v>-1961</v>
      </c>
      <c r="CQ23" s="57">
        <f t="shared" si="38"/>
        <v>-1838</v>
      </c>
      <c r="CR23" s="50">
        <v>-787</v>
      </c>
      <c r="CS23" s="45">
        <f>BS!CS28+BS!CS33-BS!CR28-BS!CR33</f>
        <v>18799.491104999994</v>
      </c>
      <c r="CT23" s="45">
        <f>BS!CT28+BS!CT33-BS!CS28-BS!CS33</f>
        <v>2482.8816950000037</v>
      </c>
      <c r="CU23" s="45">
        <f>BS!CU28+BS!CU33-BS!CT28-BS!CT33</f>
        <v>3293.1277120000013</v>
      </c>
      <c r="CV23" s="57">
        <f>BS!CV28+BS!CV33-BS!CU28-BS!CU33</f>
        <v>1738.2628479999839</v>
      </c>
      <c r="CW23" s="50">
        <f t="shared" si="31"/>
        <v>26313.763359999983</v>
      </c>
    </row>
    <row r="24" spans="2:101" hidden="1">
      <c r="B24" s="24"/>
      <c r="C24" t="s">
        <v>64</v>
      </c>
      <c r="D24" s="32"/>
      <c r="E24" s="32"/>
      <c r="F24" s="56"/>
      <c r="G24" s="56"/>
      <c r="H24" s="45"/>
      <c r="I24" s="45"/>
      <c r="J24" s="57"/>
      <c r="K24" s="56">
        <v>82</v>
      </c>
      <c r="L24" s="56"/>
      <c r="M24" s="45"/>
      <c r="N24" s="45"/>
      <c r="O24" s="57"/>
      <c r="P24" s="50">
        <v>28</v>
      </c>
      <c r="Q24" s="56"/>
      <c r="R24" s="45"/>
      <c r="S24" s="45"/>
      <c r="T24" s="57">
        <f t="shared" si="20"/>
        <v>0</v>
      </c>
      <c r="U24" s="50">
        <v>0</v>
      </c>
      <c r="V24" s="56"/>
      <c r="W24" s="45"/>
      <c r="X24" s="45"/>
      <c r="Y24" s="57"/>
      <c r="Z24" s="50">
        <f t="shared" si="11"/>
        <v>0</v>
      </c>
      <c r="AA24" s="56"/>
      <c r="AB24" s="45"/>
      <c r="AC24" s="45"/>
      <c r="AD24" s="57"/>
      <c r="AE24" s="50">
        <f t="shared" si="0"/>
        <v>0</v>
      </c>
      <c r="AF24" s="45"/>
      <c r="AG24" s="45"/>
      <c r="AH24" s="76"/>
      <c r="AI24" s="114"/>
      <c r="AJ24" s="50">
        <f t="shared" si="12"/>
        <v>0</v>
      </c>
      <c r="AK24" s="76"/>
      <c r="AL24" s="76"/>
      <c r="AM24" s="76"/>
      <c r="AN24" s="114"/>
      <c r="AO24" s="50">
        <f t="shared" si="13"/>
        <v>0</v>
      </c>
      <c r="AP24" s="45"/>
      <c r="AQ24" s="76"/>
      <c r="AR24" s="76"/>
      <c r="AS24" s="114"/>
      <c r="AT24" s="50">
        <f t="shared" si="14"/>
        <v>0</v>
      </c>
      <c r="AU24" s="76"/>
      <c r="AV24" s="253"/>
      <c r="AW24" s="253"/>
      <c r="AX24" s="253"/>
      <c r="AY24" s="50">
        <f t="shared" si="15"/>
        <v>0</v>
      </c>
      <c r="AZ24" s="253"/>
      <c r="BA24" s="253"/>
      <c r="BB24" s="253"/>
      <c r="BC24" s="57"/>
      <c r="BD24" s="50">
        <f t="shared" si="21"/>
        <v>0</v>
      </c>
      <c r="BE24" s="253"/>
      <c r="BF24" s="253"/>
      <c r="BG24" s="253"/>
      <c r="BH24" s="57"/>
      <c r="BI24" s="50">
        <f t="shared" si="22"/>
        <v>0</v>
      </c>
      <c r="BJ24" s="45"/>
      <c r="BK24" s="45"/>
      <c r="BL24" s="45"/>
      <c r="BM24" s="57"/>
      <c r="BN24" s="50">
        <f t="shared" si="3"/>
        <v>0</v>
      </c>
      <c r="BO24" s="45"/>
      <c r="BP24" s="45"/>
      <c r="BQ24" s="45"/>
      <c r="BR24" s="57"/>
      <c r="BS24" s="50">
        <f t="shared" si="27"/>
        <v>0</v>
      </c>
      <c r="BT24" s="45"/>
      <c r="BU24" s="45"/>
      <c r="BV24" s="45"/>
      <c r="BW24" s="57"/>
      <c r="BX24" s="50">
        <f t="shared" si="28"/>
        <v>0</v>
      </c>
      <c r="BY24" s="45"/>
      <c r="BZ24" s="45"/>
      <c r="CA24" s="45"/>
      <c r="CB24" s="57"/>
      <c r="CC24" s="50">
        <f t="shared" si="29"/>
        <v>0</v>
      </c>
      <c r="CD24" s="64"/>
      <c r="CE24" s="45"/>
      <c r="CF24" s="45"/>
      <c r="CG24" s="143"/>
      <c r="CH24" s="50">
        <f t="shared" si="30"/>
        <v>0</v>
      </c>
      <c r="CI24" s="45"/>
      <c r="CJ24" s="45"/>
      <c r="CK24" s="45"/>
      <c r="CL24" s="57">
        <f t="shared" si="8"/>
        <v>0</v>
      </c>
      <c r="CM24" s="50"/>
      <c r="CN24" s="45"/>
      <c r="CO24" s="45"/>
      <c r="CP24" s="523"/>
      <c r="CQ24" s="57">
        <f t="shared" si="38"/>
        <v>0</v>
      </c>
      <c r="CR24" s="50"/>
      <c r="CS24" s="45"/>
      <c r="CT24" s="45"/>
      <c r="CU24" s="45"/>
      <c r="CV24" s="57"/>
      <c r="CW24" s="50">
        <f t="shared" si="31"/>
        <v>0</v>
      </c>
    </row>
    <row r="25" spans="2:101">
      <c r="B25" s="24"/>
      <c r="C25" t="s">
        <v>54</v>
      </c>
      <c r="D25" s="32"/>
      <c r="E25" s="32"/>
      <c r="F25" s="56">
        <v>658</v>
      </c>
      <c r="G25" s="56"/>
      <c r="H25" s="45"/>
      <c r="I25" s="45"/>
      <c r="J25" s="57"/>
      <c r="K25" s="56">
        <v>-510</v>
      </c>
      <c r="L25" s="56">
        <v>286</v>
      </c>
      <c r="M25" s="45"/>
      <c r="N25" s="45"/>
      <c r="O25" s="57"/>
      <c r="P25" s="50">
        <v>1121</v>
      </c>
      <c r="Q25" s="56">
        <v>-338</v>
      </c>
      <c r="R25" s="45">
        <f>491-Q25</f>
        <v>829</v>
      </c>
      <c r="S25" s="45">
        <f>714-R25-Q25</f>
        <v>223</v>
      </c>
      <c r="T25" s="57">
        <f t="shared" si="20"/>
        <v>-142</v>
      </c>
      <c r="U25" s="50">
        <v>572</v>
      </c>
      <c r="V25" s="56">
        <v>-215</v>
      </c>
      <c r="W25" s="45">
        <f>259-V25</f>
        <v>474</v>
      </c>
      <c r="X25" s="45">
        <f>BS!X25-BS!W25</f>
        <v>1353</v>
      </c>
      <c r="Y25" s="57">
        <f>1541-X25-W25-V25</f>
        <v>-71</v>
      </c>
      <c r="Z25" s="50">
        <f t="shared" si="11"/>
        <v>1541</v>
      </c>
      <c r="AA25" s="45">
        <f>BS!AA25-BS!Y25</f>
        <v>-570</v>
      </c>
      <c r="AB25" s="45">
        <f>BS!AB25-BS!AA25</f>
        <v>258</v>
      </c>
      <c r="AC25" s="45">
        <f>1516-AB25-AA25</f>
        <v>1828</v>
      </c>
      <c r="AD25" s="57">
        <f>920-AC25-AB25-AA25</f>
        <v>-596</v>
      </c>
      <c r="AE25" s="50">
        <f t="shared" si="0"/>
        <v>920</v>
      </c>
      <c r="AF25" s="45">
        <f>BS!AF25-BS!AD25</f>
        <v>659</v>
      </c>
      <c r="AG25" s="45">
        <f>473-AF25</f>
        <v>-186</v>
      </c>
      <c r="AH25" s="76">
        <f>2366-AG25-AF25</f>
        <v>1893</v>
      </c>
      <c r="AI25" s="114">
        <f>1943-AH25-AG25-AF25</f>
        <v>-423</v>
      </c>
      <c r="AJ25" s="50">
        <f t="shared" si="12"/>
        <v>1943</v>
      </c>
      <c r="AK25" s="76">
        <v>-287</v>
      </c>
      <c r="AL25" s="76">
        <f>-342-AK25</f>
        <v>-55</v>
      </c>
      <c r="AM25" s="76">
        <f>2063-AL25-AK25</f>
        <v>2405</v>
      </c>
      <c r="AN25" s="114">
        <v>-495</v>
      </c>
      <c r="AO25" s="50">
        <f t="shared" si="13"/>
        <v>1568</v>
      </c>
      <c r="AP25" s="45">
        <v>420</v>
      </c>
      <c r="AQ25" s="76">
        <f>-409-AP25</f>
        <v>-829</v>
      </c>
      <c r="AR25" s="76">
        <f>93-AQ25-AP25</f>
        <v>502</v>
      </c>
      <c r="AS25" s="114">
        <f>1295-AR25-AQ25-AP25</f>
        <v>1202</v>
      </c>
      <c r="AT25" s="50">
        <f t="shared" si="14"/>
        <v>1295</v>
      </c>
      <c r="AU25" s="76">
        <v>-319</v>
      </c>
      <c r="AV25" s="253">
        <f>439-AU25</f>
        <v>758</v>
      </c>
      <c r="AW25" s="253">
        <f>173-AV25-AU25</f>
        <v>-266</v>
      </c>
      <c r="AX25" s="253">
        <f>2180-AW25-AV25-AU25</f>
        <v>2007</v>
      </c>
      <c r="AY25" s="50">
        <f t="shared" si="15"/>
        <v>2180</v>
      </c>
      <c r="AZ25" s="253">
        <v>-1508</v>
      </c>
      <c r="BA25" s="253">
        <f>-546-AZ25</f>
        <v>962</v>
      </c>
      <c r="BB25" s="253">
        <f>-1140-BA25-AZ25</f>
        <v>-594</v>
      </c>
      <c r="BC25" s="57">
        <f>2073-BB25-BA25-AZ25</f>
        <v>3213</v>
      </c>
      <c r="BD25" s="50">
        <f t="shared" si="21"/>
        <v>2073</v>
      </c>
      <c r="BE25" s="253">
        <v>-3939</v>
      </c>
      <c r="BF25" s="253">
        <f>-1464-BE25</f>
        <v>2475</v>
      </c>
      <c r="BG25" s="253">
        <f>-592-BF25-BE25</f>
        <v>872</v>
      </c>
      <c r="BH25" s="57">
        <f>3957-BG25-BF25-BE25</f>
        <v>4549</v>
      </c>
      <c r="BI25" s="50">
        <f t="shared" si="22"/>
        <v>3957</v>
      </c>
      <c r="BJ25" s="45">
        <v>-8843</v>
      </c>
      <c r="BK25" s="45">
        <f>-5210-BJ25</f>
        <v>3633</v>
      </c>
      <c r="BL25" s="45">
        <f>-3716-BK25-BJ25</f>
        <v>1494</v>
      </c>
      <c r="BM25" s="57">
        <v>4035</v>
      </c>
      <c r="BN25" s="50">
        <f t="shared" si="3"/>
        <v>319</v>
      </c>
      <c r="BO25" s="45">
        <v>-9302</v>
      </c>
      <c r="BP25" s="45">
        <f>-6166-BO25</f>
        <v>3136</v>
      </c>
      <c r="BQ25" s="45">
        <f>-3989-BP25-BO25</f>
        <v>2177</v>
      </c>
      <c r="BR25" s="57">
        <f>-2190-BQ25-BP25-BO25</f>
        <v>1799</v>
      </c>
      <c r="BS25" s="50">
        <f t="shared" si="27"/>
        <v>-2190</v>
      </c>
      <c r="BT25" s="45">
        <v>-2988</v>
      </c>
      <c r="BU25" s="45">
        <v>6234</v>
      </c>
      <c r="BV25" s="45">
        <v>3371</v>
      </c>
      <c r="BW25" s="57">
        <f>6775-BV25-BU25-BT25</f>
        <v>158</v>
      </c>
      <c r="BX25" s="50">
        <f t="shared" si="28"/>
        <v>6775</v>
      </c>
      <c r="BY25" s="45">
        <v>-10495</v>
      </c>
      <c r="BZ25" s="45">
        <v>3309</v>
      </c>
      <c r="CA25" s="45">
        <f>+-4388-BZ25-BY25</f>
        <v>2798</v>
      </c>
      <c r="CB25" s="57">
        <v>602</v>
      </c>
      <c r="CC25" s="50">
        <f t="shared" si="29"/>
        <v>-3786</v>
      </c>
      <c r="CD25" s="64">
        <v>-4417</v>
      </c>
      <c r="CE25" s="45">
        <v>1507</v>
      </c>
      <c r="CF25" s="45">
        <v>10983</v>
      </c>
      <c r="CG25" s="143">
        <f>7143-CF25-CE25-CD25</f>
        <v>-930</v>
      </c>
      <c r="CH25" s="50">
        <f t="shared" si="30"/>
        <v>7143</v>
      </c>
      <c r="CI25" s="45">
        <v>-9518</v>
      </c>
      <c r="CJ25" s="45">
        <v>-1245</v>
      </c>
      <c r="CK25" s="45">
        <v>11221</v>
      </c>
      <c r="CL25" s="57">
        <f t="shared" si="8"/>
        <v>976</v>
      </c>
      <c r="CM25" s="50">
        <v>1434</v>
      </c>
      <c r="CN25" s="45">
        <v>-7948</v>
      </c>
      <c r="CO25" s="45">
        <v>-3058</v>
      </c>
      <c r="CP25" s="523">
        <f>1035-CO25-CN25</f>
        <v>12041</v>
      </c>
      <c r="CQ25" s="57">
        <f t="shared" si="38"/>
        <v>-4756</v>
      </c>
      <c r="CR25" s="50">
        <v>-3721</v>
      </c>
      <c r="CS25" s="45">
        <f>BS!CS25-BS!CR25</f>
        <v>580.90362499999901</v>
      </c>
      <c r="CT25" s="45">
        <f>BS!CT25-BS!CS25</f>
        <v>3243.7635750000045</v>
      </c>
      <c r="CU25" s="45">
        <f>BS!CU25-BS!CT25</f>
        <v>1747.3738880000019</v>
      </c>
      <c r="CV25" s="57">
        <f>BS!CV25-BS!CU25</f>
        <v>922.34355199999118</v>
      </c>
      <c r="CW25" s="50">
        <f t="shared" si="31"/>
        <v>6494.3846399999966</v>
      </c>
    </row>
    <row r="26" spans="2:101">
      <c r="B26" s="24"/>
      <c r="C26" t="s">
        <v>56</v>
      </c>
      <c r="D26" s="32"/>
      <c r="E26" s="32"/>
      <c r="F26" s="56">
        <v>-65</v>
      </c>
      <c r="G26" s="56"/>
      <c r="H26" s="45"/>
      <c r="I26" s="45"/>
      <c r="J26" s="57"/>
      <c r="K26" s="56">
        <v>27</v>
      </c>
      <c r="L26" s="56"/>
      <c r="M26" s="45"/>
      <c r="N26" s="45"/>
      <c r="O26" s="57"/>
      <c r="P26" s="50">
        <v>-112</v>
      </c>
      <c r="Q26" s="56"/>
      <c r="R26" s="45"/>
      <c r="S26" s="45"/>
      <c r="T26" s="57">
        <f t="shared" si="20"/>
        <v>0</v>
      </c>
      <c r="U26" s="50">
        <v>0</v>
      </c>
      <c r="V26" s="56"/>
      <c r="W26" s="45"/>
      <c r="X26" s="45"/>
      <c r="Y26" s="57"/>
      <c r="Z26" s="50">
        <f t="shared" si="11"/>
        <v>0</v>
      </c>
      <c r="AA26" s="56"/>
      <c r="AB26" s="45"/>
      <c r="AC26" s="45"/>
      <c r="AD26" s="57"/>
      <c r="AE26" s="50">
        <f t="shared" si="0"/>
        <v>0</v>
      </c>
      <c r="AF26" s="45"/>
      <c r="AG26" s="45"/>
      <c r="AH26" s="76">
        <v>1638</v>
      </c>
      <c r="AI26" s="114">
        <f>1644-AH26</f>
        <v>6</v>
      </c>
      <c r="AJ26" s="50">
        <f t="shared" si="12"/>
        <v>1644</v>
      </c>
      <c r="AK26" s="76">
        <v>-82</v>
      </c>
      <c r="AL26" s="76">
        <f>+-170-AK26</f>
        <v>-88</v>
      </c>
      <c r="AM26" s="76">
        <f>-245-AL26-AK26</f>
        <v>-75</v>
      </c>
      <c r="AN26" s="114">
        <v>1170</v>
      </c>
      <c r="AO26" s="50">
        <f t="shared" si="13"/>
        <v>925</v>
      </c>
      <c r="AP26" s="45">
        <v>-146</v>
      </c>
      <c r="AQ26" s="76">
        <f>-286-AP26</f>
        <v>-140</v>
      </c>
      <c r="AR26" s="76">
        <f>-431-AQ26-AP26</f>
        <v>-145</v>
      </c>
      <c r="AS26" s="114">
        <f>1331-AR26-AQ26-AP26</f>
        <v>1762</v>
      </c>
      <c r="AT26" s="50">
        <f t="shared" si="14"/>
        <v>1331</v>
      </c>
      <c r="AU26" s="76">
        <v>67</v>
      </c>
      <c r="AV26" s="253">
        <f>-17-AU26</f>
        <v>-84</v>
      </c>
      <c r="AW26" s="253">
        <f>-271-AV26-AU26</f>
        <v>-254</v>
      </c>
      <c r="AX26" s="253">
        <f>234-AW26-AV26-AU26</f>
        <v>505</v>
      </c>
      <c r="AY26" s="50">
        <f t="shared" si="15"/>
        <v>234</v>
      </c>
      <c r="AZ26" s="253">
        <v>-319</v>
      </c>
      <c r="BA26" s="253">
        <f>-249-AZ26</f>
        <v>70</v>
      </c>
      <c r="BB26" s="253">
        <f>-622-BA26-AZ26</f>
        <v>-373</v>
      </c>
      <c r="BC26" s="57">
        <f>-1027-BB26-BA26-AZ26</f>
        <v>-405</v>
      </c>
      <c r="BD26" s="50">
        <f t="shared" si="21"/>
        <v>-1027</v>
      </c>
      <c r="BE26" s="253">
        <v>1271</v>
      </c>
      <c r="BF26" s="253">
        <f>939-BE26</f>
        <v>-332</v>
      </c>
      <c r="BG26" s="253">
        <f>647-BF26-BE26</f>
        <v>-292</v>
      </c>
      <c r="BH26" s="253">
        <f>2440-BG26-BF26-BE26</f>
        <v>1793</v>
      </c>
      <c r="BI26" s="50">
        <f t="shared" si="22"/>
        <v>2440</v>
      </c>
      <c r="BJ26" s="253">
        <v>0</v>
      </c>
      <c r="BK26" s="253">
        <f>BS!BK27-BS!BJ27</f>
        <v>0</v>
      </c>
      <c r="BL26" s="253">
        <f>0-BK26-BJ26</f>
        <v>0</v>
      </c>
      <c r="BM26" s="253">
        <f>BS!BM27-BS!BL27</f>
        <v>0</v>
      </c>
      <c r="BN26" s="50">
        <f t="shared" si="3"/>
        <v>0</v>
      </c>
      <c r="BO26" s="253"/>
      <c r="BP26" s="253"/>
      <c r="BQ26" s="253"/>
      <c r="BR26" s="253">
        <f>BS!BR27-BS!BQ27</f>
        <v>0</v>
      </c>
      <c r="BS26" s="50">
        <f t="shared" si="27"/>
        <v>0</v>
      </c>
      <c r="BT26" s="253">
        <f>BS!BT27-BS!BS27</f>
        <v>0</v>
      </c>
      <c r="BU26" s="253">
        <f>BS!BU27-BS!BT27</f>
        <v>0</v>
      </c>
      <c r="BV26" s="253">
        <f>BS!BV27-BS!BU27</f>
        <v>0</v>
      </c>
      <c r="BW26" s="253">
        <f>BS!BW27-BS!BV27</f>
        <v>0</v>
      </c>
      <c r="BX26" s="50">
        <f t="shared" si="28"/>
        <v>0</v>
      </c>
      <c r="BY26" s="253">
        <f>BS!BY27-BS!BX27</f>
        <v>0</v>
      </c>
      <c r="BZ26" s="253">
        <f>BS!BZ27-BS!BY27</f>
        <v>0</v>
      </c>
      <c r="CA26" s="253">
        <f>BS!CA27-BS!BZ27</f>
        <v>0</v>
      </c>
      <c r="CB26" s="253">
        <f>BS!CB27-BS!CA27</f>
        <v>0</v>
      </c>
      <c r="CC26" s="50">
        <f t="shared" si="29"/>
        <v>0</v>
      </c>
      <c r="CD26" s="373">
        <f>BS!CD27-BS!CC27</f>
        <v>0</v>
      </c>
      <c r="CE26" s="253">
        <f>BS!CE27-BS!CD27</f>
        <v>0</v>
      </c>
      <c r="CF26" s="253">
        <f>BS!CF27-BS!CE27</f>
        <v>0</v>
      </c>
      <c r="CG26" s="118">
        <f>BS!CG27-BS!CF27</f>
        <v>0</v>
      </c>
      <c r="CH26" s="50">
        <f t="shared" si="30"/>
        <v>0</v>
      </c>
      <c r="CI26" s="253">
        <f>BS!CI27-BS!CH27</f>
        <v>0</v>
      </c>
      <c r="CJ26" s="253"/>
      <c r="CK26" s="253">
        <f>(0-(BS!CK27-BS!CJ27))-0</f>
        <v>0</v>
      </c>
      <c r="CL26" s="57">
        <f t="shared" si="8"/>
        <v>0</v>
      </c>
      <c r="CM26" s="50"/>
      <c r="CN26" s="253">
        <f>BS!CN27-BS!CM27</f>
        <v>0</v>
      </c>
      <c r="CO26" s="253"/>
      <c r="CP26" s="523">
        <f>BS!CP27-BS!CO27</f>
        <v>0</v>
      </c>
      <c r="CQ26" s="57">
        <f t="shared" si="38"/>
        <v>0</v>
      </c>
      <c r="CR26" s="50"/>
      <c r="CS26" s="253">
        <f>BS!CS27-BS!CR27</f>
        <v>0</v>
      </c>
      <c r="CT26" s="253">
        <f>BS!CT27-BS!CS27</f>
        <v>0</v>
      </c>
      <c r="CU26" s="253">
        <f>BS!CU27-BS!CT27</f>
        <v>0</v>
      </c>
      <c r="CV26" s="253">
        <f>BS!CV27-BS!CU27</f>
        <v>0</v>
      </c>
      <c r="CW26" s="50">
        <f t="shared" si="31"/>
        <v>0</v>
      </c>
    </row>
    <row r="27" spans="2:101">
      <c r="B27" s="24"/>
      <c r="C27" t="s">
        <v>349</v>
      </c>
      <c r="D27" s="32"/>
      <c r="E27" s="32"/>
      <c r="F27" s="56"/>
      <c r="G27" s="56"/>
      <c r="H27" s="45"/>
      <c r="I27" s="45"/>
      <c r="J27" s="57"/>
      <c r="K27" s="56"/>
      <c r="L27" s="56"/>
      <c r="M27" s="45"/>
      <c r="N27" s="45"/>
      <c r="O27" s="57"/>
      <c r="P27" s="50"/>
      <c r="Q27" s="56"/>
      <c r="R27" s="45"/>
      <c r="S27" s="45"/>
      <c r="T27" s="57"/>
      <c r="U27" s="50"/>
      <c r="V27" s="56"/>
      <c r="W27" s="45"/>
      <c r="X27" s="45"/>
      <c r="Y27" s="57"/>
      <c r="Z27" s="50"/>
      <c r="AA27" s="45"/>
      <c r="AB27" s="45"/>
      <c r="AC27" s="45"/>
      <c r="AD27" s="57"/>
      <c r="AE27" s="50"/>
      <c r="AF27" s="45"/>
      <c r="AG27" s="45"/>
      <c r="AH27" s="76"/>
      <c r="AI27" s="114"/>
      <c r="AJ27" s="50"/>
      <c r="AK27" s="76"/>
      <c r="AL27" s="76"/>
      <c r="AM27" s="76"/>
      <c r="AN27" s="114"/>
      <c r="AO27" s="50"/>
      <c r="AP27" s="45"/>
      <c r="AQ27" s="76"/>
      <c r="AR27" s="76"/>
      <c r="AS27" s="114"/>
      <c r="AT27" s="50"/>
      <c r="AU27" s="76"/>
      <c r="AV27" s="253"/>
      <c r="AW27" s="253"/>
      <c r="AX27" s="253"/>
      <c r="AY27" s="50"/>
      <c r="AZ27" s="253"/>
      <c r="BA27" s="253"/>
      <c r="BB27" s="253"/>
      <c r="BC27" s="57"/>
      <c r="BD27" s="50"/>
      <c r="BE27" s="253"/>
      <c r="BF27" s="253"/>
      <c r="BG27" s="253"/>
      <c r="BH27" s="253"/>
      <c r="BI27" s="50"/>
      <c r="BJ27" s="253">
        <v>-345</v>
      </c>
      <c r="BK27" s="253">
        <f>-27-BJ27</f>
        <v>318</v>
      </c>
      <c r="BL27" s="253">
        <f>-487-BK27-BJ27</f>
        <v>-460</v>
      </c>
      <c r="BM27" s="253">
        <v>1458</v>
      </c>
      <c r="BN27" s="50">
        <f>SUM(BJ27:BM27)</f>
        <v>971</v>
      </c>
      <c r="BO27" s="253">
        <v>-452</v>
      </c>
      <c r="BP27" s="253">
        <f>-842-BO27</f>
        <v>-390</v>
      </c>
      <c r="BQ27" s="253">
        <f>-1128-BP27-BO27</f>
        <v>-286</v>
      </c>
      <c r="BR27" s="253">
        <f>-1234-BQ27-BP27-BO27</f>
        <v>-106</v>
      </c>
      <c r="BS27" s="50">
        <f t="shared" si="27"/>
        <v>-1234</v>
      </c>
      <c r="BT27" s="253">
        <v>-19</v>
      </c>
      <c r="BU27" s="253">
        <v>1468</v>
      </c>
      <c r="BV27" s="253">
        <v>-413</v>
      </c>
      <c r="BW27" s="253">
        <f>2792-BV27-BU27-BT27</f>
        <v>1756</v>
      </c>
      <c r="BX27" s="50">
        <f t="shared" si="28"/>
        <v>2792</v>
      </c>
      <c r="BY27" s="253">
        <v>-256</v>
      </c>
      <c r="BZ27" s="253">
        <v>-422</v>
      </c>
      <c r="CA27" s="253">
        <f>+-1127-BZ27-BY27</f>
        <v>-449</v>
      </c>
      <c r="CB27" s="253">
        <v>-435</v>
      </c>
      <c r="CC27" s="50">
        <f t="shared" si="29"/>
        <v>-1562</v>
      </c>
      <c r="CD27" s="373">
        <v>-452</v>
      </c>
      <c r="CE27" s="253">
        <v>-507</v>
      </c>
      <c r="CF27" s="253">
        <v>-458</v>
      </c>
      <c r="CG27" s="118">
        <f>-1947-CF27-CE27-CD27</f>
        <v>-530</v>
      </c>
      <c r="CH27" s="50">
        <f t="shared" si="30"/>
        <v>-1947</v>
      </c>
      <c r="CI27" s="253">
        <v>-551</v>
      </c>
      <c r="CJ27" s="253">
        <v>-349</v>
      </c>
      <c r="CK27" s="253">
        <v>-512</v>
      </c>
      <c r="CL27" s="57">
        <f t="shared" si="8"/>
        <v>-493</v>
      </c>
      <c r="CM27" s="50">
        <v>-1905</v>
      </c>
      <c r="CN27" s="253">
        <v>-438</v>
      </c>
      <c r="CO27" s="253">
        <v>-438</v>
      </c>
      <c r="CP27" s="523">
        <f>-1357-CO27-CN27</f>
        <v>-481</v>
      </c>
      <c r="CQ27" s="57">
        <f t="shared" si="38"/>
        <v>-731</v>
      </c>
      <c r="CR27" s="50">
        <v>-2088</v>
      </c>
      <c r="CS27" s="253">
        <v>-500</v>
      </c>
      <c r="CT27" s="253">
        <v>-500</v>
      </c>
      <c r="CU27" s="253">
        <v>-500</v>
      </c>
      <c r="CV27" s="253">
        <v>-500</v>
      </c>
      <c r="CW27" s="50">
        <f t="shared" si="31"/>
        <v>-2000</v>
      </c>
    </row>
    <row r="28" spans="2:101">
      <c r="B28" s="24"/>
      <c r="C28" t="s">
        <v>78</v>
      </c>
      <c r="D28" s="32"/>
      <c r="E28" s="32"/>
      <c r="F28" s="56">
        <v>49</v>
      </c>
      <c r="G28" s="56"/>
      <c r="H28" s="45"/>
      <c r="I28" s="45"/>
      <c r="J28" s="57"/>
      <c r="K28" s="56">
        <v>-87</v>
      </c>
      <c r="L28" s="56">
        <v>-12</v>
      </c>
      <c r="M28" s="45"/>
      <c r="N28" s="45"/>
      <c r="O28" s="57"/>
      <c r="P28" s="50">
        <v>505</v>
      </c>
      <c r="Q28" s="56">
        <v>237</v>
      </c>
      <c r="R28" s="45">
        <f>-351-Q28</f>
        <v>-588</v>
      </c>
      <c r="S28" s="45">
        <f>-256-R28-Q28</f>
        <v>95</v>
      </c>
      <c r="T28" s="57">
        <f t="shared" si="20"/>
        <v>-224</v>
      </c>
      <c r="U28" s="50">
        <v>-480</v>
      </c>
      <c r="V28" s="56">
        <v>101</v>
      </c>
      <c r="W28" s="45">
        <f>216-V28</f>
        <v>115</v>
      </c>
      <c r="X28" s="45">
        <v>-156</v>
      </c>
      <c r="Y28" s="57">
        <f>140-X28-W28-V28</f>
        <v>80</v>
      </c>
      <c r="Z28" s="50">
        <f t="shared" si="11"/>
        <v>140</v>
      </c>
      <c r="AA28" s="45">
        <v>215</v>
      </c>
      <c r="AB28" s="45">
        <v>248</v>
      </c>
      <c r="AC28" s="45">
        <f>179-AB28-AA28</f>
        <v>-284</v>
      </c>
      <c r="AD28" s="57">
        <f>1582-AC28-AB28-AA28</f>
        <v>1403</v>
      </c>
      <c r="AE28" s="50">
        <f t="shared" si="0"/>
        <v>1582</v>
      </c>
      <c r="AF28" s="45">
        <v>214</v>
      </c>
      <c r="AG28" s="45">
        <f>497-AF28</f>
        <v>283</v>
      </c>
      <c r="AH28" s="76">
        <f>145-AG28-AF28</f>
        <v>-352</v>
      </c>
      <c r="AI28" s="114">
        <f>-108-AH28-AG28-AF28</f>
        <v>-253</v>
      </c>
      <c r="AJ28" s="50">
        <f t="shared" si="12"/>
        <v>-108</v>
      </c>
      <c r="AK28" s="76">
        <v>255</v>
      </c>
      <c r="AL28" s="76">
        <f>421-AK28</f>
        <v>166</v>
      </c>
      <c r="AM28" s="76">
        <f>407-AL28-AK28</f>
        <v>-14</v>
      </c>
      <c r="AN28" s="114">
        <v>958</v>
      </c>
      <c r="AO28" s="50">
        <f t="shared" si="13"/>
        <v>1365</v>
      </c>
      <c r="AP28" s="45">
        <v>347</v>
      </c>
      <c r="AQ28" s="76">
        <f>-324-AP28</f>
        <v>-671</v>
      </c>
      <c r="AR28" s="76">
        <f>-104-AQ28-AP28</f>
        <v>220</v>
      </c>
      <c r="AS28" s="114">
        <f>-461-AR28-AQ28-AP28</f>
        <v>-357</v>
      </c>
      <c r="AT28" s="50">
        <f t="shared" si="14"/>
        <v>-461</v>
      </c>
      <c r="AU28" s="76">
        <v>-90</v>
      </c>
      <c r="AV28" s="253">
        <f>464-AU28</f>
        <v>554</v>
      </c>
      <c r="AW28" s="253">
        <f>126-AV28-AU28</f>
        <v>-338</v>
      </c>
      <c r="AX28" s="253">
        <f>990-AW28-AV28-AU28</f>
        <v>864</v>
      </c>
      <c r="AY28" s="50">
        <f t="shared" si="15"/>
        <v>990</v>
      </c>
      <c r="AZ28" s="253">
        <v>945</v>
      </c>
      <c r="BA28" s="253">
        <f>206-AZ28</f>
        <v>-739</v>
      </c>
      <c r="BB28" s="253">
        <f>469-BA28-AZ28</f>
        <v>263</v>
      </c>
      <c r="BC28" s="57">
        <f>1192-BB28-BA28-AZ28</f>
        <v>723</v>
      </c>
      <c r="BD28" s="50">
        <f t="shared" si="21"/>
        <v>1192</v>
      </c>
      <c r="BE28" s="253">
        <v>-592</v>
      </c>
      <c r="BF28" s="253">
        <f>62-BE28</f>
        <v>654</v>
      </c>
      <c r="BG28" s="253">
        <f>-718-BF28-BE28</f>
        <v>-780</v>
      </c>
      <c r="BH28" s="57">
        <f>-135-BG28-BF28-BE28</f>
        <v>583</v>
      </c>
      <c r="BI28" s="50">
        <f t="shared" si="22"/>
        <v>-135</v>
      </c>
      <c r="BJ28" s="45">
        <v>60</v>
      </c>
      <c r="BK28" s="45">
        <f>404-BJ28</f>
        <v>344</v>
      </c>
      <c r="BL28" s="45">
        <f>-84-BK28-BJ28</f>
        <v>-488</v>
      </c>
      <c r="BM28" s="57">
        <v>790</v>
      </c>
      <c r="BN28" s="50">
        <f t="shared" si="3"/>
        <v>706</v>
      </c>
      <c r="BO28" s="45">
        <v>-615</v>
      </c>
      <c r="BP28" s="45">
        <f>-964-BO28</f>
        <v>-349</v>
      </c>
      <c r="BQ28" s="45">
        <f>-3-BP28-BO28</f>
        <v>961</v>
      </c>
      <c r="BR28" s="57">
        <f>563-BQ28-BP28-BO28</f>
        <v>566</v>
      </c>
      <c r="BS28" s="50">
        <f t="shared" si="27"/>
        <v>563</v>
      </c>
      <c r="BT28" s="45">
        <v>-1052</v>
      </c>
      <c r="BU28" s="45">
        <v>-1035</v>
      </c>
      <c r="BV28" s="45">
        <v>1913</v>
      </c>
      <c r="BW28" s="57">
        <f>1017-BV28-BU28-BT28</f>
        <v>1191</v>
      </c>
      <c r="BX28" s="50">
        <f t="shared" ref="BX28" si="39">SUM(BT28:BW28)</f>
        <v>1017</v>
      </c>
      <c r="BY28" s="45">
        <v>-1746</v>
      </c>
      <c r="BZ28" s="45">
        <v>941</v>
      </c>
      <c r="CA28" s="45">
        <f>+-3035-BZ28-BY28</f>
        <v>-2230</v>
      </c>
      <c r="CB28" s="57">
        <v>206</v>
      </c>
      <c r="CC28" s="50">
        <f t="shared" ref="CC28" si="40">SUM(BY28:CB28)</f>
        <v>-2829</v>
      </c>
      <c r="CD28" s="64">
        <v>721</v>
      </c>
      <c r="CE28" s="45">
        <v>-1449</v>
      </c>
      <c r="CF28" s="45">
        <v>559</v>
      </c>
      <c r="CG28" s="143">
        <f>1302-CF28-CE28-CD28</f>
        <v>1471</v>
      </c>
      <c r="CH28" s="50">
        <f t="shared" ref="CH28" si="41">SUM(CD28:CG28)</f>
        <v>1302</v>
      </c>
      <c r="CI28" s="45">
        <v>-674</v>
      </c>
      <c r="CJ28" s="45">
        <v>2163</v>
      </c>
      <c r="CK28" s="45">
        <v>-647</v>
      </c>
      <c r="CL28" s="57">
        <f t="shared" si="8"/>
        <v>3273</v>
      </c>
      <c r="CM28" s="50">
        <v>4115</v>
      </c>
      <c r="CN28" s="45">
        <v>3868</v>
      </c>
      <c r="CO28" s="45">
        <v>-5701</v>
      </c>
      <c r="CP28" s="523">
        <f>-2226-CO28-CN28</f>
        <v>-393</v>
      </c>
      <c r="CQ28" s="57">
        <f t="shared" si="38"/>
        <v>-1342</v>
      </c>
      <c r="CR28" s="50">
        <v>-3568</v>
      </c>
      <c r="CS28" s="45">
        <f>BS!CS26-BS!CR26</f>
        <v>410.21301500000118</v>
      </c>
      <c r="CT28" s="45">
        <f>BS!CT26-BS!CS26</f>
        <v>354.69738499999949</v>
      </c>
      <c r="CU28" s="45">
        <f>BS!CU26-BS!CT26</f>
        <v>470.44681600000149</v>
      </c>
      <c r="CV28" s="57">
        <f>BS!CV26-BS!CU26</f>
        <v>248.32326399999693</v>
      </c>
      <c r="CW28" s="50">
        <f t="shared" ref="CW28" si="42">SUM(CS28:CV28)</f>
        <v>1483.6804799999991</v>
      </c>
    </row>
    <row r="29" spans="2:101" s="1" customFormat="1" ht="13.15">
      <c r="B29" s="14" t="s">
        <v>575</v>
      </c>
      <c r="D29" s="52"/>
      <c r="E29" s="52"/>
      <c r="F29" s="78">
        <f t="shared" ref="F29:AK29" si="43">SUM(F6:F28)</f>
        <v>-803</v>
      </c>
      <c r="G29" s="78">
        <f t="shared" si="43"/>
        <v>505</v>
      </c>
      <c r="H29" s="44">
        <f t="shared" si="43"/>
        <v>486</v>
      </c>
      <c r="I29" s="44">
        <f t="shared" si="43"/>
        <v>494</v>
      </c>
      <c r="J29" s="79">
        <f t="shared" si="43"/>
        <v>503</v>
      </c>
      <c r="K29" s="78">
        <f t="shared" si="43"/>
        <v>-807</v>
      </c>
      <c r="L29" s="78">
        <f t="shared" si="43"/>
        <v>1194</v>
      </c>
      <c r="M29" s="44">
        <f t="shared" si="43"/>
        <v>321</v>
      </c>
      <c r="N29" s="44">
        <f t="shared" si="43"/>
        <v>326</v>
      </c>
      <c r="O29" s="79">
        <f t="shared" si="43"/>
        <v>366</v>
      </c>
      <c r="P29" s="49">
        <f t="shared" si="43"/>
        <v>5158</v>
      </c>
      <c r="Q29" s="78">
        <f t="shared" si="43"/>
        <v>254</v>
      </c>
      <c r="R29" s="44">
        <f t="shared" si="43"/>
        <v>2448</v>
      </c>
      <c r="S29" s="44">
        <f t="shared" si="43"/>
        <v>1370</v>
      </c>
      <c r="T29" s="44">
        <f t="shared" si="43"/>
        <v>847</v>
      </c>
      <c r="U29" s="49">
        <f t="shared" si="43"/>
        <v>4919</v>
      </c>
      <c r="V29" s="44">
        <f t="shared" si="43"/>
        <v>560</v>
      </c>
      <c r="W29" s="44">
        <f t="shared" si="43"/>
        <v>566</v>
      </c>
      <c r="X29" s="44">
        <f t="shared" si="43"/>
        <v>2420</v>
      </c>
      <c r="Y29" s="79">
        <f t="shared" si="43"/>
        <v>939</v>
      </c>
      <c r="Z29" s="49">
        <f t="shared" si="43"/>
        <v>4485</v>
      </c>
      <c r="AA29" s="44">
        <f t="shared" si="43"/>
        <v>1604</v>
      </c>
      <c r="AB29" s="44">
        <f t="shared" si="43"/>
        <v>2967</v>
      </c>
      <c r="AC29" s="44">
        <f t="shared" si="43"/>
        <v>3695</v>
      </c>
      <c r="AD29" s="79">
        <f t="shared" si="43"/>
        <v>-1437</v>
      </c>
      <c r="AE29" s="49">
        <f t="shared" si="43"/>
        <v>6829</v>
      </c>
      <c r="AF29" s="44">
        <f t="shared" si="43"/>
        <v>6549</v>
      </c>
      <c r="AG29" s="44">
        <f t="shared" si="43"/>
        <v>2084</v>
      </c>
      <c r="AH29" s="44">
        <f t="shared" si="43"/>
        <v>7474</v>
      </c>
      <c r="AI29" s="79">
        <f t="shared" si="43"/>
        <v>2136</v>
      </c>
      <c r="AJ29" s="49">
        <f t="shared" si="43"/>
        <v>18243</v>
      </c>
      <c r="AK29" s="44">
        <f t="shared" si="43"/>
        <v>3558</v>
      </c>
      <c r="AL29" s="44">
        <f t="shared" ref="AL29:BQ29" si="44">SUM(AL6:AL28)</f>
        <v>3382</v>
      </c>
      <c r="AM29" s="44">
        <f t="shared" si="44"/>
        <v>4677</v>
      </c>
      <c r="AN29" s="79">
        <f t="shared" si="44"/>
        <v>5171</v>
      </c>
      <c r="AO29" s="49">
        <f t="shared" si="44"/>
        <v>16788</v>
      </c>
      <c r="AP29" s="44">
        <f t="shared" si="44"/>
        <v>3062</v>
      </c>
      <c r="AQ29" s="44">
        <f t="shared" si="44"/>
        <v>-675</v>
      </c>
      <c r="AR29" s="44">
        <f t="shared" si="44"/>
        <v>4491</v>
      </c>
      <c r="AS29" s="79">
        <f t="shared" si="44"/>
        <v>7551</v>
      </c>
      <c r="AT29" s="49">
        <f t="shared" si="44"/>
        <v>14429</v>
      </c>
      <c r="AU29" s="44">
        <f t="shared" si="44"/>
        <v>6911</v>
      </c>
      <c r="AV29" s="44">
        <f t="shared" si="44"/>
        <v>1881</v>
      </c>
      <c r="AW29" s="44">
        <f t="shared" si="44"/>
        <v>1561</v>
      </c>
      <c r="AX29" s="44">
        <f t="shared" si="44"/>
        <v>8412</v>
      </c>
      <c r="AY29" s="49">
        <f t="shared" si="44"/>
        <v>18765</v>
      </c>
      <c r="AZ29" s="44">
        <f t="shared" si="44"/>
        <v>10399</v>
      </c>
      <c r="BA29" s="44">
        <f t="shared" si="44"/>
        <v>7507</v>
      </c>
      <c r="BB29" s="44">
        <f t="shared" si="44"/>
        <v>4065</v>
      </c>
      <c r="BC29" s="79">
        <f t="shared" si="44"/>
        <v>9078</v>
      </c>
      <c r="BD29" s="49">
        <f t="shared" si="44"/>
        <v>31049</v>
      </c>
      <c r="BE29" s="44">
        <f t="shared" si="44"/>
        <v>9349</v>
      </c>
      <c r="BF29" s="44">
        <f t="shared" si="44"/>
        <v>12898</v>
      </c>
      <c r="BG29" s="44">
        <f t="shared" si="44"/>
        <v>15300</v>
      </c>
      <c r="BH29" s="79">
        <f t="shared" si="44"/>
        <v>17468</v>
      </c>
      <c r="BI29" s="49">
        <f t="shared" si="44"/>
        <v>55015</v>
      </c>
      <c r="BJ29" s="44">
        <f t="shared" si="44"/>
        <v>10201</v>
      </c>
      <c r="BK29" s="44">
        <f t="shared" si="44"/>
        <v>19461</v>
      </c>
      <c r="BL29" s="44">
        <f t="shared" si="44"/>
        <v>21298</v>
      </c>
      <c r="BM29" s="79">
        <f t="shared" si="44"/>
        <v>20834</v>
      </c>
      <c r="BN29" s="49">
        <f t="shared" si="44"/>
        <v>71794</v>
      </c>
      <c r="BO29" s="44">
        <f t="shared" si="44"/>
        <v>14667</v>
      </c>
      <c r="BP29" s="44">
        <f t="shared" si="44"/>
        <v>22128</v>
      </c>
      <c r="BQ29" s="44">
        <f t="shared" si="44"/>
        <v>28734</v>
      </c>
      <c r="BR29" s="79">
        <f t="shared" ref="BR29:CW29" si="45">SUM(BR6:BR28)</f>
        <v>23033</v>
      </c>
      <c r="BS29" s="49">
        <f t="shared" si="45"/>
        <v>88562</v>
      </c>
      <c r="BT29" s="44">
        <f t="shared" si="45"/>
        <v>21605</v>
      </c>
      <c r="BU29" s="44">
        <f t="shared" si="45"/>
        <v>33053</v>
      </c>
      <c r="BV29" s="44">
        <f t="shared" si="45"/>
        <v>26910</v>
      </c>
      <c r="BW29" s="79">
        <f t="shared" si="45"/>
        <v>31325</v>
      </c>
      <c r="BX29" s="49">
        <f t="shared" si="45"/>
        <v>112893</v>
      </c>
      <c r="BY29" s="44">
        <f t="shared" si="45"/>
        <v>4347</v>
      </c>
      <c r="BZ29" s="44">
        <f t="shared" si="45"/>
        <v>32438</v>
      </c>
      <c r="CA29" s="44">
        <f t="shared" si="45"/>
        <v>39698</v>
      </c>
      <c r="CB29" s="79">
        <f t="shared" si="45"/>
        <v>23569</v>
      </c>
      <c r="CC29" s="49">
        <f t="shared" si="45"/>
        <v>100052</v>
      </c>
      <c r="CD29" s="44">
        <f t="shared" si="45"/>
        <v>21631</v>
      </c>
      <c r="CE29" s="44">
        <f t="shared" si="45"/>
        <v>34037</v>
      </c>
      <c r="CF29" s="44">
        <f t="shared" si="45"/>
        <v>43842</v>
      </c>
      <c r="CG29" s="672">
        <f t="shared" si="45"/>
        <v>32788</v>
      </c>
      <c r="CH29" s="49">
        <f t="shared" si="45"/>
        <v>132298</v>
      </c>
      <c r="CI29" s="44">
        <f t="shared" si="45"/>
        <v>34064</v>
      </c>
      <c r="CJ29" s="44">
        <f t="shared" si="45"/>
        <v>29442</v>
      </c>
      <c r="CK29" s="44">
        <f t="shared" si="45"/>
        <v>53330</v>
      </c>
      <c r="CL29" s="672">
        <f t="shared" si="45"/>
        <v>40562</v>
      </c>
      <c r="CM29" s="49">
        <f t="shared" si="45"/>
        <v>157398</v>
      </c>
      <c r="CN29" s="44">
        <f t="shared" si="45"/>
        <v>39983</v>
      </c>
      <c r="CO29" s="44">
        <f t="shared" si="45"/>
        <v>32323</v>
      </c>
      <c r="CP29" s="836">
        <f t="shared" si="45"/>
        <v>60613</v>
      </c>
      <c r="CQ29" s="672">
        <f t="shared" ref="CQ29:CR29" si="46">SUM(CQ6:CQ28)</f>
        <v>45871</v>
      </c>
      <c r="CR29" s="49">
        <f t="shared" si="46"/>
        <v>178790</v>
      </c>
      <c r="CS29" s="44">
        <f t="shared" si="45"/>
        <v>94648.557010500008</v>
      </c>
      <c r="CT29" s="44">
        <f t="shared" si="45"/>
        <v>57194.980285999998</v>
      </c>
      <c r="CU29" s="44">
        <f t="shared" si="45"/>
        <v>58860.560104240009</v>
      </c>
      <c r="CV29" s="79">
        <f t="shared" si="45"/>
        <v>60501.951677092155</v>
      </c>
      <c r="CW29" s="49">
        <f t="shared" si="45"/>
        <v>271206.0490778322</v>
      </c>
    </row>
    <row r="30" spans="2:101" s="84" customFormat="1">
      <c r="B30" s="83"/>
      <c r="C30" s="84" t="s">
        <v>139</v>
      </c>
      <c r="D30" s="633"/>
      <c r="E30" s="633"/>
      <c r="F30" s="634"/>
      <c r="G30" s="634"/>
      <c r="H30" s="635"/>
      <c r="I30" s="635"/>
      <c r="J30" s="635"/>
      <c r="K30" s="636"/>
      <c r="L30" s="637">
        <f>L29/IS!L4</f>
        <v>0.13996014535224474</v>
      </c>
      <c r="M30" s="637">
        <f>M29/IS!M4</f>
        <v>3.3437500000000002E-2</v>
      </c>
      <c r="N30" s="637">
        <f>N29/IS!N4</f>
        <v>3.383848868590409E-2</v>
      </c>
      <c r="O30" s="637">
        <f>O29/IS!O4</f>
        <v>3.6669672377517282E-2</v>
      </c>
      <c r="P30" s="638">
        <f>P29/IS!P4</f>
        <v>0.13665024108514809</v>
      </c>
      <c r="Q30" s="637">
        <f>Q29/IS!Q4</f>
        <v>2.4797422630088842E-2</v>
      </c>
      <c r="R30" s="637">
        <f>R29/IS!R4</f>
        <v>0.22368421052631579</v>
      </c>
      <c r="S30" s="637">
        <f>S29/IS!S4</f>
        <v>0.11922374031851014</v>
      </c>
      <c r="T30" s="637">
        <f>T29/IS!T4</f>
        <v>7.1063008641664566E-2</v>
      </c>
      <c r="U30" s="638">
        <f>U29/IS!U4</f>
        <v>0.11029889902908267</v>
      </c>
      <c r="V30" s="637">
        <f>V29/IS!V4</f>
        <v>4.4272274488101823E-2</v>
      </c>
      <c r="W30" s="637">
        <f>W29/IS!W4</f>
        <v>4.0611322379278184E-2</v>
      </c>
      <c r="X30" s="637">
        <f>X29/IS!X4</f>
        <v>0.15583746538733981</v>
      </c>
      <c r="Y30" s="639">
        <f>Y29/IS!Y4</f>
        <v>5.9227955090198056E-2</v>
      </c>
      <c r="Z30" s="640">
        <f>Z29/IS!Z4</f>
        <v>7.7368938570615331E-2</v>
      </c>
      <c r="AA30" s="641">
        <f>AA29/IS!AA4</f>
        <v>9.7012217249304464E-2</v>
      </c>
      <c r="AB30" s="641">
        <f>AB29/IS!AB4</f>
        <v>0.16648897368273385</v>
      </c>
      <c r="AC30" s="641">
        <f>AC29/IS!AC4</f>
        <v>0.1823160803276262</v>
      </c>
      <c r="AD30" s="639">
        <f>AD29/IS!AD4</f>
        <v>-6.3912115281978293E-2</v>
      </c>
      <c r="AE30" s="640">
        <f>AE29/IS!AE4</f>
        <v>8.8566389126656805E-2</v>
      </c>
      <c r="AF30" s="641">
        <f>AF29/IS!AF4</f>
        <v>0.27572414954530144</v>
      </c>
      <c r="AG30" s="641">
        <f>AG29/IS!AG4</f>
        <v>8.1222230883155347E-2</v>
      </c>
      <c r="AH30" s="641">
        <f>AH29/IS!AH4</f>
        <v>0.27673281990521326</v>
      </c>
      <c r="AI30" s="639">
        <f>AI29/IS!AI4</f>
        <v>7.635934651270869E-2</v>
      </c>
      <c r="AJ30" s="640">
        <f>AJ29/IS!AJ4</f>
        <v>0.17475644452107941</v>
      </c>
      <c r="AK30" s="641">
        <f>AK29/IS!AK4</f>
        <v>0.12294827050001728</v>
      </c>
      <c r="AL30" s="641">
        <f>AL29/IS!AL4</f>
        <v>0.1087459807073955</v>
      </c>
      <c r="AM30" s="641">
        <f>AM29/IS!AM4</f>
        <v>0.14388112963760535</v>
      </c>
      <c r="AN30" s="639">
        <f>AN29/IS!AN4</f>
        <v>0.14606519405683294</v>
      </c>
      <c r="AO30" s="640">
        <f>AO29/IS!AO4</f>
        <v>0.13121057938052474</v>
      </c>
      <c r="AP30" s="641">
        <f>AP29/IS!AP4</f>
        <v>8.2823911279415741E-2</v>
      </c>
      <c r="AQ30" s="641">
        <f>AQ29/IS!AQ4</f>
        <v>-1.7376306440817588E-2</v>
      </c>
      <c r="AR30" s="641">
        <f>AR29/IS!AR4</f>
        <v>0.11129008276750756</v>
      </c>
      <c r="AS30" s="639">
        <f>AS29/IS!AS4</f>
        <v>0.17830830263530745</v>
      </c>
      <c r="AT30" s="640">
        <f>AT29/IS!AT4</f>
        <v>9.1024363163804745E-2</v>
      </c>
      <c r="AU30" s="641">
        <f>AU29/IS!AU4</f>
        <v>0.1515603412355534</v>
      </c>
      <c r="AV30" s="641">
        <f>AV29/IS!AV4</f>
        <v>3.9724609828725901E-2</v>
      </c>
      <c r="AW30" s="641">
        <f>AW29/IS!AW4</f>
        <v>3.1673565457349243E-2</v>
      </c>
      <c r="AX30" s="641">
        <f>AX29/IS!AX4</f>
        <v>0.16474412957051371</v>
      </c>
      <c r="AY30" s="640">
        <f>AY29/IS!AY4</f>
        <v>9.7079593367650485E-2</v>
      </c>
      <c r="AZ30" s="641">
        <f>AZ29/IS!AZ4</f>
        <v>0.20024262497111608</v>
      </c>
      <c r="BA30" s="641">
        <f>BA29/IS!BA4</f>
        <v>0.13829120919607987</v>
      </c>
      <c r="BB30" s="641">
        <f>BB29/IS!BB4</f>
        <v>7.2395369545859303E-2</v>
      </c>
      <c r="BC30" s="639">
        <f>BC29/IS!BC4</f>
        <v>0.15597938144329898</v>
      </c>
      <c r="BD30" s="640">
        <f>BD29/IS!BD4</f>
        <v>0.14076965624801646</v>
      </c>
      <c r="BE30" s="641">
        <f>BE29/IS!BE4</f>
        <v>0.15821092533676301</v>
      </c>
      <c r="BF30" s="641">
        <f>BF29/IS!BF4</f>
        <v>0.21112766201240771</v>
      </c>
      <c r="BG30" s="641">
        <f>BG29/IS!BG4</f>
        <v>0.24336705478144685</v>
      </c>
      <c r="BH30" s="639">
        <f>BH29/IS!BH4</f>
        <v>0.26795931828989555</v>
      </c>
      <c r="BI30" s="640">
        <f>BI29/IS!BI4</f>
        <v>0.22162020625201417</v>
      </c>
      <c r="BJ30" s="641">
        <f>BJ29/IS!BJ4</f>
        <v>0.15240386051931754</v>
      </c>
      <c r="BK30" s="641">
        <f>BK29/IS!BK4</f>
        <v>0.28398196384012608</v>
      </c>
      <c r="BL30" s="641">
        <f>BL29/IS!BL4</f>
        <v>0.30027633656665914</v>
      </c>
      <c r="BM30" s="639">
        <f>BM29/IS!BM4</f>
        <v>0.28644494246078123</v>
      </c>
      <c r="BN30" s="640">
        <f>BN29/IS!BN4</f>
        <v>0.257211848497442</v>
      </c>
      <c r="BO30" s="641">
        <f>BO29/IS!BO4</f>
        <v>0.19768977787362518</v>
      </c>
      <c r="BP30" s="641">
        <f>BP29/IS!BP4</f>
        <v>0.29280298519312453</v>
      </c>
      <c r="BQ30" s="641">
        <f>BQ29/IS!BQ4</f>
        <v>0.36117500659904217</v>
      </c>
      <c r="BR30" s="639">
        <f>BR29/IS!BR4</f>
        <v>0.27648004993518027</v>
      </c>
      <c r="BS30" s="640">
        <f>BS29/IS!BS4</f>
        <v>0.28328055528899976</v>
      </c>
      <c r="BT30" s="641">
        <f>BT29/IS!BT4</f>
        <v>0.23980509245898729</v>
      </c>
      <c r="BU30" s="641">
        <f>BU29/IS!BU4</f>
        <v>0.34962290694845516</v>
      </c>
      <c r="BV30" s="641">
        <f>BV29/IS!BV4</f>
        <v>0.27490882343927181</v>
      </c>
      <c r="BW30" s="639">
        <f>BW29/IS!BW4</f>
        <v>0.30484837868348319</v>
      </c>
      <c r="BX30" s="640">
        <f>BX29/IS!BX4</f>
        <v>0.29301851140481111</v>
      </c>
      <c r="BY30" s="641">
        <f>BY29/IS!BY4</f>
        <v>4.1324042474309125E-2</v>
      </c>
      <c r="BZ30" s="641">
        <f>BZ29/IS!BZ4</f>
        <v>0.29711113960688051</v>
      </c>
      <c r="CA30" s="641">
        <f>CA29/IS!CA4</f>
        <v>0.34674982093880474</v>
      </c>
      <c r="CB30" s="639">
        <f>CB29/IS!CB4</f>
        <v>0.19316002556999787</v>
      </c>
      <c r="CC30" s="640">
        <f>CC29/IS!CC4</f>
        <v>0.22190629331854728</v>
      </c>
      <c r="CD30" s="641">
        <f>CD29/IS!CD4</f>
        <v>0.17185464137032447</v>
      </c>
      <c r="CE30" s="641">
        <f>CE29/IS!CE4</f>
        <v>0.26098791559317874</v>
      </c>
      <c r="CF30" s="641">
        <f>CF29/IS!CF4</f>
        <v>0.32317320379475312</v>
      </c>
      <c r="CG30" s="673">
        <f>CG29/IS!CG4</f>
        <v>0.22617873279757184</v>
      </c>
      <c r="CH30" s="640">
        <f>CH29/IS!CH4</f>
        <v>0.24640628783222515</v>
      </c>
      <c r="CI30" s="641">
        <f>CI29/IS!CI4</f>
        <v>0.22773707011820077</v>
      </c>
      <c r="CJ30" s="641">
        <f>CJ29/IS!CJ4</f>
        <v>0.19168467928852315</v>
      </c>
      <c r="CK30" s="641">
        <f>CK29/IS!CK4</f>
        <v>0.32580672751487605</v>
      </c>
      <c r="CL30" s="673">
        <f>CL29/IS!CL4</f>
        <v>0.23733375461508305</v>
      </c>
      <c r="CM30" s="640">
        <f>CM29/IS!CM4</f>
        <v>0.24679623372245263</v>
      </c>
      <c r="CN30" s="641">
        <f>CN29/IS!CN4</f>
        <v>0.22023255429663616</v>
      </c>
      <c r="CO30" s="641">
        <f>CO29/IS!CO4</f>
        <v>0.17248132337246533</v>
      </c>
      <c r="CP30" s="837">
        <f>CP29/IS!CP4</f>
        <v>0.31917705788187717</v>
      </c>
      <c r="CQ30" s="673">
        <f>CQ29/IS!CQ4</f>
        <v>0.23810290056682515</v>
      </c>
      <c r="CR30" s="640">
        <f>CR29/IS!CR4</f>
        <v>0.23790926208075794</v>
      </c>
      <c r="CS30" s="641">
        <f>CS29/IS!CS4</f>
        <v>0.49134487740328842</v>
      </c>
      <c r="CT30" s="641">
        <f>CT29/IS!CT4</f>
        <v>0.28930374605359105</v>
      </c>
      <c r="CU30" s="641">
        <f>CU29/IS!CU4</f>
        <v>0.28794020200220855</v>
      </c>
      <c r="CV30" s="639">
        <f>CV29/IS!CV4</f>
        <v>0.29092111364958678</v>
      </c>
      <c r="CW30" s="640">
        <f>CW29/IS!CW4</f>
        <v>0.33786027767291438</v>
      </c>
    </row>
    <row r="31" spans="2:101">
      <c r="B31" s="24"/>
      <c r="D31" s="32"/>
      <c r="E31" s="32"/>
      <c r="F31" s="56"/>
      <c r="G31" s="56"/>
      <c r="H31" s="45"/>
      <c r="I31" s="45"/>
      <c r="J31" s="45"/>
      <c r="K31" s="50"/>
      <c r="L31" s="45"/>
      <c r="M31" s="45"/>
      <c r="N31" s="45"/>
      <c r="O31" s="45"/>
      <c r="P31" s="50"/>
      <c r="Q31" s="45"/>
      <c r="R31" s="45"/>
      <c r="S31" s="45"/>
      <c r="T31" s="45"/>
      <c r="U31" s="50"/>
      <c r="V31" s="45"/>
      <c r="W31" s="45"/>
      <c r="X31" s="45"/>
      <c r="Y31" s="57"/>
      <c r="Z31" s="50"/>
      <c r="AA31" s="56"/>
      <c r="AB31" s="45"/>
      <c r="AC31" s="45"/>
      <c r="AD31" s="57"/>
      <c r="AE31" s="50"/>
      <c r="AF31" s="56"/>
      <c r="AG31" s="45"/>
      <c r="AH31" s="76"/>
      <c r="AI31" s="114"/>
      <c r="AJ31" s="50"/>
      <c r="AK31" s="150"/>
      <c r="AL31" s="76"/>
      <c r="AM31" s="76"/>
      <c r="AN31" s="114"/>
      <c r="AO31" s="50"/>
      <c r="AP31" s="56"/>
      <c r="AQ31" s="76"/>
      <c r="AR31" s="76"/>
      <c r="AS31" s="114"/>
      <c r="AT31" s="50"/>
      <c r="AU31" s="150"/>
      <c r="AV31" s="253"/>
      <c r="AW31" s="253"/>
      <c r="AX31" s="253"/>
      <c r="AY31" s="50"/>
      <c r="AZ31" s="361"/>
      <c r="BA31" s="253"/>
      <c r="BB31" s="253"/>
      <c r="BC31" s="57"/>
      <c r="BD31" s="50"/>
      <c r="BE31" s="361"/>
      <c r="BF31" s="45"/>
      <c r="BG31" s="45"/>
      <c r="BH31" s="57"/>
      <c r="BI31" s="50"/>
      <c r="BJ31" s="150"/>
      <c r="BK31" s="45"/>
      <c r="BL31" s="45"/>
      <c r="BM31" s="57"/>
      <c r="BN31" s="50"/>
      <c r="BO31" s="150"/>
      <c r="BP31" s="45"/>
      <c r="BQ31" s="45"/>
      <c r="BR31" s="57"/>
      <c r="BS31" s="50"/>
      <c r="BT31" s="150"/>
      <c r="BU31" s="45"/>
      <c r="BV31" s="45"/>
      <c r="BW31" s="57"/>
      <c r="BX31" s="50"/>
      <c r="BY31" s="150"/>
      <c r="BZ31" s="45"/>
      <c r="CA31" s="45"/>
      <c r="CB31" s="57"/>
      <c r="CC31" s="50"/>
      <c r="CD31" s="45"/>
      <c r="CE31" s="45"/>
      <c r="CF31" s="45"/>
      <c r="CG31" s="143"/>
      <c r="CH31" s="50"/>
      <c r="CI31" s="45"/>
      <c r="CJ31" s="45"/>
      <c r="CK31" s="45"/>
      <c r="CL31" s="143"/>
      <c r="CM31" s="50"/>
      <c r="CN31" s="45">
        <f>+CO31/2</f>
        <v>0</v>
      </c>
      <c r="CO31" s="45"/>
      <c r="CP31" s="523"/>
      <c r="CQ31" s="143"/>
      <c r="CR31" s="50"/>
      <c r="CS31" s="45"/>
      <c r="CT31" s="45"/>
      <c r="CU31" s="45"/>
      <c r="CV31" s="57"/>
      <c r="CW31" s="50"/>
    </row>
    <row r="32" spans="2:101" ht="13.15">
      <c r="B32" s="14" t="s">
        <v>79</v>
      </c>
      <c r="D32" s="32"/>
      <c r="E32" s="32"/>
      <c r="F32" s="56"/>
      <c r="G32" s="56"/>
      <c r="H32" s="45"/>
      <c r="I32" s="45"/>
      <c r="J32" s="57"/>
      <c r="K32" s="56"/>
      <c r="L32" s="56"/>
      <c r="M32" s="45"/>
      <c r="N32" s="45"/>
      <c r="O32" s="45"/>
      <c r="P32" s="50"/>
      <c r="Q32" s="45"/>
      <c r="R32" s="45"/>
      <c r="S32" s="45"/>
      <c r="T32" s="45"/>
      <c r="U32" s="50"/>
      <c r="V32" s="45"/>
      <c r="W32" s="45"/>
      <c r="X32" s="45"/>
      <c r="Y32" s="115">
        <f>+Y29/T29-1</f>
        <v>0.10861865407319948</v>
      </c>
      <c r="Z32" s="50"/>
      <c r="AA32" s="56"/>
      <c r="AB32" s="45"/>
      <c r="AC32" s="45"/>
      <c r="AD32" s="57"/>
      <c r="AE32" s="50"/>
      <c r="AF32" s="56"/>
      <c r="AG32" s="45"/>
      <c r="AH32" s="76"/>
      <c r="AI32" s="114"/>
      <c r="AJ32" s="50"/>
      <c r="AK32" s="150"/>
      <c r="AL32" s="76"/>
      <c r="AM32" s="76"/>
      <c r="AN32" s="114"/>
      <c r="AO32" s="50"/>
      <c r="AP32" s="56"/>
      <c r="AQ32" s="76"/>
      <c r="AR32" s="76"/>
      <c r="AS32" s="114"/>
      <c r="AT32" s="50"/>
      <c r="AU32" s="150"/>
      <c r="AV32" s="253"/>
      <c r="AW32" s="253"/>
      <c r="AX32" s="253"/>
      <c r="AY32" s="50"/>
      <c r="AZ32" s="361"/>
      <c r="BA32" s="253"/>
      <c r="BB32" s="253"/>
      <c r="BC32" s="360"/>
      <c r="BD32" s="50"/>
      <c r="BE32" s="361"/>
      <c r="BF32" s="118"/>
      <c r="BG32" s="118"/>
      <c r="BH32" s="57"/>
      <c r="BI32" s="50"/>
      <c r="BJ32" s="150"/>
      <c r="BK32" s="45"/>
      <c r="BL32" s="45"/>
      <c r="BM32" s="57"/>
      <c r="BN32" s="50"/>
      <c r="BO32" s="150"/>
      <c r="BP32" s="45"/>
      <c r="BQ32" s="45"/>
      <c r="BR32" s="57"/>
      <c r="BS32" s="50"/>
      <c r="BT32" s="150"/>
      <c r="BU32" s="45"/>
      <c r="BV32" s="45"/>
      <c r="BW32" s="57"/>
      <c r="BX32" s="50"/>
      <c r="BY32" s="150"/>
      <c r="BZ32" s="45"/>
      <c r="CA32" s="45"/>
      <c r="CB32" s="57"/>
      <c r="CC32" s="50"/>
      <c r="CD32" s="45"/>
      <c r="CE32" s="45"/>
      <c r="CF32" s="45"/>
      <c r="CG32" s="143"/>
      <c r="CH32" s="50"/>
      <c r="CI32" s="45"/>
      <c r="CJ32" s="45"/>
      <c r="CK32" s="45"/>
      <c r="CL32" s="143"/>
      <c r="CM32" s="50"/>
      <c r="CN32" s="45"/>
      <c r="CO32" s="45"/>
      <c r="CP32" s="523"/>
      <c r="CQ32" s="143"/>
      <c r="CR32" s="50"/>
      <c r="CS32" s="45"/>
      <c r="CT32" s="45"/>
      <c r="CU32" s="45"/>
      <c r="CV32" s="57"/>
      <c r="CW32" s="50"/>
    </row>
    <row r="33" spans="2:101" s="533" customFormat="1">
      <c r="B33" s="534"/>
      <c r="C33" s="533" t="s">
        <v>80</v>
      </c>
      <c r="D33" s="535"/>
      <c r="E33" s="535"/>
      <c r="F33" s="539">
        <v>-1123</v>
      </c>
      <c r="G33" s="539"/>
      <c r="H33" s="523"/>
      <c r="I33" s="523"/>
      <c r="J33" s="540"/>
      <c r="K33" s="539">
        <v>-884</v>
      </c>
      <c r="L33" s="539">
        <v>-68</v>
      </c>
      <c r="M33" s="523"/>
      <c r="N33" s="523"/>
      <c r="O33" s="540"/>
      <c r="P33" s="536">
        <v>-1000</v>
      </c>
      <c r="Q33" s="539">
        <v>-130</v>
      </c>
      <c r="R33" s="523">
        <f>-1214-Q33</f>
        <v>-1084</v>
      </c>
      <c r="S33" s="523">
        <f>-1230-R33-Q33</f>
        <v>-16</v>
      </c>
      <c r="T33" s="540">
        <f>U33-SUM(Q33:S33)</f>
        <v>-542</v>
      </c>
      <c r="U33" s="536">
        <v>-1772</v>
      </c>
      <c r="V33" s="539">
        <v>-488</v>
      </c>
      <c r="W33" s="523">
        <f>-989-V33</f>
        <v>-501</v>
      </c>
      <c r="X33" s="523">
        <v>-727</v>
      </c>
      <c r="Y33" s="540">
        <f>-2584-X33-W33-V33</f>
        <v>-868</v>
      </c>
      <c r="Z33" s="536">
        <f>SUM(V33:Y33)</f>
        <v>-2584</v>
      </c>
      <c r="AA33" s="539">
        <v>-630</v>
      </c>
      <c r="AB33" s="523">
        <v>-1260</v>
      </c>
      <c r="AC33" s="523">
        <f>-2845-AB33-AA33</f>
        <v>-955</v>
      </c>
      <c r="AD33" s="540">
        <f>-5983-AC33-AB33-AA33</f>
        <v>-3138</v>
      </c>
      <c r="AE33" s="536">
        <f>SUM(AA33:AD33)</f>
        <v>-5983</v>
      </c>
      <c r="AF33" s="539">
        <v>-1089</v>
      </c>
      <c r="AG33" s="523">
        <f>-1737-AF33</f>
        <v>-648</v>
      </c>
      <c r="AH33" s="523">
        <f>-5030-AG33-AF33</f>
        <v>-3293</v>
      </c>
      <c r="AI33" s="540">
        <f>-5701-AH33-AG33-AF33</f>
        <v>-671</v>
      </c>
      <c r="AJ33" s="536">
        <f>SUM(AF33:AI33)</f>
        <v>-5701</v>
      </c>
      <c r="AK33" s="539">
        <v>-861</v>
      </c>
      <c r="AL33" s="523">
        <f>-3380-AK33</f>
        <v>-2519</v>
      </c>
      <c r="AM33" s="523">
        <f>-4394-AL33-AK33</f>
        <v>-1014</v>
      </c>
      <c r="AN33" s="540">
        <v>-3188</v>
      </c>
      <c r="AO33" s="536">
        <f>SUM(AK33:AN33)</f>
        <v>-7582</v>
      </c>
      <c r="AP33" s="539">
        <v>-2308</v>
      </c>
      <c r="AQ33" s="523">
        <f>-5079-AP33</f>
        <v>-2771</v>
      </c>
      <c r="AR33" s="523">
        <f>-6504-AQ33-AP33</f>
        <v>-1425</v>
      </c>
      <c r="AS33" s="540">
        <f>-8757-AR33-AQ33-AP33</f>
        <v>-2253</v>
      </c>
      <c r="AT33" s="536">
        <f>SUM(AP33:AS33)</f>
        <v>-8757</v>
      </c>
      <c r="AU33" s="539">
        <v>-2116</v>
      </c>
      <c r="AV33" s="523">
        <f>-3070-AU33</f>
        <v>-954</v>
      </c>
      <c r="AW33" s="523">
        <f>-5972-AV33-AU33</f>
        <v>-2902</v>
      </c>
      <c r="AX33" s="523">
        <f>-8008-AW33-AV33-AU33</f>
        <v>-2036</v>
      </c>
      <c r="AY33" s="536">
        <f>SUM(AU33:AX33)</f>
        <v>-8008</v>
      </c>
      <c r="AZ33" s="523">
        <v>-1299</v>
      </c>
      <c r="BA33" s="523">
        <f>-3334-AZ33</f>
        <v>-2035</v>
      </c>
      <c r="BB33" s="523">
        <f>-5242-BA33-AZ33</f>
        <v>-1908</v>
      </c>
      <c r="BC33" s="540">
        <f>-7271-BB33-BA33-AZ33</f>
        <v>-2029</v>
      </c>
      <c r="BD33" s="536">
        <f>SUM(AZ33:BC33)</f>
        <v>-7271</v>
      </c>
      <c r="BE33" s="523">
        <v>-3884</v>
      </c>
      <c r="BF33" s="523">
        <f>-6481-BE33</f>
        <v>-2597</v>
      </c>
      <c r="BG33" s="523">
        <v>-3394</v>
      </c>
      <c r="BH33" s="540">
        <f>-13750-BG33-BF33-BE33</f>
        <v>-3875</v>
      </c>
      <c r="BI33" s="536">
        <f>SUM(BE33:BH33)</f>
        <v>-13750</v>
      </c>
      <c r="BJ33" s="523">
        <v>-2899</v>
      </c>
      <c r="BK33" s="523">
        <f>-5351-BJ33</f>
        <v>-2452</v>
      </c>
      <c r="BL33" s="523">
        <f>-8387-BK33-BJ33</f>
        <v>-3036</v>
      </c>
      <c r="BM33" s="523">
        <v>-5198</v>
      </c>
      <c r="BN33" s="536">
        <f>SUM(BJ33:BM33)</f>
        <v>-13585</v>
      </c>
      <c r="BO33" s="523">
        <v>-3965</v>
      </c>
      <c r="BP33" s="523">
        <f>-8396-BO33</f>
        <v>-4431</v>
      </c>
      <c r="BQ33" s="523">
        <f>-11639-BP33-BO33</f>
        <v>-3243</v>
      </c>
      <c r="BR33" s="523">
        <f>-16467-BQ33-BP33-BO33</f>
        <v>-4828</v>
      </c>
      <c r="BS33" s="536">
        <f>SUM(BO33:BR33)</f>
        <v>-16467</v>
      </c>
      <c r="BT33" s="523">
        <v>-3263</v>
      </c>
      <c r="BU33" s="523">
        <v>-5475</v>
      </c>
      <c r="BV33" s="523">
        <v>-6829</v>
      </c>
      <c r="BW33" s="523">
        <f>-19588-BV33-BU33-BT33</f>
        <v>-4021</v>
      </c>
      <c r="BX33" s="536">
        <f>SUM(BT33:BW33)</f>
        <v>-19588</v>
      </c>
      <c r="BY33" s="523">
        <v>-4355</v>
      </c>
      <c r="BZ33" s="523">
        <v>-3836</v>
      </c>
      <c r="CA33" s="523">
        <f>+-13894-BZ33-BY33</f>
        <v>-5703</v>
      </c>
      <c r="CB33" s="523">
        <v>-5986</v>
      </c>
      <c r="CC33" s="536">
        <f>SUM(BY33:CB33)</f>
        <v>-19880</v>
      </c>
      <c r="CD33" s="523">
        <v>-5261</v>
      </c>
      <c r="CE33" s="523">
        <v>-4508</v>
      </c>
      <c r="CF33" s="523">
        <v>-5698</v>
      </c>
      <c r="CG33" s="118">
        <f>-19761-CF33-CE33-CD33</f>
        <v>-4294</v>
      </c>
      <c r="CH33" s="536">
        <f>SUM(CD33:CG33)</f>
        <v>-19761</v>
      </c>
      <c r="CI33" s="523">
        <v>-3533</v>
      </c>
      <c r="CJ33" s="523">
        <v>-5059</v>
      </c>
      <c r="CK33" s="523">
        <v>-5240</v>
      </c>
      <c r="CL33" s="118">
        <f>CM33-SUM(CI33:CK33)</f>
        <v>-6214</v>
      </c>
      <c r="CM33" s="536">
        <v>-20046</v>
      </c>
      <c r="CN33" s="523">
        <v>-6150</v>
      </c>
      <c r="CO33" s="523">
        <v>-6665</v>
      </c>
      <c r="CP33" s="523">
        <f>-18873-CO33-CN33</f>
        <v>-6058</v>
      </c>
      <c r="CQ33" s="118">
        <f>CR33-SUM(CN33:CP33)</f>
        <v>-7651</v>
      </c>
      <c r="CR33" s="536">
        <v>-26524</v>
      </c>
      <c r="CS33" s="123">
        <v>-6500</v>
      </c>
      <c r="CT33" s="123">
        <v>-6500</v>
      </c>
      <c r="CU33" s="123">
        <v>-6500</v>
      </c>
      <c r="CV33" s="123">
        <v>-6500</v>
      </c>
      <c r="CW33" s="536">
        <f>SUM(CS33:CV33)</f>
        <v>-26000</v>
      </c>
    </row>
    <row r="34" spans="2:101">
      <c r="B34" s="24"/>
      <c r="C34" s="4" t="s">
        <v>137</v>
      </c>
      <c r="D34" s="32"/>
      <c r="E34" s="32"/>
      <c r="F34" s="56"/>
      <c r="G34" s="56"/>
      <c r="H34" s="45"/>
      <c r="I34" s="45"/>
      <c r="J34" s="57"/>
      <c r="K34" s="56"/>
      <c r="L34" s="56"/>
      <c r="M34" s="45"/>
      <c r="N34" s="45"/>
      <c r="O34" s="57"/>
      <c r="P34" s="50"/>
      <c r="Q34" s="56"/>
      <c r="R34" s="45"/>
      <c r="S34" s="45"/>
      <c r="T34" s="57"/>
      <c r="U34" s="50"/>
      <c r="V34" s="56"/>
      <c r="W34" s="45">
        <v>-10865</v>
      </c>
      <c r="X34" s="45"/>
      <c r="Y34" s="57">
        <f>-10841-X34-W34</f>
        <v>24</v>
      </c>
      <c r="Z34" s="50">
        <f>SUM(V34:Y34)</f>
        <v>-10841</v>
      </c>
      <c r="AA34" s="56"/>
      <c r="AB34" s="45"/>
      <c r="AC34" s="45">
        <v>-26262</v>
      </c>
      <c r="AD34" s="57"/>
      <c r="AE34" s="50">
        <f>SUM(AA34:AD34)</f>
        <v>-26262</v>
      </c>
      <c r="AF34" s="56"/>
      <c r="AG34" s="45"/>
      <c r="AH34" s="76"/>
      <c r="AI34" s="114"/>
      <c r="AJ34" s="50"/>
      <c r="AK34" s="150"/>
      <c r="AL34" s="76"/>
      <c r="AM34" s="76"/>
      <c r="AN34" s="114">
        <v>-12595</v>
      </c>
      <c r="AO34" s="50">
        <f>SUM(AK34:AN34)</f>
        <v>-12595</v>
      </c>
      <c r="AP34" s="56"/>
      <c r="AQ34" s="45"/>
      <c r="AR34" s="45"/>
      <c r="AS34" s="114"/>
      <c r="AT34" s="50"/>
      <c r="AU34" s="150">
        <v>-17942</v>
      </c>
      <c r="AV34" s="253">
        <f>-18062-AU34</f>
        <v>-120</v>
      </c>
      <c r="AW34" s="253">
        <f>-18137-AV34-AU34</f>
        <v>-75</v>
      </c>
      <c r="AX34" s="253">
        <f>-18032-AW34-AV34-AU34</f>
        <v>105</v>
      </c>
      <c r="AY34" s="50">
        <f>SUM(AU34:AX34)</f>
        <v>-18032</v>
      </c>
      <c r="AZ34" s="361">
        <v>-500</v>
      </c>
      <c r="BA34" s="253">
        <f>-500-AZ34</f>
        <v>0</v>
      </c>
      <c r="BB34" s="253">
        <f>-500-BA34-AZ34</f>
        <v>0</v>
      </c>
      <c r="BC34" s="360">
        <f>-500-BB34-BA34-AZ34</f>
        <v>0</v>
      </c>
      <c r="BD34" s="50">
        <f>SUM(AZ34:BC34)</f>
        <v>-500</v>
      </c>
      <c r="BE34" s="361">
        <v>-381</v>
      </c>
      <c r="BF34" s="118">
        <v>0</v>
      </c>
      <c r="BG34" s="118"/>
      <c r="BH34" s="57">
        <f>-27273-BG34-BF34-BE34</f>
        <v>-26892</v>
      </c>
      <c r="BI34" s="50">
        <f>SUM(BE34:BH34)</f>
        <v>-27273</v>
      </c>
      <c r="BJ34" s="150"/>
      <c r="BK34" s="45"/>
      <c r="BL34" s="45">
        <f>-11500-BK34-BJ34</f>
        <v>-11500</v>
      </c>
      <c r="BM34" s="57"/>
      <c r="BN34" s="50">
        <f>SUM(BJ34:BM34)</f>
        <v>-11500</v>
      </c>
      <c r="BO34" s="150"/>
      <c r="BP34" s="45"/>
      <c r="BQ34" s="45"/>
      <c r="BR34" s="57">
        <v>-98666</v>
      </c>
      <c r="BS34" s="50">
        <f>SUM(BO34:BR34)</f>
        <v>-98666</v>
      </c>
      <c r="BT34" s="150"/>
      <c r="BU34" s="45"/>
      <c r="BV34" s="45"/>
      <c r="BW34" s="57">
        <v>-17066</v>
      </c>
      <c r="BX34" s="50">
        <f>SUM(BT34:BW34)</f>
        <v>-17066</v>
      </c>
      <c r="BY34" s="150">
        <v>0</v>
      </c>
      <c r="BZ34" s="45"/>
      <c r="CA34" s="45">
        <v>-44923</v>
      </c>
      <c r="CB34" s="57">
        <v>-46497</v>
      </c>
      <c r="CC34" s="50">
        <f>SUM(BY34:CB34)</f>
        <v>-91420</v>
      </c>
      <c r="CD34" s="45"/>
      <c r="CE34" s="45"/>
      <c r="CF34" s="523">
        <v>-70218</v>
      </c>
      <c r="CG34" s="143"/>
      <c r="CH34" s="50">
        <f>SUM(CD34:CG34)</f>
        <v>-70218</v>
      </c>
      <c r="CI34" s="45">
        <v>0</v>
      </c>
      <c r="CJ34" s="45">
        <v>-29343</v>
      </c>
      <c r="CK34" s="45">
        <v>-118058</v>
      </c>
      <c r="CL34" s="118">
        <f>CM34-SUM(CI34:CK34)</f>
        <v>-523</v>
      </c>
      <c r="CM34" s="50">
        <v>-147924</v>
      </c>
      <c r="CN34" s="523">
        <v>-141636</v>
      </c>
      <c r="CO34" s="45">
        <v>-992</v>
      </c>
      <c r="CP34" s="45">
        <f>-142628-CO34-CN34</f>
        <v>0</v>
      </c>
      <c r="CQ34" s="118">
        <f>CR34-SUM(CN34:CP34)</f>
        <v>0</v>
      </c>
      <c r="CR34" s="50">
        <v>-142628</v>
      </c>
      <c r="CS34" s="45"/>
      <c r="CT34" s="45"/>
      <c r="CU34" s="45"/>
      <c r="CV34" s="57"/>
      <c r="CW34" s="50">
        <f>SUM(CS34:CV34)</f>
        <v>0</v>
      </c>
    </row>
    <row r="35" spans="2:101">
      <c r="B35" s="24"/>
      <c r="C35" t="s">
        <v>81</v>
      </c>
      <c r="D35" s="32"/>
      <c r="E35" s="32"/>
      <c r="F35" s="56"/>
      <c r="G35" s="56"/>
      <c r="H35" s="45"/>
      <c r="I35" s="45"/>
      <c r="J35" s="57"/>
      <c r="K35" s="56">
        <v>1263</v>
      </c>
      <c r="L35" s="56"/>
      <c r="M35" s="45"/>
      <c r="N35" s="45"/>
      <c r="O35" s="57"/>
      <c r="P35" s="50"/>
      <c r="Q35" s="56"/>
      <c r="R35" s="45"/>
      <c r="S35" s="45"/>
      <c r="T35" s="57"/>
      <c r="U35" s="50">
        <f>SUM(Q35:T35)</f>
        <v>0</v>
      </c>
      <c r="V35" s="56"/>
      <c r="W35" s="45"/>
      <c r="X35" s="45"/>
      <c r="Y35" s="57"/>
      <c r="Z35" s="50">
        <f>SUM(V35:Y35)</f>
        <v>0</v>
      </c>
      <c r="AA35" s="56"/>
      <c r="AB35" s="45"/>
      <c r="AC35" s="45"/>
      <c r="AD35" s="57"/>
      <c r="AE35" s="50">
        <f>SUM(AA35:AD35)</f>
        <v>0</v>
      </c>
      <c r="AF35" s="56"/>
      <c r="AG35" s="45"/>
      <c r="AH35" s="76"/>
      <c r="AI35" s="114"/>
      <c r="AJ35" s="50">
        <f>SUM(AF35:AI35)</f>
        <v>0</v>
      </c>
      <c r="AK35" s="150"/>
      <c r="AL35" s="76"/>
      <c r="AM35" s="76"/>
      <c r="AN35" s="114"/>
      <c r="AO35" s="50">
        <f>SUM(AK35:AN35)</f>
        <v>0</v>
      </c>
      <c r="AP35" s="56"/>
      <c r="AQ35" s="45"/>
      <c r="AR35" s="45"/>
      <c r="AS35" s="114"/>
      <c r="AT35" s="50">
        <f>SUM(AP35:AS35)</f>
        <v>0</v>
      </c>
      <c r="AU35" s="150">
        <v>2500</v>
      </c>
      <c r="AV35" s="253">
        <f>2500-AU35</f>
        <v>0</v>
      </c>
      <c r="AW35" s="253">
        <f>12500-AV35-AU35</f>
        <v>10000</v>
      </c>
      <c r="AX35" s="253">
        <f>15018-AW35-AU35</f>
        <v>2518</v>
      </c>
      <c r="AY35" s="50">
        <f>SUM(AU35:AX35)</f>
        <v>15018</v>
      </c>
      <c r="AZ35" s="361">
        <v>7500</v>
      </c>
      <c r="BA35" s="253">
        <f>21000-AZ35</f>
        <v>13500</v>
      </c>
      <c r="BB35" s="253">
        <f>23029-BA35-AZ35</f>
        <v>2029</v>
      </c>
      <c r="BC35" s="360">
        <f>33029-BB35-BA35-AZ35</f>
        <v>10000</v>
      </c>
      <c r="BD35" s="50">
        <f>SUM(AZ35:BC35)</f>
        <v>33029</v>
      </c>
      <c r="BE35" s="361">
        <v>17500</v>
      </c>
      <c r="BF35" s="118">
        <f>45000-BE35</f>
        <v>27500</v>
      </c>
      <c r="BG35" s="118">
        <v>15000</v>
      </c>
      <c r="BH35" s="57">
        <f>82224-BG35-BF35-BE35</f>
        <v>22224</v>
      </c>
      <c r="BI35" s="50">
        <f>SUM(BE35:BH35)</f>
        <v>82224</v>
      </c>
      <c r="BJ35" s="150">
        <v>15225</v>
      </c>
      <c r="BK35" s="45">
        <f>37725-BJ35</f>
        <v>22500</v>
      </c>
      <c r="BL35" s="45">
        <f>55225-BK35-BJ35</f>
        <v>17500</v>
      </c>
      <c r="BM35" s="57">
        <v>29247</v>
      </c>
      <c r="BN35" s="50">
        <f>SUM(BJ35:BM35)</f>
        <v>84472</v>
      </c>
      <c r="BO35" s="150">
        <v>15875</v>
      </c>
      <c r="BP35" s="45">
        <f>31050-BO35</f>
        <v>15175</v>
      </c>
      <c r="BQ35" s="45">
        <f>47300-BP35-BO35</f>
        <v>16250</v>
      </c>
      <c r="BR35" s="57">
        <f>69461-BQ35-BP35-BO35</f>
        <v>22161</v>
      </c>
      <c r="BS35" s="50">
        <f>SUM(BO35:BR35)</f>
        <v>69461</v>
      </c>
      <c r="BT35" s="150">
        <v>12500</v>
      </c>
      <c r="BU35" s="45">
        <v>22500</v>
      </c>
      <c r="BV35" s="45">
        <v>32500</v>
      </c>
      <c r="BW35" s="57">
        <f>103965-BV35-BU35-BT35</f>
        <v>36465</v>
      </c>
      <c r="BX35" s="50">
        <f>SUM(BT35:BW35)</f>
        <v>103965</v>
      </c>
      <c r="BY35" s="150">
        <v>65000</v>
      </c>
      <c r="BZ35" s="45">
        <v>52500</v>
      </c>
      <c r="CA35" s="45">
        <f>132500-BZ35-BY35</f>
        <v>15000</v>
      </c>
      <c r="CB35" s="57">
        <v>26437</v>
      </c>
      <c r="CC35" s="50">
        <f>SUM(BY35:CB35)</f>
        <v>158937</v>
      </c>
      <c r="CD35" s="45">
        <v>35000</v>
      </c>
      <c r="CE35" s="45">
        <v>25000</v>
      </c>
      <c r="CF35" s="523">
        <v>35000</v>
      </c>
      <c r="CG35" s="143">
        <f>131331-CF35-CE35-CD35</f>
        <v>36331</v>
      </c>
      <c r="CH35" s="50">
        <f>SUM(CD35:CG35)</f>
        <v>131331</v>
      </c>
      <c r="CI35" s="45">
        <v>45000</v>
      </c>
      <c r="CJ35" s="45">
        <v>60000</v>
      </c>
      <c r="CK35" s="45">
        <v>31765</v>
      </c>
      <c r="CL35" s="118">
        <f>CM35-SUM(CI35:CK35)</f>
        <v>6510</v>
      </c>
      <c r="CM35" s="50">
        <v>143275</v>
      </c>
      <c r="CN35" s="45"/>
      <c r="CO35" s="45"/>
      <c r="CP35" s="45"/>
      <c r="CQ35" s="118">
        <f>CR35-SUM(CN35:CP35)</f>
        <v>0</v>
      </c>
      <c r="CR35" s="50">
        <v>0</v>
      </c>
      <c r="CS35" s="45"/>
      <c r="CT35" s="45"/>
      <c r="CU35" s="45"/>
      <c r="CV35" s="57"/>
      <c r="CW35" s="50">
        <f>SUM(CS35:CV35)</f>
        <v>0</v>
      </c>
    </row>
    <row r="36" spans="2:101">
      <c r="B36" s="24"/>
      <c r="C36" t="s">
        <v>82</v>
      </c>
      <c r="D36" s="32"/>
      <c r="E36" s="32"/>
      <c r="F36" s="56">
        <v>-1263</v>
      </c>
      <c r="G36" s="56"/>
      <c r="H36" s="45"/>
      <c r="I36" s="45"/>
      <c r="J36" s="57"/>
      <c r="K36" s="56"/>
      <c r="L36" s="56"/>
      <c r="M36" s="45"/>
      <c r="N36" s="45"/>
      <c r="O36" s="57"/>
      <c r="P36" s="50"/>
      <c r="Q36" s="56"/>
      <c r="R36" s="45"/>
      <c r="S36" s="45"/>
      <c r="T36" s="57"/>
      <c r="U36" s="50">
        <f>SUM(Q36:T36)</f>
        <v>0</v>
      </c>
      <c r="V36" s="56"/>
      <c r="W36" s="45"/>
      <c r="X36" s="45"/>
      <c r="Y36" s="57"/>
      <c r="Z36" s="50">
        <f>SUM(V36:Y36)</f>
        <v>0</v>
      </c>
      <c r="AA36" s="56"/>
      <c r="AB36" s="45"/>
      <c r="AC36" s="45"/>
      <c r="AD36" s="57"/>
      <c r="AE36" s="50">
        <f>SUM(AA36:AD36)</f>
        <v>0</v>
      </c>
      <c r="AF36" s="56"/>
      <c r="AG36" s="45"/>
      <c r="AH36" s="76"/>
      <c r="AI36" s="114"/>
      <c r="AJ36" s="50">
        <f>SUM(AF36:AI36)</f>
        <v>0</v>
      </c>
      <c r="AK36" s="150"/>
      <c r="AL36" s="76"/>
      <c r="AM36" s="76"/>
      <c r="AN36" s="114"/>
      <c r="AO36" s="50">
        <f>SUM(AK36:AN36)</f>
        <v>0</v>
      </c>
      <c r="AP36" s="56"/>
      <c r="AQ36" s="45">
        <v>-9989</v>
      </c>
      <c r="AR36" s="45">
        <f>-17509-AQ36</f>
        <v>-7520</v>
      </c>
      <c r="AS36" s="114">
        <f>-22527-AR36-AQ36-AP36</f>
        <v>-5018</v>
      </c>
      <c r="AT36" s="50">
        <f>SUM(AP36:AS36)</f>
        <v>-22527</v>
      </c>
      <c r="AU36" s="150">
        <v>-2495</v>
      </c>
      <c r="AV36" s="253">
        <f>-8499-AU36</f>
        <v>-6004</v>
      </c>
      <c r="AW36" s="253">
        <f>-18062-AV36-AU36</f>
        <v>-9563</v>
      </c>
      <c r="AX36" s="253">
        <f>-23135-AW36-AV36-AU36</f>
        <v>-5073</v>
      </c>
      <c r="AY36" s="50">
        <f>SUM(AU36:AX36)</f>
        <v>-23135</v>
      </c>
      <c r="AZ36" s="361">
        <v>-4995</v>
      </c>
      <c r="BA36" s="253">
        <f>-22350-AZ36</f>
        <v>-17355</v>
      </c>
      <c r="BB36" s="253">
        <f>-29819-BA36-AZ36</f>
        <v>-7469</v>
      </c>
      <c r="BC36" s="360">
        <f>-47878-BB36-BA36-AZ36</f>
        <v>-18059</v>
      </c>
      <c r="BD36" s="50">
        <f>SUM(AZ36:BC36)</f>
        <v>-47878</v>
      </c>
      <c r="BE36" s="361">
        <v>-19927</v>
      </c>
      <c r="BF36" s="45">
        <f>-52116-BE36</f>
        <v>-32189</v>
      </c>
      <c r="BG36" s="45">
        <v>-12318</v>
      </c>
      <c r="BH36" s="57">
        <f>-81666-BG36-BF36-BE36</f>
        <v>-17232</v>
      </c>
      <c r="BI36" s="50">
        <f>SUM(BE36:BH36)</f>
        <v>-81666</v>
      </c>
      <c r="BJ36" s="56">
        <v>-12447</v>
      </c>
      <c r="BK36" s="45">
        <f>-44548-BJ36</f>
        <v>-32101</v>
      </c>
      <c r="BL36" s="45">
        <f>-61967-BK36-BJ36</f>
        <v>-17419</v>
      </c>
      <c r="BM36" s="57">
        <v>-11733</v>
      </c>
      <c r="BN36" s="50">
        <f>SUM(BJ36:BM36)</f>
        <v>-73700</v>
      </c>
      <c r="BO36" s="56">
        <v>-12460</v>
      </c>
      <c r="BP36" s="45">
        <f>-55144-BO36</f>
        <v>-42684</v>
      </c>
      <c r="BQ36" s="45">
        <f>-67636-BP36-BO36</f>
        <v>-12492</v>
      </c>
      <c r="BR36" s="57">
        <f>-74797-BQ36-BP36-BO36</f>
        <v>-7161</v>
      </c>
      <c r="BS36" s="50">
        <f>SUM(BO36:BR36)</f>
        <v>-74797</v>
      </c>
      <c r="BT36" s="56">
        <v>-14039</v>
      </c>
      <c r="BU36" s="45">
        <v>-29995</v>
      </c>
      <c r="BV36" s="45">
        <v>-39986</v>
      </c>
      <c r="BW36" s="57">
        <f>-114014-BV36-BU36-BT36</f>
        <v>-29994</v>
      </c>
      <c r="BX36" s="50">
        <f>SUM(BT36:BW36)</f>
        <v>-114014</v>
      </c>
      <c r="BY36" s="56">
        <v>-54977</v>
      </c>
      <c r="BZ36" s="45">
        <v>-59626</v>
      </c>
      <c r="CA36" s="45">
        <f>+-134276-BZ36-BY36</f>
        <v>-19673</v>
      </c>
      <c r="CB36" s="57">
        <v>-26151</v>
      </c>
      <c r="CC36" s="50">
        <f>SUM(BY36:CB36)</f>
        <v>-160427</v>
      </c>
      <c r="CD36" s="45">
        <v>-34329</v>
      </c>
      <c r="CE36" s="45">
        <v>-34250</v>
      </c>
      <c r="CF36" s="523">
        <v>-34184</v>
      </c>
      <c r="CG36" s="143">
        <f>-133994-CF36-CE36-CD36</f>
        <v>-31231</v>
      </c>
      <c r="CH36" s="50">
        <f>SUM(CD36:CG36)</f>
        <v>-133994</v>
      </c>
      <c r="CI36" s="45">
        <v>-44412</v>
      </c>
      <c r="CJ36" s="45">
        <v>-34582</v>
      </c>
      <c r="CK36" s="45">
        <v>-6765</v>
      </c>
      <c r="CL36" s="118">
        <f>CM36-SUM(CI36:CK36)</f>
        <v>0</v>
      </c>
      <c r="CM36" s="50">
        <v>-85759</v>
      </c>
      <c r="CN36" s="45"/>
      <c r="CO36" s="45"/>
      <c r="CP36" s="45"/>
      <c r="CQ36" s="118">
        <f>CR36-SUM(CN36:CP36)</f>
        <v>0</v>
      </c>
      <c r="CR36" s="50">
        <v>0</v>
      </c>
      <c r="CS36" s="45"/>
      <c r="CT36" s="45"/>
      <c r="CU36" s="45"/>
      <c r="CV36" s="57"/>
      <c r="CW36" s="50">
        <f>SUM(CS36:CV36)</f>
        <v>0</v>
      </c>
    </row>
    <row r="37" spans="2:101" ht="13.15">
      <c r="B37" s="14" t="s">
        <v>574</v>
      </c>
      <c r="D37" s="32"/>
      <c r="E37" s="32"/>
      <c r="F37" s="56">
        <f>SUM(F33:F36)</f>
        <v>-2386</v>
      </c>
      <c r="G37" s="56">
        <f t="shared" ref="G37:U37" si="47">SUM(G33:G36)</f>
        <v>0</v>
      </c>
      <c r="H37" s="45">
        <f t="shared" si="47"/>
        <v>0</v>
      </c>
      <c r="I37" s="45">
        <f t="shared" si="47"/>
        <v>0</v>
      </c>
      <c r="J37" s="57">
        <f t="shared" si="47"/>
        <v>0</v>
      </c>
      <c r="K37" s="56">
        <f t="shared" si="47"/>
        <v>379</v>
      </c>
      <c r="L37" s="56">
        <f t="shared" si="47"/>
        <v>-68</v>
      </c>
      <c r="M37" s="45">
        <f t="shared" si="47"/>
        <v>0</v>
      </c>
      <c r="N37" s="45">
        <f t="shared" si="47"/>
        <v>0</v>
      </c>
      <c r="O37" s="57">
        <f t="shared" si="47"/>
        <v>0</v>
      </c>
      <c r="P37" s="50">
        <f t="shared" si="47"/>
        <v>-1000</v>
      </c>
      <c r="Q37" s="56">
        <f t="shared" si="47"/>
        <v>-130</v>
      </c>
      <c r="R37" s="45">
        <f t="shared" si="47"/>
        <v>-1084</v>
      </c>
      <c r="S37" s="45">
        <f t="shared" si="47"/>
        <v>-16</v>
      </c>
      <c r="T37" s="57">
        <f t="shared" si="47"/>
        <v>-542</v>
      </c>
      <c r="U37" s="50">
        <f t="shared" si="47"/>
        <v>-1772</v>
      </c>
      <c r="V37" s="56">
        <f t="shared" ref="V37:AE37" si="48">SUM(V33:V36)</f>
        <v>-488</v>
      </c>
      <c r="W37" s="45">
        <f t="shared" si="48"/>
        <v>-11366</v>
      </c>
      <c r="X37" s="45">
        <f t="shared" si="48"/>
        <v>-727</v>
      </c>
      <c r="Y37" s="57">
        <f t="shared" si="48"/>
        <v>-844</v>
      </c>
      <c r="Z37" s="50">
        <f t="shared" si="48"/>
        <v>-13425</v>
      </c>
      <c r="AA37" s="45">
        <f t="shared" si="48"/>
        <v>-630</v>
      </c>
      <c r="AB37" s="45">
        <f t="shared" si="48"/>
        <v>-1260</v>
      </c>
      <c r="AC37" s="45">
        <f t="shared" si="48"/>
        <v>-27217</v>
      </c>
      <c r="AD37" s="57">
        <f t="shared" si="48"/>
        <v>-3138</v>
      </c>
      <c r="AE37" s="50">
        <f t="shared" si="48"/>
        <v>-32245</v>
      </c>
      <c r="AF37" s="45">
        <f t="shared" ref="AF37:AO37" si="49">SUM(AF33:AF36)</f>
        <v>-1089</v>
      </c>
      <c r="AG37" s="45">
        <f t="shared" si="49"/>
        <v>-648</v>
      </c>
      <c r="AH37" s="76">
        <f t="shared" si="49"/>
        <v>-3293</v>
      </c>
      <c r="AI37" s="114">
        <f t="shared" si="49"/>
        <v>-671</v>
      </c>
      <c r="AJ37" s="50">
        <f t="shared" si="49"/>
        <v>-5701</v>
      </c>
      <c r="AK37" s="76">
        <f t="shared" si="49"/>
        <v>-861</v>
      </c>
      <c r="AL37" s="76">
        <f t="shared" si="49"/>
        <v>-2519</v>
      </c>
      <c r="AM37" s="76">
        <f t="shared" si="49"/>
        <v>-1014</v>
      </c>
      <c r="AN37" s="114">
        <f t="shared" si="49"/>
        <v>-15783</v>
      </c>
      <c r="AO37" s="49">
        <f t="shared" si="49"/>
        <v>-20177</v>
      </c>
      <c r="AP37" s="44">
        <f t="shared" ref="AP37:AY37" si="50">SUM(AP33:AP36)</f>
        <v>-2308</v>
      </c>
      <c r="AQ37" s="44">
        <f t="shared" si="50"/>
        <v>-12760</v>
      </c>
      <c r="AR37" s="44">
        <f t="shared" si="50"/>
        <v>-8945</v>
      </c>
      <c r="AS37" s="79">
        <f t="shared" si="50"/>
        <v>-7271</v>
      </c>
      <c r="AT37" s="49">
        <f t="shared" si="50"/>
        <v>-31284</v>
      </c>
      <c r="AU37" s="44">
        <f t="shared" si="50"/>
        <v>-20053</v>
      </c>
      <c r="AV37" s="44">
        <f t="shared" si="50"/>
        <v>-7078</v>
      </c>
      <c r="AW37" s="44">
        <f t="shared" si="50"/>
        <v>-2540</v>
      </c>
      <c r="AX37" s="44">
        <f t="shared" si="50"/>
        <v>-4486</v>
      </c>
      <c r="AY37" s="49">
        <f t="shared" si="50"/>
        <v>-34157</v>
      </c>
      <c r="AZ37" s="44">
        <f t="shared" ref="AZ37:BI37" si="51">SUM(AZ33:AZ36)</f>
        <v>706</v>
      </c>
      <c r="BA37" s="44">
        <f t="shared" si="51"/>
        <v>-5890</v>
      </c>
      <c r="BB37" s="44">
        <f t="shared" si="51"/>
        <v>-7348</v>
      </c>
      <c r="BC37" s="79">
        <f t="shared" si="51"/>
        <v>-10088</v>
      </c>
      <c r="BD37" s="49">
        <f t="shared" si="51"/>
        <v>-22620</v>
      </c>
      <c r="BE37" s="44">
        <f t="shared" si="51"/>
        <v>-6692</v>
      </c>
      <c r="BF37" s="44">
        <f t="shared" si="51"/>
        <v>-7286</v>
      </c>
      <c r="BG37" s="44">
        <f t="shared" si="51"/>
        <v>-712</v>
      </c>
      <c r="BH37" s="79">
        <f t="shared" si="51"/>
        <v>-25775</v>
      </c>
      <c r="BI37" s="49">
        <f t="shared" si="51"/>
        <v>-40465</v>
      </c>
      <c r="BJ37" s="44">
        <f t="shared" ref="BJ37:BN37" si="52">SUM(BJ33:BJ36)</f>
        <v>-121</v>
      </c>
      <c r="BK37" s="44">
        <f t="shared" si="52"/>
        <v>-12053</v>
      </c>
      <c r="BL37" s="44">
        <f t="shared" si="52"/>
        <v>-14455</v>
      </c>
      <c r="BM37" s="79">
        <f t="shared" si="52"/>
        <v>12316</v>
      </c>
      <c r="BN37" s="49">
        <f t="shared" si="52"/>
        <v>-14313</v>
      </c>
      <c r="BO37" s="44">
        <f t="shared" ref="BO37:BS37" si="53">SUM(BO33:BO36)</f>
        <v>-550</v>
      </c>
      <c r="BP37" s="44">
        <f t="shared" si="53"/>
        <v>-31940</v>
      </c>
      <c r="BQ37" s="44">
        <f t="shared" si="53"/>
        <v>515</v>
      </c>
      <c r="BR37" s="79">
        <f t="shared" si="53"/>
        <v>-88494</v>
      </c>
      <c r="BS37" s="49">
        <f t="shared" si="53"/>
        <v>-120469</v>
      </c>
      <c r="BT37" s="44">
        <f t="shared" ref="BT37:BX37" si="54">SUM(BT33:BT36)</f>
        <v>-4802</v>
      </c>
      <c r="BU37" s="44">
        <f t="shared" si="54"/>
        <v>-12970</v>
      </c>
      <c r="BV37" s="44">
        <f t="shared" si="54"/>
        <v>-14315</v>
      </c>
      <c r="BW37" s="79">
        <f t="shared" si="54"/>
        <v>-14616</v>
      </c>
      <c r="BX37" s="49">
        <f t="shared" si="54"/>
        <v>-46703</v>
      </c>
      <c r="BY37" s="44">
        <f t="shared" ref="BY37:CD37" si="55">SUM(BY33:BY36)</f>
        <v>5668</v>
      </c>
      <c r="BZ37" s="44">
        <f t="shared" si="55"/>
        <v>-10962</v>
      </c>
      <c r="CA37" s="44">
        <f t="shared" si="55"/>
        <v>-55299</v>
      </c>
      <c r="CB37" s="79">
        <f>SUM(CB33:CB36)</f>
        <v>-52197</v>
      </c>
      <c r="CC37" s="49">
        <f t="shared" si="55"/>
        <v>-112790</v>
      </c>
      <c r="CD37" s="44">
        <f t="shared" si="55"/>
        <v>-4590</v>
      </c>
      <c r="CE37" s="44">
        <f t="shared" ref="CE37:CI37" si="56">SUM(CE33:CE36)</f>
        <v>-13758</v>
      </c>
      <c r="CF37" s="44">
        <f t="shared" si="56"/>
        <v>-75100</v>
      </c>
      <c r="CG37" s="672">
        <f t="shared" si="56"/>
        <v>806</v>
      </c>
      <c r="CH37" s="49">
        <f t="shared" si="56"/>
        <v>-92642</v>
      </c>
      <c r="CI37" s="44">
        <f t="shared" si="56"/>
        <v>-2945</v>
      </c>
      <c r="CJ37" s="44">
        <f t="shared" ref="CJ37:CN37" si="57">SUM(CJ33:CJ36)</f>
        <v>-8984</v>
      </c>
      <c r="CK37" s="44">
        <f t="shared" si="57"/>
        <v>-98298</v>
      </c>
      <c r="CL37" s="672">
        <f t="shared" si="57"/>
        <v>-227</v>
      </c>
      <c r="CM37" s="49">
        <f t="shared" si="57"/>
        <v>-110454</v>
      </c>
      <c r="CN37" s="44">
        <f t="shared" si="57"/>
        <v>-147786</v>
      </c>
      <c r="CO37" s="44">
        <f t="shared" ref="CO37" si="58">SUM(CO33:CO36)</f>
        <v>-7657</v>
      </c>
      <c r="CP37" s="44">
        <f t="shared" ref="CP37:CS37" si="59">SUM(CP33:CP36)</f>
        <v>-6058</v>
      </c>
      <c r="CQ37" s="672">
        <f t="shared" si="59"/>
        <v>-7651</v>
      </c>
      <c r="CR37" s="49">
        <f t="shared" si="59"/>
        <v>-169152</v>
      </c>
      <c r="CS37" s="44">
        <f t="shared" si="59"/>
        <v>-6500</v>
      </c>
      <c r="CT37" s="44">
        <f t="shared" ref="CT37:CW37" si="60">SUM(CT33:CT36)</f>
        <v>-6500</v>
      </c>
      <c r="CU37" s="44">
        <f t="shared" si="60"/>
        <v>-6500</v>
      </c>
      <c r="CV37" s="79">
        <f t="shared" si="60"/>
        <v>-6500</v>
      </c>
      <c r="CW37" s="49">
        <f t="shared" si="60"/>
        <v>-26000</v>
      </c>
    </row>
    <row r="38" spans="2:101" ht="13.15">
      <c r="B38" s="14"/>
      <c r="D38" s="32"/>
      <c r="E38" s="32"/>
      <c r="F38" s="56"/>
      <c r="G38" s="56"/>
      <c r="H38" s="45"/>
      <c r="I38" s="45"/>
      <c r="J38" s="57"/>
      <c r="K38" s="56"/>
      <c r="L38" s="56"/>
      <c r="M38" s="45"/>
      <c r="N38" s="45"/>
      <c r="O38" s="57"/>
      <c r="P38" s="50"/>
      <c r="Q38" s="56"/>
      <c r="R38" s="45"/>
      <c r="S38" s="45"/>
      <c r="T38" s="57"/>
      <c r="U38" s="50"/>
      <c r="V38" s="56"/>
      <c r="W38" s="45"/>
      <c r="X38" s="45"/>
      <c r="Y38" s="57"/>
      <c r="Z38" s="50"/>
      <c r="AA38" s="56"/>
      <c r="AB38" s="45"/>
      <c r="AC38" s="45"/>
      <c r="AD38" s="57"/>
      <c r="AE38" s="50"/>
      <c r="AF38" s="56"/>
      <c r="AG38" s="45"/>
      <c r="AH38" s="76"/>
      <c r="AI38" s="114"/>
      <c r="AJ38" s="50"/>
      <c r="AK38" s="150"/>
      <c r="AL38" s="76"/>
      <c r="AM38" s="76"/>
      <c r="AN38" s="114"/>
      <c r="AO38" s="50"/>
      <c r="AP38" s="56"/>
      <c r="AQ38" s="45"/>
      <c r="AR38" s="45"/>
      <c r="AS38" s="114"/>
      <c r="AT38" s="50"/>
      <c r="AU38" s="150"/>
      <c r="AV38" s="253"/>
      <c r="AW38" s="253"/>
      <c r="AX38" s="253"/>
      <c r="AY38" s="50"/>
      <c r="AZ38" s="361"/>
      <c r="BA38" s="253"/>
      <c r="BB38" s="253"/>
      <c r="BC38" s="360"/>
      <c r="BD38" s="50"/>
      <c r="BE38" s="361"/>
      <c r="BF38" s="45"/>
      <c r="BG38" s="45"/>
      <c r="BH38" s="57"/>
      <c r="BI38" s="50"/>
      <c r="BJ38" s="56"/>
      <c r="BK38" s="45"/>
      <c r="BL38" s="45"/>
      <c r="BM38" s="57"/>
      <c r="BN38" s="50"/>
      <c r="BO38" s="56"/>
      <c r="BP38" s="45"/>
      <c r="BQ38" s="45"/>
      <c r="BR38" s="57"/>
      <c r="BS38" s="50"/>
      <c r="BT38" s="56"/>
      <c r="BU38" s="45"/>
      <c r="BV38" s="45"/>
      <c r="BW38" s="57"/>
      <c r="BX38" s="50"/>
      <c r="BY38" s="56"/>
      <c r="BZ38" s="45"/>
      <c r="CA38" s="45"/>
      <c r="CB38" s="57"/>
      <c r="CC38" s="50"/>
      <c r="CD38" s="45"/>
      <c r="CE38" s="45"/>
      <c r="CF38" s="45"/>
      <c r="CG38" s="143"/>
      <c r="CH38" s="50"/>
      <c r="CI38" s="45"/>
      <c r="CJ38" s="45"/>
      <c r="CK38" s="45"/>
      <c r="CL38" s="143"/>
      <c r="CM38" s="50"/>
      <c r="CN38" s="45"/>
      <c r="CO38" s="45"/>
      <c r="CP38" s="45"/>
      <c r="CQ38" s="143"/>
      <c r="CR38" s="50"/>
      <c r="CS38" s="45"/>
      <c r="CT38" s="45"/>
      <c r="CU38" s="45"/>
      <c r="CV38" s="57"/>
      <c r="CW38" s="50"/>
    </row>
    <row r="39" spans="2:101" s="1" customFormat="1" ht="13.15">
      <c r="B39" s="14" t="s">
        <v>111</v>
      </c>
      <c r="D39" s="52"/>
      <c r="E39" s="52"/>
      <c r="F39" s="78">
        <f t="shared" ref="F39:AK39" si="61">F29+F33</f>
        <v>-1926</v>
      </c>
      <c r="G39" s="78">
        <f t="shared" si="61"/>
        <v>505</v>
      </c>
      <c r="H39" s="44">
        <f t="shared" si="61"/>
        <v>486</v>
      </c>
      <c r="I39" s="44">
        <f t="shared" si="61"/>
        <v>494</v>
      </c>
      <c r="J39" s="79">
        <f t="shared" si="61"/>
        <v>503</v>
      </c>
      <c r="K39" s="78">
        <f t="shared" si="61"/>
        <v>-1691</v>
      </c>
      <c r="L39" s="78">
        <f t="shared" si="61"/>
        <v>1126</v>
      </c>
      <c r="M39" s="44">
        <f t="shared" si="61"/>
        <v>321</v>
      </c>
      <c r="N39" s="44">
        <f t="shared" si="61"/>
        <v>326</v>
      </c>
      <c r="O39" s="79">
        <f t="shared" si="61"/>
        <v>366</v>
      </c>
      <c r="P39" s="49">
        <f t="shared" si="61"/>
        <v>4158</v>
      </c>
      <c r="Q39" s="78">
        <f t="shared" si="61"/>
        <v>124</v>
      </c>
      <c r="R39" s="44">
        <f t="shared" si="61"/>
        <v>1364</v>
      </c>
      <c r="S39" s="44">
        <f t="shared" si="61"/>
        <v>1354</v>
      </c>
      <c r="T39" s="79">
        <f t="shared" si="61"/>
        <v>305</v>
      </c>
      <c r="U39" s="49">
        <f t="shared" si="61"/>
        <v>3147</v>
      </c>
      <c r="V39" s="78">
        <f t="shared" si="61"/>
        <v>72</v>
      </c>
      <c r="W39" s="44">
        <f t="shared" si="61"/>
        <v>65</v>
      </c>
      <c r="X39" s="44">
        <f t="shared" si="61"/>
        <v>1693</v>
      </c>
      <c r="Y39" s="79">
        <f t="shared" si="61"/>
        <v>71</v>
      </c>
      <c r="Z39" s="49">
        <f t="shared" si="61"/>
        <v>1901</v>
      </c>
      <c r="AA39" s="44">
        <f t="shared" si="61"/>
        <v>974</v>
      </c>
      <c r="AB39" s="44">
        <f t="shared" si="61"/>
        <v>1707</v>
      </c>
      <c r="AC39" s="44">
        <f t="shared" si="61"/>
        <v>2740</v>
      </c>
      <c r="AD39" s="79">
        <f t="shared" si="61"/>
        <v>-4575</v>
      </c>
      <c r="AE39" s="49">
        <f t="shared" si="61"/>
        <v>846</v>
      </c>
      <c r="AF39" s="44">
        <f t="shared" si="61"/>
        <v>5460</v>
      </c>
      <c r="AG39" s="44">
        <f t="shared" si="61"/>
        <v>1436</v>
      </c>
      <c r="AH39" s="44">
        <f t="shared" si="61"/>
        <v>4181</v>
      </c>
      <c r="AI39" s="79">
        <f t="shared" si="61"/>
        <v>1465</v>
      </c>
      <c r="AJ39" s="49">
        <f t="shared" si="61"/>
        <v>12542</v>
      </c>
      <c r="AK39" s="44">
        <f t="shared" si="61"/>
        <v>2697</v>
      </c>
      <c r="AL39" s="44">
        <f t="shared" ref="AL39:BQ39" si="62">AL29+AL33</f>
        <v>863</v>
      </c>
      <c r="AM39" s="44">
        <f t="shared" si="62"/>
        <v>3663</v>
      </c>
      <c r="AN39" s="79">
        <f t="shared" si="62"/>
        <v>1983</v>
      </c>
      <c r="AO39" s="49">
        <f t="shared" si="62"/>
        <v>9206</v>
      </c>
      <c r="AP39" s="44">
        <f t="shared" si="62"/>
        <v>754</v>
      </c>
      <c r="AQ39" s="44">
        <f t="shared" si="62"/>
        <v>-3446</v>
      </c>
      <c r="AR39" s="44">
        <f t="shared" si="62"/>
        <v>3066</v>
      </c>
      <c r="AS39" s="79">
        <f t="shared" si="62"/>
        <v>5298</v>
      </c>
      <c r="AT39" s="49">
        <f t="shared" si="62"/>
        <v>5672</v>
      </c>
      <c r="AU39" s="44">
        <f t="shared" si="62"/>
        <v>4795</v>
      </c>
      <c r="AV39" s="44">
        <f t="shared" si="62"/>
        <v>927</v>
      </c>
      <c r="AW39" s="44">
        <f t="shared" si="62"/>
        <v>-1341</v>
      </c>
      <c r="AX39" s="44">
        <f t="shared" si="62"/>
        <v>6376</v>
      </c>
      <c r="AY39" s="49">
        <f t="shared" si="62"/>
        <v>10757</v>
      </c>
      <c r="AZ39" s="44">
        <f t="shared" si="62"/>
        <v>9100</v>
      </c>
      <c r="BA39" s="44">
        <f t="shared" si="62"/>
        <v>5472</v>
      </c>
      <c r="BB39" s="44">
        <f t="shared" si="62"/>
        <v>2157</v>
      </c>
      <c r="BC39" s="79">
        <f t="shared" si="62"/>
        <v>7049</v>
      </c>
      <c r="BD39" s="49">
        <f t="shared" si="62"/>
        <v>23778</v>
      </c>
      <c r="BE39" s="44">
        <f t="shared" si="62"/>
        <v>5465</v>
      </c>
      <c r="BF39" s="44">
        <f t="shared" si="62"/>
        <v>10301</v>
      </c>
      <c r="BG39" s="44">
        <f t="shared" si="62"/>
        <v>11906</v>
      </c>
      <c r="BH39" s="79">
        <f t="shared" si="62"/>
        <v>13593</v>
      </c>
      <c r="BI39" s="49">
        <f t="shared" si="62"/>
        <v>41265</v>
      </c>
      <c r="BJ39" s="44">
        <f t="shared" si="62"/>
        <v>7302</v>
      </c>
      <c r="BK39" s="44">
        <f t="shared" si="62"/>
        <v>17009</v>
      </c>
      <c r="BL39" s="44">
        <f t="shared" si="62"/>
        <v>18262</v>
      </c>
      <c r="BM39" s="79">
        <f t="shared" si="62"/>
        <v>15636</v>
      </c>
      <c r="BN39" s="49">
        <f t="shared" si="62"/>
        <v>58209</v>
      </c>
      <c r="BO39" s="44">
        <f t="shared" si="62"/>
        <v>10702</v>
      </c>
      <c r="BP39" s="44">
        <f t="shared" si="62"/>
        <v>17697</v>
      </c>
      <c r="BQ39" s="44">
        <f t="shared" si="62"/>
        <v>25491</v>
      </c>
      <c r="BR39" s="79">
        <f t="shared" ref="BR39:CH39" si="63">BR29+BR33</f>
        <v>18205</v>
      </c>
      <c r="BS39" s="49">
        <f t="shared" si="63"/>
        <v>72095</v>
      </c>
      <c r="BT39" s="44">
        <f t="shared" si="63"/>
        <v>18342</v>
      </c>
      <c r="BU39" s="44">
        <f t="shared" si="63"/>
        <v>27578</v>
      </c>
      <c r="BV39" s="44">
        <f t="shared" si="63"/>
        <v>20081</v>
      </c>
      <c r="BW39" s="79">
        <f t="shared" si="63"/>
        <v>27304</v>
      </c>
      <c r="BX39" s="49">
        <f t="shared" si="63"/>
        <v>93305</v>
      </c>
      <c r="BY39" s="44">
        <f t="shared" si="63"/>
        <v>-8</v>
      </c>
      <c r="BZ39" s="44">
        <f t="shared" si="63"/>
        <v>28602</v>
      </c>
      <c r="CA39" s="44">
        <f t="shared" si="63"/>
        <v>33995</v>
      </c>
      <c r="CB39" s="79">
        <f t="shared" si="63"/>
        <v>17583</v>
      </c>
      <c r="CC39" s="49">
        <f t="shared" si="63"/>
        <v>80172</v>
      </c>
      <c r="CD39" s="44">
        <f t="shared" si="63"/>
        <v>16370</v>
      </c>
      <c r="CE39" s="44">
        <f t="shared" si="63"/>
        <v>29529</v>
      </c>
      <c r="CF39" s="44">
        <f t="shared" si="63"/>
        <v>38144</v>
      </c>
      <c r="CG39" s="79">
        <f t="shared" si="63"/>
        <v>28494</v>
      </c>
      <c r="CH39" s="49">
        <f t="shared" si="63"/>
        <v>112537</v>
      </c>
      <c r="CI39" s="44">
        <f t="shared" ref="CI39:CM39" si="64">CI29+CI33</f>
        <v>30531</v>
      </c>
      <c r="CJ39" s="44">
        <f t="shared" si="64"/>
        <v>24383</v>
      </c>
      <c r="CK39" s="44">
        <f t="shared" si="64"/>
        <v>48090</v>
      </c>
      <c r="CL39" s="79">
        <f t="shared" si="64"/>
        <v>34348</v>
      </c>
      <c r="CM39" s="49">
        <f t="shared" si="64"/>
        <v>137352</v>
      </c>
      <c r="CN39" s="44">
        <f t="shared" ref="CN39:CR39" si="65">CN29+CN33</f>
        <v>33833</v>
      </c>
      <c r="CO39" s="44">
        <f t="shared" si="65"/>
        <v>25658</v>
      </c>
      <c r="CP39" s="44">
        <f t="shared" si="65"/>
        <v>54555</v>
      </c>
      <c r="CQ39" s="79">
        <f t="shared" si="65"/>
        <v>38220</v>
      </c>
      <c r="CR39" s="49">
        <f t="shared" si="65"/>
        <v>152266</v>
      </c>
      <c r="CS39" s="44">
        <f t="shared" ref="CS39:CW39" si="66">CS29+CS33</f>
        <v>88148.557010500008</v>
      </c>
      <c r="CT39" s="44">
        <f t="shared" si="66"/>
        <v>50694.980285999998</v>
      </c>
      <c r="CU39" s="44">
        <f t="shared" si="66"/>
        <v>52360.560104240009</v>
      </c>
      <c r="CV39" s="79">
        <f t="shared" si="66"/>
        <v>54001.951677092155</v>
      </c>
      <c r="CW39" s="49">
        <f t="shared" si="66"/>
        <v>245206.0490778322</v>
      </c>
    </row>
    <row r="40" spans="2:101" s="124" customFormat="1" ht="11.65">
      <c r="B40" s="128"/>
      <c r="C40" s="124" t="s">
        <v>334</v>
      </c>
      <c r="D40" s="133"/>
      <c r="E40" s="133"/>
      <c r="F40" s="389"/>
      <c r="G40" s="389"/>
      <c r="H40" s="390"/>
      <c r="I40" s="390"/>
      <c r="J40" s="391"/>
      <c r="K40" s="389"/>
      <c r="L40" s="389"/>
      <c r="M40" s="390"/>
      <c r="N40" s="390"/>
      <c r="O40" s="391"/>
      <c r="P40" s="392"/>
      <c r="Q40" s="389"/>
      <c r="R40" s="390"/>
      <c r="S40" s="390"/>
      <c r="T40" s="391"/>
      <c r="U40" s="392"/>
      <c r="V40" s="389"/>
      <c r="W40" s="390"/>
      <c r="X40" s="390"/>
      <c r="Y40" s="391"/>
      <c r="Z40" s="392"/>
      <c r="AA40" s="389"/>
      <c r="AB40" s="390"/>
      <c r="AC40" s="390"/>
      <c r="AD40" s="391"/>
      <c r="AE40" s="392"/>
      <c r="AF40" s="393">
        <f>AF39/IS!AF4</f>
        <v>0.22987537891545975</v>
      </c>
      <c r="AG40" s="129">
        <f>AG39/IS!AG4</f>
        <v>5.5966949879179981E-2</v>
      </c>
      <c r="AH40" s="129">
        <f>AH39/IS!AH4</f>
        <v>0.15480598341232227</v>
      </c>
      <c r="AI40" s="129">
        <f>AI39/IS!AI4</f>
        <v>5.2371930075429882E-2</v>
      </c>
      <c r="AJ40" s="394">
        <f>AJ39/IS!AJ4</f>
        <v>0.12014445689762528</v>
      </c>
      <c r="AK40" s="393">
        <f>AK39/IS!AK4</f>
        <v>9.3196033035004663E-2</v>
      </c>
      <c r="AL40" s="129">
        <f>AL39/IS!AL4</f>
        <v>2.77491961414791E-2</v>
      </c>
      <c r="AM40" s="129">
        <f>AM39/IS!AM4</f>
        <v>0.11268688857441703</v>
      </c>
      <c r="AN40" s="129">
        <f>AN39/IS!AN4</f>
        <v>5.6013784531947344E-2</v>
      </c>
      <c r="AO40" s="394">
        <f>AO39/IS!AO4</f>
        <v>7.1951667487318974E-2</v>
      </c>
      <c r="AP40" s="393">
        <f>AP39/IS!AP4</f>
        <v>2.0394914795780362E-2</v>
      </c>
      <c r="AQ40" s="129">
        <f>AQ39/IS!AQ4</f>
        <v>-8.8709262214899859E-2</v>
      </c>
      <c r="AR40" s="129">
        <f>AR39/IS!AR4</f>
        <v>7.5977598255439358E-2</v>
      </c>
      <c r="AS40" s="129">
        <f>AS39/IS!AS4</f>
        <v>0.12510626239727968</v>
      </c>
      <c r="AT40" s="394">
        <f>AT39/IS!AT4</f>
        <v>3.578142545326083E-2</v>
      </c>
      <c r="AU40" s="393">
        <f>AU39/IS!AU4</f>
        <v>0.10515581482050045</v>
      </c>
      <c r="AV40" s="129">
        <f>AV39/IS!AV4</f>
        <v>1.9577200059132858E-2</v>
      </c>
      <c r="AW40" s="129">
        <f>AW39/IS!AW4</f>
        <v>-2.7209642074506938E-2</v>
      </c>
      <c r="AX40" s="129">
        <f>AX39/IS!AX4</f>
        <v>0.12487025322653297</v>
      </c>
      <c r="AY40" s="394">
        <f>AY39/IS!AY4</f>
        <v>5.5650689360821542E-2</v>
      </c>
      <c r="AZ40" s="393">
        <f>AZ39/IS!AZ4</f>
        <v>0.17522914580605406</v>
      </c>
      <c r="BA40" s="129">
        <f>BA39/IS!BA4</f>
        <v>0.10080318325841869</v>
      </c>
      <c r="BB40" s="129">
        <f>BB39/IS!BB4</f>
        <v>3.8414959928762246E-2</v>
      </c>
      <c r="BC40" s="129">
        <f>BC39/IS!BC4</f>
        <v>0.12111683848797251</v>
      </c>
      <c r="BD40" s="394">
        <f>BD39/IS!BD4</f>
        <v>0.10780446669024238</v>
      </c>
      <c r="BE40" s="393">
        <f>BE39/IS!BE4</f>
        <v>9.2482908007852166E-2</v>
      </c>
      <c r="BF40" s="129">
        <f>BF39/IS!BF4</f>
        <v>0.16861730860519553</v>
      </c>
      <c r="BG40" s="129">
        <f>BG39/IS!BG4</f>
        <v>0.18938092511293503</v>
      </c>
      <c r="BH40" s="129">
        <f>BH39/IS!BH4</f>
        <v>0.20851677430241297</v>
      </c>
      <c r="BI40" s="394">
        <f>BI39/IS!BI4</f>
        <v>0.16623026103770544</v>
      </c>
      <c r="BJ40" s="393">
        <f>BJ39/IS!BJ4</f>
        <v>0.10909253891893507</v>
      </c>
      <c r="BK40" s="129">
        <f>BK39/IS!BK4</f>
        <v>0.24820149133943295</v>
      </c>
      <c r="BL40" s="129">
        <f>BL39/IS!BL4</f>
        <v>0.25747236634333409</v>
      </c>
      <c r="BM40" s="129">
        <f>BM39/IS!BM4</f>
        <v>0.21497807047694995</v>
      </c>
      <c r="BN40" s="394">
        <f>BN39/IS!BN4</f>
        <v>0.2085417233917542</v>
      </c>
      <c r="BO40" s="393">
        <f>BO39/IS!BO4</f>
        <v>0.14424735820573648</v>
      </c>
      <c r="BP40" s="129">
        <f>BP39/IS!BP4</f>
        <v>0.23417093406375292</v>
      </c>
      <c r="BQ40" s="129">
        <f>BQ39/IS!BQ4</f>
        <v>0.32041178023304046</v>
      </c>
      <c r="BR40" s="129">
        <f>BR39/IS!BR4</f>
        <v>0.21852643203533875</v>
      </c>
      <c r="BS40" s="394">
        <f>BS39/IS!BS4</f>
        <v>0.23060806704410966</v>
      </c>
      <c r="BT40" s="393">
        <f>BT39/IS!BT4</f>
        <v>0.20358736430838903</v>
      </c>
      <c r="BU40" s="129">
        <f>BU39/IS!BU4</f>
        <v>0.29171029945313576</v>
      </c>
      <c r="BV40" s="129">
        <f>BV39/IS!BV4</f>
        <v>0.20514470767313331</v>
      </c>
      <c r="BW40" s="129">
        <f>BW39/IS!BW4</f>
        <v>0.26571684378527777</v>
      </c>
      <c r="BX40" s="394">
        <f>BX39/IS!BX4</f>
        <v>0.24217703672172677</v>
      </c>
      <c r="BY40" s="393">
        <f>BY39/IS!BY4</f>
        <v>-7.6050687783407638E-5</v>
      </c>
      <c r="BZ40" s="129">
        <f>BZ39/IS!BZ4</f>
        <v>0.26197585594167322</v>
      </c>
      <c r="CA40" s="129">
        <f>CA39/IS!CA4</f>
        <v>0.29693586988802123</v>
      </c>
      <c r="CB40" s="129">
        <f>CB39/IS!CB4</f>
        <v>0.14410168991460276</v>
      </c>
      <c r="CC40" s="394">
        <f>CC39/IS!CC4</f>
        <v>0.17781425006930968</v>
      </c>
      <c r="CD40" s="129">
        <f>CD39/IS!CD4</f>
        <v>0.13005688499062509</v>
      </c>
      <c r="CE40" s="129">
        <f>CE39/IS!CE4</f>
        <v>0.22642160471107839</v>
      </c>
      <c r="CF40" s="129">
        <f>CF39/IS!CF4</f>
        <v>0.28117144942172034</v>
      </c>
      <c r="CG40" s="129">
        <f>CG39/IS!CG4</f>
        <v>0.19655778981133376</v>
      </c>
      <c r="CH40" s="394">
        <f>CH39/IS!CH4</f>
        <v>0.20960123670633812</v>
      </c>
      <c r="CI40" s="129">
        <f>CI39/IS!CI4</f>
        <v>0.2041169706370006</v>
      </c>
      <c r="CJ40" s="129">
        <f>CJ39/IS!CJ4</f>
        <v>0.15874762363603218</v>
      </c>
      <c r="CK40" s="129">
        <f>CK39/IS!CK4</f>
        <v>0.29379421575455444</v>
      </c>
      <c r="CL40" s="129">
        <f>CL39/IS!CL4</f>
        <v>0.20097479915977695</v>
      </c>
      <c r="CM40" s="394">
        <f>CM39/IS!CM4</f>
        <v>0.21536459354150825</v>
      </c>
      <c r="CN40" s="129">
        <f>CN39/IS!CN4</f>
        <v>0.18635740213385918</v>
      </c>
      <c r="CO40" s="129">
        <f>CO39/IS!CO4</f>
        <v>0.13691568836712914</v>
      </c>
      <c r="CP40" s="129">
        <f>CP39/IS!CP4</f>
        <v>0.28727672929480158</v>
      </c>
      <c r="CQ40" s="129">
        <f>CQ39/IS!CQ4</f>
        <v>0.19838880468409359</v>
      </c>
      <c r="CR40" s="394">
        <f>CR39/IS!CR4</f>
        <v>0.20261475306218854</v>
      </c>
      <c r="CS40" s="129">
        <f>CS39/IS!CS4</f>
        <v>0.45760171423211538</v>
      </c>
      <c r="CT40" s="129">
        <f>CT39/IS!CT4</f>
        <v>0.25642543505592752</v>
      </c>
      <c r="CU40" s="129">
        <f>CU39/IS!CU4</f>
        <v>0.25614282682093609</v>
      </c>
      <c r="CV40" s="129">
        <f>CV39/IS!CV4</f>
        <v>0.25966613449098391</v>
      </c>
      <c r="CW40" s="394">
        <f>CW39/IS!CW4</f>
        <v>0.30547026554241508</v>
      </c>
    </row>
    <row r="41" spans="2:101">
      <c r="B41" s="24"/>
      <c r="D41" s="32"/>
      <c r="E41" s="32"/>
      <c r="F41" s="56"/>
      <c r="G41" s="56"/>
      <c r="H41" s="45"/>
      <c r="I41" s="45"/>
      <c r="J41" s="57"/>
      <c r="K41" s="56"/>
      <c r="L41" s="56"/>
      <c r="M41" s="45"/>
      <c r="N41" s="45"/>
      <c r="O41" s="57"/>
      <c r="P41" s="50"/>
      <c r="Q41" s="56"/>
      <c r="R41" s="45"/>
      <c r="S41" s="45"/>
      <c r="T41" s="57"/>
      <c r="U41" s="50"/>
      <c r="V41" s="56"/>
      <c r="W41" s="45"/>
      <c r="X41" s="45"/>
      <c r="Y41" s="57"/>
      <c r="Z41" s="50"/>
      <c r="AA41" s="56"/>
      <c r="AB41" s="45"/>
      <c r="AC41" s="45"/>
      <c r="AD41" s="57"/>
      <c r="AE41" s="50"/>
      <c r="AF41" s="56"/>
      <c r="AG41" s="45"/>
      <c r="AH41" s="76"/>
      <c r="AI41" s="114"/>
      <c r="AJ41" s="50"/>
      <c r="AK41" s="150"/>
      <c r="AL41" s="76"/>
      <c r="AM41" s="76"/>
      <c r="AN41" s="114"/>
      <c r="AO41" s="50"/>
      <c r="AP41" s="56"/>
      <c r="AQ41" s="45"/>
      <c r="AR41" s="45"/>
      <c r="AS41" s="114"/>
      <c r="AT41" s="50"/>
      <c r="AU41" s="388"/>
      <c r="AV41" s="253"/>
      <c r="AW41" s="253"/>
      <c r="AX41" s="253"/>
      <c r="AY41" s="50"/>
      <c r="AZ41" s="361"/>
      <c r="BA41" s="253"/>
      <c r="BB41" s="253"/>
      <c r="BC41" s="57"/>
      <c r="BD41" s="50"/>
      <c r="BE41" s="361"/>
      <c r="BF41" s="45"/>
      <c r="BG41" s="45"/>
      <c r="BH41" s="57"/>
      <c r="BI41" s="50"/>
      <c r="BJ41" s="56"/>
      <c r="BK41" s="45"/>
      <c r="BL41" s="45"/>
      <c r="BM41" s="57"/>
      <c r="BN41" s="50"/>
      <c r="BO41" s="56"/>
      <c r="BP41" s="45"/>
      <c r="BQ41" s="45"/>
      <c r="BR41" s="57"/>
      <c r="BS41" s="50"/>
      <c r="BT41" s="56"/>
      <c r="BU41" s="45"/>
      <c r="BV41" s="45"/>
      <c r="BW41" s="57"/>
      <c r="BX41" s="50"/>
      <c r="BY41" s="56"/>
      <c r="BZ41" s="45"/>
      <c r="CA41" s="45"/>
      <c r="CB41" s="57"/>
      <c r="CC41" s="50"/>
      <c r="CD41" s="45"/>
      <c r="CE41" s="45"/>
      <c r="CF41" s="45"/>
      <c r="CG41" s="57"/>
      <c r="CH41" s="50"/>
      <c r="CI41" s="45"/>
      <c r="CJ41" s="45"/>
      <c r="CK41" s="45"/>
      <c r="CL41" s="57"/>
      <c r="CM41" s="50"/>
      <c r="CN41" s="45"/>
      <c r="CO41" s="45"/>
      <c r="CP41" s="45"/>
      <c r="CQ41" s="57"/>
      <c r="CR41" s="50"/>
      <c r="CS41" s="45"/>
      <c r="CT41" s="45"/>
      <c r="CU41" s="45"/>
      <c r="CV41" s="57"/>
      <c r="CW41" s="50"/>
    </row>
    <row r="42" spans="2:101" ht="13.15">
      <c r="B42" s="14" t="s">
        <v>83</v>
      </c>
      <c r="D42" s="32"/>
      <c r="E42" s="32"/>
      <c r="F42" s="56"/>
      <c r="G42" s="56"/>
      <c r="H42" s="45"/>
      <c r="I42" s="45"/>
      <c r="J42" s="57"/>
      <c r="K42" s="56"/>
      <c r="L42" s="56"/>
      <c r="M42" s="45"/>
      <c r="N42" s="45"/>
      <c r="O42" s="57"/>
      <c r="P42" s="50"/>
      <c r="Q42" s="56"/>
      <c r="R42" s="45"/>
      <c r="S42" s="45"/>
      <c r="T42" s="57"/>
      <c r="U42" s="50"/>
      <c r="V42" s="56"/>
      <c r="W42" s="45"/>
      <c r="X42" s="45"/>
      <c r="Y42" s="57"/>
      <c r="Z42" s="50"/>
      <c r="AA42" s="56"/>
      <c r="AB42" s="45"/>
      <c r="AC42" s="45"/>
      <c r="AD42" s="57"/>
      <c r="AE42" s="50"/>
      <c r="AF42" s="56"/>
      <c r="AG42" s="45"/>
      <c r="AH42" s="76"/>
      <c r="AI42" s="114"/>
      <c r="AJ42" s="50"/>
      <c r="AK42" s="150"/>
      <c r="AL42" s="76"/>
      <c r="AM42" s="76"/>
      <c r="AN42" s="114"/>
      <c r="AO42" s="50"/>
      <c r="AP42" s="56"/>
      <c r="AQ42" s="45"/>
      <c r="AR42" s="45"/>
      <c r="AS42" s="114"/>
      <c r="AT42" s="50"/>
      <c r="AU42" s="150"/>
      <c r="AV42" s="253"/>
      <c r="AW42" s="253"/>
      <c r="AX42" s="253"/>
      <c r="AY42" s="50"/>
      <c r="AZ42" s="361"/>
      <c r="BA42" s="253"/>
      <c r="BB42" s="253"/>
      <c r="BC42" s="57"/>
      <c r="BD42" s="50"/>
      <c r="BE42" s="361"/>
      <c r="BF42" s="45"/>
      <c r="BG42" s="45"/>
      <c r="BH42" s="57"/>
      <c r="BI42" s="50"/>
      <c r="BJ42" s="56"/>
      <c r="BK42" s="45"/>
      <c r="BL42" s="45"/>
      <c r="BM42" s="57"/>
      <c r="BN42" s="50"/>
      <c r="BO42" s="56"/>
      <c r="BP42" s="45"/>
      <c r="BQ42" s="45"/>
      <c r="BR42" s="57"/>
      <c r="BS42" s="50"/>
      <c r="BT42" s="56"/>
      <c r="BU42" s="45"/>
      <c r="BV42" s="45"/>
      <c r="BW42" s="57"/>
      <c r="BX42" s="50"/>
      <c r="BY42" s="56"/>
      <c r="BZ42" s="45"/>
      <c r="CA42" s="45"/>
      <c r="CB42" s="57"/>
      <c r="CC42" s="50"/>
      <c r="CD42" s="45"/>
      <c r="CE42" s="45"/>
      <c r="CF42" s="45"/>
      <c r="CG42" s="57"/>
      <c r="CH42" s="50"/>
      <c r="CI42" s="45"/>
      <c r="CJ42" s="45"/>
      <c r="CK42" s="45"/>
      <c r="CL42" s="57"/>
      <c r="CM42" s="50"/>
      <c r="CN42" s="45"/>
      <c r="CO42" s="45"/>
      <c r="CP42" s="45"/>
      <c r="CQ42" s="57"/>
      <c r="CR42" s="50"/>
      <c r="CS42" s="45"/>
      <c r="CT42" s="45"/>
      <c r="CU42" s="45"/>
      <c r="CV42" s="57"/>
      <c r="CW42" s="50"/>
    </row>
    <row r="43" spans="2:101">
      <c r="B43" s="24"/>
      <c r="C43" t="s">
        <v>84</v>
      </c>
      <c r="D43" s="32"/>
      <c r="E43" s="32"/>
      <c r="F43" s="56">
        <v>3125</v>
      </c>
      <c r="G43" s="56"/>
      <c r="H43" s="45"/>
      <c r="I43" s="45"/>
      <c r="J43" s="57"/>
      <c r="K43" s="56">
        <v>10425</v>
      </c>
      <c r="L43" s="56">
        <v>3900</v>
      </c>
      <c r="M43" s="45"/>
      <c r="N43" s="45"/>
      <c r="O43" s="57"/>
      <c r="P43" s="50">
        <v>16325</v>
      </c>
      <c r="Q43" s="56">
        <v>4450</v>
      </c>
      <c r="R43" s="45">
        <v>0</v>
      </c>
      <c r="S43" s="45">
        <f>4450-R43-Q43</f>
        <v>0</v>
      </c>
      <c r="T43" s="57">
        <f t="shared" ref="T43:T54" si="67">U43-SUM(Q43:S43)</f>
        <v>0</v>
      </c>
      <c r="U43" s="50">
        <v>4450</v>
      </c>
      <c r="V43" s="56"/>
      <c r="W43" s="45"/>
      <c r="X43" s="45"/>
      <c r="Y43" s="57"/>
      <c r="Z43" s="50">
        <f t="shared" ref="Z43:Z54" si="68">SUM(V43:Y43)</f>
        <v>0</v>
      </c>
      <c r="AA43" s="56"/>
      <c r="AB43" s="45"/>
      <c r="AC43" s="45"/>
      <c r="AD43" s="57"/>
      <c r="AE43" s="50">
        <f t="shared" ref="AE43:AE51" si="69">SUM(AA43:AD43)</f>
        <v>0</v>
      </c>
      <c r="AF43" s="56"/>
      <c r="AG43" s="45"/>
      <c r="AH43" s="76"/>
      <c r="AI43" s="149"/>
      <c r="AJ43" s="50">
        <f t="shared" ref="AJ43:AJ51" si="70">SUM(AF43:AI43)</f>
        <v>0</v>
      </c>
      <c r="AK43" s="150"/>
      <c r="AL43" s="76"/>
      <c r="AM43" s="76"/>
      <c r="AN43" s="114"/>
      <c r="AO43" s="50">
        <f t="shared" ref="AO43:AO52" si="71">SUM(AK43:AN43)</f>
        <v>0</v>
      </c>
      <c r="AP43" s="56"/>
      <c r="AQ43" s="45"/>
      <c r="AR43" s="45"/>
      <c r="AS43" s="114"/>
      <c r="AT43" s="50">
        <f t="shared" ref="AT43:AT52" si="72">SUM(AP43:AS43)</f>
        <v>0</v>
      </c>
      <c r="AU43" s="150"/>
      <c r="AV43" s="253"/>
      <c r="AW43" s="253"/>
      <c r="AX43" s="253"/>
      <c r="AY43" s="50">
        <f t="shared" ref="AY43:AY56" si="73">SUM(AU43:AX43)</f>
        <v>0</v>
      </c>
      <c r="AZ43" s="361"/>
      <c r="BA43" s="253"/>
      <c r="BB43" s="253"/>
      <c r="BC43" s="57"/>
      <c r="BD43" s="50">
        <f t="shared" ref="BD43:BD56" si="74">SUM(AZ43:BC43)</f>
        <v>0</v>
      </c>
      <c r="BE43" s="361"/>
      <c r="BF43" s="45"/>
      <c r="BG43" s="45"/>
      <c r="BH43" s="57"/>
      <c r="BI43" s="50">
        <f t="shared" ref="BI43:BI56" si="75">SUM(BE43:BH43)</f>
        <v>0</v>
      </c>
      <c r="BJ43" s="56"/>
      <c r="BK43" s="45"/>
      <c r="BL43" s="45"/>
      <c r="BM43" s="57"/>
      <c r="BN43" s="50">
        <f t="shared" ref="BN43:BN51" si="76">SUM(BJ43:BM43)</f>
        <v>0</v>
      </c>
      <c r="BO43" s="56"/>
      <c r="BP43" s="45"/>
      <c r="BQ43" s="45"/>
      <c r="BR43" s="57"/>
      <c r="BS43" s="50">
        <f t="shared" ref="BS43:BS51" si="77">SUM(BO43:BR43)</f>
        <v>0</v>
      </c>
      <c r="BT43" s="56"/>
      <c r="BU43" s="45"/>
      <c r="BV43" s="45"/>
      <c r="BW43" s="57"/>
      <c r="BX43" s="50">
        <f t="shared" ref="BX43:BX51" si="78">SUM(BT43:BW43)</f>
        <v>0</v>
      </c>
      <c r="BY43" s="56"/>
      <c r="BZ43" s="45"/>
      <c r="CA43" s="45"/>
      <c r="CB43" s="57"/>
      <c r="CC43" s="50">
        <f t="shared" ref="CC43:CC51" si="79">SUM(BY43:CB43)</f>
        <v>0</v>
      </c>
      <c r="CD43" s="45"/>
      <c r="CE43" s="45"/>
      <c r="CF43" s="45"/>
      <c r="CG43" s="57"/>
      <c r="CH43" s="50">
        <f t="shared" ref="CH43:CH51" si="80">SUM(CD43:CG43)</f>
        <v>0</v>
      </c>
      <c r="CI43" s="45"/>
      <c r="CJ43" s="45"/>
      <c r="CK43" s="45"/>
      <c r="CL43" s="57">
        <f>CM43-SUM(CI43:CK43)</f>
        <v>0</v>
      </c>
      <c r="CM43" s="50"/>
      <c r="CN43" s="45"/>
      <c r="CO43" s="45"/>
      <c r="CP43" s="45"/>
      <c r="CQ43" s="57">
        <f>CR43-SUM(CN43:CP43)</f>
        <v>0</v>
      </c>
      <c r="CR43" s="50"/>
      <c r="CS43" s="45"/>
      <c r="CT43" s="45"/>
      <c r="CU43" s="45"/>
      <c r="CV43" s="57"/>
      <c r="CW43" s="50">
        <f t="shared" ref="CW43:CW51" si="81">SUM(CS43:CV43)</f>
        <v>0</v>
      </c>
    </row>
    <row r="44" spans="2:101">
      <c r="B44" s="24"/>
      <c r="C44" s="254" t="s">
        <v>328</v>
      </c>
      <c r="D44" s="32"/>
      <c r="E44" s="32"/>
      <c r="F44" s="56"/>
      <c r="G44" s="56"/>
      <c r="H44" s="45"/>
      <c r="I44" s="45"/>
      <c r="J44" s="57"/>
      <c r="K44" s="56"/>
      <c r="L44" s="56"/>
      <c r="M44" s="45"/>
      <c r="N44" s="45"/>
      <c r="O44" s="57"/>
      <c r="P44" s="50"/>
      <c r="Q44" s="56"/>
      <c r="R44" s="45"/>
      <c r="S44" s="45"/>
      <c r="T44" s="57"/>
      <c r="U44" s="50"/>
      <c r="V44" s="56"/>
      <c r="W44" s="45"/>
      <c r="X44" s="45"/>
      <c r="Y44" s="57"/>
      <c r="Z44" s="50"/>
      <c r="AA44" s="56"/>
      <c r="AB44" s="45"/>
      <c r="AC44" s="45"/>
      <c r="AD44" s="57"/>
      <c r="AE44" s="50"/>
      <c r="AF44" s="56"/>
      <c r="AG44" s="45"/>
      <c r="AH44" s="76"/>
      <c r="AI44" s="149"/>
      <c r="AJ44" s="50"/>
      <c r="AK44" s="150"/>
      <c r="AL44" s="76"/>
      <c r="AM44" s="76"/>
      <c r="AN44" s="114"/>
      <c r="AO44" s="50"/>
      <c r="AP44" s="56"/>
      <c r="AQ44" s="45"/>
      <c r="AR44" s="45"/>
      <c r="AS44" s="114"/>
      <c r="AT44" s="50"/>
      <c r="AU44" s="150"/>
      <c r="AV44" s="253"/>
      <c r="AW44" s="253"/>
      <c r="AX44" s="253"/>
      <c r="AY44" s="50"/>
      <c r="AZ44" s="361"/>
      <c r="BA44" s="253"/>
      <c r="BB44" s="253"/>
      <c r="BC44" s="57">
        <f>-5815</f>
        <v>-5815</v>
      </c>
      <c r="BD44" s="50">
        <f t="shared" si="74"/>
        <v>-5815</v>
      </c>
      <c r="BE44" s="361">
        <v>-5871</v>
      </c>
      <c r="BF44" s="45">
        <f>-11869-BE44</f>
        <v>-5998</v>
      </c>
      <c r="BG44" s="45">
        <v>-1998</v>
      </c>
      <c r="BH44" s="57">
        <f>-19864-BG44-BF44-BE44</f>
        <v>-5997</v>
      </c>
      <c r="BI44" s="50">
        <f t="shared" si="75"/>
        <v>-19864</v>
      </c>
      <c r="BJ44" s="56">
        <v>-2966</v>
      </c>
      <c r="BK44" s="45">
        <f>-8966-BJ44</f>
        <v>-6000</v>
      </c>
      <c r="BL44" s="45">
        <f>-14966-BK44-BJ44</f>
        <v>-6000</v>
      </c>
      <c r="BM44" s="57">
        <v>-5652</v>
      </c>
      <c r="BN44" s="50">
        <f t="shared" si="76"/>
        <v>-20618</v>
      </c>
      <c r="BO44" s="56">
        <v>-12000</v>
      </c>
      <c r="BP44" s="45">
        <f>-18950-BO44</f>
        <v>-6950</v>
      </c>
      <c r="BQ44" s="45">
        <f>-18950-BP44-BO44</f>
        <v>0</v>
      </c>
      <c r="BR44" s="57"/>
      <c r="BS44" s="50">
        <f t="shared" si="77"/>
        <v>-18950</v>
      </c>
      <c r="BT44" s="56"/>
      <c r="BU44" s="45">
        <v>-6450</v>
      </c>
      <c r="BV44" s="45">
        <v>-4211</v>
      </c>
      <c r="BW44" s="57">
        <f>-20430-BV44-BU44</f>
        <v>-9769</v>
      </c>
      <c r="BX44" s="50">
        <f t="shared" si="78"/>
        <v>-20430</v>
      </c>
      <c r="BY44" s="56">
        <v>-15226</v>
      </c>
      <c r="BZ44" s="45">
        <v>-14997</v>
      </c>
      <c r="CA44" s="45">
        <f>+-42700-BZ44-BY44</f>
        <v>-12477</v>
      </c>
      <c r="CB44" s="57">
        <v>-515</v>
      </c>
      <c r="CC44" s="50">
        <f t="shared" si="79"/>
        <v>-43215</v>
      </c>
      <c r="CD44" s="45"/>
      <c r="CE44" s="45"/>
      <c r="CF44" s="45"/>
      <c r="CG44" s="57"/>
      <c r="CH44" s="50">
        <f t="shared" si="80"/>
        <v>0</v>
      </c>
      <c r="CI44" s="45">
        <v>-16540</v>
      </c>
      <c r="CJ44" s="45">
        <f>-37483-CI44</f>
        <v>-20943</v>
      </c>
      <c r="CK44" s="45">
        <f>-37567-CJ44-CI44</f>
        <v>-84</v>
      </c>
      <c r="CL44" s="57">
        <f t="shared" ref="CL44:CL57" si="82">CM44-SUM(CI44:CK44)</f>
        <v>0</v>
      </c>
      <c r="CM44" s="50">
        <f>-37567</f>
        <v>-37567</v>
      </c>
      <c r="CN44" s="45">
        <v>-40000</v>
      </c>
      <c r="CO44" s="45">
        <v>-19558</v>
      </c>
      <c r="CP44" s="45">
        <f>-89556-CO44-CN44</f>
        <v>-29998</v>
      </c>
      <c r="CQ44" s="57">
        <f t="shared" ref="CQ44:CQ57" si="83">CR44-SUM(CN44:CP44)</f>
        <v>-24721</v>
      </c>
      <c r="CR44" s="50">
        <v>-114277</v>
      </c>
      <c r="CS44" s="45"/>
      <c r="CT44" s="45"/>
      <c r="CU44" s="45"/>
      <c r="CV44" s="57"/>
      <c r="CW44" s="50">
        <f t="shared" si="81"/>
        <v>0</v>
      </c>
    </row>
    <row r="45" spans="2:101">
      <c r="B45" s="24"/>
      <c r="C45" t="s">
        <v>85</v>
      </c>
      <c r="D45" s="32"/>
      <c r="E45" s="32"/>
      <c r="F45" s="56">
        <v>-2875</v>
      </c>
      <c r="G45" s="56"/>
      <c r="H45" s="45"/>
      <c r="I45" s="45"/>
      <c r="J45" s="57"/>
      <c r="K45" s="56">
        <v>-10125</v>
      </c>
      <c r="L45" s="56">
        <v>-3850</v>
      </c>
      <c r="M45" s="45"/>
      <c r="N45" s="45"/>
      <c r="O45" s="57"/>
      <c r="P45" s="50">
        <v>-16125</v>
      </c>
      <c r="Q45" s="56">
        <v>-4350</v>
      </c>
      <c r="R45" s="45">
        <f>-5950-Q45</f>
        <v>-1600</v>
      </c>
      <c r="S45" s="45">
        <f>-5950-R45-Q45</f>
        <v>0</v>
      </c>
      <c r="T45" s="57">
        <f t="shared" si="67"/>
        <v>0</v>
      </c>
      <c r="U45" s="50">
        <v>-5950</v>
      </c>
      <c r="V45" s="56"/>
      <c r="W45" s="45"/>
      <c r="X45" s="45"/>
      <c r="Y45" s="57"/>
      <c r="Z45" s="50">
        <f t="shared" si="68"/>
        <v>0</v>
      </c>
      <c r="AA45" s="56"/>
      <c r="AB45" s="45"/>
      <c r="AC45" s="45"/>
      <c r="AD45" s="57"/>
      <c r="AE45" s="50">
        <f t="shared" si="69"/>
        <v>0</v>
      </c>
      <c r="AF45" s="56"/>
      <c r="AG45" s="45"/>
      <c r="AH45" s="76"/>
      <c r="AI45" s="149">
        <v>-169</v>
      </c>
      <c r="AJ45" s="50">
        <f t="shared" si="70"/>
        <v>-169</v>
      </c>
      <c r="AK45" s="150"/>
      <c r="AL45" s="76"/>
      <c r="AM45" s="76"/>
      <c r="AN45" s="114"/>
      <c r="AO45" s="50">
        <f t="shared" si="71"/>
        <v>0</v>
      </c>
      <c r="AP45" s="56"/>
      <c r="AQ45" s="45"/>
      <c r="AR45" s="45"/>
      <c r="AS45" s="114"/>
      <c r="AT45" s="50">
        <f t="shared" si="72"/>
        <v>0</v>
      </c>
      <c r="AU45" s="150"/>
      <c r="AV45" s="253"/>
      <c r="AW45" s="253"/>
      <c r="AX45" s="253"/>
      <c r="AY45" s="50">
        <f t="shared" si="73"/>
        <v>0</v>
      </c>
      <c r="AZ45" s="361"/>
      <c r="BA45" s="253"/>
      <c r="BB45" s="253"/>
      <c r="BC45" s="57"/>
      <c r="BD45" s="50">
        <f t="shared" si="74"/>
        <v>0</v>
      </c>
      <c r="BE45" s="361"/>
      <c r="BF45" s="45"/>
      <c r="BG45" s="45"/>
      <c r="BH45" s="57"/>
      <c r="BI45" s="50">
        <f t="shared" si="75"/>
        <v>0</v>
      </c>
      <c r="BJ45" s="56"/>
      <c r="BK45" s="45"/>
      <c r="BL45" s="45"/>
      <c r="BM45" s="57"/>
      <c r="BN45" s="50">
        <f t="shared" si="76"/>
        <v>0</v>
      </c>
      <c r="BO45" s="56"/>
      <c r="BP45" s="45"/>
      <c r="BQ45" s="45"/>
      <c r="BR45" s="57"/>
      <c r="BS45" s="50">
        <f t="shared" si="77"/>
        <v>0</v>
      </c>
      <c r="BT45" s="56"/>
      <c r="BU45" s="45"/>
      <c r="BV45" s="45"/>
      <c r="BW45" s="57"/>
      <c r="BX45" s="50">
        <f t="shared" si="78"/>
        <v>0</v>
      </c>
      <c r="BY45" s="56"/>
      <c r="BZ45" s="45"/>
      <c r="CA45" s="45"/>
      <c r="CB45" s="57"/>
      <c r="CC45" s="50">
        <f t="shared" si="79"/>
        <v>0</v>
      </c>
      <c r="CD45" s="45"/>
      <c r="CE45" s="45"/>
      <c r="CF45" s="45"/>
      <c r="CG45" s="57"/>
      <c r="CH45" s="50">
        <f t="shared" si="80"/>
        <v>0</v>
      </c>
      <c r="CI45" s="45"/>
      <c r="CJ45" s="45"/>
      <c r="CK45" s="45"/>
      <c r="CL45" s="57">
        <f t="shared" si="82"/>
        <v>0</v>
      </c>
      <c r="CM45" s="50"/>
      <c r="CN45" s="45"/>
      <c r="CO45" s="45"/>
      <c r="CP45" s="45"/>
      <c r="CQ45" s="57">
        <f t="shared" si="83"/>
        <v>0</v>
      </c>
      <c r="CR45" s="50"/>
      <c r="CS45" s="45"/>
      <c r="CT45" s="45"/>
      <c r="CU45" s="45"/>
      <c r="CV45" s="57"/>
      <c r="CW45" s="50">
        <f t="shared" si="81"/>
        <v>0</v>
      </c>
    </row>
    <row r="46" spans="2:101">
      <c r="B46" s="24"/>
      <c r="C46" t="s">
        <v>86</v>
      </c>
      <c r="D46" s="32"/>
      <c r="E46" s="32"/>
      <c r="F46" s="56">
        <v>756</v>
      </c>
      <c r="G46" s="56"/>
      <c r="H46" s="45"/>
      <c r="I46" s="45"/>
      <c r="J46" s="57"/>
      <c r="K46" s="56">
        <v>855</v>
      </c>
      <c r="L46" s="56"/>
      <c r="M46" s="45"/>
      <c r="N46" s="45"/>
      <c r="O46" s="57"/>
      <c r="P46" s="50"/>
      <c r="Q46" s="56"/>
      <c r="R46" s="45"/>
      <c r="S46" s="45"/>
      <c r="T46" s="57">
        <f t="shared" si="67"/>
        <v>0</v>
      </c>
      <c r="U46" s="50">
        <v>0</v>
      </c>
      <c r="V46" s="56"/>
      <c r="W46" s="45"/>
      <c r="X46" s="45"/>
      <c r="Y46" s="57"/>
      <c r="Z46" s="50">
        <f t="shared" si="68"/>
        <v>0</v>
      </c>
      <c r="AA46" s="56"/>
      <c r="AB46" s="45"/>
      <c r="AC46" s="45"/>
      <c r="AD46" s="57"/>
      <c r="AE46" s="50">
        <f t="shared" si="69"/>
        <v>0</v>
      </c>
      <c r="AF46" s="56"/>
      <c r="AG46" s="45"/>
      <c r="AH46" s="76"/>
      <c r="AI46" s="149"/>
      <c r="AJ46" s="50">
        <f t="shared" si="70"/>
        <v>0</v>
      </c>
      <c r="AK46" s="150"/>
      <c r="AL46" s="76"/>
      <c r="AM46" s="76"/>
      <c r="AN46" s="114"/>
      <c r="AO46" s="50">
        <f t="shared" si="71"/>
        <v>0</v>
      </c>
      <c r="AP46" s="56"/>
      <c r="AQ46" s="45"/>
      <c r="AR46" s="45"/>
      <c r="AS46" s="114"/>
      <c r="AT46" s="50">
        <f t="shared" si="72"/>
        <v>0</v>
      </c>
      <c r="AU46" s="150"/>
      <c r="AV46" s="253"/>
      <c r="AW46" s="253"/>
      <c r="AX46" s="253"/>
      <c r="AY46" s="50">
        <f t="shared" si="73"/>
        <v>0</v>
      </c>
      <c r="AZ46" s="361"/>
      <c r="BA46" s="253"/>
      <c r="BB46" s="253"/>
      <c r="BC46" s="57"/>
      <c r="BD46" s="50">
        <f t="shared" si="74"/>
        <v>0</v>
      </c>
      <c r="BE46" s="361"/>
      <c r="BF46" s="45"/>
      <c r="BG46" s="45"/>
      <c r="BH46" s="57"/>
      <c r="BI46" s="50">
        <f t="shared" si="75"/>
        <v>0</v>
      </c>
      <c r="BJ46" s="56"/>
      <c r="BK46" s="45"/>
      <c r="BL46" s="45"/>
      <c r="BM46" s="57"/>
      <c r="BN46" s="50">
        <f t="shared" si="76"/>
        <v>0</v>
      </c>
      <c r="BO46" s="56"/>
      <c r="BP46" s="45"/>
      <c r="BQ46" s="45"/>
      <c r="BR46" s="57"/>
      <c r="BS46" s="50">
        <f t="shared" si="77"/>
        <v>0</v>
      </c>
      <c r="BT46" s="56"/>
      <c r="BU46" s="45"/>
      <c r="BV46" s="45"/>
      <c r="BW46" s="57"/>
      <c r="BX46" s="50">
        <f t="shared" si="78"/>
        <v>0</v>
      </c>
      <c r="BY46" s="56"/>
      <c r="BZ46" s="45"/>
      <c r="CA46" s="45"/>
      <c r="CB46" s="57"/>
      <c r="CC46" s="50">
        <f t="shared" si="79"/>
        <v>0</v>
      </c>
      <c r="CD46" s="45"/>
      <c r="CE46" s="45"/>
      <c r="CF46" s="45"/>
      <c r="CG46" s="57"/>
      <c r="CH46" s="50">
        <f t="shared" si="80"/>
        <v>0</v>
      </c>
      <c r="CI46" s="45"/>
      <c r="CJ46" s="45"/>
      <c r="CK46" s="45"/>
      <c r="CL46" s="57">
        <f t="shared" si="82"/>
        <v>0</v>
      </c>
      <c r="CM46" s="50"/>
      <c r="CN46" s="45"/>
      <c r="CO46" s="45"/>
      <c r="CP46" s="45"/>
      <c r="CQ46" s="57">
        <f t="shared" si="83"/>
        <v>0</v>
      </c>
      <c r="CR46" s="50"/>
      <c r="CS46" s="45"/>
      <c r="CT46" s="45"/>
      <c r="CU46" s="45"/>
      <c r="CV46" s="57"/>
      <c r="CW46" s="50">
        <f t="shared" si="81"/>
        <v>0</v>
      </c>
    </row>
    <row r="47" spans="2:101">
      <c r="B47" s="24"/>
      <c r="C47" t="s">
        <v>87</v>
      </c>
      <c r="D47" s="32"/>
      <c r="E47" s="32"/>
      <c r="F47" s="56">
        <v>-432</v>
      </c>
      <c r="G47" s="56"/>
      <c r="H47" s="45"/>
      <c r="I47" s="45"/>
      <c r="J47" s="57"/>
      <c r="K47" s="56">
        <v>-721</v>
      </c>
      <c r="L47" s="56">
        <v>-215</v>
      </c>
      <c r="M47" s="45"/>
      <c r="N47" s="45"/>
      <c r="O47" s="57"/>
      <c r="P47" s="50">
        <v>-730</v>
      </c>
      <c r="Q47" s="56">
        <v>-138</v>
      </c>
      <c r="R47" s="45">
        <f>-732-Q47</f>
        <v>-594</v>
      </c>
      <c r="S47" s="45">
        <f>-732-R47-Q47</f>
        <v>0</v>
      </c>
      <c r="T47" s="57">
        <f t="shared" si="67"/>
        <v>0</v>
      </c>
      <c r="U47" s="50">
        <v>-732</v>
      </c>
      <c r="V47" s="56"/>
      <c r="W47" s="45"/>
      <c r="X47" s="45"/>
      <c r="Y47" s="57"/>
      <c r="Z47" s="50">
        <f t="shared" si="68"/>
        <v>0</v>
      </c>
      <c r="AA47" s="56"/>
      <c r="AB47" s="45"/>
      <c r="AC47" s="45">
        <v>24</v>
      </c>
      <c r="AD47" s="57">
        <f>-132-AC47</f>
        <v>-156</v>
      </c>
      <c r="AE47" s="50">
        <f t="shared" si="69"/>
        <v>-132</v>
      </c>
      <c r="AF47" s="56"/>
      <c r="AG47" s="45"/>
      <c r="AH47" s="76"/>
      <c r="AI47" s="149"/>
      <c r="AJ47" s="50">
        <f t="shared" si="70"/>
        <v>0</v>
      </c>
      <c r="AK47" s="150"/>
      <c r="AL47" s="76"/>
      <c r="AM47" s="76"/>
      <c r="AN47" s="114"/>
      <c r="AO47" s="50">
        <f t="shared" si="71"/>
        <v>0</v>
      </c>
      <c r="AP47" s="56"/>
      <c r="AQ47" s="45"/>
      <c r="AR47" s="45"/>
      <c r="AS47" s="114"/>
      <c r="AT47" s="50">
        <f t="shared" si="72"/>
        <v>0</v>
      </c>
      <c r="AU47" s="150"/>
      <c r="AV47" s="253"/>
      <c r="AW47" s="253"/>
      <c r="AX47" s="253"/>
      <c r="AY47" s="50">
        <f t="shared" si="73"/>
        <v>0</v>
      </c>
      <c r="AZ47" s="361"/>
      <c r="BA47" s="253"/>
      <c r="BB47" s="253"/>
      <c r="BC47" s="57"/>
      <c r="BD47" s="50">
        <f t="shared" si="74"/>
        <v>0</v>
      </c>
      <c r="BE47" s="361"/>
      <c r="BF47" s="45"/>
      <c r="BG47" s="45"/>
      <c r="BH47" s="57"/>
      <c r="BI47" s="50">
        <f t="shared" si="75"/>
        <v>0</v>
      </c>
      <c r="BJ47" s="56"/>
      <c r="BK47" s="45"/>
      <c r="BL47" s="45"/>
      <c r="BM47" s="57"/>
      <c r="BN47" s="50">
        <f t="shared" si="76"/>
        <v>0</v>
      </c>
      <c r="BO47" s="56"/>
      <c r="BP47" s="45"/>
      <c r="BQ47" s="45"/>
      <c r="BR47" s="57"/>
      <c r="BS47" s="50">
        <f t="shared" si="77"/>
        <v>0</v>
      </c>
      <c r="BT47" s="56"/>
      <c r="BU47" s="45"/>
      <c r="BV47" s="45"/>
      <c r="BW47" s="57"/>
      <c r="BX47" s="50">
        <f t="shared" si="78"/>
        <v>0</v>
      </c>
      <c r="BY47" s="56"/>
      <c r="BZ47" s="45"/>
      <c r="CA47" s="45"/>
      <c r="CB47" s="57"/>
      <c r="CC47" s="50">
        <f t="shared" si="79"/>
        <v>0</v>
      </c>
      <c r="CD47" s="45"/>
      <c r="CE47" s="45"/>
      <c r="CF47" s="45"/>
      <c r="CG47" s="57"/>
      <c r="CH47" s="50">
        <f t="shared" si="80"/>
        <v>0</v>
      </c>
      <c r="CI47" s="45"/>
      <c r="CJ47" s="45"/>
      <c r="CK47" s="45"/>
      <c r="CL47" s="57">
        <f t="shared" si="82"/>
        <v>0</v>
      </c>
      <c r="CM47" s="50"/>
      <c r="CN47" s="45"/>
      <c r="CO47" s="45"/>
      <c r="CP47" s="45"/>
      <c r="CQ47" s="57">
        <f t="shared" si="83"/>
        <v>0</v>
      </c>
      <c r="CR47" s="50"/>
      <c r="CS47" s="45"/>
      <c r="CT47" s="45"/>
      <c r="CU47" s="45"/>
      <c r="CV47" s="57"/>
      <c r="CW47" s="50">
        <f t="shared" si="81"/>
        <v>0</v>
      </c>
    </row>
    <row r="48" spans="2:101">
      <c r="B48" s="24"/>
      <c r="C48" t="s">
        <v>88</v>
      </c>
      <c r="D48" s="32"/>
      <c r="E48" s="32"/>
      <c r="F48" s="56">
        <v>-553</v>
      </c>
      <c r="G48" s="56"/>
      <c r="H48" s="45"/>
      <c r="I48" s="45"/>
      <c r="J48" s="57"/>
      <c r="K48" s="56">
        <v>-621</v>
      </c>
      <c r="L48" s="56">
        <v>-167</v>
      </c>
      <c r="M48" s="45"/>
      <c r="N48" s="45"/>
      <c r="O48" s="57"/>
      <c r="P48" s="50">
        <v>-679</v>
      </c>
      <c r="Q48" s="56"/>
      <c r="R48" s="45"/>
      <c r="S48" s="45"/>
      <c r="T48" s="57">
        <f t="shared" si="67"/>
        <v>0</v>
      </c>
      <c r="U48" s="50">
        <v>0</v>
      </c>
      <c r="V48" s="56"/>
      <c r="W48" s="45"/>
      <c r="X48" s="45"/>
      <c r="Y48" s="57"/>
      <c r="Z48" s="50">
        <f t="shared" si="68"/>
        <v>0</v>
      </c>
      <c r="AA48" s="56"/>
      <c r="AB48" s="45"/>
      <c r="AC48" s="45"/>
      <c r="AD48" s="57"/>
      <c r="AE48" s="50">
        <f t="shared" si="69"/>
        <v>0</v>
      </c>
      <c r="AF48" s="56"/>
      <c r="AG48" s="45"/>
      <c r="AH48" s="76"/>
      <c r="AI48" s="149"/>
      <c r="AJ48" s="50">
        <f t="shared" si="70"/>
        <v>0</v>
      </c>
      <c r="AK48" s="56"/>
      <c r="AL48" s="76"/>
      <c r="AM48" s="76"/>
      <c r="AN48" s="114"/>
      <c r="AO48" s="50">
        <f t="shared" si="71"/>
        <v>0</v>
      </c>
      <c r="AP48" s="56"/>
      <c r="AQ48" s="45"/>
      <c r="AR48" s="45"/>
      <c r="AS48" s="114"/>
      <c r="AT48" s="50">
        <f t="shared" si="72"/>
        <v>0</v>
      </c>
      <c r="AU48" s="150"/>
      <c r="AV48" s="253"/>
      <c r="AW48" s="253"/>
      <c r="AX48" s="253"/>
      <c r="AY48" s="50">
        <f t="shared" si="73"/>
        <v>0</v>
      </c>
      <c r="AZ48" s="361"/>
      <c r="BA48" s="253"/>
      <c r="BB48" s="253"/>
      <c r="BC48" s="57"/>
      <c r="BD48" s="50">
        <f t="shared" si="74"/>
        <v>0</v>
      </c>
      <c r="BE48" s="361"/>
      <c r="BF48" s="45"/>
      <c r="BG48" s="45"/>
      <c r="BH48" s="57"/>
      <c r="BI48" s="50">
        <f t="shared" si="75"/>
        <v>0</v>
      </c>
      <c r="BJ48" s="56"/>
      <c r="BK48" s="45"/>
      <c r="BL48" s="45"/>
      <c r="BM48" s="57"/>
      <c r="BN48" s="50">
        <f t="shared" si="76"/>
        <v>0</v>
      </c>
      <c r="BO48" s="56"/>
      <c r="BP48" s="45"/>
      <c r="BQ48" s="45"/>
      <c r="BR48" s="57"/>
      <c r="BS48" s="50">
        <f t="shared" si="77"/>
        <v>0</v>
      </c>
      <c r="BT48" s="56"/>
      <c r="BU48" s="45"/>
      <c r="BV48" s="45"/>
      <c r="BW48" s="57"/>
      <c r="BX48" s="50">
        <f t="shared" si="78"/>
        <v>0</v>
      </c>
      <c r="BY48" s="56"/>
      <c r="BZ48" s="45"/>
      <c r="CA48" s="45"/>
      <c r="CB48" s="57"/>
      <c r="CC48" s="50">
        <f t="shared" si="79"/>
        <v>0</v>
      </c>
      <c r="CD48" s="45"/>
      <c r="CE48" s="45"/>
      <c r="CF48" s="45"/>
      <c r="CG48" s="57"/>
      <c r="CH48" s="50">
        <f t="shared" si="80"/>
        <v>0</v>
      </c>
      <c r="CI48" s="45"/>
      <c r="CJ48" s="45"/>
      <c r="CK48" s="45"/>
      <c r="CL48" s="57">
        <f t="shared" si="82"/>
        <v>0</v>
      </c>
      <c r="CM48" s="50"/>
      <c r="CN48" s="45"/>
      <c r="CO48" s="45"/>
      <c r="CP48" s="45"/>
      <c r="CQ48" s="57">
        <f t="shared" si="83"/>
        <v>0</v>
      </c>
      <c r="CR48" s="50"/>
      <c r="CS48" s="45"/>
      <c r="CT48" s="45"/>
      <c r="CU48" s="45"/>
      <c r="CV48" s="57"/>
      <c r="CW48" s="50">
        <f t="shared" si="81"/>
        <v>0</v>
      </c>
    </row>
    <row r="49" spans="2:101">
      <c r="B49" s="24"/>
      <c r="C49" t="s">
        <v>89</v>
      </c>
      <c r="D49" s="32"/>
      <c r="E49" s="32"/>
      <c r="F49" s="56">
        <v>45</v>
      </c>
      <c r="G49" s="56"/>
      <c r="H49" s="45"/>
      <c r="I49" s="45"/>
      <c r="J49" s="57"/>
      <c r="K49" s="56">
        <v>5</v>
      </c>
      <c r="L49" s="56"/>
      <c r="M49" s="45"/>
      <c r="N49" s="45"/>
      <c r="O49" s="57"/>
      <c r="P49" s="50">
        <v>2</v>
      </c>
      <c r="Q49" s="56"/>
      <c r="R49" s="45"/>
      <c r="S49" s="45"/>
      <c r="T49" s="57">
        <f t="shared" si="67"/>
        <v>43</v>
      </c>
      <c r="U49" s="50">
        <v>43</v>
      </c>
      <c r="V49" s="56">
        <v>24</v>
      </c>
      <c r="W49" s="45">
        <f>273-108-V49</f>
        <v>141</v>
      </c>
      <c r="X49" s="45">
        <v>65</v>
      </c>
      <c r="Y49" s="57">
        <f>621-X49-W49-V49+61</f>
        <v>452</v>
      </c>
      <c r="Z49" s="50">
        <f t="shared" si="68"/>
        <v>682</v>
      </c>
      <c r="AA49" s="45">
        <v>93</v>
      </c>
      <c r="AB49" s="45">
        <v>718</v>
      </c>
      <c r="AC49" s="45">
        <f>1137-AB49-AA49</f>
        <v>326</v>
      </c>
      <c r="AD49" s="57">
        <f>2011-AC49-AB49-AA49</f>
        <v>874</v>
      </c>
      <c r="AE49" s="50">
        <f t="shared" si="69"/>
        <v>2011</v>
      </c>
      <c r="AF49" s="45">
        <v>1049</v>
      </c>
      <c r="AG49" s="45">
        <f>1597-AF49</f>
        <v>548</v>
      </c>
      <c r="AH49" s="45">
        <f>3095-AG49-AF49</f>
        <v>1498</v>
      </c>
      <c r="AI49" s="147">
        <f>3735-AH49-AG49-AF49</f>
        <v>640</v>
      </c>
      <c r="AJ49" s="50">
        <f t="shared" si="70"/>
        <v>3735</v>
      </c>
      <c r="AK49" s="45">
        <f>587+25</f>
        <v>612</v>
      </c>
      <c r="AL49" s="76">
        <f>922-AK49+60</f>
        <v>370</v>
      </c>
      <c r="AM49" s="76">
        <f>1573-AL49-AK49</f>
        <v>591</v>
      </c>
      <c r="AN49" s="114">
        <v>979</v>
      </c>
      <c r="AO49" s="50">
        <f t="shared" si="71"/>
        <v>2552</v>
      </c>
      <c r="AP49" s="45">
        <v>2047</v>
      </c>
      <c r="AQ49" s="45">
        <f>2396-AP49</f>
        <v>349</v>
      </c>
      <c r="AR49" s="45">
        <f>3273-AQ49-AP49</f>
        <v>877</v>
      </c>
      <c r="AS49" s="114">
        <f>4439-AR49-AQ49-AP49</f>
        <v>1166</v>
      </c>
      <c r="AT49" s="50">
        <f t="shared" si="72"/>
        <v>4439</v>
      </c>
      <c r="AU49" s="76">
        <v>1069</v>
      </c>
      <c r="AV49" s="253">
        <f>1749-AU49</f>
        <v>680</v>
      </c>
      <c r="AW49" s="253">
        <f>3520-AV49-AU49</f>
        <v>1771</v>
      </c>
      <c r="AX49" s="253">
        <f>4303-AW49-AV49-AU49</f>
        <v>783</v>
      </c>
      <c r="AY49" s="50">
        <f t="shared" si="73"/>
        <v>4303</v>
      </c>
      <c r="AZ49" s="253">
        <v>1037</v>
      </c>
      <c r="BA49" s="253">
        <f>1244-AZ49</f>
        <v>207</v>
      </c>
      <c r="BB49" s="253">
        <f>1307-BA49-AZ49</f>
        <v>63</v>
      </c>
      <c r="BC49" s="57">
        <f>1410-BB49-BA49-AZ49</f>
        <v>103</v>
      </c>
      <c r="BD49" s="50">
        <f t="shared" si="74"/>
        <v>1410</v>
      </c>
      <c r="BE49" s="253">
        <v>715</v>
      </c>
      <c r="BF49" s="45">
        <f>5120-BE49</f>
        <v>4405</v>
      </c>
      <c r="BG49" s="45">
        <v>6680</v>
      </c>
      <c r="BH49" s="57">
        <f>14344-BG49-BF49-BE49</f>
        <v>2544</v>
      </c>
      <c r="BI49" s="50">
        <f t="shared" si="75"/>
        <v>14344</v>
      </c>
      <c r="BJ49" s="45">
        <v>2472</v>
      </c>
      <c r="BK49" s="45">
        <f>3371-BJ49</f>
        <v>899</v>
      </c>
      <c r="BL49" s="45">
        <f>5273-BK49-BJ49</f>
        <v>1902</v>
      </c>
      <c r="BM49" s="57">
        <v>2048</v>
      </c>
      <c r="BN49" s="50">
        <f t="shared" si="76"/>
        <v>7321</v>
      </c>
      <c r="BO49" s="45">
        <v>3683</v>
      </c>
      <c r="BP49" s="45">
        <f>9426-BO49</f>
        <v>5743</v>
      </c>
      <c r="BQ49" s="45">
        <f>14143-BP49-BO49</f>
        <v>4717</v>
      </c>
      <c r="BR49" s="57">
        <f>18592-BQ49-BP49-BO49</f>
        <v>4449</v>
      </c>
      <c r="BS49" s="50">
        <f t="shared" si="77"/>
        <v>18592</v>
      </c>
      <c r="BT49" s="45">
        <v>2802</v>
      </c>
      <c r="BU49" s="45">
        <v>1228</v>
      </c>
      <c r="BV49" s="45">
        <v>2997</v>
      </c>
      <c r="BW49" s="57">
        <f>9374-BV49-BU49-BT49</f>
        <v>2347</v>
      </c>
      <c r="BX49" s="50">
        <f t="shared" si="78"/>
        <v>9374</v>
      </c>
      <c r="BY49" s="45">
        <v>504</v>
      </c>
      <c r="BZ49" s="45">
        <v>186</v>
      </c>
      <c r="CA49" s="45">
        <f>2457-BZ49-BY49</f>
        <v>1767</v>
      </c>
      <c r="CB49" s="57">
        <v>2451</v>
      </c>
      <c r="CC49" s="50">
        <f t="shared" si="79"/>
        <v>4908</v>
      </c>
      <c r="CD49" s="45">
        <v>2184</v>
      </c>
      <c r="CE49" s="45">
        <v>2635</v>
      </c>
      <c r="CF49" s="45">
        <v>705</v>
      </c>
      <c r="CG49" s="57">
        <f>9856-CF49-CE49-CD49</f>
        <v>4332</v>
      </c>
      <c r="CH49" s="50">
        <f t="shared" si="80"/>
        <v>9856</v>
      </c>
      <c r="CI49" s="45">
        <v>1260</v>
      </c>
      <c r="CJ49" s="45">
        <f>2314-CI49</f>
        <v>1054</v>
      </c>
      <c r="CK49" s="45">
        <f>4198-CJ49-CI49</f>
        <v>1884</v>
      </c>
      <c r="CL49" s="57">
        <f t="shared" si="82"/>
        <v>516</v>
      </c>
      <c r="CM49" s="50">
        <v>4714</v>
      </c>
      <c r="CN49" s="45">
        <v>635</v>
      </c>
      <c r="CO49" s="45">
        <v>1771</v>
      </c>
      <c r="CP49" s="45">
        <f>3481-CO49-CN49</f>
        <v>1075</v>
      </c>
      <c r="CQ49" s="57">
        <f t="shared" si="83"/>
        <v>380</v>
      </c>
      <c r="CR49" s="50">
        <v>3861</v>
      </c>
      <c r="CS49" s="45"/>
      <c r="CT49" s="45"/>
      <c r="CU49" s="45"/>
      <c r="CV49" s="57"/>
      <c r="CW49" s="50">
        <f t="shared" si="81"/>
        <v>0</v>
      </c>
    </row>
    <row r="50" spans="2:101">
      <c r="B50" s="24"/>
      <c r="C50" t="s">
        <v>90</v>
      </c>
      <c r="D50" s="32"/>
      <c r="E50" s="32"/>
      <c r="F50" s="56">
        <v>-117</v>
      </c>
      <c r="G50" s="56"/>
      <c r="H50" s="45"/>
      <c r="I50" s="45"/>
      <c r="J50" s="57"/>
      <c r="K50" s="56">
        <v>-529</v>
      </c>
      <c r="L50" s="56">
        <v>-196</v>
      </c>
      <c r="M50" s="45"/>
      <c r="N50" s="45"/>
      <c r="O50" s="57"/>
      <c r="P50" s="50">
        <v>-534</v>
      </c>
      <c r="Q50" s="56">
        <v>-21</v>
      </c>
      <c r="R50" s="45">
        <f>-116-Q50</f>
        <v>-95</v>
      </c>
      <c r="S50" s="45">
        <f>-338-R50-Q50</f>
        <v>-222</v>
      </c>
      <c r="T50" s="57">
        <f t="shared" si="67"/>
        <v>0</v>
      </c>
      <c r="U50" s="50">
        <v>-338</v>
      </c>
      <c r="V50" s="56">
        <v>-122</v>
      </c>
      <c r="W50" s="45"/>
      <c r="X50" s="45"/>
      <c r="Y50" s="57">
        <f>-122-X50-W50-V50</f>
        <v>0</v>
      </c>
      <c r="Z50" s="50">
        <f t="shared" si="68"/>
        <v>-122</v>
      </c>
      <c r="AA50" s="45">
        <v>11</v>
      </c>
      <c r="AB50" s="45">
        <v>13</v>
      </c>
      <c r="AC50" s="45">
        <f>-410-AB50-AA50</f>
        <v>-434</v>
      </c>
      <c r="AD50" s="57"/>
      <c r="AE50" s="50">
        <f t="shared" si="69"/>
        <v>-410</v>
      </c>
      <c r="AF50" s="45"/>
      <c r="AG50" s="45"/>
      <c r="AH50" s="45"/>
      <c r="AI50" s="147"/>
      <c r="AJ50" s="50">
        <f t="shared" si="70"/>
        <v>0</v>
      </c>
      <c r="AK50" s="45"/>
      <c r="AL50" s="76"/>
      <c r="AM50" s="76"/>
      <c r="AN50" s="114"/>
      <c r="AO50" s="50">
        <f t="shared" si="71"/>
        <v>0</v>
      </c>
      <c r="AP50" s="45"/>
      <c r="AQ50" s="45"/>
      <c r="AR50" s="45"/>
      <c r="AS50" s="114"/>
      <c r="AT50" s="50">
        <f t="shared" si="72"/>
        <v>0</v>
      </c>
      <c r="AU50" s="76"/>
      <c r="AV50" s="253"/>
      <c r="AW50" s="253"/>
      <c r="AX50" s="253"/>
      <c r="AY50" s="50">
        <f t="shared" si="73"/>
        <v>0</v>
      </c>
      <c r="AZ50" s="253"/>
      <c r="BA50" s="253"/>
      <c r="BB50" s="253"/>
      <c r="BC50" s="57"/>
      <c r="BD50" s="50">
        <f t="shared" si="74"/>
        <v>0</v>
      </c>
      <c r="BE50" s="253"/>
      <c r="BF50" s="45"/>
      <c r="BG50" s="45"/>
      <c r="BH50" s="57"/>
      <c r="BI50" s="50">
        <f t="shared" si="75"/>
        <v>0</v>
      </c>
      <c r="BJ50" s="45"/>
      <c r="BK50" s="45"/>
      <c r="BL50" s="45"/>
      <c r="BM50" s="57"/>
      <c r="BN50" s="50">
        <f t="shared" si="76"/>
        <v>0</v>
      </c>
      <c r="BO50" s="45"/>
      <c r="BP50" s="45"/>
      <c r="BQ50" s="45"/>
      <c r="BR50" s="57"/>
      <c r="BS50" s="50">
        <f t="shared" si="77"/>
        <v>0</v>
      </c>
      <c r="BT50" s="45"/>
      <c r="BU50" s="45"/>
      <c r="BV50" s="45"/>
      <c r="BW50" s="57"/>
      <c r="BX50" s="50">
        <f t="shared" si="78"/>
        <v>0</v>
      </c>
      <c r="BY50" s="45"/>
      <c r="BZ50" s="45"/>
      <c r="CA50" s="45"/>
      <c r="CB50" s="57"/>
      <c r="CC50" s="50">
        <f t="shared" si="79"/>
        <v>0</v>
      </c>
      <c r="CD50" s="45"/>
      <c r="CE50" s="45"/>
      <c r="CF50" s="45"/>
      <c r="CG50" s="57"/>
      <c r="CH50" s="50">
        <f t="shared" si="80"/>
        <v>0</v>
      </c>
      <c r="CI50" s="45"/>
      <c r="CJ50" s="253"/>
      <c r="CK50" s="45"/>
      <c r="CL50" s="57">
        <f t="shared" si="82"/>
        <v>0</v>
      </c>
      <c r="CM50" s="50"/>
      <c r="CN50" s="45"/>
      <c r="CO50" s="253"/>
      <c r="CP50" s="45"/>
      <c r="CQ50" s="57">
        <f t="shared" si="83"/>
        <v>0</v>
      </c>
      <c r="CR50" s="50"/>
      <c r="CS50" s="45"/>
      <c r="CT50" s="45"/>
      <c r="CU50" s="45"/>
      <c r="CV50" s="57"/>
      <c r="CW50" s="50">
        <f t="shared" si="81"/>
        <v>0</v>
      </c>
    </row>
    <row r="51" spans="2:101">
      <c r="B51" s="24"/>
      <c r="C51" t="s">
        <v>115</v>
      </c>
      <c r="D51" s="32"/>
      <c r="E51" s="32"/>
      <c r="F51" s="56"/>
      <c r="G51" s="56"/>
      <c r="H51" s="45"/>
      <c r="I51" s="45"/>
      <c r="J51" s="57"/>
      <c r="K51" s="56"/>
      <c r="L51" s="56"/>
      <c r="M51" s="45"/>
      <c r="N51" s="45"/>
      <c r="O51" s="57"/>
      <c r="P51" s="50"/>
      <c r="Q51" s="56"/>
      <c r="R51" s="45">
        <v>32902</v>
      </c>
      <c r="S51" s="45"/>
      <c r="T51" s="57">
        <f t="shared" si="67"/>
        <v>1020</v>
      </c>
      <c r="U51" s="50">
        <v>33922</v>
      </c>
      <c r="V51" s="56"/>
      <c r="W51" s="45"/>
      <c r="X51" s="45"/>
      <c r="Y51" s="57"/>
      <c r="Z51" s="50"/>
      <c r="AA51" s="56"/>
      <c r="AB51" s="45"/>
      <c r="AC51" s="45">
        <v>57940</v>
      </c>
      <c r="AD51" s="57"/>
      <c r="AE51" s="50">
        <f t="shared" si="69"/>
        <v>57940</v>
      </c>
      <c r="AF51" s="56"/>
      <c r="AG51" s="45"/>
      <c r="AH51" s="45"/>
      <c r="AI51" s="147">
        <v>47738</v>
      </c>
      <c r="AJ51" s="50">
        <f t="shared" si="70"/>
        <v>47738</v>
      </c>
      <c r="AK51" s="56"/>
      <c r="AL51" s="76"/>
      <c r="AM51" s="76"/>
      <c r="AN51" s="114"/>
      <c r="AO51" s="50">
        <f t="shared" si="71"/>
        <v>0</v>
      </c>
      <c r="AP51" s="56"/>
      <c r="AQ51" s="45"/>
      <c r="AR51" s="45"/>
      <c r="AS51" s="114"/>
      <c r="AT51" s="50">
        <f t="shared" si="72"/>
        <v>0</v>
      </c>
      <c r="AU51" s="150"/>
      <c r="AV51" s="253"/>
      <c r="AW51" s="253"/>
      <c r="AX51" s="253"/>
      <c r="AY51" s="50">
        <f t="shared" si="73"/>
        <v>0</v>
      </c>
      <c r="AZ51" s="361"/>
      <c r="BA51" s="253"/>
      <c r="BB51" s="253"/>
      <c r="BC51" s="57"/>
      <c r="BD51" s="50">
        <f t="shared" si="74"/>
        <v>0</v>
      </c>
      <c r="BE51" s="361"/>
      <c r="BF51" s="45"/>
      <c r="BG51" s="45"/>
      <c r="BH51" s="57"/>
      <c r="BI51" s="50">
        <f t="shared" si="75"/>
        <v>0</v>
      </c>
      <c r="BJ51" s="56"/>
      <c r="BK51" s="45"/>
      <c r="BL51" s="45"/>
      <c r="BM51" s="57"/>
      <c r="BN51" s="50">
        <f t="shared" si="76"/>
        <v>0</v>
      </c>
      <c r="BO51" s="56"/>
      <c r="BP51" s="45"/>
      <c r="BQ51" s="45"/>
      <c r="BR51" s="57"/>
      <c r="BS51" s="50">
        <f t="shared" si="77"/>
        <v>0</v>
      </c>
      <c r="BT51" s="56"/>
      <c r="BU51" s="45"/>
      <c r="BV51" s="45"/>
      <c r="BW51" s="57"/>
      <c r="BX51" s="50">
        <f t="shared" si="78"/>
        <v>0</v>
      </c>
      <c r="BY51" s="56"/>
      <c r="BZ51" s="45"/>
      <c r="CA51" s="45"/>
      <c r="CB51" s="57"/>
      <c r="CC51" s="50">
        <f t="shared" si="79"/>
        <v>0</v>
      </c>
      <c r="CD51" s="45"/>
      <c r="CE51" s="45"/>
      <c r="CF51" s="45"/>
      <c r="CG51" s="57"/>
      <c r="CH51" s="50">
        <f t="shared" si="80"/>
        <v>0</v>
      </c>
      <c r="CI51" s="45"/>
      <c r="CJ51" s="45"/>
      <c r="CK51" s="45"/>
      <c r="CL51" s="57">
        <f t="shared" si="82"/>
        <v>0</v>
      </c>
      <c r="CM51" s="50"/>
      <c r="CN51" s="45"/>
      <c r="CO51" s="45"/>
      <c r="CP51" s="45"/>
      <c r="CQ51" s="57">
        <f t="shared" si="83"/>
        <v>0</v>
      </c>
      <c r="CR51" s="50"/>
      <c r="CS51" s="45"/>
      <c r="CT51" s="45"/>
      <c r="CU51" s="45"/>
      <c r="CV51" s="57"/>
      <c r="CW51" s="50">
        <f t="shared" si="81"/>
        <v>0</v>
      </c>
    </row>
    <row r="52" spans="2:101">
      <c r="B52" s="24"/>
      <c r="C52" t="s">
        <v>163</v>
      </c>
      <c r="D52" s="32"/>
      <c r="E52" s="32"/>
      <c r="F52" s="56"/>
      <c r="G52" s="56"/>
      <c r="H52" s="45"/>
      <c r="I52" s="45"/>
      <c r="J52" s="57"/>
      <c r="K52" s="56"/>
      <c r="L52" s="56"/>
      <c r="M52" s="45"/>
      <c r="N52" s="45"/>
      <c r="O52" s="57"/>
      <c r="P52" s="50"/>
      <c r="Q52" s="56"/>
      <c r="R52" s="45"/>
      <c r="S52" s="45"/>
      <c r="T52" s="57"/>
      <c r="U52" s="50"/>
      <c r="V52" s="56"/>
      <c r="W52" s="45"/>
      <c r="X52" s="45"/>
      <c r="Y52" s="57"/>
      <c r="Z52" s="50"/>
      <c r="AA52" s="56"/>
      <c r="AB52" s="45"/>
      <c r="AC52" s="45"/>
      <c r="AD52" s="57"/>
      <c r="AE52" s="50"/>
      <c r="AF52" s="56"/>
      <c r="AG52" s="45"/>
      <c r="AH52" s="45"/>
      <c r="AI52" s="147"/>
      <c r="AJ52" s="50"/>
      <c r="AK52" s="56"/>
      <c r="AL52" s="76"/>
      <c r="AM52" s="76">
        <v>60</v>
      </c>
      <c r="AN52" s="114">
        <v>201</v>
      </c>
      <c r="AO52" s="50">
        <f t="shared" si="71"/>
        <v>261</v>
      </c>
      <c r="AP52" s="56">
        <v>300</v>
      </c>
      <c r="AQ52" s="45">
        <f>400-AP52</f>
        <v>100</v>
      </c>
      <c r="AR52" s="45">
        <f>1179-AQ52-AP52</f>
        <v>779</v>
      </c>
      <c r="AS52" s="114">
        <f>2336-AR52-AQ52-AP52</f>
        <v>1157</v>
      </c>
      <c r="AT52" s="50">
        <f t="shared" si="72"/>
        <v>2336</v>
      </c>
      <c r="AU52" s="150">
        <v>1021</v>
      </c>
      <c r="AV52" s="253">
        <f>1421-AU52</f>
        <v>400</v>
      </c>
      <c r="AW52" s="253">
        <f>2710-AV52-AU52</f>
        <v>1289</v>
      </c>
      <c r="AX52" s="253">
        <f>4070-AW52-AV52-AU52</f>
        <v>1360</v>
      </c>
      <c r="AY52" s="50">
        <f t="shared" si="73"/>
        <v>4070</v>
      </c>
      <c r="AZ52" s="361"/>
      <c r="BA52" s="253"/>
      <c r="BB52" s="253"/>
      <c r="BC52" s="57"/>
      <c r="BD52" s="50">
        <f t="shared" si="74"/>
        <v>0</v>
      </c>
      <c r="BE52" s="361"/>
      <c r="BF52" s="45"/>
      <c r="BG52" s="45"/>
      <c r="BH52" s="57"/>
      <c r="BI52" s="50">
        <f t="shared" si="75"/>
        <v>0</v>
      </c>
      <c r="BJ52" s="56"/>
      <c r="BK52" s="45"/>
      <c r="BL52" s="45"/>
      <c r="BM52" s="57"/>
      <c r="BN52" s="50">
        <f t="shared" ref="BN52:BN56" si="84">SUM(BJ52:BM52)</f>
        <v>0</v>
      </c>
      <c r="BO52" s="56"/>
      <c r="BP52" s="45"/>
      <c r="BQ52" s="45"/>
      <c r="BR52" s="57"/>
      <c r="BS52" s="50">
        <f t="shared" ref="BS52:BS56" si="85">SUM(BO52:BR52)</f>
        <v>0</v>
      </c>
      <c r="BT52" s="56"/>
      <c r="BU52" s="45"/>
      <c r="BV52" s="45"/>
      <c r="BW52" s="57"/>
      <c r="BX52" s="50">
        <f t="shared" ref="BX52:BX54" si="86">SUM(BT52:BW52)</f>
        <v>0</v>
      </c>
      <c r="BY52" s="56"/>
      <c r="BZ52" s="45"/>
      <c r="CA52" s="45"/>
      <c r="CB52" s="57"/>
      <c r="CC52" s="50">
        <f t="shared" ref="CC52:CC54" si="87">SUM(BY52:CB52)</f>
        <v>0</v>
      </c>
      <c r="CD52" s="45"/>
      <c r="CE52" s="45"/>
      <c r="CF52" s="45"/>
      <c r="CG52" s="57"/>
      <c r="CH52" s="50">
        <f t="shared" ref="CH52:CH54" si="88">SUM(CD52:CG52)</f>
        <v>0</v>
      </c>
      <c r="CI52" s="45"/>
      <c r="CJ52" s="45"/>
      <c r="CK52" s="45"/>
      <c r="CL52" s="57">
        <f t="shared" si="82"/>
        <v>0</v>
      </c>
      <c r="CM52" s="50"/>
      <c r="CN52" s="45"/>
      <c r="CO52" s="45"/>
      <c r="CP52" s="45"/>
      <c r="CQ52" s="57">
        <f t="shared" si="83"/>
        <v>0</v>
      </c>
      <c r="CR52" s="50"/>
      <c r="CS52" s="45"/>
      <c r="CT52" s="45"/>
      <c r="CU52" s="45"/>
      <c r="CV52" s="57"/>
      <c r="CW52" s="50">
        <f t="shared" ref="CW52:CW54" si="89">SUM(CS52:CV52)</f>
        <v>0</v>
      </c>
    </row>
    <row r="53" spans="2:101">
      <c r="B53" s="24"/>
      <c r="C53" t="s">
        <v>91</v>
      </c>
      <c r="D53" s="32"/>
      <c r="E53" s="32"/>
      <c r="F53" s="56">
        <v>6152</v>
      </c>
      <c r="G53" s="56"/>
      <c r="H53" s="45"/>
      <c r="I53" s="45"/>
      <c r="J53" s="57"/>
      <c r="K53" s="56"/>
      <c r="L53" s="56"/>
      <c r="M53" s="45"/>
      <c r="N53" s="45"/>
      <c r="O53" s="57"/>
      <c r="P53" s="50"/>
      <c r="Q53" s="56"/>
      <c r="R53" s="45"/>
      <c r="S53" s="45"/>
      <c r="T53" s="57">
        <f t="shared" si="67"/>
        <v>0</v>
      </c>
      <c r="U53" s="50">
        <v>0</v>
      </c>
      <c r="V53" s="56"/>
      <c r="W53" s="45"/>
      <c r="X53" s="45"/>
      <c r="Y53" s="57"/>
      <c r="Z53" s="50">
        <f t="shared" si="68"/>
        <v>0</v>
      </c>
      <c r="AA53" s="56"/>
      <c r="AB53" s="45"/>
      <c r="AC53" s="45"/>
      <c r="AD53" s="57"/>
      <c r="AE53" s="50">
        <f>SUM(AA53:AD53)</f>
        <v>0</v>
      </c>
      <c r="AF53" s="56"/>
      <c r="AG53" s="45"/>
      <c r="AH53" s="45"/>
      <c r="AI53" s="147"/>
      <c r="AJ53" s="50">
        <f>SUM(AF53:AI53)</f>
        <v>0</v>
      </c>
      <c r="AK53" s="56"/>
      <c r="AL53" s="76"/>
      <c r="AM53" s="76"/>
      <c r="AN53" s="114"/>
      <c r="AO53" s="50">
        <f>SUM(AK53:AN53)</f>
        <v>0</v>
      </c>
      <c r="AP53" s="56"/>
      <c r="AQ53" s="45"/>
      <c r="AR53" s="45"/>
      <c r="AS53" s="114"/>
      <c r="AT53" s="50">
        <f>SUM(AP53:AS53)</f>
        <v>0</v>
      </c>
      <c r="AU53" s="150"/>
      <c r="AV53" s="253"/>
      <c r="AW53" s="253"/>
      <c r="AX53" s="253"/>
      <c r="AY53" s="50">
        <f t="shared" si="73"/>
        <v>0</v>
      </c>
      <c r="AZ53" s="361"/>
      <c r="BA53" s="253"/>
      <c r="BB53" s="253"/>
      <c r="BC53" s="57"/>
      <c r="BD53" s="50">
        <f t="shared" si="74"/>
        <v>0</v>
      </c>
      <c r="BE53" s="361"/>
      <c r="BF53" s="45"/>
      <c r="BG53" s="45"/>
      <c r="BH53" s="57"/>
      <c r="BI53" s="50">
        <f t="shared" si="75"/>
        <v>0</v>
      </c>
      <c r="BJ53" s="56"/>
      <c r="BK53" s="45"/>
      <c r="BL53" s="45"/>
      <c r="BM53" s="57"/>
      <c r="BN53" s="50">
        <f t="shared" si="84"/>
        <v>0</v>
      </c>
      <c r="BO53" s="56"/>
      <c r="BP53" s="45"/>
      <c r="BQ53" s="45"/>
      <c r="BR53" s="57"/>
      <c r="BS53" s="50">
        <f t="shared" si="85"/>
        <v>0</v>
      </c>
      <c r="BT53" s="56"/>
      <c r="BU53" s="45"/>
      <c r="BV53" s="45"/>
      <c r="BW53" s="57"/>
      <c r="BX53" s="50">
        <f t="shared" si="86"/>
        <v>0</v>
      </c>
      <c r="BY53" s="56"/>
      <c r="BZ53" s="45"/>
      <c r="CA53" s="45"/>
      <c r="CB53" s="57"/>
      <c r="CC53" s="50">
        <f t="shared" si="87"/>
        <v>0</v>
      </c>
      <c r="CD53" s="45"/>
      <c r="CE53" s="45"/>
      <c r="CF53" s="45"/>
      <c r="CG53" s="57"/>
      <c r="CH53" s="50">
        <f t="shared" si="88"/>
        <v>0</v>
      </c>
      <c r="CI53" s="45"/>
      <c r="CJ53" s="45"/>
      <c r="CK53" s="45"/>
      <c r="CL53" s="57">
        <f t="shared" si="82"/>
        <v>0</v>
      </c>
      <c r="CM53" s="50"/>
      <c r="CN53" s="45"/>
      <c r="CO53" s="45"/>
      <c r="CP53" s="45"/>
      <c r="CQ53" s="57">
        <f t="shared" si="83"/>
        <v>0</v>
      </c>
      <c r="CR53" s="50"/>
      <c r="CS53" s="45"/>
      <c r="CT53" s="45"/>
      <c r="CU53" s="45"/>
      <c r="CV53" s="57"/>
      <c r="CW53" s="50">
        <f t="shared" si="89"/>
        <v>0</v>
      </c>
    </row>
    <row r="54" spans="2:101">
      <c r="B54" s="24"/>
      <c r="C54" t="s">
        <v>92</v>
      </c>
      <c r="D54" s="32"/>
      <c r="E54" s="32"/>
      <c r="F54" s="56"/>
      <c r="G54" s="56"/>
      <c r="H54" s="45"/>
      <c r="I54" s="45"/>
      <c r="J54" s="57"/>
      <c r="K54" s="56"/>
      <c r="L54" s="56"/>
      <c r="M54" s="45"/>
      <c r="N54" s="45"/>
      <c r="O54" s="57"/>
      <c r="P54" s="50">
        <v>-201</v>
      </c>
      <c r="Q54" s="56"/>
      <c r="R54" s="45"/>
      <c r="S54" s="45">
        <v>8</v>
      </c>
      <c r="T54" s="57">
        <f t="shared" si="67"/>
        <v>-8</v>
      </c>
      <c r="U54" s="50"/>
      <c r="V54" s="56"/>
      <c r="W54" s="45"/>
      <c r="X54" s="45"/>
      <c r="Y54" s="57">
        <v>-108</v>
      </c>
      <c r="Z54" s="50">
        <f t="shared" si="68"/>
        <v>-108</v>
      </c>
      <c r="AA54" s="56"/>
      <c r="AB54" s="45"/>
      <c r="AC54" s="45">
        <v>-120</v>
      </c>
      <c r="AD54" s="57">
        <f>72-AC54</f>
        <v>192</v>
      </c>
      <c r="AE54" s="50">
        <f>SUM(AA54:AD54)</f>
        <v>72</v>
      </c>
      <c r="AF54" s="56"/>
      <c r="AG54" s="45">
        <v>551</v>
      </c>
      <c r="AH54" s="45"/>
      <c r="AI54" s="147">
        <f>156+1242-AG54</f>
        <v>847</v>
      </c>
      <c r="AJ54" s="50">
        <f>SUM(AF54:AI54)</f>
        <v>1398</v>
      </c>
      <c r="AK54" s="56"/>
      <c r="AL54" s="76">
        <v>672</v>
      </c>
      <c r="AM54" s="76">
        <f>672-AL54-AK54</f>
        <v>0</v>
      </c>
      <c r="AN54" s="114"/>
      <c r="AO54" s="50">
        <f>SUM(AK54:AN54)</f>
        <v>672</v>
      </c>
      <c r="AP54" s="56"/>
      <c r="AQ54" s="45"/>
      <c r="AR54" s="45"/>
      <c r="AS54" s="114"/>
      <c r="AT54" s="50">
        <f>SUM(AP54:AS54)</f>
        <v>0</v>
      </c>
      <c r="AU54" s="150"/>
      <c r="AV54" s="253"/>
      <c r="AW54" s="253"/>
      <c r="AX54" s="253"/>
      <c r="AY54" s="50">
        <f t="shared" si="73"/>
        <v>0</v>
      </c>
      <c r="AZ54" s="361"/>
      <c r="BA54" s="253"/>
      <c r="BB54" s="253"/>
      <c r="BC54" s="57"/>
      <c r="BD54" s="50">
        <f t="shared" si="74"/>
        <v>0</v>
      </c>
      <c r="BE54" s="361"/>
      <c r="BF54" s="45"/>
      <c r="BG54" s="45"/>
      <c r="BH54" s="57"/>
      <c r="BI54" s="50">
        <f t="shared" si="75"/>
        <v>0</v>
      </c>
      <c r="BJ54" s="56"/>
      <c r="BK54" s="45"/>
      <c r="BL54" s="45"/>
      <c r="BM54" s="57"/>
      <c r="BN54" s="50">
        <f t="shared" si="84"/>
        <v>0</v>
      </c>
      <c r="BO54" s="56"/>
      <c r="BP54" s="45"/>
      <c r="BQ54" s="45"/>
      <c r="BR54" s="57"/>
      <c r="BS54" s="50">
        <f t="shared" si="85"/>
        <v>0</v>
      </c>
      <c r="BT54" s="56"/>
      <c r="BU54" s="45"/>
      <c r="BV54" s="45"/>
      <c r="BW54" s="57"/>
      <c r="BX54" s="50">
        <f t="shared" si="86"/>
        <v>0</v>
      </c>
      <c r="BY54" s="56"/>
      <c r="BZ54" s="45"/>
      <c r="CA54" s="45"/>
      <c r="CB54" s="57"/>
      <c r="CC54" s="50">
        <f t="shared" si="87"/>
        <v>0</v>
      </c>
      <c r="CD54" s="45"/>
      <c r="CE54" s="45"/>
      <c r="CF54" s="45"/>
      <c r="CG54" s="57"/>
      <c r="CH54" s="50">
        <f t="shared" si="88"/>
        <v>0</v>
      </c>
      <c r="CI54" s="45"/>
      <c r="CJ54" s="45"/>
      <c r="CK54" s="45"/>
      <c r="CL54" s="57">
        <f t="shared" si="82"/>
        <v>0</v>
      </c>
      <c r="CM54" s="50"/>
      <c r="CN54" s="45"/>
      <c r="CO54" s="45"/>
      <c r="CP54" s="45"/>
      <c r="CQ54" s="57">
        <f t="shared" si="83"/>
        <v>0</v>
      </c>
      <c r="CR54" s="50"/>
      <c r="CS54" s="45"/>
      <c r="CT54" s="45"/>
      <c r="CU54" s="45"/>
      <c r="CV54" s="57"/>
      <c r="CW54" s="50">
        <f t="shared" si="89"/>
        <v>0</v>
      </c>
    </row>
    <row r="55" spans="2:101">
      <c r="B55" s="24"/>
      <c r="C55" t="s">
        <v>368</v>
      </c>
      <c r="D55" s="32"/>
      <c r="E55" s="32"/>
      <c r="F55" s="56"/>
      <c r="G55" s="56"/>
      <c r="H55" s="45"/>
      <c r="I55" s="45"/>
      <c r="J55" s="57"/>
      <c r="K55" s="56"/>
      <c r="L55" s="56"/>
      <c r="M55" s="45"/>
      <c r="N55" s="45"/>
      <c r="O55" s="57"/>
      <c r="P55" s="50"/>
      <c r="Q55" s="56"/>
      <c r="R55" s="45"/>
      <c r="S55" s="45"/>
      <c r="T55" s="57"/>
      <c r="U55" s="50"/>
      <c r="V55" s="56"/>
      <c r="W55" s="45"/>
      <c r="X55" s="45"/>
      <c r="Y55" s="57"/>
      <c r="Z55" s="50"/>
      <c r="AA55" s="45"/>
      <c r="AB55" s="45"/>
      <c r="AC55" s="45"/>
      <c r="AD55" s="57"/>
      <c r="AE55" s="50"/>
      <c r="AF55" s="45"/>
      <c r="AG55" s="45"/>
      <c r="AH55" s="45"/>
      <c r="AI55" s="147"/>
      <c r="AJ55" s="50"/>
      <c r="AK55" s="45"/>
      <c r="AL55" s="76"/>
      <c r="AM55" s="76"/>
      <c r="AN55" s="114"/>
      <c r="AO55" s="50"/>
      <c r="AP55" s="45"/>
      <c r="AQ55" s="45"/>
      <c r="AR55" s="45"/>
      <c r="AS55" s="114"/>
      <c r="AT55" s="50"/>
      <c r="AU55" s="76"/>
      <c r="AV55" s="253"/>
      <c r="AW55" s="253"/>
      <c r="AX55" s="253"/>
      <c r="AY55" s="50"/>
      <c r="AZ55" s="253"/>
      <c r="BA55" s="253"/>
      <c r="BB55" s="253"/>
      <c r="BC55" s="57"/>
      <c r="BD55" s="50"/>
      <c r="BE55" s="253"/>
      <c r="BF55" s="45"/>
      <c r="BG55" s="45"/>
      <c r="BH55" s="57"/>
      <c r="BI55" s="50"/>
      <c r="BJ55" s="45"/>
      <c r="BK55" s="45"/>
      <c r="BL55" s="45"/>
      <c r="BM55" s="57"/>
      <c r="BN55" s="50"/>
      <c r="BO55" s="45">
        <v>-688</v>
      </c>
      <c r="BP55" s="45">
        <f>-688-BO55</f>
        <v>0</v>
      </c>
      <c r="BQ55" s="45">
        <f>-688-BP55-BO55</f>
        <v>0</v>
      </c>
      <c r="BR55" s="57"/>
      <c r="BS55" s="50">
        <f t="shared" si="85"/>
        <v>-688</v>
      </c>
      <c r="BT55" s="45">
        <v>-164</v>
      </c>
      <c r="BU55" s="45">
        <v>-1878</v>
      </c>
      <c r="BV55" s="45"/>
      <c r="BW55" s="57">
        <f>-2042-BU55-BT55</f>
        <v>0</v>
      </c>
      <c r="BX55" s="50">
        <f t="shared" ref="BX55:BX56" si="90">SUM(BT55:BW55)</f>
        <v>-2042</v>
      </c>
      <c r="BY55" s="45"/>
      <c r="BZ55" s="45"/>
      <c r="CA55" s="45"/>
      <c r="CB55" s="57"/>
      <c r="CC55" s="50"/>
      <c r="CD55" s="45"/>
      <c r="CE55" s="45"/>
      <c r="CF55" s="45"/>
      <c r="CG55" s="57"/>
      <c r="CH55" s="50"/>
      <c r="CI55" s="45"/>
      <c r="CJ55" s="45"/>
      <c r="CK55" s="45"/>
      <c r="CL55" s="57">
        <f t="shared" si="82"/>
        <v>0</v>
      </c>
      <c r="CM55" s="50"/>
      <c r="CN55" s="45"/>
      <c r="CO55" s="45"/>
      <c r="CP55" s="45"/>
      <c r="CQ55" s="57">
        <f t="shared" si="83"/>
        <v>0</v>
      </c>
      <c r="CR55" s="50"/>
      <c r="CS55" s="45"/>
      <c r="CT55" s="45"/>
      <c r="CU55" s="45"/>
      <c r="CV55" s="57"/>
      <c r="CW55" s="50"/>
    </row>
    <row r="56" spans="2:101">
      <c r="B56" s="24"/>
      <c r="C56" t="s">
        <v>170</v>
      </c>
      <c r="D56" s="32"/>
      <c r="E56" s="32"/>
      <c r="F56" s="56"/>
      <c r="G56" s="56"/>
      <c r="H56" s="45"/>
      <c r="I56" s="45"/>
      <c r="J56" s="57"/>
      <c r="K56" s="56"/>
      <c r="L56" s="56"/>
      <c r="M56" s="45"/>
      <c r="N56" s="45"/>
      <c r="O56" s="57"/>
      <c r="P56" s="50"/>
      <c r="Q56" s="56"/>
      <c r="R56" s="45"/>
      <c r="S56" s="45"/>
      <c r="T56" s="57"/>
      <c r="U56" s="50"/>
      <c r="V56" s="56"/>
      <c r="W56" s="45"/>
      <c r="X56" s="45"/>
      <c r="Y56" s="57"/>
      <c r="Z56" s="50"/>
      <c r="AA56" s="45"/>
      <c r="AB56" s="45"/>
      <c r="AC56" s="45"/>
      <c r="AD56" s="57"/>
      <c r="AE56" s="50"/>
      <c r="AF56" s="45"/>
      <c r="AG56" s="45"/>
      <c r="AH56" s="45"/>
      <c r="AI56" s="147"/>
      <c r="AJ56" s="50"/>
      <c r="AK56" s="45"/>
      <c r="AL56" s="76"/>
      <c r="AM56" s="76"/>
      <c r="AN56" s="114"/>
      <c r="AO56" s="50"/>
      <c r="AP56" s="45"/>
      <c r="AQ56" s="45">
        <v>741</v>
      </c>
      <c r="AR56" s="45"/>
      <c r="AS56" s="114">
        <f>1479-AR56-AQ56-AP56</f>
        <v>738</v>
      </c>
      <c r="AT56" s="50">
        <f>SUM(AP56:AS56)</f>
        <v>1479</v>
      </c>
      <c r="AU56" s="76"/>
      <c r="AV56" s="253">
        <v>786</v>
      </c>
      <c r="AW56" s="253">
        <f>786-AV56</f>
        <v>0</v>
      </c>
      <c r="AX56" s="253">
        <f>1732-AV56</f>
        <v>946</v>
      </c>
      <c r="AY56" s="50">
        <f t="shared" si="73"/>
        <v>1732</v>
      </c>
      <c r="AZ56" s="253"/>
      <c r="BA56" s="253">
        <f>1011-AZ56</f>
        <v>1011</v>
      </c>
      <c r="BB56" s="253">
        <f>1011-BA56-AZ56</f>
        <v>0</v>
      </c>
      <c r="BC56" s="57">
        <f>1933-BB56-BA56-AZ56</f>
        <v>922</v>
      </c>
      <c r="BD56" s="50">
        <f t="shared" si="74"/>
        <v>1933</v>
      </c>
      <c r="BE56" s="253"/>
      <c r="BF56" s="45">
        <v>836</v>
      </c>
      <c r="BG56" s="45"/>
      <c r="BH56" s="57">
        <f>1745-BG56-BF56-BE56</f>
        <v>909</v>
      </c>
      <c r="BI56" s="50">
        <f t="shared" si="75"/>
        <v>1745</v>
      </c>
      <c r="BJ56" s="45"/>
      <c r="BK56" s="45">
        <f>1079-BJ56</f>
        <v>1079</v>
      </c>
      <c r="BL56" s="45">
        <f>1155-BK56-BJ56</f>
        <v>76</v>
      </c>
      <c r="BM56" s="57"/>
      <c r="BN56" s="50">
        <f t="shared" si="84"/>
        <v>1155</v>
      </c>
      <c r="BO56" s="45">
        <v>87</v>
      </c>
      <c r="BP56" s="45">
        <f>1550-BO56</f>
        <v>1463</v>
      </c>
      <c r="BQ56" s="45">
        <f>1645-BP56-BO56</f>
        <v>95</v>
      </c>
      <c r="BR56" s="57">
        <f>3374-BQ56-BP56-BO56</f>
        <v>1729</v>
      </c>
      <c r="BS56" s="50">
        <f t="shared" si="85"/>
        <v>3374</v>
      </c>
      <c r="BT56" s="45">
        <v>105</v>
      </c>
      <c r="BU56" s="45">
        <v>2081</v>
      </c>
      <c r="BV56" s="45">
        <v>130</v>
      </c>
      <c r="BW56" s="57">
        <f>4737-BV56-BU56-BT56</f>
        <v>2421</v>
      </c>
      <c r="BX56" s="50">
        <f t="shared" si="90"/>
        <v>4737</v>
      </c>
      <c r="BY56" s="45">
        <v>147</v>
      </c>
      <c r="BZ56" s="45">
        <v>3203</v>
      </c>
      <c r="CA56" s="45">
        <f>3588-BZ56-BY56</f>
        <v>238</v>
      </c>
      <c r="CB56" s="57">
        <v>3088</v>
      </c>
      <c r="CC56" s="50">
        <f t="shared" ref="CC56" si="91">SUM(BY56:CB56)</f>
        <v>6676</v>
      </c>
      <c r="CD56" s="45">
        <v>241</v>
      </c>
      <c r="CE56" s="45">
        <v>3895</v>
      </c>
      <c r="CF56" s="45">
        <v>345</v>
      </c>
      <c r="CG56" s="57">
        <f>8114-CF56-CE56-CD56</f>
        <v>3633</v>
      </c>
      <c r="CH56" s="50">
        <f t="shared" ref="CH56:CH57" si="92">SUM(CD56:CG56)</f>
        <v>8114</v>
      </c>
      <c r="CI56" s="45">
        <v>391</v>
      </c>
      <c r="CJ56" s="45">
        <f>5219-CI56</f>
        <v>4828</v>
      </c>
      <c r="CK56" s="45">
        <f>5672-CJ56-CI56</f>
        <v>453</v>
      </c>
      <c r="CL56" s="57">
        <f t="shared" si="82"/>
        <v>4155</v>
      </c>
      <c r="CM56" s="50">
        <v>9827</v>
      </c>
      <c r="CN56" s="45">
        <v>411</v>
      </c>
      <c r="CO56" s="45">
        <v>5015</v>
      </c>
      <c r="CP56" s="45">
        <f>5924-CO56-CN56</f>
        <v>498</v>
      </c>
      <c r="CQ56" s="57">
        <f t="shared" si="83"/>
        <v>3660</v>
      </c>
      <c r="CR56" s="50">
        <v>9584</v>
      </c>
      <c r="CS56" s="45"/>
      <c r="CT56" s="45"/>
      <c r="CU56" s="45"/>
      <c r="CV56" s="57"/>
      <c r="CW56" s="50">
        <f t="shared" ref="CW56" si="93">SUM(CS56:CV56)</f>
        <v>0</v>
      </c>
    </row>
    <row r="57" spans="2:101">
      <c r="B57" s="24"/>
      <c r="C57" t="s">
        <v>453</v>
      </c>
      <c r="D57" s="32"/>
      <c r="E57" s="32"/>
      <c r="F57" s="56"/>
      <c r="G57" s="56"/>
      <c r="H57" s="45"/>
      <c r="I57" s="45"/>
      <c r="J57" s="57"/>
      <c r="K57" s="56"/>
      <c r="L57" s="56"/>
      <c r="M57" s="45"/>
      <c r="N57" s="45"/>
      <c r="O57" s="57"/>
      <c r="P57" s="50"/>
      <c r="Q57" s="56"/>
      <c r="R57" s="45"/>
      <c r="S57" s="45"/>
      <c r="T57" s="57"/>
      <c r="U57" s="50"/>
      <c r="V57" s="56"/>
      <c r="W57" s="45"/>
      <c r="X57" s="45"/>
      <c r="Y57" s="57"/>
      <c r="Z57" s="50"/>
      <c r="AA57" s="45"/>
      <c r="AB57" s="45"/>
      <c r="AC57" s="45"/>
      <c r="AD57" s="57"/>
      <c r="AE57" s="50"/>
      <c r="AF57" s="45"/>
      <c r="AG57" s="45"/>
      <c r="AH57" s="45"/>
      <c r="AI57" s="147"/>
      <c r="AJ57" s="50"/>
      <c r="AK57" s="45"/>
      <c r="AL57" s="76"/>
      <c r="AM57" s="76"/>
      <c r="AN57" s="114"/>
      <c r="AO57" s="50"/>
      <c r="AP57" s="45"/>
      <c r="AQ57" s="45"/>
      <c r="AR57" s="45"/>
      <c r="AS57" s="76"/>
      <c r="AT57" s="50"/>
      <c r="AU57" s="76"/>
      <c r="AV57" s="253"/>
      <c r="AW57" s="253"/>
      <c r="AX57" s="253"/>
      <c r="AY57" s="50"/>
      <c r="AZ57" s="253"/>
      <c r="BA57" s="253"/>
      <c r="BB57" s="253"/>
      <c r="BC57" s="45"/>
      <c r="BD57" s="50"/>
      <c r="BE57" s="253"/>
      <c r="BF57" s="45"/>
      <c r="BG57" s="45"/>
      <c r="BH57" s="45"/>
      <c r="BI57" s="50"/>
      <c r="BJ57" s="45"/>
      <c r="BK57" s="45"/>
      <c r="BL57" s="45"/>
      <c r="BM57" s="45"/>
      <c r="BN57" s="50"/>
      <c r="BO57" s="45"/>
      <c r="BP57" s="45"/>
      <c r="BQ57" s="45"/>
      <c r="BR57" s="45"/>
      <c r="BS57" s="50"/>
      <c r="BT57" s="45"/>
      <c r="BU57" s="45"/>
      <c r="BV57" s="45"/>
      <c r="BW57" s="45"/>
      <c r="BX57" s="50"/>
      <c r="BY57" s="45"/>
      <c r="BZ57" s="45"/>
      <c r="CA57" s="45"/>
      <c r="CB57" s="45"/>
      <c r="CC57" s="50"/>
      <c r="CD57" s="45"/>
      <c r="CE57" s="45"/>
      <c r="CF57" s="45"/>
      <c r="CG57" s="45">
        <v>-2000</v>
      </c>
      <c r="CH57" s="50">
        <f t="shared" si="92"/>
        <v>-2000</v>
      </c>
      <c r="CI57" s="45"/>
      <c r="CJ57" s="45"/>
      <c r="CK57" s="45"/>
      <c r="CL57" s="57">
        <f t="shared" si="82"/>
        <v>0</v>
      </c>
      <c r="CM57" s="50"/>
      <c r="CN57" s="45"/>
      <c r="CO57" s="45"/>
      <c r="CP57" s="45"/>
      <c r="CQ57" s="57">
        <f t="shared" si="83"/>
        <v>0</v>
      </c>
      <c r="CR57" s="50"/>
      <c r="CS57" s="45"/>
      <c r="CT57" s="45"/>
      <c r="CU57" s="45"/>
      <c r="CV57" s="45"/>
      <c r="CW57" s="50"/>
    </row>
    <row r="58" spans="2:101" s="1" customFormat="1" ht="13.15">
      <c r="B58" s="14" t="s">
        <v>576</v>
      </c>
      <c r="D58" s="52"/>
      <c r="E58" s="52"/>
      <c r="F58" s="78">
        <f>SUM(F43:F54)</f>
        <v>6101</v>
      </c>
      <c r="G58" s="78">
        <f t="shared" ref="G58:U58" si="94">SUM(G43:G54)</f>
        <v>0</v>
      </c>
      <c r="H58" s="44">
        <f t="shared" si="94"/>
        <v>0</v>
      </c>
      <c r="I58" s="44">
        <f t="shared" si="94"/>
        <v>0</v>
      </c>
      <c r="J58" s="79">
        <f t="shared" si="94"/>
        <v>0</v>
      </c>
      <c r="K58" s="78">
        <f t="shared" si="94"/>
        <v>-711</v>
      </c>
      <c r="L58" s="78">
        <f t="shared" si="94"/>
        <v>-528</v>
      </c>
      <c r="M58" s="44">
        <f t="shared" si="94"/>
        <v>0</v>
      </c>
      <c r="N58" s="44">
        <f t="shared" si="94"/>
        <v>0</v>
      </c>
      <c r="O58" s="79">
        <f t="shared" si="94"/>
        <v>0</v>
      </c>
      <c r="P58" s="49">
        <f t="shared" si="94"/>
        <v>-1942</v>
      </c>
      <c r="Q58" s="78">
        <f t="shared" si="94"/>
        <v>-59</v>
      </c>
      <c r="R58" s="44">
        <f t="shared" si="94"/>
        <v>30613</v>
      </c>
      <c r="S58" s="44">
        <f t="shared" si="94"/>
        <v>-214</v>
      </c>
      <c r="T58" s="79">
        <f t="shared" si="94"/>
        <v>1055</v>
      </c>
      <c r="U58" s="49">
        <f t="shared" si="94"/>
        <v>31395</v>
      </c>
      <c r="V58" s="78">
        <f t="shared" ref="V58:AE58" si="95">SUM(V43:V54)</f>
        <v>-98</v>
      </c>
      <c r="W58" s="44">
        <f t="shared" si="95"/>
        <v>141</v>
      </c>
      <c r="X58" s="44">
        <f t="shared" si="95"/>
        <v>65</v>
      </c>
      <c r="Y58" s="79">
        <f t="shared" si="95"/>
        <v>344</v>
      </c>
      <c r="Z58" s="49">
        <f t="shared" si="95"/>
        <v>452</v>
      </c>
      <c r="AA58" s="44">
        <f t="shared" si="95"/>
        <v>104</v>
      </c>
      <c r="AB58" s="44">
        <f t="shared" si="95"/>
        <v>731</v>
      </c>
      <c r="AC58" s="44">
        <f t="shared" si="95"/>
        <v>57736</v>
      </c>
      <c r="AD58" s="79">
        <v>0</v>
      </c>
      <c r="AE58" s="49">
        <f t="shared" si="95"/>
        <v>59481</v>
      </c>
      <c r="AF58" s="44">
        <f t="shared" ref="AF58:AP58" si="96">SUM(AF43:AF54)</f>
        <v>1049</v>
      </c>
      <c r="AG58" s="44">
        <f t="shared" si="96"/>
        <v>1099</v>
      </c>
      <c r="AH58" s="44">
        <f t="shared" si="96"/>
        <v>1498</v>
      </c>
      <c r="AI58" s="685">
        <f t="shared" si="96"/>
        <v>49056</v>
      </c>
      <c r="AJ58" s="49">
        <f t="shared" si="96"/>
        <v>52702</v>
      </c>
      <c r="AK58" s="44">
        <f t="shared" si="96"/>
        <v>612</v>
      </c>
      <c r="AL58" s="44">
        <f t="shared" si="96"/>
        <v>1042</v>
      </c>
      <c r="AM58" s="44">
        <f t="shared" si="96"/>
        <v>651</v>
      </c>
      <c r="AN58" s="79">
        <f t="shared" si="96"/>
        <v>1180</v>
      </c>
      <c r="AO58" s="49">
        <f t="shared" si="96"/>
        <v>3485</v>
      </c>
      <c r="AP58" s="44">
        <f t="shared" si="96"/>
        <v>2347</v>
      </c>
      <c r="AQ58" s="44">
        <f t="shared" ref="AQ58:BD58" si="97">SUM(AQ43:AQ56)</f>
        <v>1190</v>
      </c>
      <c r="AR58" s="44">
        <f t="shared" si="97"/>
        <v>1656</v>
      </c>
      <c r="AS58" s="44">
        <f t="shared" si="97"/>
        <v>3061</v>
      </c>
      <c r="AT58" s="49">
        <f t="shared" si="97"/>
        <v>8254</v>
      </c>
      <c r="AU58" s="44">
        <f t="shared" si="97"/>
        <v>2090</v>
      </c>
      <c r="AV58" s="44">
        <f t="shared" si="97"/>
        <v>1866</v>
      </c>
      <c r="AW58" s="44">
        <f t="shared" si="97"/>
        <v>3060</v>
      </c>
      <c r="AX58" s="44">
        <f t="shared" si="97"/>
        <v>3089</v>
      </c>
      <c r="AY58" s="49">
        <f t="shared" si="97"/>
        <v>10105</v>
      </c>
      <c r="AZ58" s="44">
        <f t="shared" si="97"/>
        <v>1037</v>
      </c>
      <c r="BA58" s="44">
        <f t="shared" si="97"/>
        <v>1218</v>
      </c>
      <c r="BB58" s="44">
        <f t="shared" si="97"/>
        <v>63</v>
      </c>
      <c r="BC58" s="44">
        <f t="shared" si="97"/>
        <v>-4790</v>
      </c>
      <c r="BD58" s="49">
        <f t="shared" si="97"/>
        <v>-2472</v>
      </c>
      <c r="BE58" s="44">
        <f t="shared" ref="BE58:BI58" si="98">SUM(BE43:BE56)</f>
        <v>-5156</v>
      </c>
      <c r="BF58" s="44">
        <f t="shared" si="98"/>
        <v>-757</v>
      </c>
      <c r="BG58" s="44">
        <f t="shared" si="98"/>
        <v>4682</v>
      </c>
      <c r="BH58" s="44">
        <f t="shared" si="98"/>
        <v>-2544</v>
      </c>
      <c r="BI58" s="49">
        <f t="shared" si="98"/>
        <v>-3775</v>
      </c>
      <c r="BJ58" s="44">
        <f t="shared" ref="BJ58:BN58" si="99">SUM(BJ43:BJ56)</f>
        <v>-494</v>
      </c>
      <c r="BK58" s="44">
        <f t="shared" si="99"/>
        <v>-4022</v>
      </c>
      <c r="BL58" s="44">
        <f t="shared" si="99"/>
        <v>-4022</v>
      </c>
      <c r="BM58" s="44">
        <f t="shared" si="99"/>
        <v>-3604</v>
      </c>
      <c r="BN58" s="49">
        <f t="shared" si="99"/>
        <v>-12142</v>
      </c>
      <c r="BO58" s="44">
        <f t="shared" ref="BO58:BS58" si="100">SUM(BO43:BO56)</f>
        <v>-8918</v>
      </c>
      <c r="BP58" s="44">
        <f t="shared" si="100"/>
        <v>256</v>
      </c>
      <c r="BQ58" s="44">
        <f t="shared" si="100"/>
        <v>4812</v>
      </c>
      <c r="BR58" s="44">
        <f t="shared" si="100"/>
        <v>6178</v>
      </c>
      <c r="BS58" s="49">
        <f t="shared" si="100"/>
        <v>2328</v>
      </c>
      <c r="BT58" s="44">
        <f t="shared" ref="BT58:BX58" si="101">SUM(BT43:BT56)</f>
        <v>2743</v>
      </c>
      <c r="BU58" s="44">
        <f t="shared" si="101"/>
        <v>-5019</v>
      </c>
      <c r="BV58" s="44">
        <f t="shared" si="101"/>
        <v>-1084</v>
      </c>
      <c r="BW58" s="44">
        <f t="shared" si="101"/>
        <v>-5001</v>
      </c>
      <c r="BX58" s="49">
        <f t="shared" si="101"/>
        <v>-8361</v>
      </c>
      <c r="BY58" s="44">
        <f t="shared" ref="BY58:CD58" si="102">SUM(BY43:BY56)</f>
        <v>-14575</v>
      </c>
      <c r="BZ58" s="44">
        <f t="shared" si="102"/>
        <v>-11608</v>
      </c>
      <c r="CA58" s="44">
        <f t="shared" si="102"/>
        <v>-10472</v>
      </c>
      <c r="CB58" s="44">
        <f t="shared" si="102"/>
        <v>5024</v>
      </c>
      <c r="CC58" s="49">
        <f t="shared" si="102"/>
        <v>-31631</v>
      </c>
      <c r="CD58" s="44">
        <f t="shared" si="102"/>
        <v>2425</v>
      </c>
      <c r="CE58" s="44">
        <f t="shared" ref="CE58:CF58" si="103">SUM(CE43:CE56)</f>
        <v>6530</v>
      </c>
      <c r="CF58" s="44">
        <f t="shared" si="103"/>
        <v>1050</v>
      </c>
      <c r="CG58" s="44">
        <f>SUM(CG43:CG57)</f>
        <v>5965</v>
      </c>
      <c r="CH58" s="49">
        <f>SUM(CH43:CH57)</f>
        <v>15970</v>
      </c>
      <c r="CI58" s="44">
        <f t="shared" ref="CI58:CM58" si="104">SUM(CI43:CI57)</f>
        <v>-14889</v>
      </c>
      <c r="CJ58" s="44">
        <f t="shared" si="104"/>
        <v>-15061</v>
      </c>
      <c r="CK58" s="44">
        <f t="shared" ref="CK58" si="105">SUM(CK43:CK56)</f>
        <v>2253</v>
      </c>
      <c r="CL58" s="44">
        <f>SUM(CL43:CL57)</f>
        <v>4671</v>
      </c>
      <c r="CM58" s="49">
        <f t="shared" si="104"/>
        <v>-23026</v>
      </c>
      <c r="CN58" s="44">
        <f t="shared" ref="CN58:CP58" si="106">SUM(CN43:CN57)</f>
        <v>-38954</v>
      </c>
      <c r="CO58" s="44">
        <f t="shared" si="106"/>
        <v>-12772</v>
      </c>
      <c r="CP58" s="44">
        <f t="shared" si="106"/>
        <v>-28425</v>
      </c>
      <c r="CQ58" s="44">
        <f>SUM(CQ43:CQ57)</f>
        <v>-20681</v>
      </c>
      <c r="CR58" s="49">
        <f t="shared" ref="CR58" si="107">SUM(CR43:CR57)</f>
        <v>-100832</v>
      </c>
      <c r="CS58" s="44">
        <f t="shared" ref="CS58:CW58" si="108">SUM(CS43:CS57)</f>
        <v>0</v>
      </c>
      <c r="CT58" s="44">
        <f t="shared" si="108"/>
        <v>0</v>
      </c>
      <c r="CU58" s="44">
        <f t="shared" si="108"/>
        <v>0</v>
      </c>
      <c r="CV58" s="44">
        <f t="shared" si="108"/>
        <v>0</v>
      </c>
      <c r="CW58" s="49">
        <f t="shared" si="108"/>
        <v>0</v>
      </c>
    </row>
    <row r="59" spans="2:101">
      <c r="B59" s="24"/>
      <c r="D59" s="32"/>
      <c r="E59" s="32"/>
      <c r="F59" s="56"/>
      <c r="G59" s="56"/>
      <c r="H59" s="45"/>
      <c r="I59" s="45"/>
      <c r="J59" s="57"/>
      <c r="K59" s="56"/>
      <c r="L59" s="56"/>
      <c r="M59" s="45"/>
      <c r="N59" s="45"/>
      <c r="O59" s="57"/>
      <c r="P59" s="50"/>
      <c r="Q59" s="56"/>
      <c r="R59" s="45"/>
      <c r="S59" s="45"/>
      <c r="T59" s="57"/>
      <c r="U59" s="50"/>
      <c r="V59" s="56"/>
      <c r="W59" s="45"/>
      <c r="X59" s="45"/>
      <c r="Y59" s="57"/>
      <c r="Z59" s="50"/>
      <c r="AA59" s="56"/>
      <c r="AB59" s="45"/>
      <c r="AC59" s="45"/>
      <c r="AD59" s="57"/>
      <c r="AE59" s="50"/>
      <c r="AF59" s="56"/>
      <c r="AG59" s="45"/>
      <c r="AH59" s="45"/>
      <c r="AI59" s="147"/>
      <c r="AJ59" s="50"/>
      <c r="AK59" s="56"/>
      <c r="AL59" s="76"/>
      <c r="AM59" s="76"/>
      <c r="AN59" s="57"/>
      <c r="AO59" s="50"/>
      <c r="AP59" s="56"/>
      <c r="AQ59" s="45"/>
      <c r="AR59" s="45"/>
      <c r="AS59" s="114"/>
      <c r="AT59" s="50"/>
      <c r="AU59" s="150"/>
      <c r="AV59" s="253"/>
      <c r="AW59" s="253"/>
      <c r="AX59" s="253"/>
      <c r="AY59" s="50"/>
      <c r="AZ59" s="361"/>
      <c r="BA59" s="253"/>
      <c r="BB59" s="253"/>
      <c r="BC59" s="57"/>
      <c r="BD59" s="50"/>
      <c r="BE59" s="361"/>
      <c r="BF59" s="45"/>
      <c r="BG59" s="45"/>
      <c r="BH59" s="57"/>
      <c r="BI59" s="50"/>
      <c r="BJ59" s="56"/>
      <c r="BK59" s="45"/>
      <c r="BL59" s="45"/>
      <c r="BM59" s="57"/>
      <c r="BN59" s="50"/>
      <c r="BO59" s="56"/>
      <c r="BP59" s="45"/>
      <c r="BQ59" s="45"/>
      <c r="BR59" s="57"/>
      <c r="BS59" s="50"/>
      <c r="BT59" s="56"/>
      <c r="BU59" s="45"/>
      <c r="BV59" s="45"/>
      <c r="BW59" s="57"/>
      <c r="BX59" s="50"/>
      <c r="BY59" s="56"/>
      <c r="BZ59" s="45"/>
      <c r="CA59" s="45"/>
      <c r="CB59" s="57"/>
      <c r="CC59" s="50"/>
      <c r="CD59" s="45"/>
      <c r="CE59" s="45"/>
      <c r="CF59" s="45"/>
      <c r="CG59" s="57"/>
      <c r="CH59" s="50"/>
      <c r="CI59" s="45"/>
      <c r="CJ59" s="45"/>
      <c r="CK59" s="45"/>
      <c r="CL59" s="57"/>
      <c r="CM59" s="50"/>
      <c r="CN59" s="45"/>
      <c r="CO59" s="45"/>
      <c r="CP59" s="45"/>
      <c r="CQ59" s="57"/>
      <c r="CR59" s="50"/>
      <c r="CS59" s="45"/>
      <c r="CT59" s="45"/>
      <c r="CU59" s="45"/>
      <c r="CV59" s="57"/>
      <c r="CW59" s="50"/>
    </row>
    <row r="60" spans="2:101">
      <c r="B60" s="7" t="s">
        <v>165</v>
      </c>
      <c r="D60" s="32"/>
      <c r="E60" s="32"/>
      <c r="F60" s="56"/>
      <c r="G60" s="56"/>
      <c r="H60" s="45"/>
      <c r="I60" s="45"/>
      <c r="J60" s="57"/>
      <c r="K60" s="56"/>
      <c r="L60" s="56"/>
      <c r="M60" s="45"/>
      <c r="N60" s="45"/>
      <c r="O60" s="57"/>
      <c r="P60" s="50"/>
      <c r="Q60" s="56"/>
      <c r="R60" s="45"/>
      <c r="S60" s="45"/>
      <c r="T60" s="57"/>
      <c r="U60" s="50"/>
      <c r="V60" s="56"/>
      <c r="W60" s="45"/>
      <c r="X60" s="45"/>
      <c r="Y60" s="57"/>
      <c r="Z60" s="50"/>
      <c r="AA60" s="45"/>
      <c r="AB60" s="45"/>
      <c r="AC60" s="45"/>
      <c r="AD60" s="57"/>
      <c r="AE60" s="50"/>
      <c r="AF60" s="45"/>
      <c r="AG60" s="45"/>
      <c r="AH60" s="45"/>
      <c r="AI60" s="147"/>
      <c r="AJ60" s="50"/>
      <c r="AK60" s="45"/>
      <c r="AL60" s="76"/>
      <c r="AM60" s="76"/>
      <c r="AN60" s="57">
        <v>-595</v>
      </c>
      <c r="AO60" s="50">
        <f>SUM(AK60:AN60)</f>
        <v>-595</v>
      </c>
      <c r="AP60" s="45">
        <v>-346</v>
      </c>
      <c r="AQ60" s="45">
        <f>-307-AP60</f>
        <v>39</v>
      </c>
      <c r="AR60" s="45">
        <f>-966-AQ60-AP60</f>
        <v>-659</v>
      </c>
      <c r="AS60" s="114">
        <f>-656-AR60-AQ60-AP60</f>
        <v>310</v>
      </c>
      <c r="AT60" s="50">
        <f>SUM(AP60:AS60)</f>
        <v>-656</v>
      </c>
      <c r="AU60" s="76">
        <v>403</v>
      </c>
      <c r="AV60" s="253">
        <f>5-AU60</f>
        <v>-398</v>
      </c>
      <c r="AW60" s="253">
        <f>399-AV60-AU60</f>
        <v>394</v>
      </c>
      <c r="AX60" s="253">
        <f>-374-AW60-AV60-AU60</f>
        <v>-773</v>
      </c>
      <c r="AY60" s="50">
        <f>SUM(AU60:AX60)</f>
        <v>-374</v>
      </c>
      <c r="AZ60" s="253">
        <v>688</v>
      </c>
      <c r="BA60" s="253">
        <f>890-AZ60</f>
        <v>202</v>
      </c>
      <c r="BB60" s="253">
        <f>1349-BA60-AZ60</f>
        <v>459</v>
      </c>
      <c r="BC60" s="57">
        <f>1292-BB60-BA60-AZ60</f>
        <v>-57</v>
      </c>
      <c r="BD60" s="50">
        <f>SUM(AZ60:BC60)</f>
        <v>1292</v>
      </c>
      <c r="BE60" s="253">
        <v>-81</v>
      </c>
      <c r="BF60" s="45">
        <f>-98-BE60</f>
        <v>-17</v>
      </c>
      <c r="BG60" s="45">
        <v>93</v>
      </c>
      <c r="BH60" s="57">
        <f>-43-BG60-BF60-BE60</f>
        <v>-38</v>
      </c>
      <c r="BI60" s="50">
        <f>SUM(BE60:BH60)</f>
        <v>-43</v>
      </c>
      <c r="BJ60" s="45">
        <v>270</v>
      </c>
      <c r="BK60" s="45">
        <f>192-BJ60</f>
        <v>-78</v>
      </c>
      <c r="BL60" s="45">
        <f>75-BK60-BJ60</f>
        <v>-117</v>
      </c>
      <c r="BM60" s="57">
        <v>-21</v>
      </c>
      <c r="BN60" s="50">
        <f>SUM(BJ60:BM60)</f>
        <v>54</v>
      </c>
      <c r="BO60" s="45">
        <v>33</v>
      </c>
      <c r="BP60" s="45">
        <f>-45-BO60</f>
        <v>-78</v>
      </c>
      <c r="BQ60" s="45">
        <f>-26-BP60-BO60</f>
        <v>19</v>
      </c>
      <c r="BR60" s="57">
        <f>19-BQ60-BP60-BO60</f>
        <v>45</v>
      </c>
      <c r="BS60" s="50">
        <f>SUM(BO60:BR60)</f>
        <v>19</v>
      </c>
      <c r="BT60" s="45">
        <v>36</v>
      </c>
      <c r="BU60" s="45">
        <v>29</v>
      </c>
      <c r="BV60" s="45">
        <v>-75</v>
      </c>
      <c r="BW60" s="57">
        <f>31-BV60-BU60-BT60</f>
        <v>41</v>
      </c>
      <c r="BX60" s="50">
        <f>SUM(BT60:BW60)</f>
        <v>31</v>
      </c>
      <c r="BY60" s="45">
        <v>96</v>
      </c>
      <c r="BZ60" s="45">
        <v>-231</v>
      </c>
      <c r="CA60" s="45">
        <f>+-557-BZ60-BY60</f>
        <v>-422</v>
      </c>
      <c r="CB60" s="57">
        <v>267</v>
      </c>
      <c r="CC60" s="50">
        <f>SUM(BY60:CB60)</f>
        <v>-290</v>
      </c>
      <c r="CD60" s="45">
        <v>-55</v>
      </c>
      <c r="CE60" s="45">
        <v>149</v>
      </c>
      <c r="CF60" s="45">
        <v>-354</v>
      </c>
      <c r="CG60" s="57">
        <f>562-SUM(CD60:CF60)</f>
        <v>822</v>
      </c>
      <c r="CH60" s="50">
        <f>SUM(CD60:CG60)</f>
        <v>562</v>
      </c>
      <c r="CI60" s="45">
        <v>-674</v>
      </c>
      <c r="CJ60" s="45">
        <f>-475-CI60</f>
        <v>199</v>
      </c>
      <c r="CK60" s="45">
        <f>849-CJ60-CI60</f>
        <v>1324</v>
      </c>
      <c r="CL60" s="57">
        <f>CM60-SUM(CI60:CK60)</f>
        <v>-2831</v>
      </c>
      <c r="CM60" s="112">
        <v>-1982</v>
      </c>
      <c r="CN60" s="45">
        <v>661</v>
      </c>
      <c r="CO60" s="45">
        <v>788</v>
      </c>
      <c r="CP60" s="45">
        <f>1441-CO60-CN60</f>
        <v>-8</v>
      </c>
      <c r="CQ60" s="57">
        <f>CR60-SUM(CN60:CP60)</f>
        <v>91</v>
      </c>
      <c r="CR60" s="112">
        <v>1532</v>
      </c>
      <c r="CS60" s="45"/>
      <c r="CT60" s="45"/>
      <c r="CU60" s="45"/>
      <c r="CV60" s="57"/>
      <c r="CW60" s="50">
        <f>SUM(CS60:CV60)</f>
        <v>0</v>
      </c>
    </row>
    <row r="61" spans="2:101">
      <c r="B61" s="24"/>
      <c r="D61" s="32"/>
      <c r="E61" s="32"/>
      <c r="F61" s="56"/>
      <c r="G61" s="56"/>
      <c r="H61" s="45"/>
      <c r="I61" s="45"/>
      <c r="J61" s="57"/>
      <c r="K61" s="56"/>
      <c r="L61" s="56"/>
      <c r="M61" s="45"/>
      <c r="N61" s="45"/>
      <c r="O61" s="57"/>
      <c r="P61" s="50"/>
      <c r="Q61" s="56"/>
      <c r="R61" s="45"/>
      <c r="S61" s="45"/>
      <c r="T61" s="57"/>
      <c r="U61" s="50"/>
      <c r="V61" s="56"/>
      <c r="W61" s="45"/>
      <c r="X61" s="45"/>
      <c r="Y61" s="57"/>
      <c r="Z61" s="50"/>
      <c r="AA61" s="45"/>
      <c r="AB61" s="45"/>
      <c r="AC61" s="45"/>
      <c r="AD61" s="57"/>
      <c r="AE61" s="50"/>
      <c r="AF61" s="45"/>
      <c r="AG61" s="45"/>
      <c r="AH61" s="45"/>
      <c r="AI61" s="147"/>
      <c r="AJ61" s="50"/>
      <c r="AK61" s="45"/>
      <c r="AL61" s="76"/>
      <c r="AM61" s="76"/>
      <c r="AN61" s="57"/>
      <c r="AO61" s="50"/>
      <c r="AP61" s="45"/>
      <c r="AQ61" s="45"/>
      <c r="AR61" s="45"/>
      <c r="AS61" s="114"/>
      <c r="AT61" s="50"/>
      <c r="AU61" s="76"/>
      <c r="AV61" s="253"/>
      <c r="AW61" s="253"/>
      <c r="AX61" s="253"/>
      <c r="AY61" s="50"/>
      <c r="AZ61" s="253"/>
      <c r="BA61" s="253"/>
      <c r="BB61" s="253"/>
      <c r="BC61" s="57"/>
      <c r="BD61" s="50"/>
      <c r="BE61" s="253"/>
      <c r="BF61" s="45"/>
      <c r="BG61" s="45"/>
      <c r="BH61" s="57"/>
      <c r="BI61" s="50"/>
      <c r="BJ61" s="45"/>
      <c r="BK61" s="45"/>
      <c r="BL61" s="45"/>
      <c r="BM61" s="57"/>
      <c r="BN61" s="50"/>
      <c r="BO61" s="45"/>
      <c r="BP61" s="45"/>
      <c r="BQ61" s="45"/>
      <c r="BR61" s="57"/>
      <c r="BS61" s="50"/>
      <c r="BT61" s="45"/>
      <c r="BU61" s="45"/>
      <c r="BV61" s="45"/>
      <c r="BW61" s="57"/>
      <c r="BX61" s="50"/>
      <c r="BY61" s="45"/>
      <c r="BZ61" s="45"/>
      <c r="CA61" s="45"/>
      <c r="CB61" s="57"/>
      <c r="CC61" s="50"/>
      <c r="CD61" s="45"/>
      <c r="CE61" s="45"/>
      <c r="CF61" s="45"/>
      <c r="CG61" s="57"/>
      <c r="CH61" s="50"/>
      <c r="CI61" s="45"/>
      <c r="CJ61" s="45"/>
      <c r="CK61" s="45"/>
      <c r="CL61" s="57"/>
      <c r="CM61" s="50"/>
      <c r="CN61" s="45"/>
      <c r="CO61" s="45"/>
      <c r="CP61" s="45"/>
      <c r="CQ61" s="57"/>
      <c r="CR61" s="50"/>
      <c r="CS61" s="45"/>
      <c r="CT61" s="45"/>
      <c r="CU61" s="45"/>
      <c r="CV61" s="57"/>
      <c r="CW61" s="50"/>
    </row>
    <row r="62" spans="2:101">
      <c r="B62" s="715" t="s">
        <v>577</v>
      </c>
      <c r="D62" s="32"/>
      <c r="E62" s="32"/>
      <c r="F62" s="56">
        <f t="shared" ref="F62:AJ62" si="109">F58+F37+F29</f>
        <v>2912</v>
      </c>
      <c r="G62" s="56">
        <f t="shared" si="109"/>
        <v>505</v>
      </c>
      <c r="H62" s="45">
        <f t="shared" si="109"/>
        <v>486</v>
      </c>
      <c r="I62" s="45">
        <f t="shared" si="109"/>
        <v>494</v>
      </c>
      <c r="J62" s="57">
        <f t="shared" si="109"/>
        <v>503</v>
      </c>
      <c r="K62" s="56">
        <f t="shared" si="109"/>
        <v>-1139</v>
      </c>
      <c r="L62" s="56">
        <f t="shared" si="109"/>
        <v>598</v>
      </c>
      <c r="M62" s="45">
        <f t="shared" si="109"/>
        <v>321</v>
      </c>
      <c r="N62" s="45">
        <f t="shared" si="109"/>
        <v>326</v>
      </c>
      <c r="O62" s="57">
        <f t="shared" si="109"/>
        <v>366</v>
      </c>
      <c r="P62" s="50">
        <f t="shared" si="109"/>
        <v>2216</v>
      </c>
      <c r="Q62" s="56">
        <f t="shared" si="109"/>
        <v>65</v>
      </c>
      <c r="R62" s="45">
        <f t="shared" si="109"/>
        <v>31977</v>
      </c>
      <c r="S62" s="45">
        <f t="shared" si="109"/>
        <v>1140</v>
      </c>
      <c r="T62" s="57">
        <f t="shared" si="109"/>
        <v>1360</v>
      </c>
      <c r="U62" s="50">
        <f t="shared" si="109"/>
        <v>34542</v>
      </c>
      <c r="V62" s="113">
        <f t="shared" si="109"/>
        <v>-26</v>
      </c>
      <c r="W62" s="64">
        <f t="shared" si="109"/>
        <v>-10659</v>
      </c>
      <c r="X62" s="45">
        <f t="shared" si="109"/>
        <v>1758</v>
      </c>
      <c r="Y62" s="57">
        <f t="shared" si="109"/>
        <v>439</v>
      </c>
      <c r="Z62" s="50">
        <f t="shared" si="109"/>
        <v>-8488</v>
      </c>
      <c r="AA62" s="45">
        <f t="shared" si="109"/>
        <v>1078</v>
      </c>
      <c r="AB62" s="45">
        <f t="shared" si="109"/>
        <v>2438</v>
      </c>
      <c r="AC62" s="45">
        <f t="shared" si="109"/>
        <v>34214</v>
      </c>
      <c r="AD62" s="57">
        <f t="shared" si="109"/>
        <v>-4575</v>
      </c>
      <c r="AE62" s="50">
        <f t="shared" si="109"/>
        <v>34065</v>
      </c>
      <c r="AF62" s="45">
        <f t="shared" si="109"/>
        <v>6509</v>
      </c>
      <c r="AG62" s="45">
        <f t="shared" si="109"/>
        <v>2535</v>
      </c>
      <c r="AH62" s="45">
        <f t="shared" si="109"/>
        <v>5679</v>
      </c>
      <c r="AI62" s="57">
        <f t="shared" si="109"/>
        <v>50521</v>
      </c>
      <c r="AJ62" s="50">
        <f t="shared" si="109"/>
        <v>65244</v>
      </c>
      <c r="AK62" s="45">
        <f t="shared" ref="AK62:BP62" si="110">AK58+AK37+AK29+AK60</f>
        <v>3309</v>
      </c>
      <c r="AL62" s="45">
        <f t="shared" si="110"/>
        <v>1905</v>
      </c>
      <c r="AM62" s="45">
        <f t="shared" si="110"/>
        <v>4314</v>
      </c>
      <c r="AN62" s="57">
        <f t="shared" si="110"/>
        <v>-10027</v>
      </c>
      <c r="AO62" s="50">
        <f t="shared" si="110"/>
        <v>-499</v>
      </c>
      <c r="AP62" s="45">
        <f t="shared" si="110"/>
        <v>2755</v>
      </c>
      <c r="AQ62" s="45">
        <f t="shared" si="110"/>
        <v>-12206</v>
      </c>
      <c r="AR62" s="45">
        <f t="shared" si="110"/>
        <v>-3457</v>
      </c>
      <c r="AS62" s="76">
        <f t="shared" si="110"/>
        <v>3651</v>
      </c>
      <c r="AT62" s="50">
        <f t="shared" si="110"/>
        <v>-9257</v>
      </c>
      <c r="AU62" s="76">
        <f t="shared" si="110"/>
        <v>-10649</v>
      </c>
      <c r="AV62" s="76">
        <f t="shared" si="110"/>
        <v>-3729</v>
      </c>
      <c r="AW62" s="45">
        <f t="shared" si="110"/>
        <v>2475</v>
      </c>
      <c r="AX62" s="253">
        <f t="shared" si="110"/>
        <v>6242</v>
      </c>
      <c r="AY62" s="50">
        <f t="shared" si="110"/>
        <v>-5661</v>
      </c>
      <c r="AZ62" s="253">
        <f t="shared" si="110"/>
        <v>12830</v>
      </c>
      <c r="BA62" s="253">
        <f t="shared" si="110"/>
        <v>3037</v>
      </c>
      <c r="BB62" s="253">
        <f t="shared" si="110"/>
        <v>-2761</v>
      </c>
      <c r="BC62" s="45">
        <f t="shared" si="110"/>
        <v>-5857</v>
      </c>
      <c r="BD62" s="50">
        <f t="shared" si="110"/>
        <v>7249</v>
      </c>
      <c r="BE62" s="253">
        <f t="shared" si="110"/>
        <v>-2580</v>
      </c>
      <c r="BF62" s="45">
        <f t="shared" si="110"/>
        <v>4838</v>
      </c>
      <c r="BG62" s="45">
        <f t="shared" si="110"/>
        <v>19363</v>
      </c>
      <c r="BH62" s="45">
        <f t="shared" si="110"/>
        <v>-10889</v>
      </c>
      <c r="BI62" s="50">
        <f t="shared" si="110"/>
        <v>10732</v>
      </c>
      <c r="BJ62" s="45">
        <f t="shared" si="110"/>
        <v>9856</v>
      </c>
      <c r="BK62" s="45">
        <f t="shared" si="110"/>
        <v>3308</v>
      </c>
      <c r="BL62" s="45">
        <f t="shared" si="110"/>
        <v>2704</v>
      </c>
      <c r="BM62" s="45">
        <f t="shared" si="110"/>
        <v>29525</v>
      </c>
      <c r="BN62" s="50">
        <f t="shared" si="110"/>
        <v>45393</v>
      </c>
      <c r="BO62" s="45">
        <f t="shared" si="110"/>
        <v>5232</v>
      </c>
      <c r="BP62" s="45">
        <f t="shared" si="110"/>
        <v>-9634</v>
      </c>
      <c r="BQ62" s="45">
        <f t="shared" ref="BQ62:CP62" si="111">BQ58+BQ37+BQ29+BQ60</f>
        <v>34080</v>
      </c>
      <c r="BR62" s="45">
        <f t="shared" si="111"/>
        <v>-59238</v>
      </c>
      <c r="BS62" s="50">
        <f t="shared" si="111"/>
        <v>-29560</v>
      </c>
      <c r="BT62" s="45">
        <f t="shared" si="111"/>
        <v>19582</v>
      </c>
      <c r="BU62" s="45">
        <f t="shared" si="111"/>
        <v>15093</v>
      </c>
      <c r="BV62" s="45">
        <f t="shared" si="111"/>
        <v>11436</v>
      </c>
      <c r="BW62" s="45">
        <f t="shared" si="111"/>
        <v>11749</v>
      </c>
      <c r="BX62" s="50">
        <f t="shared" si="111"/>
        <v>57860</v>
      </c>
      <c r="BY62" s="45">
        <f t="shared" si="111"/>
        <v>-4464</v>
      </c>
      <c r="BZ62" s="45">
        <f t="shared" si="111"/>
        <v>9637</v>
      </c>
      <c r="CA62" s="45">
        <f t="shared" si="111"/>
        <v>-26495</v>
      </c>
      <c r="CB62" s="45">
        <f t="shared" si="111"/>
        <v>-23337</v>
      </c>
      <c r="CC62" s="50">
        <f t="shared" si="111"/>
        <v>-44659</v>
      </c>
      <c r="CD62" s="45">
        <f t="shared" si="111"/>
        <v>19411</v>
      </c>
      <c r="CE62" s="45">
        <f t="shared" si="111"/>
        <v>26958</v>
      </c>
      <c r="CF62" s="45">
        <f t="shared" si="111"/>
        <v>-30562</v>
      </c>
      <c r="CG62" s="45">
        <f t="shared" si="111"/>
        <v>40381</v>
      </c>
      <c r="CH62" s="50">
        <f t="shared" si="111"/>
        <v>56188</v>
      </c>
      <c r="CI62" s="45">
        <f t="shared" si="111"/>
        <v>15556</v>
      </c>
      <c r="CJ62" s="45">
        <f t="shared" si="111"/>
        <v>5596</v>
      </c>
      <c r="CK62" s="45">
        <f t="shared" si="111"/>
        <v>-41391</v>
      </c>
      <c r="CL62" s="45">
        <f t="shared" si="111"/>
        <v>42175</v>
      </c>
      <c r="CM62" s="50">
        <f t="shared" si="111"/>
        <v>21936</v>
      </c>
      <c r="CN62" s="45">
        <f t="shared" si="111"/>
        <v>-146096</v>
      </c>
      <c r="CO62" s="45">
        <f t="shared" ref="CO62" si="112">CO58+CO37+CO29+CO60</f>
        <v>12682</v>
      </c>
      <c r="CP62" s="45">
        <f t="shared" si="111"/>
        <v>26122</v>
      </c>
      <c r="CQ62" s="45">
        <f t="shared" ref="CQ62:CR62" si="113">CQ58+CQ37+CQ29+CQ60</f>
        <v>17630</v>
      </c>
      <c r="CR62" s="50">
        <f t="shared" si="113"/>
        <v>-89662</v>
      </c>
      <c r="CS62" s="45">
        <f t="shared" ref="CS62:CW62" si="114">CS58+CS37+CS29+CS60</f>
        <v>88148.557010500008</v>
      </c>
      <c r="CT62" s="45">
        <f t="shared" si="114"/>
        <v>50694.980285999998</v>
      </c>
      <c r="CU62" s="45">
        <f t="shared" si="114"/>
        <v>52360.560104240009</v>
      </c>
      <c r="CV62" s="45">
        <f t="shared" si="114"/>
        <v>54001.951677092155</v>
      </c>
      <c r="CW62" s="50">
        <f t="shared" si="114"/>
        <v>245206.0490778322</v>
      </c>
    </row>
    <row r="63" spans="2:101">
      <c r="B63" s="24"/>
      <c r="D63" s="32"/>
      <c r="E63" s="32"/>
      <c r="F63" s="56"/>
      <c r="G63" s="56"/>
      <c r="H63" s="45"/>
      <c r="I63" s="45"/>
      <c r="J63" s="57"/>
      <c r="K63" s="56"/>
      <c r="L63" s="56"/>
      <c r="M63" s="45"/>
      <c r="N63" s="45"/>
      <c r="O63" s="57"/>
      <c r="P63" s="50"/>
      <c r="Q63" s="56"/>
      <c r="R63" s="45"/>
      <c r="S63" s="45"/>
      <c r="T63" s="57"/>
      <c r="U63" s="50"/>
      <c r="V63" s="56"/>
      <c r="W63" s="45"/>
      <c r="X63" s="45"/>
      <c r="Y63" s="57"/>
      <c r="Z63" s="50"/>
      <c r="AA63" s="56"/>
      <c r="AB63" s="45"/>
      <c r="AC63" s="45"/>
      <c r="AD63" s="57"/>
      <c r="AE63" s="50"/>
      <c r="AF63" s="56"/>
      <c r="AG63" s="45"/>
      <c r="AH63" s="45"/>
      <c r="AI63" s="57"/>
      <c r="AJ63" s="50"/>
      <c r="AK63" s="56"/>
      <c r="AL63" s="76"/>
      <c r="AM63" s="76"/>
      <c r="AN63" s="57"/>
      <c r="AO63" s="50"/>
      <c r="AP63" s="56"/>
      <c r="AQ63" s="45"/>
      <c r="AR63" s="45"/>
      <c r="AS63" s="114"/>
      <c r="AT63" s="50"/>
      <c r="AU63" s="150"/>
      <c r="AV63" s="76"/>
      <c r="AW63" s="45"/>
      <c r="AX63" s="253"/>
      <c r="AY63" s="50"/>
      <c r="AZ63" s="361"/>
      <c r="BA63" s="253"/>
      <c r="BB63" s="253"/>
      <c r="BC63" s="57"/>
      <c r="BD63" s="50"/>
      <c r="BE63" s="361"/>
      <c r="BF63" s="45"/>
      <c r="BG63" s="45"/>
      <c r="BH63" s="57"/>
      <c r="BI63" s="50"/>
      <c r="BJ63" s="56"/>
      <c r="BK63" s="45"/>
      <c r="BL63" s="45"/>
      <c r="BM63" s="57"/>
      <c r="BN63" s="50"/>
      <c r="BO63" s="56"/>
      <c r="BP63" s="45"/>
      <c r="BQ63" s="45"/>
      <c r="BR63" s="57"/>
      <c r="BS63" s="50"/>
      <c r="BT63" s="56"/>
      <c r="BU63" s="45"/>
      <c r="BV63" s="45"/>
      <c r="BW63" s="57"/>
      <c r="BX63" s="50"/>
      <c r="BY63" s="56"/>
      <c r="BZ63" s="45"/>
      <c r="CA63" s="45"/>
      <c r="CB63" s="57"/>
      <c r="CC63" s="50"/>
      <c r="CD63" s="45"/>
      <c r="CE63" s="45"/>
      <c r="CF63" s="45"/>
      <c r="CG63" s="57"/>
      <c r="CH63" s="50"/>
      <c r="CI63" s="45"/>
      <c r="CJ63" s="45"/>
      <c r="CK63" s="45"/>
      <c r="CL63" s="57"/>
      <c r="CM63" s="50"/>
      <c r="CN63" s="45"/>
      <c r="CO63" s="45"/>
      <c r="CP63" s="45"/>
      <c r="CQ63" s="57"/>
      <c r="CR63" s="50"/>
      <c r="CS63" s="45"/>
      <c r="CT63" s="45"/>
      <c r="CU63" s="45"/>
      <c r="CV63" s="57"/>
      <c r="CW63" s="50"/>
    </row>
    <row r="64" spans="2:101">
      <c r="B64" s="24" t="s">
        <v>93</v>
      </c>
      <c r="D64" s="32"/>
      <c r="E64" s="32"/>
      <c r="F64" s="56">
        <v>1942</v>
      </c>
      <c r="G64" s="56"/>
      <c r="H64" s="45"/>
      <c r="I64" s="45"/>
      <c r="J64" s="57"/>
      <c r="K64" s="56">
        <f>F65</f>
        <v>4854</v>
      </c>
      <c r="L64" s="56">
        <f>K65</f>
        <v>3715</v>
      </c>
      <c r="M64" s="45"/>
      <c r="N64" s="45"/>
      <c r="O64" s="57"/>
      <c r="P64" s="50">
        <f>K65</f>
        <v>3715</v>
      </c>
      <c r="Q64" s="56">
        <f>P65</f>
        <v>5931</v>
      </c>
      <c r="R64" s="45">
        <f>Q65</f>
        <v>5996</v>
      </c>
      <c r="S64" s="45">
        <f>R65</f>
        <v>37973</v>
      </c>
      <c r="T64" s="57">
        <f>S65</f>
        <v>39113</v>
      </c>
      <c r="U64" s="50">
        <f>P65</f>
        <v>5931</v>
      </c>
      <c r="V64" s="56">
        <f>U65</f>
        <v>40473</v>
      </c>
      <c r="W64" s="45">
        <f>V65</f>
        <v>40447</v>
      </c>
      <c r="X64" s="45">
        <f>W65</f>
        <v>29788</v>
      </c>
      <c r="Y64" s="57">
        <f>X65</f>
        <v>31546</v>
      </c>
      <c r="Z64" s="50">
        <f>U65</f>
        <v>40473</v>
      </c>
      <c r="AA64" s="45">
        <f>Y65</f>
        <v>31985</v>
      </c>
      <c r="AB64" s="45">
        <f>AA65</f>
        <v>33063</v>
      </c>
      <c r="AC64" s="45">
        <f>AB65</f>
        <v>35501</v>
      </c>
      <c r="AD64" s="57">
        <f>AC65</f>
        <v>69715</v>
      </c>
      <c r="AE64" s="50">
        <f>Z65</f>
        <v>31985</v>
      </c>
      <c r="AF64" s="45">
        <f>AE65</f>
        <v>66050</v>
      </c>
      <c r="AG64" s="45">
        <f>AF65</f>
        <v>72559</v>
      </c>
      <c r="AH64" s="45">
        <f>AG65</f>
        <v>75094</v>
      </c>
      <c r="AI64" s="57">
        <f>AH65</f>
        <v>80773</v>
      </c>
      <c r="AJ64" s="50">
        <f>AE65</f>
        <v>66050</v>
      </c>
      <c r="AK64" s="45">
        <f>AI65</f>
        <v>131294</v>
      </c>
      <c r="AL64" s="76">
        <f>AK65</f>
        <v>134603</v>
      </c>
      <c r="AM64" s="76">
        <f>AL65</f>
        <v>136508</v>
      </c>
      <c r="AN64" s="57">
        <f>AM65</f>
        <v>140822</v>
      </c>
      <c r="AO64" s="50">
        <f>AJ65</f>
        <v>131294</v>
      </c>
      <c r="AP64" s="45">
        <f>AN65</f>
        <v>130795</v>
      </c>
      <c r="AQ64" s="45">
        <f>AP65</f>
        <v>133550</v>
      </c>
      <c r="AR64" s="45">
        <f>AQ65</f>
        <v>121344</v>
      </c>
      <c r="AS64" s="114">
        <f>AR65</f>
        <v>117887</v>
      </c>
      <c r="AT64" s="50">
        <f>AO65</f>
        <v>130795</v>
      </c>
      <c r="AU64" s="76">
        <f>AS65</f>
        <v>121538</v>
      </c>
      <c r="AV64" s="76">
        <f>AU65</f>
        <v>110889</v>
      </c>
      <c r="AW64" s="45">
        <f>AV65</f>
        <v>107160</v>
      </c>
      <c r="AX64" s="253">
        <f>AW65</f>
        <v>109635</v>
      </c>
      <c r="AY64" s="50">
        <f>AT65</f>
        <v>121538</v>
      </c>
      <c r="AZ64" s="253">
        <f>AX65</f>
        <v>115877</v>
      </c>
      <c r="BA64" s="45">
        <f>AZ65</f>
        <v>128707</v>
      </c>
      <c r="BB64" s="253">
        <f>BA65</f>
        <v>131744</v>
      </c>
      <c r="BC64" s="57">
        <f>BB65</f>
        <v>128984</v>
      </c>
      <c r="BD64" s="50">
        <f>AY65</f>
        <v>115877</v>
      </c>
      <c r="BE64" s="253">
        <f>BC65</f>
        <v>123127</v>
      </c>
      <c r="BF64" s="45">
        <f>BE65</f>
        <v>120547</v>
      </c>
      <c r="BG64" s="45">
        <f>BF65</f>
        <v>125385</v>
      </c>
      <c r="BH64" s="57">
        <f>BG65</f>
        <v>144748</v>
      </c>
      <c r="BI64" s="50">
        <f>BD65</f>
        <v>123127</v>
      </c>
      <c r="BJ64" s="45">
        <f>BH65</f>
        <v>133859</v>
      </c>
      <c r="BK64" s="45">
        <f>BJ65</f>
        <v>143715</v>
      </c>
      <c r="BL64" s="45">
        <f>BK65</f>
        <v>147023</v>
      </c>
      <c r="BM64" s="57">
        <f>BL65</f>
        <v>149727</v>
      </c>
      <c r="BN64" s="50">
        <f>BI65</f>
        <v>133859</v>
      </c>
      <c r="BO64" s="45">
        <f>BM65</f>
        <v>179252</v>
      </c>
      <c r="BP64" s="45">
        <f>BO65</f>
        <v>184484</v>
      </c>
      <c r="BQ64" s="45">
        <f>BP65</f>
        <v>174850</v>
      </c>
      <c r="BR64" s="57">
        <f>BQ65</f>
        <v>208930</v>
      </c>
      <c r="BS64" s="50">
        <f>BN65</f>
        <v>179252</v>
      </c>
      <c r="BT64" s="45">
        <f>BR65</f>
        <v>149692</v>
      </c>
      <c r="BU64" s="45">
        <f>BT65</f>
        <v>169274</v>
      </c>
      <c r="BV64" s="45">
        <f>BU65</f>
        <v>184367</v>
      </c>
      <c r="BW64" s="57">
        <f>BV65</f>
        <v>195803</v>
      </c>
      <c r="BX64" s="50">
        <f>BS65</f>
        <v>149692</v>
      </c>
      <c r="BY64" s="45">
        <f>BW65</f>
        <v>207552</v>
      </c>
      <c r="BZ64" s="45">
        <f>BY65</f>
        <v>203088</v>
      </c>
      <c r="CA64" s="45">
        <f>BZ65</f>
        <v>212725</v>
      </c>
      <c r="CB64" s="57">
        <f>CA65</f>
        <v>186230</v>
      </c>
      <c r="CC64" s="50">
        <f>BX65</f>
        <v>207552</v>
      </c>
      <c r="CD64" s="45">
        <f>CB65</f>
        <v>162893</v>
      </c>
      <c r="CE64" s="45">
        <f>CD65</f>
        <v>182304</v>
      </c>
      <c r="CF64" s="45">
        <f>CE65</f>
        <v>209262</v>
      </c>
      <c r="CG64" s="57">
        <f>CF65</f>
        <v>178700</v>
      </c>
      <c r="CH64" s="50">
        <f>CC65</f>
        <v>162893</v>
      </c>
      <c r="CI64" s="45">
        <f>CH65</f>
        <v>219081</v>
      </c>
      <c r="CJ64" s="45">
        <f>CI65</f>
        <v>234637</v>
      </c>
      <c r="CK64" s="45">
        <f>CJ65</f>
        <v>240233</v>
      </c>
      <c r="CL64" s="57">
        <f>CK65</f>
        <v>198842</v>
      </c>
      <c r="CM64" s="50">
        <f>CH65</f>
        <v>219081</v>
      </c>
      <c r="CN64" s="45">
        <f>CM65</f>
        <v>241017</v>
      </c>
      <c r="CO64" s="45">
        <f>CN65</f>
        <v>94921</v>
      </c>
      <c r="CP64" s="45">
        <f>CO65</f>
        <v>107603</v>
      </c>
      <c r="CQ64" s="57">
        <f>CP65</f>
        <v>133725</v>
      </c>
      <c r="CR64" s="50">
        <f>CM65</f>
        <v>241017</v>
      </c>
      <c r="CS64" s="45">
        <f>CR65</f>
        <v>151355</v>
      </c>
      <c r="CT64" s="45">
        <f>CS65</f>
        <v>239503.55701049999</v>
      </c>
      <c r="CU64" s="45">
        <f>CT65</f>
        <v>290198.5372965</v>
      </c>
      <c r="CV64" s="57">
        <f>CU65</f>
        <v>342559.09740074002</v>
      </c>
      <c r="CW64" s="50">
        <f>CR65</f>
        <v>151355</v>
      </c>
    </row>
    <row r="65" spans="2:101" ht="13.15" thickBot="1">
      <c r="B65" s="55" t="s">
        <v>94</v>
      </c>
      <c r="C65" s="28"/>
      <c r="D65" s="36"/>
      <c r="E65" s="36"/>
      <c r="F65" s="58">
        <f>+F64+F62</f>
        <v>4854</v>
      </c>
      <c r="G65" s="58">
        <f t="shared" ref="G65:U65" si="115">+G64+G62</f>
        <v>505</v>
      </c>
      <c r="H65" s="59">
        <f t="shared" si="115"/>
        <v>486</v>
      </c>
      <c r="I65" s="59">
        <f t="shared" si="115"/>
        <v>494</v>
      </c>
      <c r="J65" s="60">
        <f t="shared" si="115"/>
        <v>503</v>
      </c>
      <c r="K65" s="58">
        <f t="shared" si="115"/>
        <v>3715</v>
      </c>
      <c r="L65" s="58">
        <f t="shared" si="115"/>
        <v>4313</v>
      </c>
      <c r="M65" s="59">
        <f t="shared" si="115"/>
        <v>321</v>
      </c>
      <c r="N65" s="59">
        <f t="shared" si="115"/>
        <v>326</v>
      </c>
      <c r="O65" s="60">
        <f t="shared" si="115"/>
        <v>366</v>
      </c>
      <c r="P65" s="61">
        <f t="shared" si="115"/>
        <v>5931</v>
      </c>
      <c r="Q65" s="58">
        <f t="shared" si="115"/>
        <v>5996</v>
      </c>
      <c r="R65" s="59">
        <f t="shared" si="115"/>
        <v>37973</v>
      </c>
      <c r="S65" s="59">
        <f t="shared" si="115"/>
        <v>39113</v>
      </c>
      <c r="T65" s="60">
        <f t="shared" si="115"/>
        <v>40473</v>
      </c>
      <c r="U65" s="61">
        <f t="shared" si="115"/>
        <v>40473</v>
      </c>
      <c r="V65" s="58">
        <f t="shared" ref="V65:AE65" si="116">+V64+V62</f>
        <v>40447</v>
      </c>
      <c r="W65" s="59">
        <f t="shared" si="116"/>
        <v>29788</v>
      </c>
      <c r="X65" s="59">
        <f t="shared" si="116"/>
        <v>31546</v>
      </c>
      <c r="Y65" s="60">
        <f t="shared" si="116"/>
        <v>31985</v>
      </c>
      <c r="Z65" s="61">
        <f t="shared" si="116"/>
        <v>31985</v>
      </c>
      <c r="AA65" s="58">
        <f t="shared" si="116"/>
        <v>33063</v>
      </c>
      <c r="AB65" s="59">
        <f t="shared" si="116"/>
        <v>35501</v>
      </c>
      <c r="AC65" s="59">
        <f t="shared" si="116"/>
        <v>69715</v>
      </c>
      <c r="AD65" s="60">
        <f t="shared" si="116"/>
        <v>65140</v>
      </c>
      <c r="AE65" s="61">
        <f t="shared" si="116"/>
        <v>66050</v>
      </c>
      <c r="AF65" s="58">
        <f t="shared" ref="AF65:AO65" si="117">+AF64+AF62</f>
        <v>72559</v>
      </c>
      <c r="AG65" s="59">
        <f t="shared" si="117"/>
        <v>75094</v>
      </c>
      <c r="AH65" s="59">
        <f t="shared" si="117"/>
        <v>80773</v>
      </c>
      <c r="AI65" s="60">
        <f t="shared" si="117"/>
        <v>131294</v>
      </c>
      <c r="AJ65" s="61">
        <f t="shared" si="117"/>
        <v>131294</v>
      </c>
      <c r="AK65" s="58">
        <f t="shared" si="117"/>
        <v>134603</v>
      </c>
      <c r="AL65" s="59">
        <f t="shared" si="117"/>
        <v>136508</v>
      </c>
      <c r="AM65" s="59">
        <f t="shared" si="117"/>
        <v>140822</v>
      </c>
      <c r="AN65" s="60">
        <f t="shared" si="117"/>
        <v>130795</v>
      </c>
      <c r="AO65" s="61">
        <f t="shared" si="117"/>
        <v>130795</v>
      </c>
      <c r="AP65" s="58">
        <f t="shared" ref="AP65:AY65" si="118">+AP64+AP62</f>
        <v>133550</v>
      </c>
      <c r="AQ65" s="59">
        <f>+AQ64+AQ62</f>
        <v>121344</v>
      </c>
      <c r="AR65" s="59">
        <f t="shared" si="118"/>
        <v>117887</v>
      </c>
      <c r="AS65" s="60">
        <f t="shared" si="118"/>
        <v>121538</v>
      </c>
      <c r="AT65" s="61">
        <f t="shared" si="118"/>
        <v>121538</v>
      </c>
      <c r="AU65" s="250">
        <f t="shared" si="118"/>
        <v>110889</v>
      </c>
      <c r="AV65" s="249">
        <f t="shared" si="118"/>
        <v>107160</v>
      </c>
      <c r="AW65" s="59">
        <f t="shared" si="118"/>
        <v>109635</v>
      </c>
      <c r="AX65" s="379">
        <f t="shared" si="118"/>
        <v>115877</v>
      </c>
      <c r="AY65" s="61">
        <f t="shared" si="118"/>
        <v>115877</v>
      </c>
      <c r="AZ65" s="362">
        <f t="shared" ref="AZ65:BI65" si="119">+AZ64+AZ62</f>
        <v>128707</v>
      </c>
      <c r="BA65" s="59">
        <f t="shared" si="119"/>
        <v>131744</v>
      </c>
      <c r="BB65" s="379">
        <f>+BB64+BB62+1</f>
        <v>128984</v>
      </c>
      <c r="BC65" s="60">
        <f t="shared" si="119"/>
        <v>123127</v>
      </c>
      <c r="BD65" s="61">
        <f>+BD64+BD62+1</f>
        <v>123127</v>
      </c>
      <c r="BE65" s="362">
        <f t="shared" si="119"/>
        <v>120547</v>
      </c>
      <c r="BF65" s="59">
        <f t="shared" si="119"/>
        <v>125385</v>
      </c>
      <c r="BG65" s="59">
        <f t="shared" si="119"/>
        <v>144748</v>
      </c>
      <c r="BH65" s="60">
        <f t="shared" si="119"/>
        <v>133859</v>
      </c>
      <c r="BI65" s="61">
        <f t="shared" si="119"/>
        <v>133859</v>
      </c>
      <c r="BJ65" s="58">
        <f t="shared" ref="BJ65:BN65" si="120">+BJ64+BJ62</f>
        <v>143715</v>
      </c>
      <c r="BK65" s="59">
        <f t="shared" si="120"/>
        <v>147023</v>
      </c>
      <c r="BL65" s="59">
        <f t="shared" si="120"/>
        <v>149727</v>
      </c>
      <c r="BM65" s="60">
        <f t="shared" si="120"/>
        <v>179252</v>
      </c>
      <c r="BN65" s="61">
        <f t="shared" si="120"/>
        <v>179252</v>
      </c>
      <c r="BO65" s="58">
        <f t="shared" ref="BO65:BS65" si="121">+BO64+BO62</f>
        <v>184484</v>
      </c>
      <c r="BP65" s="59">
        <f t="shared" si="121"/>
        <v>174850</v>
      </c>
      <c r="BQ65" s="59">
        <f t="shared" si="121"/>
        <v>208930</v>
      </c>
      <c r="BR65" s="60">
        <f t="shared" si="121"/>
        <v>149692</v>
      </c>
      <c r="BS65" s="61">
        <f t="shared" si="121"/>
        <v>149692</v>
      </c>
      <c r="BT65" s="58">
        <f t="shared" ref="BT65:BX65" si="122">+BT64+BT62</f>
        <v>169274</v>
      </c>
      <c r="BU65" s="59">
        <f t="shared" si="122"/>
        <v>184367</v>
      </c>
      <c r="BV65" s="59">
        <f t="shared" si="122"/>
        <v>195803</v>
      </c>
      <c r="BW65" s="60">
        <f t="shared" si="122"/>
        <v>207552</v>
      </c>
      <c r="BX65" s="61">
        <f t="shared" si="122"/>
        <v>207552</v>
      </c>
      <c r="BY65" s="58">
        <f t="shared" ref="BY65:CD65" si="123">+BY64+BY62</f>
        <v>203088</v>
      </c>
      <c r="BZ65" s="59">
        <f t="shared" si="123"/>
        <v>212725</v>
      </c>
      <c r="CA65" s="59">
        <f t="shared" si="123"/>
        <v>186230</v>
      </c>
      <c r="CB65" s="60">
        <f t="shared" si="123"/>
        <v>162893</v>
      </c>
      <c r="CC65" s="61">
        <f>+CC64+CC62</f>
        <v>162893</v>
      </c>
      <c r="CD65" s="59">
        <f t="shared" si="123"/>
        <v>182304</v>
      </c>
      <c r="CE65" s="59">
        <f t="shared" ref="CE65:CI65" si="124">+CE64+CE62</f>
        <v>209262</v>
      </c>
      <c r="CF65" s="59">
        <f t="shared" si="124"/>
        <v>178700</v>
      </c>
      <c r="CG65" s="60">
        <f t="shared" si="124"/>
        <v>219081</v>
      </c>
      <c r="CH65" s="61">
        <f t="shared" si="124"/>
        <v>219081</v>
      </c>
      <c r="CI65" s="59">
        <f t="shared" si="124"/>
        <v>234637</v>
      </c>
      <c r="CJ65" s="59">
        <f t="shared" ref="CJ65:CN65" si="125">+CJ64+CJ62</f>
        <v>240233</v>
      </c>
      <c r="CK65" s="59">
        <f t="shared" si="125"/>
        <v>198842</v>
      </c>
      <c r="CL65" s="60">
        <f t="shared" si="125"/>
        <v>241017</v>
      </c>
      <c r="CM65" s="61">
        <f t="shared" si="125"/>
        <v>241017</v>
      </c>
      <c r="CN65" s="59">
        <f t="shared" si="125"/>
        <v>94921</v>
      </c>
      <c r="CO65" s="59">
        <f t="shared" ref="CO65" si="126">+CO64+CO62</f>
        <v>107603</v>
      </c>
      <c r="CP65" s="59">
        <f t="shared" ref="CP65:CS65" si="127">+CP64+CP62</f>
        <v>133725</v>
      </c>
      <c r="CQ65" s="60">
        <f t="shared" si="127"/>
        <v>151355</v>
      </c>
      <c r="CR65" s="61">
        <f t="shared" si="127"/>
        <v>151355</v>
      </c>
      <c r="CS65" s="59">
        <f t="shared" si="127"/>
        <v>239503.55701049999</v>
      </c>
      <c r="CT65" s="59">
        <f t="shared" ref="CT65:CW65" si="128">+CT64+CT62</f>
        <v>290198.5372965</v>
      </c>
      <c r="CU65" s="59">
        <f t="shared" si="128"/>
        <v>342559.09740074002</v>
      </c>
      <c r="CV65" s="60">
        <f t="shared" si="128"/>
        <v>396561.0490778322</v>
      </c>
      <c r="CW65" s="61">
        <f t="shared" si="128"/>
        <v>396561.0490778322</v>
      </c>
    </row>
    <row r="66" spans="2:101">
      <c r="AU66" s="4"/>
      <c r="AV66" s="4"/>
      <c r="AZ66" s="366">
        <f>AZ65-BS!AZ6</f>
        <v>0</v>
      </c>
      <c r="BA66" s="366">
        <f>BA65-BS!BA6</f>
        <v>0</v>
      </c>
      <c r="BB66" s="366">
        <f>BB65-BS!BB6</f>
        <v>0</v>
      </c>
      <c r="BC66" s="366">
        <f>BC65-BS!BC6</f>
        <v>0</v>
      </c>
      <c r="BD66" s="366"/>
      <c r="BE66" s="366"/>
      <c r="BF66" s="366"/>
      <c r="BG66" s="366"/>
      <c r="BH66" s="366"/>
      <c r="BI66" s="366"/>
      <c r="BJ66" s="366"/>
      <c r="BK66" s="366"/>
      <c r="BL66" s="366"/>
      <c r="BM66" s="366"/>
      <c r="BN66" s="366"/>
      <c r="BO66" s="366"/>
      <c r="BP66" s="366"/>
      <c r="BQ66" s="366"/>
      <c r="BR66" s="366"/>
      <c r="BS66" s="366"/>
      <c r="BT66" s="366"/>
      <c r="BU66" s="366"/>
      <c r="BV66" s="366"/>
      <c r="BW66" s="366"/>
      <c r="BX66" s="366"/>
      <c r="BY66" s="366"/>
      <c r="BZ66" s="366"/>
      <c r="CA66" s="366"/>
      <c r="CB66" s="366"/>
      <c r="CC66" s="366"/>
      <c r="CD66" s="366"/>
      <c r="CE66" s="366"/>
      <c r="CF66" s="366"/>
      <c r="CG66" s="366"/>
      <c r="CH66" s="366"/>
      <c r="CI66" s="366"/>
      <c r="CJ66" s="366"/>
      <c r="CK66" s="366"/>
      <c r="CL66" s="366"/>
      <c r="CM66" s="366"/>
      <c r="CN66" s="366"/>
      <c r="CO66" s="366"/>
      <c r="CP66" s="366"/>
      <c r="CQ66" s="366"/>
      <c r="CR66" s="366"/>
      <c r="CS66" s="366"/>
      <c r="CT66" s="366"/>
      <c r="CU66" s="366"/>
      <c r="CV66" s="366"/>
      <c r="CW66" s="366"/>
    </row>
    <row r="67" spans="2:101">
      <c r="AU67" s="4"/>
      <c r="AV67" s="4"/>
      <c r="BE67" s="254"/>
    </row>
    <row r="68" spans="2:101">
      <c r="B68" t="s">
        <v>110</v>
      </c>
      <c r="L68" s="72">
        <f>L9/BS!J12</f>
        <v>0.15735137059451762</v>
      </c>
      <c r="Q68" s="72">
        <f>Q9/BS!O12</f>
        <v>0.13492063492063491</v>
      </c>
      <c r="R68" s="72">
        <f>R9/BS!Q12</f>
        <v>0.17438338381652965</v>
      </c>
      <c r="S68" s="72">
        <f>S9/BS!R12</f>
        <v>0.13549682167949148</v>
      </c>
      <c r="T68" s="72">
        <f>T9/BS!S12</f>
        <v>0.14796310530361262</v>
      </c>
      <c r="V68" s="72">
        <f>V9/BS!T12</f>
        <v>0.15289855072463768</v>
      </c>
      <c r="W68" s="72">
        <f>W9/BS!V12</f>
        <v>0.16737438075017694</v>
      </c>
      <c r="X68" s="72">
        <f>X9/BS!W12</f>
        <v>0.18680939226519336</v>
      </c>
      <c r="Y68" s="72">
        <f>Y9/BS!X12</f>
        <v>0.18429591174561974</v>
      </c>
      <c r="AA68" s="72">
        <f>AA9/BS!Y12</f>
        <v>0.17504435245416913</v>
      </c>
      <c r="AB68" s="72">
        <f>AB9/BS!AA12</f>
        <v>0.19064327485380117</v>
      </c>
      <c r="AC68" s="72">
        <f>AC9/BS!AB12</f>
        <v>0.21673286991062563</v>
      </c>
      <c r="AD68" s="72">
        <f>AD9/BS!AC12</f>
        <v>0.18573738099515</v>
      </c>
      <c r="AF68" s="72">
        <f>AF9/BS!AD12</f>
        <v>0.15267275097783573</v>
      </c>
      <c r="AG68" s="72">
        <f>AG9/BS!AF12</f>
        <v>0.15575174594808275</v>
      </c>
      <c r="AH68" s="72">
        <f>AH9/BS!AG12</f>
        <v>0.13231033372679471</v>
      </c>
      <c r="AI68" s="72">
        <f>AI9/BS!AH12</f>
        <v>0.12380411101638723</v>
      </c>
      <c r="AK68" s="72">
        <f>AK9/BS!AI12</f>
        <v>0.13142511590405159</v>
      </c>
      <c r="AL68" s="72">
        <f>AL9/BS!AK12</f>
        <v>0.16024897141048633</v>
      </c>
      <c r="AM68" s="72">
        <f>AM9/BS!AL12</f>
        <v>0.15825586542718018</v>
      </c>
      <c r="AN68" s="72">
        <f>AN9/BS!AM12</f>
        <v>0.16950922380786634</v>
      </c>
      <c r="AP68" s="72">
        <f>AP9/BS!AN12</f>
        <v>0.13563946835665874</v>
      </c>
      <c r="AQ68" s="72">
        <f>AQ9/BS!AP12</f>
        <v>0.12971542025148908</v>
      </c>
      <c r="AR68" s="72">
        <f>AR9/BS!AQ12</f>
        <v>0.12229771463866584</v>
      </c>
      <c r="AS68" s="72">
        <f>AS9/BS!AR12</f>
        <v>0.12019267528098479</v>
      </c>
      <c r="AT68" s="72"/>
      <c r="AU68" s="72">
        <f>AU9/BS!AT12</f>
        <v>0.11938325991189427</v>
      </c>
      <c r="AV68" s="72">
        <f>AV9/BS!AU12</f>
        <v>0.11687661036358431</v>
      </c>
      <c r="AW68" s="72">
        <f>AW9/BS!AV12</f>
        <v>0.11656617858168246</v>
      </c>
      <c r="AX68" s="72">
        <f>AX9/BS!AW12</f>
        <v>0.11564396493594066</v>
      </c>
      <c r="AY68" s="72"/>
      <c r="AZ68" s="72">
        <f>AZ9/BS!AY12</f>
        <v>0.11042183622828784</v>
      </c>
      <c r="BA68" s="72">
        <f>BA9/BS!AZ12</f>
        <v>0.11549183592194345</v>
      </c>
      <c r="BB68" s="72">
        <f>BB9/BS!BA12</f>
        <v>0.11785921298383462</v>
      </c>
      <c r="BC68" s="72">
        <f>BC9/BS!BB12</f>
        <v>0.12467981557377049</v>
      </c>
      <c r="BD68" s="72"/>
      <c r="BE68" s="72">
        <f>BE9/BS!BD12</f>
        <v>0.12357617465590888</v>
      </c>
      <c r="BF68" s="72">
        <f>BF9/BS!BE12</f>
        <v>0.12095469255663431</v>
      </c>
      <c r="BG68" s="72">
        <f>BG9/BS!BF12</f>
        <v>0.11755624172915748</v>
      </c>
      <c r="BH68" s="72">
        <f>BH9/BS!BG12</f>
        <v>0.1179781082197439</v>
      </c>
      <c r="BJ68" s="72">
        <f>BJ9/BS!BI12</f>
        <v>0.12582907858949277</v>
      </c>
      <c r="BK68" s="72">
        <f>BK9/BS!BJ12</f>
        <v>0.12974408498309994</v>
      </c>
      <c r="BL68" s="72">
        <f>BL9/BS!BK12</f>
        <v>0.13686459193086373</v>
      </c>
      <c r="BM68" s="72">
        <f>BM9/BS!BL12</f>
        <v>0.14356602591896708</v>
      </c>
      <c r="BO68" s="72">
        <f>BO9/BS!BN12</f>
        <v>0.13211519029976423</v>
      </c>
      <c r="BP68" s="72">
        <f>BP9/BS!BO12</f>
        <v>0.13055960058248386</v>
      </c>
      <c r="BQ68" s="72">
        <f>BQ9/BS!BP12</f>
        <v>0.12536260290082321</v>
      </c>
      <c r="BR68" s="72">
        <f>BR9/BS!BQ12</f>
        <v>0.14581088093242325</v>
      </c>
      <c r="BT68" s="72">
        <f>BT9/BS!BS12</f>
        <v>0.14244098062953994</v>
      </c>
      <c r="BU68" s="72">
        <f>BU9/BS!BT12</f>
        <v>0.13263925430354057</v>
      </c>
      <c r="BV68" s="72">
        <f>BV9/BS!BU12</f>
        <v>0.12721200853818082</v>
      </c>
      <c r="BW68" s="72">
        <f>BW9/BS!BV12</f>
        <v>0.12240623791725738</v>
      </c>
      <c r="BY68" s="72">
        <f>BY9/BS!BX12</f>
        <v>0.12112472963229992</v>
      </c>
      <c r="BZ68" s="72">
        <f>BZ9/BS!BY12</f>
        <v>0.12243885806391619</v>
      </c>
      <c r="CA68" s="72">
        <f>CA9/BS!BZ12</f>
        <v>0.13028124999999999</v>
      </c>
      <c r="CB68" s="72">
        <f>CB9/BS!CA12</f>
        <v>0.13479938037238404</v>
      </c>
      <c r="CD68" s="72">
        <f>CD9/BS!CC12</f>
        <v>0.13046421117942356</v>
      </c>
      <c r="CE68" s="72">
        <f>CE9/BS!CD12</f>
        <v>0.13293232225326415</v>
      </c>
      <c r="CF68" s="72">
        <f>CF9/BS!CE12</f>
        <v>0.13277100905966885</v>
      </c>
      <c r="CG68" s="72">
        <f>CG9/BS!CF12</f>
        <v>0.12889060730757546</v>
      </c>
      <c r="CI68" s="72">
        <f>CI9/BS!CH12</f>
        <v>0.13023333240851206</v>
      </c>
      <c r="CJ68" s="72">
        <f>CJ9/BS!CI12</f>
        <v>0.13391095479111265</v>
      </c>
      <c r="CK68" s="72">
        <f>CK9/BS!CJ12</f>
        <v>0.13205826183621697</v>
      </c>
      <c r="CL68" s="72">
        <f>CL9/BS!CK12</f>
        <v>0.13032532920216885</v>
      </c>
      <c r="CN68" s="72">
        <f>CN9/BS!CM12</f>
        <v>0.13202120009587984</v>
      </c>
      <c r="CO68" s="72">
        <f>CO9/BS!CN12</f>
        <v>0.12900974487553959</v>
      </c>
      <c r="CP68" s="72">
        <f>CP9/BS!CO12</f>
        <v>0.13334993773349937</v>
      </c>
      <c r="CQ68" s="72">
        <f>CQ9/BS!CP12</f>
        <v>0.13962072958888244</v>
      </c>
      <c r="CS68" s="74">
        <v>0.105</v>
      </c>
      <c r="CT68" s="74">
        <v>0.124</v>
      </c>
      <c r="CU68" s="74">
        <v>0.124</v>
      </c>
      <c r="CV68" s="74">
        <v>0.124</v>
      </c>
    </row>
    <row r="69" spans="2:101">
      <c r="AU69" s="4"/>
      <c r="AV69" s="4"/>
      <c r="BE69" s="254"/>
      <c r="CS69" s="85">
        <f>CS9</f>
        <v>4527.2849999999999</v>
      </c>
      <c r="CT69" s="85">
        <f>CT9</f>
        <v>5591.1246599999995</v>
      </c>
      <c r="CU69" s="85">
        <f>CU9</f>
        <v>5703.8252021599992</v>
      </c>
      <c r="CV69" s="85">
        <f>CV9</f>
        <v>5802.5508770921597</v>
      </c>
    </row>
    <row r="70" spans="2:101">
      <c r="AU70" s="4"/>
      <c r="AV70" s="4"/>
      <c r="BE70" s="254"/>
      <c r="CV70" s="85">
        <f>SUM(CS69:CV69)</f>
        <v>21624.785739252158</v>
      </c>
    </row>
    <row r="71" spans="2:101">
      <c r="AU71" s="4"/>
      <c r="AV71" s="4"/>
    </row>
  </sheetData>
  <phoneticPr fontId="8"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B2:CR104"/>
  <sheetViews>
    <sheetView showGridLines="0" tabSelected="1" topLeftCell="A27" zoomScaleNormal="100" workbookViewId="0">
      <pane xSplit="3" topLeftCell="CC1" activePane="topRight" state="frozen"/>
      <selection pane="topRight" activeCell="C42" sqref="C42"/>
    </sheetView>
  </sheetViews>
  <sheetFormatPr defaultRowHeight="12.75" outlineLevelRow="1" outlineLevelCol="1"/>
  <cols>
    <col min="1" max="1" width="2.19921875" customWidth="1"/>
    <col min="2" max="2" width="2.796875" customWidth="1"/>
    <col min="3" max="3" width="29.46484375" customWidth="1"/>
    <col min="4" max="4" width="3.19921875" hidden="1" customWidth="1"/>
    <col min="5" max="5" width="4" hidden="1" customWidth="1"/>
    <col min="6" max="6" width="10.796875" hidden="1" customWidth="1"/>
    <col min="7" max="11" width="9.19921875" hidden="1" customWidth="1"/>
    <col min="12" max="12" width="10.265625" hidden="1" customWidth="1"/>
    <col min="13" max="13" width="10.46484375" hidden="1" customWidth="1"/>
    <col min="14" max="15" width="10.265625" hidden="1" customWidth="1"/>
    <col min="16" max="16" width="9.19921875" hidden="1" customWidth="1"/>
    <col min="17" max="18" width="11.265625" hidden="1" customWidth="1" outlineLevel="1"/>
    <col min="19" max="19" width="13" hidden="1" customWidth="1" outlineLevel="1"/>
    <col min="20" max="20" width="14.19921875" hidden="1" customWidth="1" outlineLevel="1"/>
    <col min="21" max="21" width="9.19921875" hidden="1" customWidth="1" outlineLevel="1"/>
    <col min="22" max="25" width="12" hidden="1" customWidth="1" outlineLevel="1"/>
    <col min="26" max="26" width="7.19921875" hidden="1" customWidth="1" outlineLevel="1"/>
    <col min="27" max="27" width="12" hidden="1" customWidth="1" outlineLevel="1"/>
    <col min="28" max="28" width="11.265625" hidden="1" customWidth="1" outlineLevel="1"/>
    <col min="29" max="29" width="12.796875" hidden="1" customWidth="1" outlineLevel="1"/>
    <col min="30" max="30" width="11.265625" hidden="1" customWidth="1" outlineLevel="1"/>
    <col min="31" max="31" width="7.46484375" hidden="1" customWidth="1" collapsed="1"/>
    <col min="32" max="33" width="11.265625" hidden="1" customWidth="1" outlineLevel="1"/>
    <col min="34" max="34" width="12" hidden="1" customWidth="1" outlineLevel="1"/>
    <col min="35" max="35" width="12.265625" hidden="1" customWidth="1" outlineLevel="1"/>
    <col min="36" max="36" width="8.265625" hidden="1" customWidth="1" collapsed="1"/>
    <col min="37" max="37" width="12.53125" hidden="1" customWidth="1" outlineLevel="1"/>
    <col min="38" max="40" width="12.265625" hidden="1" customWidth="1" outlineLevel="1"/>
    <col min="41" max="41" width="9.53125" hidden="1" customWidth="1" collapsed="1"/>
    <col min="42" max="44" width="12.265625" hidden="1" customWidth="1" outlineLevel="1"/>
    <col min="45" max="45" width="12.796875" hidden="1" customWidth="1" outlineLevel="1"/>
    <col min="46" max="46" width="9.265625" hidden="1" customWidth="1" collapsed="1"/>
    <col min="47" max="47" width="12.53125" hidden="1" customWidth="1" outlineLevel="1"/>
    <col min="48" max="48" width="12" hidden="1" customWidth="1" outlineLevel="1"/>
    <col min="49" max="49" width="12.265625" hidden="1" customWidth="1" outlineLevel="1"/>
    <col min="50" max="50" width="13.265625" hidden="1" customWidth="1" outlineLevel="1"/>
    <col min="51" max="51" width="9.19921875" hidden="1" customWidth="1" collapsed="1"/>
    <col min="52" max="54" width="8.73046875" hidden="1" customWidth="1" outlineLevel="1"/>
    <col min="55" max="55" width="7.796875" hidden="1" customWidth="1" outlineLevel="1"/>
    <col min="56" max="56" width="9.19921875" hidden="1" customWidth="1" collapsed="1"/>
    <col min="57" max="57" width="10.265625" hidden="1" customWidth="1" outlineLevel="1"/>
    <col min="58" max="60" width="9.19921875" hidden="1" customWidth="1" outlineLevel="1"/>
    <col min="61" max="61" width="9.19921875" customWidth="1" collapsed="1"/>
    <col min="62" max="65" width="9.19921875" hidden="1" customWidth="1" outlineLevel="1"/>
    <col min="66" max="66" width="9.19921875" customWidth="1" collapsed="1"/>
    <col min="67" max="70" width="9.19921875" hidden="1" customWidth="1" outlineLevel="1"/>
    <col min="71" max="71" width="9.19921875" customWidth="1" collapsed="1"/>
    <col min="72" max="75" width="9.19921875" hidden="1" customWidth="1" outlineLevel="1"/>
    <col min="76" max="76" width="8.73046875" collapsed="1"/>
    <col min="77" max="80" width="9.19921875" hidden="1" customWidth="1" outlineLevel="1"/>
    <col min="81" max="81" width="8.73046875" collapsed="1"/>
    <col min="82" max="85" width="8.73046875" customWidth="1" outlineLevel="1"/>
    <col min="87" max="90" width="8.73046875" customWidth="1" outlineLevel="1"/>
    <col min="92" max="92" width="9.19921875" outlineLevel="1"/>
    <col min="93" max="94" width="9.19921875" customWidth="1" outlineLevel="1"/>
    <col min="95" max="95" width="8.73046875" outlineLevel="1"/>
  </cols>
  <sheetData>
    <row r="2" spans="2:96" ht="13.15" thickBot="1">
      <c r="BD2" s="85"/>
      <c r="CO2" s="72">
        <f>(CO4-8500-200)/CJ4-1</f>
        <v>1.8909899888765347E-2</v>
      </c>
    </row>
    <row r="3" spans="2:96" ht="13.5" thickBot="1">
      <c r="B3" s="793" t="s">
        <v>97</v>
      </c>
      <c r="C3" s="794"/>
      <c r="D3" s="794"/>
      <c r="E3" s="794"/>
      <c r="F3" s="788">
        <f>IS!F3</f>
        <v>2007</v>
      </c>
      <c r="G3" s="632" t="str">
        <f>IS!G3</f>
        <v>1Q08</v>
      </c>
      <c r="H3" s="632" t="str">
        <f>IS!H3</f>
        <v>2Q08</v>
      </c>
      <c r="I3" s="632" t="str">
        <f>IS!I3</f>
        <v>2Q08</v>
      </c>
      <c r="J3" s="632" t="str">
        <f>IS!J3</f>
        <v>4Q08</v>
      </c>
      <c r="K3" s="623">
        <f>IS!K3</f>
        <v>2008</v>
      </c>
      <c r="L3" s="632" t="str">
        <f>IS!L3</f>
        <v>1Q09</v>
      </c>
      <c r="M3" s="632" t="str">
        <f>IS!M3</f>
        <v>2Q09</v>
      </c>
      <c r="N3" s="632" t="str">
        <f>IS!N3</f>
        <v>2Q09</v>
      </c>
      <c r="O3" s="632" t="str">
        <f>IS!O3</f>
        <v>4Q09</v>
      </c>
      <c r="P3" s="623">
        <f>IS!P3</f>
        <v>2009</v>
      </c>
      <c r="Q3" s="632" t="str">
        <f>IS!Q3</f>
        <v>1QA10</v>
      </c>
      <c r="R3" s="632" t="str">
        <f>IS!R3</f>
        <v>2QA10</v>
      </c>
      <c r="S3" s="632" t="str">
        <f>IS!S3</f>
        <v>3Q10</v>
      </c>
      <c r="T3" s="632" t="str">
        <f>IS!T3</f>
        <v>4Q10</v>
      </c>
      <c r="U3" s="623">
        <f>IS!U3</f>
        <v>2010</v>
      </c>
      <c r="V3" s="632" t="str">
        <f>IS!V3</f>
        <v>1Q11</v>
      </c>
      <c r="W3" s="632" t="str">
        <f>IS!W3</f>
        <v>2Q11</v>
      </c>
      <c r="X3" s="632" t="str">
        <f>IS!X3</f>
        <v>3Q11</v>
      </c>
      <c r="Y3" s="632" t="str">
        <f>IS!Y3</f>
        <v>4Q11</v>
      </c>
      <c r="Z3" s="623">
        <f>IS!Z3</f>
        <v>2011</v>
      </c>
      <c r="AA3" s="632" t="str">
        <f>IS!AA3</f>
        <v>1Q12</v>
      </c>
      <c r="AB3" s="789" t="str">
        <f>IS!AB3</f>
        <v>2Q12</v>
      </c>
      <c r="AC3" s="632" t="str">
        <f>IS!AC3</f>
        <v>3Q12</v>
      </c>
      <c r="AD3" s="632" t="str">
        <f>IS!AD3</f>
        <v>4Q12</v>
      </c>
      <c r="AE3" s="623">
        <f>IS!AE3</f>
        <v>2012</v>
      </c>
      <c r="AF3" s="632" t="str">
        <f>IS!AF3</f>
        <v>1Q13</v>
      </c>
      <c r="AG3" s="632" t="str">
        <f>IS!AG3</f>
        <v>2Q13</v>
      </c>
      <c r="AH3" s="632" t="str">
        <f>IS!AH3</f>
        <v>3Q13</v>
      </c>
      <c r="AI3" s="788" t="str">
        <f>IS!AI3</f>
        <v>4Q13</v>
      </c>
      <c r="AJ3" s="623">
        <f>IS!AJ3</f>
        <v>2013</v>
      </c>
      <c r="AK3" s="790" t="str">
        <f>IS!AK3</f>
        <v>1Q14</v>
      </c>
      <c r="AL3" s="632" t="str">
        <f>IS!AL3</f>
        <v>2Q14</v>
      </c>
      <c r="AM3" s="632" t="str">
        <f>IS!AM3</f>
        <v>3Q14</v>
      </c>
      <c r="AN3" s="788" t="str">
        <f>IS!AN3</f>
        <v>4Q14</v>
      </c>
      <c r="AO3" s="623">
        <f>IS!AO3</f>
        <v>2014</v>
      </c>
      <c r="AP3" s="632" t="str">
        <f>IS!AP3</f>
        <v>1Q15</v>
      </c>
      <c r="AQ3" s="632" t="str">
        <f>IS!AQ3</f>
        <v>2Q15</v>
      </c>
      <c r="AR3" s="632" t="str">
        <f>IS!AR3</f>
        <v>3Q15</v>
      </c>
      <c r="AS3" s="632" t="str">
        <f>IS!AS3</f>
        <v>4Q15</v>
      </c>
      <c r="AT3" s="623">
        <f>IS!AT3</f>
        <v>2015</v>
      </c>
      <c r="AU3" s="632" t="str">
        <f>IS!AU3</f>
        <v>1Q16</v>
      </c>
      <c r="AV3" s="632" t="str">
        <f>IS!AV3</f>
        <v>2Q16</v>
      </c>
      <c r="AW3" s="632" t="str">
        <f>IS!AW3</f>
        <v>3Q16</v>
      </c>
      <c r="AX3" s="632" t="str">
        <f>IS!AX3</f>
        <v>4Q16</v>
      </c>
      <c r="AY3" s="623">
        <f>IS!AY3</f>
        <v>2016</v>
      </c>
      <c r="AZ3" s="632" t="str">
        <f>IS!AZ3</f>
        <v>1Q17</v>
      </c>
      <c r="BA3" s="632" t="str">
        <f>IS!BA3</f>
        <v>2Q17</v>
      </c>
      <c r="BB3" s="632" t="str">
        <f>IS!BB3</f>
        <v>3Q17</v>
      </c>
      <c r="BC3" s="632" t="str">
        <f>IS!BC3</f>
        <v>4Q17</v>
      </c>
      <c r="BD3" s="623">
        <f>IS!BD3</f>
        <v>2017</v>
      </c>
      <c r="BE3" s="790" t="str">
        <f>IS!BE3</f>
        <v>1Q18</v>
      </c>
      <c r="BF3" s="632" t="str">
        <f>IS!BF3</f>
        <v>2Q18</v>
      </c>
      <c r="BG3" s="632" t="str">
        <f>IS!BG3</f>
        <v>3Q18</v>
      </c>
      <c r="BH3" s="788" t="str">
        <f>IS!BH3</f>
        <v>4Q18</v>
      </c>
      <c r="BI3" s="623">
        <f>IS!BI3</f>
        <v>2018</v>
      </c>
      <c r="BJ3" s="790" t="str">
        <f>IS!BJ3</f>
        <v>1Q19</v>
      </c>
      <c r="BK3" s="632" t="str">
        <f>IS!BK3</f>
        <v>2Q19</v>
      </c>
      <c r="BL3" s="632" t="str">
        <f>IS!BL3</f>
        <v>3Q19</v>
      </c>
      <c r="BM3" s="632" t="str">
        <f>IS!BM3</f>
        <v>4Q19</v>
      </c>
      <c r="BN3" s="623">
        <f>IS!BN3</f>
        <v>2019</v>
      </c>
      <c r="BO3" s="632" t="str">
        <f>IS!BO3</f>
        <v>1Q20</v>
      </c>
      <c r="BP3" s="632" t="str">
        <f>IS!BP3</f>
        <v>2Q20</v>
      </c>
      <c r="BQ3" s="632" t="str">
        <f>IS!BQ3</f>
        <v>3Q20</v>
      </c>
      <c r="BR3" s="632" t="str">
        <f>IS!BR3</f>
        <v>4Q20</v>
      </c>
      <c r="BS3" s="623">
        <f>IS!BS3</f>
        <v>2020</v>
      </c>
      <c r="BT3" s="632" t="str">
        <f>IS!BT3</f>
        <v>1Q21</v>
      </c>
      <c r="BU3" s="632" t="str">
        <f>IS!BU3</f>
        <v>2Q21</v>
      </c>
      <c r="BV3" s="632" t="str">
        <f>IS!BV3</f>
        <v>3Q21</v>
      </c>
      <c r="BW3" s="632" t="str">
        <f>IS!BW3</f>
        <v>4Q21</v>
      </c>
      <c r="BX3" s="623">
        <f>IS!BX3</f>
        <v>2021</v>
      </c>
      <c r="BY3" s="632" t="str">
        <f>IS!BY3</f>
        <v>1Q22</v>
      </c>
      <c r="BZ3" s="632" t="str">
        <f>IS!BZ3</f>
        <v>2Q22</v>
      </c>
      <c r="CA3" s="632" t="str">
        <f>IS!CA3</f>
        <v>3Q22</v>
      </c>
      <c r="CB3" s="632" t="str">
        <f>IS!CB3</f>
        <v>4Q22</v>
      </c>
      <c r="CC3" s="623">
        <f>IS!CC3</f>
        <v>2022</v>
      </c>
      <c r="CD3" s="632" t="str">
        <f>IS!CD3</f>
        <v>1Q23</v>
      </c>
      <c r="CE3" s="632" t="str">
        <f>IS!CE3</f>
        <v>2Q23</v>
      </c>
      <c r="CF3" s="632" t="str">
        <f>IS!CF3</f>
        <v>3Q23</v>
      </c>
      <c r="CG3" s="632" t="str">
        <f>IS!CG3</f>
        <v>4Q23</v>
      </c>
      <c r="CH3" s="623">
        <f>IS!CH3</f>
        <v>2023</v>
      </c>
      <c r="CI3" s="632" t="str">
        <f>IS!CI3</f>
        <v>1Q24</v>
      </c>
      <c r="CJ3" s="632" t="str">
        <f>IS!CJ3</f>
        <v>2Q24</v>
      </c>
      <c r="CK3" s="632" t="str">
        <f>IS!CK3</f>
        <v>3Q24</v>
      </c>
      <c r="CL3" s="632" t="str">
        <f>IS!CL3</f>
        <v>4Q24</v>
      </c>
      <c r="CM3" s="623">
        <f>IS!CM3</f>
        <v>2024</v>
      </c>
      <c r="CN3" s="632" t="str">
        <f>IS!CN3</f>
        <v>1Q25</v>
      </c>
      <c r="CO3" s="632" t="str">
        <f>IS!CO3</f>
        <v>2Q25</v>
      </c>
      <c r="CP3" s="632" t="str">
        <f>IS!CP3</f>
        <v>3Q25</v>
      </c>
      <c r="CQ3" s="632" t="str">
        <f>IS!CQ3</f>
        <v>4Q25</v>
      </c>
      <c r="CR3" s="623">
        <f>IS!CR3</f>
        <v>2025</v>
      </c>
    </row>
    <row r="4" spans="2:96" s="1" customFormat="1" ht="15" customHeight="1">
      <c r="B4" s="14" t="s">
        <v>97</v>
      </c>
      <c r="F4" s="1">
        <v>9496</v>
      </c>
      <c r="G4" s="1">
        <v>9808</v>
      </c>
      <c r="H4" s="1">
        <v>9949</v>
      </c>
      <c r="I4" s="1">
        <v>10033</v>
      </c>
      <c r="J4" s="1">
        <v>10076</v>
      </c>
      <c r="L4" s="44">
        <v>10300</v>
      </c>
      <c r="M4" s="44">
        <f>R4/1.1</f>
        <v>10730.90909090909</v>
      </c>
      <c r="N4" s="44">
        <v>10939</v>
      </c>
      <c r="O4" s="44">
        <v>11003</v>
      </c>
      <c r="P4" s="44"/>
      <c r="Q4" s="44">
        <v>11392</v>
      </c>
      <c r="R4" s="44">
        <v>11804</v>
      </c>
      <c r="S4" s="44">
        <v>12117</v>
      </c>
      <c r="T4" s="44">
        <v>12400</v>
      </c>
      <c r="U4" s="49"/>
      <c r="V4" s="44">
        <v>13040</v>
      </c>
      <c r="W4" s="44">
        <v>15324</v>
      </c>
      <c r="X4" s="44">
        <v>15896</v>
      </c>
      <c r="Y4" s="44">
        <v>16129</v>
      </c>
      <c r="Z4" s="49"/>
      <c r="AA4" s="44">
        <v>16443</v>
      </c>
      <c r="AB4" s="44">
        <v>17035</v>
      </c>
      <c r="AC4" s="44">
        <v>17723</v>
      </c>
      <c r="AD4" s="701">
        <v>17977</v>
      </c>
      <c r="AE4" s="52"/>
      <c r="AF4" s="44">
        <v>18398</v>
      </c>
      <c r="AG4" s="44">
        <v>18871</v>
      </c>
      <c r="AH4" s="44">
        <v>19387</v>
      </c>
      <c r="AI4" s="701">
        <v>19690</v>
      </c>
      <c r="AJ4" s="52"/>
      <c r="AK4" s="44">
        <v>20016</v>
      </c>
      <c r="AL4" s="44">
        <v>20745</v>
      </c>
      <c r="AM4" s="702">
        <v>21218</v>
      </c>
      <c r="AN4" s="703">
        <v>21983</v>
      </c>
      <c r="AO4" s="704">
        <v>22000</v>
      </c>
      <c r="AP4" s="702">
        <v>22436</v>
      </c>
      <c r="AQ4" s="702">
        <v>22746</v>
      </c>
      <c r="AR4" s="702">
        <v>23092</v>
      </c>
      <c r="AS4" s="703">
        <v>23410</v>
      </c>
      <c r="AT4" s="705"/>
      <c r="AU4" s="702">
        <v>23817</v>
      </c>
      <c r="AV4" s="702">
        <v>24186</v>
      </c>
      <c r="AW4" s="702">
        <v>24583</v>
      </c>
      <c r="AX4" s="703">
        <v>24805</v>
      </c>
      <c r="AY4" s="705"/>
      <c r="AZ4" s="702">
        <v>25001</v>
      </c>
      <c r="BA4" s="702">
        <v>25153</v>
      </c>
      <c r="BB4" s="702">
        <v>25359</v>
      </c>
      <c r="BC4" s="703">
        <v>25751</v>
      </c>
      <c r="BD4" s="705"/>
      <c r="BE4" s="706">
        <v>25888</v>
      </c>
      <c r="BF4" s="702">
        <v>26212</v>
      </c>
      <c r="BG4" s="702">
        <v>26869</v>
      </c>
      <c r="BH4" s="707">
        <v>29308</v>
      </c>
      <c r="BI4" s="801">
        <f>BH4</f>
        <v>29308</v>
      </c>
      <c r="BJ4" s="702">
        <v>29466</v>
      </c>
      <c r="BK4" s="702">
        <v>29889</v>
      </c>
      <c r="BL4" s="702">
        <v>30551</v>
      </c>
      <c r="BM4" s="702">
        <v>30771</v>
      </c>
      <c r="BN4" s="704">
        <f>BM4</f>
        <v>30771</v>
      </c>
      <c r="BO4" s="702">
        <v>31000</v>
      </c>
      <c r="BP4" s="702">
        <v>31468</v>
      </c>
      <c r="BQ4" s="702">
        <v>32025</v>
      </c>
      <c r="BR4" s="702">
        <v>33151</v>
      </c>
      <c r="BS4" s="704">
        <f>BR4</f>
        <v>33151</v>
      </c>
      <c r="BT4" s="702">
        <v>33850</v>
      </c>
      <c r="BU4" s="702">
        <v>34550</v>
      </c>
      <c r="BV4" s="702">
        <v>35400</v>
      </c>
      <c r="BW4" s="702">
        <v>37500</v>
      </c>
      <c r="BX4" s="704">
        <f>BW4</f>
        <v>37500</v>
      </c>
      <c r="BY4" s="702">
        <v>37900</v>
      </c>
      <c r="BZ4" s="702">
        <v>38650</v>
      </c>
      <c r="CA4" s="702">
        <v>39550</v>
      </c>
      <c r="CB4" s="702">
        <v>42300</v>
      </c>
      <c r="CC4" s="704">
        <f>CB4</f>
        <v>42300</v>
      </c>
      <c r="CD4" s="702">
        <v>42750</v>
      </c>
      <c r="CE4" s="702">
        <v>43000</v>
      </c>
      <c r="CF4" s="702">
        <v>44500</v>
      </c>
      <c r="CG4" s="702">
        <v>44800</v>
      </c>
      <c r="CH4" s="704">
        <f>CG4</f>
        <v>44800</v>
      </c>
      <c r="CI4" s="702">
        <v>44800</v>
      </c>
      <c r="CJ4" s="702">
        <v>44950</v>
      </c>
      <c r="CK4" s="702">
        <v>45200</v>
      </c>
      <c r="CL4" s="702">
        <v>45350</v>
      </c>
      <c r="CM4" s="704">
        <f>CL4</f>
        <v>45350</v>
      </c>
      <c r="CN4" s="702">
        <v>54150</v>
      </c>
      <c r="CO4" s="702">
        <v>54500</v>
      </c>
      <c r="CP4" s="702">
        <v>54950</v>
      </c>
      <c r="CQ4" s="702">
        <v>54600</v>
      </c>
      <c r="CR4" s="704">
        <f>CQ4</f>
        <v>54600</v>
      </c>
    </row>
    <row r="5" spans="2:96" s="84" customFormat="1">
      <c r="B5" s="726"/>
      <c r="C5" s="84" t="s">
        <v>0</v>
      </c>
      <c r="L5" s="637">
        <f t="shared" ref="L5:T5" si="0">L4/G4-1</f>
        <v>5.0163132137031052E-2</v>
      </c>
      <c r="M5" s="637">
        <f t="shared" si="0"/>
        <v>7.8591726898089354E-2</v>
      </c>
      <c r="N5" s="637">
        <f t="shared" si="0"/>
        <v>9.0302003388816887E-2</v>
      </c>
      <c r="O5" s="637">
        <f t="shared" si="0"/>
        <v>9.2000793965859362E-2</v>
      </c>
      <c r="P5" s="637" t="e">
        <f t="shared" si="0"/>
        <v>#DIV/0!</v>
      </c>
      <c r="Q5" s="637">
        <f t="shared" si="0"/>
        <v>0.10601941747572807</v>
      </c>
      <c r="R5" s="637">
        <f t="shared" si="0"/>
        <v>0.10000000000000009</v>
      </c>
      <c r="S5" s="637">
        <f t="shared" si="0"/>
        <v>0.1076880884907212</v>
      </c>
      <c r="T5" s="637">
        <f t="shared" si="0"/>
        <v>0.12696537308006905</v>
      </c>
      <c r="U5" s="727"/>
      <c r="V5" s="637">
        <f>V4/Q4-1</f>
        <v>0.1446629213483146</v>
      </c>
      <c r="W5" s="637">
        <f>W4/R4-1</f>
        <v>0.29820399864452729</v>
      </c>
      <c r="X5" s="637">
        <f>X4/S4-1</f>
        <v>0.31187587686721141</v>
      </c>
      <c r="Y5" s="637">
        <f>Y4/T4-1</f>
        <v>0.30072580645161295</v>
      </c>
      <c r="Z5" s="727"/>
      <c r="AA5" s="637">
        <f>AA4/V4-1</f>
        <v>0.26096625766871173</v>
      </c>
      <c r="AB5" s="637">
        <f>AB4/W4-1</f>
        <v>0.11165492038632219</v>
      </c>
      <c r="AC5" s="637">
        <f>AC4/X4-1</f>
        <v>0.11493457473578261</v>
      </c>
      <c r="AD5" s="637">
        <f>AD4/Y4-1</f>
        <v>0.11457622915245835</v>
      </c>
      <c r="AE5" s="727"/>
      <c r="AF5" s="637">
        <f>AF4/AA4-1</f>
        <v>0.11889557866569356</v>
      </c>
      <c r="AG5" s="637">
        <f>AG4/AB4-1</f>
        <v>0.10777810390372755</v>
      </c>
      <c r="AH5" s="637">
        <f>AH4/AC4-1</f>
        <v>9.3889296394515709E-2</v>
      </c>
      <c r="AI5" s="637">
        <f>AI4/AD4-1</f>
        <v>9.5288424097457858E-2</v>
      </c>
      <c r="AJ5" s="727"/>
      <c r="AK5" s="637">
        <f>AK4/AF4-1</f>
        <v>8.7944341776279966E-2</v>
      </c>
      <c r="AL5" s="637">
        <f>AL4/AG4-1</f>
        <v>9.9305813152456235E-2</v>
      </c>
      <c r="AM5" s="637">
        <f>AM4/AH4-1</f>
        <v>9.4444731005312921E-2</v>
      </c>
      <c r="AN5" s="637">
        <f>AN4/AI4-1</f>
        <v>0.11645505332656181</v>
      </c>
      <c r="AO5" s="727"/>
      <c r="AP5" s="637">
        <f>AP4/AK4-1</f>
        <v>0.12090327737809758</v>
      </c>
      <c r="AQ5" s="637">
        <f>AQ4/AL4-1</f>
        <v>9.6456977584960191E-2</v>
      </c>
      <c r="AR5" s="637">
        <f>AR4/AM4-1</f>
        <v>8.8321236685832805E-2</v>
      </c>
      <c r="AS5" s="637">
        <f>AS4/AN4-1</f>
        <v>6.4913797024973796E-2</v>
      </c>
      <c r="AT5" s="727"/>
      <c r="AU5" s="637">
        <f>AU4/AP4-1</f>
        <v>6.155286147263328E-2</v>
      </c>
      <c r="AV5" s="637">
        <f>AV4/AQ4-1</f>
        <v>6.3307834344500158E-2</v>
      </c>
      <c r="AW5" s="637">
        <f>AW4/AR4-1</f>
        <v>6.4567815693746811E-2</v>
      </c>
      <c r="AX5" s="637">
        <f>AX4/AS4-1</f>
        <v>5.9589918838103273E-2</v>
      </c>
      <c r="AY5" s="727"/>
      <c r="AZ5" s="637">
        <f>AZ4/AU4-1</f>
        <v>4.9712390309442744E-2</v>
      </c>
      <c r="BA5" s="637">
        <f>BA4/AV4-1</f>
        <v>3.9981807657322399E-2</v>
      </c>
      <c r="BB5" s="637">
        <f>BB4/AW4-1</f>
        <v>3.1566529715657099E-2</v>
      </c>
      <c r="BC5" s="637">
        <f>BC4/AX4-1</f>
        <v>3.81374722838137E-2</v>
      </c>
      <c r="BD5" s="727"/>
      <c r="BE5" s="741">
        <f>BE4/AZ4-1</f>
        <v>3.5478580856765696E-2</v>
      </c>
      <c r="BF5" s="637">
        <f>BF4/BA4-1</f>
        <v>4.2102333717648044E-2</v>
      </c>
      <c r="BG5" s="637">
        <f>BG4/BB4-1</f>
        <v>5.9544934737174149E-2</v>
      </c>
      <c r="BH5" s="742">
        <f>BH4/BC4-1</f>
        <v>0.13813055803658103</v>
      </c>
      <c r="BI5" s="727"/>
      <c r="BJ5" s="741">
        <f t="shared" ref="BJ5:CP5" si="1">BJ4/BE4-1</f>
        <v>0.13821075401730543</v>
      </c>
      <c r="BK5" s="637">
        <f t="shared" si="1"/>
        <v>0.14027926140698921</v>
      </c>
      <c r="BL5" s="637">
        <f t="shared" si="1"/>
        <v>0.13703524507797082</v>
      </c>
      <c r="BM5" s="637">
        <f t="shared" si="1"/>
        <v>4.9918111095946571E-2</v>
      </c>
      <c r="BN5" s="795">
        <f t="shared" si="1"/>
        <v>4.9918111095946571E-2</v>
      </c>
      <c r="BO5" s="637">
        <f t="shared" si="1"/>
        <v>5.2060001357496777E-2</v>
      </c>
      <c r="BP5" s="637">
        <f t="shared" si="1"/>
        <v>5.2828799892937095E-2</v>
      </c>
      <c r="BQ5" s="637">
        <f t="shared" si="1"/>
        <v>4.8247193217897832E-2</v>
      </c>
      <c r="BR5" s="637">
        <f t="shared" si="1"/>
        <v>7.7345552630723624E-2</v>
      </c>
      <c r="BS5" s="795">
        <f t="shared" si="1"/>
        <v>7.7345552630723624E-2</v>
      </c>
      <c r="BT5" s="637">
        <f t="shared" si="1"/>
        <v>9.1935483870967838E-2</v>
      </c>
      <c r="BU5" s="637">
        <f t="shared" si="1"/>
        <v>9.794076522181272E-2</v>
      </c>
      <c r="BV5" s="637">
        <f t="shared" si="1"/>
        <v>0.10538641686182659</v>
      </c>
      <c r="BW5" s="637">
        <f t="shared" si="1"/>
        <v>0.13118759615094566</v>
      </c>
      <c r="BX5" s="795">
        <f t="shared" si="1"/>
        <v>0.13118759615094566</v>
      </c>
      <c r="BY5" s="637">
        <f t="shared" si="1"/>
        <v>0.11964549483013287</v>
      </c>
      <c r="BZ5" s="637">
        <f t="shared" si="1"/>
        <v>0.11866859623733728</v>
      </c>
      <c r="CA5" s="637">
        <f t="shared" si="1"/>
        <v>0.11723163841807915</v>
      </c>
      <c r="CB5" s="637">
        <f t="shared" si="1"/>
        <v>0.12799999999999989</v>
      </c>
      <c r="CC5" s="795">
        <f t="shared" si="1"/>
        <v>0.12799999999999989</v>
      </c>
      <c r="CD5" s="637">
        <f t="shared" si="1"/>
        <v>0.12796833773087068</v>
      </c>
      <c r="CE5" s="637">
        <f t="shared" si="1"/>
        <v>0.11254851228978002</v>
      </c>
      <c r="CF5" s="637">
        <f t="shared" si="1"/>
        <v>0.12515802781289498</v>
      </c>
      <c r="CG5" s="637">
        <f t="shared" si="1"/>
        <v>5.9101654846335672E-2</v>
      </c>
      <c r="CH5" s="795">
        <f t="shared" si="1"/>
        <v>5.9101654846335672E-2</v>
      </c>
      <c r="CI5" s="637">
        <f t="shared" si="1"/>
        <v>4.7953216374269081E-2</v>
      </c>
      <c r="CJ5" s="637">
        <f t="shared" si="1"/>
        <v>4.5348837209302273E-2</v>
      </c>
      <c r="CK5" s="637">
        <f t="shared" si="1"/>
        <v>1.5730337078651679E-2</v>
      </c>
      <c r="CL5" s="637">
        <f t="shared" si="1"/>
        <v>1.2276785714285809E-2</v>
      </c>
      <c r="CM5" s="795">
        <f t="shared" si="1"/>
        <v>1.2276785714285809E-2</v>
      </c>
      <c r="CN5" s="637">
        <f t="shared" si="1"/>
        <v>0.20870535714285721</v>
      </c>
      <c r="CO5" s="637">
        <f t="shared" si="1"/>
        <v>0.21245828698553959</v>
      </c>
      <c r="CP5" s="637">
        <f t="shared" si="1"/>
        <v>0.21570796460176989</v>
      </c>
      <c r="CQ5" s="637">
        <f t="shared" ref="CQ5" si="2">CQ4/CL4-1</f>
        <v>0.20396912899669228</v>
      </c>
      <c r="CR5" s="795">
        <f t="shared" ref="CR5" si="3">CR4/CM4-1</f>
        <v>0.20396912899669228</v>
      </c>
    </row>
    <row r="6" spans="2:96" s="84" customFormat="1">
      <c r="B6" s="726"/>
      <c r="C6" s="84" t="s">
        <v>1</v>
      </c>
      <c r="G6" s="637">
        <f>G4/F4-1</f>
        <v>3.2855939342881113E-2</v>
      </c>
      <c r="H6" s="637">
        <f>H4/G4-1</f>
        <v>1.4376019575856436E-2</v>
      </c>
      <c r="I6" s="637">
        <f>I4/H4-1</f>
        <v>8.4430596039803962E-3</v>
      </c>
      <c r="J6" s="637">
        <f>J4/I4-1</f>
        <v>4.2858566729790937E-3</v>
      </c>
      <c r="L6" s="637" t="e">
        <f>L4/K4-1</f>
        <v>#DIV/0!</v>
      </c>
      <c r="M6" s="637">
        <f>M4/L4-1</f>
        <v>4.1835834068843614E-2</v>
      </c>
      <c r="N6" s="637">
        <f>N4/M4-1</f>
        <v>1.9391731616401398E-2</v>
      </c>
      <c r="O6" s="637">
        <f>O4/N4-1</f>
        <v>5.8506261998354514E-3</v>
      </c>
      <c r="P6" s="637">
        <f>P4/O4-1</f>
        <v>-1</v>
      </c>
      <c r="Q6" s="637">
        <f>Q4/O4-1</f>
        <v>3.5353994365173058E-2</v>
      </c>
      <c r="R6" s="637">
        <f>R4/Q4-1</f>
        <v>3.6165730337078594E-2</v>
      </c>
      <c r="S6" s="637">
        <f>S4/R4-1</f>
        <v>2.6516435106743508E-2</v>
      </c>
      <c r="T6" s="637">
        <f>T4/S4-1</f>
        <v>2.3355616076586649E-2</v>
      </c>
      <c r="U6" s="727"/>
      <c r="V6" s="637">
        <f>V4/T4-1</f>
        <v>5.1612903225806361E-2</v>
      </c>
      <c r="W6" s="637">
        <f>W4/V4-1</f>
        <v>0.17515337423312882</v>
      </c>
      <c r="X6" s="637">
        <f>X4/W4-1</f>
        <v>3.7327068650482964E-2</v>
      </c>
      <c r="Y6" s="637">
        <f>Y4/X4-1</f>
        <v>1.465777554101666E-2</v>
      </c>
      <c r="Z6" s="727"/>
      <c r="AA6" s="637">
        <f>AA4/Y4-1</f>
        <v>1.9468038936077958E-2</v>
      </c>
      <c r="AB6" s="637">
        <f>AB4/AA4-1</f>
        <v>3.6003162439943948E-2</v>
      </c>
      <c r="AC6" s="637">
        <f>AC4/AB4-1</f>
        <v>4.0387437628412126E-2</v>
      </c>
      <c r="AD6" s="637">
        <f>AD4/AC4-1</f>
        <v>1.4331659425605103E-2</v>
      </c>
      <c r="AE6" s="727"/>
      <c r="AF6" s="637">
        <f>AF4/AD4-1</f>
        <v>2.3418812927629817E-2</v>
      </c>
      <c r="AG6" s="637">
        <f>AG4/AF4-1</f>
        <v>2.5709316230025037E-2</v>
      </c>
      <c r="AH6" s="637">
        <f>AH4/AG4-1</f>
        <v>2.7343543002490645E-2</v>
      </c>
      <c r="AI6" s="637">
        <f>AI4/AH4-1</f>
        <v>1.5629029762211699E-2</v>
      </c>
      <c r="AJ6" s="727"/>
      <c r="AK6" s="637">
        <f>AK4/AI4-1</f>
        <v>1.6556627729812146E-2</v>
      </c>
      <c r="AL6" s="637">
        <f>AL4/AK4-1</f>
        <v>3.6420863309352569E-2</v>
      </c>
      <c r="AM6" s="637">
        <f>AM4/AL4-1</f>
        <v>2.2800674861412462E-2</v>
      </c>
      <c r="AN6" s="637">
        <f>AN4/AM4-1</f>
        <v>3.6054293524366177E-2</v>
      </c>
      <c r="AO6" s="727"/>
      <c r="AP6" s="637">
        <f>AP4/AN4-1</f>
        <v>2.0606832552426901E-2</v>
      </c>
      <c r="AQ6" s="637">
        <f>AQ4/AP4-1</f>
        <v>1.3817079693349887E-2</v>
      </c>
      <c r="AR6" s="637">
        <f>AR4/AQ4-1</f>
        <v>1.521146575222021E-2</v>
      </c>
      <c r="AS6" s="637">
        <f>AS4/AR4-1</f>
        <v>1.3771002944742872E-2</v>
      </c>
      <c r="AT6" s="727"/>
      <c r="AU6" s="637">
        <f>AU4/AS4-1</f>
        <v>1.7385732592908987E-2</v>
      </c>
      <c r="AV6" s="637">
        <f>AV4/AU4-1</f>
        <v>1.5493135155561166E-2</v>
      </c>
      <c r="AW6" s="637">
        <f>AW4/AV4-1</f>
        <v>1.6414454643181919E-2</v>
      </c>
      <c r="AX6" s="637">
        <f>AX4/AW4-1</f>
        <v>9.0306309238090687E-3</v>
      </c>
      <c r="AY6" s="727"/>
      <c r="AZ6" s="637">
        <f>AZ4/AX4-1</f>
        <v>7.9016327353356175E-3</v>
      </c>
      <c r="BA6" s="637">
        <f>BA4/AZ4-1</f>
        <v>6.079756809727721E-3</v>
      </c>
      <c r="BB6" s="637">
        <f>BB4/BA4-1</f>
        <v>8.1898779469646854E-3</v>
      </c>
      <c r="BC6" s="637">
        <f>BC4/BB4-1</f>
        <v>1.5458022792696813E-2</v>
      </c>
      <c r="BD6" s="727"/>
      <c r="BE6" s="741">
        <f>BE4/BC4-1</f>
        <v>5.320181740514851E-3</v>
      </c>
      <c r="BF6" s="637"/>
      <c r="BG6" s="637"/>
      <c r="BH6" s="742"/>
      <c r="BI6" s="727"/>
      <c r="BJ6" s="741">
        <f>BJ4/BH4-1</f>
        <v>5.3910195168553887E-3</v>
      </c>
      <c r="BK6" s="637">
        <f>BK4/BJ4-1</f>
        <v>1.4355528405620044E-2</v>
      </c>
      <c r="BL6" s="637">
        <f>BL4/BK4-1</f>
        <v>2.2148616547893907E-2</v>
      </c>
      <c r="BM6" s="637">
        <f>BM4/BL4-1</f>
        <v>7.2010736146115306E-3</v>
      </c>
      <c r="BN6" s="727"/>
      <c r="BO6" s="637">
        <f>BO4/BM4-1</f>
        <v>7.4420720808554552E-3</v>
      </c>
      <c r="BP6" s="637">
        <f>BP4/BO4-1</f>
        <v>1.5096774193548379E-2</v>
      </c>
      <c r="BQ6" s="637">
        <f>BQ4/BP4-1</f>
        <v>1.7700521164357497E-2</v>
      </c>
      <c r="BR6" s="637">
        <f>BR4/BQ4-1</f>
        <v>3.5160031225605071E-2</v>
      </c>
      <c r="BS6" s="727"/>
      <c r="BT6" s="637">
        <f>BT4/BR4-1</f>
        <v>2.1085336792253662E-2</v>
      </c>
      <c r="BU6" s="637">
        <f>BU4/BT4-1</f>
        <v>2.0679468242245092E-2</v>
      </c>
      <c r="BV6" s="637">
        <f>BV4/BU4-1</f>
        <v>2.460202604920414E-2</v>
      </c>
      <c r="BW6" s="637">
        <f>BW4/BV4-1</f>
        <v>5.9322033898305149E-2</v>
      </c>
      <c r="BX6" s="727"/>
      <c r="BY6" s="637">
        <f>BY4/BW4-1</f>
        <v>1.0666666666666602E-2</v>
      </c>
      <c r="BZ6" s="637">
        <f>BZ4/BY4-1</f>
        <v>1.978891820580464E-2</v>
      </c>
      <c r="CA6" s="637">
        <f>CA4/BZ4-1</f>
        <v>2.3285899094437346E-2</v>
      </c>
      <c r="CB6" s="637">
        <f>CB4/CA4-1</f>
        <v>6.9532237673830544E-2</v>
      </c>
      <c r="CC6" s="727"/>
      <c r="CD6" s="637">
        <f>CD4/CB4-1</f>
        <v>1.0638297872340496E-2</v>
      </c>
      <c r="CE6" s="637">
        <f>CE4/CD4-1</f>
        <v>5.8479532163742132E-3</v>
      </c>
      <c r="CF6" s="637">
        <f>CF4/CE4-1</f>
        <v>3.488372093023262E-2</v>
      </c>
      <c r="CG6" s="637">
        <f>CG4/CF4-1</f>
        <v>6.741573033707926E-3</v>
      </c>
      <c r="CH6" s="727"/>
      <c r="CI6" s="637">
        <f>CI4/CG4-1</f>
        <v>0</v>
      </c>
      <c r="CJ6" s="637">
        <f>CJ4/CI4-1</f>
        <v>3.3482142857141906E-3</v>
      </c>
      <c r="CK6" s="637">
        <f>CK4/CJ4-1</f>
        <v>5.5617352614014681E-3</v>
      </c>
      <c r="CL6" s="637">
        <f>CL4/CK4-1</f>
        <v>3.3185840707965486E-3</v>
      </c>
      <c r="CM6" s="727"/>
      <c r="CN6" s="637">
        <f>CN4/CL4-1</f>
        <v>0.19404630650496135</v>
      </c>
      <c r="CO6" s="637">
        <f>CO4/CN4-1</f>
        <v>6.4635272391504461E-3</v>
      </c>
      <c r="CP6" s="637">
        <f>CP4/CO4-1</f>
        <v>8.2568807339449268E-3</v>
      </c>
      <c r="CQ6" s="637">
        <f>CQ4/CP4-1</f>
        <v>-6.3694267515923553E-3</v>
      </c>
      <c r="CR6" s="727"/>
    </row>
    <row r="7" spans="2:96" s="720" customFormat="1" ht="15.75" customHeight="1">
      <c r="B7" s="719" t="s">
        <v>553</v>
      </c>
      <c r="L7" s="720">
        <f>L4-J4</f>
        <v>224</v>
      </c>
      <c r="M7" s="720">
        <f>M4-L4</f>
        <v>430.90909090909008</v>
      </c>
      <c r="N7" s="720">
        <f>N4-M4</f>
        <v>208.09090909090992</v>
      </c>
      <c r="O7" s="720">
        <f>O4-N4</f>
        <v>64</v>
      </c>
      <c r="Q7" s="720">
        <f>Q4-O4</f>
        <v>389</v>
      </c>
      <c r="R7" s="720">
        <f>R4-Q4</f>
        <v>412</v>
      </c>
      <c r="S7" s="720">
        <f>S4-R4</f>
        <v>313</v>
      </c>
      <c r="T7" s="720">
        <f>T4-S4</f>
        <v>283</v>
      </c>
      <c r="U7" s="721"/>
      <c r="V7" s="720">
        <f>V4-T4</f>
        <v>640</v>
      </c>
      <c r="W7" s="720">
        <f>W4-V4</f>
        <v>2284</v>
      </c>
      <c r="X7" s="720">
        <f>X4-W4</f>
        <v>572</v>
      </c>
      <c r="Y7" s="720">
        <f>Y4-X4</f>
        <v>233</v>
      </c>
      <c r="Z7" s="721"/>
      <c r="AA7" s="720">
        <f>AA4-Y4</f>
        <v>314</v>
      </c>
      <c r="AB7" s="720">
        <f>AB4-AA4</f>
        <v>592</v>
      </c>
      <c r="AC7" s="720">
        <f>AC4-AB4</f>
        <v>688</v>
      </c>
      <c r="AD7" s="720">
        <f>+AD4-AC4</f>
        <v>254</v>
      </c>
      <c r="AE7" s="721"/>
      <c r="AF7" s="720">
        <f>AF4-AD4</f>
        <v>421</v>
      </c>
      <c r="AG7" s="720">
        <f>AG4-AF4</f>
        <v>473</v>
      </c>
      <c r="AH7" s="720">
        <f>AH4-AG4</f>
        <v>516</v>
      </c>
      <c r="AI7" s="720">
        <f>+AI4-AH4</f>
        <v>303</v>
      </c>
      <c r="AJ7" s="721"/>
      <c r="AK7" s="720">
        <f>AK4-AI4</f>
        <v>326</v>
      </c>
      <c r="AL7" s="720">
        <f>AL4-AK4</f>
        <v>729</v>
      </c>
      <c r="AM7" s="720">
        <f>AM4-AL4</f>
        <v>473</v>
      </c>
      <c r="AN7" s="720">
        <f>+AN4-AM4</f>
        <v>765</v>
      </c>
      <c r="AO7" s="721"/>
      <c r="AP7" s="720">
        <f>AP4-AN4</f>
        <v>453</v>
      </c>
      <c r="AQ7" s="720">
        <f>AQ4-AP4</f>
        <v>310</v>
      </c>
      <c r="AR7" s="720">
        <f>AR4-AQ4</f>
        <v>346</v>
      </c>
      <c r="AS7" s="720">
        <f>AS4-AR4</f>
        <v>318</v>
      </c>
      <c r="AT7" s="721"/>
      <c r="AU7" s="722">
        <f>AU4-AS4</f>
        <v>407</v>
      </c>
      <c r="AV7" s="722">
        <f>AV4-AU4</f>
        <v>369</v>
      </c>
      <c r="AW7" s="722">
        <f>AW4-AV4</f>
        <v>397</v>
      </c>
      <c r="AX7" s="722">
        <f>+AX4-AW4</f>
        <v>222</v>
      </c>
      <c r="AY7" s="721"/>
      <c r="AZ7" s="722">
        <f>AZ4-AX4</f>
        <v>196</v>
      </c>
      <c r="BA7" s="722">
        <f>BA4-AZ4</f>
        <v>152</v>
      </c>
      <c r="BB7" s="722">
        <f>BB4-BA4</f>
        <v>206</v>
      </c>
      <c r="BC7" s="722">
        <f>BC4-BB4</f>
        <v>392</v>
      </c>
      <c r="BD7" s="721"/>
      <c r="BE7" s="723">
        <f>BE4-BC4</f>
        <v>137</v>
      </c>
      <c r="BF7" s="722">
        <f>BF4-BE4</f>
        <v>324</v>
      </c>
      <c r="BG7" s="722">
        <f>BG4-BF4</f>
        <v>657</v>
      </c>
      <c r="BH7" s="724">
        <f>BH4-BG4</f>
        <v>2439</v>
      </c>
      <c r="BI7" s="721">
        <f>SUM(BE7:BH7)</f>
        <v>3557</v>
      </c>
      <c r="BJ7" s="719">
        <f>BJ4-BH4</f>
        <v>158</v>
      </c>
      <c r="BK7" s="720">
        <f>BK4-BJ4</f>
        <v>423</v>
      </c>
      <c r="BL7" s="720">
        <f>BL4-BK4</f>
        <v>662</v>
      </c>
      <c r="BM7" s="720">
        <f>BM4-BL4</f>
        <v>220</v>
      </c>
      <c r="BN7" s="721">
        <f>SUM(BJ7:BM7)</f>
        <v>1463</v>
      </c>
      <c r="BO7" s="720">
        <f>BO4-BM4</f>
        <v>229</v>
      </c>
      <c r="BP7" s="720">
        <f>BP4-BO4</f>
        <v>468</v>
      </c>
      <c r="BQ7" s="720">
        <f>BQ4-BP4</f>
        <v>557</v>
      </c>
      <c r="BR7" s="720">
        <f>BR4-BQ4</f>
        <v>1126</v>
      </c>
      <c r="BS7" s="721">
        <f>SUM(BO7:BR7)</f>
        <v>2380</v>
      </c>
      <c r="BT7" s="720">
        <f>BT4-BR4</f>
        <v>699</v>
      </c>
      <c r="BU7" s="720">
        <f>BU4-BT4</f>
        <v>700</v>
      </c>
      <c r="BV7" s="720">
        <f>BV4-BU4</f>
        <v>850</v>
      </c>
      <c r="BW7" s="720">
        <f>BW4-BV4</f>
        <v>2100</v>
      </c>
      <c r="BX7" s="721">
        <f>SUM(BT7:BW7)</f>
        <v>4349</v>
      </c>
      <c r="BY7" s="720">
        <f>BY4-BW4</f>
        <v>400</v>
      </c>
      <c r="BZ7" s="720">
        <f>BZ4-BY4</f>
        <v>750</v>
      </c>
      <c r="CA7" s="720">
        <f>CA4-BZ4</f>
        <v>900</v>
      </c>
      <c r="CB7" s="720">
        <f>CB4-CA4</f>
        <v>2750</v>
      </c>
      <c r="CC7" s="721">
        <f>SUM(BY7:CB7)</f>
        <v>4800</v>
      </c>
      <c r="CD7" s="720">
        <f>CD4-CB4</f>
        <v>450</v>
      </c>
      <c r="CE7" s="720">
        <f>CE4-CD4</f>
        <v>250</v>
      </c>
      <c r="CF7" s="720">
        <f>CF4-CE4</f>
        <v>1500</v>
      </c>
      <c r="CG7" s="720">
        <f>CG4-CF4</f>
        <v>300</v>
      </c>
      <c r="CH7" s="721">
        <f>SUM(CD7:CG7)</f>
        <v>2500</v>
      </c>
      <c r="CI7" s="720">
        <f>CI4-CG4</f>
        <v>0</v>
      </c>
      <c r="CJ7" s="720">
        <f>CJ4-CI4</f>
        <v>150</v>
      </c>
      <c r="CK7" s="720">
        <f>CK4-CJ4</f>
        <v>250</v>
      </c>
      <c r="CL7" s="720">
        <f>CL4-CK4</f>
        <v>150</v>
      </c>
      <c r="CM7" s="721">
        <f>SUM(CI7:CL7)</f>
        <v>550</v>
      </c>
      <c r="CN7" s="720">
        <f>CN4-CL4</f>
        <v>8800</v>
      </c>
      <c r="CO7" s="720">
        <f>CO4-CN4</f>
        <v>350</v>
      </c>
      <c r="CP7" s="720">
        <f>CP4-CO4</f>
        <v>450</v>
      </c>
      <c r="CQ7" s="720">
        <f>CQ4-CP4</f>
        <v>-350</v>
      </c>
      <c r="CR7" s="721">
        <f>SUM(CN7:CQ7)</f>
        <v>9250</v>
      </c>
    </row>
    <row r="8" spans="2:96" s="254" customFormat="1">
      <c r="B8" s="715"/>
      <c r="C8" s="254" t="s">
        <v>124</v>
      </c>
      <c r="U8" s="385"/>
      <c r="W8" s="254" t="s">
        <v>138</v>
      </c>
      <c r="Z8" s="385"/>
      <c r="AA8" s="637">
        <f t="shared" ref="AA8:AI8" si="4">AA7/V7-1</f>
        <v>-0.50937500000000002</v>
      </c>
      <c r="AB8" s="637">
        <f t="shared" si="4"/>
        <v>-0.74080560420315233</v>
      </c>
      <c r="AC8" s="637">
        <f t="shared" si="4"/>
        <v>0.2027972027972027</v>
      </c>
      <c r="AD8" s="637">
        <f t="shared" si="4"/>
        <v>9.0128755364806912E-2</v>
      </c>
      <c r="AE8" s="638"/>
      <c r="AF8" s="637">
        <f t="shared" si="4"/>
        <v>0.34076433121019112</v>
      </c>
      <c r="AG8" s="637">
        <f t="shared" si="4"/>
        <v>-0.20101351351351349</v>
      </c>
      <c r="AH8" s="637">
        <f t="shared" si="4"/>
        <v>-0.25</v>
      </c>
      <c r="AI8" s="637">
        <f t="shared" si="4"/>
        <v>0.19291338582677175</v>
      </c>
      <c r="AJ8" s="638"/>
      <c r="AK8" s="637">
        <f>AK7/AF7-1</f>
        <v>-0.22565320665083133</v>
      </c>
      <c r="AL8" s="637">
        <f>AL7/AG7-1</f>
        <v>0.54122621564482021</v>
      </c>
      <c r="AM8" s="637">
        <f>AM7/AH7-1</f>
        <v>-8.333333333333337E-2</v>
      </c>
      <c r="AN8" s="637">
        <f>AN7/AI7-1</f>
        <v>1.5247524752475248</v>
      </c>
      <c r="AO8" s="638"/>
      <c r="AP8" s="637">
        <f>AP7/AK7-1</f>
        <v>0.38957055214723924</v>
      </c>
      <c r="AQ8" s="637">
        <f>AQ7/AL7-1</f>
        <v>-0.57475994513031547</v>
      </c>
      <c r="AR8" s="637">
        <f>AR7/AM7-1</f>
        <v>-0.26849894291754761</v>
      </c>
      <c r="AS8" s="637">
        <f>AS7/AN7-1</f>
        <v>-0.584313725490196</v>
      </c>
      <c r="AT8" s="638"/>
      <c r="AU8" s="637">
        <f>AU7/AP7-1</f>
        <v>-0.10154525386313462</v>
      </c>
      <c r="AV8" s="637">
        <f>AV7/AQ7-1</f>
        <v>0.19032258064516139</v>
      </c>
      <c r="AW8" s="637">
        <f>AW7/AR7-1</f>
        <v>0.14739884393063574</v>
      </c>
      <c r="AX8" s="637">
        <f>AX7/AS7-1</f>
        <v>-0.30188679245283023</v>
      </c>
      <c r="AY8" s="638"/>
      <c r="AZ8" s="637">
        <f>AZ7/AU7-1</f>
        <v>-0.51842751842751844</v>
      </c>
      <c r="BA8" s="637">
        <f>BA7/AV7-1</f>
        <v>-0.58807588075880757</v>
      </c>
      <c r="BB8" s="637">
        <f>BB7/AW7-1</f>
        <v>-0.48110831234256923</v>
      </c>
      <c r="BC8" s="637">
        <f>BC7/AX7-1</f>
        <v>0.76576576576576572</v>
      </c>
      <c r="BD8" s="638"/>
      <c r="BE8" s="741">
        <f>BE7/AZ7-1</f>
        <v>-0.30102040816326525</v>
      </c>
      <c r="BF8" s="253">
        <f>BF6-BE6</f>
        <v>-5.320181740514851E-3</v>
      </c>
      <c r="BG8" s="838">
        <f>BG6-BF6</f>
        <v>0</v>
      </c>
      <c r="BH8" s="742"/>
      <c r="BI8" s="638"/>
      <c r="BJ8" s="839">
        <f>BJ7/BE7-1</f>
        <v>0.15328467153284664</v>
      </c>
      <c r="BK8" s="365">
        <f>BK7/BF7-1</f>
        <v>0.30555555555555558</v>
      </c>
      <c r="BL8" s="365">
        <f>BL7/BG7-1</f>
        <v>7.6103500761035558E-3</v>
      </c>
      <c r="BM8" s="365">
        <f>BM7/265-1</f>
        <v>-0.16981132075471694</v>
      </c>
      <c r="BN8" s="840">
        <f>BN7/BI7-1</f>
        <v>-0.58869834129884735</v>
      </c>
      <c r="BO8" s="365">
        <f>BO7/BJ7-1</f>
        <v>0.44936708860759489</v>
      </c>
      <c r="BP8" s="365">
        <f>BP7/BK7-1</f>
        <v>0.1063829787234043</v>
      </c>
      <c r="BQ8" s="365">
        <f>BQ7/BL7-1</f>
        <v>-0.15861027190332322</v>
      </c>
      <c r="BR8" s="365">
        <f>BR7/265-1</f>
        <v>3.2490566037735853</v>
      </c>
      <c r="BS8" s="840">
        <f>BS7/BN7-1</f>
        <v>0.62679425837320579</v>
      </c>
      <c r="BT8" s="365">
        <f>BT7/BO7-1</f>
        <v>2.052401746724891</v>
      </c>
      <c r="BU8" s="365">
        <f>BU7/BP7-1</f>
        <v>0.49572649572649574</v>
      </c>
      <c r="BV8" s="365">
        <f>BV7/BQ7-1</f>
        <v>0.52603231597845612</v>
      </c>
      <c r="BW8" s="365">
        <f>BW7/265-1</f>
        <v>6.9245283018867925</v>
      </c>
      <c r="BX8" s="840">
        <f t="shared" ref="BX8:CP8" si="5">BX7/BS7-1</f>
        <v>0.82731092436974785</v>
      </c>
      <c r="BY8" s="365">
        <f t="shared" si="5"/>
        <v>-0.42775393419170238</v>
      </c>
      <c r="BZ8" s="365">
        <f t="shared" si="5"/>
        <v>7.1428571428571397E-2</v>
      </c>
      <c r="CA8" s="365">
        <f t="shared" si="5"/>
        <v>5.8823529411764719E-2</v>
      </c>
      <c r="CB8" s="365">
        <f t="shared" si="5"/>
        <v>0.30952380952380953</v>
      </c>
      <c r="CC8" s="840">
        <f t="shared" si="5"/>
        <v>0.10370200045987588</v>
      </c>
      <c r="CD8" s="365">
        <f t="shared" si="5"/>
        <v>0.125</v>
      </c>
      <c r="CE8" s="365">
        <f t="shared" si="5"/>
        <v>-0.66666666666666674</v>
      </c>
      <c r="CF8" s="365">
        <f t="shared" si="5"/>
        <v>0.66666666666666674</v>
      </c>
      <c r="CG8" s="365">
        <f t="shared" si="5"/>
        <v>-0.89090909090909087</v>
      </c>
      <c r="CH8" s="840">
        <f t="shared" si="5"/>
        <v>-0.47916666666666663</v>
      </c>
      <c r="CI8" s="365">
        <f t="shared" si="5"/>
        <v>-1</v>
      </c>
      <c r="CJ8" s="365">
        <f t="shared" si="5"/>
        <v>-0.4</v>
      </c>
      <c r="CK8" s="365">
        <f t="shared" si="5"/>
        <v>-0.83333333333333337</v>
      </c>
      <c r="CL8" s="365">
        <f t="shared" si="5"/>
        <v>-0.5</v>
      </c>
      <c r="CM8" s="840">
        <f t="shared" si="5"/>
        <v>-0.78</v>
      </c>
      <c r="CN8" s="842" t="s">
        <v>554</v>
      </c>
      <c r="CO8" s="365">
        <f t="shared" si="5"/>
        <v>1.3333333333333335</v>
      </c>
      <c r="CP8" s="365">
        <f t="shared" si="5"/>
        <v>0.8</v>
      </c>
      <c r="CQ8" s="365">
        <f t="shared" ref="CQ8" si="6">CQ7/CL7-1</f>
        <v>-3.3333333333333335</v>
      </c>
      <c r="CR8" s="840">
        <f t="shared" ref="CR8" si="7">CR7/CM7-1</f>
        <v>15.818181818181817</v>
      </c>
    </row>
    <row r="9" spans="2:96" s="1" customFormat="1" ht="15" customHeight="1" outlineLevel="1">
      <c r="B9" s="14" t="s">
        <v>524</v>
      </c>
      <c r="L9" s="44"/>
      <c r="M9" s="44"/>
      <c r="N9" s="44"/>
      <c r="O9" s="44"/>
      <c r="P9" s="44"/>
      <c r="Q9" s="44"/>
      <c r="R9" s="44"/>
      <c r="S9" s="44"/>
      <c r="T9" s="44"/>
      <c r="U9" s="49"/>
      <c r="V9" s="44"/>
      <c r="W9" s="44"/>
      <c r="X9" s="44"/>
      <c r="Y9" s="44"/>
      <c r="Z9" s="49"/>
      <c r="AA9" s="44"/>
      <c r="AB9" s="44"/>
      <c r="AC9" s="44"/>
      <c r="AD9" s="701"/>
      <c r="AE9" s="52"/>
      <c r="AF9" s="44"/>
      <c r="AG9" s="44"/>
      <c r="AH9" s="44"/>
      <c r="AI9" s="701"/>
      <c r="AJ9" s="52"/>
      <c r="AK9" s="44"/>
      <c r="AL9" s="44"/>
      <c r="AM9" s="702"/>
      <c r="AN9" s="703">
        <v>265</v>
      </c>
      <c r="AO9" s="704"/>
      <c r="AP9" s="702"/>
      <c r="AQ9" s="702"/>
      <c r="AR9" s="702"/>
      <c r="AS9" s="703"/>
      <c r="AT9" s="705"/>
      <c r="AU9" s="702">
        <f>407-24</f>
        <v>383</v>
      </c>
      <c r="AV9" s="702"/>
      <c r="AW9" s="702"/>
      <c r="AX9" s="703"/>
      <c r="AY9" s="705"/>
      <c r="AZ9" s="702"/>
      <c r="BA9" s="702"/>
      <c r="BB9" s="702"/>
      <c r="BC9" s="703"/>
      <c r="BD9" s="705"/>
      <c r="BE9" s="706"/>
      <c r="BF9" s="702"/>
      <c r="BG9" s="702"/>
      <c r="BH9" s="707">
        <v>265</v>
      </c>
      <c r="BI9" s="801"/>
      <c r="BJ9" s="702"/>
      <c r="BK9" s="702"/>
      <c r="BL9" s="702"/>
      <c r="BM9" s="702"/>
      <c r="BN9" s="704"/>
      <c r="BO9" s="702"/>
      <c r="BP9" s="702"/>
      <c r="BQ9" s="702"/>
      <c r="BR9" s="702">
        <f>BR7-500</f>
        <v>626</v>
      </c>
      <c r="BS9" s="704"/>
      <c r="BT9" s="702"/>
      <c r="BU9" s="702"/>
      <c r="BV9" s="702"/>
      <c r="BW9" s="702">
        <f>BW7-1700</f>
        <v>400</v>
      </c>
      <c r="BX9" s="704"/>
      <c r="BY9" s="702"/>
      <c r="BZ9" s="702"/>
      <c r="CA9" s="702">
        <f>CA7-500</f>
        <v>400</v>
      </c>
      <c r="CB9" s="702">
        <f>CB7-2500</f>
        <v>250</v>
      </c>
      <c r="CC9" s="704"/>
      <c r="CD9" s="702"/>
      <c r="CE9" s="702"/>
      <c r="CF9" s="702">
        <v>500</v>
      </c>
      <c r="CG9" s="702"/>
      <c r="CH9" s="704"/>
      <c r="CI9" s="702"/>
      <c r="CJ9" s="702"/>
      <c r="CK9" s="702">
        <f>CK7-200</f>
        <v>50</v>
      </c>
      <c r="CL9" s="702"/>
      <c r="CM9" s="704"/>
      <c r="CN9" s="702">
        <f>CN7-8500</f>
        <v>300</v>
      </c>
      <c r="CO9" s="702"/>
      <c r="CP9" s="702"/>
      <c r="CQ9" s="702"/>
      <c r="CR9" s="704"/>
    </row>
    <row r="10" spans="2:96" s="1" customFormat="1" ht="30.75" customHeight="1">
      <c r="B10" s="14" t="s">
        <v>552</v>
      </c>
      <c r="F10" s="1">
        <v>9496</v>
      </c>
      <c r="G10" s="1">
        <v>9808</v>
      </c>
      <c r="H10" s="1">
        <v>9949</v>
      </c>
      <c r="I10" s="1">
        <v>10033</v>
      </c>
      <c r="J10" s="1">
        <v>10076</v>
      </c>
      <c r="L10" s="44">
        <v>10300</v>
      </c>
      <c r="M10" s="44">
        <f>R10/1.1</f>
        <v>10730.90909090909</v>
      </c>
      <c r="N10" s="44">
        <v>10939</v>
      </c>
      <c r="O10" s="44">
        <v>11003</v>
      </c>
      <c r="P10" s="44"/>
      <c r="Q10" s="44">
        <v>11392</v>
      </c>
      <c r="R10" s="44">
        <v>11804</v>
      </c>
      <c r="S10" s="44">
        <v>12117</v>
      </c>
      <c r="T10" s="44">
        <v>12400</v>
      </c>
      <c r="U10" s="49"/>
      <c r="V10" s="44">
        <v>13040</v>
      </c>
      <c r="W10" s="44">
        <v>15324</v>
      </c>
      <c r="X10" s="44">
        <v>15896</v>
      </c>
      <c r="Y10" s="44">
        <v>16129</v>
      </c>
      <c r="Z10" s="49"/>
      <c r="AA10" s="44">
        <v>16443</v>
      </c>
      <c r="AB10" s="44">
        <v>17035</v>
      </c>
      <c r="AC10" s="44">
        <v>17723</v>
      </c>
      <c r="AD10" s="701">
        <v>17977</v>
      </c>
      <c r="AE10" s="52"/>
      <c r="AF10" s="44">
        <v>18398</v>
      </c>
      <c r="AG10" s="44">
        <v>18871</v>
      </c>
      <c r="AH10" s="44">
        <v>19387</v>
      </c>
      <c r="AI10" s="701">
        <v>19690</v>
      </c>
      <c r="AJ10" s="52"/>
      <c r="AK10" s="44">
        <v>20016</v>
      </c>
      <c r="AL10" s="44">
        <v>20745</v>
      </c>
      <c r="AM10" s="702">
        <v>21218</v>
      </c>
      <c r="AN10" s="703">
        <v>21983</v>
      </c>
      <c r="AO10" s="704">
        <v>22000</v>
      </c>
      <c r="AP10" s="702">
        <v>22436</v>
      </c>
      <c r="AQ10" s="702">
        <v>22746</v>
      </c>
      <c r="AR10" s="702">
        <v>23092</v>
      </c>
      <c r="AS10" s="703">
        <v>23410</v>
      </c>
      <c r="AT10" s="705"/>
      <c r="AU10" s="702">
        <v>23817</v>
      </c>
      <c r="AV10" s="702">
        <v>24186</v>
      </c>
      <c r="AW10" s="702">
        <v>24583</v>
      </c>
      <c r="AX10" s="703">
        <v>24805</v>
      </c>
      <c r="AY10" s="705"/>
      <c r="AZ10" s="702">
        <v>25001</v>
      </c>
      <c r="BA10" s="702">
        <v>25153</v>
      </c>
      <c r="BB10" s="702">
        <v>25359</v>
      </c>
      <c r="BC10" s="703">
        <v>25751</v>
      </c>
      <c r="BD10" s="705"/>
      <c r="BE10" s="706">
        <v>25888</v>
      </c>
      <c r="BF10" s="702">
        <v>26212</v>
      </c>
      <c r="BG10" s="702">
        <v>26869</v>
      </c>
      <c r="BH10" s="707">
        <v>29308</v>
      </c>
      <c r="BI10" s="801">
        <f>BH10</f>
        <v>29308</v>
      </c>
      <c r="BJ10" s="702">
        <v>29466</v>
      </c>
      <c r="BK10" s="702">
        <v>29889</v>
      </c>
      <c r="BL10" s="702">
        <v>30551</v>
      </c>
      <c r="BM10" s="702">
        <v>30771</v>
      </c>
      <c r="BN10" s="704">
        <f>BM10</f>
        <v>30771</v>
      </c>
      <c r="BO10" s="702">
        <v>31000</v>
      </c>
      <c r="BP10" s="702">
        <v>31468</v>
      </c>
      <c r="BQ10" s="702">
        <v>32025</v>
      </c>
      <c r="BR10" s="702">
        <v>33151</v>
      </c>
      <c r="BS10" s="704">
        <f>BR10</f>
        <v>33151</v>
      </c>
      <c r="BT10" s="702">
        <v>33850</v>
      </c>
      <c r="BU10" s="702">
        <v>34550</v>
      </c>
      <c r="BV10" s="702">
        <v>35400</v>
      </c>
      <c r="BW10" s="702">
        <v>37500</v>
      </c>
      <c r="BX10" s="704">
        <f>BW10</f>
        <v>37500</v>
      </c>
      <c r="BY10" s="702">
        <v>37900</v>
      </c>
      <c r="BZ10" s="702">
        <v>38650</v>
      </c>
      <c r="CA10" s="702">
        <v>39550</v>
      </c>
      <c r="CB10" s="702">
        <v>42300</v>
      </c>
      <c r="CC10" s="704">
        <f>CB10</f>
        <v>42300</v>
      </c>
      <c r="CD10" s="702">
        <v>42750</v>
      </c>
      <c r="CE10" s="702">
        <v>43000</v>
      </c>
      <c r="CF10" s="702">
        <v>44500</v>
      </c>
      <c r="CG10" s="702">
        <v>44800</v>
      </c>
      <c r="CH10" s="704">
        <f>CG10</f>
        <v>44800</v>
      </c>
      <c r="CI10" s="702">
        <v>44800</v>
      </c>
      <c r="CJ10" s="702">
        <v>44950</v>
      </c>
      <c r="CK10" s="702">
        <v>45200</v>
      </c>
      <c r="CL10" s="702">
        <v>45350</v>
      </c>
      <c r="CM10" s="704">
        <f>CL10</f>
        <v>45350</v>
      </c>
      <c r="CN10" s="702">
        <v>45950</v>
      </c>
      <c r="CO10" s="702">
        <v>46300</v>
      </c>
      <c r="CP10" s="702">
        <v>46900</v>
      </c>
      <c r="CQ10" s="702">
        <v>46900</v>
      </c>
      <c r="CR10" s="704">
        <f>CQ10</f>
        <v>46900</v>
      </c>
    </row>
    <row r="11" spans="2:96" s="84" customFormat="1">
      <c r="B11" s="726"/>
      <c r="C11" s="84" t="s">
        <v>0</v>
      </c>
      <c r="L11" s="637">
        <f t="shared" ref="L11" si="8">L10/G10-1</f>
        <v>5.0163132137031052E-2</v>
      </c>
      <c r="M11" s="637">
        <f t="shared" ref="M11" si="9">M10/H10-1</f>
        <v>7.8591726898089354E-2</v>
      </c>
      <c r="N11" s="637">
        <f t="shared" ref="N11" si="10">N10/I10-1</f>
        <v>9.0302003388816887E-2</v>
      </c>
      <c r="O11" s="637">
        <f t="shared" ref="O11" si="11">O10/J10-1</f>
        <v>9.2000793965859362E-2</v>
      </c>
      <c r="P11" s="637" t="e">
        <f t="shared" ref="P11" si="12">P10/K10-1</f>
        <v>#DIV/0!</v>
      </c>
      <c r="Q11" s="637">
        <f t="shared" ref="Q11" si="13">Q10/L10-1</f>
        <v>0.10601941747572807</v>
      </c>
      <c r="R11" s="637">
        <f t="shared" ref="R11" si="14">R10/M10-1</f>
        <v>0.10000000000000009</v>
      </c>
      <c r="S11" s="637">
        <f t="shared" ref="S11" si="15">S10/N10-1</f>
        <v>0.1076880884907212</v>
      </c>
      <c r="T11" s="637">
        <f t="shared" ref="T11" si="16">T10/O10-1</f>
        <v>0.12696537308006905</v>
      </c>
      <c r="U11" s="727"/>
      <c r="V11" s="637">
        <f>V10/Q10-1</f>
        <v>0.1446629213483146</v>
      </c>
      <c r="W11" s="637">
        <f>W10/R10-1</f>
        <v>0.29820399864452729</v>
      </c>
      <c r="X11" s="637">
        <f>X10/S10-1</f>
        <v>0.31187587686721141</v>
      </c>
      <c r="Y11" s="637">
        <f>Y10/T10-1</f>
        <v>0.30072580645161295</v>
      </c>
      <c r="Z11" s="727"/>
      <c r="AA11" s="637">
        <f>AA10/V10-1</f>
        <v>0.26096625766871173</v>
      </c>
      <c r="AB11" s="637">
        <f>AB10/W10-1</f>
        <v>0.11165492038632219</v>
      </c>
      <c r="AC11" s="637">
        <f>AC10/X10-1</f>
        <v>0.11493457473578261</v>
      </c>
      <c r="AD11" s="637">
        <f>AD10/Y10-1</f>
        <v>0.11457622915245835</v>
      </c>
      <c r="AE11" s="727"/>
      <c r="AF11" s="637">
        <f>AF10/AA10-1</f>
        <v>0.11889557866569356</v>
      </c>
      <c r="AG11" s="637">
        <f>AG10/AB10-1</f>
        <v>0.10777810390372755</v>
      </c>
      <c r="AH11" s="637">
        <f>AH10/AC10-1</f>
        <v>9.3889296394515709E-2</v>
      </c>
      <c r="AI11" s="637">
        <f>AI10/AD10-1</f>
        <v>9.5288424097457858E-2</v>
      </c>
      <c r="AJ11" s="727"/>
      <c r="AK11" s="637">
        <f>AK10/AF10-1</f>
        <v>8.7944341776279966E-2</v>
      </c>
      <c r="AL11" s="637">
        <f>AL10/AG10-1</f>
        <v>9.9305813152456235E-2</v>
      </c>
      <c r="AM11" s="637">
        <f>AM10/AH10-1</f>
        <v>9.4444731005312921E-2</v>
      </c>
      <c r="AN11" s="637">
        <f>AN10/AI10-1</f>
        <v>0.11645505332656181</v>
      </c>
      <c r="AO11" s="727"/>
      <c r="AP11" s="637">
        <f>AP10/AK10-1</f>
        <v>0.12090327737809758</v>
      </c>
      <c r="AQ11" s="637">
        <f>AQ10/AL10-1</f>
        <v>9.6456977584960191E-2</v>
      </c>
      <c r="AR11" s="637">
        <f>AR10/AM10-1</f>
        <v>8.8321236685832805E-2</v>
      </c>
      <c r="AS11" s="637">
        <f>AS10/AN10-1</f>
        <v>6.4913797024973796E-2</v>
      </c>
      <c r="AT11" s="727"/>
      <c r="AU11" s="637">
        <f>AU10/AP10-1</f>
        <v>6.155286147263328E-2</v>
      </c>
      <c r="AV11" s="637">
        <f>AV10/AQ10-1</f>
        <v>6.3307834344500158E-2</v>
      </c>
      <c r="AW11" s="637">
        <f>AW10/AR10-1</f>
        <v>6.4567815693746811E-2</v>
      </c>
      <c r="AX11" s="637">
        <f>AX10/AS10-1</f>
        <v>5.9589918838103273E-2</v>
      </c>
      <c r="AY11" s="727"/>
      <c r="AZ11" s="637">
        <f>AZ10/AU10-1</f>
        <v>4.9712390309442744E-2</v>
      </c>
      <c r="BA11" s="637">
        <f>BA10/AV10-1</f>
        <v>3.9981807657322399E-2</v>
      </c>
      <c r="BB11" s="637">
        <f>BB10/AW10-1</f>
        <v>3.1566529715657099E-2</v>
      </c>
      <c r="BC11" s="637">
        <f>BC10/AX10-1</f>
        <v>3.81374722838137E-2</v>
      </c>
      <c r="BD11" s="727"/>
      <c r="BE11" s="741">
        <f>BE10/AZ10-1</f>
        <v>3.5478580856765696E-2</v>
      </c>
      <c r="BF11" s="637">
        <f>BF10/BA10-1</f>
        <v>4.2102333717648044E-2</v>
      </c>
      <c r="BG11" s="637">
        <f>BG10/BB10-1</f>
        <v>5.9544934737174149E-2</v>
      </c>
      <c r="BH11" s="742">
        <f>BH10/BC10-1</f>
        <v>0.13813055803658103</v>
      </c>
      <c r="BI11" s="727"/>
      <c r="BJ11" s="741">
        <f t="shared" ref="BJ11" si="17">BJ10/BE10-1</f>
        <v>0.13821075401730543</v>
      </c>
      <c r="BK11" s="637">
        <f t="shared" ref="BK11" si="18">BK10/BF10-1</f>
        <v>0.14027926140698921</v>
      </c>
      <c r="BL11" s="637">
        <f t="shared" ref="BL11" si="19">BL10/BG10-1</f>
        <v>0.13703524507797082</v>
      </c>
      <c r="BM11" s="637">
        <f t="shared" ref="BM11" si="20">BM10/BH10-1</f>
        <v>4.9918111095946571E-2</v>
      </c>
      <c r="BN11" s="795">
        <f t="shared" ref="BN11" si="21">BN10/BI10-1</f>
        <v>4.9918111095946571E-2</v>
      </c>
      <c r="BO11" s="637">
        <f t="shared" ref="BO11" si="22">BO10/BJ10-1</f>
        <v>5.2060001357496777E-2</v>
      </c>
      <c r="BP11" s="637">
        <f t="shared" ref="BP11" si="23">BP10/BK10-1</f>
        <v>5.2828799892937095E-2</v>
      </c>
      <c r="BQ11" s="637">
        <f t="shared" ref="BQ11" si="24">BQ10/BL10-1</f>
        <v>4.8247193217897832E-2</v>
      </c>
      <c r="BR11" s="637">
        <f t="shared" ref="BR11" si="25">BR10/BM10-1</f>
        <v>7.7345552630723624E-2</v>
      </c>
      <c r="BS11" s="795">
        <f t="shared" ref="BS11" si="26">BS10/BN10-1</f>
        <v>7.7345552630723624E-2</v>
      </c>
      <c r="BT11" s="637">
        <f t="shared" ref="BT11" si="27">BT10/BO10-1</f>
        <v>9.1935483870967838E-2</v>
      </c>
      <c r="BU11" s="637">
        <f t="shared" ref="BU11" si="28">BU10/BP10-1</f>
        <v>9.794076522181272E-2</v>
      </c>
      <c r="BV11" s="637">
        <f t="shared" ref="BV11" si="29">BV10/BQ10-1</f>
        <v>0.10538641686182659</v>
      </c>
      <c r="BW11" s="637">
        <f t="shared" ref="BW11" si="30">BW10/BR10-1</f>
        <v>0.13118759615094566</v>
      </c>
      <c r="BX11" s="795">
        <f t="shared" ref="BX11" si="31">BX10/BS10-1</f>
        <v>0.13118759615094566</v>
      </c>
      <c r="BY11" s="637">
        <f t="shared" ref="BY11" si="32">BY10/BT10-1</f>
        <v>0.11964549483013287</v>
      </c>
      <c r="BZ11" s="637">
        <f t="shared" ref="BZ11" si="33">BZ10/BU10-1</f>
        <v>0.11866859623733728</v>
      </c>
      <c r="CA11" s="637">
        <f t="shared" ref="CA11" si="34">CA10/BV10-1</f>
        <v>0.11723163841807915</v>
      </c>
      <c r="CB11" s="637">
        <f t="shared" ref="CB11" si="35">CB10/BW10-1</f>
        <v>0.12799999999999989</v>
      </c>
      <c r="CC11" s="795">
        <f t="shared" ref="CC11" si="36">CC10/BX10-1</f>
        <v>0.12799999999999989</v>
      </c>
      <c r="CD11" s="637">
        <f t="shared" ref="CD11" si="37">CD10/BY10-1</f>
        <v>0.12796833773087068</v>
      </c>
      <c r="CE11" s="637">
        <f t="shared" ref="CE11" si="38">CE10/BZ10-1</f>
        <v>0.11254851228978002</v>
      </c>
      <c r="CF11" s="637">
        <f t="shared" ref="CF11" si="39">CF10/CA10-1</f>
        <v>0.12515802781289498</v>
      </c>
      <c r="CG11" s="637">
        <f t="shared" ref="CG11" si="40">CG10/CB10-1</f>
        <v>5.9101654846335672E-2</v>
      </c>
      <c r="CH11" s="795">
        <f t="shared" ref="CH11" si="41">CH10/CC10-1</f>
        <v>5.9101654846335672E-2</v>
      </c>
      <c r="CI11" s="637">
        <f t="shared" ref="CI11" si="42">CI10/CD10-1</f>
        <v>4.7953216374269081E-2</v>
      </c>
      <c r="CJ11" s="637">
        <f t="shared" ref="CJ11" si="43">CJ10/CE10-1</f>
        <v>4.5348837209302273E-2</v>
      </c>
      <c r="CK11" s="637">
        <f t="shared" ref="CK11" si="44">CK10/CF10-1</f>
        <v>1.5730337078651679E-2</v>
      </c>
      <c r="CL11" s="637">
        <f t="shared" ref="CL11" si="45">CL10/CG10-1</f>
        <v>1.2276785714285809E-2</v>
      </c>
      <c r="CM11" s="795">
        <f t="shared" ref="CM11" si="46">CM10/CH10-1</f>
        <v>1.2276785714285809E-2</v>
      </c>
      <c r="CN11" s="637">
        <f t="shared" ref="CN11" si="47">CN10/CI10-1</f>
        <v>2.5669642857142794E-2</v>
      </c>
      <c r="CO11" s="637">
        <f t="shared" ref="CO11" si="48">CO10/CJ10-1</f>
        <v>3.0033370411568505E-2</v>
      </c>
      <c r="CP11" s="637">
        <f t="shared" ref="CP11" si="49">CP10/CK10-1</f>
        <v>3.7610619469026441E-2</v>
      </c>
      <c r="CQ11" s="637">
        <f t="shared" ref="CQ11" si="50">CQ10/CL10-1</f>
        <v>3.4178610804851184E-2</v>
      </c>
      <c r="CR11" s="795">
        <f t="shared" ref="CR11" si="51">CR10/CM10-1</f>
        <v>3.4178610804851184E-2</v>
      </c>
    </row>
    <row r="12" spans="2:96" s="84" customFormat="1">
      <c r="B12" s="726"/>
      <c r="C12" s="84" t="s">
        <v>1</v>
      </c>
      <c r="G12" s="637">
        <f>G10/F10-1</f>
        <v>3.2855939342881113E-2</v>
      </c>
      <c r="H12" s="637">
        <f>H10/G10-1</f>
        <v>1.4376019575856436E-2</v>
      </c>
      <c r="I12" s="637">
        <f>I10/H10-1</f>
        <v>8.4430596039803962E-3</v>
      </c>
      <c r="J12" s="637">
        <f>J10/I10-1</f>
        <v>4.2858566729790937E-3</v>
      </c>
      <c r="L12" s="637" t="e">
        <f>L10/K10-1</f>
        <v>#DIV/0!</v>
      </c>
      <c r="M12" s="637">
        <f>M10/L10-1</f>
        <v>4.1835834068843614E-2</v>
      </c>
      <c r="N12" s="637">
        <f>N10/M10-1</f>
        <v>1.9391731616401398E-2</v>
      </c>
      <c r="O12" s="637">
        <f>O10/N10-1</f>
        <v>5.8506261998354514E-3</v>
      </c>
      <c r="P12" s="637">
        <f>P10/O10-1</f>
        <v>-1</v>
      </c>
      <c r="Q12" s="637">
        <f>Q10/O10-1</f>
        <v>3.5353994365173058E-2</v>
      </c>
      <c r="R12" s="637">
        <f>R10/Q10-1</f>
        <v>3.6165730337078594E-2</v>
      </c>
      <c r="S12" s="637">
        <f>S10/R10-1</f>
        <v>2.6516435106743508E-2</v>
      </c>
      <c r="T12" s="637">
        <f>T10/S10-1</f>
        <v>2.3355616076586649E-2</v>
      </c>
      <c r="U12" s="727"/>
      <c r="V12" s="637">
        <f>V10/T10-1</f>
        <v>5.1612903225806361E-2</v>
      </c>
      <c r="W12" s="637">
        <f>W10/V10-1</f>
        <v>0.17515337423312882</v>
      </c>
      <c r="X12" s="637">
        <f>X10/W10-1</f>
        <v>3.7327068650482964E-2</v>
      </c>
      <c r="Y12" s="637">
        <f>Y10/X10-1</f>
        <v>1.465777554101666E-2</v>
      </c>
      <c r="Z12" s="727"/>
      <c r="AA12" s="637">
        <f>AA10/Y10-1</f>
        <v>1.9468038936077958E-2</v>
      </c>
      <c r="AB12" s="637">
        <f>AB10/AA10-1</f>
        <v>3.6003162439943948E-2</v>
      </c>
      <c r="AC12" s="637">
        <f>AC10/AB10-1</f>
        <v>4.0387437628412126E-2</v>
      </c>
      <c r="AD12" s="637">
        <f>AD10/AC10-1</f>
        <v>1.4331659425605103E-2</v>
      </c>
      <c r="AE12" s="727"/>
      <c r="AF12" s="637">
        <f>AF10/AD10-1</f>
        <v>2.3418812927629817E-2</v>
      </c>
      <c r="AG12" s="637">
        <f>AG10/AF10-1</f>
        <v>2.5709316230025037E-2</v>
      </c>
      <c r="AH12" s="637">
        <f>AH10/AG10-1</f>
        <v>2.7343543002490645E-2</v>
      </c>
      <c r="AI12" s="637">
        <f>AI10/AH10-1</f>
        <v>1.5629029762211699E-2</v>
      </c>
      <c r="AJ12" s="727"/>
      <c r="AK12" s="637">
        <f>AK10/AI10-1</f>
        <v>1.6556627729812146E-2</v>
      </c>
      <c r="AL12" s="637">
        <f>AL10/AK10-1</f>
        <v>3.6420863309352569E-2</v>
      </c>
      <c r="AM12" s="637">
        <f>AM10/AL10-1</f>
        <v>2.2800674861412462E-2</v>
      </c>
      <c r="AN12" s="637">
        <f>AN10/AM10-1</f>
        <v>3.6054293524366177E-2</v>
      </c>
      <c r="AO12" s="727"/>
      <c r="AP12" s="637">
        <f>AP10/AN10-1</f>
        <v>2.0606832552426901E-2</v>
      </c>
      <c r="AQ12" s="637">
        <f>AQ10/AP10-1</f>
        <v>1.3817079693349887E-2</v>
      </c>
      <c r="AR12" s="637">
        <f>AR10/AQ10-1</f>
        <v>1.521146575222021E-2</v>
      </c>
      <c r="AS12" s="637">
        <f>AS10/AR10-1</f>
        <v>1.3771002944742872E-2</v>
      </c>
      <c r="AT12" s="727"/>
      <c r="AU12" s="637">
        <f>AU10/AS10-1</f>
        <v>1.7385732592908987E-2</v>
      </c>
      <c r="AV12" s="637">
        <f>AV10/AU10-1</f>
        <v>1.5493135155561166E-2</v>
      </c>
      <c r="AW12" s="637">
        <f>AW10/AV10-1</f>
        <v>1.6414454643181919E-2</v>
      </c>
      <c r="AX12" s="637">
        <f>AX10/AW10-1</f>
        <v>9.0306309238090687E-3</v>
      </c>
      <c r="AY12" s="727"/>
      <c r="AZ12" s="637">
        <f>AZ10/AX10-1</f>
        <v>7.9016327353356175E-3</v>
      </c>
      <c r="BA12" s="637">
        <f>BA10/AZ10-1</f>
        <v>6.079756809727721E-3</v>
      </c>
      <c r="BB12" s="637">
        <f>BB10/BA10-1</f>
        <v>8.1898779469646854E-3</v>
      </c>
      <c r="BC12" s="637">
        <f>BC10/BB10-1</f>
        <v>1.5458022792696813E-2</v>
      </c>
      <c r="BD12" s="727"/>
      <c r="BE12" s="741">
        <f>BE10/BC10-1</f>
        <v>5.320181740514851E-3</v>
      </c>
      <c r="BF12" s="637"/>
      <c r="BG12" s="637"/>
      <c r="BH12" s="742"/>
      <c r="BI12" s="727"/>
      <c r="BJ12" s="741">
        <f>BJ10/BH10-1</f>
        <v>5.3910195168553887E-3</v>
      </c>
      <c r="BK12" s="637">
        <f>BK10/BJ10-1</f>
        <v>1.4355528405620044E-2</v>
      </c>
      <c r="BL12" s="637">
        <f>BL10/BK10-1</f>
        <v>2.2148616547893907E-2</v>
      </c>
      <c r="BM12" s="637">
        <f>BM10/BL10-1</f>
        <v>7.2010736146115306E-3</v>
      </c>
      <c r="BN12" s="727"/>
      <c r="BO12" s="637">
        <f>BO10/BM10-1</f>
        <v>7.4420720808554552E-3</v>
      </c>
      <c r="BP12" s="637">
        <f>BP10/BO10-1</f>
        <v>1.5096774193548379E-2</v>
      </c>
      <c r="BQ12" s="637">
        <f>BQ10/BP10-1</f>
        <v>1.7700521164357497E-2</v>
      </c>
      <c r="BR12" s="637">
        <f>BR10/BQ10-1</f>
        <v>3.5160031225605071E-2</v>
      </c>
      <c r="BS12" s="727"/>
      <c r="BT12" s="637">
        <f>BT10/BR10-1</f>
        <v>2.1085336792253662E-2</v>
      </c>
      <c r="BU12" s="637">
        <f>BU10/BT10-1</f>
        <v>2.0679468242245092E-2</v>
      </c>
      <c r="BV12" s="637">
        <f>BV10/BU10-1</f>
        <v>2.460202604920414E-2</v>
      </c>
      <c r="BW12" s="637">
        <f>BW10/BV10-1</f>
        <v>5.9322033898305149E-2</v>
      </c>
      <c r="BX12" s="727"/>
      <c r="BY12" s="637">
        <f>BY10/BW10-1</f>
        <v>1.0666666666666602E-2</v>
      </c>
      <c r="BZ12" s="637">
        <f>BZ10/BY10-1</f>
        <v>1.978891820580464E-2</v>
      </c>
      <c r="CA12" s="637">
        <f>CA10/BZ10-1</f>
        <v>2.3285899094437346E-2</v>
      </c>
      <c r="CB12" s="637">
        <f>CB10/CA10-1</f>
        <v>6.9532237673830544E-2</v>
      </c>
      <c r="CC12" s="727"/>
      <c r="CD12" s="637">
        <f>CD10/CB10-1</f>
        <v>1.0638297872340496E-2</v>
      </c>
      <c r="CE12" s="637">
        <f>CE10/CD10-1</f>
        <v>5.8479532163742132E-3</v>
      </c>
      <c r="CF12" s="637">
        <f>CF10/CE10-1</f>
        <v>3.488372093023262E-2</v>
      </c>
      <c r="CG12" s="637">
        <f>CG10/CF10-1</f>
        <v>6.741573033707926E-3</v>
      </c>
      <c r="CH12" s="727"/>
      <c r="CI12" s="637">
        <f>CI10/CG10-1</f>
        <v>0</v>
      </c>
      <c r="CJ12" s="637">
        <f>CJ10/CI10-1</f>
        <v>3.3482142857141906E-3</v>
      </c>
      <c r="CK12" s="637">
        <f>CK10/CJ10-1</f>
        <v>5.5617352614014681E-3</v>
      </c>
      <c r="CL12" s="637">
        <f>CL10/CK10-1</f>
        <v>3.3185840707965486E-3</v>
      </c>
      <c r="CM12" s="727"/>
      <c r="CN12" s="637">
        <f>CN10/CL10-1</f>
        <v>1.3230429988974723E-2</v>
      </c>
      <c r="CO12" s="637">
        <f>CO10/CN10-1</f>
        <v>7.6169749727965641E-3</v>
      </c>
      <c r="CP12" s="637">
        <f>CP10/CO10-1</f>
        <v>1.2958963282937441E-2</v>
      </c>
      <c r="CQ12" s="637">
        <f>CQ10/CP10-1</f>
        <v>0</v>
      </c>
      <c r="CR12" s="727"/>
    </row>
    <row r="13" spans="2:96" s="720" customFormat="1" ht="15.75" customHeight="1">
      <c r="B13" s="719" t="s">
        <v>553</v>
      </c>
      <c r="L13" s="720">
        <f>L10-J10</f>
        <v>224</v>
      </c>
      <c r="M13" s="720">
        <f>M10-L10</f>
        <v>430.90909090909008</v>
      </c>
      <c r="N13" s="720">
        <f>N10-M10</f>
        <v>208.09090909090992</v>
      </c>
      <c r="O13" s="720">
        <f>O10-N10</f>
        <v>64</v>
      </c>
      <c r="Q13" s="720">
        <f>Q10-O10</f>
        <v>389</v>
      </c>
      <c r="R13" s="720">
        <f>R10-Q10</f>
        <v>412</v>
      </c>
      <c r="S13" s="720">
        <f>S10-R10</f>
        <v>313</v>
      </c>
      <c r="T13" s="720">
        <f>T10-S10</f>
        <v>283</v>
      </c>
      <c r="U13" s="721"/>
      <c r="V13" s="720">
        <f>V10-T10</f>
        <v>640</v>
      </c>
      <c r="W13" s="720">
        <f>W10-V10</f>
        <v>2284</v>
      </c>
      <c r="X13" s="720">
        <f>X10-W10</f>
        <v>572</v>
      </c>
      <c r="Y13" s="720">
        <f>Y10-X10</f>
        <v>233</v>
      </c>
      <c r="Z13" s="721"/>
      <c r="AA13" s="720">
        <f>AA10-Y10</f>
        <v>314</v>
      </c>
      <c r="AB13" s="720">
        <f>AB10-AA10</f>
        <v>592</v>
      </c>
      <c r="AC13" s="720">
        <f>AC10-AB10</f>
        <v>688</v>
      </c>
      <c r="AD13" s="720">
        <f>+AD10-AC10</f>
        <v>254</v>
      </c>
      <c r="AE13" s="721"/>
      <c r="AF13" s="720">
        <f>AF10-AD10</f>
        <v>421</v>
      </c>
      <c r="AG13" s="720">
        <f>AG10-AF10</f>
        <v>473</v>
      </c>
      <c r="AH13" s="720">
        <f>AH10-AG10</f>
        <v>516</v>
      </c>
      <c r="AI13" s="720">
        <f>+AI10-AH10</f>
        <v>303</v>
      </c>
      <c r="AJ13" s="721"/>
      <c r="AK13" s="720">
        <f>AK10-AI10</f>
        <v>326</v>
      </c>
      <c r="AL13" s="720">
        <f>AL10-AK10</f>
        <v>729</v>
      </c>
      <c r="AM13" s="720">
        <f>AM10-AL10</f>
        <v>473</v>
      </c>
      <c r="AN13" s="720">
        <f>+AN10-AM10</f>
        <v>765</v>
      </c>
      <c r="AO13" s="721"/>
      <c r="AP13" s="720">
        <f>AP10-AN10</f>
        <v>453</v>
      </c>
      <c r="AQ13" s="720">
        <f>AQ10-AP10</f>
        <v>310</v>
      </c>
      <c r="AR13" s="720">
        <f>AR10-AQ10</f>
        <v>346</v>
      </c>
      <c r="AS13" s="720">
        <f>AS10-AR10</f>
        <v>318</v>
      </c>
      <c r="AT13" s="721"/>
      <c r="AU13" s="722">
        <f>AU10-AS10</f>
        <v>407</v>
      </c>
      <c r="AV13" s="722">
        <f>AV10-AU10</f>
        <v>369</v>
      </c>
      <c r="AW13" s="722">
        <f>AW10-AV10</f>
        <v>397</v>
      </c>
      <c r="AX13" s="722">
        <f>+AX10-AW10</f>
        <v>222</v>
      </c>
      <c r="AY13" s="721"/>
      <c r="AZ13" s="722">
        <f>AZ10-AX10</f>
        <v>196</v>
      </c>
      <c r="BA13" s="722">
        <f>BA10-AZ10</f>
        <v>152</v>
      </c>
      <c r="BB13" s="722">
        <f>BB10-BA10</f>
        <v>206</v>
      </c>
      <c r="BC13" s="722">
        <f>BC10-BB10</f>
        <v>392</v>
      </c>
      <c r="BD13" s="721"/>
      <c r="BE13" s="723">
        <f>BE10-BC10</f>
        <v>137</v>
      </c>
      <c r="BF13" s="722">
        <f>BF10-BE10</f>
        <v>324</v>
      </c>
      <c r="BG13" s="722">
        <f>BG10-BF10</f>
        <v>657</v>
      </c>
      <c r="BH13" s="724">
        <f>BH10-BG10</f>
        <v>2439</v>
      </c>
      <c r="BI13" s="721">
        <f>SUM(BE13:BH13)</f>
        <v>3557</v>
      </c>
      <c r="BJ13" s="719">
        <f>BJ10-BH10</f>
        <v>158</v>
      </c>
      <c r="BK13" s="720">
        <f>BK10-BJ10</f>
        <v>423</v>
      </c>
      <c r="BL13" s="720">
        <f>BL10-BK10</f>
        <v>662</v>
      </c>
      <c r="BM13" s="720">
        <f>BM10-BL10</f>
        <v>220</v>
      </c>
      <c r="BN13" s="721">
        <f>SUM(BJ13:BM13)</f>
        <v>1463</v>
      </c>
      <c r="BO13" s="720">
        <f>BO10-BM10</f>
        <v>229</v>
      </c>
      <c r="BP13" s="720">
        <f>BP10-BO10</f>
        <v>468</v>
      </c>
      <c r="BQ13" s="720">
        <f>BQ10-BP10</f>
        <v>557</v>
      </c>
      <c r="BR13" s="720">
        <f>BR10-BQ10</f>
        <v>1126</v>
      </c>
      <c r="BS13" s="721">
        <f>SUM(BO13:BR13)</f>
        <v>2380</v>
      </c>
      <c r="BT13" s="720">
        <f>BT10-BR10</f>
        <v>699</v>
      </c>
      <c r="BU13" s="720">
        <f>BU10-BT10</f>
        <v>700</v>
      </c>
      <c r="BV13" s="720">
        <f>BV10-BU10</f>
        <v>850</v>
      </c>
      <c r="BW13" s="720">
        <f>BW10-BV10</f>
        <v>2100</v>
      </c>
      <c r="BX13" s="721">
        <f>SUM(BT13:BW13)</f>
        <v>4349</v>
      </c>
      <c r="BY13" s="720">
        <f>BY10-BW10</f>
        <v>400</v>
      </c>
      <c r="BZ13" s="720">
        <f>BZ10-BY10</f>
        <v>750</v>
      </c>
      <c r="CA13" s="720">
        <f>CA10-BZ10</f>
        <v>900</v>
      </c>
      <c r="CB13" s="720">
        <f>CB10-CA10</f>
        <v>2750</v>
      </c>
      <c r="CC13" s="721">
        <f>SUM(BY13:CB13)</f>
        <v>4800</v>
      </c>
      <c r="CD13" s="720">
        <f>CD10-CB10</f>
        <v>450</v>
      </c>
      <c r="CE13" s="720">
        <f>CE10-CD10</f>
        <v>250</v>
      </c>
      <c r="CF13" s="720">
        <f>CF10-CE10</f>
        <v>1500</v>
      </c>
      <c r="CG13" s="720">
        <f>CG10-CF10</f>
        <v>300</v>
      </c>
      <c r="CH13" s="721">
        <f>SUM(CD13:CG13)</f>
        <v>2500</v>
      </c>
      <c r="CI13" s="720">
        <f>CI10-CG10</f>
        <v>0</v>
      </c>
      <c r="CJ13" s="720">
        <f>CJ10-CI10</f>
        <v>150</v>
      </c>
      <c r="CK13" s="720">
        <f>CK10-CJ10</f>
        <v>250</v>
      </c>
      <c r="CL13" s="720">
        <f>CL10-CK10</f>
        <v>150</v>
      </c>
      <c r="CM13" s="721">
        <f>SUM(CI13:CL13)</f>
        <v>550</v>
      </c>
      <c r="CN13" s="720">
        <f>CN10-CL10</f>
        <v>600</v>
      </c>
      <c r="CO13" s="720">
        <f>CO10-CN10</f>
        <v>350</v>
      </c>
      <c r="CP13" s="720">
        <f>CP10-CO10</f>
        <v>600</v>
      </c>
      <c r="CQ13" s="720">
        <f>CQ10-CP10</f>
        <v>0</v>
      </c>
      <c r="CR13" s="721">
        <f>SUM(CN13:CQ13)</f>
        <v>1550</v>
      </c>
    </row>
    <row r="14" spans="2:96" s="844" customFormat="1" ht="21" customHeight="1">
      <c r="B14" s="843"/>
      <c r="C14" s="844" t="s">
        <v>124</v>
      </c>
      <c r="U14" s="845"/>
      <c r="W14" s="844" t="s">
        <v>138</v>
      </c>
      <c r="Z14" s="845"/>
      <c r="AA14" s="846">
        <f t="shared" ref="AA14" si="52">AA13/V13-1</f>
        <v>-0.50937500000000002</v>
      </c>
      <c r="AB14" s="846">
        <f t="shared" ref="AB14" si="53">AB13/W13-1</f>
        <v>-0.74080560420315233</v>
      </c>
      <c r="AC14" s="846">
        <f t="shared" ref="AC14" si="54">AC13/X13-1</f>
        <v>0.2027972027972027</v>
      </c>
      <c r="AD14" s="846">
        <f t="shared" ref="AD14" si="55">AD13/Y13-1</f>
        <v>9.0128755364806912E-2</v>
      </c>
      <c r="AE14" s="847"/>
      <c r="AF14" s="846">
        <f t="shared" ref="AF14" si="56">AF13/AA13-1</f>
        <v>0.34076433121019112</v>
      </c>
      <c r="AG14" s="846">
        <f t="shared" ref="AG14" si="57">AG13/AB13-1</f>
        <v>-0.20101351351351349</v>
      </c>
      <c r="AH14" s="846">
        <f t="shared" ref="AH14" si="58">AH13/AC13-1</f>
        <v>-0.25</v>
      </c>
      <c r="AI14" s="846">
        <f t="shared" ref="AI14" si="59">AI13/AD13-1</f>
        <v>0.19291338582677175</v>
      </c>
      <c r="AJ14" s="847"/>
      <c r="AK14" s="846">
        <f>AK13/AF13-1</f>
        <v>-0.22565320665083133</v>
      </c>
      <c r="AL14" s="846">
        <f>AL13/AG13-1</f>
        <v>0.54122621564482021</v>
      </c>
      <c r="AM14" s="846">
        <f>AM13/AH13-1</f>
        <v>-8.333333333333337E-2</v>
      </c>
      <c r="AN14" s="846">
        <f>AN13/AI13-1</f>
        <v>1.5247524752475248</v>
      </c>
      <c r="AO14" s="847"/>
      <c r="AP14" s="846">
        <f>AP13/AK13-1</f>
        <v>0.38957055214723924</v>
      </c>
      <c r="AQ14" s="846">
        <f>AQ13/AL13-1</f>
        <v>-0.57475994513031547</v>
      </c>
      <c r="AR14" s="846">
        <f>AR13/AM13-1</f>
        <v>-0.26849894291754761</v>
      </c>
      <c r="AS14" s="846">
        <f>AS13/AN13-1</f>
        <v>-0.584313725490196</v>
      </c>
      <c r="AT14" s="847"/>
      <c r="AU14" s="846">
        <f>AU13/AP13-1</f>
        <v>-0.10154525386313462</v>
      </c>
      <c r="AV14" s="846">
        <f>AV13/AQ13-1</f>
        <v>0.19032258064516139</v>
      </c>
      <c r="AW14" s="846">
        <f>AW13/AR13-1</f>
        <v>0.14739884393063574</v>
      </c>
      <c r="AX14" s="846">
        <f>AX13/AS13-1</f>
        <v>-0.30188679245283023</v>
      </c>
      <c r="AY14" s="847"/>
      <c r="AZ14" s="846">
        <f>AZ13/AU13-1</f>
        <v>-0.51842751842751844</v>
      </c>
      <c r="BA14" s="846">
        <f>BA13/AV13-1</f>
        <v>-0.58807588075880757</v>
      </c>
      <c r="BB14" s="846">
        <f>BB13/AW13-1</f>
        <v>-0.48110831234256923</v>
      </c>
      <c r="BC14" s="846">
        <f>BC13/AX13-1</f>
        <v>0.76576576576576572</v>
      </c>
      <c r="BD14" s="847"/>
      <c r="BE14" s="848">
        <f>BE13/AZ13-1</f>
        <v>-0.30102040816326525</v>
      </c>
      <c r="BF14" s="849">
        <f>BF12-BE12</f>
        <v>-5.320181740514851E-3</v>
      </c>
      <c r="BG14" s="850">
        <f>BG12-BF12</f>
        <v>0</v>
      </c>
      <c r="BH14" s="851"/>
      <c r="BI14" s="847"/>
      <c r="BJ14" s="852">
        <f>BJ13/BE13-1</f>
        <v>0.15328467153284664</v>
      </c>
      <c r="BK14" s="853">
        <f>BK13/BF13-1</f>
        <v>0.30555555555555558</v>
      </c>
      <c r="BL14" s="853">
        <f>BL13/BG13-1</f>
        <v>7.6103500761035558E-3</v>
      </c>
      <c r="BM14" s="853">
        <f>BM13/265-1</f>
        <v>-0.16981132075471694</v>
      </c>
      <c r="BN14" s="854">
        <f>BN13/BI13-1</f>
        <v>-0.58869834129884735</v>
      </c>
      <c r="BO14" s="853">
        <f>BO13/BJ13-1</f>
        <v>0.44936708860759489</v>
      </c>
      <c r="BP14" s="853">
        <f>BP13/BK13-1</f>
        <v>0.1063829787234043</v>
      </c>
      <c r="BQ14" s="853">
        <f>BQ13/BL13-1</f>
        <v>-0.15861027190332322</v>
      </c>
      <c r="BR14" s="853">
        <f>BR13/265-1</f>
        <v>3.2490566037735853</v>
      </c>
      <c r="BS14" s="854">
        <f>BS13/BN13-1</f>
        <v>0.62679425837320579</v>
      </c>
      <c r="BT14" s="853">
        <f>BT13/BO13-1</f>
        <v>2.052401746724891</v>
      </c>
      <c r="BU14" s="853">
        <f>BU13/BP13-1</f>
        <v>0.49572649572649574</v>
      </c>
      <c r="BV14" s="853">
        <f>BV13/BQ13-1</f>
        <v>0.52603231597845612</v>
      </c>
      <c r="BW14" s="853">
        <f>BW13/265-1</f>
        <v>6.9245283018867925</v>
      </c>
      <c r="BX14" s="854">
        <f t="shared" ref="BX14" si="60">BX13/BS13-1</f>
        <v>0.82731092436974785</v>
      </c>
      <c r="BY14" s="853">
        <f t="shared" ref="BY14" si="61">BY13/BT13-1</f>
        <v>-0.42775393419170238</v>
      </c>
      <c r="BZ14" s="853">
        <f t="shared" ref="BZ14" si="62">BZ13/BU13-1</f>
        <v>7.1428571428571397E-2</v>
      </c>
      <c r="CA14" s="853">
        <f t="shared" ref="CA14" si="63">CA13/BV13-1</f>
        <v>5.8823529411764719E-2</v>
      </c>
      <c r="CB14" s="853">
        <f t="shared" ref="CB14" si="64">CB13/BW13-1</f>
        <v>0.30952380952380953</v>
      </c>
      <c r="CC14" s="854">
        <f t="shared" ref="CC14" si="65">CC13/BX13-1</f>
        <v>0.10370200045987588</v>
      </c>
      <c r="CD14" s="853">
        <f t="shared" ref="CD14" si="66">CD13/BY13-1</f>
        <v>0.125</v>
      </c>
      <c r="CE14" s="853">
        <f t="shared" ref="CE14" si="67">CE13/BZ13-1</f>
        <v>-0.66666666666666674</v>
      </c>
      <c r="CF14" s="853">
        <f t="shared" ref="CF14" si="68">CF13/CA13-1</f>
        <v>0.66666666666666674</v>
      </c>
      <c r="CG14" s="853">
        <f t="shared" ref="CG14" si="69">CG13/CB13-1</f>
        <v>-0.89090909090909087</v>
      </c>
      <c r="CH14" s="854">
        <f t="shared" ref="CH14" si="70">CH13/CC13-1</f>
        <v>-0.47916666666666663</v>
      </c>
      <c r="CI14" s="853">
        <f t="shared" ref="CI14" si="71">CI13/CD13-1</f>
        <v>-1</v>
      </c>
      <c r="CJ14" s="853">
        <f t="shared" ref="CJ14" si="72">CJ13/CE13-1</f>
        <v>-0.4</v>
      </c>
      <c r="CK14" s="853">
        <f t="shared" ref="CK14" si="73">CK13/CF13-1</f>
        <v>-0.83333333333333337</v>
      </c>
      <c r="CL14" s="853">
        <f t="shared" ref="CL14" si="74">CL13/CG13-1</f>
        <v>-0.5</v>
      </c>
      <c r="CM14" s="854">
        <f t="shared" ref="CM14" si="75">CM13/CH13-1</f>
        <v>-0.78</v>
      </c>
      <c r="CN14" s="855" t="s">
        <v>554</v>
      </c>
      <c r="CO14" s="853">
        <f t="shared" ref="CO14" si="76">CO13/CJ13-1</f>
        <v>1.3333333333333335</v>
      </c>
      <c r="CP14" s="853">
        <f t="shared" ref="CP14" si="77">CP13/CK13-1</f>
        <v>1.4</v>
      </c>
      <c r="CQ14" s="853">
        <f t="shared" ref="CQ14" si="78">CQ13/CL13-1</f>
        <v>-1</v>
      </c>
      <c r="CR14" s="854">
        <f t="shared" ref="CR14" si="79">CR13/CM13-1</f>
        <v>1.8181818181818183</v>
      </c>
    </row>
    <row r="15" spans="2:96" s="1" customFormat="1" ht="13.15">
      <c r="B15" s="14" t="s">
        <v>551</v>
      </c>
      <c r="L15" s="44"/>
      <c r="M15" s="44"/>
      <c r="N15" s="44"/>
      <c r="O15" s="44"/>
      <c r="P15" s="44"/>
      <c r="Q15" s="44"/>
      <c r="R15" s="44"/>
      <c r="S15" s="44"/>
      <c r="T15" s="44"/>
      <c r="U15" s="49"/>
      <c r="V15" s="44"/>
      <c r="W15" s="44"/>
      <c r="X15" s="44"/>
      <c r="Y15" s="44"/>
      <c r="Z15" s="49"/>
      <c r="AA15" s="44"/>
      <c r="AB15" s="44"/>
      <c r="AC15" s="44"/>
      <c r="AD15" s="701"/>
      <c r="AE15" s="52"/>
      <c r="AF15" s="44"/>
      <c r="AG15" s="44"/>
      <c r="AH15" s="44"/>
      <c r="AI15" s="701"/>
      <c r="AJ15" s="52"/>
      <c r="AK15" s="44"/>
      <c r="AL15" s="44"/>
      <c r="AM15" s="702"/>
      <c r="AN15" s="703"/>
      <c r="AO15" s="704"/>
      <c r="AP15" s="702"/>
      <c r="AQ15" s="702"/>
      <c r="AR15" s="702"/>
      <c r="AS15" s="703"/>
      <c r="AT15" s="705"/>
      <c r="AU15" s="702"/>
      <c r="AV15" s="702"/>
      <c r="AW15" s="702"/>
      <c r="AX15" s="703"/>
      <c r="AY15" s="705"/>
      <c r="AZ15" s="702"/>
      <c r="BA15" s="702"/>
      <c r="BB15" s="702"/>
      <c r="BC15" s="703"/>
      <c r="BD15" s="705"/>
      <c r="BE15" s="706"/>
      <c r="BF15" s="702"/>
      <c r="BG15" s="702"/>
      <c r="BH15" s="707"/>
      <c r="BI15" s="801"/>
      <c r="BJ15" s="702"/>
      <c r="BK15" s="702"/>
      <c r="BL15" s="702"/>
      <c r="BM15" s="702"/>
      <c r="BN15" s="704"/>
      <c r="BO15" s="702"/>
      <c r="BP15" s="702"/>
      <c r="BQ15" s="702"/>
      <c r="BR15" s="702"/>
      <c r="BS15" s="704"/>
      <c r="BT15" s="702"/>
      <c r="BU15" s="702"/>
      <c r="BV15" s="702"/>
      <c r="BW15" s="702"/>
      <c r="BX15" s="704"/>
      <c r="BY15" s="702"/>
      <c r="BZ15" s="702"/>
      <c r="CA15" s="702"/>
      <c r="CB15" s="702"/>
      <c r="CC15" s="841"/>
      <c r="CD15" s="702"/>
      <c r="CE15" s="702"/>
      <c r="CF15" s="702"/>
      <c r="CG15" s="702"/>
      <c r="CH15" s="704"/>
      <c r="CI15" s="702"/>
      <c r="CJ15" s="702"/>
      <c r="CK15" s="702"/>
      <c r="CL15" s="702"/>
      <c r="CM15" s="704"/>
      <c r="CN15" s="702">
        <f>CN4-CN10</f>
        <v>8200</v>
      </c>
      <c r="CO15" s="702">
        <f>CO4-CO10</f>
        <v>8200</v>
      </c>
      <c r="CP15" s="702">
        <f>CP4-CP10</f>
        <v>8050</v>
      </c>
      <c r="CQ15" s="702">
        <f>CP15-350</f>
        <v>7700</v>
      </c>
      <c r="CR15" s="704">
        <f>CQ15</f>
        <v>7700</v>
      </c>
    </row>
    <row r="16" spans="2:96" s="84" customFormat="1">
      <c r="B16" s="726"/>
      <c r="C16" s="84" t="s">
        <v>0</v>
      </c>
      <c r="L16" s="637"/>
      <c r="M16" s="637"/>
      <c r="N16" s="637"/>
      <c r="O16" s="637"/>
      <c r="P16" s="637"/>
      <c r="Q16" s="637"/>
      <c r="R16" s="637"/>
      <c r="S16" s="637"/>
      <c r="T16" s="637"/>
      <c r="U16" s="727"/>
      <c r="V16" s="637"/>
      <c r="W16" s="637"/>
      <c r="X16" s="637"/>
      <c r="Y16" s="637"/>
      <c r="Z16" s="727"/>
      <c r="AA16" s="637"/>
      <c r="AB16" s="637"/>
      <c r="AC16" s="637"/>
      <c r="AD16" s="637"/>
      <c r="AE16" s="727"/>
      <c r="AF16" s="637"/>
      <c r="AG16" s="637"/>
      <c r="AH16" s="637"/>
      <c r="AI16" s="637"/>
      <c r="AJ16" s="727"/>
      <c r="AK16" s="637"/>
      <c r="AL16" s="637"/>
      <c r="AM16" s="637"/>
      <c r="AN16" s="637"/>
      <c r="AO16" s="727"/>
      <c r="AP16" s="637"/>
      <c r="AQ16" s="637"/>
      <c r="AR16" s="637"/>
      <c r="AS16" s="637"/>
      <c r="AT16" s="727"/>
      <c r="AU16" s="637"/>
      <c r="AV16" s="637"/>
      <c r="AW16" s="637"/>
      <c r="AX16" s="637"/>
      <c r="AY16" s="727"/>
      <c r="AZ16" s="637"/>
      <c r="BA16" s="637"/>
      <c r="BB16" s="637"/>
      <c r="BC16" s="637"/>
      <c r="BD16" s="727"/>
      <c r="BE16" s="741"/>
      <c r="BF16" s="637"/>
      <c r="BG16" s="637"/>
      <c r="BH16" s="742"/>
      <c r="BI16" s="727"/>
      <c r="BJ16" s="741"/>
      <c r="BK16" s="637"/>
      <c r="BL16" s="637"/>
      <c r="BM16" s="637"/>
      <c r="BN16" s="795"/>
      <c r="BO16" s="637"/>
      <c r="BP16" s="637"/>
      <c r="BQ16" s="637"/>
      <c r="BR16" s="637"/>
      <c r="BS16" s="795"/>
      <c r="BT16" s="637"/>
      <c r="BU16" s="637"/>
      <c r="BV16" s="637"/>
      <c r="BW16" s="637"/>
      <c r="BX16" s="795"/>
      <c r="BY16" s="637"/>
      <c r="BZ16" s="637"/>
      <c r="CA16" s="637"/>
      <c r="CB16" s="637"/>
      <c r="CC16" s="795"/>
      <c r="CD16" s="637"/>
      <c r="CE16" s="637"/>
      <c r="CF16" s="637"/>
      <c r="CG16" s="637"/>
      <c r="CH16" s="795"/>
      <c r="CI16" s="637"/>
      <c r="CJ16" s="637"/>
      <c r="CK16" s="637"/>
      <c r="CL16" s="637"/>
      <c r="CM16" s="795"/>
      <c r="CN16" s="637"/>
      <c r="CO16" s="637"/>
      <c r="CP16" s="637"/>
      <c r="CQ16" s="637"/>
      <c r="CR16" s="795"/>
    </row>
    <row r="17" spans="2:96" s="84" customFormat="1">
      <c r="B17" s="726"/>
      <c r="C17" s="84" t="s">
        <v>1</v>
      </c>
      <c r="G17" s="637"/>
      <c r="H17" s="637"/>
      <c r="I17" s="637"/>
      <c r="J17" s="637"/>
      <c r="L17" s="637"/>
      <c r="M17" s="637"/>
      <c r="N17" s="637"/>
      <c r="O17" s="637"/>
      <c r="P17" s="637"/>
      <c r="Q17" s="637"/>
      <c r="R17" s="637"/>
      <c r="S17" s="637"/>
      <c r="T17" s="637"/>
      <c r="U17" s="727"/>
      <c r="V17" s="637"/>
      <c r="W17" s="637"/>
      <c r="X17" s="637"/>
      <c r="Y17" s="637"/>
      <c r="Z17" s="727"/>
      <c r="AA17" s="637"/>
      <c r="AB17" s="637"/>
      <c r="AC17" s="637"/>
      <c r="AD17" s="637"/>
      <c r="AE17" s="727"/>
      <c r="AF17" s="637"/>
      <c r="AG17" s="637"/>
      <c r="AH17" s="637"/>
      <c r="AI17" s="637"/>
      <c r="AJ17" s="727"/>
      <c r="AK17" s="637"/>
      <c r="AL17" s="637"/>
      <c r="AM17" s="637"/>
      <c r="AN17" s="637"/>
      <c r="AO17" s="727"/>
      <c r="AP17" s="637"/>
      <c r="AQ17" s="637"/>
      <c r="AR17" s="637"/>
      <c r="AS17" s="637"/>
      <c r="AT17" s="727"/>
      <c r="AU17" s="637"/>
      <c r="AV17" s="637"/>
      <c r="AW17" s="637"/>
      <c r="AX17" s="637"/>
      <c r="AY17" s="727"/>
      <c r="AZ17" s="637"/>
      <c r="BA17" s="637"/>
      <c r="BB17" s="637"/>
      <c r="BC17" s="637"/>
      <c r="BD17" s="727"/>
      <c r="BE17" s="741"/>
      <c r="BF17" s="637"/>
      <c r="BG17" s="637"/>
      <c r="BH17" s="742"/>
      <c r="BI17" s="727"/>
      <c r="BJ17" s="741"/>
      <c r="BK17" s="637"/>
      <c r="BL17" s="637"/>
      <c r="BM17" s="637"/>
      <c r="BN17" s="727"/>
      <c r="BO17" s="637"/>
      <c r="BP17" s="637"/>
      <c r="BQ17" s="637"/>
      <c r="BR17" s="637"/>
      <c r="BS17" s="727"/>
      <c r="BT17" s="637"/>
      <c r="BU17" s="637"/>
      <c r="BV17" s="637"/>
      <c r="BW17" s="637"/>
      <c r="BX17" s="727"/>
      <c r="BY17" s="637"/>
      <c r="BZ17" s="637"/>
      <c r="CA17" s="637"/>
      <c r="CB17" s="637"/>
      <c r="CC17" s="727"/>
      <c r="CD17" s="637"/>
      <c r="CE17" s="637"/>
      <c r="CF17" s="637"/>
      <c r="CG17" s="637"/>
      <c r="CH17" s="727"/>
      <c r="CI17" s="637"/>
      <c r="CJ17" s="637"/>
      <c r="CK17" s="637"/>
      <c r="CL17" s="637"/>
      <c r="CM17" s="727"/>
      <c r="CN17" s="637"/>
      <c r="CO17" s="637">
        <f>CO15/CN15-1</f>
        <v>0</v>
      </c>
      <c r="CP17" s="637">
        <f>CP15/CO15-1</f>
        <v>-1.8292682926829285E-2</v>
      </c>
      <c r="CQ17" s="637">
        <f>CQ15/CP15-1</f>
        <v>-4.3478260869565188E-2</v>
      </c>
      <c r="CR17" s="727"/>
    </row>
    <row r="18" spans="2:96" s="720" customFormat="1" ht="15.75" customHeight="1">
      <c r="B18" s="719" t="s">
        <v>553</v>
      </c>
      <c r="U18" s="721"/>
      <c r="Z18" s="721"/>
      <c r="AE18" s="721"/>
      <c r="AJ18" s="721"/>
      <c r="AO18" s="721"/>
      <c r="AT18" s="721"/>
      <c r="AU18" s="722"/>
      <c r="AV18" s="722"/>
      <c r="AW18" s="722"/>
      <c r="AX18" s="722"/>
      <c r="AY18" s="721"/>
      <c r="AZ18" s="722"/>
      <c r="BA18" s="722"/>
      <c r="BB18" s="722"/>
      <c r="BC18" s="722"/>
      <c r="BD18" s="721"/>
      <c r="BE18" s="723"/>
      <c r="BF18" s="722"/>
      <c r="BG18" s="722"/>
      <c r="BH18" s="724"/>
      <c r="BI18" s="721"/>
      <c r="BJ18" s="719"/>
      <c r="BN18" s="721"/>
      <c r="BS18" s="721"/>
      <c r="BX18" s="721"/>
      <c r="CC18" s="721"/>
      <c r="CH18" s="721"/>
      <c r="CM18" s="721"/>
      <c r="CN18" s="720">
        <f>CN15-CL15</f>
        <v>8200</v>
      </c>
      <c r="CO18" s="720">
        <f>CO15-CN15</f>
        <v>0</v>
      </c>
      <c r="CP18" s="720">
        <f>CP15-CO15</f>
        <v>-150</v>
      </c>
      <c r="CQ18" s="720">
        <f>CQ15-CP15</f>
        <v>-350</v>
      </c>
      <c r="CR18" s="721"/>
    </row>
    <row r="19" spans="2:96" s="254" customFormat="1" ht="13.15" thickBot="1">
      <c r="B19" s="717"/>
      <c r="C19" s="718" t="s">
        <v>124</v>
      </c>
      <c r="D19" s="718"/>
      <c r="E19" s="718"/>
      <c r="F19" s="718"/>
      <c r="G19" s="718"/>
      <c r="H19" s="718"/>
      <c r="I19" s="718"/>
      <c r="J19" s="718"/>
      <c r="K19" s="718"/>
      <c r="L19" s="718"/>
      <c r="M19" s="718"/>
      <c r="N19" s="718"/>
      <c r="O19" s="718"/>
      <c r="P19" s="718"/>
      <c r="Q19" s="718"/>
      <c r="R19" s="718"/>
      <c r="S19" s="718"/>
      <c r="T19" s="718"/>
      <c r="U19" s="743"/>
      <c r="V19" s="718"/>
      <c r="W19" s="718"/>
      <c r="X19" s="718"/>
      <c r="Y19" s="718"/>
      <c r="Z19" s="743"/>
      <c r="AA19" s="744"/>
      <c r="AB19" s="744"/>
      <c r="AC19" s="744"/>
      <c r="AD19" s="744"/>
      <c r="AE19" s="745"/>
      <c r="AF19" s="744"/>
      <c r="AG19" s="744"/>
      <c r="AH19" s="744"/>
      <c r="AI19" s="744"/>
      <c r="AJ19" s="745"/>
      <c r="AK19" s="744"/>
      <c r="AL19" s="744"/>
      <c r="AM19" s="744"/>
      <c r="AN19" s="744"/>
      <c r="AO19" s="745"/>
      <c r="AP19" s="744"/>
      <c r="AQ19" s="744"/>
      <c r="AR19" s="744"/>
      <c r="AS19" s="744"/>
      <c r="AT19" s="745"/>
      <c r="AU19" s="744"/>
      <c r="AV19" s="744"/>
      <c r="AW19" s="744"/>
      <c r="AX19" s="744"/>
      <c r="AY19" s="745"/>
      <c r="AZ19" s="744"/>
      <c r="BA19" s="744"/>
      <c r="BB19" s="744"/>
      <c r="BC19" s="744"/>
      <c r="BD19" s="745"/>
      <c r="BE19" s="746"/>
      <c r="BF19" s="379"/>
      <c r="BG19" s="747"/>
      <c r="BH19" s="748"/>
      <c r="BI19" s="745"/>
      <c r="BJ19" s="749"/>
      <c r="BK19" s="750"/>
      <c r="BL19" s="750"/>
      <c r="BM19" s="750"/>
      <c r="BN19" s="796"/>
      <c r="BO19" s="750"/>
      <c r="BP19" s="750"/>
      <c r="BQ19" s="750"/>
      <c r="BR19" s="750"/>
      <c r="BS19" s="796"/>
      <c r="BT19" s="750"/>
      <c r="BU19" s="750"/>
      <c r="BV19" s="750"/>
      <c r="BW19" s="750"/>
      <c r="BX19" s="796"/>
      <c r="BY19" s="750"/>
      <c r="BZ19" s="750"/>
      <c r="CA19" s="750"/>
      <c r="CB19" s="750"/>
      <c r="CC19" s="796"/>
      <c r="CD19" s="750"/>
      <c r="CE19" s="750"/>
      <c r="CF19" s="750"/>
      <c r="CG19" s="750"/>
      <c r="CH19" s="796"/>
      <c r="CI19" s="750"/>
      <c r="CJ19" s="750"/>
      <c r="CK19" s="750"/>
      <c r="CL19" s="750"/>
      <c r="CM19" s="796"/>
      <c r="CN19" s="750"/>
      <c r="CO19" s="750"/>
      <c r="CP19" s="750"/>
      <c r="CQ19" s="750"/>
      <c r="CR19" s="796"/>
    </row>
    <row r="20" spans="2:96">
      <c r="L20" s="95"/>
      <c r="M20" s="95"/>
      <c r="N20" s="95"/>
      <c r="O20" s="95"/>
      <c r="P20" s="95"/>
      <c r="Q20" s="95"/>
      <c r="R20" s="95"/>
      <c r="S20" s="95"/>
      <c r="T20" s="95"/>
      <c r="U20" s="95"/>
      <c r="V20" s="95"/>
      <c r="W20" s="95"/>
      <c r="X20" s="95"/>
      <c r="Y20" s="95"/>
      <c r="Z20" s="95"/>
      <c r="AA20" s="95"/>
      <c r="AN20" s="85"/>
      <c r="AU20" s="85">
        <f>AU7-AU9</f>
        <v>24</v>
      </c>
      <c r="AV20" s="72"/>
      <c r="AZ20" s="85"/>
      <c r="BA20" s="72"/>
      <c r="BE20" s="85"/>
      <c r="BF20" s="72"/>
      <c r="BT20" s="86"/>
      <c r="BV20" s="85"/>
      <c r="CP20" s="254" t="s">
        <v>578</v>
      </c>
    </row>
    <row r="21" spans="2:96" ht="13.15" thickBot="1">
      <c r="L21" s="95"/>
      <c r="M21" s="95"/>
      <c r="N21" s="95"/>
      <c r="O21" s="95"/>
      <c r="P21" s="95"/>
      <c r="Q21" s="95"/>
      <c r="R21" s="95"/>
      <c r="S21" s="95"/>
      <c r="T21" s="95"/>
      <c r="U21" s="95"/>
      <c r="V21" s="95"/>
      <c r="W21" s="95"/>
      <c r="X21" s="95"/>
      <c r="Y21" s="95"/>
      <c r="Z21" s="95"/>
      <c r="AA21" s="95"/>
      <c r="AN21" s="85"/>
      <c r="AU21" s="85"/>
      <c r="AV21" s="72"/>
      <c r="AZ21" s="85"/>
      <c r="BA21" s="72"/>
      <c r="BE21" s="85"/>
      <c r="BF21" s="72"/>
      <c r="CO21" s="86">
        <f>(CO25+1400)/CJ25</f>
        <v>1.1361867704280155</v>
      </c>
      <c r="CP21" s="86">
        <f>(CP25+1400)/CK25</f>
        <v>1.0729927007299269</v>
      </c>
      <c r="CQ21" s="86">
        <f>(CQ25+1400)/CL25</f>
        <v>1.0419580419580419</v>
      </c>
    </row>
    <row r="22" spans="2:96" ht="13.5" thickBot="1">
      <c r="B22" s="928" t="s">
        <v>189</v>
      </c>
      <c r="C22" s="929"/>
      <c r="D22" s="808"/>
      <c r="E22" s="808"/>
      <c r="F22" s="622">
        <f t="shared" ref="F22:Q22" si="80">F3</f>
        <v>2007</v>
      </c>
      <c r="G22" s="622" t="str">
        <f t="shared" si="80"/>
        <v>1Q08</v>
      </c>
      <c r="H22" s="622" t="str">
        <f t="shared" si="80"/>
        <v>2Q08</v>
      </c>
      <c r="I22" s="622" t="str">
        <f t="shared" si="80"/>
        <v>2Q08</v>
      </c>
      <c r="J22" s="622" t="str">
        <f t="shared" si="80"/>
        <v>4Q08</v>
      </c>
      <c r="K22" s="622">
        <f t="shared" si="80"/>
        <v>2008</v>
      </c>
      <c r="L22" s="622" t="str">
        <f t="shared" si="80"/>
        <v>1Q09</v>
      </c>
      <c r="M22" s="622" t="str">
        <f t="shared" si="80"/>
        <v>2Q09</v>
      </c>
      <c r="N22" s="622" t="str">
        <f t="shared" si="80"/>
        <v>2Q09</v>
      </c>
      <c r="O22" s="622" t="str">
        <f t="shared" si="80"/>
        <v>4Q09</v>
      </c>
      <c r="P22" s="622">
        <f t="shared" si="80"/>
        <v>2009</v>
      </c>
      <c r="Q22" s="622" t="str">
        <f t="shared" si="80"/>
        <v>1QA10</v>
      </c>
      <c r="R22" s="622" t="s">
        <v>3</v>
      </c>
      <c r="S22" s="622" t="s">
        <v>4</v>
      </c>
      <c r="T22" s="622" t="s">
        <v>5</v>
      </c>
      <c r="U22" s="621">
        <v>2010</v>
      </c>
      <c r="V22" s="622" t="s">
        <v>2</v>
      </c>
      <c r="W22" s="622" t="s">
        <v>3</v>
      </c>
      <c r="X22" s="622" t="s">
        <v>4</v>
      </c>
      <c r="Y22" s="622" t="s">
        <v>5</v>
      </c>
      <c r="Z22" s="621">
        <v>2011</v>
      </c>
      <c r="AA22" s="622" t="s">
        <v>183</v>
      </c>
      <c r="AB22" s="622" t="s">
        <v>186</v>
      </c>
      <c r="AC22" s="622" t="s">
        <v>187</v>
      </c>
      <c r="AD22" s="622" t="s">
        <v>188</v>
      </c>
      <c r="AE22" s="621">
        <v>2012</v>
      </c>
      <c r="AF22" s="622" t="s">
        <v>184</v>
      </c>
      <c r="AG22" s="622" t="s">
        <v>185</v>
      </c>
      <c r="AH22" s="622" t="s">
        <v>158</v>
      </c>
      <c r="AI22" s="629" t="s">
        <v>159</v>
      </c>
      <c r="AJ22" s="791">
        <v>2013</v>
      </c>
      <c r="AK22" s="630" t="s">
        <v>160</v>
      </c>
      <c r="AL22" s="622" t="s">
        <v>161</v>
      </c>
      <c r="AM22" s="622" t="s">
        <v>162</v>
      </c>
      <c r="AN22" s="629" t="s">
        <v>164</v>
      </c>
      <c r="AO22" s="621">
        <v>2014</v>
      </c>
      <c r="AP22" s="792" t="s">
        <v>177</v>
      </c>
      <c r="AQ22" s="792" t="s">
        <v>167</v>
      </c>
      <c r="AR22" s="792" t="s">
        <v>171</v>
      </c>
      <c r="AS22" s="792" t="s">
        <v>174</v>
      </c>
      <c r="AT22" s="791">
        <v>2015</v>
      </c>
      <c r="AU22" s="792" t="s">
        <v>178</v>
      </c>
      <c r="AV22" s="792" t="s">
        <v>179</v>
      </c>
      <c r="AW22" s="792" t="s">
        <v>180</v>
      </c>
      <c r="AX22" s="792" t="s">
        <v>181</v>
      </c>
      <c r="AY22" s="791">
        <v>2016</v>
      </c>
      <c r="AZ22" s="792" t="s">
        <v>324</v>
      </c>
      <c r="BA22" s="792" t="s">
        <v>325</v>
      </c>
      <c r="BB22" s="792" t="s">
        <v>326</v>
      </c>
      <c r="BC22" s="792" t="s">
        <v>327</v>
      </c>
      <c r="BD22" s="791">
        <v>2017</v>
      </c>
      <c r="BE22" s="792" t="s">
        <v>329</v>
      </c>
      <c r="BF22" s="792" t="s">
        <v>330</v>
      </c>
      <c r="BG22" s="792" t="s">
        <v>331</v>
      </c>
      <c r="BH22" s="792" t="s">
        <v>332</v>
      </c>
      <c r="BI22" s="791">
        <v>2018</v>
      </c>
      <c r="BJ22" s="792" t="s">
        <v>345</v>
      </c>
      <c r="BK22" s="792" t="s">
        <v>350</v>
      </c>
      <c r="BL22" s="792" t="s">
        <v>351</v>
      </c>
      <c r="BM22" s="792" t="s">
        <v>352</v>
      </c>
      <c r="BN22" s="791">
        <v>2018</v>
      </c>
      <c r="BO22" s="792" t="s">
        <v>359</v>
      </c>
      <c r="BP22" s="792" t="s">
        <v>360</v>
      </c>
      <c r="BQ22" s="792" t="s">
        <v>361</v>
      </c>
      <c r="BR22" s="792" t="s">
        <v>362</v>
      </c>
      <c r="BS22" s="791">
        <v>2020</v>
      </c>
      <c r="BT22" s="632" t="s">
        <v>369</v>
      </c>
      <c r="BU22" s="632" t="s">
        <v>371</v>
      </c>
      <c r="BV22" s="632" t="s">
        <v>372</v>
      </c>
      <c r="BW22" s="632" t="s">
        <v>373</v>
      </c>
      <c r="BX22" s="623">
        <v>2021</v>
      </c>
      <c r="BY22" s="632" t="s">
        <v>374</v>
      </c>
      <c r="BZ22" s="632" t="s">
        <v>375</v>
      </c>
      <c r="CA22" s="632" t="s">
        <v>378</v>
      </c>
      <c r="CB22" s="632" t="s">
        <v>379</v>
      </c>
      <c r="CC22" s="623">
        <v>2021</v>
      </c>
      <c r="CD22" s="632" t="str">
        <f t="shared" ref="CD22:CP22" si="81">CD3</f>
        <v>1Q23</v>
      </c>
      <c r="CE22" s="632" t="str">
        <f t="shared" si="81"/>
        <v>2Q23</v>
      </c>
      <c r="CF22" s="632" t="str">
        <f t="shared" si="81"/>
        <v>3Q23</v>
      </c>
      <c r="CG22" s="632" t="str">
        <f t="shared" si="81"/>
        <v>4Q23</v>
      </c>
      <c r="CH22" s="623">
        <f t="shared" si="81"/>
        <v>2023</v>
      </c>
      <c r="CI22" s="632" t="str">
        <f t="shared" si="81"/>
        <v>1Q24</v>
      </c>
      <c r="CJ22" s="632" t="str">
        <f t="shared" si="81"/>
        <v>2Q24</v>
      </c>
      <c r="CK22" s="632" t="str">
        <f t="shared" si="81"/>
        <v>3Q24</v>
      </c>
      <c r="CL22" s="632" t="str">
        <f t="shared" si="81"/>
        <v>4Q24</v>
      </c>
      <c r="CM22" s="623">
        <f t="shared" si="81"/>
        <v>2024</v>
      </c>
      <c r="CN22" s="632" t="str">
        <f t="shared" si="81"/>
        <v>1Q25</v>
      </c>
      <c r="CO22" s="632" t="str">
        <f t="shared" si="81"/>
        <v>2Q25</v>
      </c>
      <c r="CP22" s="632" t="str">
        <f t="shared" si="81"/>
        <v>3Q25</v>
      </c>
      <c r="CQ22" s="632" t="str">
        <f t="shared" ref="CQ22:CR22" si="82">CQ3</f>
        <v>4Q25</v>
      </c>
      <c r="CR22" s="623">
        <f t="shared" si="82"/>
        <v>2025</v>
      </c>
    </row>
    <row r="23" spans="2:96" ht="13.15" hidden="1" thickBot="1">
      <c r="B23" t="s">
        <v>98</v>
      </c>
      <c r="F23" s="70">
        <v>0.8</v>
      </c>
      <c r="K23" s="70"/>
      <c r="P23" s="70"/>
      <c r="Q23" s="70">
        <v>0.82</v>
      </c>
      <c r="R23" s="70">
        <v>0.83</v>
      </c>
      <c r="V23">
        <v>83</v>
      </c>
      <c r="W23">
        <v>84</v>
      </c>
      <c r="X23">
        <v>85</v>
      </c>
      <c r="Y23">
        <v>86</v>
      </c>
      <c r="AA23">
        <v>87</v>
      </c>
      <c r="AB23">
        <v>86</v>
      </c>
      <c r="AC23">
        <v>88</v>
      </c>
      <c r="AF23">
        <v>87</v>
      </c>
      <c r="AG23">
        <v>86</v>
      </c>
      <c r="AH23">
        <v>88</v>
      </c>
      <c r="AK23">
        <v>87</v>
      </c>
      <c r="AL23">
        <v>86</v>
      </c>
      <c r="AM23">
        <v>88</v>
      </c>
      <c r="AP23">
        <v>87</v>
      </c>
      <c r="AQ23">
        <v>86</v>
      </c>
      <c r="AR23">
        <v>88</v>
      </c>
      <c r="AU23">
        <v>87</v>
      </c>
      <c r="AV23">
        <v>86</v>
      </c>
      <c r="AW23">
        <v>88</v>
      </c>
      <c r="AZ23">
        <v>87</v>
      </c>
      <c r="BA23">
        <v>86</v>
      </c>
      <c r="BB23">
        <v>88</v>
      </c>
      <c r="BE23">
        <v>87</v>
      </c>
      <c r="BF23">
        <v>86</v>
      </c>
      <c r="BG23">
        <v>88</v>
      </c>
      <c r="BJ23" s="452"/>
      <c r="BK23" s="363"/>
      <c r="BL23" s="363"/>
      <c r="BM23" s="363"/>
      <c r="BO23" s="452"/>
      <c r="BP23" s="363"/>
      <c r="BQ23" s="363"/>
      <c r="BR23" s="363"/>
      <c r="BS23" s="355"/>
      <c r="BT23" s="452"/>
      <c r="BU23" s="363"/>
      <c r="BV23" s="363"/>
      <c r="BW23" s="363"/>
      <c r="BX23" s="355"/>
      <c r="BY23" s="452"/>
      <c r="BZ23" s="363"/>
      <c r="CA23" s="363"/>
      <c r="CB23" s="363"/>
      <c r="CC23" s="355"/>
      <c r="CD23" s="452"/>
      <c r="CE23" s="363"/>
      <c r="CF23" s="363"/>
      <c r="CG23" s="363"/>
      <c r="CH23" s="355"/>
      <c r="CI23" s="452"/>
      <c r="CJ23" s="363"/>
      <c r="CK23" s="363"/>
      <c r="CL23" s="363"/>
      <c r="CM23" s="355"/>
      <c r="CN23" s="452"/>
      <c r="CO23" s="363"/>
      <c r="CP23" s="363"/>
      <c r="CQ23" s="363"/>
      <c r="CR23" s="355"/>
    </row>
    <row r="24" spans="2:96" ht="13.15" hidden="1" thickBot="1">
      <c r="B24" t="s">
        <v>99</v>
      </c>
      <c r="F24" s="71">
        <f>(IS!F4*Metrics!F23)/Metrics!F4*1000</f>
        <v>2122.8306655433871</v>
      </c>
      <c r="K24" s="71"/>
      <c r="P24" s="71"/>
      <c r="Q24" s="71">
        <f>(IS!Q4*Q23)*4/Metrics!Q4*1000</f>
        <v>2949.178370786517</v>
      </c>
      <c r="R24" s="71">
        <f>(IS!R4*R23)*4/Metrics!R4*1000</f>
        <v>3078.1158929176554</v>
      </c>
      <c r="BJ24" s="128"/>
      <c r="BK24" s="124"/>
      <c r="BL24" s="124"/>
      <c r="BM24" s="124"/>
      <c r="BO24" s="128"/>
      <c r="BP24" s="124"/>
      <c r="BQ24" s="124"/>
      <c r="BR24" s="124"/>
      <c r="BS24" s="453"/>
      <c r="BT24" s="128"/>
      <c r="BU24" s="124"/>
      <c r="BV24" s="124"/>
      <c r="BW24" s="124"/>
      <c r="BX24" s="453"/>
      <c r="BY24" s="128"/>
      <c r="BZ24" s="124"/>
      <c r="CA24" s="124"/>
      <c r="CB24" s="124"/>
      <c r="CC24" s="453"/>
      <c r="CD24" s="128"/>
      <c r="CE24" s="124"/>
      <c r="CF24" s="124"/>
      <c r="CG24" s="124"/>
      <c r="CH24" s="453"/>
      <c r="CI24" s="128"/>
      <c r="CJ24" s="124"/>
      <c r="CK24" s="124"/>
      <c r="CL24" s="124"/>
      <c r="CM24" s="453"/>
      <c r="CN24" s="128"/>
      <c r="CO24" s="124"/>
      <c r="CP24" s="124"/>
      <c r="CQ24" s="124"/>
      <c r="CR24" s="453"/>
    </row>
    <row r="25" spans="2:96" s="1" customFormat="1" ht="15.75" customHeight="1">
      <c r="B25" s="751" t="s">
        <v>480</v>
      </c>
      <c r="C25" s="752"/>
      <c r="D25" s="752"/>
      <c r="E25" s="752"/>
      <c r="F25" s="16">
        <v>2385</v>
      </c>
      <c r="G25" s="16">
        <v>2416</v>
      </c>
      <c r="H25" s="16">
        <v>2569</v>
      </c>
      <c r="I25" s="16">
        <v>2711</v>
      </c>
      <c r="J25" s="16">
        <v>2671</v>
      </c>
      <c r="K25" s="16"/>
      <c r="L25" s="16">
        <v>2718</v>
      </c>
      <c r="M25" s="16">
        <v>2837</v>
      </c>
      <c r="N25" s="16">
        <v>2900</v>
      </c>
      <c r="O25" s="16">
        <v>2968</v>
      </c>
      <c r="P25" s="16"/>
      <c r="Q25" s="753">
        <v>3008</v>
      </c>
      <c r="R25" s="753">
        <v>3149</v>
      </c>
      <c r="S25" s="753">
        <v>3226</v>
      </c>
      <c r="T25" s="753">
        <v>3249</v>
      </c>
      <c r="U25" s="754"/>
      <c r="V25" s="753">
        <v>3291</v>
      </c>
      <c r="W25" s="753">
        <v>3321</v>
      </c>
      <c r="X25" s="753">
        <v>3376</v>
      </c>
      <c r="Y25" s="753">
        <v>3412</v>
      </c>
      <c r="Z25" s="754"/>
      <c r="AA25" s="753">
        <v>3529</v>
      </c>
      <c r="AB25" s="753">
        <v>3668</v>
      </c>
      <c r="AC25" s="753">
        <v>4101</v>
      </c>
      <c r="AD25" s="753">
        <v>4499</v>
      </c>
      <c r="AE25" s="754">
        <v>3964</v>
      </c>
      <c r="AF25" s="753">
        <v>4634</v>
      </c>
      <c r="AG25" s="753">
        <v>4869</v>
      </c>
      <c r="AH25" s="753">
        <v>5018</v>
      </c>
      <c r="AI25" s="16">
        <v>5101</v>
      </c>
      <c r="AJ25" s="754">
        <v>4920</v>
      </c>
      <c r="AK25" s="753">
        <v>5220</v>
      </c>
      <c r="AL25" s="753">
        <v>5467</v>
      </c>
      <c r="AM25" s="755">
        <v>5596</v>
      </c>
      <c r="AN25" s="755">
        <v>5922</v>
      </c>
      <c r="AO25" s="756">
        <v>5524</v>
      </c>
      <c r="AP25" s="755">
        <v>6013</v>
      </c>
      <c r="AQ25" s="755">
        <v>6225</v>
      </c>
      <c r="AR25" s="755">
        <v>6436</v>
      </c>
      <c r="AS25" s="755">
        <v>6631</v>
      </c>
      <c r="AT25" s="756">
        <v>6343</v>
      </c>
      <c r="AU25" s="755">
        <v>7053</v>
      </c>
      <c r="AV25" s="755">
        <v>7223</v>
      </c>
      <c r="AW25" s="755">
        <v>7399</v>
      </c>
      <c r="AX25" s="125">
        <v>7610</v>
      </c>
      <c r="AY25" s="126"/>
      <c r="AZ25" s="755">
        <v>7707</v>
      </c>
      <c r="BA25" s="755">
        <v>7993</v>
      </c>
      <c r="BB25" s="755">
        <v>8219</v>
      </c>
      <c r="BC25" s="755">
        <v>8441</v>
      </c>
      <c r="BD25" s="126"/>
      <c r="BE25" s="755">
        <v>8499</v>
      </c>
      <c r="BF25" s="755">
        <v>8665</v>
      </c>
      <c r="BG25" s="755">
        <v>8838</v>
      </c>
      <c r="BH25" s="755">
        <v>8647</v>
      </c>
      <c r="BI25" s="126"/>
      <c r="BJ25" s="755">
        <v>8541</v>
      </c>
      <c r="BK25" s="755">
        <v>8674</v>
      </c>
      <c r="BL25" s="755">
        <v>8793</v>
      </c>
      <c r="BM25" s="755">
        <v>8934</v>
      </c>
      <c r="BN25" s="126"/>
      <c r="BO25" s="757">
        <v>9069</v>
      </c>
      <c r="BP25" s="755">
        <v>9118</v>
      </c>
      <c r="BQ25" s="755">
        <v>9473</v>
      </c>
      <c r="BR25" s="755">
        <v>9645</v>
      </c>
      <c r="BS25" s="799">
        <f>BR25</f>
        <v>9645</v>
      </c>
      <c r="BT25" s="755">
        <v>9900</v>
      </c>
      <c r="BU25" s="755">
        <v>10150</v>
      </c>
      <c r="BV25" s="752">
        <v>10350</v>
      </c>
      <c r="BW25" s="752">
        <v>10400</v>
      </c>
      <c r="BX25" s="799">
        <f>BW25</f>
        <v>10400</v>
      </c>
      <c r="BY25" s="755">
        <v>10350</v>
      </c>
      <c r="BZ25" s="755">
        <v>10550</v>
      </c>
      <c r="CA25" s="755">
        <v>10900</v>
      </c>
      <c r="CB25" s="755">
        <v>11100</v>
      </c>
      <c r="CC25" s="799">
        <f>CB25</f>
        <v>11100</v>
      </c>
      <c r="CD25" s="755">
        <v>11050</v>
      </c>
      <c r="CE25" s="755">
        <v>11350</v>
      </c>
      <c r="CF25" s="755">
        <v>11650</v>
      </c>
      <c r="CG25" s="755">
        <v>12150</v>
      </c>
      <c r="CH25" s="799">
        <v>11550</v>
      </c>
      <c r="CI25" s="755">
        <v>12450</v>
      </c>
      <c r="CJ25" s="755">
        <v>12850</v>
      </c>
      <c r="CK25" s="755">
        <v>13700</v>
      </c>
      <c r="CL25" s="755">
        <v>14300</v>
      </c>
      <c r="CM25" s="799">
        <v>13300</v>
      </c>
      <c r="CN25" s="755">
        <v>13850</v>
      </c>
      <c r="CO25" s="755">
        <v>13200</v>
      </c>
      <c r="CP25" s="755">
        <v>13300</v>
      </c>
      <c r="CQ25" s="755">
        <v>13500</v>
      </c>
      <c r="CR25" s="799">
        <v>14350</v>
      </c>
    </row>
    <row r="26" spans="2:96" s="84" customFormat="1">
      <c r="B26" s="726"/>
      <c r="C26" s="84" t="s">
        <v>0</v>
      </c>
      <c r="G26" s="637"/>
      <c r="H26" s="637"/>
      <c r="I26" s="637"/>
      <c r="J26" s="637"/>
      <c r="L26" s="637">
        <f>L25/G25-1</f>
        <v>0.125</v>
      </c>
      <c r="M26" s="637">
        <f>M25/H25-1</f>
        <v>0.10432074737251851</v>
      </c>
      <c r="N26" s="637">
        <f>N25/I25-1</f>
        <v>6.9715971966064272E-2</v>
      </c>
      <c r="O26" s="637">
        <f>O25/J25-1</f>
        <v>0.11119430924747276</v>
      </c>
      <c r="Q26" s="637">
        <f>Q25/L25-1</f>
        <v>0.10669610007358354</v>
      </c>
      <c r="R26" s="637">
        <f>R25/M25-1</f>
        <v>0.10997532604864291</v>
      </c>
      <c r="S26" s="637">
        <f>S25/N25-1</f>
        <v>0.11241379310344835</v>
      </c>
      <c r="T26" s="637">
        <f>T25/O25-1</f>
        <v>9.4676549865229109E-2</v>
      </c>
      <c r="U26" s="727"/>
      <c r="V26" s="637">
        <f>V25/Q25-1</f>
        <v>9.4082446808510634E-2</v>
      </c>
      <c r="W26" s="637">
        <f>W25/R25-1</f>
        <v>5.4620514449031488E-2</v>
      </c>
      <c r="X26" s="637">
        <f>X25/S25-1</f>
        <v>4.6497210167389946E-2</v>
      </c>
      <c r="Y26" s="637">
        <f>Y25/T25-1</f>
        <v>5.0169282856263431E-2</v>
      </c>
      <c r="Z26" s="727"/>
      <c r="AA26" s="637">
        <f>AA25/V25-1</f>
        <v>7.2318444241871838E-2</v>
      </c>
      <c r="AB26" s="637">
        <f>AB25/W25-1</f>
        <v>0.10448660042155966</v>
      </c>
      <c r="AC26" s="637">
        <f>AC25/X25-1</f>
        <v>0.21475118483412325</v>
      </c>
      <c r="AD26" s="637">
        <f>AD25/Y25-1</f>
        <v>0.31858147713950768</v>
      </c>
      <c r="AE26" s="727"/>
      <c r="AF26" s="637">
        <f>AF25/AA25-1</f>
        <v>0.3131198639841315</v>
      </c>
      <c r="AG26" s="637">
        <f>AG25/AB25-1</f>
        <v>0.32742639040348953</v>
      </c>
      <c r="AH26" s="637">
        <f>AH25/AC25-1</f>
        <v>0.22360399902462813</v>
      </c>
      <c r="AI26" s="637">
        <f>AI25/AD25-1</f>
        <v>0.13380751278061798</v>
      </c>
      <c r="AJ26" s="727"/>
      <c r="AK26" s="637">
        <f>AK25/AF25-1</f>
        <v>0.12645662494605103</v>
      </c>
      <c r="AL26" s="637">
        <f>AL25/AG25-1</f>
        <v>0.12281782706921329</v>
      </c>
      <c r="AM26" s="637">
        <f>AM25/AH25-1</f>
        <v>0.11518533280191301</v>
      </c>
      <c r="AN26" s="637">
        <f>AN25/AI25-1</f>
        <v>0.16094883356204659</v>
      </c>
      <c r="AO26" s="727"/>
      <c r="AP26" s="637">
        <f>AP25/AK25-1</f>
        <v>0.15191570881226046</v>
      </c>
      <c r="AQ26" s="637">
        <f>AQ25/AL25-1</f>
        <v>0.13865008231205422</v>
      </c>
      <c r="AR26" s="637">
        <f>AR25/AM25-1</f>
        <v>0.15010721944245886</v>
      </c>
      <c r="AS26" s="637">
        <f>AS25/AN25-1</f>
        <v>0.11972306653157716</v>
      </c>
      <c r="AT26" s="727"/>
      <c r="AU26" s="637">
        <f>AU25/AP25-1</f>
        <v>0.17295858972226852</v>
      </c>
      <c r="AV26" s="637">
        <f>AV25/AQ25-1</f>
        <v>0.16032128514056221</v>
      </c>
      <c r="AW26" s="637">
        <f>AW25/AR25-1</f>
        <v>0.14962709757613424</v>
      </c>
      <c r="AX26" s="637">
        <f>AX25/AS25-1</f>
        <v>0.14763987332227413</v>
      </c>
      <c r="AY26" s="727"/>
      <c r="AZ26" s="637">
        <f>AZ25/AU25-1</f>
        <v>9.2726499361973636E-2</v>
      </c>
      <c r="BA26" s="637">
        <f>BA25/AV25-1</f>
        <v>0.10660390419493293</v>
      </c>
      <c r="BB26" s="637">
        <f>BB25/AW25-1</f>
        <v>0.11082578726854986</v>
      </c>
      <c r="BC26" s="637">
        <f>BC25/AX25-1</f>
        <v>0.10919842312746386</v>
      </c>
      <c r="BD26" s="727"/>
      <c r="BE26" s="637">
        <f>BE25/AZ25-1</f>
        <v>0.10276372129233158</v>
      </c>
      <c r="BF26" s="637">
        <f>BF25/BA25-1</f>
        <v>8.4073564368822629E-2</v>
      </c>
      <c r="BG26" s="637">
        <f>BG25/BB25-1</f>
        <v>7.5313298454799948E-2</v>
      </c>
      <c r="BH26" s="637">
        <f>BH25/BC25-1</f>
        <v>2.4404691387276412E-2</v>
      </c>
      <c r="BI26" s="727"/>
      <c r="BJ26" s="637">
        <f>BJ25/BE25-1</f>
        <v>4.9417578538650808E-3</v>
      </c>
      <c r="BK26" s="637">
        <f>BK25/BF25-1</f>
        <v>1.038661281015596E-3</v>
      </c>
      <c r="BL26" s="637">
        <f>BL25/BG25-1</f>
        <v>-5.0916496945010437E-3</v>
      </c>
      <c r="BM26" s="637">
        <f>BM25/BH25-1</f>
        <v>3.3190701977564574E-2</v>
      </c>
      <c r="BN26" s="727"/>
      <c r="BO26" s="637">
        <f>BO25/BJ25-1</f>
        <v>6.1819459079732964E-2</v>
      </c>
      <c r="BP26" s="637">
        <f>BP25/BK25-1</f>
        <v>5.1187456767350703E-2</v>
      </c>
      <c r="BQ26" s="637">
        <f>BQ25/BL25-1</f>
        <v>7.733424314795867E-2</v>
      </c>
      <c r="BR26" s="637">
        <f>BR25/BM25-1</f>
        <v>7.9583613163196842E-2</v>
      </c>
      <c r="BS26" s="800">
        <f>BR26</f>
        <v>7.9583613163196842E-2</v>
      </c>
      <c r="BT26" s="637">
        <f>BT25/BO25-1</f>
        <v>9.1630830301025368E-2</v>
      </c>
      <c r="BU26" s="637">
        <f>BU25/BP25-1</f>
        <v>0.11318271550778669</v>
      </c>
      <c r="BV26" s="637">
        <f>BV25/BQ25-1</f>
        <v>9.2578908476723232E-2</v>
      </c>
      <c r="BW26" s="637">
        <f>BW25/BR25-1</f>
        <v>7.827890098496626E-2</v>
      </c>
      <c r="BX26" s="800">
        <f>BW26</f>
        <v>7.827890098496626E-2</v>
      </c>
      <c r="BY26" s="637">
        <f>BY25/BT25-1</f>
        <v>4.5454545454545414E-2</v>
      </c>
      <c r="BZ26" s="637">
        <f>BZ25/BU25-1</f>
        <v>3.9408866995073843E-2</v>
      </c>
      <c r="CA26" s="637">
        <f>CA25/BV25-1</f>
        <v>5.3140096618357502E-2</v>
      </c>
      <c r="CB26" s="637">
        <f>CB25/BW25-1</f>
        <v>6.7307692307692291E-2</v>
      </c>
      <c r="CC26" s="800">
        <f>CB26</f>
        <v>6.7307692307692291E-2</v>
      </c>
      <c r="CD26" s="637">
        <f>CD25/BY25-1</f>
        <v>6.7632850241545972E-2</v>
      </c>
      <c r="CE26" s="637">
        <f>CE25/BZ25-1</f>
        <v>7.5829383886255819E-2</v>
      </c>
      <c r="CF26" s="637">
        <f>CF25/CA25-1</f>
        <v>6.8807339449541205E-2</v>
      </c>
      <c r="CG26" s="637">
        <f>CG25/CB25-1</f>
        <v>9.4594594594594517E-2</v>
      </c>
      <c r="CH26" s="800"/>
      <c r="CI26" s="637">
        <f t="shared" ref="CI26:CR26" si="83">CI25/CD25-1</f>
        <v>0.12669683257918551</v>
      </c>
      <c r="CJ26" s="637">
        <f t="shared" si="83"/>
        <v>0.13215859030836996</v>
      </c>
      <c r="CK26" s="637">
        <f t="shared" si="83"/>
        <v>0.17596566523605151</v>
      </c>
      <c r="CL26" s="637">
        <f t="shared" si="83"/>
        <v>0.17695473251028804</v>
      </c>
      <c r="CM26" s="800">
        <f t="shared" si="83"/>
        <v>0.1515151515151516</v>
      </c>
      <c r="CN26" s="637">
        <f t="shared" si="83"/>
        <v>0.11244979919678721</v>
      </c>
      <c r="CO26" s="637">
        <f t="shared" si="83"/>
        <v>2.7237354085603016E-2</v>
      </c>
      <c r="CP26" s="637">
        <f t="shared" si="83"/>
        <v>-2.9197080291970767E-2</v>
      </c>
      <c r="CQ26" s="637">
        <f t="shared" si="83"/>
        <v>-5.5944055944055937E-2</v>
      </c>
      <c r="CR26" s="800">
        <f t="shared" si="83"/>
        <v>7.8947368421052655E-2</v>
      </c>
    </row>
    <row r="27" spans="2:96" s="84" customFormat="1">
      <c r="B27" s="726"/>
      <c r="C27" s="84" t="s">
        <v>1</v>
      </c>
      <c r="L27" s="637">
        <f>L25/J25-1</f>
        <v>1.7596405840509144E-2</v>
      </c>
      <c r="M27" s="637">
        <f>M25/L25-1</f>
        <v>4.3782192788815344E-2</v>
      </c>
      <c r="N27" s="637">
        <f>N25/M25-1</f>
        <v>2.2206556221360696E-2</v>
      </c>
      <c r="O27" s="637">
        <f>O25/N25-1</f>
        <v>2.3448275862068879E-2</v>
      </c>
      <c r="Q27" s="637">
        <f>Q25/O25-1</f>
        <v>1.3477088948786964E-2</v>
      </c>
      <c r="R27" s="637">
        <f>R25/Q25-1</f>
        <v>4.6875E-2</v>
      </c>
      <c r="S27" s="637">
        <f>S25/R25-1</f>
        <v>2.4452207049857178E-2</v>
      </c>
      <c r="T27" s="637">
        <f>T25/S25-1</f>
        <v>7.1295722256665695E-3</v>
      </c>
      <c r="U27" s="727"/>
      <c r="V27" s="637">
        <f>V25/T25-1</f>
        <v>1.2927054478301114E-2</v>
      </c>
      <c r="W27" s="637">
        <f>W25/V25-1</f>
        <v>9.1157702825888087E-3</v>
      </c>
      <c r="X27" s="637">
        <f>X25/W25-1</f>
        <v>1.6561276723878304E-2</v>
      </c>
      <c r="Y27" s="637">
        <f>Y25/X25-1</f>
        <v>1.0663507109004655E-2</v>
      </c>
      <c r="Z27" s="727"/>
      <c r="AA27" s="637">
        <f>AA25/Y25-1</f>
        <v>3.4290738569753731E-2</v>
      </c>
      <c r="AB27" s="637">
        <f>AB25/AA25-1</f>
        <v>3.9387928591668953E-2</v>
      </c>
      <c r="AC27" s="637">
        <f>AC25/AB25-1</f>
        <v>0.11804798255179927</v>
      </c>
      <c r="AD27" s="637">
        <f>AD25/AC25-1</f>
        <v>9.7049500121921373E-2</v>
      </c>
      <c r="AE27" s="727"/>
      <c r="AF27" s="637">
        <f>AF25/AD25-1</f>
        <v>3.0006668148477411E-2</v>
      </c>
      <c r="AG27" s="637">
        <f>AG25/AF25-1</f>
        <v>5.0712127751402658E-2</v>
      </c>
      <c r="AH27" s="637">
        <f>AH25/AG25-1</f>
        <v>3.0601766276442843E-2</v>
      </c>
      <c r="AI27" s="637">
        <f>AI25/AH25-1</f>
        <v>1.6540454364288637E-2</v>
      </c>
      <c r="AJ27" s="727"/>
      <c r="AK27" s="637">
        <f>AK25/AI25-1</f>
        <v>2.3328759066849614E-2</v>
      </c>
      <c r="AL27" s="637">
        <f>AL25/AK25-1</f>
        <v>4.7318007662835226E-2</v>
      </c>
      <c r="AM27" s="637">
        <f>AM25/AL25-1</f>
        <v>2.3596122187671487E-2</v>
      </c>
      <c r="AN27" s="637">
        <f>AN25/AM25-1</f>
        <v>5.8255897069335205E-2</v>
      </c>
      <c r="AO27" s="727"/>
      <c r="AP27" s="637">
        <f>AP25/AN25-1</f>
        <v>1.5366430260047359E-2</v>
      </c>
      <c r="AQ27" s="637">
        <f>AQ25/AP25-1</f>
        <v>3.5256943289539322E-2</v>
      </c>
      <c r="AR27" s="637">
        <f>AR25/AQ25-1</f>
        <v>3.389558232931722E-2</v>
      </c>
      <c r="AS27" s="637">
        <f>AS25/AR25-1</f>
        <v>3.0298321939092654E-2</v>
      </c>
      <c r="AT27" s="727"/>
      <c r="AU27" s="637">
        <f>AU25/AS25-1</f>
        <v>6.364047654953997E-2</v>
      </c>
      <c r="AV27" s="637">
        <f>AV25/AU25-1</f>
        <v>2.410321848858632E-2</v>
      </c>
      <c r="AW27" s="637">
        <f>AW25/AV25-1</f>
        <v>2.43666066731274E-2</v>
      </c>
      <c r="AX27" s="637">
        <f>AX25/AW25-1</f>
        <v>2.8517367211785327E-2</v>
      </c>
      <c r="AY27" s="727"/>
      <c r="AZ27" s="637">
        <f>AZ25/AX25-1</f>
        <v>1.2746386333771342E-2</v>
      </c>
      <c r="BA27" s="637">
        <f>BA25/AZ25-1</f>
        <v>3.7109121577786341E-2</v>
      </c>
      <c r="BB27" s="637">
        <f>BB25/BA25-1</f>
        <v>2.8274740397848053E-2</v>
      </c>
      <c r="BC27" s="637">
        <f>BC25/BB25-1</f>
        <v>2.701058522934674E-2</v>
      </c>
      <c r="BD27" s="727"/>
      <c r="BE27" s="637">
        <f>BE25/BC25-1</f>
        <v>6.8712237886505712E-3</v>
      </c>
      <c r="BF27" s="637">
        <f>BF25/BE25-1</f>
        <v>1.9531709612895742E-2</v>
      </c>
      <c r="BG27" s="637">
        <f>BG25/BF25-1</f>
        <v>1.9965377957299468E-2</v>
      </c>
      <c r="BH27" s="637">
        <f>BH25/BG25-1</f>
        <v>-2.1611224258882067E-2</v>
      </c>
      <c r="BI27" s="727"/>
      <c r="BJ27" s="637">
        <f>BJ25/BH25-1</f>
        <v>-1.2258586793107429E-2</v>
      </c>
      <c r="BK27" s="637">
        <f>BK25/BJ25-1</f>
        <v>1.55719470787965E-2</v>
      </c>
      <c r="BL27" s="637">
        <f>BL25/BK25-1</f>
        <v>1.3719160710168321E-2</v>
      </c>
      <c r="BM27" s="637">
        <f>BM25/BL25-1</f>
        <v>1.6035482770385467E-2</v>
      </c>
      <c r="BN27" s="727"/>
      <c r="BO27" s="637">
        <f>BO25/BM25-1</f>
        <v>1.5110812625923398E-2</v>
      </c>
      <c r="BP27" s="637">
        <f>BP25/BO25-1</f>
        <v>5.4030212812878897E-3</v>
      </c>
      <c r="BQ27" s="637">
        <f>BQ25/BP25-1</f>
        <v>3.8933976749287114E-2</v>
      </c>
      <c r="BR27" s="637">
        <f>BR25/BQ25-1</f>
        <v>1.8156866884830647E-2</v>
      </c>
      <c r="BS27" s="727"/>
      <c r="BT27" s="637">
        <f>BT25/BR25-1</f>
        <v>2.6438569206842955E-2</v>
      </c>
      <c r="BU27" s="637">
        <f>BU25/BT25-1</f>
        <v>2.5252525252525304E-2</v>
      </c>
      <c r="BV27" s="637">
        <f>BV25/BU25-1</f>
        <v>1.9704433497536922E-2</v>
      </c>
      <c r="BW27" s="637">
        <f>BW25/BV25-1</f>
        <v>4.8309178743961567E-3</v>
      </c>
      <c r="BX27" s="727"/>
      <c r="BY27" s="637">
        <f>BY25/BW25-1</f>
        <v>-4.8076923076922906E-3</v>
      </c>
      <c r="BZ27" s="637">
        <f>BZ25/BY25-1</f>
        <v>1.9323671497584627E-2</v>
      </c>
      <c r="CA27" s="637">
        <f>CA25/BZ25-1</f>
        <v>3.3175355450236976E-2</v>
      </c>
      <c r="CB27" s="637">
        <f>CB25/CA25-1</f>
        <v>1.8348623853210899E-2</v>
      </c>
      <c r="CC27" s="727"/>
      <c r="CD27" s="637">
        <f>CD25/CB25-1</f>
        <v>-4.5045045045044585E-3</v>
      </c>
      <c r="CE27" s="637">
        <f>CE25/CD25-1</f>
        <v>2.7149321266968229E-2</v>
      </c>
      <c r="CF27" s="637">
        <f>CF25/CE25-1</f>
        <v>2.6431718061673992E-2</v>
      </c>
      <c r="CG27" s="637">
        <f>CG25/CF25-1</f>
        <v>4.2918454935622297E-2</v>
      </c>
      <c r="CH27" s="727"/>
      <c r="CI27" s="637">
        <f>CI25/CG25-1</f>
        <v>2.4691358024691468E-2</v>
      </c>
      <c r="CJ27" s="637">
        <f>CJ25/CI25-1</f>
        <v>3.2128514056224855E-2</v>
      </c>
      <c r="CK27" s="637">
        <f>CK25/CJ25-1</f>
        <v>6.6147859922178975E-2</v>
      </c>
      <c r="CL27" s="637">
        <f>CL25/CK25-1</f>
        <v>4.3795620437956151E-2</v>
      </c>
      <c r="CM27" s="727"/>
      <c r="CN27" s="637">
        <f>CN25/CL25-1</f>
        <v>-3.1468531468531458E-2</v>
      </c>
      <c r="CO27" s="637">
        <f>CO25/CN25-1</f>
        <v>-4.6931407942238268E-2</v>
      </c>
      <c r="CP27" s="637">
        <f>CP25/CO25-1</f>
        <v>7.575757575757569E-3</v>
      </c>
      <c r="CQ27" s="637">
        <f>CQ25/CP25-1</f>
        <v>1.5037593984962516E-2</v>
      </c>
      <c r="CR27" s="727"/>
    </row>
    <row r="28" spans="2:96">
      <c r="B28" s="24"/>
      <c r="U28" s="32"/>
      <c r="Z28" s="32"/>
      <c r="AD28" s="45"/>
      <c r="AE28" s="50"/>
      <c r="AJ28" s="32"/>
      <c r="AO28" s="32"/>
      <c r="AT28" s="32"/>
      <c r="AY28" s="32"/>
      <c r="BD28" s="32"/>
      <c r="BI28" s="32"/>
      <c r="BJ28" s="24"/>
      <c r="BN28" s="32"/>
      <c r="BS28" s="32"/>
      <c r="BT28" s="24"/>
      <c r="BX28" s="32"/>
      <c r="BY28" s="24"/>
      <c r="CC28" s="32"/>
      <c r="CD28" s="24"/>
      <c r="CH28" s="32"/>
      <c r="CI28" s="24"/>
      <c r="CM28" s="32"/>
      <c r="CN28" s="24"/>
      <c r="CR28" s="32"/>
    </row>
    <row r="29" spans="2:96">
      <c r="B29" s="715" t="s">
        <v>478</v>
      </c>
      <c r="C29" s="4"/>
      <c r="D29" s="4"/>
      <c r="E29" s="4"/>
      <c r="U29" s="32"/>
      <c r="W29" s="85">
        <f>R25*1.09</f>
        <v>3432.4100000000003</v>
      </c>
      <c r="Z29" s="32"/>
      <c r="AC29" s="85">
        <f>1.1*X25</f>
        <v>3713.6000000000004</v>
      </c>
      <c r="AE29" s="32"/>
      <c r="AH29" s="85">
        <f>1.1*AC25</f>
        <v>4511.1000000000004</v>
      </c>
      <c r="AJ29" s="32"/>
      <c r="AM29" s="85">
        <f>1.1*AH25</f>
        <v>5519.8</v>
      </c>
      <c r="AO29" s="32"/>
      <c r="AR29" s="85">
        <f>1.1*AM25</f>
        <v>6155.6</v>
      </c>
      <c r="AT29" s="32"/>
      <c r="AU29" s="85">
        <f>AU25*(1-0.13)</f>
        <v>6136.11</v>
      </c>
      <c r="AV29" s="85">
        <f>AV25*(1-0.11)</f>
        <v>6428.47</v>
      </c>
      <c r="AW29" s="85">
        <f>AW25*(1-0.1)</f>
        <v>6659.1</v>
      </c>
      <c r="AY29" s="32"/>
      <c r="AZ29" s="457"/>
      <c r="BA29" s="457"/>
      <c r="BB29" s="457"/>
      <c r="BC29" s="457"/>
      <c r="BD29" s="32"/>
      <c r="BE29" s="457"/>
      <c r="BF29" s="457"/>
      <c r="BG29" s="457"/>
      <c r="BH29" s="446"/>
      <c r="BI29" s="32"/>
      <c r="BJ29" s="457"/>
      <c r="BK29" s="457"/>
      <c r="BL29" s="457"/>
      <c r="BM29" s="457"/>
      <c r="BN29" s="32"/>
      <c r="BO29" s="457"/>
      <c r="BP29" s="457"/>
      <c r="BQ29" s="457"/>
      <c r="BR29" s="457"/>
      <c r="BS29" s="459"/>
      <c r="BT29" s="457"/>
      <c r="BU29" s="457"/>
      <c r="BV29" s="457"/>
      <c r="BW29" s="457"/>
      <c r="BX29" s="459"/>
      <c r="BY29" s="457"/>
      <c r="BZ29" s="457"/>
      <c r="CA29" s="457"/>
      <c r="CB29" s="457"/>
      <c r="CC29" s="459"/>
      <c r="CD29" s="457"/>
      <c r="CE29" s="457"/>
      <c r="CF29" s="457"/>
      <c r="CG29" s="457"/>
      <c r="CH29" s="459"/>
      <c r="CI29" s="457"/>
      <c r="CJ29" s="457"/>
      <c r="CK29" s="457"/>
      <c r="CL29" s="457"/>
      <c r="CM29" s="459"/>
      <c r="CN29" s="457"/>
      <c r="CO29" s="457"/>
      <c r="CP29" s="457"/>
      <c r="CR29" s="459"/>
    </row>
    <row r="30" spans="2:96" ht="4.5" customHeight="1" thickBot="1">
      <c r="B30" s="55"/>
      <c r="C30" s="28"/>
      <c r="D30" s="28"/>
      <c r="E30" s="28"/>
      <c r="F30" s="28"/>
      <c r="G30" s="28"/>
      <c r="H30" s="28"/>
      <c r="I30" s="28"/>
      <c r="J30" s="28"/>
      <c r="K30" s="28"/>
      <c r="L30" s="28"/>
      <c r="M30" s="28"/>
      <c r="N30" s="28"/>
      <c r="O30" s="28"/>
      <c r="P30" s="28"/>
      <c r="Q30" s="28"/>
      <c r="R30" s="28"/>
      <c r="S30" s="28"/>
      <c r="T30" s="28"/>
      <c r="U30" s="36"/>
      <c r="V30" s="28"/>
      <c r="W30" s="28"/>
      <c r="X30" s="28"/>
      <c r="Y30" s="28"/>
      <c r="Z30" s="36"/>
      <c r="AA30" s="28"/>
      <c r="AB30" s="28"/>
      <c r="AC30" s="28"/>
      <c r="AD30" s="28"/>
      <c r="AE30" s="36"/>
      <c r="AF30" s="28"/>
      <c r="AG30" s="28"/>
      <c r="AH30" s="28"/>
      <c r="AI30" s="28"/>
      <c r="AJ30" s="36"/>
      <c r="AK30" s="28"/>
      <c r="AL30" s="28"/>
      <c r="AM30" s="28"/>
      <c r="AN30" s="28"/>
      <c r="AO30" s="36"/>
      <c r="AP30" s="28"/>
      <c r="AQ30" s="28"/>
      <c r="AR30" s="28"/>
      <c r="AS30" s="28"/>
      <c r="AT30" s="36"/>
      <c r="AU30" s="28"/>
      <c r="AV30" s="725"/>
      <c r="AW30" s="28"/>
      <c r="AX30" s="28"/>
      <c r="AY30" s="36"/>
      <c r="AZ30" s="28"/>
      <c r="BA30" s="725"/>
      <c r="BB30" s="28"/>
      <c r="BC30" s="28"/>
      <c r="BD30" s="36"/>
      <c r="BE30" s="28"/>
      <c r="BF30" s="725"/>
      <c r="BG30" s="28"/>
      <c r="BH30" s="28"/>
      <c r="BI30" s="36"/>
      <c r="BJ30" s="55"/>
      <c r="BK30" s="28"/>
      <c r="BL30" s="28"/>
      <c r="BM30" s="28"/>
      <c r="BN30" s="36"/>
      <c r="BO30" s="28"/>
      <c r="BP30" s="28"/>
      <c r="BQ30" s="28"/>
      <c r="BR30" s="28"/>
      <c r="BS30" s="36"/>
      <c r="BT30" s="55"/>
      <c r="BU30" s="28"/>
      <c r="BV30" s="28"/>
      <c r="BW30" s="28"/>
      <c r="BX30" s="36"/>
      <c r="BY30" s="55"/>
      <c r="BZ30" s="28"/>
      <c r="CA30" s="28"/>
      <c r="CB30" s="28"/>
      <c r="CC30" s="36"/>
      <c r="CD30" s="55"/>
      <c r="CE30" s="28"/>
      <c r="CF30" s="28"/>
      <c r="CG30" s="28"/>
      <c r="CH30" s="36"/>
      <c r="CI30" s="55"/>
      <c r="CJ30" s="28"/>
      <c r="CK30" s="28"/>
      <c r="CL30" s="28"/>
      <c r="CM30" s="36"/>
      <c r="CN30" s="55"/>
      <c r="CO30" s="28"/>
      <c r="CP30" s="28"/>
      <c r="CQ30" s="28"/>
      <c r="CR30" s="36"/>
    </row>
    <row r="31" spans="2:96" s="254" customFormat="1">
      <c r="BJ31" s="913"/>
      <c r="BK31" s="913"/>
      <c r="BL31" s="913"/>
      <c r="BM31" s="913"/>
      <c r="CN31" s="914">
        <f>4*1000*CN46/CN4</f>
        <v>12729.750692520776</v>
      </c>
      <c r="CO31" s="914">
        <f>4*1000*CO46/CO4</f>
        <v>13146.495412844037</v>
      </c>
      <c r="CP31" s="914">
        <f>4*1000*CP46/CP4</f>
        <v>13247.752502274796</v>
      </c>
      <c r="CQ31" s="914">
        <f>4*1000*CQ46/CQ4</f>
        <v>0</v>
      </c>
    </row>
    <row r="32" spans="2:96" ht="13.15" thickBot="1"/>
    <row r="33" spans="2:96" ht="13.5" thickBot="1">
      <c r="B33" s="930" t="s">
        <v>469</v>
      </c>
      <c r="C33" s="931"/>
      <c r="D33" s="809"/>
      <c r="E33" s="809"/>
      <c r="F33" s="788">
        <f t="shared" ref="F33:AK33" si="84">F3</f>
        <v>2007</v>
      </c>
      <c r="G33" s="632" t="str">
        <f t="shared" si="84"/>
        <v>1Q08</v>
      </c>
      <c r="H33" s="632" t="str">
        <f t="shared" si="84"/>
        <v>2Q08</v>
      </c>
      <c r="I33" s="632" t="str">
        <f t="shared" si="84"/>
        <v>2Q08</v>
      </c>
      <c r="J33" s="632" t="str">
        <f t="shared" si="84"/>
        <v>4Q08</v>
      </c>
      <c r="K33" s="623">
        <f t="shared" si="84"/>
        <v>2008</v>
      </c>
      <c r="L33" s="632" t="str">
        <f t="shared" si="84"/>
        <v>1Q09</v>
      </c>
      <c r="M33" s="632" t="str">
        <f t="shared" si="84"/>
        <v>2Q09</v>
      </c>
      <c r="N33" s="632" t="str">
        <f t="shared" si="84"/>
        <v>2Q09</v>
      </c>
      <c r="O33" s="632" t="str">
        <f t="shared" si="84"/>
        <v>4Q09</v>
      </c>
      <c r="P33" s="623">
        <f t="shared" si="84"/>
        <v>2009</v>
      </c>
      <c r="Q33" s="632" t="str">
        <f t="shared" si="84"/>
        <v>1QA10</v>
      </c>
      <c r="R33" s="632" t="str">
        <f t="shared" si="84"/>
        <v>2QA10</v>
      </c>
      <c r="S33" s="632" t="str">
        <f t="shared" si="84"/>
        <v>3Q10</v>
      </c>
      <c r="T33" s="632" t="str">
        <f t="shared" si="84"/>
        <v>4Q10</v>
      </c>
      <c r="U33" s="623">
        <f t="shared" si="84"/>
        <v>2010</v>
      </c>
      <c r="V33" s="632" t="str">
        <f t="shared" si="84"/>
        <v>1Q11</v>
      </c>
      <c r="W33" s="632" t="str">
        <f t="shared" si="84"/>
        <v>2Q11</v>
      </c>
      <c r="X33" s="632" t="str">
        <f t="shared" si="84"/>
        <v>3Q11</v>
      </c>
      <c r="Y33" s="632" t="str">
        <f t="shared" si="84"/>
        <v>4Q11</v>
      </c>
      <c r="Z33" s="623">
        <f t="shared" si="84"/>
        <v>2011</v>
      </c>
      <c r="AA33" s="632" t="str">
        <f t="shared" si="84"/>
        <v>1Q12</v>
      </c>
      <c r="AB33" s="789" t="str">
        <f t="shared" si="84"/>
        <v>2Q12</v>
      </c>
      <c r="AC33" s="632" t="str">
        <f t="shared" si="84"/>
        <v>3Q12</v>
      </c>
      <c r="AD33" s="632" t="str">
        <f t="shared" si="84"/>
        <v>4Q12</v>
      </c>
      <c r="AE33" s="623">
        <f t="shared" si="84"/>
        <v>2012</v>
      </c>
      <c r="AF33" s="632" t="str">
        <f t="shared" si="84"/>
        <v>1Q13</v>
      </c>
      <c r="AG33" s="632" t="str">
        <f t="shared" si="84"/>
        <v>2Q13</v>
      </c>
      <c r="AH33" s="632" t="str">
        <f t="shared" si="84"/>
        <v>3Q13</v>
      </c>
      <c r="AI33" s="788" t="str">
        <f t="shared" si="84"/>
        <v>4Q13</v>
      </c>
      <c r="AJ33" s="623">
        <f t="shared" si="84"/>
        <v>2013</v>
      </c>
      <c r="AK33" s="790" t="str">
        <f t="shared" si="84"/>
        <v>1Q14</v>
      </c>
      <c r="AL33" s="632" t="str">
        <f t="shared" ref="AL33:BQ33" si="85">AL3</f>
        <v>2Q14</v>
      </c>
      <c r="AM33" s="632" t="str">
        <f t="shared" si="85"/>
        <v>3Q14</v>
      </c>
      <c r="AN33" s="788" t="str">
        <f t="shared" si="85"/>
        <v>4Q14</v>
      </c>
      <c r="AO33" s="623">
        <f t="shared" si="85"/>
        <v>2014</v>
      </c>
      <c r="AP33" s="632" t="str">
        <f t="shared" si="85"/>
        <v>1Q15</v>
      </c>
      <c r="AQ33" s="632" t="str">
        <f t="shared" si="85"/>
        <v>2Q15</v>
      </c>
      <c r="AR33" s="632" t="str">
        <f t="shared" si="85"/>
        <v>3Q15</v>
      </c>
      <c r="AS33" s="632" t="str">
        <f t="shared" si="85"/>
        <v>4Q15</v>
      </c>
      <c r="AT33" s="623">
        <f t="shared" si="85"/>
        <v>2015</v>
      </c>
      <c r="AU33" s="632" t="str">
        <f t="shared" si="85"/>
        <v>1Q16</v>
      </c>
      <c r="AV33" s="632" t="str">
        <f t="shared" si="85"/>
        <v>2Q16</v>
      </c>
      <c r="AW33" s="632" t="str">
        <f t="shared" si="85"/>
        <v>3Q16</v>
      </c>
      <c r="AX33" s="632" t="str">
        <f t="shared" si="85"/>
        <v>4Q16</v>
      </c>
      <c r="AY33" s="623">
        <f t="shared" si="85"/>
        <v>2016</v>
      </c>
      <c r="AZ33" s="632" t="str">
        <f t="shared" si="85"/>
        <v>1Q17</v>
      </c>
      <c r="BA33" s="632" t="str">
        <f t="shared" si="85"/>
        <v>2Q17</v>
      </c>
      <c r="BB33" s="632" t="str">
        <f t="shared" si="85"/>
        <v>3Q17</v>
      </c>
      <c r="BC33" s="632" t="str">
        <f t="shared" si="85"/>
        <v>4Q17</v>
      </c>
      <c r="BD33" s="623">
        <f t="shared" si="85"/>
        <v>2017</v>
      </c>
      <c r="BE33" s="632" t="str">
        <f t="shared" si="85"/>
        <v>1Q18</v>
      </c>
      <c r="BF33" s="632" t="str">
        <f t="shared" si="85"/>
        <v>2Q18</v>
      </c>
      <c r="BG33" s="632" t="str">
        <f t="shared" si="85"/>
        <v>3Q18</v>
      </c>
      <c r="BH33" s="632" t="str">
        <f t="shared" si="85"/>
        <v>4Q18</v>
      </c>
      <c r="BI33" s="623">
        <f t="shared" si="85"/>
        <v>2018</v>
      </c>
      <c r="BJ33" s="632" t="str">
        <f t="shared" si="85"/>
        <v>1Q19</v>
      </c>
      <c r="BK33" s="632" t="str">
        <f t="shared" si="85"/>
        <v>2Q19</v>
      </c>
      <c r="BL33" s="632" t="str">
        <f t="shared" si="85"/>
        <v>3Q19</v>
      </c>
      <c r="BM33" s="632" t="str">
        <f t="shared" si="85"/>
        <v>4Q19</v>
      </c>
      <c r="BN33" s="623">
        <f t="shared" si="85"/>
        <v>2019</v>
      </c>
      <c r="BO33" s="632" t="str">
        <f t="shared" si="85"/>
        <v>1Q20</v>
      </c>
      <c r="BP33" s="632" t="str">
        <f t="shared" si="85"/>
        <v>2Q20</v>
      </c>
      <c r="BQ33" s="632" t="str">
        <f t="shared" si="85"/>
        <v>3Q20</v>
      </c>
      <c r="BR33" s="632" t="str">
        <f t="shared" ref="BR33:CP33" si="86">BR3</f>
        <v>4Q20</v>
      </c>
      <c r="BS33" s="623">
        <f t="shared" si="86"/>
        <v>2020</v>
      </c>
      <c r="BT33" s="632" t="str">
        <f t="shared" si="86"/>
        <v>1Q21</v>
      </c>
      <c r="BU33" s="632" t="str">
        <f t="shared" si="86"/>
        <v>2Q21</v>
      </c>
      <c r="BV33" s="632" t="str">
        <f t="shared" si="86"/>
        <v>3Q21</v>
      </c>
      <c r="BW33" s="632" t="str">
        <f t="shared" si="86"/>
        <v>4Q21</v>
      </c>
      <c r="BX33" s="623">
        <f t="shared" si="86"/>
        <v>2021</v>
      </c>
      <c r="BY33" s="632" t="str">
        <f t="shared" si="86"/>
        <v>1Q22</v>
      </c>
      <c r="BZ33" s="632" t="str">
        <f t="shared" si="86"/>
        <v>2Q22</v>
      </c>
      <c r="CA33" s="632" t="str">
        <f t="shared" si="86"/>
        <v>3Q22</v>
      </c>
      <c r="CB33" s="632" t="str">
        <f t="shared" si="86"/>
        <v>4Q22</v>
      </c>
      <c r="CC33" s="623">
        <f t="shared" si="86"/>
        <v>2022</v>
      </c>
      <c r="CD33" s="632" t="str">
        <f t="shared" si="86"/>
        <v>1Q23</v>
      </c>
      <c r="CE33" s="632" t="str">
        <f t="shared" si="86"/>
        <v>2Q23</v>
      </c>
      <c r="CF33" s="632" t="str">
        <f t="shared" si="86"/>
        <v>3Q23</v>
      </c>
      <c r="CG33" s="632" t="str">
        <f t="shared" si="86"/>
        <v>4Q23</v>
      </c>
      <c r="CH33" s="623">
        <f t="shared" si="86"/>
        <v>2023</v>
      </c>
      <c r="CI33" s="632" t="str">
        <f t="shared" si="86"/>
        <v>1Q24</v>
      </c>
      <c r="CJ33" s="632" t="str">
        <f t="shared" si="86"/>
        <v>2Q24</v>
      </c>
      <c r="CK33" s="632" t="str">
        <f t="shared" si="86"/>
        <v>3Q24</v>
      </c>
      <c r="CL33" s="632" t="str">
        <f t="shared" si="86"/>
        <v>4Q24</v>
      </c>
      <c r="CM33" s="623">
        <f t="shared" si="86"/>
        <v>2024</v>
      </c>
      <c r="CN33" s="632" t="str">
        <f t="shared" si="86"/>
        <v>1Q25</v>
      </c>
      <c r="CO33" s="632" t="str">
        <f t="shared" si="86"/>
        <v>2Q25</v>
      </c>
      <c r="CP33" s="632" t="str">
        <f t="shared" si="86"/>
        <v>3Q25</v>
      </c>
      <c r="CQ33" s="632" t="str">
        <f t="shared" ref="CQ33:CR33" si="87">CQ3</f>
        <v>4Q25</v>
      </c>
      <c r="CR33" s="623">
        <f t="shared" si="87"/>
        <v>2025</v>
      </c>
    </row>
    <row r="34" spans="2:96" s="708" customFormat="1" ht="19.5" customHeight="1">
      <c r="B34" s="709" t="s">
        <v>472</v>
      </c>
      <c r="F34" s="714"/>
      <c r="G34" s="714"/>
      <c r="H34" s="714"/>
      <c r="I34" s="714"/>
      <c r="J34" s="714"/>
      <c r="K34" s="714"/>
      <c r="L34" s="714"/>
      <c r="M34" s="714"/>
      <c r="N34" s="714"/>
      <c r="O34" s="714"/>
      <c r="P34" s="714"/>
      <c r="Q34" s="714"/>
      <c r="R34" s="714"/>
      <c r="S34" s="714"/>
      <c r="T34" s="714"/>
      <c r="U34" s="714"/>
      <c r="V34" s="714"/>
      <c r="W34" s="714"/>
      <c r="X34" s="714"/>
      <c r="Y34" s="714"/>
      <c r="Z34" s="714"/>
      <c r="AA34" s="714"/>
      <c r="AB34" s="714"/>
      <c r="AC34" s="714"/>
      <c r="AD34" s="714"/>
      <c r="AE34" s="714"/>
      <c r="AF34" s="714"/>
      <c r="AG34" s="714"/>
      <c r="AH34" s="714"/>
      <c r="AI34" s="714"/>
      <c r="AJ34" s="714"/>
      <c r="AK34" s="714"/>
      <c r="AL34" s="714"/>
      <c r="AM34" s="714"/>
      <c r="AN34" s="714"/>
      <c r="AO34" s="714"/>
      <c r="AP34" s="714"/>
      <c r="AQ34" s="714"/>
      <c r="AR34" s="714"/>
      <c r="AS34" s="714"/>
      <c r="AT34" s="714"/>
      <c r="AU34" s="714"/>
      <c r="AZ34" s="714"/>
      <c r="BA34" s="714"/>
      <c r="BB34" s="714"/>
      <c r="BC34" s="714"/>
      <c r="BD34" s="716"/>
      <c r="BE34" s="714">
        <v>45364</v>
      </c>
      <c r="BF34" s="714">
        <v>46480</v>
      </c>
      <c r="BG34" s="714">
        <v>48482</v>
      </c>
      <c r="BH34" s="714">
        <f>BI34-SUM(BE34:BG34)</f>
        <v>50457</v>
      </c>
      <c r="BI34" s="716">
        <v>190783</v>
      </c>
      <c r="BJ34" s="714">
        <v>52445</v>
      </c>
      <c r="BK34" s="714">
        <v>53694</v>
      </c>
      <c r="BL34" s="714">
        <v>55546</v>
      </c>
      <c r="BM34" s="714">
        <f>BN34-SUM(BJ34:BL34)</f>
        <v>57612</v>
      </c>
      <c r="BN34" s="716">
        <v>219297</v>
      </c>
      <c r="BO34" s="714">
        <v>59103</v>
      </c>
      <c r="BP34" s="714">
        <v>60745</v>
      </c>
      <c r="BQ34" s="714">
        <v>64115</v>
      </c>
      <c r="BR34" s="714">
        <f>BS34-SUM(BO34:BQ34)</f>
        <v>67309</v>
      </c>
      <c r="BS34" s="716">
        <v>251272</v>
      </c>
      <c r="BT34" s="714">
        <v>71404</v>
      </c>
      <c r="BU34" s="714">
        <v>75228</v>
      </c>
      <c r="BV34" s="714">
        <v>78106</v>
      </c>
      <c r="BW34" s="714">
        <f>BX34-SUM(BT34:BV34)</f>
        <v>82113</v>
      </c>
      <c r="BX34" s="716">
        <v>306851</v>
      </c>
      <c r="BY34" s="714">
        <v>84731</v>
      </c>
      <c r="BZ34" s="714">
        <v>87887</v>
      </c>
      <c r="CA34" s="714">
        <v>92952</v>
      </c>
      <c r="CB34" s="714">
        <f>CC34-SUM(BY34:CA34)</f>
        <v>98578</v>
      </c>
      <c r="CC34" s="716">
        <v>364148</v>
      </c>
      <c r="CD34" s="714">
        <v>101668</v>
      </c>
      <c r="CE34" s="714">
        <v>105500</v>
      </c>
      <c r="CF34" s="714">
        <v>110900</v>
      </c>
      <c r="CG34" s="714">
        <f>CH34-SUM(CD34:CF34)</f>
        <v>118634</v>
      </c>
      <c r="CH34" s="716">
        <v>436702</v>
      </c>
      <c r="CI34" s="714">
        <v>121853</v>
      </c>
      <c r="CJ34" s="714">
        <v>125512</v>
      </c>
      <c r="CK34" s="714">
        <v>135290</v>
      </c>
      <c r="CL34" s="714">
        <f>CM34-SUM(CI34:CK34)</f>
        <v>141049</v>
      </c>
      <c r="CM34" s="716">
        <f>523704</f>
        <v>523704</v>
      </c>
      <c r="CN34" s="714">
        <v>152631</v>
      </c>
      <c r="CO34" s="714">
        <v>158991</v>
      </c>
      <c r="CP34" s="714">
        <v>161839</v>
      </c>
      <c r="CQ34" s="714"/>
      <c r="CR34" s="716"/>
    </row>
    <row r="35" spans="2:96" s="730" customFormat="1">
      <c r="B35" s="728"/>
      <c r="C35" s="729" t="s">
        <v>475</v>
      </c>
      <c r="D35" s="729"/>
      <c r="E35" s="729"/>
      <c r="G35" s="729"/>
      <c r="AB35" s="731"/>
      <c r="AC35" s="731"/>
      <c r="AD35" s="731"/>
      <c r="AE35" s="731"/>
      <c r="AF35" s="731"/>
      <c r="AG35" s="731"/>
      <c r="AH35" s="731"/>
      <c r="AI35" s="731"/>
      <c r="AJ35" s="731"/>
      <c r="AK35" s="731"/>
      <c r="AL35" s="731"/>
      <c r="AM35" s="731"/>
      <c r="AN35" s="731"/>
      <c r="AO35" s="731"/>
      <c r="AP35" s="731"/>
      <c r="AZ35" s="731"/>
      <c r="BA35" s="731"/>
      <c r="BB35" s="731"/>
      <c r="BC35" s="731"/>
      <c r="BD35" s="732"/>
      <c r="BE35" s="731">
        <f t="shared" ref="BE35:CJ35" si="88">BE34/BE46</f>
        <v>0.82690484870579661</v>
      </c>
      <c r="BF35" s="731">
        <f t="shared" si="88"/>
        <v>0.82367534999113945</v>
      </c>
      <c r="BG35" s="731">
        <f t="shared" si="88"/>
        <v>0.82671714071345748</v>
      </c>
      <c r="BH35" s="731">
        <f t="shared" si="88"/>
        <v>0.83097826086956517</v>
      </c>
      <c r="BI35" s="732">
        <f t="shared" si="88"/>
        <v>0.82713935158289043</v>
      </c>
      <c r="BJ35" s="731">
        <f t="shared" si="88"/>
        <v>0.83583017244127111</v>
      </c>
      <c r="BK35" s="731">
        <f t="shared" si="88"/>
        <v>0.83432780160358011</v>
      </c>
      <c r="BL35" s="731">
        <f t="shared" si="88"/>
        <v>0.83620871345557457</v>
      </c>
      <c r="BM35" s="731">
        <f t="shared" si="88"/>
        <v>0.84132130027162011</v>
      </c>
      <c r="BN35" s="732">
        <f t="shared" si="88"/>
        <v>0.836992282619482</v>
      </c>
      <c r="BO35" s="731">
        <f t="shared" si="88"/>
        <v>0.84387047031611406</v>
      </c>
      <c r="BP35" s="731">
        <f t="shared" si="88"/>
        <v>0.85300436718014971</v>
      </c>
      <c r="BQ35" s="731">
        <f t="shared" si="88"/>
        <v>0.85276318414577379</v>
      </c>
      <c r="BR35" s="731">
        <f t="shared" si="88"/>
        <v>0.85656655637566814</v>
      </c>
      <c r="BS35" s="732">
        <f t="shared" si="88"/>
        <v>0.85172329636358701</v>
      </c>
      <c r="BT35" s="731">
        <f t="shared" si="88"/>
        <v>0.86235673482204322</v>
      </c>
      <c r="BU35" s="731">
        <f t="shared" si="88"/>
        <v>0.86528640441683924</v>
      </c>
      <c r="BV35" s="731">
        <f t="shared" si="88"/>
        <v>0.86401398245555816</v>
      </c>
      <c r="BW35" s="731">
        <f t="shared" si="88"/>
        <v>0.86556827525140723</v>
      </c>
      <c r="BX35" s="732">
        <f t="shared" si="88"/>
        <v>0.86435440527765728</v>
      </c>
      <c r="BY35" s="731">
        <f t="shared" si="88"/>
        <v>0.86843912388410016</v>
      </c>
      <c r="BZ35" s="731">
        <f t="shared" si="88"/>
        <v>0.86876624852960072</v>
      </c>
      <c r="CA35" s="731">
        <f t="shared" si="88"/>
        <v>0.87235460287368727</v>
      </c>
      <c r="CB35" s="731">
        <f t="shared" si="88"/>
        <v>0.86651313244963257</v>
      </c>
      <c r="CC35" s="732">
        <f t="shared" si="88"/>
        <v>0.86899082919099768</v>
      </c>
      <c r="CD35" s="731">
        <f t="shared" si="88"/>
        <v>0.86672747887912294</v>
      </c>
      <c r="CE35" s="731">
        <f t="shared" si="88"/>
        <v>0.86814841634916851</v>
      </c>
      <c r="CF35" s="731">
        <f t="shared" si="88"/>
        <v>0.87068484976957083</v>
      </c>
      <c r="CG35" s="731">
        <f t="shared" si="88"/>
        <v>0.87347774227274733</v>
      </c>
      <c r="CH35" s="732">
        <f t="shared" si="88"/>
        <v>0.86990177545203018</v>
      </c>
      <c r="CI35" s="731">
        <f t="shared" si="88"/>
        <v>0.87234758454797967</v>
      </c>
      <c r="CJ35" s="731">
        <f t="shared" si="88"/>
        <v>0.8717261305311117</v>
      </c>
      <c r="CK35" s="731">
        <f t="shared" ref="CK35" si="89">CK34/CK46</f>
        <v>0.87591288133837464</v>
      </c>
      <c r="CL35" s="731">
        <f>CL34/CL46</f>
        <v>0.87084485824360369</v>
      </c>
      <c r="CM35" s="732">
        <f>CM34/CM46</f>
        <v>0.8727105479353896</v>
      </c>
      <c r="CN35" s="731">
        <f t="shared" ref="CN35:CP35" si="90">CN34/CN46</f>
        <v>0.88569538499033829</v>
      </c>
      <c r="CO35" s="731">
        <f t="shared" si="90"/>
        <v>0.88761786725174607</v>
      </c>
      <c r="CP35" s="731">
        <f t="shared" si="90"/>
        <v>0.8892692495782758</v>
      </c>
      <c r="CQ35" s="731"/>
      <c r="CR35" s="732"/>
    </row>
    <row r="36" spans="2:96" s="730" customFormat="1">
      <c r="B36" s="728"/>
      <c r="C36" s="729" t="s">
        <v>0</v>
      </c>
      <c r="D36" s="729"/>
      <c r="E36" s="729"/>
      <c r="G36" s="729"/>
      <c r="AB36" s="731"/>
      <c r="AC36" s="731"/>
      <c r="AD36" s="731"/>
      <c r="AE36" s="731"/>
      <c r="AG36" s="731"/>
      <c r="AH36" s="731"/>
      <c r="AI36" s="731"/>
      <c r="AJ36" s="731"/>
      <c r="AL36" s="731"/>
      <c r="AM36" s="731"/>
      <c r="AN36" s="731"/>
      <c r="AO36" s="731"/>
      <c r="AZ36" s="731"/>
      <c r="BA36" s="731"/>
      <c r="BB36" s="731"/>
      <c r="BC36" s="731"/>
      <c r="BD36" s="732"/>
      <c r="BE36" s="731"/>
      <c r="BF36" s="731"/>
      <c r="BG36" s="731"/>
      <c r="BH36" s="731"/>
      <c r="BI36" s="732"/>
      <c r="BJ36" s="731">
        <f t="shared" ref="BJ36:CK36" si="91">BJ34/BE34-1</f>
        <v>0.15609293713076444</v>
      </c>
      <c r="BK36" s="731">
        <f t="shared" si="91"/>
        <v>0.15520654044750426</v>
      </c>
      <c r="BL36" s="731">
        <f t="shared" si="91"/>
        <v>0.14570356008415497</v>
      </c>
      <c r="BM36" s="731">
        <f t="shared" si="91"/>
        <v>0.14180391224210709</v>
      </c>
      <c r="BN36" s="732">
        <f t="shared" si="91"/>
        <v>0.14945776091161167</v>
      </c>
      <c r="BO36" s="731">
        <f t="shared" si="91"/>
        <v>0.12695204499952339</v>
      </c>
      <c r="BP36" s="731">
        <f t="shared" si="91"/>
        <v>0.13131821060081195</v>
      </c>
      <c r="BQ36" s="731">
        <f t="shared" si="91"/>
        <v>0.15426853418788022</v>
      </c>
      <c r="BR36" s="731">
        <f t="shared" si="91"/>
        <v>0.16831562868846772</v>
      </c>
      <c r="BS36" s="732">
        <f t="shared" si="91"/>
        <v>0.14580682818278401</v>
      </c>
      <c r="BT36" s="731">
        <f t="shared" si="91"/>
        <v>0.20812818300255476</v>
      </c>
      <c r="BU36" s="731">
        <f t="shared" si="91"/>
        <v>0.23842291546629357</v>
      </c>
      <c r="BV36" s="731">
        <f t="shared" si="91"/>
        <v>0.21821726585042511</v>
      </c>
      <c r="BW36" s="731">
        <f t="shared" si="91"/>
        <v>0.2199408697202454</v>
      </c>
      <c r="BX36" s="732">
        <f t="shared" si="91"/>
        <v>0.22119058231717026</v>
      </c>
      <c r="BY36" s="731">
        <f t="shared" si="91"/>
        <v>0.18664220491849193</v>
      </c>
      <c r="BZ36" s="731">
        <f t="shared" si="91"/>
        <v>0.16827511033125964</v>
      </c>
      <c r="CA36" s="731">
        <f t="shared" si="91"/>
        <v>0.19007502624638306</v>
      </c>
      <c r="CB36" s="731">
        <f t="shared" si="91"/>
        <v>0.20051636159925956</v>
      </c>
      <c r="CC36" s="732">
        <f t="shared" si="91"/>
        <v>0.18672580503240988</v>
      </c>
      <c r="CD36" s="731">
        <f t="shared" si="91"/>
        <v>0.19989142108555313</v>
      </c>
      <c r="CE36" s="731">
        <f t="shared" si="91"/>
        <v>0.20040506559559423</v>
      </c>
      <c r="CF36" s="731">
        <f t="shared" si="91"/>
        <v>0.19308890610207419</v>
      </c>
      <c r="CG36" s="731">
        <f t="shared" si="91"/>
        <v>0.20345310312645815</v>
      </c>
      <c r="CH36" s="732">
        <f t="shared" si="91"/>
        <v>0.19924316486703209</v>
      </c>
      <c r="CI36" s="731">
        <f t="shared" si="91"/>
        <v>0.19853837982452682</v>
      </c>
      <c r="CJ36" s="731">
        <f t="shared" si="91"/>
        <v>0.18968720379146919</v>
      </c>
      <c r="CK36" s="731">
        <f t="shared" si="91"/>
        <v>0.21992786293958511</v>
      </c>
      <c r="CL36" s="731">
        <f>CL34/CG34-1</f>
        <v>0.18894246168889195</v>
      </c>
      <c r="CM36" s="732">
        <f>CM34/CH34-1</f>
        <v>0.19922510086970058</v>
      </c>
      <c r="CN36" s="731">
        <f t="shared" ref="CN36" si="92">CN34/CI34-1</f>
        <v>0.25258303037266217</v>
      </c>
      <c r="CO36" s="731">
        <f t="shared" ref="CO36" si="93">CO34/CJ34-1</f>
        <v>0.26673943527312138</v>
      </c>
      <c r="CP36" s="731">
        <f t="shared" ref="CP36" si="94">CP34/CK34-1</f>
        <v>0.19623771158252645</v>
      </c>
      <c r="CQ36" s="731"/>
      <c r="CR36" s="732"/>
    </row>
    <row r="37" spans="2:96" s="730" customFormat="1" hidden="1">
      <c r="B37" s="728"/>
      <c r="C37" s="729" t="s">
        <v>1</v>
      </c>
      <c r="D37" s="729"/>
      <c r="E37" s="729"/>
      <c r="G37" s="729"/>
      <c r="AB37" s="731"/>
      <c r="AC37" s="733"/>
      <c r="AD37" s="733"/>
      <c r="AE37" s="733"/>
      <c r="AG37" s="731"/>
      <c r="AH37" s="733"/>
      <c r="AI37" s="733"/>
      <c r="AJ37" s="733"/>
      <c r="AL37" s="731"/>
      <c r="AM37" s="733"/>
      <c r="AN37" s="733"/>
      <c r="AO37" s="733"/>
      <c r="AZ37" s="731"/>
      <c r="BA37" s="731"/>
      <c r="BB37" s="731"/>
      <c r="BC37" s="731"/>
      <c r="BD37" s="734"/>
      <c r="BE37" s="731" t="e">
        <f>BE34/BC34-1</f>
        <v>#DIV/0!</v>
      </c>
      <c r="BF37" s="731">
        <f>BF34/BE34-1</f>
        <v>2.460100520236308E-2</v>
      </c>
      <c r="BG37" s="731">
        <f>BG34/BF34-1</f>
        <v>4.307228915662642E-2</v>
      </c>
      <c r="BH37" s="731">
        <f>BH34/BG34-1</f>
        <v>4.0736768285136726E-2</v>
      </c>
      <c r="BI37" s="734"/>
      <c r="BJ37" s="731">
        <f>BJ34/BH34-1</f>
        <v>3.9399885050637184E-2</v>
      </c>
      <c r="BK37" s="731">
        <f>BK34/BJ34-1</f>
        <v>2.3815425684049929E-2</v>
      </c>
      <c r="BL37" s="731">
        <f>BL34/BK34-1</f>
        <v>3.4491749543710704E-2</v>
      </c>
      <c r="BM37" s="731">
        <f>BM34/BL34-1</f>
        <v>3.7194397436359106E-2</v>
      </c>
      <c r="BN37" s="734"/>
      <c r="BO37" s="731">
        <f>BO34/BM34-1</f>
        <v>2.5880024994792805E-2</v>
      </c>
      <c r="BP37" s="731">
        <f>BP34/BO34-1</f>
        <v>2.7782007681505183E-2</v>
      </c>
      <c r="BQ37" s="731">
        <f>BQ34/BP34-1</f>
        <v>5.5477817104288452E-2</v>
      </c>
      <c r="BR37" s="731">
        <f>BR34/BQ34-1</f>
        <v>4.9816735553302571E-2</v>
      </c>
      <c r="BS37" s="734"/>
      <c r="BT37" s="731">
        <f>BT34/BR34-1</f>
        <v>6.0838817988679184E-2</v>
      </c>
      <c r="BU37" s="731">
        <f>BU34/BT34-1</f>
        <v>5.3554422721416195E-2</v>
      </c>
      <c r="BV37" s="731">
        <f>BV34/BU34-1</f>
        <v>3.8257031956186571E-2</v>
      </c>
      <c r="BW37" s="731">
        <f>BW34/BV34-1</f>
        <v>5.1302076665044938E-2</v>
      </c>
      <c r="BX37" s="734"/>
      <c r="BY37" s="731">
        <f>BY34/BW34-1</f>
        <v>3.1882893086356612E-2</v>
      </c>
      <c r="BZ37" s="731">
        <f>BZ34/BY34-1</f>
        <v>3.7247288477652907E-2</v>
      </c>
      <c r="CA37" s="731">
        <f>CA34/BZ34-1</f>
        <v>5.7630821395655785E-2</v>
      </c>
      <c r="CB37" s="731">
        <f>CB34/CA34-1</f>
        <v>6.05258628109131E-2</v>
      </c>
      <c r="CC37" s="734"/>
      <c r="CD37" s="731">
        <f>CD34/CB34-1</f>
        <v>3.1345736371198418E-2</v>
      </c>
      <c r="CE37" s="731">
        <f>CE34/CD34-1</f>
        <v>3.7691308966439685E-2</v>
      </c>
      <c r="CF37" s="731">
        <f>CF34/CE34-1</f>
        <v>5.1184834123222833E-2</v>
      </c>
      <c r="CG37" s="731">
        <f>CG34/CF34-1</f>
        <v>6.9738503155996501E-2</v>
      </c>
      <c r="CH37" s="734"/>
      <c r="CI37" s="731">
        <f>CI34/CG34-1</f>
        <v>2.7133873931587837E-2</v>
      </c>
      <c r="CJ37" s="731">
        <f>CJ34/CI34-1</f>
        <v>3.0027984538747443E-2</v>
      </c>
      <c r="CK37" s="731">
        <f>CK34/CJ34-1</f>
        <v>7.7904901523360381E-2</v>
      </c>
      <c r="CL37" s="731"/>
      <c r="CM37" s="734"/>
      <c r="CN37" s="731">
        <f>CN34/CL34-1</f>
        <v>8.2113308141142483E-2</v>
      </c>
      <c r="CO37" s="731">
        <f>CO34/CN34-1</f>
        <v>4.1669123572537714E-2</v>
      </c>
      <c r="CP37" s="731">
        <f>CP34/CO34-1</f>
        <v>1.7912963626872003E-2</v>
      </c>
      <c r="CQ37" s="731"/>
      <c r="CR37" s="734"/>
    </row>
    <row r="38" spans="2:96" s="708" customFormat="1" ht="21.75" customHeight="1">
      <c r="B38" s="709" t="s">
        <v>473</v>
      </c>
      <c r="BC38" s="711"/>
      <c r="BD38" s="710"/>
      <c r="BE38" s="708">
        <v>8259</v>
      </c>
      <c r="BF38" s="708">
        <v>8630</v>
      </c>
      <c r="BG38" s="708">
        <v>8750</v>
      </c>
      <c r="BH38" s="711">
        <f>BI38-SUM(BE38:BG38)</f>
        <v>8808</v>
      </c>
      <c r="BI38" s="710">
        <v>34447</v>
      </c>
      <c r="BJ38" s="708">
        <v>8873</v>
      </c>
      <c r="BK38" s="708">
        <v>9245</v>
      </c>
      <c r="BL38" s="708">
        <v>9422</v>
      </c>
      <c r="BM38" s="711">
        <f>BN38-SUM(BJ38:BL38)</f>
        <v>9498</v>
      </c>
      <c r="BN38" s="710">
        <v>37038</v>
      </c>
      <c r="BO38" s="708">
        <v>9736</v>
      </c>
      <c r="BP38" s="708">
        <v>9247</v>
      </c>
      <c r="BQ38" s="708">
        <v>9826</v>
      </c>
      <c r="BR38" s="711">
        <f>BS38-SUM(BO38:BQ38)</f>
        <v>10015</v>
      </c>
      <c r="BS38" s="710">
        <v>38824</v>
      </c>
      <c r="BT38" s="708">
        <v>10144</v>
      </c>
      <c r="BU38" s="708">
        <v>10381</v>
      </c>
      <c r="BV38" s="708">
        <v>10858</v>
      </c>
      <c r="BW38" s="711">
        <f>BX38-SUM(BT38:BV38)</f>
        <v>11291</v>
      </c>
      <c r="BX38" s="710">
        <v>42674</v>
      </c>
      <c r="BY38" s="708">
        <v>11296</v>
      </c>
      <c r="BZ38" s="708">
        <v>11648</v>
      </c>
      <c r="CA38" s="708">
        <v>11902</v>
      </c>
      <c r="CB38" s="711">
        <f>CC38-SUM(BY38:CA38)</f>
        <v>12048</v>
      </c>
      <c r="CC38" s="710">
        <v>46894</v>
      </c>
      <c r="CD38" s="708">
        <v>12370</v>
      </c>
      <c r="CE38" s="708">
        <v>12709</v>
      </c>
      <c r="CF38" s="708">
        <v>13098</v>
      </c>
      <c r="CG38" s="711">
        <f>CH38-SUM(CD38:CF38)</f>
        <v>13526</v>
      </c>
      <c r="CH38" s="710">
        <v>51703</v>
      </c>
      <c r="CI38" s="708">
        <v>14014</v>
      </c>
      <c r="CJ38" s="708">
        <v>13510</v>
      </c>
      <c r="CK38" s="708">
        <v>13838</v>
      </c>
      <c r="CL38" s="711">
        <f>CM38-SUM(CI38:CK38)</f>
        <v>14355</v>
      </c>
      <c r="CM38" s="710">
        <v>55717</v>
      </c>
      <c r="CN38" s="708">
        <v>13702</v>
      </c>
      <c r="CO38" s="708">
        <v>13944</v>
      </c>
      <c r="CP38" s="708">
        <v>14142</v>
      </c>
      <c r="CQ38" s="711"/>
      <c r="CR38" s="710"/>
    </row>
    <row r="39" spans="2:96" s="730" customFormat="1">
      <c r="B39" s="728"/>
      <c r="C39" s="729" t="s">
        <v>475</v>
      </c>
      <c r="D39" s="729"/>
      <c r="E39" s="729"/>
      <c r="G39" s="729"/>
      <c r="AB39" s="731"/>
      <c r="AC39" s="731"/>
      <c r="AD39" s="731"/>
      <c r="AE39" s="731"/>
      <c r="AF39" s="731"/>
      <c r="AG39" s="731"/>
      <c r="AH39" s="731"/>
      <c r="AI39" s="731"/>
      <c r="AJ39" s="731"/>
      <c r="AK39" s="731"/>
      <c r="AL39" s="731"/>
      <c r="AM39" s="731"/>
      <c r="AN39" s="731"/>
      <c r="AO39" s="731"/>
      <c r="AP39" s="731"/>
      <c r="AZ39" s="731"/>
      <c r="BA39" s="731"/>
      <c r="BB39" s="731"/>
      <c r="BC39" s="731"/>
      <c r="BD39" s="732"/>
      <c r="BE39" s="731">
        <f t="shared" ref="BE39:CI39" si="95">BE38/BE46</f>
        <v>0.15054684651841049</v>
      </c>
      <c r="BF39" s="731">
        <f t="shared" si="95"/>
        <v>0.15293283714336345</v>
      </c>
      <c r="BG39" s="731">
        <f t="shared" si="95"/>
        <v>0.1492053748039015</v>
      </c>
      <c r="BH39" s="731">
        <f t="shared" si="95"/>
        <v>0.1450592885375494</v>
      </c>
      <c r="BI39" s="732">
        <f t="shared" si="95"/>
        <v>0.14934490622317412</v>
      </c>
      <c r="BJ39" s="731">
        <f t="shared" si="95"/>
        <v>0.14141140471105729</v>
      </c>
      <c r="BK39" s="731">
        <f t="shared" si="95"/>
        <v>0.14365404935048792</v>
      </c>
      <c r="BL39" s="731">
        <f t="shared" si="95"/>
        <v>0.14184204979977719</v>
      </c>
      <c r="BM39" s="731">
        <f t="shared" si="95"/>
        <v>0.13870148076754579</v>
      </c>
      <c r="BN39" s="732">
        <f t="shared" si="95"/>
        <v>0.14136317488912467</v>
      </c>
      <c r="BO39" s="731">
        <f t="shared" si="95"/>
        <v>0.13901025157771496</v>
      </c>
      <c r="BP39" s="731">
        <f t="shared" si="95"/>
        <v>0.12984988695884178</v>
      </c>
      <c r="BQ39" s="731">
        <f t="shared" si="95"/>
        <v>0.13069096229301058</v>
      </c>
      <c r="BR39" s="731">
        <f t="shared" si="95"/>
        <v>0.12744973275642657</v>
      </c>
      <c r="BS39" s="732">
        <f t="shared" si="95"/>
        <v>0.13159964205331237</v>
      </c>
      <c r="BT39" s="731">
        <f t="shared" si="95"/>
        <v>0.12251059769809543</v>
      </c>
      <c r="BU39" s="731">
        <f t="shared" si="95"/>
        <v>0.11940418679549114</v>
      </c>
      <c r="BV39" s="731">
        <f t="shared" si="95"/>
        <v>0.12011194814101926</v>
      </c>
      <c r="BW39" s="731">
        <f t="shared" si="95"/>
        <v>0.11902051314485695</v>
      </c>
      <c r="BX39" s="732">
        <f t="shared" si="95"/>
        <v>0.12020641904643865</v>
      </c>
      <c r="BY39" s="731">
        <f t="shared" si="95"/>
        <v>0.11577685077946437</v>
      </c>
      <c r="BZ39" s="731">
        <f t="shared" si="95"/>
        <v>0.11514091120271246</v>
      </c>
      <c r="CA39" s="731">
        <f t="shared" si="95"/>
        <v>0.11170028061152666</v>
      </c>
      <c r="CB39" s="731">
        <f t="shared" si="95"/>
        <v>0.10590344924580711</v>
      </c>
      <c r="CC39" s="732">
        <f t="shared" si="95"/>
        <v>0.11190630167976384</v>
      </c>
      <c r="CD39" s="731">
        <f t="shared" si="95"/>
        <v>0.10545519646038823</v>
      </c>
      <c r="CE39" s="731">
        <f t="shared" si="95"/>
        <v>0.10458102581404344</v>
      </c>
      <c r="CF39" s="731">
        <f t="shared" si="95"/>
        <v>0.1028334550250842</v>
      </c>
      <c r="CG39" s="731">
        <f t="shared" si="95"/>
        <v>9.9589156076514154E-2</v>
      </c>
      <c r="CH39" s="732">
        <f t="shared" si="95"/>
        <v>0.10299135679753313</v>
      </c>
      <c r="CI39" s="731">
        <f t="shared" si="95"/>
        <v>0.10032645113255634</v>
      </c>
      <c r="CJ39" s="731">
        <f>CJ38/CJ46</f>
        <v>9.3831825032469562E-2</v>
      </c>
      <c r="CK39" s="731">
        <f>CK38/CK46</f>
        <v>8.9591857875381986E-2</v>
      </c>
      <c r="CL39" s="783">
        <f>CL38/CL46</f>
        <v>8.8628617998617015E-2</v>
      </c>
      <c r="CM39" s="732">
        <f>CM38/CM46</f>
        <v>9.284789422902269E-2</v>
      </c>
      <c r="CN39" s="731">
        <f t="shared" ref="CN39" si="96">CN38/CN46</f>
        <v>7.9510703363914373E-2</v>
      </c>
      <c r="CO39" s="731">
        <f>CO38/CO46</f>
        <v>7.7846818630981293E-2</v>
      </c>
      <c r="CP39" s="731">
        <f>CP38/CP46</f>
        <v>7.7707139364034492E-2</v>
      </c>
      <c r="CQ39" s="783"/>
      <c r="CR39" s="732"/>
    </row>
    <row r="40" spans="2:96" s="730" customFormat="1">
      <c r="B40" s="728"/>
      <c r="C40" s="729" t="s">
        <v>0</v>
      </c>
      <c r="D40" s="729"/>
      <c r="E40" s="729"/>
      <c r="G40" s="729"/>
      <c r="AB40" s="731"/>
      <c r="AC40" s="731"/>
      <c r="AD40" s="731"/>
      <c r="AE40" s="731"/>
      <c r="AF40" s="731"/>
      <c r="AG40" s="731"/>
      <c r="AH40" s="731"/>
      <c r="AI40" s="731"/>
      <c r="AJ40" s="731"/>
      <c r="AK40" s="731"/>
      <c r="AL40" s="731"/>
      <c r="AM40" s="731"/>
      <c r="AN40" s="731"/>
      <c r="AO40" s="731"/>
      <c r="AP40" s="731"/>
      <c r="AZ40" s="731"/>
      <c r="BA40" s="731"/>
      <c r="BB40" s="731"/>
      <c r="BC40" s="731"/>
      <c r="BD40" s="732"/>
      <c r="BE40" s="731"/>
      <c r="BF40" s="731"/>
      <c r="BG40" s="731"/>
      <c r="BH40" s="731"/>
      <c r="BI40" s="732"/>
      <c r="BJ40" s="731">
        <f t="shared" ref="BJ40:CK40" si="97">BJ38/BE38-1</f>
        <v>7.4343140816079512E-2</v>
      </c>
      <c r="BK40" s="731">
        <f t="shared" si="97"/>
        <v>7.1263035921205198E-2</v>
      </c>
      <c r="BL40" s="731">
        <f t="shared" si="97"/>
        <v>7.6799999999999979E-2</v>
      </c>
      <c r="BM40" s="731">
        <f t="shared" si="97"/>
        <v>7.8337874659400564E-2</v>
      </c>
      <c r="BN40" s="732">
        <f t="shared" si="97"/>
        <v>7.5217000029030201E-2</v>
      </c>
      <c r="BO40" s="731">
        <f t="shared" si="97"/>
        <v>9.7261354671475342E-2</v>
      </c>
      <c r="BP40" s="731">
        <f t="shared" si="97"/>
        <v>2.1633315305580325E-4</v>
      </c>
      <c r="BQ40" s="731">
        <f t="shared" si="97"/>
        <v>4.2878369772872071E-2</v>
      </c>
      <c r="BR40" s="731">
        <f t="shared" si="97"/>
        <v>5.4432512107812192E-2</v>
      </c>
      <c r="BS40" s="732">
        <f t="shared" si="97"/>
        <v>4.8220746260597247E-2</v>
      </c>
      <c r="BT40" s="731">
        <f t="shared" si="97"/>
        <v>4.1906327033689461E-2</v>
      </c>
      <c r="BU40" s="731">
        <f t="shared" si="97"/>
        <v>0.12263436790310367</v>
      </c>
      <c r="BV40" s="731">
        <f t="shared" si="97"/>
        <v>0.10502747811927549</v>
      </c>
      <c r="BW40" s="731">
        <f t="shared" si="97"/>
        <v>0.12740888666999495</v>
      </c>
      <c r="BX40" s="732">
        <f t="shared" si="97"/>
        <v>9.9165464661034486E-2</v>
      </c>
      <c r="BY40" s="731">
        <f t="shared" si="97"/>
        <v>0.11356466876971605</v>
      </c>
      <c r="BZ40" s="731">
        <f t="shared" si="97"/>
        <v>0.1220498988536749</v>
      </c>
      <c r="CA40" s="731">
        <f t="shared" si="97"/>
        <v>9.6150303923374425E-2</v>
      </c>
      <c r="CB40" s="731">
        <f t="shared" si="97"/>
        <v>6.7044548755646138E-2</v>
      </c>
      <c r="CC40" s="732">
        <f t="shared" si="97"/>
        <v>9.8889253409570221E-2</v>
      </c>
      <c r="CD40" s="731">
        <f t="shared" si="97"/>
        <v>9.5077903682719622E-2</v>
      </c>
      <c r="CE40" s="731">
        <f t="shared" si="97"/>
        <v>9.1088598901098994E-2</v>
      </c>
      <c r="CF40" s="731">
        <f t="shared" si="97"/>
        <v>0.10048731305662906</v>
      </c>
      <c r="CG40" s="731">
        <f t="shared" si="97"/>
        <v>0.12267596281540505</v>
      </c>
      <c r="CH40" s="732">
        <f t="shared" si="97"/>
        <v>0.10255043289120147</v>
      </c>
      <c r="CI40" s="731">
        <f t="shared" si="97"/>
        <v>0.13290218270008092</v>
      </c>
      <c r="CJ40" s="731">
        <f t="shared" si="97"/>
        <v>6.3026201904162305E-2</v>
      </c>
      <c r="CK40" s="731">
        <f t="shared" si="97"/>
        <v>5.6497175141242861E-2</v>
      </c>
      <c r="CL40" s="783">
        <f t="shared" ref="CL40" si="98">CL38/CG38-1</f>
        <v>6.128936862339196E-2</v>
      </c>
      <c r="CM40" s="732">
        <f t="shared" ref="CM40" si="99">CM38/CH38-1</f>
        <v>7.7635727133821941E-2</v>
      </c>
      <c r="CN40" s="731">
        <f t="shared" ref="CN40" si="100">CN38/CI38-1</f>
        <v>-2.2263450834879461E-2</v>
      </c>
      <c r="CO40" s="731">
        <f t="shared" ref="CO40" si="101">CO38/CJ38-1</f>
        <v>3.2124352331606154E-2</v>
      </c>
      <c r="CP40" s="731">
        <f t="shared" ref="CP40" si="102">CP38/CK38-1</f>
        <v>2.1968492556727837E-2</v>
      </c>
      <c r="CQ40" s="783"/>
      <c r="CR40" s="732"/>
    </row>
    <row r="41" spans="2:96" s="730" customFormat="1" hidden="1">
      <c r="B41" s="728"/>
      <c r="C41" s="729" t="s">
        <v>1</v>
      </c>
      <c r="D41" s="729"/>
      <c r="E41" s="729"/>
      <c r="G41" s="729"/>
      <c r="AB41" s="731"/>
      <c r="AC41" s="733"/>
      <c r="AD41" s="733"/>
      <c r="AE41" s="733"/>
      <c r="AG41" s="731"/>
      <c r="AH41" s="733"/>
      <c r="AI41" s="733"/>
      <c r="AJ41" s="733"/>
      <c r="AL41" s="731"/>
      <c r="AM41" s="733"/>
      <c r="AN41" s="733"/>
      <c r="AO41" s="733"/>
      <c r="AZ41" s="731"/>
      <c r="BA41" s="731"/>
      <c r="BB41" s="731"/>
      <c r="BC41" s="731"/>
      <c r="BD41" s="734"/>
      <c r="BE41" s="731" t="e">
        <f>BE38/BC38-1</f>
        <v>#DIV/0!</v>
      </c>
      <c r="BF41" s="731">
        <f>BF38/BE38-1</f>
        <v>4.4920692577793853E-2</v>
      </c>
      <c r="BG41" s="731">
        <f>BG38/BF38-1</f>
        <v>1.3904982618771822E-2</v>
      </c>
      <c r="BH41" s="731">
        <f>BH38/BG38-1</f>
        <v>6.6285714285714281E-3</v>
      </c>
      <c r="BI41" s="734"/>
      <c r="BJ41" s="731">
        <f>BJ38/BH38-1</f>
        <v>7.379654859218876E-3</v>
      </c>
      <c r="BK41" s="731">
        <f>BK38/BJ38-1</f>
        <v>4.1924940831736812E-2</v>
      </c>
      <c r="BL41" s="731">
        <f>BL38/BK38-1</f>
        <v>1.9145484045429928E-2</v>
      </c>
      <c r="BM41" s="731">
        <f>BM38/BL38-1</f>
        <v>8.0662279770749024E-3</v>
      </c>
      <c r="BN41" s="734"/>
      <c r="BO41" s="731">
        <f>BO38/BM38-1</f>
        <v>2.505790692777432E-2</v>
      </c>
      <c r="BP41" s="731">
        <f>BP38/BO38-1</f>
        <v>-5.0225965488907121E-2</v>
      </c>
      <c r="BQ41" s="731">
        <f>BQ38/BP38-1</f>
        <v>6.2614902130420758E-2</v>
      </c>
      <c r="BR41" s="731">
        <f>BR38/BQ38-1</f>
        <v>1.9234683492774352E-2</v>
      </c>
      <c r="BS41" s="734"/>
      <c r="BT41" s="731">
        <f>BT38/BR38-1</f>
        <v>1.2880678981527671E-2</v>
      </c>
      <c r="BU41" s="731">
        <f>BU38/BT38-1</f>
        <v>2.3363564668769765E-2</v>
      </c>
      <c r="BV41" s="731">
        <f>BV38/BU38-1</f>
        <v>4.5949330507658148E-2</v>
      </c>
      <c r="BW41" s="731">
        <f>BW38/BV38-1</f>
        <v>3.9878430650211794E-2</v>
      </c>
      <c r="BX41" s="734"/>
      <c r="BY41" s="731">
        <f>BY38/BW38-1</f>
        <v>4.4283057302285656E-4</v>
      </c>
      <c r="BZ41" s="731">
        <f>BZ38/BY38-1</f>
        <v>3.1161473087818692E-2</v>
      </c>
      <c r="CA41" s="731">
        <f>CA38/BZ38-1</f>
        <v>2.1806318681318659E-2</v>
      </c>
      <c r="CB41" s="731">
        <f>CB38/CA38-1</f>
        <v>1.2266845908250668E-2</v>
      </c>
      <c r="CC41" s="734"/>
      <c r="CD41" s="731">
        <f>CD38/CB38-1</f>
        <v>2.6726427622842053E-2</v>
      </c>
      <c r="CE41" s="731">
        <f>CE38/CD38-1</f>
        <v>2.7405012126111572E-2</v>
      </c>
      <c r="CF41" s="731">
        <f>CF38/CE38-1</f>
        <v>3.0608230387914048E-2</v>
      </c>
      <c r="CG41" s="731">
        <f>CG38/CF38-1</f>
        <v>3.2676744541151326E-2</v>
      </c>
      <c r="CH41" s="734"/>
      <c r="CI41" s="731">
        <f>CI38/CG38-1</f>
        <v>3.6078663315096904E-2</v>
      </c>
      <c r="CJ41" s="731">
        <f>CJ38/CI38-1</f>
        <v>-3.5964035964035967E-2</v>
      </c>
      <c r="CK41" s="731">
        <f>CK38/CJ38-1</f>
        <v>2.4278312361213805E-2</v>
      </c>
      <c r="CL41" s="731"/>
      <c r="CM41" s="734"/>
      <c r="CN41" s="731">
        <f>CN38/CL38-1</f>
        <v>-4.5489376523859315E-2</v>
      </c>
      <c r="CO41" s="731">
        <f>CO38/CN38-1</f>
        <v>1.7661655232812823E-2</v>
      </c>
      <c r="CP41" s="731">
        <f>CP38/CO38-1</f>
        <v>1.4199655765920749E-2</v>
      </c>
      <c r="CQ41" s="731"/>
      <c r="CR41" s="734"/>
    </row>
    <row r="42" spans="2:96" s="708" customFormat="1" ht="19.5" customHeight="1">
      <c r="B42" s="709" t="s">
        <v>474</v>
      </c>
      <c r="BC42" s="711"/>
      <c r="BD42" s="710"/>
      <c r="BE42" s="708">
        <v>1237</v>
      </c>
      <c r="BF42" s="708">
        <v>1320</v>
      </c>
      <c r="BG42" s="708">
        <v>1412</v>
      </c>
      <c r="BH42" s="711">
        <f>BI42-SUM(BE42:BG42)</f>
        <v>1455</v>
      </c>
      <c r="BI42" s="710">
        <v>5424</v>
      </c>
      <c r="BJ42" s="708">
        <v>1428</v>
      </c>
      <c r="BK42" s="708">
        <v>1417</v>
      </c>
      <c r="BL42" s="708">
        <v>1458</v>
      </c>
      <c r="BM42" s="711">
        <f>BN42-SUM(BJ42:BL42)</f>
        <v>1368</v>
      </c>
      <c r="BN42" s="710">
        <v>5671</v>
      </c>
      <c r="BO42" s="708">
        <v>1199</v>
      </c>
      <c r="BP42" s="708">
        <v>1221</v>
      </c>
      <c r="BQ42" s="708">
        <v>1244</v>
      </c>
      <c r="BR42" s="711">
        <f>BS42-SUM(BO42:BQ42)</f>
        <v>1256</v>
      </c>
      <c r="BS42" s="710">
        <v>4920</v>
      </c>
      <c r="BT42" s="708">
        <v>1253</v>
      </c>
      <c r="BU42" s="708">
        <v>1331</v>
      </c>
      <c r="BV42" s="708">
        <v>1435</v>
      </c>
      <c r="BW42" s="711">
        <f>BX42-SUM(BT42:BV42)</f>
        <v>1462</v>
      </c>
      <c r="BX42" s="710">
        <v>5481</v>
      </c>
      <c r="BY42" s="708">
        <v>1540</v>
      </c>
      <c r="BZ42" s="708">
        <v>1628</v>
      </c>
      <c r="CA42" s="708">
        <v>1699</v>
      </c>
      <c r="CB42" s="711">
        <f>CC42-SUM(BY42:CA42)</f>
        <v>3138</v>
      </c>
      <c r="CC42" s="710">
        <v>8005</v>
      </c>
      <c r="CD42" s="708">
        <v>3263</v>
      </c>
      <c r="CE42" s="708">
        <v>3314</v>
      </c>
      <c r="CF42" s="708">
        <v>3373</v>
      </c>
      <c r="CG42" s="711">
        <f>CH42-SUM(CD42:CF42)</f>
        <v>3658</v>
      </c>
      <c r="CH42" s="710">
        <v>13608</v>
      </c>
      <c r="CI42" s="708">
        <v>3817</v>
      </c>
      <c r="CJ42" s="708">
        <v>4959</v>
      </c>
      <c r="CK42" s="708">
        <v>5328</v>
      </c>
      <c r="CL42" s="711">
        <f>CM42-SUM(CI42:CK42)</f>
        <v>6564</v>
      </c>
      <c r="CM42" s="710">
        <v>20668</v>
      </c>
      <c r="CN42" s="708">
        <v>5996</v>
      </c>
      <c r="CO42" s="708">
        <v>6186</v>
      </c>
      <c r="CP42" s="708">
        <v>6010</v>
      </c>
      <c r="CQ42" s="711"/>
      <c r="CR42" s="710"/>
    </row>
    <row r="43" spans="2:96" s="730" customFormat="1">
      <c r="B43" s="728"/>
      <c r="C43" s="729" t="s">
        <v>475</v>
      </c>
      <c r="D43" s="729"/>
      <c r="E43" s="729"/>
      <c r="G43" s="729"/>
      <c r="AB43" s="731"/>
      <c r="AC43" s="731"/>
      <c r="AD43" s="731"/>
      <c r="AE43" s="731"/>
      <c r="AF43" s="731"/>
      <c r="AG43" s="731"/>
      <c r="AH43" s="731"/>
      <c r="AI43" s="731"/>
      <c r="AJ43" s="731"/>
      <c r="AK43" s="731"/>
      <c r="AL43" s="731"/>
      <c r="AM43" s="731"/>
      <c r="AN43" s="731"/>
      <c r="AO43" s="731"/>
      <c r="AP43" s="731"/>
      <c r="AZ43" s="731"/>
      <c r="BA43" s="731"/>
      <c r="BB43" s="731"/>
      <c r="BC43" s="731"/>
      <c r="BD43" s="732"/>
      <c r="BE43" s="731">
        <f t="shared" ref="BE43:CJ43" si="103">BE42/BE46</f>
        <v>2.2548304775792928E-2</v>
      </c>
      <c r="BF43" s="731">
        <f t="shared" si="103"/>
        <v>2.3391812865497075E-2</v>
      </c>
      <c r="BG43" s="731">
        <f t="shared" si="103"/>
        <v>2.4077484482641021E-2</v>
      </c>
      <c r="BH43" s="731">
        <f t="shared" si="103"/>
        <v>2.3962450592885376E-2</v>
      </c>
      <c r="BI43" s="732">
        <f t="shared" si="103"/>
        <v>2.3515742193935506E-2</v>
      </c>
      <c r="BJ43" s="731">
        <f t="shared" si="103"/>
        <v>2.2758422847671565E-2</v>
      </c>
      <c r="BK43" s="731">
        <f t="shared" si="103"/>
        <v>2.2018149045932002E-2</v>
      </c>
      <c r="BL43" s="731">
        <f t="shared" si="103"/>
        <v>2.194923674464818E-2</v>
      </c>
      <c r="BM43" s="731">
        <f t="shared" si="103"/>
        <v>1.9977218960834136E-2</v>
      </c>
      <c r="BN43" s="732">
        <f t="shared" si="103"/>
        <v>2.1644542491393328E-2</v>
      </c>
      <c r="BO43" s="731">
        <f t="shared" si="103"/>
        <v>1.7119278106170935E-2</v>
      </c>
      <c r="BP43" s="731">
        <f t="shared" si="103"/>
        <v>1.7145745861008525E-2</v>
      </c>
      <c r="BQ43" s="731">
        <f t="shared" si="103"/>
        <v>1.6545853561215667E-2</v>
      </c>
      <c r="BR43" s="731">
        <f t="shared" si="103"/>
        <v>1.5983710867905319E-2</v>
      </c>
      <c r="BS43" s="732">
        <f t="shared" si="103"/>
        <v>1.6677061583100578E-2</v>
      </c>
      <c r="BT43" s="731">
        <f t="shared" si="103"/>
        <v>1.5132667479861354E-2</v>
      </c>
      <c r="BU43" s="731">
        <f t="shared" si="103"/>
        <v>1.5309408787669657E-2</v>
      </c>
      <c r="BV43" s="731">
        <f t="shared" si="103"/>
        <v>1.5874069403422605E-2</v>
      </c>
      <c r="BW43" s="731">
        <f t="shared" si="103"/>
        <v>1.5411211603735795E-2</v>
      </c>
      <c r="BX43" s="732">
        <f t="shared" si="103"/>
        <v>1.543917567590407E-2</v>
      </c>
      <c r="BY43" s="731">
        <f t="shared" si="103"/>
        <v>1.5784025336435477E-2</v>
      </c>
      <c r="BZ43" s="731">
        <f t="shared" si="103"/>
        <v>1.6092840267686804E-2</v>
      </c>
      <c r="CA43" s="731">
        <f t="shared" si="103"/>
        <v>1.594511651478607E-2</v>
      </c>
      <c r="CB43" s="731">
        <f t="shared" si="103"/>
        <v>2.7583418304560316E-2</v>
      </c>
      <c r="CC43" s="732">
        <f t="shared" si="103"/>
        <v>1.9102869129238486E-2</v>
      </c>
      <c r="CD43" s="731">
        <f t="shared" si="103"/>
        <v>2.7817324660488828E-2</v>
      </c>
      <c r="CE43" s="731">
        <f t="shared" si="103"/>
        <v>2.7270557836788098E-2</v>
      </c>
      <c r="CF43" s="731">
        <f t="shared" si="103"/>
        <v>2.6481695205345015E-2</v>
      </c>
      <c r="CG43" s="731">
        <f t="shared" si="103"/>
        <v>2.6933101650738488E-2</v>
      </c>
      <c r="CH43" s="732">
        <f t="shared" si="103"/>
        <v>2.710686775043674E-2</v>
      </c>
      <c r="CI43" s="731">
        <f t="shared" si="103"/>
        <v>2.7325964319463932E-2</v>
      </c>
      <c r="CJ43" s="731">
        <f t="shared" si="103"/>
        <v>3.4442044436418691E-2</v>
      </c>
      <c r="CK43" s="731">
        <f t="shared" ref="CK43:CM43" si="104">CK42/CK46</f>
        <v>3.4495260786243334E-2</v>
      </c>
      <c r="CL43" s="731">
        <f t="shared" si="104"/>
        <v>4.0526523757779313E-2</v>
      </c>
      <c r="CM43" s="732">
        <f t="shared" si="104"/>
        <v>3.4441557835587722E-2</v>
      </c>
      <c r="CN43" s="731">
        <f t="shared" ref="CN43:CP43" si="105">CN42/CN46</f>
        <v>3.4793911645747376E-2</v>
      </c>
      <c r="CO43" s="731">
        <f t="shared" si="105"/>
        <v>3.4535314117272682E-2</v>
      </c>
      <c r="CP43" s="731">
        <f t="shared" si="105"/>
        <v>3.3023611057689667E-2</v>
      </c>
      <c r="CQ43" s="731"/>
      <c r="CR43" s="732"/>
    </row>
    <row r="44" spans="2:96" s="730" customFormat="1">
      <c r="B44" s="728"/>
      <c r="C44" s="729" t="s">
        <v>0</v>
      </c>
      <c r="D44" s="729"/>
      <c r="E44" s="729"/>
      <c r="G44" s="729"/>
      <c r="AB44" s="731"/>
      <c r="AC44" s="731"/>
      <c r="AD44" s="731"/>
      <c r="AE44" s="731"/>
      <c r="AF44" s="731"/>
      <c r="AG44" s="731"/>
      <c r="AH44" s="731"/>
      <c r="AI44" s="731"/>
      <c r="AJ44" s="731"/>
      <c r="AK44" s="731"/>
      <c r="AL44" s="731"/>
      <c r="AM44" s="731"/>
      <c r="AN44" s="731"/>
      <c r="AO44" s="731"/>
      <c r="AP44" s="731"/>
      <c r="AZ44" s="731"/>
      <c r="BA44" s="731"/>
      <c r="BB44" s="731"/>
      <c r="BC44" s="731"/>
      <c r="BD44" s="732"/>
      <c r="BE44" s="731" t="e">
        <f t="shared" ref="BE44:CM44" si="106">BE42/AZ42-1</f>
        <v>#DIV/0!</v>
      </c>
      <c r="BF44" s="731" t="e">
        <f t="shared" si="106"/>
        <v>#DIV/0!</v>
      </c>
      <c r="BG44" s="731" t="e">
        <f t="shared" si="106"/>
        <v>#DIV/0!</v>
      </c>
      <c r="BH44" s="731" t="e">
        <f t="shared" si="106"/>
        <v>#DIV/0!</v>
      </c>
      <c r="BI44" s="732" t="e">
        <f t="shared" si="106"/>
        <v>#DIV/0!</v>
      </c>
      <c r="BJ44" s="731">
        <f t="shared" si="106"/>
        <v>0.15440582053354901</v>
      </c>
      <c r="BK44" s="731">
        <f t="shared" si="106"/>
        <v>7.3484848484848486E-2</v>
      </c>
      <c r="BL44" s="731">
        <f t="shared" si="106"/>
        <v>3.2577903682719622E-2</v>
      </c>
      <c r="BM44" s="731">
        <f t="shared" si="106"/>
        <v>-5.97938144329897E-2</v>
      </c>
      <c r="BN44" s="732">
        <f t="shared" si="106"/>
        <v>4.5538348082595936E-2</v>
      </c>
      <c r="BO44" s="731">
        <f t="shared" si="106"/>
        <v>-0.16036414565826329</v>
      </c>
      <c r="BP44" s="731">
        <f t="shared" si="106"/>
        <v>-0.13832039520112915</v>
      </c>
      <c r="BQ44" s="731">
        <f t="shared" si="106"/>
        <v>-0.14677640603566533</v>
      </c>
      <c r="BR44" s="731">
        <f t="shared" si="106"/>
        <v>-8.1871345029239762E-2</v>
      </c>
      <c r="BS44" s="732">
        <f t="shared" si="106"/>
        <v>-0.13242814318462348</v>
      </c>
      <c r="BT44" s="731">
        <f t="shared" si="106"/>
        <v>4.5037531276063358E-2</v>
      </c>
      <c r="BU44" s="731">
        <f t="shared" si="106"/>
        <v>9.0090090090090058E-2</v>
      </c>
      <c r="BV44" s="731">
        <f t="shared" si="106"/>
        <v>0.15353697749196149</v>
      </c>
      <c r="BW44" s="731">
        <f t="shared" si="106"/>
        <v>0.16401273885350309</v>
      </c>
      <c r="BX44" s="732">
        <f t="shared" si="106"/>
        <v>0.11402439024390243</v>
      </c>
      <c r="BY44" s="731">
        <f t="shared" si="106"/>
        <v>0.22905027932960897</v>
      </c>
      <c r="BZ44" s="731">
        <f t="shared" si="106"/>
        <v>0.22314049586776852</v>
      </c>
      <c r="CA44" s="731">
        <f t="shared" si="106"/>
        <v>0.18397212543553998</v>
      </c>
      <c r="CB44" s="731">
        <f t="shared" si="106"/>
        <v>1.1463748290013678</v>
      </c>
      <c r="CC44" s="732">
        <f t="shared" si="106"/>
        <v>0.46049990877577085</v>
      </c>
      <c r="CD44" s="731">
        <f t="shared" si="106"/>
        <v>1.1188311688311687</v>
      </c>
      <c r="CE44" s="731">
        <f t="shared" si="106"/>
        <v>1.0356265356265357</v>
      </c>
      <c r="CF44" s="731">
        <f t="shared" si="106"/>
        <v>0.98528546203649214</v>
      </c>
      <c r="CG44" s="731">
        <f t="shared" si="106"/>
        <v>0.16571064372211608</v>
      </c>
      <c r="CH44" s="732">
        <f t="shared" si="106"/>
        <v>0.6999375390381013</v>
      </c>
      <c r="CI44" s="731">
        <f t="shared" si="106"/>
        <v>0.16978240882623363</v>
      </c>
      <c r="CJ44" s="731">
        <f t="shared" si="106"/>
        <v>0.49637899818949904</v>
      </c>
      <c r="CK44" s="731">
        <f t="shared" si="106"/>
        <v>0.57960272754224729</v>
      </c>
      <c r="CL44" s="731">
        <f t="shared" si="106"/>
        <v>0.79442318206670315</v>
      </c>
      <c r="CM44" s="732">
        <f t="shared" si="106"/>
        <v>0.51881246325690777</v>
      </c>
      <c r="CN44" s="731">
        <f t="shared" ref="CN44" si="107">CN42/CI42-1</f>
        <v>0.57086717317264868</v>
      </c>
      <c r="CO44" s="731">
        <f t="shared" ref="CO44" si="108">CO42/CJ42-1</f>
        <v>0.24742891712038717</v>
      </c>
      <c r="CP44" s="731">
        <f t="shared" ref="CP44" si="109">CP42/CK42-1</f>
        <v>0.12800300300300305</v>
      </c>
      <c r="CQ44" s="731"/>
      <c r="CR44" s="732"/>
    </row>
    <row r="45" spans="2:96" s="730" customFormat="1">
      <c r="B45" s="728"/>
      <c r="C45" s="729" t="s">
        <v>1</v>
      </c>
      <c r="D45" s="729"/>
      <c r="E45" s="729"/>
      <c r="G45" s="729"/>
      <c r="AB45" s="731"/>
      <c r="AC45" s="733"/>
      <c r="AD45" s="733"/>
      <c r="AE45" s="733"/>
      <c r="AG45" s="731"/>
      <c r="AH45" s="733"/>
      <c r="AI45" s="733"/>
      <c r="AJ45" s="733"/>
      <c r="AL45" s="731"/>
      <c r="AM45" s="733"/>
      <c r="AN45" s="733"/>
      <c r="AO45" s="733"/>
      <c r="AZ45" s="731"/>
      <c r="BA45" s="731"/>
      <c r="BB45" s="731"/>
      <c r="BC45" s="731"/>
      <c r="BD45" s="734"/>
      <c r="BE45" s="731" t="e">
        <f>BE42/BC42-1</f>
        <v>#DIV/0!</v>
      </c>
      <c r="BF45" s="731">
        <f>BF42/BE42-1</f>
        <v>6.709781729991926E-2</v>
      </c>
      <c r="BG45" s="731">
        <f>BG42/BF42-1</f>
        <v>6.9696969696969591E-2</v>
      </c>
      <c r="BH45" s="731">
        <f>BH42/BG42-1</f>
        <v>3.0453257790368227E-2</v>
      </c>
      <c r="BI45" s="734"/>
      <c r="BJ45" s="731">
        <f>BJ42/BH42-1</f>
        <v>-1.855670103092788E-2</v>
      </c>
      <c r="BK45" s="731">
        <f>BK42/BJ42-1</f>
        <v>-7.7030812324929698E-3</v>
      </c>
      <c r="BL45" s="731">
        <f>BL42/BK42-1</f>
        <v>2.8934368383909614E-2</v>
      </c>
      <c r="BM45" s="731">
        <f>BM42/BL42-1</f>
        <v>-6.1728395061728447E-2</v>
      </c>
      <c r="BN45" s="734"/>
      <c r="BO45" s="731">
        <f>BO42/BM42-1</f>
        <v>-0.12353801169590639</v>
      </c>
      <c r="BP45" s="731">
        <f>BP42/BO42-1</f>
        <v>1.8348623853210899E-2</v>
      </c>
      <c r="BQ45" s="731">
        <f>BQ42/BP42-1</f>
        <v>1.8837018837018826E-2</v>
      </c>
      <c r="BR45" s="731">
        <f>BR42/BQ42-1</f>
        <v>9.6463022508037621E-3</v>
      </c>
      <c r="BS45" s="734"/>
      <c r="BT45" s="731">
        <f>BT42/BR42-1</f>
        <v>-2.3885350318471055E-3</v>
      </c>
      <c r="BU45" s="731">
        <f>BU42/BT42-1</f>
        <v>6.2250598563447834E-2</v>
      </c>
      <c r="BV45" s="731">
        <f>BV42/BU42-1</f>
        <v>7.813673929376419E-2</v>
      </c>
      <c r="BW45" s="731">
        <f>BW42/BV42-1</f>
        <v>1.8815331010452852E-2</v>
      </c>
      <c r="BX45" s="734"/>
      <c r="BY45" s="731">
        <f>BY42/BW42-1</f>
        <v>5.3351573187414569E-2</v>
      </c>
      <c r="BZ45" s="731">
        <f>BZ42/BY42-1</f>
        <v>5.7142857142857162E-2</v>
      </c>
      <c r="CA45" s="731">
        <f>CA42/BZ42-1</f>
        <v>4.3611793611793681E-2</v>
      </c>
      <c r="CB45" s="731">
        <f>CB42/CA42-1</f>
        <v>0.84696880517951745</v>
      </c>
      <c r="CC45" s="734"/>
      <c r="CD45" s="731">
        <f>CD42/CB42-1</f>
        <v>3.9834289356277974E-2</v>
      </c>
      <c r="CE45" s="731">
        <f>CE42/CD42-1</f>
        <v>1.5629788538155109E-2</v>
      </c>
      <c r="CF45" s="731">
        <f>CF42/CE42-1</f>
        <v>1.7803258901629482E-2</v>
      </c>
      <c r="CG45" s="731">
        <f>CG42/CF42-1</f>
        <v>8.4494515268307202E-2</v>
      </c>
      <c r="CH45" s="734"/>
      <c r="CI45" s="731">
        <f>CI42/CG42-1</f>
        <v>4.3466375068343277E-2</v>
      </c>
      <c r="CJ45" s="731">
        <f>CJ42/CI42-1</f>
        <v>0.29918784385643171</v>
      </c>
      <c r="CK45" s="731">
        <f>CK42/CJ42-1</f>
        <v>7.4410163339382995E-2</v>
      </c>
      <c r="CL45" s="731">
        <f>CL42/CK42-1</f>
        <v>0.23198198198198194</v>
      </c>
      <c r="CM45" s="734"/>
      <c r="CN45" s="731">
        <f>CN42/CL42-1</f>
        <v>-8.6532602071907383E-2</v>
      </c>
      <c r="CO45" s="731">
        <f>CO42/CN42-1</f>
        <v>3.1687791861240822E-2</v>
      </c>
      <c r="CP45" s="731">
        <f>CP42/CO42-1</f>
        <v>-2.8451341739411551E-2</v>
      </c>
      <c r="CQ45" s="731"/>
      <c r="CR45" s="734"/>
    </row>
    <row r="46" spans="2:96" s="708" customFormat="1" ht="22.5" customHeight="1">
      <c r="B46" s="709" t="s">
        <v>476</v>
      </c>
      <c r="BD46" s="710"/>
      <c r="BE46" s="708">
        <f t="shared" ref="BE46:CJ46" si="110">SUM(BE34,BE38,BE42)</f>
        <v>54860</v>
      </c>
      <c r="BF46" s="708">
        <f t="shared" si="110"/>
        <v>56430</v>
      </c>
      <c r="BG46" s="708">
        <f t="shared" si="110"/>
        <v>58644</v>
      </c>
      <c r="BH46" s="708">
        <f t="shared" si="110"/>
        <v>60720</v>
      </c>
      <c r="BI46" s="710">
        <f t="shared" si="110"/>
        <v>230654</v>
      </c>
      <c r="BJ46" s="708">
        <f t="shared" si="110"/>
        <v>62746</v>
      </c>
      <c r="BK46" s="708">
        <f t="shared" si="110"/>
        <v>64356</v>
      </c>
      <c r="BL46" s="708">
        <f t="shared" si="110"/>
        <v>66426</v>
      </c>
      <c r="BM46" s="708">
        <f t="shared" si="110"/>
        <v>68478</v>
      </c>
      <c r="BN46" s="710">
        <f t="shared" si="110"/>
        <v>262006</v>
      </c>
      <c r="BO46" s="708">
        <f t="shared" si="110"/>
        <v>70038</v>
      </c>
      <c r="BP46" s="708">
        <f t="shared" si="110"/>
        <v>71213</v>
      </c>
      <c r="BQ46" s="708">
        <f t="shared" si="110"/>
        <v>75185</v>
      </c>
      <c r="BR46" s="708">
        <f t="shared" si="110"/>
        <v>78580</v>
      </c>
      <c r="BS46" s="710">
        <f t="shared" si="110"/>
        <v>295016</v>
      </c>
      <c r="BT46" s="708">
        <f t="shared" si="110"/>
        <v>82801</v>
      </c>
      <c r="BU46" s="708">
        <f t="shared" si="110"/>
        <v>86940</v>
      </c>
      <c r="BV46" s="708">
        <f t="shared" si="110"/>
        <v>90399</v>
      </c>
      <c r="BW46" s="708">
        <f t="shared" si="110"/>
        <v>94866</v>
      </c>
      <c r="BX46" s="710">
        <f t="shared" si="110"/>
        <v>355006</v>
      </c>
      <c r="BY46" s="708">
        <f t="shared" si="110"/>
        <v>97567</v>
      </c>
      <c r="BZ46" s="708">
        <f t="shared" si="110"/>
        <v>101163</v>
      </c>
      <c r="CA46" s="708">
        <f t="shared" si="110"/>
        <v>106553</v>
      </c>
      <c r="CB46" s="708">
        <f t="shared" si="110"/>
        <v>113764</v>
      </c>
      <c r="CC46" s="710">
        <f t="shared" si="110"/>
        <v>419047</v>
      </c>
      <c r="CD46" s="708">
        <f t="shared" si="110"/>
        <v>117301</v>
      </c>
      <c r="CE46" s="708">
        <f t="shared" si="110"/>
        <v>121523</v>
      </c>
      <c r="CF46" s="708">
        <f t="shared" si="110"/>
        <v>127371</v>
      </c>
      <c r="CG46" s="708">
        <f t="shared" si="110"/>
        <v>135818</v>
      </c>
      <c r="CH46" s="710">
        <f t="shared" si="110"/>
        <v>502013</v>
      </c>
      <c r="CI46" s="708">
        <f t="shared" si="110"/>
        <v>139684</v>
      </c>
      <c r="CJ46" s="708">
        <f t="shared" si="110"/>
        <v>143981</v>
      </c>
      <c r="CK46" s="708">
        <f t="shared" ref="CK46" si="111">SUM(CK34,CK38,CK42)</f>
        <v>154456</v>
      </c>
      <c r="CL46" s="708">
        <f>CL54-CL50</f>
        <v>161968</v>
      </c>
      <c r="CM46" s="710">
        <f>CM54-CM50</f>
        <v>600089</v>
      </c>
      <c r="CN46" s="708">
        <f t="shared" ref="CN46:CP46" si="112">SUM(CN34,CN38,CN42)</f>
        <v>172329</v>
      </c>
      <c r="CO46" s="708">
        <f t="shared" si="112"/>
        <v>179121</v>
      </c>
      <c r="CP46" s="708">
        <f t="shared" si="112"/>
        <v>181991</v>
      </c>
      <c r="CR46" s="710"/>
    </row>
    <row r="47" spans="2:96" s="730" customFormat="1">
      <c r="B47" s="728"/>
      <c r="C47" s="729" t="s">
        <v>470</v>
      </c>
      <c r="D47" s="729"/>
      <c r="E47" s="729"/>
      <c r="G47" s="729"/>
      <c r="AB47" s="731"/>
      <c r="AC47" s="731"/>
      <c r="AD47" s="731"/>
      <c r="AE47" s="731"/>
      <c r="AF47" s="731"/>
      <c r="AG47" s="731"/>
      <c r="AH47" s="731"/>
      <c r="AI47" s="731"/>
      <c r="AJ47" s="731"/>
      <c r="AK47" s="731"/>
      <c r="AL47" s="731"/>
      <c r="AM47" s="731"/>
      <c r="AN47" s="731"/>
      <c r="AO47" s="731"/>
      <c r="AP47" s="731"/>
      <c r="AZ47" s="731"/>
      <c r="BA47" s="731"/>
      <c r="BB47" s="731"/>
      <c r="BC47" s="731"/>
      <c r="BD47" s="732"/>
      <c r="BE47" s="731">
        <f t="shared" ref="BE47:CJ47" si="113">BE46/BE54</f>
        <v>0.92838286062411157</v>
      </c>
      <c r="BF47" s="731">
        <f t="shared" si="113"/>
        <v>0.92370398258335928</v>
      </c>
      <c r="BG47" s="731">
        <f t="shared" si="113"/>
        <v>0.93281160526818097</v>
      </c>
      <c r="BH47" s="731">
        <f t="shared" si="113"/>
        <v>0.93144548926966209</v>
      </c>
      <c r="BI47" s="732">
        <f t="shared" si="113"/>
        <v>0.92915726716081215</v>
      </c>
      <c r="BJ47" s="731">
        <f t="shared" si="113"/>
        <v>0.93743090208264856</v>
      </c>
      <c r="BK47" s="731">
        <f t="shared" si="113"/>
        <v>0.93910607188197692</v>
      </c>
      <c r="BL47" s="731">
        <f t="shared" si="113"/>
        <v>0.93652718249492439</v>
      </c>
      <c r="BM47" s="731">
        <f t="shared" si="113"/>
        <v>0.94149835700438589</v>
      </c>
      <c r="BN47" s="732">
        <f t="shared" si="113"/>
        <v>0.93867241799343659</v>
      </c>
      <c r="BO47" s="731">
        <f t="shared" si="113"/>
        <v>0.94401013586370497</v>
      </c>
      <c r="BP47" s="731">
        <f t="shared" si="113"/>
        <v>0.94230743784155713</v>
      </c>
      <c r="BQ47" s="731">
        <f t="shared" si="113"/>
        <v>0.94504569051120579</v>
      </c>
      <c r="BR47" s="731">
        <f t="shared" si="113"/>
        <v>0.94324674701109135</v>
      </c>
      <c r="BS47" s="732">
        <f t="shared" si="113"/>
        <v>0.94365863800658922</v>
      </c>
      <c r="BT47" s="731">
        <f t="shared" si="113"/>
        <v>0.91905121317734806</v>
      </c>
      <c r="BU47" s="731">
        <f t="shared" si="113"/>
        <v>0.91962047409005809</v>
      </c>
      <c r="BV47" s="731">
        <f t="shared" si="113"/>
        <v>0.92350363173863736</v>
      </c>
      <c r="BW47" s="731">
        <f t="shared" si="113"/>
        <v>0.92321616255985051</v>
      </c>
      <c r="BX47" s="732">
        <f t="shared" si="113"/>
        <v>0.92143294677062682</v>
      </c>
      <c r="BY47" s="731">
        <f t="shared" si="113"/>
        <v>0.92750468187046664</v>
      </c>
      <c r="BZ47" s="731">
        <f t="shared" si="113"/>
        <v>0.92658777409368187</v>
      </c>
      <c r="CA47" s="731">
        <f t="shared" si="113"/>
        <v>0.93070768478241883</v>
      </c>
      <c r="CB47" s="731">
        <f t="shared" si="113"/>
        <v>0.93235424281663359</v>
      </c>
      <c r="CC47" s="732">
        <f t="shared" si="113"/>
        <v>0.92940837260881615</v>
      </c>
      <c r="CD47" s="731">
        <f t="shared" si="113"/>
        <v>0.93193663202720312</v>
      </c>
      <c r="CE47" s="731">
        <f t="shared" si="113"/>
        <v>0.93181051404735615</v>
      </c>
      <c r="CF47" s="731">
        <f t="shared" si="113"/>
        <v>0.93889179646324294</v>
      </c>
      <c r="CG47" s="731">
        <f t="shared" si="113"/>
        <v>0.93690201083020042</v>
      </c>
      <c r="CH47" s="732">
        <f t="shared" si="113"/>
        <v>0.93500400439552256</v>
      </c>
      <c r="CI47" s="731">
        <f t="shared" si="113"/>
        <v>0.93386639567845109</v>
      </c>
      <c r="CJ47" s="731">
        <f t="shared" si="113"/>
        <v>0.93740071356024901</v>
      </c>
      <c r="CK47" s="731">
        <f t="shared" ref="CK47:CL47" si="114">CK46/CK54</f>
        <v>0.94361154894126564</v>
      </c>
      <c r="CL47" s="731">
        <f t="shared" si="114"/>
        <v>0.94769670054474076</v>
      </c>
      <c r="CM47" s="732">
        <f t="shared" ref="CM47:CP47" si="115">CM46/CM54</f>
        <v>0.94092494884479394</v>
      </c>
      <c r="CN47" s="731">
        <f t="shared" si="115"/>
        <v>0.94921481252995055</v>
      </c>
      <c r="CO47" s="731">
        <f t="shared" si="115"/>
        <v>0.95582177161152615</v>
      </c>
      <c r="CP47" s="731">
        <f t="shared" si="115"/>
        <v>0.95833157806049374</v>
      </c>
      <c r="CQ47" s="731"/>
      <c r="CR47" s="732"/>
    </row>
    <row r="48" spans="2:96" s="730" customFormat="1">
      <c r="B48" s="728"/>
      <c r="C48" s="729" t="s">
        <v>0</v>
      </c>
      <c r="D48" s="729"/>
      <c r="E48" s="729"/>
      <c r="G48" s="729"/>
      <c r="AB48" s="731"/>
      <c r="AC48" s="731"/>
      <c r="AD48" s="731"/>
      <c r="AE48" s="731"/>
      <c r="AF48" s="731"/>
      <c r="AG48" s="731"/>
      <c r="AH48" s="731"/>
      <c r="AI48" s="731"/>
      <c r="AJ48" s="731"/>
      <c r="AK48" s="731"/>
      <c r="AL48" s="731"/>
      <c r="AM48" s="731"/>
      <c r="AN48" s="731"/>
      <c r="AO48" s="731"/>
      <c r="AP48" s="731"/>
      <c r="AZ48" s="731"/>
      <c r="BA48" s="731"/>
      <c r="BB48" s="731"/>
      <c r="BC48" s="731"/>
      <c r="BD48" s="732"/>
      <c r="BE48" s="731"/>
      <c r="BF48" s="731"/>
      <c r="BG48" s="731"/>
      <c r="BH48" s="731"/>
      <c r="BI48" s="732"/>
      <c r="BJ48" s="731">
        <f t="shared" ref="BJ48:CM48" si="116">BJ46/BE46-1</f>
        <v>0.14374772147283998</v>
      </c>
      <c r="BK48" s="731">
        <f t="shared" si="116"/>
        <v>0.14045720361509839</v>
      </c>
      <c r="BL48" s="731">
        <f t="shared" si="116"/>
        <v>0.13269899733988133</v>
      </c>
      <c r="BM48" s="731">
        <f t="shared" si="116"/>
        <v>0.12776679841897232</v>
      </c>
      <c r="BN48" s="732">
        <f t="shared" si="116"/>
        <v>0.13592653931863308</v>
      </c>
      <c r="BO48" s="731">
        <f t="shared" si="116"/>
        <v>0.11621457941542079</v>
      </c>
      <c r="BP48" s="731">
        <f t="shared" si="116"/>
        <v>0.10654795201690592</v>
      </c>
      <c r="BQ48" s="731">
        <f t="shared" si="116"/>
        <v>0.13186101827597629</v>
      </c>
      <c r="BR48" s="731">
        <f t="shared" si="116"/>
        <v>0.14752183182920064</v>
      </c>
      <c r="BS48" s="732">
        <f t="shared" si="116"/>
        <v>0.12598948115691999</v>
      </c>
      <c r="BT48" s="731">
        <f t="shared" si="116"/>
        <v>0.18222964676318565</v>
      </c>
      <c r="BU48" s="731">
        <f t="shared" si="116"/>
        <v>0.22084450872733918</v>
      </c>
      <c r="BV48" s="731">
        <f t="shared" si="116"/>
        <v>0.20235419299062318</v>
      </c>
      <c r="BW48" s="731">
        <f t="shared" si="116"/>
        <v>0.20725375413591252</v>
      </c>
      <c r="BX48" s="732">
        <f t="shared" si="116"/>
        <v>0.20334490332727717</v>
      </c>
      <c r="BY48" s="731">
        <f t="shared" si="116"/>
        <v>0.1783311795751259</v>
      </c>
      <c r="BZ48" s="731">
        <f t="shared" si="116"/>
        <v>0.16359558316080047</v>
      </c>
      <c r="CA48" s="731">
        <f t="shared" si="116"/>
        <v>0.17869666699852882</v>
      </c>
      <c r="CB48" s="731">
        <f t="shared" si="116"/>
        <v>0.1992073029325574</v>
      </c>
      <c r="CC48" s="732">
        <f t="shared" si="116"/>
        <v>0.18039413418364769</v>
      </c>
      <c r="CD48" s="731">
        <f t="shared" si="116"/>
        <v>0.2022610103826088</v>
      </c>
      <c r="CE48" s="731">
        <f t="shared" si="116"/>
        <v>0.20125935371627968</v>
      </c>
      <c r="CF48" s="731">
        <f t="shared" si="116"/>
        <v>0.19537694856081012</v>
      </c>
      <c r="CG48" s="731">
        <f t="shared" si="116"/>
        <v>0.19385745930171239</v>
      </c>
      <c r="CH48" s="732">
        <f t="shared" si="116"/>
        <v>0.19798733793584011</v>
      </c>
      <c r="CI48" s="731">
        <f t="shared" si="116"/>
        <v>0.19081678758066856</v>
      </c>
      <c r="CJ48" s="731">
        <f t="shared" si="116"/>
        <v>0.18480452260066005</v>
      </c>
      <c r="CK48" s="731">
        <f t="shared" si="116"/>
        <v>0.21264652079358726</v>
      </c>
      <c r="CL48" s="731">
        <f t="shared" si="116"/>
        <v>0.1925370716694399</v>
      </c>
      <c r="CM48" s="732">
        <f t="shared" si="116"/>
        <v>0.19536545866342103</v>
      </c>
      <c r="CN48" s="731">
        <f t="shared" ref="CN48" si="117">CN46/CI46-1</f>
        <v>0.23370607943644228</v>
      </c>
      <c r="CO48" s="731">
        <f t="shared" ref="CO48" si="118">CO46/CJ46-1</f>
        <v>0.24405998013626795</v>
      </c>
      <c r="CP48" s="731">
        <f t="shared" ref="CP48" si="119">CP46/CK46-1</f>
        <v>0.17827083441238933</v>
      </c>
      <c r="CQ48" s="731"/>
      <c r="CR48" s="732"/>
    </row>
    <row r="49" spans="2:96" s="730" customFormat="1">
      <c r="B49" s="728"/>
      <c r="C49" s="729" t="s">
        <v>1</v>
      </c>
      <c r="D49" s="729"/>
      <c r="E49" s="729"/>
      <c r="G49" s="729"/>
      <c r="AB49" s="731"/>
      <c r="AC49" s="733"/>
      <c r="AD49" s="733"/>
      <c r="AE49" s="733"/>
      <c r="AG49" s="731"/>
      <c r="AH49" s="733"/>
      <c r="AI49" s="733"/>
      <c r="AJ49" s="733"/>
      <c r="AL49" s="731"/>
      <c r="AM49" s="733"/>
      <c r="AN49" s="733"/>
      <c r="AO49" s="733"/>
      <c r="AZ49" s="731"/>
      <c r="BA49" s="731"/>
      <c r="BB49" s="731"/>
      <c r="BC49" s="731"/>
      <c r="BD49" s="734"/>
      <c r="BE49" s="731"/>
      <c r="BF49" s="731">
        <f>BF46/BE46-1</f>
        <v>2.8618301130149515E-2</v>
      </c>
      <c r="BG49" s="731">
        <f>BG46/BF46-1</f>
        <v>3.9234449760765511E-2</v>
      </c>
      <c r="BH49" s="731">
        <f>BH46/BG46-1</f>
        <v>3.5400040924902898E-2</v>
      </c>
      <c r="BI49" s="734"/>
      <c r="BJ49" s="731">
        <f>BJ46/BH46-1</f>
        <v>3.3366271409749571E-2</v>
      </c>
      <c r="BK49" s="731">
        <f>BK46/BJ46-1</f>
        <v>2.5659006151786512E-2</v>
      </c>
      <c r="BL49" s="731">
        <f>BL46/BK46-1</f>
        <v>3.2164833115793323E-2</v>
      </c>
      <c r="BM49" s="731">
        <f>BM46/BL46-1</f>
        <v>3.0891518381356731E-2</v>
      </c>
      <c r="BN49" s="734"/>
      <c r="BO49" s="731">
        <f>BO46/BM46-1</f>
        <v>2.2781039165863382E-2</v>
      </c>
      <c r="BP49" s="731">
        <f>BP46/BO46-1</f>
        <v>1.6776606984779674E-2</v>
      </c>
      <c r="BQ49" s="731">
        <f>BQ46/BP46-1</f>
        <v>5.5776332972912179E-2</v>
      </c>
      <c r="BR49" s="731">
        <f>BR46/BQ46-1</f>
        <v>4.5155283633703469E-2</v>
      </c>
      <c r="BS49" s="734"/>
      <c r="BT49" s="731">
        <f>BT46/BR46-1</f>
        <v>5.3715958259098917E-2</v>
      </c>
      <c r="BU49" s="731">
        <f>BU46/BT46-1</f>
        <v>4.9987318993731877E-2</v>
      </c>
      <c r="BV49" s="731">
        <f>BV46/BU46-1</f>
        <v>3.9786059351276659E-2</v>
      </c>
      <c r="BW49" s="731">
        <f>BW46/BV46-1</f>
        <v>4.9414263432117522E-2</v>
      </c>
      <c r="BX49" s="734"/>
      <c r="BY49" s="731">
        <f>BY46/BW46-1</f>
        <v>2.8471739084603653E-2</v>
      </c>
      <c r="BZ49" s="731">
        <f>BZ46/BY46-1</f>
        <v>3.6856724097287019E-2</v>
      </c>
      <c r="CA49" s="731">
        <f>CA46/BZ46-1</f>
        <v>5.3280349534909011E-2</v>
      </c>
      <c r="CB49" s="731">
        <f>CB46/CA46-1</f>
        <v>6.7675241429147937E-2</v>
      </c>
      <c r="CC49" s="734"/>
      <c r="CD49" s="731">
        <f>CD46/CB46-1</f>
        <v>3.1090678949404094E-2</v>
      </c>
      <c r="CE49" s="731">
        <f>CE46/CD46-1</f>
        <v>3.5992873036035489E-2</v>
      </c>
      <c r="CF49" s="731">
        <f>CF46/CE46-1</f>
        <v>4.8122577619051476E-2</v>
      </c>
      <c r="CG49" s="731">
        <f>CG46/CF46-1</f>
        <v>6.6318078683530679E-2</v>
      </c>
      <c r="CH49" s="734"/>
      <c r="CI49" s="731">
        <f>CI46/CG46-1</f>
        <v>2.8464562870900822E-2</v>
      </c>
      <c r="CJ49" s="731">
        <f>CJ46/CI46-1</f>
        <v>3.0762292030583227E-2</v>
      </c>
      <c r="CK49" s="731">
        <f>CK46/CJ46-1</f>
        <v>7.2752654864183475E-2</v>
      </c>
      <c r="CL49" s="731">
        <f>CL46/CK46-1</f>
        <v>4.8635210027451192E-2</v>
      </c>
      <c r="CM49" s="734">
        <f>CM46/CL46-1</f>
        <v>2.7049849352958608</v>
      </c>
      <c r="CN49" s="731">
        <f>CN46/CL46-1</f>
        <v>6.3969426059468537E-2</v>
      </c>
      <c r="CO49" s="731">
        <f>CO46/CN46-1</f>
        <v>3.9412983305189497E-2</v>
      </c>
      <c r="CP49" s="731">
        <f>CP46/CO46-1</f>
        <v>1.6022688573645638E-2</v>
      </c>
      <c r="CQ49" s="731"/>
      <c r="CR49" s="734"/>
    </row>
    <row r="50" spans="2:96" s="708" customFormat="1" ht="18.75" customHeight="1">
      <c r="B50" s="709" t="s">
        <v>477</v>
      </c>
      <c r="BC50" s="711"/>
      <c r="BD50" s="710"/>
      <c r="BE50" s="708">
        <v>4232</v>
      </c>
      <c r="BF50" s="708">
        <v>4661</v>
      </c>
      <c r="BG50" s="708">
        <v>4224</v>
      </c>
      <c r="BH50" s="711">
        <f>BI50-SUM(BE50:BG50)</f>
        <v>4469</v>
      </c>
      <c r="BI50" s="710">
        <v>17586</v>
      </c>
      <c r="BJ50" s="708">
        <v>4188</v>
      </c>
      <c r="BK50" s="708">
        <v>4173</v>
      </c>
      <c r="BL50" s="708">
        <v>4502</v>
      </c>
      <c r="BM50" s="711">
        <f>BN50-SUM(BJ50:BL50)</f>
        <v>4255</v>
      </c>
      <c r="BN50" s="710">
        <v>17118</v>
      </c>
      <c r="BO50" s="708">
        <v>4154</v>
      </c>
      <c r="BP50" s="708">
        <v>4360</v>
      </c>
      <c r="BQ50" s="708">
        <v>4372</v>
      </c>
      <c r="BR50" s="711">
        <f>BS50-SUM(BO50:BQ50)</f>
        <v>4728</v>
      </c>
      <c r="BS50" s="710">
        <v>17614</v>
      </c>
      <c r="BT50" s="708">
        <v>7293</v>
      </c>
      <c r="BU50" s="708">
        <v>7599</v>
      </c>
      <c r="BV50" s="708">
        <v>7488</v>
      </c>
      <c r="BW50" s="711">
        <f>BX50-SUM(BT50:BV50)</f>
        <v>7890</v>
      </c>
      <c r="BX50" s="710">
        <v>30270</v>
      </c>
      <c r="BY50" s="708">
        <v>7626</v>
      </c>
      <c r="BZ50" s="708">
        <v>8015</v>
      </c>
      <c r="CA50" s="708">
        <v>7933</v>
      </c>
      <c r="CB50" s="711">
        <f>CC50-SUM(BY50:CA50)</f>
        <v>8254</v>
      </c>
      <c r="CC50" s="710">
        <v>31828</v>
      </c>
      <c r="CD50" s="708">
        <v>8567</v>
      </c>
      <c r="CE50" s="708">
        <v>8893</v>
      </c>
      <c r="CF50" s="708">
        <v>8290</v>
      </c>
      <c r="CG50" s="711">
        <f>CH50-SUM(CD50:CF50)</f>
        <v>9147</v>
      </c>
      <c r="CH50" s="710">
        <v>34897</v>
      </c>
      <c r="CI50" s="708">
        <v>9892</v>
      </c>
      <c r="CJ50" s="708">
        <v>9615</v>
      </c>
      <c r="CK50" s="708">
        <v>9230</v>
      </c>
      <c r="CL50" s="711">
        <f>CM50-SUM(CI50:CK50)</f>
        <v>8939</v>
      </c>
      <c r="CM50" s="710">
        <v>37676</v>
      </c>
      <c r="CN50" s="708">
        <v>9220</v>
      </c>
      <c r="CO50" s="708">
        <v>8179</v>
      </c>
      <c r="CP50" s="708">
        <v>7913</v>
      </c>
      <c r="CQ50" s="711"/>
      <c r="CR50" s="710"/>
    </row>
    <row r="51" spans="2:96" s="730" customFormat="1" hidden="1">
      <c r="B51" s="728"/>
      <c r="C51" s="729" t="s">
        <v>470</v>
      </c>
      <c r="D51" s="729"/>
      <c r="E51" s="729"/>
      <c r="G51" s="729"/>
      <c r="AB51" s="731"/>
      <c r="AC51" s="731"/>
      <c r="AD51" s="731"/>
      <c r="AE51" s="731"/>
      <c r="AF51" s="731"/>
      <c r="AG51" s="731"/>
      <c r="AH51" s="731"/>
      <c r="AI51" s="731"/>
      <c r="AJ51" s="731"/>
      <c r="AK51" s="731"/>
      <c r="AL51" s="731"/>
      <c r="AM51" s="731"/>
      <c r="AN51" s="731"/>
      <c r="AO51" s="731"/>
      <c r="AP51" s="731"/>
      <c r="AZ51" s="731"/>
      <c r="BA51" s="731"/>
      <c r="BB51" s="731"/>
      <c r="BC51" s="731"/>
      <c r="BD51" s="732"/>
      <c r="BE51" s="731">
        <f t="shared" ref="BE51:CJ51" si="120">BE50/BE54</f>
        <v>7.1617139375888442E-2</v>
      </c>
      <c r="BF51" s="731">
        <f t="shared" si="120"/>
        <v>7.6296017416640743E-2</v>
      </c>
      <c r="BG51" s="731">
        <f t="shared" si="120"/>
        <v>6.7188394731819048E-2</v>
      </c>
      <c r="BH51" s="731">
        <f t="shared" si="120"/>
        <v>6.8554510730337942E-2</v>
      </c>
      <c r="BI51" s="732">
        <f t="shared" si="120"/>
        <v>7.0842732839187877E-2</v>
      </c>
      <c r="BJ51" s="731">
        <f t="shared" si="120"/>
        <v>6.2569097917351421E-2</v>
      </c>
      <c r="BK51" s="731">
        <f t="shared" si="120"/>
        <v>6.0893928118023029E-2</v>
      </c>
      <c r="BL51" s="731">
        <f t="shared" si="120"/>
        <v>6.3472817505075566E-2</v>
      </c>
      <c r="BM51" s="731">
        <f t="shared" si="120"/>
        <v>5.8501642995614098E-2</v>
      </c>
      <c r="BN51" s="732">
        <f t="shared" si="120"/>
        <v>6.1327582006563394E-2</v>
      </c>
      <c r="BO51" s="731">
        <f t="shared" si="120"/>
        <v>5.5989864136295017E-2</v>
      </c>
      <c r="BP51" s="731">
        <f t="shared" si="120"/>
        <v>5.7692562158442831E-2</v>
      </c>
      <c r="BQ51" s="731">
        <f t="shared" si="120"/>
        <v>5.4954309488794199E-2</v>
      </c>
      <c r="BR51" s="731">
        <f t="shared" si="120"/>
        <v>5.6753252988908626E-2</v>
      </c>
      <c r="BS51" s="732">
        <f t="shared" si="120"/>
        <v>5.6341361993410742E-2</v>
      </c>
      <c r="BT51" s="731">
        <f t="shared" si="120"/>
        <v>8.09487868226519E-2</v>
      </c>
      <c r="BU51" s="731">
        <f t="shared" si="120"/>
        <v>8.0379525909941935E-2</v>
      </c>
      <c r="BV51" s="731">
        <f t="shared" si="120"/>
        <v>7.6496368261362593E-2</v>
      </c>
      <c r="BW51" s="731">
        <f t="shared" si="120"/>
        <v>7.678383744014948E-2</v>
      </c>
      <c r="BX51" s="732">
        <f t="shared" si="120"/>
        <v>7.8567053229373227E-2</v>
      </c>
      <c r="BY51" s="731">
        <f t="shared" si="120"/>
        <v>7.2495318129533332E-2</v>
      </c>
      <c r="BZ51" s="731">
        <f t="shared" si="120"/>
        <v>7.3412225906318129E-2</v>
      </c>
      <c r="CA51" s="731">
        <f t="shared" si="120"/>
        <v>6.9292315217581182E-2</v>
      </c>
      <c r="CB51" s="731">
        <f t="shared" si="120"/>
        <v>6.7645757183366392E-2</v>
      </c>
      <c r="CC51" s="732">
        <f t="shared" si="120"/>
        <v>7.0591627391183812E-2</v>
      </c>
      <c r="CD51" s="731">
        <f t="shared" si="120"/>
        <v>6.8063367972796898E-2</v>
      </c>
      <c r="CE51" s="731">
        <f t="shared" si="120"/>
        <v>6.8189485952643847E-2</v>
      </c>
      <c r="CF51" s="731">
        <f t="shared" si="120"/>
        <v>6.1108203536757062E-2</v>
      </c>
      <c r="CG51" s="731">
        <f t="shared" si="120"/>
        <v>6.3097989169799612E-2</v>
      </c>
      <c r="CH51" s="732">
        <f t="shared" si="120"/>
        <v>6.4995995604477469E-2</v>
      </c>
      <c r="CI51" s="731">
        <f t="shared" si="120"/>
        <v>6.6133604321548911E-2</v>
      </c>
      <c r="CJ51" s="731">
        <f t="shared" si="120"/>
        <v>6.2599286439751031E-2</v>
      </c>
      <c r="CK51" s="731">
        <f t="shared" ref="CK51" si="121">CK50/CK54</f>
        <v>5.6388451058734405E-2</v>
      </c>
      <c r="CL51" s="731"/>
      <c r="CM51" s="732"/>
      <c r="CN51" s="731">
        <f t="shared" ref="CN51:CP51" si="122">CN50/CN54</f>
        <v>5.0785187470049412E-2</v>
      </c>
      <c r="CO51" s="731">
        <f t="shared" si="122"/>
        <v>4.3644610458911416E-2</v>
      </c>
      <c r="CP51" s="731">
        <f t="shared" si="122"/>
        <v>4.1668421939506275E-2</v>
      </c>
      <c r="CQ51" s="731"/>
      <c r="CR51" s="732"/>
    </row>
    <row r="52" spans="2:96" s="730" customFormat="1" hidden="1">
      <c r="B52" s="728"/>
      <c r="C52" s="729" t="s">
        <v>0</v>
      </c>
      <c r="D52" s="729"/>
      <c r="E52" s="729"/>
      <c r="G52" s="729"/>
      <c r="AB52" s="731"/>
      <c r="AC52" s="731"/>
      <c r="AD52" s="731"/>
      <c r="AE52" s="731"/>
      <c r="AF52" s="731"/>
      <c r="AG52" s="731"/>
      <c r="AH52" s="731"/>
      <c r="AI52" s="731"/>
      <c r="AJ52" s="731"/>
      <c r="AK52" s="731"/>
      <c r="AL52" s="731"/>
      <c r="AM52" s="731"/>
      <c r="AN52" s="731"/>
      <c r="AO52" s="731"/>
      <c r="AP52" s="731"/>
      <c r="AZ52" s="731"/>
      <c r="BA52" s="731"/>
      <c r="BB52" s="731"/>
      <c r="BC52" s="731"/>
      <c r="BD52" s="732"/>
      <c r="BE52" s="731" t="e">
        <f t="shared" ref="BE52:CK52" si="123">BE50/AZ50-1</f>
        <v>#DIV/0!</v>
      </c>
      <c r="BF52" s="731" t="e">
        <f t="shared" si="123"/>
        <v>#DIV/0!</v>
      </c>
      <c r="BG52" s="731" t="e">
        <f t="shared" si="123"/>
        <v>#DIV/0!</v>
      </c>
      <c r="BH52" s="731" t="e">
        <f t="shared" si="123"/>
        <v>#DIV/0!</v>
      </c>
      <c r="BI52" s="732" t="e">
        <f t="shared" si="123"/>
        <v>#DIV/0!</v>
      </c>
      <c r="BJ52" s="731">
        <f t="shared" si="123"/>
        <v>-1.0396975425330801E-2</v>
      </c>
      <c r="BK52" s="731">
        <f t="shared" si="123"/>
        <v>-0.10469856254022747</v>
      </c>
      <c r="BL52" s="731">
        <f t="shared" si="123"/>
        <v>6.5814393939394034E-2</v>
      </c>
      <c r="BM52" s="731">
        <f t="shared" si="123"/>
        <v>-4.7885432982770149E-2</v>
      </c>
      <c r="BN52" s="732">
        <f t="shared" si="123"/>
        <v>-2.6612077789150423E-2</v>
      </c>
      <c r="BO52" s="731">
        <f t="shared" si="123"/>
        <v>-8.1184336198663054E-3</v>
      </c>
      <c r="BP52" s="731">
        <f t="shared" si="123"/>
        <v>4.4811885933381257E-2</v>
      </c>
      <c r="BQ52" s="731">
        <f t="shared" si="123"/>
        <v>-2.8876055086628161E-2</v>
      </c>
      <c r="BR52" s="731">
        <f t="shared" si="123"/>
        <v>0.11116333725029381</v>
      </c>
      <c r="BS52" s="732">
        <f t="shared" si="123"/>
        <v>2.8975347587334888E-2</v>
      </c>
      <c r="BT52" s="731">
        <f t="shared" si="123"/>
        <v>0.75565719788156005</v>
      </c>
      <c r="BU52" s="731">
        <f t="shared" si="123"/>
        <v>0.74288990825688073</v>
      </c>
      <c r="BV52" s="731">
        <f t="shared" si="123"/>
        <v>0.7127172918572735</v>
      </c>
      <c r="BW52" s="731">
        <f t="shared" si="123"/>
        <v>0.66878172588832485</v>
      </c>
      <c r="BX52" s="732">
        <f t="shared" si="123"/>
        <v>0.71851935960031788</v>
      </c>
      <c r="BY52" s="731">
        <f t="shared" si="123"/>
        <v>4.5660222130810446E-2</v>
      </c>
      <c r="BZ52" s="731">
        <f t="shared" si="123"/>
        <v>5.4744045269114361E-2</v>
      </c>
      <c r="CA52" s="731">
        <f t="shared" si="123"/>
        <v>5.942841880341887E-2</v>
      </c>
      <c r="CB52" s="731">
        <f t="shared" si="123"/>
        <v>4.613434727503174E-2</v>
      </c>
      <c r="CC52" s="732">
        <f t="shared" si="123"/>
        <v>5.1470102411628638E-2</v>
      </c>
      <c r="CD52" s="731">
        <f t="shared" si="123"/>
        <v>0.12339365329137153</v>
      </c>
      <c r="CE52" s="731">
        <f t="shared" si="123"/>
        <v>0.10954460386774789</v>
      </c>
      <c r="CF52" s="731">
        <f t="shared" si="123"/>
        <v>4.5001890835749458E-2</v>
      </c>
      <c r="CG52" s="731">
        <f t="shared" si="123"/>
        <v>0.10818996850012108</v>
      </c>
      <c r="CH52" s="732">
        <f t="shared" si="123"/>
        <v>9.642453185874067E-2</v>
      </c>
      <c r="CI52" s="731">
        <f t="shared" si="123"/>
        <v>0.15466324267538223</v>
      </c>
      <c r="CJ52" s="731">
        <f t="shared" si="123"/>
        <v>8.1187450804003136E-2</v>
      </c>
      <c r="CK52" s="731">
        <f t="shared" si="123"/>
        <v>0.11338962605548852</v>
      </c>
      <c r="CL52" s="731"/>
      <c r="CM52" s="732"/>
      <c r="CN52" s="731">
        <f t="shared" ref="CN52" si="124">CN50/CI50-1</f>
        <v>-6.7933683784876631E-2</v>
      </c>
      <c r="CO52" s="731">
        <f t="shared" ref="CO52" si="125">CO50/CJ50-1</f>
        <v>-0.14934997399896</v>
      </c>
      <c r="CP52" s="731">
        <f t="shared" ref="CP52" si="126">CP50/CK50-1</f>
        <v>-0.14268689057421446</v>
      </c>
      <c r="CQ52" s="731"/>
      <c r="CR52" s="732"/>
    </row>
    <row r="53" spans="2:96" s="730" customFormat="1" hidden="1">
      <c r="B53" s="728"/>
      <c r="C53" s="729" t="s">
        <v>1</v>
      </c>
      <c r="D53" s="729"/>
      <c r="E53" s="729"/>
      <c r="G53" s="729"/>
      <c r="AB53" s="731"/>
      <c r="AC53" s="733"/>
      <c r="AD53" s="733"/>
      <c r="AE53" s="733"/>
      <c r="AG53" s="731"/>
      <c r="AH53" s="733"/>
      <c r="AI53" s="733"/>
      <c r="AJ53" s="733"/>
      <c r="AL53" s="731"/>
      <c r="AM53" s="733"/>
      <c r="AN53" s="733"/>
      <c r="AO53" s="733"/>
      <c r="AZ53" s="731"/>
      <c r="BA53" s="731"/>
      <c r="BB53" s="731"/>
      <c r="BC53" s="731"/>
      <c r="BD53" s="734"/>
      <c r="BE53" s="731" t="e">
        <f>BE50/BC50-1</f>
        <v>#DIV/0!</v>
      </c>
      <c r="BF53" s="731">
        <f>BF50/BE50-1</f>
        <v>0.10137051039697553</v>
      </c>
      <c r="BG53" s="731">
        <f>BG50/BF50-1</f>
        <v>-9.3756704569834759E-2</v>
      </c>
      <c r="BH53" s="731">
        <f>BH50/BG50-1</f>
        <v>5.8001893939394034E-2</v>
      </c>
      <c r="BI53" s="734"/>
      <c r="BJ53" s="731">
        <f>BJ50/BH50-1</f>
        <v>-6.2877601253076731E-2</v>
      </c>
      <c r="BK53" s="731">
        <f>BK50/BJ50-1</f>
        <v>-3.5816618911175269E-3</v>
      </c>
      <c r="BL53" s="731">
        <f>BL50/BK50-1</f>
        <v>7.8840162952312554E-2</v>
      </c>
      <c r="BM53" s="731">
        <f>BM50/BL50-1</f>
        <v>-5.4864504664593472E-2</v>
      </c>
      <c r="BN53" s="734"/>
      <c r="BO53" s="731">
        <f>BO50/BM50-1</f>
        <v>-2.3736780258519441E-2</v>
      </c>
      <c r="BP53" s="731">
        <f>BP50/BO50-1</f>
        <v>4.9590755897929606E-2</v>
      </c>
      <c r="BQ53" s="731">
        <f>BQ50/BP50-1</f>
        <v>2.7522935779815683E-3</v>
      </c>
      <c r="BR53" s="731">
        <f>BR50/BQ50-1</f>
        <v>8.1427264409881017E-2</v>
      </c>
      <c r="BS53" s="734"/>
      <c r="BT53" s="731">
        <f>BT50/BR50-1</f>
        <v>0.5425126903553299</v>
      </c>
      <c r="BU53" s="731">
        <f>BU50/BT50-1</f>
        <v>4.195804195804187E-2</v>
      </c>
      <c r="BV53" s="731">
        <f>BV50/BU50-1</f>
        <v>-1.4607185155941615E-2</v>
      </c>
      <c r="BW53" s="731">
        <f>BW50/BV50-1</f>
        <v>5.3685897435897356E-2</v>
      </c>
      <c r="BX53" s="734"/>
      <c r="BY53" s="731">
        <f>BY50/BW50-1</f>
        <v>-3.3460076045627396E-2</v>
      </c>
      <c r="BZ53" s="731">
        <f>BZ50/BY50-1</f>
        <v>5.1009703645423565E-2</v>
      </c>
      <c r="CA53" s="731">
        <f>CA50/BZ50-1</f>
        <v>-1.0230817217716792E-2</v>
      </c>
      <c r="CB53" s="731">
        <f>CB50/CA50-1</f>
        <v>4.0463885037186342E-2</v>
      </c>
      <c r="CC53" s="734"/>
      <c r="CD53" s="731">
        <f>CD50/CB50-1</f>
        <v>3.7921007996123191E-2</v>
      </c>
      <c r="CE53" s="731">
        <f>CE50/CD50-1</f>
        <v>3.8052994046924304E-2</v>
      </c>
      <c r="CF53" s="731">
        <f>CF50/CE50-1</f>
        <v>-6.780613966040705E-2</v>
      </c>
      <c r="CG53" s="731">
        <f>CG50/CF50-1</f>
        <v>0.10337756332931236</v>
      </c>
      <c r="CH53" s="734"/>
      <c r="CI53" s="731">
        <f>CI50/CG50-1</f>
        <v>8.1447469115557114E-2</v>
      </c>
      <c r="CJ53" s="731">
        <f>CJ50/CI50-1</f>
        <v>-2.8002426202992314E-2</v>
      </c>
      <c r="CK53" s="731">
        <f>CK50/CJ50-1</f>
        <v>-4.0041601664066562E-2</v>
      </c>
      <c r="CL53" s="731"/>
      <c r="CM53" s="734"/>
      <c r="CN53" s="731">
        <f>CN50/CL50-1</f>
        <v>3.1435283588768348E-2</v>
      </c>
      <c r="CO53" s="731">
        <f>CO50/CN50-1</f>
        <v>-0.11290672451193062</v>
      </c>
      <c r="CP53" s="731">
        <f>CP50/CO50-1</f>
        <v>-3.2522313241227563E-2</v>
      </c>
      <c r="CQ53" s="731"/>
      <c r="CR53" s="734"/>
    </row>
    <row r="54" spans="2:96" s="708" customFormat="1" ht="24.75" customHeight="1">
      <c r="B54" s="709" t="s">
        <v>471</v>
      </c>
      <c r="BD54" s="710"/>
      <c r="BE54" s="708">
        <f>IS!BE4</f>
        <v>59092</v>
      </c>
      <c r="BF54" s="708">
        <f>IS!BF4</f>
        <v>61091</v>
      </c>
      <c r="BG54" s="708">
        <f>IS!BG4</f>
        <v>62868</v>
      </c>
      <c r="BH54" s="708">
        <f>IS!BH4</f>
        <v>65189</v>
      </c>
      <c r="BI54" s="710">
        <f>IS!BI4</f>
        <v>248240</v>
      </c>
      <c r="BJ54" s="708">
        <f>IS!BJ4</f>
        <v>66934</v>
      </c>
      <c r="BK54" s="708">
        <f>IS!BK4</f>
        <v>68529</v>
      </c>
      <c r="BL54" s="708">
        <f>IS!BL4</f>
        <v>70928</v>
      </c>
      <c r="BM54" s="708">
        <f>IS!BM4</f>
        <v>72733</v>
      </c>
      <c r="BN54" s="710">
        <f>IS!BN4</f>
        <v>279124</v>
      </c>
      <c r="BO54" s="708">
        <f>IS!BO4</f>
        <v>74192</v>
      </c>
      <c r="BP54" s="708">
        <f>IS!BP4</f>
        <v>75573</v>
      </c>
      <c r="BQ54" s="708">
        <f>IS!BQ4</f>
        <v>79557</v>
      </c>
      <c r="BR54" s="708">
        <f>IS!BR4</f>
        <v>83308</v>
      </c>
      <c r="BS54" s="710">
        <f>IS!BS4</f>
        <v>312630</v>
      </c>
      <c r="BT54" s="708">
        <f>IS!BT4</f>
        <v>90094</v>
      </c>
      <c r="BU54" s="708">
        <f>IS!BU4</f>
        <v>94539</v>
      </c>
      <c r="BV54" s="708">
        <f>IS!BV4</f>
        <v>97887</v>
      </c>
      <c r="BW54" s="708">
        <f>IS!BW4</f>
        <v>102756</v>
      </c>
      <c r="BX54" s="710">
        <f>IS!BX4</f>
        <v>385276</v>
      </c>
      <c r="BY54" s="708">
        <f>IS!BY4</f>
        <v>105193</v>
      </c>
      <c r="BZ54" s="708">
        <f>IS!BZ4</f>
        <v>109178</v>
      </c>
      <c r="CA54" s="708">
        <f>IS!CA4</f>
        <v>114486</v>
      </c>
      <c r="CB54" s="708">
        <f>IS!CB4</f>
        <v>122018</v>
      </c>
      <c r="CC54" s="710">
        <f>IS!CC4</f>
        <v>450875</v>
      </c>
      <c r="CD54" s="708">
        <f>IS!CD4</f>
        <v>125868</v>
      </c>
      <c r="CE54" s="708">
        <f>IS!CE4</f>
        <v>130416</v>
      </c>
      <c r="CF54" s="708">
        <f>IS!CF4</f>
        <v>135661</v>
      </c>
      <c r="CG54" s="708">
        <f>IS!CG4</f>
        <v>144965</v>
      </c>
      <c r="CH54" s="710">
        <f>IS!CH4</f>
        <v>536910</v>
      </c>
      <c r="CI54" s="708">
        <f>IS!CI4</f>
        <v>149576</v>
      </c>
      <c r="CJ54" s="708">
        <f>IS!CJ4</f>
        <v>153596</v>
      </c>
      <c r="CK54" s="708">
        <f>IS!CK4</f>
        <v>163686</v>
      </c>
      <c r="CL54" s="708">
        <f>IS!CL4</f>
        <v>170907</v>
      </c>
      <c r="CM54" s="710">
        <f>IS!CM4</f>
        <v>637765</v>
      </c>
      <c r="CN54" s="708">
        <f>IS!CN4</f>
        <v>181549</v>
      </c>
      <c r="CO54" s="708">
        <f>IS!CO4</f>
        <v>187400</v>
      </c>
      <c r="CP54" s="708">
        <f>IS!CP4</f>
        <v>189904</v>
      </c>
      <c r="CQ54" s="708">
        <f>IS!CQ4</f>
        <v>192652</v>
      </c>
      <c r="CR54" s="710">
        <f>IS!CR4</f>
        <v>751505</v>
      </c>
    </row>
    <row r="55" spans="2:96" s="730" customFormat="1">
      <c r="B55" s="728"/>
      <c r="C55" s="729" t="s">
        <v>0</v>
      </c>
      <c r="D55" s="729"/>
      <c r="E55" s="729"/>
      <c r="G55" s="729"/>
      <c r="AB55" s="731"/>
      <c r="AC55" s="731"/>
      <c r="AD55" s="731"/>
      <c r="AE55" s="731"/>
      <c r="AF55" s="731"/>
      <c r="AG55" s="731"/>
      <c r="AH55" s="731"/>
      <c r="AI55" s="731"/>
      <c r="AJ55" s="731"/>
      <c r="AK55" s="731"/>
      <c r="AL55" s="731"/>
      <c r="AM55" s="731"/>
      <c r="AN55" s="731"/>
      <c r="AO55" s="731"/>
      <c r="AP55" s="731"/>
      <c r="AZ55" s="731"/>
      <c r="BA55" s="731"/>
      <c r="BB55" s="731"/>
      <c r="BC55" s="731"/>
      <c r="BD55" s="732"/>
      <c r="BE55" s="731"/>
      <c r="BF55" s="731"/>
      <c r="BG55" s="731"/>
      <c r="BH55" s="731"/>
      <c r="BI55" s="732"/>
      <c r="BJ55" s="731">
        <f t="shared" ref="BJ55:CM55" si="127">BJ54/BE54-1</f>
        <v>0.13270831923102966</v>
      </c>
      <c r="BK55" s="731">
        <f t="shared" si="127"/>
        <v>0.12175279501072178</v>
      </c>
      <c r="BL55" s="731">
        <f t="shared" si="127"/>
        <v>0.12820512820512819</v>
      </c>
      <c r="BM55" s="731">
        <f t="shared" si="127"/>
        <v>0.11572504563653374</v>
      </c>
      <c r="BN55" s="732">
        <f t="shared" si="127"/>
        <v>0.12441185949081524</v>
      </c>
      <c r="BO55" s="731">
        <f t="shared" si="127"/>
        <v>0.10843517494845667</v>
      </c>
      <c r="BP55" s="731">
        <f t="shared" si="127"/>
        <v>0.10278860044652638</v>
      </c>
      <c r="BQ55" s="731">
        <f t="shared" si="127"/>
        <v>0.12165858335213176</v>
      </c>
      <c r="BR55" s="731">
        <f t="shared" si="127"/>
        <v>0.14539480015948736</v>
      </c>
      <c r="BS55" s="732">
        <f t="shared" si="127"/>
        <v>0.12003983892463554</v>
      </c>
      <c r="BT55" s="731">
        <f t="shared" si="127"/>
        <v>0.2143357774423118</v>
      </c>
      <c r="BU55" s="731">
        <f t="shared" si="127"/>
        <v>0.25096264538922641</v>
      </c>
      <c r="BV55" s="731">
        <f t="shared" si="127"/>
        <v>0.23040084467740107</v>
      </c>
      <c r="BW55" s="731">
        <f t="shared" si="127"/>
        <v>0.23344696787823493</v>
      </c>
      <c r="BX55" s="732">
        <f t="shared" si="127"/>
        <v>0.23237053385791517</v>
      </c>
      <c r="BY55" s="731">
        <f t="shared" si="127"/>
        <v>0.16759162652340898</v>
      </c>
      <c r="BZ55" s="731">
        <f t="shared" si="127"/>
        <v>0.1548461481504988</v>
      </c>
      <c r="CA55" s="731">
        <f t="shared" si="127"/>
        <v>0.16957307916270792</v>
      </c>
      <c r="CB55" s="731">
        <f t="shared" si="127"/>
        <v>0.18745377398886687</v>
      </c>
      <c r="CC55" s="732">
        <f t="shared" si="127"/>
        <v>0.17026495291687005</v>
      </c>
      <c r="CD55" s="731">
        <f t="shared" si="127"/>
        <v>0.19654349624024414</v>
      </c>
      <c r="CE55" s="731">
        <f t="shared" si="127"/>
        <v>0.19452636978145788</v>
      </c>
      <c r="CF55" s="731">
        <f t="shared" si="127"/>
        <v>0.18495711266006332</v>
      </c>
      <c r="CG55" s="731">
        <f t="shared" si="127"/>
        <v>0.18806241702043969</v>
      </c>
      <c r="CH55" s="732">
        <f t="shared" si="127"/>
        <v>0.19081785417244257</v>
      </c>
      <c r="CI55" s="731">
        <f t="shared" si="127"/>
        <v>0.18835605555025903</v>
      </c>
      <c r="CJ55" s="731">
        <f t="shared" si="127"/>
        <v>0.17773892773892763</v>
      </c>
      <c r="CK55" s="731">
        <f t="shared" si="127"/>
        <v>0.20658111026750503</v>
      </c>
      <c r="CL55" s="731">
        <f t="shared" si="127"/>
        <v>0.17895354050977819</v>
      </c>
      <c r="CM55" s="732">
        <f t="shared" si="127"/>
        <v>0.18784340019742607</v>
      </c>
      <c r="CN55" s="731">
        <f t="shared" ref="CN55" si="128">CN54/CI54-1</f>
        <v>0.21375755468791779</v>
      </c>
      <c r="CO55" s="731">
        <f t="shared" ref="CO55" si="129">CO54/CJ54-1</f>
        <v>0.22008385635042571</v>
      </c>
      <c r="CP55" s="731">
        <f t="shared" ref="CP55" si="130">CP54/CK54-1</f>
        <v>0.16017252544505944</v>
      </c>
      <c r="CQ55" s="731">
        <f t="shared" ref="CQ55" si="131">CQ54/CL54-1</f>
        <v>0.12723293955192005</v>
      </c>
      <c r="CR55" s="732">
        <f t="shared" ref="CR55" si="132">CR54/CM54-1</f>
        <v>0.17834155213911074</v>
      </c>
    </row>
    <row r="56" spans="2:96" s="730" customFormat="1" ht="13.15" thickBot="1">
      <c r="B56" s="735"/>
      <c r="C56" s="736" t="s">
        <v>1</v>
      </c>
      <c r="D56" s="736"/>
      <c r="E56" s="736"/>
      <c r="F56" s="736"/>
      <c r="G56" s="736"/>
      <c r="H56" s="737"/>
      <c r="I56" s="737"/>
      <c r="J56" s="737"/>
      <c r="K56" s="737"/>
      <c r="L56" s="737"/>
      <c r="M56" s="737"/>
      <c r="N56" s="737"/>
      <c r="O56" s="737"/>
      <c r="P56" s="737"/>
      <c r="Q56" s="737"/>
      <c r="R56" s="737"/>
      <c r="S56" s="737"/>
      <c r="T56" s="737"/>
      <c r="U56" s="737"/>
      <c r="V56" s="737"/>
      <c r="W56" s="737"/>
      <c r="X56" s="737"/>
      <c r="Y56" s="737"/>
      <c r="Z56" s="737"/>
      <c r="AA56" s="737"/>
      <c r="AB56" s="738"/>
      <c r="AC56" s="739"/>
      <c r="AD56" s="739"/>
      <c r="AE56" s="739"/>
      <c r="AF56" s="737"/>
      <c r="AG56" s="738"/>
      <c r="AH56" s="739"/>
      <c r="AI56" s="739"/>
      <c r="AJ56" s="739"/>
      <c r="AK56" s="737"/>
      <c r="AL56" s="738"/>
      <c r="AM56" s="739"/>
      <c r="AN56" s="739"/>
      <c r="AO56" s="739"/>
      <c r="AP56" s="737"/>
      <c r="AQ56" s="737"/>
      <c r="AR56" s="737"/>
      <c r="AS56" s="737"/>
      <c r="AT56" s="737"/>
      <c r="AU56" s="737"/>
      <c r="AV56" s="737"/>
      <c r="AW56" s="737"/>
      <c r="AX56" s="737"/>
      <c r="AY56" s="737"/>
      <c r="AZ56" s="738"/>
      <c r="BA56" s="738"/>
      <c r="BB56" s="738"/>
      <c r="BC56" s="738"/>
      <c r="BD56" s="740"/>
      <c r="BE56" s="738"/>
      <c r="BF56" s="738">
        <f>BF54/BE54-1</f>
        <v>3.38286062411155E-2</v>
      </c>
      <c r="BG56" s="738">
        <f>BG54/BF54-1</f>
        <v>2.9087754333698923E-2</v>
      </c>
      <c r="BH56" s="738">
        <f>BH54/BG54-1</f>
        <v>3.6918623146910967E-2</v>
      </c>
      <c r="BI56" s="740"/>
      <c r="BJ56" s="738">
        <f>BJ54/BH54-1</f>
        <v>2.6768319808556651E-2</v>
      </c>
      <c r="BK56" s="738">
        <f>BK54/BJ54-1</f>
        <v>2.3829443929841432E-2</v>
      </c>
      <c r="BL56" s="738">
        <f>BL54/BK54-1</f>
        <v>3.5007077295743372E-2</v>
      </c>
      <c r="BM56" s="738">
        <f>BM54/BL54-1</f>
        <v>2.5448341980599976E-2</v>
      </c>
      <c r="BN56" s="740"/>
      <c r="BO56" s="738">
        <f>BO54/BM54-1</f>
        <v>2.0059670300963894E-2</v>
      </c>
      <c r="BP56" s="738">
        <f>BP54/BO54-1</f>
        <v>1.8613866724175088E-2</v>
      </c>
      <c r="BQ56" s="738">
        <f>BQ54/BP54-1</f>
        <v>5.2717240284228417E-2</v>
      </c>
      <c r="BR56" s="738">
        <f>BR54/BQ54-1</f>
        <v>4.714858529104915E-2</v>
      </c>
      <c r="BS56" s="740"/>
      <c r="BT56" s="738">
        <f>BT54/BR54-1</f>
        <v>8.1456762855908194E-2</v>
      </c>
      <c r="BU56" s="738">
        <f>BU54/BT54-1</f>
        <v>4.9337358758629879E-2</v>
      </c>
      <c r="BV56" s="738">
        <f>BV54/BU54-1</f>
        <v>3.5413956145083025E-2</v>
      </c>
      <c r="BW56" s="738">
        <f>BW54/BV54-1</f>
        <v>4.9741027919948611E-2</v>
      </c>
      <c r="BX56" s="740"/>
      <c r="BY56" s="738">
        <f>BY54/BW54-1</f>
        <v>2.3716376659270511E-2</v>
      </c>
      <c r="BZ56" s="738">
        <f>BZ54/BY54-1</f>
        <v>3.7882748852109849E-2</v>
      </c>
      <c r="CA56" s="738">
        <f>CA54/BZ54-1</f>
        <v>4.8617853413691403E-2</v>
      </c>
      <c r="CB56" s="738">
        <f>CB54/CA54-1</f>
        <v>6.5789703544538281E-2</v>
      </c>
      <c r="CC56" s="740"/>
      <c r="CD56" s="738">
        <f>CD54/CB54-1</f>
        <v>3.155272172958079E-2</v>
      </c>
      <c r="CE56" s="738">
        <f>CE54/CD54-1</f>
        <v>3.6133091810468088E-2</v>
      </c>
      <c r="CF56" s="738">
        <f>CF54/CE54-1</f>
        <v>4.0217457980615823E-2</v>
      </c>
      <c r="CG56" s="738">
        <f>CG54/CF54-1</f>
        <v>6.8582717214232591E-2</v>
      </c>
      <c r="CH56" s="740"/>
      <c r="CI56" s="738">
        <f>CI54/CG54-1</f>
        <v>3.1807677715310678E-2</v>
      </c>
      <c r="CJ56" s="738">
        <f>CJ54/CI54-1</f>
        <v>2.687596940685677E-2</v>
      </c>
      <c r="CK56" s="738">
        <f>CK54/CJ54-1</f>
        <v>6.5691814891012834E-2</v>
      </c>
      <c r="CL56" s="738">
        <f>CL54/CK54-1</f>
        <v>4.411495179795466E-2</v>
      </c>
      <c r="CM56" s="740">
        <f>CM54/CL54-1</f>
        <v>2.731649376561522</v>
      </c>
      <c r="CN56" s="738">
        <f>CN54/CL54-1</f>
        <v>6.2267783063303384E-2</v>
      </c>
      <c r="CO56" s="738">
        <f>CO54/CN54-1</f>
        <v>3.2228213870635569E-2</v>
      </c>
      <c r="CP56" s="738">
        <f>CP54/CO54-1</f>
        <v>1.336179295624329E-2</v>
      </c>
      <c r="CQ56" s="738">
        <f>CQ54/CP54-1</f>
        <v>1.4470469289746379E-2</v>
      </c>
      <c r="CR56" s="740">
        <f>CR54/CQ54-1</f>
        <v>2.9008419326038659</v>
      </c>
    </row>
    <row r="57" spans="2:96" ht="17.25" customHeight="1"/>
    <row r="58" spans="2:96">
      <c r="B58" s="254" t="s">
        <v>479</v>
      </c>
      <c r="AZ58" s="609"/>
      <c r="BA58" s="609"/>
      <c r="BB58" s="609"/>
      <c r="BC58" s="609"/>
      <c r="BD58" s="609"/>
      <c r="BE58" s="609">
        <f t="shared" ref="BE58:BI58" si="133">BE46+BE50-BE54</f>
        <v>0</v>
      </c>
      <c r="BF58" s="609">
        <f t="shared" si="133"/>
        <v>0</v>
      </c>
      <c r="BG58" s="609">
        <f t="shared" si="133"/>
        <v>0</v>
      </c>
      <c r="BH58" s="609">
        <f t="shared" si="133"/>
        <v>0</v>
      </c>
      <c r="BI58" s="609">
        <f t="shared" si="133"/>
        <v>0</v>
      </c>
      <c r="BJ58" s="609">
        <f>BJ46+BJ50-BJ54</f>
        <v>0</v>
      </c>
      <c r="BK58" s="609">
        <f t="shared" ref="BK58" si="134">BK46+BK50-BK54</f>
        <v>0</v>
      </c>
      <c r="BL58" s="609">
        <f>BL46+BL50-BL54</f>
        <v>0</v>
      </c>
      <c r="BM58" s="609">
        <f t="shared" ref="BM58:BS58" si="135">BM46+BM50-BM54</f>
        <v>0</v>
      </c>
      <c r="BN58" s="609">
        <f t="shared" si="135"/>
        <v>0</v>
      </c>
      <c r="BO58" s="609">
        <f t="shared" si="135"/>
        <v>0</v>
      </c>
      <c r="BP58" s="609">
        <f t="shared" si="135"/>
        <v>0</v>
      </c>
      <c r="BQ58" s="609">
        <f t="shared" si="135"/>
        <v>0</v>
      </c>
      <c r="BR58" s="609">
        <f t="shared" si="135"/>
        <v>0</v>
      </c>
      <c r="BS58" s="609">
        <f t="shared" si="135"/>
        <v>0</v>
      </c>
      <c r="BT58" s="609">
        <f>BT46+BT50-BT54</f>
        <v>0</v>
      </c>
      <c r="BU58" s="609">
        <f t="shared" ref="BU58" si="136">BU46+BU50-BU54</f>
        <v>0</v>
      </c>
      <c r="BV58" s="609">
        <f>BV46+BV50-BV54</f>
        <v>0</v>
      </c>
      <c r="BW58" s="609">
        <f t="shared" ref="BW58:BX58" si="137">BW46+BW50-BW54</f>
        <v>0</v>
      </c>
      <c r="BX58" s="609">
        <f t="shared" si="137"/>
        <v>0</v>
      </c>
      <c r="BY58" s="609">
        <f>BY46+BY50-BY54</f>
        <v>0</v>
      </c>
      <c r="BZ58" s="609">
        <f t="shared" ref="BZ58" si="138">BZ46+BZ50-BZ54</f>
        <v>0</v>
      </c>
      <c r="CA58" s="609">
        <f>CA46+CA50-CA54</f>
        <v>0</v>
      </c>
      <c r="CB58" s="609">
        <f t="shared" ref="CB58:CC58" si="139">CB46+CB50-CB54</f>
        <v>0</v>
      </c>
      <c r="CC58" s="609">
        <f t="shared" si="139"/>
        <v>0</v>
      </c>
      <c r="CD58" s="609">
        <f>CD46+CD50-CD54</f>
        <v>0</v>
      </c>
      <c r="CE58" s="609">
        <f t="shared" ref="CE58:CH58" si="140">CE46+CE50-CE54</f>
        <v>0</v>
      </c>
      <c r="CF58" s="609">
        <f>CF46+CF50-CF54</f>
        <v>0</v>
      </c>
      <c r="CG58" s="609">
        <f t="shared" si="140"/>
        <v>0</v>
      </c>
      <c r="CH58" s="609">
        <f t="shared" si="140"/>
        <v>0</v>
      </c>
      <c r="CI58" s="609">
        <f>CI46+CI50-CI54</f>
        <v>0</v>
      </c>
      <c r="CJ58" s="609">
        <f t="shared" ref="CJ58:CK58" si="141">CJ46+CJ50-CJ54</f>
        <v>0</v>
      </c>
      <c r="CK58" s="609">
        <f t="shared" si="141"/>
        <v>0</v>
      </c>
      <c r="CL58" s="609"/>
      <c r="CM58" s="609"/>
      <c r="CN58" s="609">
        <f>CN46+CN50-CN54</f>
        <v>0</v>
      </c>
      <c r="CO58" s="609">
        <f t="shared" ref="CO58:CP58" si="142">CO46+CO50-CO54</f>
        <v>-100</v>
      </c>
      <c r="CP58" s="609">
        <f t="shared" si="142"/>
        <v>0</v>
      </c>
      <c r="CQ58" s="609"/>
      <c r="CR58" s="609"/>
    </row>
    <row r="60" spans="2:96" ht="13.15">
      <c r="BE60" s="758"/>
      <c r="BF60" s="758"/>
      <c r="BG60" s="758"/>
      <c r="BH60" s="758"/>
      <c r="BI60" s="254" t="s">
        <v>0</v>
      </c>
      <c r="BJ60" s="758" t="str">
        <f t="shared" ref="BJ60" si="143">BJ33</f>
        <v>1Q19</v>
      </c>
      <c r="BK60" s="758" t="str">
        <f t="shared" ref="BK60:BR60" si="144">BK33</f>
        <v>2Q19</v>
      </c>
      <c r="BL60" s="758" t="str">
        <f t="shared" si="144"/>
        <v>3Q19</v>
      </c>
      <c r="BM60" s="758" t="str">
        <f t="shared" si="144"/>
        <v>4Q19</v>
      </c>
      <c r="BN60" s="758">
        <f t="shared" ref="BN60:BQ60" si="145">BN33</f>
        <v>2019</v>
      </c>
      <c r="BO60" s="758" t="str">
        <f t="shared" si="145"/>
        <v>1Q20</v>
      </c>
      <c r="BP60" s="758" t="str">
        <f t="shared" si="145"/>
        <v>2Q20</v>
      </c>
      <c r="BQ60" s="758" t="str">
        <f t="shared" si="145"/>
        <v>3Q20</v>
      </c>
      <c r="BR60" s="758" t="str">
        <f t="shared" si="144"/>
        <v>4Q20</v>
      </c>
      <c r="BS60" s="758" t="str">
        <f>BT33</f>
        <v>1Q21</v>
      </c>
      <c r="BT60" s="758" t="str">
        <f>BU33</f>
        <v>2Q21</v>
      </c>
      <c r="BU60" s="758" t="str">
        <f>BV33</f>
        <v>3Q21</v>
      </c>
      <c r="BV60" s="758" t="str">
        <f>BW33</f>
        <v>4Q21</v>
      </c>
      <c r="BW60" s="758" t="str">
        <f>BY33</f>
        <v>1Q22</v>
      </c>
      <c r="BX60" s="758" t="str">
        <f>BZ33</f>
        <v>2Q22</v>
      </c>
      <c r="BY60" s="758" t="str">
        <f>CA33</f>
        <v>3Q22</v>
      </c>
      <c r="BZ60" s="758" t="str">
        <f>CB33</f>
        <v>4Q22</v>
      </c>
      <c r="CA60" s="758" t="str">
        <f>CD33</f>
        <v>1Q23</v>
      </c>
      <c r="CB60" s="758" t="str">
        <f>CE33</f>
        <v>2Q23</v>
      </c>
      <c r="CC60" s="758" t="str">
        <f>CF33</f>
        <v>3Q23</v>
      </c>
      <c r="CD60" s="758" t="str">
        <f>CG33</f>
        <v>4Q23</v>
      </c>
      <c r="CE60" s="758" t="str">
        <f>CI33</f>
        <v>1Q24</v>
      </c>
      <c r="CF60" s="758" t="str">
        <f>CJ33</f>
        <v>2Q24</v>
      </c>
      <c r="CG60" s="758" t="str">
        <f>CK33</f>
        <v>3Q24</v>
      </c>
      <c r="CH60" s="758" t="str">
        <f>CL33</f>
        <v>4Q24</v>
      </c>
      <c r="CI60" s="758" t="str">
        <f>CN33</f>
        <v>1Q25</v>
      </c>
      <c r="CJ60" s="758" t="str">
        <f>CO33</f>
        <v>2Q25</v>
      </c>
      <c r="CK60" s="758" t="str">
        <f>CP33</f>
        <v>3Q25</v>
      </c>
    </row>
    <row r="61" spans="2:96" ht="18" customHeight="1">
      <c r="BE61" s="446"/>
      <c r="BF61" s="446"/>
      <c r="BG61" s="446"/>
      <c r="BH61" s="446"/>
      <c r="BI61" s="1" t="s">
        <v>481</v>
      </c>
      <c r="BJ61" s="446">
        <f t="shared" ref="BJ61" si="146">BJ36</f>
        <v>0.15609293713076444</v>
      </c>
      <c r="BK61" s="446">
        <f t="shared" ref="BK61:BR61" si="147">BK36</f>
        <v>0.15520654044750426</v>
      </c>
      <c r="BL61" s="446">
        <f t="shared" si="147"/>
        <v>0.14570356008415497</v>
      </c>
      <c r="BM61" s="446">
        <f t="shared" si="147"/>
        <v>0.14180391224210709</v>
      </c>
      <c r="BN61" s="446">
        <f t="shared" ref="BN61:BQ61" si="148">BN36</f>
        <v>0.14945776091161167</v>
      </c>
      <c r="BO61" s="446">
        <f t="shared" si="148"/>
        <v>0.12695204499952339</v>
      </c>
      <c r="BP61" s="446">
        <f t="shared" si="148"/>
        <v>0.13131821060081195</v>
      </c>
      <c r="BQ61" s="446">
        <f t="shared" si="148"/>
        <v>0.15426853418788022</v>
      </c>
      <c r="BR61" s="446">
        <f t="shared" si="147"/>
        <v>0.16831562868846772</v>
      </c>
      <c r="BS61" s="446">
        <f>BT36</f>
        <v>0.20812818300255476</v>
      </c>
      <c r="BT61" s="446">
        <f>BU36</f>
        <v>0.23842291546629357</v>
      </c>
      <c r="BU61" s="446">
        <f>BV36</f>
        <v>0.21821726585042511</v>
      </c>
      <c r="BV61" s="446">
        <f>BW36</f>
        <v>0.2199408697202454</v>
      </c>
      <c r="BW61" s="446">
        <f>BY36</f>
        <v>0.18664220491849193</v>
      </c>
      <c r="BX61" s="446">
        <f>BZ36</f>
        <v>0.16827511033125964</v>
      </c>
      <c r="BY61" s="446">
        <f>CA36</f>
        <v>0.19007502624638306</v>
      </c>
      <c r="BZ61" s="446">
        <f>CB36</f>
        <v>0.20051636159925956</v>
      </c>
      <c r="CA61" s="446">
        <f>CD36</f>
        <v>0.19989142108555313</v>
      </c>
      <c r="CB61" s="446">
        <f>CE36</f>
        <v>0.20040506559559423</v>
      </c>
      <c r="CC61" s="446">
        <f>CF36</f>
        <v>0.19308890610207419</v>
      </c>
      <c r="CD61" s="446">
        <f>CG36</f>
        <v>0.20345310312645815</v>
      </c>
      <c r="CE61" s="446">
        <f>CI36</f>
        <v>0.19853837982452682</v>
      </c>
      <c r="CF61" s="446">
        <f>CJ36</f>
        <v>0.18968720379146919</v>
      </c>
      <c r="CG61" s="446">
        <f>CK36</f>
        <v>0.21992786293958511</v>
      </c>
      <c r="CH61" s="446">
        <f>CL36</f>
        <v>0.18894246168889195</v>
      </c>
      <c r="CI61" s="446">
        <f>CN36</f>
        <v>0.25258303037266217</v>
      </c>
      <c r="CJ61" s="446">
        <f>CO36</f>
        <v>0.26673943527312138</v>
      </c>
      <c r="CK61" s="446">
        <f>CP36</f>
        <v>0.19623771158252645</v>
      </c>
    </row>
    <row r="62" spans="2:96" ht="13.15">
      <c r="BE62" s="446"/>
      <c r="BF62" s="446"/>
      <c r="BG62" s="446"/>
      <c r="BH62" s="446"/>
      <c r="BI62" s="1" t="s">
        <v>426</v>
      </c>
      <c r="BJ62" s="446">
        <f t="shared" ref="BJ62" si="149">BJ40</f>
        <v>7.4343140816079512E-2</v>
      </c>
      <c r="BK62" s="446">
        <f t="shared" ref="BK62:BR62" si="150">BK40</f>
        <v>7.1263035921205198E-2</v>
      </c>
      <c r="BL62" s="446">
        <f t="shared" si="150"/>
        <v>7.6799999999999979E-2</v>
      </c>
      <c r="BM62" s="446">
        <f t="shared" si="150"/>
        <v>7.8337874659400564E-2</v>
      </c>
      <c r="BN62" s="446">
        <f t="shared" ref="BN62:BQ62" si="151">BN40</f>
        <v>7.5217000029030201E-2</v>
      </c>
      <c r="BO62" s="446">
        <f t="shared" si="151"/>
        <v>9.7261354671475342E-2</v>
      </c>
      <c r="BP62" s="446">
        <f t="shared" si="151"/>
        <v>2.1633315305580325E-4</v>
      </c>
      <c r="BQ62" s="446">
        <f t="shared" si="151"/>
        <v>4.2878369772872071E-2</v>
      </c>
      <c r="BR62" s="446">
        <f t="shared" si="150"/>
        <v>5.4432512107812192E-2</v>
      </c>
      <c r="BS62" s="446">
        <f>BT40</f>
        <v>4.1906327033689461E-2</v>
      </c>
      <c r="BT62" s="446">
        <f>BU40</f>
        <v>0.12263436790310367</v>
      </c>
      <c r="BU62" s="446">
        <f>BV40</f>
        <v>0.10502747811927549</v>
      </c>
      <c r="BV62" s="446">
        <f>BW40</f>
        <v>0.12740888666999495</v>
      </c>
      <c r="BW62" s="446">
        <f>BY40</f>
        <v>0.11356466876971605</v>
      </c>
      <c r="BX62" s="446">
        <f>BZ40</f>
        <v>0.1220498988536749</v>
      </c>
      <c r="BY62" s="446">
        <f>CA40</f>
        <v>9.6150303923374425E-2</v>
      </c>
      <c r="BZ62" s="446">
        <f>CB40</f>
        <v>6.7044548755646138E-2</v>
      </c>
      <c r="CA62" s="446">
        <f>CD40</f>
        <v>9.5077903682719622E-2</v>
      </c>
      <c r="CB62" s="446">
        <f>CE40</f>
        <v>9.1088598901098994E-2</v>
      </c>
      <c r="CC62" s="446">
        <f>CF40</f>
        <v>0.10048731305662906</v>
      </c>
      <c r="CD62" s="446">
        <f>CG40</f>
        <v>0.12267596281540505</v>
      </c>
      <c r="CE62" s="446">
        <f>CI40</f>
        <v>0.13290218270008092</v>
      </c>
      <c r="CF62" s="446">
        <f>CJ40</f>
        <v>6.3026201904162305E-2</v>
      </c>
      <c r="CG62" s="446">
        <f>CK40</f>
        <v>5.6497175141242861E-2</v>
      </c>
      <c r="CH62" s="446">
        <f>CL40</f>
        <v>6.128936862339196E-2</v>
      </c>
      <c r="CI62" s="446">
        <f>CN40</f>
        <v>-2.2263450834879461E-2</v>
      </c>
      <c r="CJ62" s="446">
        <f>CO40</f>
        <v>3.2124352331606154E-2</v>
      </c>
      <c r="CK62" s="446">
        <f>CP40</f>
        <v>2.1968492556727837E-2</v>
      </c>
    </row>
    <row r="63" spans="2:96" ht="13.15">
      <c r="BE63" s="446"/>
      <c r="BF63" s="446"/>
      <c r="BG63" s="446"/>
      <c r="BH63" s="446"/>
      <c r="BI63" s="1" t="s">
        <v>482</v>
      </c>
      <c r="BJ63" s="446">
        <f t="shared" ref="BJ63:BR63" si="152">BJ48</f>
        <v>0.14374772147283998</v>
      </c>
      <c r="BK63" s="446">
        <f t="shared" si="152"/>
        <v>0.14045720361509839</v>
      </c>
      <c r="BL63" s="446">
        <f t="shared" si="152"/>
        <v>0.13269899733988133</v>
      </c>
      <c r="BM63" s="446">
        <f t="shared" si="152"/>
        <v>0.12776679841897232</v>
      </c>
      <c r="BN63" s="446">
        <f t="shared" si="152"/>
        <v>0.13592653931863308</v>
      </c>
      <c r="BO63" s="446">
        <f t="shared" si="152"/>
        <v>0.11621457941542079</v>
      </c>
      <c r="BP63" s="446">
        <f t="shared" si="152"/>
        <v>0.10654795201690592</v>
      </c>
      <c r="BQ63" s="446">
        <f t="shared" si="152"/>
        <v>0.13186101827597629</v>
      </c>
      <c r="BR63" s="446">
        <f t="shared" si="152"/>
        <v>0.14752183182920064</v>
      </c>
      <c r="BS63" s="446">
        <f>BT48</f>
        <v>0.18222964676318565</v>
      </c>
      <c r="BT63" s="446">
        <f>BU48</f>
        <v>0.22084450872733918</v>
      </c>
      <c r="BU63" s="446">
        <f>BV48</f>
        <v>0.20235419299062318</v>
      </c>
      <c r="BV63" s="446">
        <f>BW48</f>
        <v>0.20725375413591252</v>
      </c>
      <c r="BW63" s="446">
        <f>BY48</f>
        <v>0.1783311795751259</v>
      </c>
      <c r="BX63" s="446">
        <f>BZ48</f>
        <v>0.16359558316080047</v>
      </c>
      <c r="BY63" s="446">
        <f>CA48</f>
        <v>0.17869666699852882</v>
      </c>
      <c r="BZ63" s="446">
        <f>CB48</f>
        <v>0.1992073029325574</v>
      </c>
      <c r="CA63" s="446">
        <f>CD48</f>
        <v>0.2022610103826088</v>
      </c>
      <c r="CB63" s="446">
        <f>CE48</f>
        <v>0.20125935371627968</v>
      </c>
      <c r="CC63" s="446">
        <f>CF48</f>
        <v>0.19537694856081012</v>
      </c>
      <c r="CD63" s="446">
        <f>CG48</f>
        <v>0.19385745930171239</v>
      </c>
      <c r="CE63" s="446">
        <f>CI48</f>
        <v>0.19081678758066856</v>
      </c>
      <c r="CF63" s="446">
        <f>CJ48</f>
        <v>0.18480452260066005</v>
      </c>
      <c r="CG63" s="446">
        <f>CK48</f>
        <v>0.21264652079358726</v>
      </c>
      <c r="CH63" s="446">
        <f>CL48</f>
        <v>0.1925370716694399</v>
      </c>
      <c r="CI63" s="446">
        <f>CN48</f>
        <v>0.23370607943644228</v>
      </c>
      <c r="CJ63" s="446">
        <f>CO48</f>
        <v>0.24405998013626795</v>
      </c>
      <c r="CK63" s="446">
        <f>CP48</f>
        <v>0.17827083441238933</v>
      </c>
    </row>
    <row r="64" spans="2:96" ht="13.15">
      <c r="BE64" s="446"/>
      <c r="BF64" s="446"/>
      <c r="BG64" s="446"/>
      <c r="BH64" s="446"/>
      <c r="BI64" s="1" t="s">
        <v>370</v>
      </c>
      <c r="BJ64" s="446">
        <f>BJ44</f>
        <v>0.15440582053354901</v>
      </c>
      <c r="BK64" s="446">
        <f>BK44</f>
        <v>7.3484848484848486E-2</v>
      </c>
      <c r="BL64" s="446">
        <f>BL44</f>
        <v>3.2577903682719622E-2</v>
      </c>
      <c r="BM64" s="446">
        <f>BM44</f>
        <v>-5.97938144329897E-2</v>
      </c>
      <c r="BN64" s="446">
        <f t="shared" ref="BN64:BQ64" si="153">BN44</f>
        <v>4.5538348082595936E-2</v>
      </c>
      <c r="BO64" s="446">
        <f t="shared" si="153"/>
        <v>-0.16036414565826329</v>
      </c>
      <c r="BP64" s="446">
        <f t="shared" si="153"/>
        <v>-0.13832039520112915</v>
      </c>
      <c r="BQ64" s="446">
        <f t="shared" si="153"/>
        <v>-0.14677640603566533</v>
      </c>
      <c r="BR64" s="446">
        <f>BR44</f>
        <v>-8.1871345029239762E-2</v>
      </c>
      <c r="BS64" s="446">
        <f>BT44</f>
        <v>4.5037531276063358E-2</v>
      </c>
      <c r="BT64" s="446">
        <f>BU44</f>
        <v>9.0090090090090058E-2</v>
      </c>
      <c r="BU64" s="446">
        <f>BV44</f>
        <v>0.15353697749196149</v>
      </c>
      <c r="BV64" s="446">
        <f>BW44</f>
        <v>0.16401273885350309</v>
      </c>
      <c r="BW64" s="446">
        <f>BY44</f>
        <v>0.22905027932960897</v>
      </c>
      <c r="BX64" s="446">
        <f>BZ44</f>
        <v>0.22314049586776852</v>
      </c>
      <c r="BY64" s="446">
        <f>CA44</f>
        <v>0.18397212543553998</v>
      </c>
      <c r="BZ64" s="446">
        <f>CB44</f>
        <v>1.1463748290013678</v>
      </c>
      <c r="CA64" s="446">
        <f>CD44</f>
        <v>1.1188311688311687</v>
      </c>
      <c r="CB64" s="446">
        <f>CE44</f>
        <v>1.0356265356265357</v>
      </c>
      <c r="CC64" s="446">
        <f>CF44</f>
        <v>0.98528546203649214</v>
      </c>
      <c r="CD64" s="446">
        <f>CG44</f>
        <v>0.16571064372211608</v>
      </c>
      <c r="CE64" s="446">
        <f>CI44</f>
        <v>0.16978240882623363</v>
      </c>
      <c r="CF64" s="446">
        <f>CJ44</f>
        <v>0.49637899818949904</v>
      </c>
      <c r="CG64" s="446">
        <f>CK44</f>
        <v>0.57960272754224729</v>
      </c>
      <c r="CH64" s="446">
        <f>CL44</f>
        <v>0.79442318206670315</v>
      </c>
      <c r="CI64" s="446">
        <f>CN44</f>
        <v>0.57086717317264868</v>
      </c>
      <c r="CJ64" s="446">
        <f>CO44</f>
        <v>0.24742891712038717</v>
      </c>
      <c r="CK64" s="446">
        <f>CP44</f>
        <v>0.12800300300300305</v>
      </c>
    </row>
    <row r="65" spans="2:84" hidden="1" outlineLevel="1"/>
    <row r="66" spans="2:84" hidden="1" outlineLevel="1"/>
    <row r="67" spans="2:84" hidden="1" outlineLevel="1"/>
    <row r="68" spans="2:84" ht="13.5" hidden="1" outlineLevel="1" thickBot="1">
      <c r="B68" s="31" t="s">
        <v>190</v>
      </c>
      <c r="C68" s="170"/>
      <c r="D68" s="170"/>
      <c r="E68" s="170"/>
      <c r="Z68" s="31">
        <v>2011</v>
      </c>
      <c r="AA68" s="3" t="s">
        <v>183</v>
      </c>
      <c r="AB68" s="3" t="s">
        <v>186</v>
      </c>
      <c r="AC68" s="3" t="s">
        <v>187</v>
      </c>
      <c r="AD68" s="3" t="s">
        <v>188</v>
      </c>
      <c r="AE68" s="31">
        <v>2012</v>
      </c>
      <c r="AF68" s="3" t="s">
        <v>184</v>
      </c>
      <c r="AG68" s="3" t="s">
        <v>185</v>
      </c>
      <c r="AH68" s="3" t="s">
        <v>158</v>
      </c>
      <c r="AI68" s="177" t="s">
        <v>159</v>
      </c>
      <c r="AJ68" s="126">
        <v>2013</v>
      </c>
      <c r="AK68" s="176" t="s">
        <v>160</v>
      </c>
      <c r="AL68" s="3" t="s">
        <v>161</v>
      </c>
      <c r="AM68" s="3" t="s">
        <v>162</v>
      </c>
      <c r="AN68" s="177" t="s">
        <v>164</v>
      </c>
      <c r="AO68" s="126">
        <v>2014</v>
      </c>
      <c r="AP68" s="125" t="s">
        <v>177</v>
      </c>
      <c r="AQ68" s="125" t="s">
        <v>167</v>
      </c>
      <c r="AR68" s="125" t="s">
        <v>171</v>
      </c>
      <c r="AS68" s="125" t="s">
        <v>174</v>
      </c>
      <c r="AT68" s="126">
        <v>2015</v>
      </c>
      <c r="AU68" s="125" t="s">
        <v>178</v>
      </c>
      <c r="AV68" s="125" t="s">
        <v>179</v>
      </c>
      <c r="AW68" s="125" t="s">
        <v>180</v>
      </c>
      <c r="AX68" s="125" t="s">
        <v>181</v>
      </c>
      <c r="AY68" s="126">
        <v>2016</v>
      </c>
      <c r="AZ68" s="125" t="s">
        <v>324</v>
      </c>
      <c r="BA68" s="125" t="s">
        <v>325</v>
      </c>
      <c r="BB68" s="125" t="s">
        <v>326</v>
      </c>
      <c r="BC68" s="125" t="s">
        <v>327</v>
      </c>
      <c r="BD68" s="126">
        <v>2017</v>
      </c>
      <c r="BE68" s="125" t="s">
        <v>329</v>
      </c>
      <c r="BF68" s="125" t="s">
        <v>330</v>
      </c>
      <c r="BG68" s="125" t="s">
        <v>331</v>
      </c>
      <c r="BH68" s="125" t="s">
        <v>332</v>
      </c>
      <c r="BI68" s="126">
        <v>2018</v>
      </c>
    </row>
    <row r="69" spans="2:84" ht="13.15" hidden="1" outlineLevel="1" thickBot="1">
      <c r="B69" s="169" t="s">
        <v>175</v>
      </c>
      <c r="C69" s="712"/>
      <c r="D69" s="712"/>
      <c r="E69" s="712"/>
      <c r="F69" s="139"/>
      <c r="G69" s="139"/>
      <c r="H69" s="139"/>
      <c r="I69" s="139"/>
      <c r="J69" s="139"/>
      <c r="K69" s="139"/>
      <c r="L69" s="139">
        <f>IS!L25/Metrics!L7</f>
        <v>13.660714285714286</v>
      </c>
      <c r="M69" s="139">
        <f>IS!M25/Metrics!M7</f>
        <v>7.8438818565400998</v>
      </c>
      <c r="N69" s="139">
        <f>IS!N25/Metrics!N7</f>
        <v>16.776321537789361</v>
      </c>
      <c r="O69" s="139">
        <f>IS!O25/Metrics!O7</f>
        <v>54.4375</v>
      </c>
      <c r="P69" s="139"/>
      <c r="Q69" s="139"/>
      <c r="R69" s="139"/>
      <c r="S69" s="139"/>
      <c r="T69" s="139"/>
      <c r="U69" s="139"/>
      <c r="V69" s="139"/>
      <c r="W69" s="139"/>
      <c r="X69" s="139"/>
      <c r="Y69" s="139"/>
      <c r="Z69" s="140"/>
      <c r="AA69" s="139"/>
      <c r="AB69" s="139"/>
      <c r="AC69" s="139"/>
      <c r="AD69" s="139"/>
      <c r="AE69" s="140"/>
      <c r="AF69" s="139"/>
      <c r="AG69" s="139"/>
      <c r="AH69" s="139"/>
      <c r="AI69" s="139"/>
      <c r="AJ69" s="140"/>
      <c r="AK69" s="139"/>
      <c r="AL69" s="139"/>
      <c r="AM69" s="139"/>
      <c r="AN69" s="139"/>
      <c r="AO69" s="140"/>
      <c r="AP69" s="173"/>
      <c r="AQ69" s="171"/>
      <c r="AR69" s="171">
        <v>60000</v>
      </c>
      <c r="AS69" s="171">
        <v>65000</v>
      </c>
      <c r="AT69" s="172"/>
      <c r="AU69" s="171"/>
      <c r="AV69" s="171"/>
      <c r="AW69" s="171"/>
      <c r="AX69" s="171"/>
      <c r="AY69" s="172"/>
      <c r="AZ69" s="171"/>
      <c r="BA69" s="171"/>
      <c r="BB69" s="171"/>
      <c r="BC69" s="171"/>
      <c r="BD69" s="172"/>
      <c r="BE69" s="171"/>
      <c r="BF69" s="171"/>
      <c r="BG69" s="171"/>
      <c r="BH69" s="171"/>
      <c r="BI69" s="172"/>
    </row>
    <row r="70" spans="2:84" ht="13.15" hidden="1" outlineLevel="1" thickBot="1">
      <c r="B70" s="169" t="s">
        <v>176</v>
      </c>
      <c r="C70" s="712"/>
      <c r="D70" s="712"/>
      <c r="E70" s="712"/>
      <c r="F70" s="139"/>
      <c r="G70" s="139"/>
      <c r="H70" s="139"/>
      <c r="I70" s="139"/>
      <c r="J70" s="139"/>
      <c r="K70" s="139"/>
      <c r="L70" s="139"/>
      <c r="M70" s="139"/>
      <c r="N70" s="139"/>
      <c r="O70" s="139"/>
      <c r="P70" s="139"/>
      <c r="Q70" s="139"/>
      <c r="R70" s="139"/>
      <c r="S70" s="139"/>
      <c r="T70" s="139"/>
      <c r="U70" s="139"/>
      <c r="V70" s="139"/>
      <c r="W70" s="139"/>
      <c r="X70" s="139"/>
      <c r="Y70" s="139"/>
      <c r="Z70" s="140"/>
      <c r="AA70" s="139"/>
      <c r="AB70" s="139"/>
      <c r="AC70" s="139"/>
      <c r="AD70" s="139"/>
      <c r="AE70" s="140"/>
      <c r="AF70" s="139"/>
      <c r="AG70" s="139"/>
      <c r="AH70" s="139"/>
      <c r="AI70" s="139"/>
      <c r="AJ70" s="140"/>
      <c r="AK70" s="139"/>
      <c r="AL70" s="139"/>
      <c r="AM70" s="139"/>
      <c r="AN70" s="139"/>
      <c r="AO70" s="140"/>
      <c r="AP70" s="171"/>
      <c r="AQ70" s="171"/>
      <c r="AR70" s="171">
        <v>2000</v>
      </c>
      <c r="AS70" s="171"/>
      <c r="AT70" s="172"/>
      <c r="AU70" s="171"/>
      <c r="AV70" s="171"/>
      <c r="AW70" s="171"/>
      <c r="AX70" s="171"/>
      <c r="AY70" s="172"/>
      <c r="AZ70" s="171"/>
      <c r="BA70" s="171"/>
      <c r="BB70" s="171"/>
      <c r="BC70" s="171"/>
      <c r="BD70" s="172"/>
      <c r="BE70" s="171"/>
      <c r="BF70" s="171"/>
      <c r="BG70" s="171"/>
      <c r="BH70" s="171"/>
      <c r="BI70" s="172"/>
    </row>
    <row r="71" spans="2:84" hidden="1" outlineLevel="1">
      <c r="B71" s="4"/>
      <c r="C71" s="4"/>
      <c r="D71" s="4"/>
      <c r="E71" s="4"/>
      <c r="AP71" s="45"/>
      <c r="AQ71" s="45"/>
      <c r="AR71" s="45"/>
      <c r="AS71" s="45"/>
      <c r="AT71" s="45"/>
      <c r="AU71" s="45"/>
      <c r="AV71" s="45"/>
      <c r="AW71" s="45"/>
      <c r="AX71" s="45"/>
      <c r="AY71" s="45"/>
      <c r="AZ71" s="45"/>
      <c r="BA71" s="45"/>
      <c r="BB71" s="45"/>
      <c r="BC71" s="45"/>
      <c r="BD71" s="45"/>
      <c r="BE71" s="45"/>
      <c r="BF71" s="45"/>
      <c r="BG71" s="45"/>
      <c r="BH71" s="45"/>
      <c r="BI71" s="45"/>
    </row>
    <row r="72" spans="2:84" ht="13.15" hidden="1" outlineLevel="1">
      <c r="Q72" s="170"/>
      <c r="R72" s="170"/>
      <c r="S72" s="170"/>
      <c r="T72" s="170"/>
      <c r="U72" s="170"/>
      <c r="V72" s="170"/>
      <c r="W72" s="170"/>
      <c r="X72" s="170"/>
      <c r="Y72" s="170"/>
      <c r="Z72" s="170"/>
      <c r="AA72" s="170"/>
      <c r="AB72" s="170"/>
      <c r="AC72" s="170"/>
      <c r="AD72" s="170"/>
      <c r="AE72" s="170"/>
      <c r="AV72" s="4" t="s">
        <v>239</v>
      </c>
      <c r="BA72" s="4"/>
      <c r="BF72" s="4"/>
    </row>
    <row r="73" spans="2:84" ht="13.15" hidden="1" outlineLevel="1">
      <c r="Q73" s="170"/>
      <c r="R73" s="170"/>
      <c r="S73" s="170"/>
      <c r="T73" s="170"/>
      <c r="U73" s="170"/>
      <c r="V73" s="170"/>
      <c r="W73" s="170"/>
      <c r="X73" s="170"/>
      <c r="Y73" s="170"/>
      <c r="Z73" s="170"/>
      <c r="AA73" s="170"/>
      <c r="AB73" s="170"/>
      <c r="AC73" s="170"/>
      <c r="AD73" s="170"/>
      <c r="AE73" s="170"/>
      <c r="AV73" s="4"/>
      <c r="BA73" s="4"/>
      <c r="BF73" s="4"/>
      <c r="CE73" s="72"/>
      <c r="CF73" s="72"/>
    </row>
    <row r="74" spans="2:84" ht="13.5" hidden="1" outlineLevel="1" thickBot="1">
      <c r="B74" s="31" t="s">
        <v>191</v>
      </c>
      <c r="C74" s="170"/>
      <c r="D74" s="170"/>
      <c r="E74" s="170"/>
      <c r="Q74" s="170"/>
      <c r="R74" s="170"/>
      <c r="S74" s="170"/>
      <c r="T74" s="170"/>
      <c r="U74" s="170"/>
      <c r="V74" s="170"/>
      <c r="W74" s="170"/>
      <c r="X74" s="170"/>
      <c r="Y74" s="170"/>
      <c r="Z74" s="31">
        <v>2011</v>
      </c>
      <c r="AA74" s="3" t="s">
        <v>183</v>
      </c>
      <c r="AB74" s="3" t="s">
        <v>186</v>
      </c>
      <c r="AC74" s="3" t="s">
        <v>187</v>
      </c>
      <c r="AD74" s="3" t="s">
        <v>188</v>
      </c>
      <c r="AE74" s="31">
        <v>2012</v>
      </c>
      <c r="AF74" s="3" t="s">
        <v>184</v>
      </c>
      <c r="AG74" s="3" t="s">
        <v>185</v>
      </c>
      <c r="AH74" s="3" t="s">
        <v>158</v>
      </c>
      <c r="AI74" s="177" t="s">
        <v>159</v>
      </c>
      <c r="AJ74" s="126">
        <v>2013</v>
      </c>
      <c r="AK74" s="176" t="s">
        <v>160</v>
      </c>
      <c r="AL74" s="3" t="s">
        <v>161</v>
      </c>
      <c r="AM74" s="3" t="s">
        <v>162</v>
      </c>
      <c r="AN74" s="177" t="s">
        <v>164</v>
      </c>
      <c r="AO74" s="126">
        <v>2014</v>
      </c>
      <c r="AP74" s="125" t="s">
        <v>177</v>
      </c>
      <c r="AQ74" s="125" t="s">
        <v>167</v>
      </c>
      <c r="AR74" s="125" t="s">
        <v>171</v>
      </c>
      <c r="AS74" s="125" t="s">
        <v>174</v>
      </c>
      <c r="AT74" s="126">
        <v>2015</v>
      </c>
      <c r="AU74" s="125" t="s">
        <v>178</v>
      </c>
      <c r="AV74" s="125" t="s">
        <v>179</v>
      </c>
      <c r="AW74" s="125" t="s">
        <v>180</v>
      </c>
      <c r="AX74" s="125" t="s">
        <v>181</v>
      </c>
      <c r="AY74" s="126" t="s">
        <v>166</v>
      </c>
      <c r="AZ74" s="125" t="s">
        <v>324</v>
      </c>
      <c r="BA74" s="125" t="s">
        <v>325</v>
      </c>
      <c r="BB74" s="125" t="s">
        <v>326</v>
      </c>
      <c r="BC74" s="125" t="s">
        <v>327</v>
      </c>
      <c r="BD74" s="126">
        <v>2017</v>
      </c>
      <c r="BE74" s="125" t="s">
        <v>329</v>
      </c>
      <c r="BF74" s="125" t="s">
        <v>330</v>
      </c>
      <c r="BG74" s="125" t="s">
        <v>331</v>
      </c>
      <c r="BH74" s="125" t="s">
        <v>332</v>
      </c>
      <c r="BI74" s="126">
        <v>2018</v>
      </c>
    </row>
    <row r="75" spans="2:84" hidden="1" outlineLevel="1">
      <c r="B75" s="43" t="s">
        <v>149</v>
      </c>
      <c r="C75" s="363"/>
      <c r="D75" s="363"/>
      <c r="E75" s="363"/>
      <c r="F75" s="30"/>
      <c r="G75" s="30"/>
      <c r="H75" s="30"/>
      <c r="I75" s="30"/>
      <c r="J75" s="30"/>
      <c r="K75" s="30"/>
      <c r="L75" s="30"/>
      <c r="M75" s="30"/>
      <c r="N75" s="30"/>
      <c r="O75" s="30"/>
      <c r="P75" s="30"/>
      <c r="Q75" s="30"/>
      <c r="R75" s="30"/>
      <c r="S75" s="30"/>
      <c r="T75" s="30">
        <v>84</v>
      </c>
      <c r="U75" s="38"/>
      <c r="V75" s="30">
        <v>93</v>
      </c>
      <c r="W75" s="30">
        <v>115</v>
      </c>
      <c r="X75" s="30"/>
      <c r="Y75" s="30">
        <v>117</v>
      </c>
      <c r="Z75" s="38">
        <v>117</v>
      </c>
      <c r="AA75" s="30">
        <v>123</v>
      </c>
      <c r="AB75" s="30">
        <v>133</v>
      </c>
      <c r="AC75" s="30">
        <v>150</v>
      </c>
      <c r="AD75" s="30">
        <v>155</v>
      </c>
      <c r="AE75" s="38">
        <v>155</v>
      </c>
      <c r="AF75" s="30"/>
      <c r="AG75" s="30"/>
      <c r="AH75" s="30"/>
      <c r="AI75" s="30">
        <v>190</v>
      </c>
      <c r="AJ75" s="182">
        <f>AI75</f>
        <v>190</v>
      </c>
      <c r="AK75" s="183">
        <v>197</v>
      </c>
      <c r="AL75" s="183">
        <v>210</v>
      </c>
      <c r="AM75" s="183">
        <v>219</v>
      </c>
      <c r="AN75" s="183">
        <v>232</v>
      </c>
      <c r="AO75" s="182">
        <f>AN75</f>
        <v>232</v>
      </c>
      <c r="AP75" s="183">
        <v>240</v>
      </c>
      <c r="AQ75" s="183">
        <v>260</v>
      </c>
      <c r="AR75" s="183">
        <v>257</v>
      </c>
      <c r="AS75" s="183">
        <v>238</v>
      </c>
      <c r="AT75" s="182">
        <f>AS75</f>
        <v>238</v>
      </c>
      <c r="AU75" s="183">
        <v>248</v>
      </c>
      <c r="AV75" s="183">
        <v>270</v>
      </c>
      <c r="AW75" s="183">
        <v>280</v>
      </c>
      <c r="AX75" s="183">
        <v>275</v>
      </c>
      <c r="AY75" s="182">
        <f>AT75*(1+AY76)</f>
        <v>273.7</v>
      </c>
      <c r="AZ75" s="183">
        <v>275</v>
      </c>
      <c r="BA75" s="183">
        <v>283</v>
      </c>
      <c r="BB75" s="183">
        <v>290</v>
      </c>
      <c r="BC75" s="183">
        <v>295</v>
      </c>
      <c r="BD75" s="182">
        <f>BC75</f>
        <v>295</v>
      </c>
      <c r="BE75" s="183"/>
      <c r="BF75" s="183"/>
      <c r="BG75" s="183"/>
      <c r="BH75" s="183"/>
      <c r="BI75" s="182"/>
      <c r="CE75" s="72"/>
      <c r="CF75" s="72"/>
    </row>
    <row r="76" spans="2:84" s="124" customFormat="1" hidden="1" outlineLevel="1">
      <c r="B76" s="124" t="s">
        <v>124</v>
      </c>
      <c r="O76" s="124">
        <v>60</v>
      </c>
      <c r="W76" s="124" t="s">
        <v>151</v>
      </c>
      <c r="Z76" s="133"/>
      <c r="AC76" s="179" t="s">
        <v>150</v>
      </c>
      <c r="AE76" s="180">
        <f>AE75/Z75-1</f>
        <v>0.32478632478632474</v>
      </c>
      <c r="AJ76" s="180">
        <f>AJ75/AE75-1</f>
        <v>0.22580645161290325</v>
      </c>
      <c r="AK76" s="237"/>
      <c r="AL76" s="237"/>
      <c r="AM76" s="237"/>
      <c r="AN76" s="238">
        <f t="shared" ref="AN76:AS76" si="154">AN75/AI75-1</f>
        <v>0.22105263157894739</v>
      </c>
      <c r="AO76" s="239">
        <f t="shared" si="154"/>
        <v>0.22105263157894739</v>
      </c>
      <c r="AP76" s="238">
        <f t="shared" si="154"/>
        <v>0.218274111675127</v>
      </c>
      <c r="AQ76" s="238">
        <f t="shared" si="154"/>
        <v>0.23809523809523814</v>
      </c>
      <c r="AR76" s="238">
        <f t="shared" si="154"/>
        <v>0.17351598173515992</v>
      </c>
      <c r="AS76" s="238">
        <f t="shared" si="154"/>
        <v>2.5862068965517349E-2</v>
      </c>
      <c r="AT76" s="239">
        <f>AT75/AO75-1</f>
        <v>2.5862068965517349E-2</v>
      </c>
      <c r="AU76" s="243">
        <f>AU75/AP75-1</f>
        <v>3.3333333333333437E-2</v>
      </c>
      <c r="AV76" s="243">
        <f>AV75/AQ75-1</f>
        <v>3.8461538461538547E-2</v>
      </c>
      <c r="AW76" s="243">
        <f>AW75/AR75-1</f>
        <v>8.9494163424124418E-2</v>
      </c>
      <c r="AX76" s="243">
        <f>AX75/AS75-1</f>
        <v>0.15546218487394947</v>
      </c>
      <c r="AY76" s="241">
        <v>0.15</v>
      </c>
      <c r="AZ76" s="243">
        <f t="shared" ref="AZ76:BE76" si="155">AZ75/AU75-1</f>
        <v>0.1088709677419355</v>
      </c>
      <c r="BA76" s="243">
        <f t="shared" si="155"/>
        <v>4.8148148148148051E-2</v>
      </c>
      <c r="BB76" s="243">
        <f t="shared" si="155"/>
        <v>3.5714285714285809E-2</v>
      </c>
      <c r="BC76" s="243">
        <f t="shared" si="155"/>
        <v>7.2727272727272751E-2</v>
      </c>
      <c r="BD76" s="241">
        <f t="shared" si="155"/>
        <v>7.7822433321154572E-2</v>
      </c>
      <c r="BE76" s="243">
        <f t="shared" si="155"/>
        <v>-1</v>
      </c>
      <c r="BF76" s="243"/>
      <c r="BG76" s="243"/>
      <c r="BH76" s="243"/>
      <c r="BI76" s="241"/>
      <c r="CE76"/>
      <c r="CF76"/>
    </row>
    <row r="77" spans="2:84" s="124" customFormat="1" hidden="1" outlineLevel="1">
      <c r="B77" s="124" t="s">
        <v>221</v>
      </c>
      <c r="Z77" s="133"/>
      <c r="AC77" s="179"/>
      <c r="AE77" s="133"/>
      <c r="AJ77" s="133"/>
      <c r="AK77" s="238">
        <f>AK75/AJ75-1</f>
        <v>3.6842105263157787E-2</v>
      </c>
      <c r="AL77" s="238">
        <f>AL75/AK75-1</f>
        <v>6.5989847715736127E-2</v>
      </c>
      <c r="AM77" s="238">
        <f>AM75/AL75-1</f>
        <v>4.2857142857142927E-2</v>
      </c>
      <c r="AN77" s="238">
        <f>AN75/AM75-1</f>
        <v>5.9360730593607247E-2</v>
      </c>
      <c r="AO77" s="239"/>
      <c r="AP77" s="238">
        <f>AP75/AO75-1</f>
        <v>3.4482758620689724E-2</v>
      </c>
      <c r="AQ77" s="238">
        <f>AQ75/AP75-1</f>
        <v>8.3333333333333259E-2</v>
      </c>
      <c r="AR77" s="238">
        <f>AR75/AQ75-1</f>
        <v>-1.1538461538461497E-2</v>
      </c>
      <c r="AS77" s="238">
        <f>AS75/AR75-1</f>
        <v>-7.3929961089494123E-2</v>
      </c>
      <c r="AT77" s="239"/>
      <c r="AU77" s="238">
        <f>AU75/AS75-1</f>
        <v>4.2016806722689148E-2</v>
      </c>
      <c r="AV77" s="238">
        <f>AV75/AU75-1</f>
        <v>8.870967741935476E-2</v>
      </c>
      <c r="AW77" s="238">
        <f>AW75/AV75-1</f>
        <v>3.7037037037036979E-2</v>
      </c>
      <c r="AX77" s="238">
        <f>AX75/AW75-1</f>
        <v>-1.7857142857142905E-2</v>
      </c>
      <c r="AY77" s="240"/>
      <c r="AZ77" s="238">
        <f>AZ75/AX75-1</f>
        <v>0</v>
      </c>
      <c r="BA77" s="238">
        <f>BA75/AZ75-1</f>
        <v>2.9090909090909056E-2</v>
      </c>
      <c r="BB77" s="238">
        <f>BB75/BA75-1</f>
        <v>2.4734982332155431E-2</v>
      </c>
      <c r="BC77" s="238">
        <f>BC75/BB75-1</f>
        <v>1.7241379310344751E-2</v>
      </c>
      <c r="BD77" s="240"/>
      <c r="BE77" s="238">
        <f>BE75/BC75-1</f>
        <v>-1</v>
      </c>
      <c r="BF77" s="238"/>
      <c r="BG77" s="238"/>
      <c r="BH77" s="238"/>
      <c r="BI77" s="240"/>
      <c r="CE77" s="72"/>
      <c r="CF77" s="72"/>
    </row>
    <row r="78" spans="2:84" s="124" customFormat="1" ht="11.65" hidden="1" outlineLevel="1">
      <c r="B78" s="124" t="s">
        <v>222</v>
      </c>
      <c r="Z78" s="133"/>
      <c r="AC78" s="179"/>
      <c r="AE78" s="133">
        <f>AE75-Z75</f>
        <v>38</v>
      </c>
      <c r="AJ78" s="133">
        <f>AJ75-AE75</f>
        <v>35</v>
      </c>
      <c r="AK78" s="237">
        <f>AK75-AJ75</f>
        <v>7</v>
      </c>
      <c r="AL78" s="237">
        <f>AL75-AK75</f>
        <v>13</v>
      </c>
      <c r="AM78" s="237">
        <f>AM75-AL75</f>
        <v>9</v>
      </c>
      <c r="AN78" s="237">
        <f>AN75-AM75</f>
        <v>13</v>
      </c>
      <c r="AO78" s="240">
        <f>AO75-AJ75</f>
        <v>42</v>
      </c>
      <c r="AP78" s="237">
        <f>AP75-AO75</f>
        <v>8</v>
      </c>
      <c r="AQ78" s="237">
        <f>AQ75-AP75</f>
        <v>20</v>
      </c>
      <c r="AR78" s="237">
        <f>AR75-AQ75</f>
        <v>-3</v>
      </c>
      <c r="AS78" s="237">
        <f>AS75-AR75</f>
        <v>-19</v>
      </c>
      <c r="AT78" s="240">
        <f>AT75-AO75</f>
        <v>6</v>
      </c>
      <c r="AU78" s="237">
        <f>AU75-AS75</f>
        <v>10</v>
      </c>
      <c r="AV78" s="237">
        <f>AV75-AU75</f>
        <v>22</v>
      </c>
      <c r="AW78" s="237">
        <f>AW75-AV75</f>
        <v>10</v>
      </c>
      <c r="AX78" s="237"/>
      <c r="AY78" s="240">
        <f>AY75-AT75</f>
        <v>35.699999999999989</v>
      </c>
      <c r="AZ78" s="237">
        <f>AZ75-AX75</f>
        <v>0</v>
      </c>
      <c r="BA78" s="237">
        <f>BA75-AZ75</f>
        <v>8</v>
      </c>
      <c r="BB78" s="237">
        <f>BB75-BA75</f>
        <v>7</v>
      </c>
      <c r="BC78" s="237">
        <f>BC75-BB75</f>
        <v>5</v>
      </c>
      <c r="BD78" s="240">
        <f>BD75-AY75</f>
        <v>21.300000000000011</v>
      </c>
      <c r="BE78" s="237">
        <f>BE75-BC75</f>
        <v>-295</v>
      </c>
      <c r="BF78" s="237"/>
      <c r="BG78" s="237"/>
      <c r="BH78" s="237"/>
      <c r="BI78" s="240"/>
    </row>
    <row r="79" spans="2:84" ht="13.15" hidden="1" outlineLevel="1" thickBot="1">
      <c r="B79" s="211" t="s">
        <v>182</v>
      </c>
      <c r="C79" s="713"/>
      <c r="D79" s="713"/>
      <c r="E79" s="713"/>
      <c r="F79" s="139"/>
      <c r="G79" s="139"/>
      <c r="H79" s="139"/>
      <c r="I79" s="139"/>
      <c r="J79" s="139"/>
      <c r="K79" s="139"/>
      <c r="L79" s="139"/>
      <c r="M79" s="139"/>
      <c r="N79" s="139"/>
      <c r="O79" s="139"/>
      <c r="P79" s="139"/>
      <c r="Q79" s="139"/>
      <c r="R79" s="139"/>
      <c r="S79" s="139"/>
      <c r="T79" s="139"/>
      <c r="U79" s="140"/>
      <c r="V79" s="139"/>
      <c r="W79" s="139"/>
      <c r="X79" s="139"/>
      <c r="Y79" s="139"/>
      <c r="Z79" s="140"/>
      <c r="AA79" s="139"/>
      <c r="AB79" s="139"/>
      <c r="AC79" s="139"/>
      <c r="AD79" s="139"/>
      <c r="AE79" s="140"/>
      <c r="AF79" s="139"/>
      <c r="AG79" s="139"/>
      <c r="AH79" s="139"/>
      <c r="AI79" s="139"/>
      <c r="AJ79" s="140"/>
      <c r="AK79" s="139"/>
      <c r="AL79" s="139"/>
      <c r="AM79" s="139"/>
      <c r="AN79" s="139"/>
      <c r="AO79" s="235">
        <v>943</v>
      </c>
      <c r="AP79" s="236"/>
      <c r="AQ79" s="236"/>
      <c r="AR79" s="236"/>
      <c r="AS79" s="236"/>
      <c r="AT79" s="235"/>
      <c r="AU79" s="236"/>
      <c r="AV79" s="236"/>
      <c r="AW79" s="236"/>
      <c r="AX79" s="236"/>
      <c r="AY79" s="235"/>
      <c r="AZ79" s="236"/>
      <c r="BA79" s="236"/>
      <c r="BB79" s="236"/>
      <c r="BC79" s="236"/>
      <c r="BD79" s="235"/>
      <c r="BE79" s="236"/>
      <c r="BF79" s="236"/>
      <c r="BG79" s="236"/>
      <c r="BH79" s="236"/>
      <c r="BI79" s="235"/>
    </row>
    <row r="80" spans="2:84" hidden="1" outlineLevel="1">
      <c r="AC80" s="141"/>
    </row>
    <row r="81" spans="2:73" hidden="1" outlineLevel="1"/>
    <row r="82" spans="2:73" ht="13.5" hidden="1" outlineLevel="1" thickBot="1">
      <c r="B82" s="31" t="s">
        <v>152</v>
      </c>
      <c r="C82" s="170"/>
      <c r="D82" s="170"/>
      <c r="E82" s="170"/>
      <c r="Q82" s="125" t="s">
        <v>2</v>
      </c>
      <c r="R82" s="125" t="s">
        <v>3</v>
      </c>
      <c r="S82" s="125" t="s">
        <v>4</v>
      </c>
      <c r="T82" s="125" t="s">
        <v>5</v>
      </c>
      <c r="U82" s="126">
        <v>2010</v>
      </c>
      <c r="V82" s="125" t="s">
        <v>2</v>
      </c>
      <c r="W82" s="125" t="s">
        <v>3</v>
      </c>
      <c r="X82" s="125" t="s">
        <v>4</v>
      </c>
      <c r="Y82" s="125" t="s">
        <v>5</v>
      </c>
      <c r="Z82" s="31">
        <v>2011</v>
      </c>
      <c r="AA82" s="3" t="s">
        <v>183</v>
      </c>
      <c r="AB82" s="3" t="s">
        <v>186</v>
      </c>
      <c r="AC82" s="3" t="s">
        <v>187</v>
      </c>
      <c r="AD82" s="3" t="s">
        <v>188</v>
      </c>
      <c r="AE82" s="31">
        <v>2012</v>
      </c>
      <c r="AF82" s="3" t="s">
        <v>184</v>
      </c>
      <c r="AG82" s="3" t="s">
        <v>185</v>
      </c>
      <c r="AH82" s="3" t="s">
        <v>158</v>
      </c>
      <c r="AI82" s="177" t="s">
        <v>159</v>
      </c>
      <c r="AJ82" s="126">
        <v>2013</v>
      </c>
      <c r="AK82" s="176" t="s">
        <v>160</v>
      </c>
      <c r="AL82" s="3" t="s">
        <v>161</v>
      </c>
      <c r="AM82" s="3" t="s">
        <v>162</v>
      </c>
      <c r="AN82" s="177" t="s">
        <v>164</v>
      </c>
      <c r="AO82" s="126">
        <v>2014</v>
      </c>
      <c r="AP82" s="125" t="s">
        <v>177</v>
      </c>
      <c r="AQ82" s="125" t="s">
        <v>167</v>
      </c>
      <c r="AR82" s="125" t="s">
        <v>171</v>
      </c>
      <c r="AS82" s="125" t="s">
        <v>174</v>
      </c>
      <c r="AT82" s="126">
        <v>2015</v>
      </c>
      <c r="AU82" s="125" t="s">
        <v>178</v>
      </c>
      <c r="AV82" s="125" t="s">
        <v>179</v>
      </c>
      <c r="AW82" s="125" t="s">
        <v>180</v>
      </c>
      <c r="AX82" s="125" t="s">
        <v>181</v>
      </c>
      <c r="AY82" s="126">
        <v>2016</v>
      </c>
      <c r="AZ82" s="125" t="s">
        <v>178</v>
      </c>
      <c r="BA82" s="125" t="s">
        <v>179</v>
      </c>
      <c r="BB82" s="125" t="s">
        <v>180</v>
      </c>
      <c r="BC82" s="125" t="s">
        <v>181</v>
      </c>
      <c r="BD82" s="126">
        <v>2016</v>
      </c>
      <c r="BE82" s="125" t="s">
        <v>329</v>
      </c>
      <c r="BF82" s="125" t="s">
        <v>330</v>
      </c>
      <c r="BG82" s="125" t="s">
        <v>331</v>
      </c>
      <c r="BH82" s="125" t="s">
        <v>332</v>
      </c>
      <c r="BI82" s="126">
        <v>2018</v>
      </c>
    </row>
    <row r="83" spans="2:73" hidden="1" outlineLevel="1">
      <c r="B83" s="43" t="s">
        <v>145</v>
      </c>
      <c r="C83" s="363"/>
      <c r="D83" s="363"/>
      <c r="E83" s="363"/>
      <c r="F83" s="30"/>
      <c r="G83" s="30"/>
      <c r="H83" s="30"/>
      <c r="I83" s="30"/>
      <c r="J83" s="30"/>
      <c r="K83" s="30"/>
      <c r="L83" s="30"/>
      <c r="M83" s="30"/>
      <c r="N83" s="30"/>
      <c r="O83" s="30"/>
      <c r="P83" s="30"/>
      <c r="Q83" s="80">
        <f>Q25*Q4</f>
        <v>34267136</v>
      </c>
      <c r="R83" s="80">
        <f>R25*R4</f>
        <v>37170796</v>
      </c>
      <c r="S83" s="80">
        <f>S25*S4</f>
        <v>39089442</v>
      </c>
      <c r="T83" s="80">
        <f>T25*T4</f>
        <v>40287600</v>
      </c>
      <c r="U83" s="38"/>
      <c r="V83" s="80">
        <f>V25*V4</f>
        <v>42914640</v>
      </c>
      <c r="W83" s="80">
        <f>W25*W4</f>
        <v>50891004</v>
      </c>
      <c r="X83" s="80">
        <f>X25*X4</f>
        <v>53664896</v>
      </c>
      <c r="Y83" s="80">
        <f>Y25*Y4</f>
        <v>55032148</v>
      </c>
      <c r="Z83" s="135"/>
      <c r="AA83" s="80">
        <f>AA25*AA4</f>
        <v>58027347</v>
      </c>
      <c r="AB83" s="80">
        <f>AB25*AB4</f>
        <v>62484380</v>
      </c>
      <c r="AC83" s="80">
        <f>AC29*AC4</f>
        <v>65816132.800000004</v>
      </c>
      <c r="AD83" s="80">
        <f>AD25*AD4</f>
        <v>80878523</v>
      </c>
      <c r="AE83" s="81"/>
      <c r="AF83" s="174">
        <f>AF25*AF4</f>
        <v>85256332</v>
      </c>
      <c r="AG83" s="80">
        <f>AG25*AG4</f>
        <v>91882899</v>
      </c>
      <c r="AH83" s="80">
        <f>AH25*AH4</f>
        <v>97283966</v>
      </c>
      <c r="AI83" s="80">
        <f>AI25*AI4</f>
        <v>100438690</v>
      </c>
      <c r="AJ83" s="81"/>
      <c r="AK83" s="80">
        <f>AK25*AK4</f>
        <v>104483520</v>
      </c>
      <c r="AL83" s="80">
        <f>AL25*AL4</f>
        <v>113412915</v>
      </c>
      <c r="AM83" s="80">
        <f>AM25*AM4</f>
        <v>118735928</v>
      </c>
      <c r="AN83" s="80">
        <f>AN25*AN4</f>
        <v>130183326</v>
      </c>
      <c r="AO83" s="81"/>
      <c r="AP83" s="80">
        <f>AP25*AP4</f>
        <v>134907668</v>
      </c>
      <c r="AQ83" s="80">
        <f>AQ25*AQ4</f>
        <v>141593850</v>
      </c>
      <c r="AR83" s="80">
        <f>AR25*AR4</f>
        <v>148620112</v>
      </c>
      <c r="AS83" s="80">
        <f>AS25*AS4</f>
        <v>155231710</v>
      </c>
      <c r="AT83" s="81"/>
      <c r="AU83" s="80">
        <f>AU29*AU4</f>
        <v>146143731.87</v>
      </c>
      <c r="AV83" s="80">
        <f>AV25*AV4</f>
        <v>174695478</v>
      </c>
      <c r="AW83" s="80">
        <f>AW25*AW4</f>
        <v>181889617</v>
      </c>
      <c r="AX83" s="80">
        <f>AX29*AX4</f>
        <v>0</v>
      </c>
      <c r="AY83" s="81"/>
      <c r="AZ83" s="80"/>
      <c r="BA83" s="80"/>
      <c r="BB83" s="80"/>
      <c r="BC83" s="80"/>
      <c r="BD83" s="81"/>
      <c r="BE83" s="80"/>
      <c r="BF83" s="80"/>
      <c r="BG83" s="80"/>
      <c r="BH83" s="80"/>
      <c r="BI83" s="81"/>
    </row>
    <row r="84" spans="2:73" hidden="1" outlineLevel="1">
      <c r="B84" s="24" t="s">
        <v>146</v>
      </c>
      <c r="Q84" s="85">
        <f>Q83-O83</f>
        <v>34267136</v>
      </c>
      <c r="R84" s="85">
        <f>R83-Q83</f>
        <v>2903660</v>
      </c>
      <c r="S84" s="85">
        <f>S83-R83</f>
        <v>1918646</v>
      </c>
      <c r="T84" s="85">
        <f>T83-S83</f>
        <v>1198158</v>
      </c>
      <c r="U84" s="32"/>
      <c r="V84" s="85">
        <f>V83-T83</f>
        <v>2627040</v>
      </c>
      <c r="W84" s="85">
        <f>W83-V83</f>
        <v>7976364</v>
      </c>
      <c r="X84" s="85">
        <f>X83-W83</f>
        <v>2773892</v>
      </c>
      <c r="Y84" s="85">
        <f>Y83-X83</f>
        <v>1367252</v>
      </c>
      <c r="Z84" s="111"/>
      <c r="AA84" s="85">
        <f>AA83-Y83</f>
        <v>2995199</v>
      </c>
      <c r="AB84" s="85">
        <f>AB83-AA83</f>
        <v>4457033</v>
      </c>
      <c r="AC84" s="85">
        <f>AC83-AB83</f>
        <v>3331752.8000000045</v>
      </c>
      <c r="AD84" s="85">
        <f>AD83-AB83</f>
        <v>18394143</v>
      </c>
      <c r="AE84" s="111"/>
      <c r="AF84" s="175">
        <f>AF83-AD83</f>
        <v>4377809</v>
      </c>
      <c r="AG84" s="85">
        <f>AG83-AF83</f>
        <v>6626567</v>
      </c>
      <c r="AH84" s="85">
        <f>AH83-AG83</f>
        <v>5401067</v>
      </c>
      <c r="AI84" s="85">
        <f>AI83-AH83</f>
        <v>3154724</v>
      </c>
      <c r="AJ84" s="111"/>
      <c r="AK84" s="85">
        <f>AK83-AI83</f>
        <v>4044830</v>
      </c>
      <c r="AL84" s="85">
        <f>AL83-AK83</f>
        <v>8929395</v>
      </c>
      <c r="AM84" s="85">
        <f>AM83-AL83</f>
        <v>5323013</v>
      </c>
      <c r="AN84" s="85">
        <f>AN83-AM83</f>
        <v>11447398</v>
      </c>
      <c r="AO84" s="111"/>
      <c r="AP84" s="85">
        <f>AP83-AN83</f>
        <v>4724342</v>
      </c>
      <c r="AQ84" s="85">
        <f>AQ83-AP83</f>
        <v>6686182</v>
      </c>
      <c r="AR84" s="85">
        <f>AR83-AQ83</f>
        <v>7026262</v>
      </c>
      <c r="AS84" s="85">
        <f>AS83-AR83</f>
        <v>6611598</v>
      </c>
      <c r="AT84" s="111"/>
      <c r="AU84" s="85">
        <f>AU83-AS83</f>
        <v>-9087978.1299999952</v>
      </c>
      <c r="AV84" s="85">
        <f>AV83-AU83</f>
        <v>28551746.129999995</v>
      </c>
      <c r="AW84" s="85">
        <f>AW83-AV83</f>
        <v>7194139</v>
      </c>
      <c r="AX84" s="85">
        <f>AX83-AW83</f>
        <v>-181889617</v>
      </c>
      <c r="AY84" s="111"/>
      <c r="AZ84" s="85"/>
      <c r="BA84" s="85"/>
      <c r="BB84" s="85"/>
      <c r="BC84" s="85"/>
      <c r="BD84" s="111"/>
      <c r="BE84" s="85"/>
      <c r="BF84" s="85"/>
      <c r="BG84" s="85"/>
      <c r="BH84" s="85"/>
      <c r="BI84" s="111"/>
    </row>
    <row r="85" spans="2:73" hidden="1" outlineLevel="1">
      <c r="B85" s="24"/>
      <c r="U85" s="32"/>
      <c r="Z85" s="32"/>
      <c r="AE85" s="32"/>
      <c r="AF85" s="24"/>
      <c r="AJ85" s="32"/>
      <c r="AO85" s="32"/>
      <c r="AT85" s="32"/>
      <c r="AY85" s="32"/>
      <c r="BD85" s="32"/>
      <c r="BI85" s="32"/>
    </row>
    <row r="86" spans="2:73" hidden="1" outlineLevel="1">
      <c r="B86" s="24" t="s">
        <v>147</v>
      </c>
      <c r="U86" s="32"/>
      <c r="W86" s="85">
        <f>W29*(V4+475)</f>
        <v>46389021.150000006</v>
      </c>
      <c r="Z86" s="32"/>
      <c r="AC86" s="85">
        <f>AC29*(AB4+369)</f>
        <v>64631494.400000006</v>
      </c>
      <c r="AE86" s="32"/>
      <c r="AF86" s="24"/>
      <c r="AJ86" s="32"/>
      <c r="AO86" s="32"/>
      <c r="AT86" s="32"/>
      <c r="AY86" s="32"/>
      <c r="BD86" s="32"/>
      <c r="BI86" s="32"/>
    </row>
    <row r="87" spans="2:73" hidden="1" outlineLevel="1">
      <c r="B87" s="24" t="s">
        <v>148</v>
      </c>
      <c r="U87" s="32"/>
      <c r="W87" s="127">
        <f>W86-V83</f>
        <v>3474381.150000006</v>
      </c>
      <c r="Z87" s="32"/>
      <c r="AC87" s="86">
        <f>AC86-AB83</f>
        <v>2147114.400000006</v>
      </c>
      <c r="AE87" s="32"/>
      <c r="AF87" s="24"/>
      <c r="AJ87" s="32"/>
      <c r="AO87" s="32"/>
      <c r="AT87" s="32"/>
      <c r="AY87" s="32"/>
      <c r="BD87" s="32"/>
      <c r="BI87" s="32"/>
    </row>
    <row r="88" spans="2:73" hidden="1" outlineLevel="1">
      <c r="B88" s="24"/>
      <c r="U88" s="32"/>
      <c r="Z88" s="32"/>
      <c r="AE88" s="32"/>
      <c r="AF88" s="24"/>
      <c r="AJ88" s="32"/>
      <c r="AO88" s="32"/>
      <c r="AT88" s="32"/>
      <c r="AY88" s="32"/>
      <c r="BD88" s="32"/>
      <c r="BI88" s="32"/>
    </row>
    <row r="89" spans="2:73" hidden="1" outlineLevel="1">
      <c r="B89" s="138" t="s">
        <v>144</v>
      </c>
      <c r="C89" s="25"/>
      <c r="D89" s="25"/>
      <c r="E89" s="25"/>
      <c r="F89" s="25"/>
      <c r="G89" s="25"/>
      <c r="H89" s="25"/>
      <c r="I89" s="25"/>
      <c r="J89" s="25"/>
      <c r="K89" s="25"/>
      <c r="L89" s="25"/>
      <c r="M89" s="25"/>
      <c r="N89" s="25"/>
      <c r="O89" s="25"/>
      <c r="P89" s="25"/>
      <c r="Q89" s="25"/>
      <c r="R89" s="136">
        <f>R84</f>
        <v>2903660</v>
      </c>
      <c r="S89" s="136">
        <f>S84</f>
        <v>1918646</v>
      </c>
      <c r="T89" s="136">
        <f>T84</f>
        <v>1198158</v>
      </c>
      <c r="U89" s="33"/>
      <c r="V89" s="136">
        <f>V84</f>
        <v>2627040</v>
      </c>
      <c r="W89" s="137">
        <f>W87</f>
        <v>3474381.150000006</v>
      </c>
      <c r="X89" s="136">
        <f>X84</f>
        <v>2773892</v>
      </c>
      <c r="Y89" s="136">
        <f>Y84</f>
        <v>1367252</v>
      </c>
      <c r="Z89" s="33"/>
      <c r="AA89" s="136">
        <f>AA84</f>
        <v>2995199</v>
      </c>
      <c r="AB89" s="136">
        <f>AB84</f>
        <v>4457033</v>
      </c>
      <c r="AC89" s="137">
        <f>AC87</f>
        <v>2147114.400000006</v>
      </c>
      <c r="AD89" s="25"/>
      <c r="AE89" s="33"/>
      <c r="AF89" s="138"/>
      <c r="AG89" s="25"/>
      <c r="AH89" s="25"/>
      <c r="AI89" s="25"/>
      <c r="AJ89" s="33"/>
      <c r="AK89" s="25"/>
      <c r="AL89" s="25"/>
      <c r="AM89" s="25"/>
      <c r="AN89" s="25"/>
      <c r="AO89" s="33"/>
      <c r="AP89" s="25"/>
      <c r="AQ89" s="25"/>
      <c r="AR89" s="25"/>
      <c r="AS89" s="25"/>
      <c r="AT89" s="33"/>
      <c r="AU89" s="25"/>
      <c r="AV89" s="25"/>
      <c r="AW89" s="25"/>
      <c r="AX89" s="25"/>
      <c r="AY89" s="33"/>
      <c r="AZ89" s="25"/>
      <c r="BA89" s="25"/>
      <c r="BB89" s="25"/>
      <c r="BC89" s="25"/>
      <c r="BD89" s="33"/>
      <c r="BE89" s="25"/>
      <c r="BF89" s="25"/>
      <c r="BG89" s="25"/>
      <c r="BH89" s="25"/>
      <c r="BI89" s="33"/>
    </row>
    <row r="90" spans="2:73" s="124" customFormat="1" ht="11.65" hidden="1" outlineLevel="1">
      <c r="B90" s="128" t="s">
        <v>142</v>
      </c>
      <c r="U90" s="133"/>
      <c r="W90" s="129">
        <f>W89/R89-1</f>
        <v>0.19655233395094673</v>
      </c>
      <c r="X90" s="129">
        <f>X89/S89-1</f>
        <v>0.4457549751230816</v>
      </c>
      <c r="Y90" s="129">
        <f>Y89/T89-1</f>
        <v>0.14112829860502529</v>
      </c>
      <c r="Z90" s="133"/>
      <c r="AA90" s="129">
        <f>AA89/V89-1</f>
        <v>0.14014213715817037</v>
      </c>
      <c r="AB90" s="129">
        <f>AB89/W89-1</f>
        <v>0.28282787857054559</v>
      </c>
      <c r="AC90" s="129">
        <f>AC89/X89-1</f>
        <v>-0.22595602135915671</v>
      </c>
      <c r="AE90" s="133"/>
      <c r="AF90" s="128"/>
      <c r="AJ90" s="133"/>
      <c r="AO90" s="133"/>
      <c r="AT90" s="133"/>
      <c r="AY90" s="133"/>
      <c r="BD90" s="133"/>
      <c r="BI90" s="133"/>
    </row>
    <row r="91" spans="2:73" s="124" customFormat="1" ht="12" hidden="1" outlineLevel="1" thickBot="1">
      <c r="B91" s="130" t="s">
        <v>143</v>
      </c>
      <c r="C91" s="131"/>
      <c r="D91" s="131"/>
      <c r="E91" s="131"/>
      <c r="F91" s="131"/>
      <c r="G91" s="131"/>
      <c r="H91" s="131"/>
      <c r="I91" s="131"/>
      <c r="J91" s="131"/>
      <c r="K91" s="131"/>
      <c r="L91" s="131"/>
      <c r="M91" s="131"/>
      <c r="N91" s="131"/>
      <c r="O91" s="131"/>
      <c r="P91" s="131"/>
      <c r="Q91" s="131"/>
      <c r="R91" s="131"/>
      <c r="S91" s="132">
        <f>S89/R89-1</f>
        <v>-0.33923186598981969</v>
      </c>
      <c r="T91" s="132">
        <f>T89/S89-1</f>
        <v>-0.37551898578476695</v>
      </c>
      <c r="U91" s="134"/>
      <c r="V91" s="132">
        <f>V89/T89-1</f>
        <v>1.1925655881778532</v>
      </c>
      <c r="W91" s="132">
        <f>W89/V89-1</f>
        <v>0.32254596427919102</v>
      </c>
      <c r="X91" s="132">
        <f>X89/W89-1</f>
        <v>-0.20161551647838194</v>
      </c>
      <c r="Y91" s="132">
        <f>Y89/X89-1</f>
        <v>-0.50709977172867582</v>
      </c>
      <c r="Z91" s="134"/>
      <c r="AA91" s="132">
        <f>AA89/Y89-1</f>
        <v>1.1906707761261273</v>
      </c>
      <c r="AB91" s="132">
        <f>AB89/AA89-1</f>
        <v>0.48805905717783693</v>
      </c>
      <c r="AC91" s="132">
        <f>AC89/AB89-1</f>
        <v>-0.51826374182107116</v>
      </c>
      <c r="AD91" s="131"/>
      <c r="AE91" s="134"/>
      <c r="AF91" s="130"/>
      <c r="AG91" s="131"/>
      <c r="AH91" s="131"/>
      <c r="AI91" s="131"/>
      <c r="AJ91" s="134"/>
      <c r="AK91" s="131"/>
      <c r="AL91" s="131"/>
      <c r="AM91" s="131"/>
      <c r="AN91" s="131"/>
      <c r="AO91" s="134"/>
      <c r="AP91" s="131"/>
      <c r="AQ91" s="131"/>
      <c r="AR91" s="131"/>
      <c r="AS91" s="131"/>
      <c r="AT91" s="134"/>
      <c r="AU91" s="131"/>
      <c r="AV91" s="131"/>
      <c r="AW91" s="131"/>
      <c r="AX91" s="131"/>
      <c r="AY91" s="134"/>
      <c r="AZ91" s="131"/>
      <c r="BA91" s="131"/>
      <c r="BB91" s="131"/>
      <c r="BC91" s="131"/>
      <c r="BD91" s="134"/>
      <c r="BE91" s="131"/>
      <c r="BF91" s="131"/>
      <c r="BG91" s="131"/>
      <c r="BH91" s="131"/>
      <c r="BI91" s="134"/>
    </row>
    <row r="92" spans="2:73" hidden="1" outlineLevel="1"/>
    <row r="93" spans="2:73" collapsed="1">
      <c r="Q93" s="86"/>
      <c r="R93" s="86"/>
      <c r="S93" s="86"/>
      <c r="T93" s="86"/>
      <c r="V93" s="86"/>
      <c r="W93" s="86"/>
      <c r="X93" s="86"/>
      <c r="Y93" s="86"/>
      <c r="AA93" s="86"/>
      <c r="AB93" s="86"/>
      <c r="AC93" s="86"/>
    </row>
    <row r="94" spans="2:73">
      <c r="Q94" s="86"/>
      <c r="R94" s="86"/>
      <c r="S94" s="86"/>
      <c r="T94" s="86"/>
      <c r="V94" s="86"/>
      <c r="W94" s="86"/>
      <c r="X94" s="86"/>
      <c r="Y94" s="86"/>
      <c r="AA94" s="86"/>
      <c r="AB94" s="86"/>
      <c r="AC94" s="86"/>
    </row>
    <row r="95" spans="2:73">
      <c r="BU95" s="254" t="s">
        <v>521</v>
      </c>
    </row>
    <row r="98" spans="24:55">
      <c r="BB98" s="454"/>
      <c r="BC98" s="454"/>
    </row>
    <row r="99" spans="24:55">
      <c r="BB99" s="454"/>
      <c r="BC99" s="454"/>
    </row>
    <row r="100" spans="24:55">
      <c r="BB100" s="454"/>
      <c r="BC100" s="454"/>
    </row>
    <row r="101" spans="24:55">
      <c r="X101" s="86">
        <f>X89/572</f>
        <v>4849.4615384615381</v>
      </c>
      <c r="AC101" s="86"/>
    </row>
    <row r="102" spans="24:55">
      <c r="BB102" s="454"/>
      <c r="BC102" s="454"/>
    </row>
    <row r="103" spans="24:55">
      <c r="AC103" s="86"/>
      <c r="BB103" s="454"/>
      <c r="BC103" s="454"/>
    </row>
    <row r="104" spans="24:55">
      <c r="BB104" s="454"/>
      <c r="BC104" s="454"/>
    </row>
  </sheetData>
  <mergeCells count="2">
    <mergeCell ref="B22:C22"/>
    <mergeCell ref="B33:C33"/>
  </mergeCells>
  <phoneticPr fontId="8" type="noConversion"/>
  <pageMargins left="0.75" right="0.75" top="1" bottom="1" header="0.5" footer="0.5"/>
  <pageSetup orientation="landscape"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4C5B-FB4B-4CA1-A8E5-4BAEF496DCCD}">
  <dimension ref="B5:BQ90"/>
  <sheetViews>
    <sheetView showGridLines="0" topLeftCell="I59" zoomScale="90" zoomScaleNormal="90" workbookViewId="0">
      <selection activeCell="BM12" sqref="BM12"/>
    </sheetView>
  </sheetViews>
  <sheetFormatPr defaultRowHeight="12.75"/>
  <sheetData>
    <row r="5" spans="2:69">
      <c r="C5" s="642">
        <v>2006</v>
      </c>
      <c r="D5" s="642">
        <v>2007</v>
      </c>
      <c r="E5" s="642">
        <v>2008</v>
      </c>
      <c r="F5" s="642">
        <v>2009</v>
      </c>
      <c r="G5" s="642">
        <v>2010</v>
      </c>
      <c r="H5" s="642">
        <v>2011</v>
      </c>
      <c r="I5" s="642">
        <v>2012</v>
      </c>
      <c r="J5" s="642">
        <v>2013</v>
      </c>
      <c r="K5" s="642">
        <v>2014</v>
      </c>
      <c r="L5" s="642">
        <v>2015</v>
      </c>
      <c r="M5" s="642">
        <v>2016</v>
      </c>
      <c r="N5" s="642">
        <v>2017</v>
      </c>
      <c r="O5" s="642">
        <v>2018</v>
      </c>
      <c r="P5" s="642">
        <v>2019</v>
      </c>
      <c r="Q5" s="642">
        <v>2020</v>
      </c>
      <c r="R5" s="642">
        <v>2021</v>
      </c>
      <c r="S5" s="642">
        <v>2022</v>
      </c>
      <c r="T5" s="642">
        <v>2023</v>
      </c>
    </row>
    <row r="6" spans="2:69">
      <c r="B6" t="s">
        <v>431</v>
      </c>
      <c r="C6" s="70">
        <v>0.43624792073479424</v>
      </c>
      <c r="D6" s="70">
        <v>0.26884535978649482</v>
      </c>
      <c r="E6" s="70">
        <v>0.21823160568299071</v>
      </c>
      <c r="F6" s="70">
        <v>0.2296315600873049</v>
      </c>
      <c r="G6" s="70">
        <v>0.18150267578021517</v>
      </c>
      <c r="H6" s="70">
        <v>0.29984079646613004</v>
      </c>
      <c r="I6" s="70">
        <v>0.3301247218340837</v>
      </c>
      <c r="J6" s="70">
        <v>0.35386351256711546</v>
      </c>
      <c r="K6" s="70">
        <v>0.22565163663534205</v>
      </c>
      <c r="L6" s="70">
        <v>0.23893487147021819</v>
      </c>
      <c r="M6" s="70">
        <v>0.21938833444782291</v>
      </c>
      <c r="N6" s="70">
        <v>0.14108487027600303</v>
      </c>
      <c r="O6" s="70">
        <v>0.12546811385254308</v>
      </c>
      <c r="P6" s="70">
        <v>0.12441185949081524</v>
      </c>
      <c r="Q6" s="70">
        <v>0.12003983892463554</v>
      </c>
      <c r="R6" s="70">
        <v>0.23237053385791517</v>
      </c>
      <c r="S6" s="70">
        <v>0.17026495291687005</v>
      </c>
      <c r="T6" s="70">
        <v>0.16362741163293593</v>
      </c>
    </row>
    <row r="7" spans="2:69">
      <c r="B7" t="s">
        <v>432</v>
      </c>
      <c r="C7" s="72">
        <v>-3.7212347046679091E-2</v>
      </c>
      <c r="D7" s="72">
        <v>4.0876260020636561E-3</v>
      </c>
      <c r="E7" s="72">
        <v>2.4855849105775808E-2</v>
      </c>
      <c r="F7" s="72">
        <v>9.4420600858369105E-2</v>
      </c>
      <c r="G7" s="72">
        <v>0.11603919546157813</v>
      </c>
      <c r="H7" s="72">
        <v>9.3325743069571671E-2</v>
      </c>
      <c r="I7" s="72">
        <v>0.11703369387596296</v>
      </c>
      <c r="J7" s="72">
        <v>0.13194624057629489</v>
      </c>
      <c r="K7" s="72">
        <v>0.1398313364127334</v>
      </c>
      <c r="L7" s="72">
        <v>0.14269672844724257</v>
      </c>
      <c r="M7" s="72">
        <v>0.13710649525336921</v>
      </c>
      <c r="N7" s="72">
        <v>0.14786957191951616</v>
      </c>
      <c r="O7" s="72">
        <v>0.2066588785046729</v>
      </c>
      <c r="P7" s="72">
        <v>0.24993192989495708</v>
      </c>
      <c r="Q7" s="72">
        <v>0.27826504174263506</v>
      </c>
      <c r="R7" s="72">
        <v>0.27776191613285023</v>
      </c>
      <c r="S7" s="72">
        <v>0.29335846964236206</v>
      </c>
      <c r="T7" s="72">
        <v>0.30047555491073652</v>
      </c>
    </row>
    <row r="8" spans="2:69">
      <c r="B8" t="s">
        <v>433</v>
      </c>
      <c r="C8" s="70">
        <f>C7+C6</f>
        <v>0.39903557368811515</v>
      </c>
      <c r="D8" s="70">
        <f t="shared" ref="D8:T8" si="0">D7+D6</f>
        <v>0.27293298578855846</v>
      </c>
      <c r="E8" s="70">
        <f t="shared" si="0"/>
        <v>0.24308745478876653</v>
      </c>
      <c r="F8" s="70">
        <f t="shared" si="0"/>
        <v>0.32405216094567402</v>
      </c>
      <c r="G8" s="70">
        <f t="shared" si="0"/>
        <v>0.29754187124179332</v>
      </c>
      <c r="H8" s="70">
        <f t="shared" si="0"/>
        <v>0.39316653953570169</v>
      </c>
      <c r="I8" s="70">
        <f t="shared" si="0"/>
        <v>0.44715841571004666</v>
      </c>
      <c r="J8" s="70">
        <f t="shared" si="0"/>
        <v>0.48580975314341035</v>
      </c>
      <c r="K8" s="70">
        <f t="shared" si="0"/>
        <v>0.36548297304807542</v>
      </c>
      <c r="L8" s="70">
        <f t="shared" si="0"/>
        <v>0.38163159991746076</v>
      </c>
      <c r="M8" s="70">
        <f t="shared" si="0"/>
        <v>0.35649482970119212</v>
      </c>
      <c r="N8" s="70">
        <f t="shared" si="0"/>
        <v>0.28895444219551919</v>
      </c>
      <c r="O8" s="70">
        <f t="shared" si="0"/>
        <v>0.33212699235721599</v>
      </c>
      <c r="P8" s="70">
        <f t="shared" si="0"/>
        <v>0.37434378938577229</v>
      </c>
      <c r="Q8" s="70">
        <f t="shared" si="0"/>
        <v>0.3983048806672706</v>
      </c>
      <c r="R8" s="70">
        <f t="shared" si="0"/>
        <v>0.51013244999076535</v>
      </c>
      <c r="S8" s="70">
        <f t="shared" si="0"/>
        <v>0.46362342255923211</v>
      </c>
      <c r="T8" s="70">
        <f t="shared" si="0"/>
        <v>0.46410296654367245</v>
      </c>
    </row>
    <row r="9" spans="2:69">
      <c r="C9" s="70"/>
    </row>
    <row r="10" spans="2:69">
      <c r="C10" s="70"/>
    </row>
    <row r="11" spans="2:69" s="758" customFormat="1" ht="13.15">
      <c r="C11" s="758" t="s">
        <v>434</v>
      </c>
      <c r="D11" s="758" t="s">
        <v>435</v>
      </c>
      <c r="E11" s="758" t="s">
        <v>436</v>
      </c>
      <c r="F11" s="758" t="s">
        <v>437</v>
      </c>
      <c r="G11" s="758" t="s">
        <v>438</v>
      </c>
      <c r="H11" s="758" t="s">
        <v>439</v>
      </c>
      <c r="I11" s="758" t="s">
        <v>440</v>
      </c>
      <c r="J11" s="758" t="s">
        <v>441</v>
      </c>
      <c r="K11" s="758" t="s">
        <v>183</v>
      </c>
      <c r="L11" s="758" t="s">
        <v>186</v>
      </c>
      <c r="M11" s="758" t="s">
        <v>187</v>
      </c>
      <c r="N11" s="758" t="s">
        <v>188</v>
      </c>
      <c r="O11" s="758" t="s">
        <v>184</v>
      </c>
      <c r="P11" s="758" t="s">
        <v>185</v>
      </c>
      <c r="Q11" s="758" t="s">
        <v>158</v>
      </c>
      <c r="R11" s="758" t="s">
        <v>159</v>
      </c>
      <c r="S11" s="758" t="s">
        <v>160</v>
      </c>
      <c r="T11" s="758" t="s">
        <v>161</v>
      </c>
      <c r="U11" s="758" t="s">
        <v>162</v>
      </c>
      <c r="V11" s="758" t="s">
        <v>164</v>
      </c>
      <c r="W11" s="758" t="s">
        <v>177</v>
      </c>
      <c r="X11" s="758" t="s">
        <v>167</v>
      </c>
      <c r="Y11" s="758" t="s">
        <v>171</v>
      </c>
      <c r="Z11" s="758" t="s">
        <v>174</v>
      </c>
      <c r="AA11" s="758" t="s">
        <v>178</v>
      </c>
      <c r="AB11" s="758" t="s">
        <v>179</v>
      </c>
      <c r="AC11" s="758" t="s">
        <v>180</v>
      </c>
      <c r="AD11" s="758" t="s">
        <v>181</v>
      </c>
      <c r="AE11" s="758" t="s">
        <v>324</v>
      </c>
      <c r="AF11" s="758" t="s">
        <v>325</v>
      </c>
      <c r="AG11" s="758" t="s">
        <v>326</v>
      </c>
      <c r="AH11" s="758" t="s">
        <v>327</v>
      </c>
      <c r="AI11" s="758" t="s">
        <v>329</v>
      </c>
      <c r="AJ11" s="758" t="s">
        <v>330</v>
      </c>
      <c r="AK11" s="758" t="s">
        <v>331</v>
      </c>
      <c r="AL11" s="758" t="s">
        <v>332</v>
      </c>
      <c r="AM11" s="758" t="s">
        <v>345</v>
      </c>
      <c r="AN11" s="758" t="s">
        <v>350</v>
      </c>
      <c r="AO11" s="758" t="s">
        <v>351</v>
      </c>
      <c r="AP11" s="758" t="s">
        <v>352</v>
      </c>
      <c r="AQ11" s="758" t="s">
        <v>359</v>
      </c>
      <c r="AR11" s="758" t="s">
        <v>360</v>
      </c>
      <c r="AS11" s="758" t="s">
        <v>361</v>
      </c>
      <c r="AT11" s="758" t="s">
        <v>362</v>
      </c>
      <c r="AU11" s="758" t="s">
        <v>369</v>
      </c>
      <c r="AV11" s="758" t="s">
        <v>371</v>
      </c>
      <c r="AW11" s="758" t="s">
        <v>372</v>
      </c>
      <c r="AX11" s="758" t="s">
        <v>373</v>
      </c>
      <c r="AY11" s="758" t="s">
        <v>374</v>
      </c>
      <c r="AZ11" s="758" t="s">
        <v>375</v>
      </c>
      <c r="BA11" s="758" t="s">
        <v>378</v>
      </c>
      <c r="BB11" s="758" t="s">
        <v>379</v>
      </c>
      <c r="BC11" s="758" t="s">
        <v>444</v>
      </c>
      <c r="BD11" s="758" t="s">
        <v>449</v>
      </c>
      <c r="BE11" s="758" t="s">
        <v>450</v>
      </c>
      <c r="BF11" s="758" t="s">
        <v>451</v>
      </c>
      <c r="BG11" s="758" t="s">
        <v>455</v>
      </c>
      <c r="BH11" s="758" t="s">
        <v>456</v>
      </c>
      <c r="BI11" s="758" t="s">
        <v>458</v>
      </c>
      <c r="BJ11" s="758" t="s">
        <v>484</v>
      </c>
      <c r="BK11" s="758" t="s">
        <v>507</v>
      </c>
      <c r="BL11" s="758" t="s">
        <v>523</v>
      </c>
      <c r="BM11" s="758" t="s">
        <v>549</v>
      </c>
      <c r="BN11" s="758" t="s">
        <v>569</v>
      </c>
      <c r="BO11" s="1"/>
      <c r="BP11" s="1"/>
      <c r="BQ11" s="1"/>
    </row>
    <row r="12" spans="2:69">
      <c r="B12" s="898" t="s">
        <v>571</v>
      </c>
      <c r="C12">
        <v>389</v>
      </c>
      <c r="D12">
        <v>412</v>
      </c>
      <c r="E12">
        <v>313</v>
      </c>
      <c r="F12">
        <v>283</v>
      </c>
      <c r="G12">
        <v>640</v>
      </c>
      <c r="H12">
        <v>475</v>
      </c>
      <c r="I12">
        <v>572</v>
      </c>
      <c r="J12">
        <v>233</v>
      </c>
      <c r="K12">
        <v>314</v>
      </c>
      <c r="L12" s="85">
        <v>592</v>
      </c>
      <c r="M12" s="85">
        <v>688</v>
      </c>
      <c r="N12" s="85">
        <v>254</v>
      </c>
      <c r="O12">
        <v>421</v>
      </c>
      <c r="P12" s="85">
        <v>473</v>
      </c>
      <c r="Q12" s="85">
        <v>516</v>
      </c>
      <c r="R12" s="85">
        <v>303</v>
      </c>
      <c r="S12">
        <v>326</v>
      </c>
      <c r="T12" s="85">
        <v>729</v>
      </c>
      <c r="U12" s="85">
        <v>473</v>
      </c>
      <c r="V12" s="85">
        <v>265</v>
      </c>
      <c r="W12">
        <v>453</v>
      </c>
      <c r="X12" s="85">
        <v>310</v>
      </c>
      <c r="Y12" s="85">
        <v>346</v>
      </c>
      <c r="Z12" s="85">
        <v>318</v>
      </c>
      <c r="AA12" s="45">
        <v>383</v>
      </c>
      <c r="AB12" s="45">
        <v>369</v>
      </c>
      <c r="AC12" s="45">
        <v>397</v>
      </c>
      <c r="AD12" s="45">
        <v>222</v>
      </c>
      <c r="AE12" s="45">
        <v>196</v>
      </c>
      <c r="AF12" s="45">
        <v>152</v>
      </c>
      <c r="AG12" s="45">
        <v>206</v>
      </c>
      <c r="AH12" s="45">
        <v>392</v>
      </c>
      <c r="AI12" s="56">
        <v>137</v>
      </c>
      <c r="AJ12" s="45">
        <v>324</v>
      </c>
      <c r="AK12" s="45">
        <v>657</v>
      </c>
      <c r="AL12" s="57">
        <v>265</v>
      </c>
      <c r="AM12" s="175">
        <v>158</v>
      </c>
      <c r="AN12">
        <v>423</v>
      </c>
      <c r="AO12">
        <v>662</v>
      </c>
      <c r="AP12">
        <v>220</v>
      </c>
      <c r="AQ12" s="85">
        <v>229</v>
      </c>
      <c r="AR12">
        <v>468</v>
      </c>
      <c r="AS12">
        <v>557</v>
      </c>
      <c r="AT12">
        <v>626</v>
      </c>
      <c r="AU12" s="85">
        <v>699</v>
      </c>
      <c r="AV12">
        <v>700</v>
      </c>
      <c r="AW12" s="85">
        <v>850</v>
      </c>
      <c r="AX12">
        <v>400</v>
      </c>
      <c r="AY12" s="85">
        <v>400</v>
      </c>
      <c r="AZ12" s="85">
        <v>750</v>
      </c>
      <c r="BA12">
        <v>400</v>
      </c>
      <c r="BB12">
        <v>250</v>
      </c>
      <c r="BC12" s="85">
        <v>450</v>
      </c>
      <c r="BD12" s="85">
        <v>250</v>
      </c>
      <c r="BE12" s="85">
        <v>500</v>
      </c>
      <c r="BF12" s="85">
        <v>300</v>
      </c>
      <c r="BG12" s="85">
        <v>0</v>
      </c>
      <c r="BH12" s="85">
        <v>150</v>
      </c>
      <c r="BI12" s="85">
        <f>Metrics!CK7-200</f>
        <v>50</v>
      </c>
      <c r="BJ12" s="85">
        <v>150</v>
      </c>
      <c r="BK12" s="696">
        <f>Metrics!CN9</f>
        <v>300</v>
      </c>
      <c r="BL12" s="696">
        <f>Metrics!CO7</f>
        <v>350</v>
      </c>
      <c r="BM12" s="696">
        <f>Metrics!CP7</f>
        <v>450</v>
      </c>
      <c r="BN12" s="696">
        <f>Metrics!CQ7</f>
        <v>-350</v>
      </c>
    </row>
    <row r="13" spans="2:69" ht="13.15" thickBot="1">
      <c r="B13" t="s">
        <v>424</v>
      </c>
      <c r="C13" s="181">
        <v>0.10669610007358354</v>
      </c>
      <c r="D13" s="181">
        <v>0.10997532604864291</v>
      </c>
      <c r="E13" s="181">
        <v>0.11241379310344835</v>
      </c>
      <c r="F13" s="181">
        <v>9.4676549865229109E-2</v>
      </c>
      <c r="G13" s="181">
        <v>9.4082446808510634E-2</v>
      </c>
      <c r="H13" s="181">
        <v>5.4620514449031488E-2</v>
      </c>
      <c r="I13" s="181">
        <v>4.6497210167389946E-2</v>
      </c>
      <c r="J13" s="181">
        <v>5.0169282856263431E-2</v>
      </c>
      <c r="K13" s="181">
        <v>7.2318444241871838E-2</v>
      </c>
      <c r="L13" s="181">
        <v>0.10448660042155966</v>
      </c>
      <c r="M13" s="181">
        <v>0.21475118483412325</v>
      </c>
      <c r="N13" s="181">
        <v>0.31858147713950768</v>
      </c>
      <c r="O13" s="181">
        <v>0.3131198639841315</v>
      </c>
      <c r="P13" s="181">
        <v>0.32742639040348953</v>
      </c>
      <c r="Q13" s="181">
        <v>0.22360399902462813</v>
      </c>
      <c r="R13" s="181">
        <v>0.13380751278061798</v>
      </c>
      <c r="S13" s="181">
        <v>0.12645662494605103</v>
      </c>
      <c r="T13" s="181">
        <v>0.12281782706921329</v>
      </c>
      <c r="U13" s="181">
        <v>0.11518533280191301</v>
      </c>
      <c r="V13" s="181">
        <v>0.16094883356204659</v>
      </c>
      <c r="W13" s="181">
        <v>0.15191570881226046</v>
      </c>
      <c r="X13" s="181">
        <v>0.13865008231205422</v>
      </c>
      <c r="Y13" s="181">
        <v>0.15010721944245886</v>
      </c>
      <c r="Z13" s="181">
        <v>0.11972306653157716</v>
      </c>
      <c r="AA13" s="181">
        <v>0.17295858972226852</v>
      </c>
      <c r="AB13" s="181">
        <v>0.16032128514056221</v>
      </c>
      <c r="AC13" s="181">
        <v>0.14962709757613424</v>
      </c>
      <c r="AD13" s="181">
        <v>0.14763987332227413</v>
      </c>
      <c r="AE13" s="181">
        <v>9.2726499361973636E-2</v>
      </c>
      <c r="AF13" s="181">
        <v>0.10660390419493293</v>
      </c>
      <c r="AG13" s="181">
        <v>0.11082578726854986</v>
      </c>
      <c r="AH13" s="181">
        <v>0.10919842312746386</v>
      </c>
      <c r="AI13" s="181">
        <v>0.10276372129233158</v>
      </c>
      <c r="AJ13" s="181">
        <v>8.4073564368822629E-2</v>
      </c>
      <c r="AK13" s="181">
        <v>7.5313298454799948E-2</v>
      </c>
      <c r="AL13" s="181">
        <v>2.4404691387276412E-2</v>
      </c>
      <c r="AM13" s="181">
        <v>4.9417578538650808E-3</v>
      </c>
      <c r="AN13" s="181">
        <v>1.038661281015596E-3</v>
      </c>
      <c r="AO13" s="181">
        <v>-5.0916496945010437E-3</v>
      </c>
      <c r="AP13" s="181">
        <v>3.3190701977564574E-2</v>
      </c>
      <c r="AQ13" s="181">
        <v>6.1819459079732964E-2</v>
      </c>
      <c r="AR13" s="181">
        <v>5.1187456767350703E-2</v>
      </c>
      <c r="AS13" s="181">
        <v>7.733424314795867E-2</v>
      </c>
      <c r="AT13" s="181">
        <v>7.9583613163196842E-2</v>
      </c>
      <c r="AU13" s="181">
        <v>9.1630830301025368E-2</v>
      </c>
      <c r="AV13" s="181">
        <v>0.11318271550778669</v>
      </c>
      <c r="AW13" s="181">
        <v>9.2578908476723232E-2</v>
      </c>
      <c r="AX13" s="181">
        <v>7.827890098496626E-2</v>
      </c>
      <c r="AY13" s="181">
        <v>4.5454545454545414E-2</v>
      </c>
      <c r="AZ13" s="181">
        <v>3.9408866995073843E-2</v>
      </c>
      <c r="BA13" s="181">
        <v>5.3140096618357502E-2</v>
      </c>
      <c r="BB13" s="181">
        <v>6.7307692307692291E-2</v>
      </c>
      <c r="BC13" s="181">
        <v>6.7632850241545972E-2</v>
      </c>
      <c r="BD13" s="181">
        <v>7.5999999999999998E-2</v>
      </c>
      <c r="BE13" s="181">
        <f>Metrics!CF26</f>
        <v>6.8807339449541205E-2</v>
      </c>
      <c r="BF13" s="181">
        <f>Metrics!CG26</f>
        <v>9.4594594594594517E-2</v>
      </c>
      <c r="BG13" s="181">
        <f>Metrics!CI26</f>
        <v>0.12669683257918551</v>
      </c>
      <c r="BH13" s="181">
        <f>Metrics!CJ26</f>
        <v>0.13215859030836996</v>
      </c>
      <c r="BI13" s="181">
        <f>Metrics!CK26</f>
        <v>0.17596566523605151</v>
      </c>
      <c r="BJ13" s="181">
        <f>Metrics!CL26</f>
        <v>0.17695473251028804</v>
      </c>
      <c r="BK13" s="181">
        <f>Metrics!CN26</f>
        <v>0.11244979919678721</v>
      </c>
      <c r="BL13" s="181">
        <f>Metrics!CO26</f>
        <v>2.7237354085603016E-2</v>
      </c>
      <c r="BM13" s="181">
        <f>Metrics!CP26</f>
        <v>-2.9197080291970767E-2</v>
      </c>
      <c r="BN13" s="181">
        <f>Metrics!CQ26</f>
        <v>-5.5944055944055937E-2</v>
      </c>
    </row>
    <row r="14" spans="2:69">
      <c r="C14" s="70"/>
    </row>
    <row r="15" spans="2:69">
      <c r="C15" s="70"/>
    </row>
    <row r="16" spans="2:69">
      <c r="C16" s="70"/>
    </row>
    <row r="17" spans="3:15" ht="13.15">
      <c r="C17" s="70"/>
      <c r="O17" s="1" t="s">
        <v>573</v>
      </c>
    </row>
    <row r="18" spans="3:15">
      <c r="C18" s="70"/>
      <c r="O18" s="254" t="s">
        <v>572</v>
      </c>
    </row>
    <row r="19" spans="3:15">
      <c r="C19" s="70"/>
    </row>
    <row r="20" spans="3:15">
      <c r="C20" s="70"/>
    </row>
    <row r="21" spans="3:15">
      <c r="C21" s="70"/>
    </row>
    <row r="22" spans="3:15">
      <c r="C22" s="70"/>
    </row>
    <row r="23" spans="3:15">
      <c r="C23" s="70"/>
    </row>
    <row r="24" spans="3:15">
      <c r="C24" s="70"/>
    </row>
    <row r="25" spans="3:15">
      <c r="C25" s="70"/>
    </row>
    <row r="26" spans="3:15">
      <c r="C26" s="70"/>
    </row>
    <row r="27" spans="3:15">
      <c r="C27" s="70"/>
    </row>
    <row r="28" spans="3:15">
      <c r="C28" s="70"/>
    </row>
    <row r="29" spans="3:15">
      <c r="C29" s="70"/>
    </row>
    <row r="30" spans="3:15">
      <c r="C30" s="70"/>
    </row>
    <row r="31" spans="3:15">
      <c r="C31" s="70"/>
    </row>
    <row r="32" spans="3:15">
      <c r="C32" s="70"/>
    </row>
    <row r="33" spans="3:3">
      <c r="C33" s="70"/>
    </row>
    <row r="34" spans="3:3">
      <c r="C34" s="70"/>
    </row>
    <row r="35" spans="3:3">
      <c r="C35" s="70"/>
    </row>
    <row r="36" spans="3:3">
      <c r="C36" s="70"/>
    </row>
    <row r="37" spans="3:3">
      <c r="C37" s="70"/>
    </row>
    <row r="38" spans="3:3">
      <c r="C38" s="70"/>
    </row>
    <row r="39" spans="3:3">
      <c r="C39" s="70"/>
    </row>
    <row r="40" spans="3:3">
      <c r="C40" s="70"/>
    </row>
    <row r="41" spans="3:3">
      <c r="C41" s="70"/>
    </row>
    <row r="42" spans="3:3">
      <c r="C42" s="70"/>
    </row>
    <row r="43" spans="3:3">
      <c r="C43" s="70"/>
    </row>
    <row r="44" spans="3:3">
      <c r="C44" s="70"/>
    </row>
    <row r="45" spans="3:3">
      <c r="C45" s="70"/>
    </row>
    <row r="46" spans="3:3">
      <c r="C46" s="70"/>
    </row>
    <row r="47" spans="3:3">
      <c r="C47" s="70"/>
    </row>
    <row r="48" spans="3:3">
      <c r="C48" s="70"/>
    </row>
    <row r="49" spans="3:3">
      <c r="C49" s="70"/>
    </row>
    <row r="50" spans="3:3">
      <c r="C50" s="70"/>
    </row>
    <row r="51" spans="3:3">
      <c r="C51" s="70"/>
    </row>
    <row r="52" spans="3:3">
      <c r="C52" s="70"/>
    </row>
    <row r="53" spans="3:3">
      <c r="C53" s="70"/>
    </row>
    <row r="54" spans="3:3">
      <c r="C54" s="70"/>
    </row>
    <row r="55" spans="3:3">
      <c r="C55" s="70"/>
    </row>
    <row r="56" spans="3:3">
      <c r="C56" s="70"/>
    </row>
    <row r="57" spans="3:3">
      <c r="C57" s="70"/>
    </row>
    <row r="58" spans="3:3">
      <c r="C58" s="70"/>
    </row>
    <row r="59" spans="3:3">
      <c r="C59" s="70"/>
    </row>
    <row r="60" spans="3:3">
      <c r="C60" s="70"/>
    </row>
    <row r="61" spans="3:3">
      <c r="C61" s="70"/>
    </row>
    <row r="62" spans="3:3">
      <c r="C62" s="70"/>
    </row>
    <row r="63" spans="3:3">
      <c r="C63" s="70"/>
    </row>
    <row r="64" spans="3:3">
      <c r="C64" s="70"/>
    </row>
    <row r="65" spans="3:3">
      <c r="C65" s="70"/>
    </row>
    <row r="66" spans="3:3">
      <c r="C66" s="70"/>
    </row>
    <row r="67" spans="3:3">
      <c r="C67" s="70"/>
    </row>
    <row r="68" spans="3:3">
      <c r="C68" s="70"/>
    </row>
    <row r="69" spans="3:3">
      <c r="C69" s="70"/>
    </row>
    <row r="70" spans="3:3">
      <c r="C70" s="70"/>
    </row>
    <row r="71" spans="3:3">
      <c r="C71" s="70"/>
    </row>
    <row r="72" spans="3:3">
      <c r="C72" s="70"/>
    </row>
    <row r="73" spans="3:3">
      <c r="C73" s="70"/>
    </row>
    <row r="74" spans="3:3">
      <c r="C74" s="70"/>
    </row>
    <row r="75" spans="3:3">
      <c r="C75" s="70"/>
    </row>
    <row r="76" spans="3:3">
      <c r="C76" s="70"/>
    </row>
    <row r="77" spans="3:3">
      <c r="C77" s="70"/>
    </row>
    <row r="88" spans="4:14">
      <c r="D88" s="642">
        <v>2014</v>
      </c>
      <c r="E88" s="642">
        <v>2015</v>
      </c>
      <c r="F88" s="642">
        <v>2016</v>
      </c>
      <c r="G88" s="642">
        <v>2017</v>
      </c>
      <c r="H88" s="642">
        <v>2018</v>
      </c>
      <c r="I88" s="642">
        <v>2019</v>
      </c>
      <c r="J88" s="642">
        <v>2020</v>
      </c>
      <c r="K88" s="642">
        <v>2021</v>
      </c>
      <c r="L88" s="642">
        <v>2022</v>
      </c>
      <c r="M88" s="642" t="s">
        <v>380</v>
      </c>
      <c r="N88" s="254" t="s">
        <v>443</v>
      </c>
    </row>
    <row r="89" spans="4:14">
      <c r="D89" s="70">
        <v>0.3</v>
      </c>
      <c r="E89" s="70">
        <f>IS!AT52/IS!AO52-1</f>
        <v>0.26432284388798832</v>
      </c>
      <c r="F89" s="70">
        <f>IS!AY52/IS!AT52-1</f>
        <v>0.17161803713527846</v>
      </c>
      <c r="G89" s="70">
        <f>IS!BD52/IS!AY52-1</f>
        <v>0.23066183684250241</v>
      </c>
      <c r="H89" s="70">
        <f>IS!BI52/IS!BD52-1</f>
        <v>0.57580867698911553</v>
      </c>
      <c r="I89" s="70">
        <f>IS!BN52/IS!BI52-1</f>
        <v>0.35738885105555007</v>
      </c>
      <c r="J89" s="70">
        <f>IS!BS52/IS!BN52-1</f>
        <v>0.24699339191261838</v>
      </c>
      <c r="K89" s="70">
        <f>IS!BX52/IS!BS52-1</f>
        <v>0.23014230866496543</v>
      </c>
      <c r="L89" s="70">
        <f>IS!CC52/IS!BX52-1</f>
        <v>0.23597626500957802</v>
      </c>
      <c r="M89" s="669">
        <f>IS!CH52/IS!CC52-1</f>
        <v>0.19173949859376416</v>
      </c>
      <c r="N89" s="669">
        <v>0.16</v>
      </c>
    </row>
    <row r="90" spans="4:14">
      <c r="N90" s="669">
        <v>0.15</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070A-04EA-4D1D-BF59-0FE673878AB2}">
  <dimension ref="E6:K21"/>
  <sheetViews>
    <sheetView showGridLines="0" workbookViewId="0">
      <selection activeCell="E45" sqref="E45"/>
    </sheetView>
  </sheetViews>
  <sheetFormatPr defaultRowHeight="12.75"/>
  <cols>
    <col min="5" max="5" width="25.265625" bestFit="1" customWidth="1"/>
    <col min="6" max="7" width="11.19921875" bestFit="1" customWidth="1"/>
    <col min="9" max="9" width="12.19921875" bestFit="1" customWidth="1"/>
  </cols>
  <sheetData>
    <row r="6" spans="5:11">
      <c r="E6" s="692"/>
      <c r="F6" s="865" t="s">
        <v>459</v>
      </c>
      <c r="G6" s="866" t="s">
        <v>563</v>
      </c>
      <c r="H6" s="866" t="s">
        <v>564</v>
      </c>
      <c r="I6" s="867"/>
    </row>
    <row r="7" spans="5:11">
      <c r="E7" s="868" t="s">
        <v>555</v>
      </c>
      <c r="F7" s="45">
        <v>8000</v>
      </c>
      <c r="G7" s="45">
        <v>25000</v>
      </c>
      <c r="H7" s="45">
        <f>+G7*1.2</f>
        <v>30000</v>
      </c>
      <c r="I7" s="869" t="s">
        <v>561</v>
      </c>
    </row>
    <row r="8" spans="5:11" ht="15">
      <c r="E8" s="870" t="s">
        <v>556</v>
      </c>
      <c r="F8" s="871"/>
      <c r="G8" s="871">
        <v>36000</v>
      </c>
      <c r="H8" s="871">
        <f>+H9-H7</f>
        <v>37100</v>
      </c>
      <c r="I8" s="869" t="s">
        <v>562</v>
      </c>
      <c r="K8" s="864">
        <f>+H8/G8-1</f>
        <v>3.0555555555555447E-2</v>
      </c>
    </row>
    <row r="9" spans="5:11">
      <c r="E9" s="868" t="s">
        <v>558</v>
      </c>
      <c r="F9" s="45">
        <f>+F8+F7</f>
        <v>8000</v>
      </c>
      <c r="G9" s="45">
        <f>+G8+G7</f>
        <v>61000</v>
      </c>
      <c r="H9" s="45">
        <f>+G9*1.1</f>
        <v>67100</v>
      </c>
      <c r="I9" s="872"/>
    </row>
    <row r="10" spans="5:11" s="84" customFormat="1">
      <c r="E10" s="873" t="s">
        <v>134</v>
      </c>
      <c r="F10" s="874"/>
      <c r="G10" s="874"/>
      <c r="H10" s="637">
        <f>+H9/G9-1</f>
        <v>0.10000000000000009</v>
      </c>
      <c r="I10" s="875"/>
    </row>
    <row r="11" spans="5:11">
      <c r="E11" s="868"/>
      <c r="F11" s="45"/>
      <c r="G11" s="45"/>
      <c r="H11" s="45"/>
      <c r="I11" s="872"/>
    </row>
    <row r="12" spans="5:11">
      <c r="E12" s="868" t="s">
        <v>557</v>
      </c>
      <c r="F12" s="45">
        <f>+F15-F9</f>
        <v>629765</v>
      </c>
      <c r="G12" s="45">
        <f>+G15-G9</f>
        <v>690505</v>
      </c>
      <c r="H12" s="45">
        <f>+H15-H9</f>
        <v>735616.5872999999</v>
      </c>
      <c r="I12" s="872"/>
    </row>
    <row r="13" spans="5:11" s="84" customFormat="1">
      <c r="E13" s="873" t="s">
        <v>134</v>
      </c>
      <c r="F13" s="874"/>
      <c r="G13" s="637">
        <f>+G12/F12-1</f>
        <v>9.6448675299516395E-2</v>
      </c>
      <c r="H13" s="637">
        <f>+H12/G12-1</f>
        <v>6.5331297094155527E-2</v>
      </c>
      <c r="I13" s="875"/>
    </row>
    <row r="14" spans="5:11">
      <c r="E14" s="876"/>
      <c r="F14" s="526"/>
      <c r="G14" s="526"/>
      <c r="H14" s="526"/>
      <c r="I14" s="872"/>
    </row>
    <row r="15" spans="5:11">
      <c r="E15" s="868" t="s">
        <v>559</v>
      </c>
      <c r="F15" s="45">
        <f>+IS!CM4</f>
        <v>637765</v>
      </c>
      <c r="G15" s="45">
        <f>+IS!CR4</f>
        <v>751505</v>
      </c>
      <c r="H15" s="45">
        <f>+IS!CW4</f>
        <v>802716.5872999999</v>
      </c>
      <c r="I15" s="872"/>
    </row>
    <row r="16" spans="5:11" s="84" customFormat="1">
      <c r="E16" s="877" t="s">
        <v>560</v>
      </c>
      <c r="F16" s="878"/>
      <c r="G16" s="880">
        <f>+G15/F15-1</f>
        <v>0.17834155213911074</v>
      </c>
      <c r="H16" s="880">
        <f>+H15/G15-1</f>
        <v>6.8145371354814577E-2</v>
      </c>
      <c r="I16" s="879"/>
    </row>
    <row r="20" spans="7:8">
      <c r="G20" s="85">
        <f>G12+G7</f>
        <v>715505</v>
      </c>
      <c r="H20" s="85">
        <f>H12+H7</f>
        <v>765616.5872999999</v>
      </c>
    </row>
    <row r="21" spans="7:8">
      <c r="H21">
        <f>H20/G20</f>
        <v>1.0700366696249501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7A8F-73BF-4C47-A7AF-540E94CD9445}">
  <dimension ref="B2:T33"/>
  <sheetViews>
    <sheetView showGridLines="0" topLeftCell="G2" zoomScale="87" zoomScaleNormal="100" workbookViewId="0">
      <selection activeCell="K22" sqref="K22"/>
    </sheetView>
  </sheetViews>
  <sheetFormatPr defaultRowHeight="12.75"/>
  <cols>
    <col min="2" max="2" width="13.265625" bestFit="1" customWidth="1"/>
    <col min="3" max="5" width="8.73046875" style="768"/>
    <col min="7" max="7" width="9.796875" bestFit="1" customWidth="1"/>
    <col min="9" max="9" width="17.19921875" customWidth="1"/>
    <col min="10" max="10" width="8.796875" bestFit="1" customWidth="1"/>
    <col min="11" max="11" width="9.796875" bestFit="1" customWidth="1"/>
    <col min="12" max="12" width="12.265625" customWidth="1"/>
    <col min="16" max="16" width="11.796875" customWidth="1"/>
    <col min="18" max="18" width="10.46484375" bestFit="1" customWidth="1"/>
    <col min="19" max="19" width="12.46484375" customWidth="1"/>
    <col min="20" max="20" width="14.796875" bestFit="1" customWidth="1"/>
  </cols>
  <sheetData>
    <row r="2" spans="2:14" ht="13.15">
      <c r="B2" s="1"/>
    </row>
    <row r="3" spans="2:14" ht="13.15" thickBot="1"/>
    <row r="4" spans="2:14" ht="13.15">
      <c r="B4" s="804"/>
      <c r="C4" s="805"/>
      <c r="D4" s="805"/>
      <c r="E4" s="805"/>
      <c r="I4" s="820"/>
      <c r="J4" s="811">
        <v>2024</v>
      </c>
      <c r="K4" s="811" t="s">
        <v>543</v>
      </c>
      <c r="L4" s="813" t="s">
        <v>544</v>
      </c>
    </row>
    <row r="5" spans="2:14" s="1" customFormat="1" ht="13.15">
      <c r="C5" s="802"/>
      <c r="D5" s="802"/>
      <c r="E5" s="806"/>
      <c r="I5" s="14" t="s">
        <v>546</v>
      </c>
      <c r="J5" s="802">
        <f>SUM(J8,J11,J14)</f>
        <v>466400</v>
      </c>
      <c r="K5" s="802">
        <v>6500000</v>
      </c>
      <c r="L5" s="821">
        <f>J5/K5</f>
        <v>7.1753846153846154E-2</v>
      </c>
    </row>
    <row r="6" spans="2:14">
      <c r="B6" s="254"/>
      <c r="C6" s="803"/>
      <c r="D6" s="803"/>
      <c r="E6" s="807"/>
      <c r="G6" s="254"/>
      <c r="I6" s="715" t="s">
        <v>525</v>
      </c>
      <c r="J6" s="803">
        <f>SUM(J9,J12,J15)</f>
        <v>36100</v>
      </c>
      <c r="K6" s="803">
        <f>SUM(K9,K12,K15)</f>
        <v>146600</v>
      </c>
      <c r="L6" s="822">
        <f t="shared" ref="L6:L16" si="0">J6/K6</f>
        <v>0.24624829467939974</v>
      </c>
    </row>
    <row r="7" spans="2:14">
      <c r="B7" s="254"/>
      <c r="C7" s="803"/>
      <c r="D7" s="803"/>
      <c r="E7" s="807"/>
      <c r="I7" s="715" t="s">
        <v>189</v>
      </c>
      <c r="J7" s="803">
        <f>100*ROUND(10*J5/J6,0)</f>
        <v>12900</v>
      </c>
      <c r="K7" s="803">
        <f>1000*ROUND(K5/K6,0)</f>
        <v>44000</v>
      </c>
      <c r="L7" s="822">
        <f t="shared" si="0"/>
        <v>0.29318181818181815</v>
      </c>
    </row>
    <row r="8" spans="2:14" s="1" customFormat="1" ht="20.2" customHeight="1">
      <c r="C8" s="802"/>
      <c r="D8" s="802"/>
      <c r="E8" s="806"/>
      <c r="I8" s="14" t="s">
        <v>528</v>
      </c>
      <c r="J8" s="802">
        <f>J9*J10/1000</f>
        <v>316800</v>
      </c>
      <c r="K8" s="802">
        <f>K9*K10/1000</f>
        <v>4143750</v>
      </c>
      <c r="L8" s="821">
        <f t="shared" si="0"/>
        <v>7.6452488687782802E-2</v>
      </c>
      <c r="N8" s="825">
        <f>J8/J$5</f>
        <v>0.67924528301886788</v>
      </c>
    </row>
    <row r="9" spans="2:14">
      <c r="B9" s="254"/>
      <c r="C9" s="803"/>
      <c r="D9" s="803"/>
      <c r="E9" s="807"/>
      <c r="I9" s="715" t="s">
        <v>525</v>
      </c>
      <c r="J9" s="803">
        <v>32000</v>
      </c>
      <c r="K9" s="803">
        <v>127500</v>
      </c>
      <c r="L9" s="822">
        <f t="shared" si="0"/>
        <v>0.25098039215686274</v>
      </c>
      <c r="N9" s="70"/>
    </row>
    <row r="10" spans="2:14">
      <c r="B10" s="254"/>
      <c r="C10" s="803"/>
      <c r="D10" s="803"/>
      <c r="E10" s="807"/>
      <c r="I10" s="715" t="s">
        <v>189</v>
      </c>
      <c r="J10" s="803">
        <v>9900</v>
      </c>
      <c r="K10" s="803">
        <v>32500</v>
      </c>
      <c r="L10" s="822">
        <f t="shared" si="0"/>
        <v>0.30461538461538462</v>
      </c>
      <c r="N10" s="70"/>
    </row>
    <row r="11" spans="2:14" s="1" customFormat="1" ht="17.55" customHeight="1">
      <c r="C11" s="802"/>
      <c r="D11" s="802"/>
      <c r="E11" s="806"/>
      <c r="I11" s="14" t="s">
        <v>527</v>
      </c>
      <c r="J11" s="802">
        <f>J12*J13/1000</f>
        <v>81000</v>
      </c>
      <c r="K11" s="802">
        <f>K12*K13/1000</f>
        <v>1203200</v>
      </c>
      <c r="L11" s="821">
        <f t="shared" si="0"/>
        <v>6.7320478723404256E-2</v>
      </c>
      <c r="N11" s="825">
        <f>J11/J$5</f>
        <v>0.17367066895368782</v>
      </c>
    </row>
    <row r="12" spans="2:14">
      <c r="B12" s="254"/>
      <c r="C12" s="803"/>
      <c r="D12" s="803"/>
      <c r="E12" s="807"/>
      <c r="I12" s="715" t="s">
        <v>525</v>
      </c>
      <c r="J12" s="803">
        <v>2700</v>
      </c>
      <c r="K12" s="803">
        <v>12800</v>
      </c>
      <c r="L12" s="822">
        <f t="shared" si="0"/>
        <v>0.2109375</v>
      </c>
      <c r="N12" s="70"/>
    </row>
    <row r="13" spans="2:14">
      <c r="B13" s="254"/>
      <c r="C13" s="803"/>
      <c r="D13" s="803"/>
      <c r="E13" s="807"/>
      <c r="I13" s="715" t="s">
        <v>189</v>
      </c>
      <c r="J13" s="803">
        <v>30000</v>
      </c>
      <c r="K13" s="803">
        <v>94000</v>
      </c>
      <c r="L13" s="822">
        <f t="shared" si="0"/>
        <v>0.31914893617021278</v>
      </c>
      <c r="N13" s="70"/>
    </row>
    <row r="14" spans="2:14" s="1" customFormat="1" ht="17.55" customHeight="1">
      <c r="C14" s="802"/>
      <c r="D14" s="802"/>
      <c r="E14" s="806"/>
      <c r="I14" s="14" t="s">
        <v>526</v>
      </c>
      <c r="J14" s="802">
        <f>J15*J16/1000</f>
        <v>68600</v>
      </c>
      <c r="K14" s="802">
        <f>K15*K16/1000</f>
        <v>1162350</v>
      </c>
      <c r="L14" s="821">
        <f t="shared" si="0"/>
        <v>5.9018367961457395E-2</v>
      </c>
      <c r="N14" s="825">
        <f>J14/J$5</f>
        <v>0.14708404802744426</v>
      </c>
    </row>
    <row r="15" spans="2:14">
      <c r="B15" s="254"/>
      <c r="C15" s="803"/>
      <c r="D15" s="803"/>
      <c r="E15" s="807"/>
      <c r="I15" s="715" t="s">
        <v>525</v>
      </c>
      <c r="J15" s="803">
        <v>1400</v>
      </c>
      <c r="K15" s="803">
        <v>6300</v>
      </c>
      <c r="L15" s="822">
        <f t="shared" si="0"/>
        <v>0.22222222222222221</v>
      </c>
    </row>
    <row r="16" spans="2:14" ht="13.15" thickBot="1">
      <c r="B16" s="254"/>
      <c r="C16" s="803"/>
      <c r="D16" s="803"/>
      <c r="E16" s="807"/>
      <c r="I16" s="717" t="s">
        <v>189</v>
      </c>
      <c r="J16" s="823">
        <v>49000</v>
      </c>
      <c r="K16" s="823">
        <v>184500</v>
      </c>
      <c r="L16" s="824">
        <f t="shared" si="0"/>
        <v>0.26558265582655827</v>
      </c>
    </row>
    <row r="18" spans="2:20">
      <c r="C18" s="803"/>
      <c r="D18" s="803"/>
      <c r="I18" s="254" t="s">
        <v>545</v>
      </c>
    </row>
    <row r="19" spans="2:20">
      <c r="C19" s="803"/>
      <c r="D19" s="803"/>
    </row>
    <row r="20" spans="2:20">
      <c r="C20" s="803"/>
      <c r="D20" s="803"/>
      <c r="J20" t="s">
        <v>548</v>
      </c>
      <c r="K20" t="s">
        <v>529</v>
      </c>
      <c r="R20" s="254"/>
    </row>
    <row r="21" spans="2:20">
      <c r="I21" t="s">
        <v>528</v>
      </c>
      <c r="J21" s="254">
        <f>1.4*1.87-1</f>
        <v>1.6179999999999999</v>
      </c>
      <c r="K21" s="70">
        <f>(J21+1)^0.2-1</f>
        <v>0.21225484475979561</v>
      </c>
    </row>
    <row r="22" spans="2:20">
      <c r="I22" t="s">
        <v>527</v>
      </c>
      <c r="J22">
        <f>1.26*1.85-1</f>
        <v>1.331</v>
      </c>
      <c r="K22" s="70">
        <f>(J22+1)^0.2-1</f>
        <v>0.18442742482167573</v>
      </c>
    </row>
    <row r="23" spans="2:20">
      <c r="I23" t="s">
        <v>526</v>
      </c>
      <c r="J23">
        <f>1.09*2.67-1</f>
        <v>1.9103000000000003</v>
      </c>
      <c r="K23" s="70">
        <f>(J23+1)^0.2-1</f>
        <v>0.23819074031397669</v>
      </c>
    </row>
    <row r="24" spans="2:20" ht="13.15">
      <c r="P24" s="1" t="s">
        <v>530</v>
      </c>
    </row>
    <row r="25" spans="2:20" ht="13.15" thickBot="1">
      <c r="B25" s="819" t="s">
        <v>547</v>
      </c>
      <c r="C25" s="803">
        <f>SUM(Metrics!CO34,Metrics!CN34,Metrics!CL34,Metrics!CK34)</f>
        <v>587961</v>
      </c>
    </row>
    <row r="26" spans="2:20" ht="13.15">
      <c r="B26" s="254" t="s">
        <v>540</v>
      </c>
      <c r="C26" s="768">
        <v>300000</v>
      </c>
      <c r="P26" s="810"/>
      <c r="Q26" s="811">
        <v>2019</v>
      </c>
      <c r="R26" s="811">
        <v>2024</v>
      </c>
      <c r="S26" s="812" t="s">
        <v>415</v>
      </c>
      <c r="T26" s="813" t="s">
        <v>539</v>
      </c>
    </row>
    <row r="27" spans="2:20">
      <c r="B27" s="254" t="s">
        <v>541</v>
      </c>
      <c r="C27" s="768">
        <f>C25/C26</f>
        <v>1.95987</v>
      </c>
      <c r="P27" s="715" t="s">
        <v>502</v>
      </c>
      <c r="Q27" s="230">
        <f>IS!BN22</f>
        <v>0.67964058984537334</v>
      </c>
      <c r="R27" s="230">
        <f>IS!CM22</f>
        <v>0.68692073099025508</v>
      </c>
      <c r="S27" s="814" t="s">
        <v>535</v>
      </c>
      <c r="T27" s="815">
        <f>10*ROUND(1000*(0.725-R27),0)</f>
        <v>380</v>
      </c>
    </row>
    <row r="28" spans="2:20">
      <c r="B28" s="254" t="s">
        <v>542</v>
      </c>
      <c r="C28" s="768">
        <f>C27/12</f>
        <v>0.16332250000000001</v>
      </c>
      <c r="P28" s="715" t="s">
        <v>531</v>
      </c>
      <c r="Q28" s="230">
        <f>IS!BN26</f>
        <v>0.24073171780284031</v>
      </c>
      <c r="R28" s="230">
        <f>IS!CM26</f>
        <v>0.21382954536545593</v>
      </c>
      <c r="S28" s="814" t="s">
        <v>537</v>
      </c>
      <c r="T28" s="815">
        <f>10*ROUND(1000*(R28-0.2),0)</f>
        <v>140</v>
      </c>
    </row>
    <row r="29" spans="2:20">
      <c r="P29" s="715" t="s">
        <v>533</v>
      </c>
      <c r="Q29" s="230">
        <f>IS!BN28</f>
        <v>9.1908972356372076E-2</v>
      </c>
      <c r="R29" s="230">
        <f>IS!CM28</f>
        <v>8.422381284642462E-2</v>
      </c>
      <c r="S29" s="814" t="s">
        <v>536</v>
      </c>
      <c r="T29" s="815">
        <f>10*ROUND(1000*(R29-0.105),0)</f>
        <v>-210</v>
      </c>
    </row>
    <row r="30" spans="2:20">
      <c r="P30" s="715" t="s">
        <v>532</v>
      </c>
      <c r="Q30" s="230">
        <f>IS!BN30</f>
        <v>0.13948281050715811</v>
      </c>
      <c r="R30" s="230">
        <f>IS!CM30</f>
        <v>0.12709383550367298</v>
      </c>
      <c r="S30" s="814" t="s">
        <v>538</v>
      </c>
      <c r="T30" s="815">
        <f>10*ROUND(1000*(R30-0.125),0)</f>
        <v>20</v>
      </c>
    </row>
    <row r="31" spans="2:20" s="1" customFormat="1" ht="13.5" thickBot="1">
      <c r="C31" s="758"/>
      <c r="D31" s="758"/>
      <c r="E31" s="758"/>
      <c r="P31" s="46" t="s">
        <v>409</v>
      </c>
      <c r="Q31" s="816">
        <f>IS!BN53</f>
        <v>0.24993551253206461</v>
      </c>
      <c r="R31" s="816">
        <f>IS!CM53</f>
        <v>0.29263286633791441</v>
      </c>
      <c r="S31" s="817" t="s">
        <v>534</v>
      </c>
      <c r="T31" s="818">
        <f>10*ROUND(1000*(0.35-R31),0)</f>
        <v>570</v>
      </c>
    </row>
    <row r="33" spans="18:18">
      <c r="R33" s="446">
        <f>R27-SUM(R28:R30)</f>
        <v>0.26177353727470154</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D19D-FDB9-456D-B831-364F5A1B65D6}">
  <dimension ref="C2:AN68"/>
  <sheetViews>
    <sheetView showGridLines="0" workbookViewId="0">
      <selection activeCell="H14" sqref="H14"/>
    </sheetView>
  </sheetViews>
  <sheetFormatPr defaultRowHeight="12.75"/>
  <cols>
    <col min="3" max="3" width="16.73046875" bestFit="1" customWidth="1"/>
  </cols>
  <sheetData>
    <row r="2" spans="4:40">
      <c r="E2" t="s">
        <v>372</v>
      </c>
      <c r="F2" t="s">
        <v>373</v>
      </c>
      <c r="G2" t="s">
        <v>374</v>
      </c>
      <c r="H2" t="s">
        <v>375</v>
      </c>
      <c r="I2" t="s">
        <v>378</v>
      </c>
      <c r="J2" t="s">
        <v>379</v>
      </c>
      <c r="K2" t="s">
        <v>444</v>
      </c>
    </row>
    <row r="3" spans="4:40">
      <c r="D3" t="s">
        <v>425</v>
      </c>
      <c r="E3" s="45">
        <v>78106</v>
      </c>
      <c r="G3" s="45">
        <v>84731</v>
      </c>
      <c r="I3" s="45">
        <v>92952</v>
      </c>
      <c r="K3" s="45">
        <v>101668</v>
      </c>
    </row>
    <row r="4" spans="4:40">
      <c r="G4" s="129"/>
      <c r="I4" s="129">
        <f>I3/E3-1</f>
        <v>0.19007502624638306</v>
      </c>
      <c r="K4" s="129">
        <f>K3/G3-1</f>
        <v>0.19989142108555313</v>
      </c>
    </row>
    <row r="5" spans="4:40">
      <c r="D5" t="s">
        <v>426</v>
      </c>
      <c r="E5" s="45">
        <v>10858</v>
      </c>
      <c r="F5" s="85"/>
      <c r="G5" s="45">
        <v>11296</v>
      </c>
      <c r="I5" s="45">
        <v>11902</v>
      </c>
      <c r="J5" s="85"/>
      <c r="K5" s="45">
        <v>12370</v>
      </c>
    </row>
    <row r="6" spans="4:40">
      <c r="G6" s="129"/>
      <c r="I6" s="129">
        <f>I5/E5-1</f>
        <v>9.6150303923374425E-2</v>
      </c>
      <c r="J6" s="129"/>
      <c r="K6" s="129">
        <f>K5/G5-1</f>
        <v>9.5077903682719622E-2</v>
      </c>
    </row>
    <row r="7" spans="4:40">
      <c r="D7" t="s">
        <v>370</v>
      </c>
      <c r="E7" s="45">
        <v>1699</v>
      </c>
      <c r="G7" s="45">
        <v>1540</v>
      </c>
      <c r="I7" s="45">
        <v>1435</v>
      </c>
      <c r="K7" s="45">
        <v>3263</v>
      </c>
    </row>
    <row r="8" spans="4:40">
      <c r="G8" s="129"/>
      <c r="I8" s="129">
        <f>I7/E7-1</f>
        <v>-0.15538552089464386</v>
      </c>
      <c r="K8" s="129">
        <f>K7/G7-1</f>
        <v>1.1188311688311687</v>
      </c>
    </row>
    <row r="9" spans="4:40" s="1" customFormat="1" ht="13.15">
      <c r="D9" s="1" t="s">
        <v>427</v>
      </c>
      <c r="E9" s="44">
        <f>+E7+E5+E3</f>
        <v>90663</v>
      </c>
      <c r="G9" s="44">
        <f>+G7+G5+G3</f>
        <v>97567</v>
      </c>
      <c r="I9" s="44">
        <f>+I7+I5+I3</f>
        <v>106289</v>
      </c>
      <c r="K9" s="44">
        <f>+K7+K5+K3</f>
        <v>117301</v>
      </c>
    </row>
    <row r="10" spans="4:40">
      <c r="G10" s="129"/>
      <c r="I10" s="129">
        <f>I9/E9-1</f>
        <v>0.17235255837552255</v>
      </c>
      <c r="K10" s="129">
        <f>K9/G9-1</f>
        <v>0.2022610103826088</v>
      </c>
    </row>
    <row r="11" spans="4:40">
      <c r="D11" t="s">
        <v>428</v>
      </c>
      <c r="E11" s="45">
        <v>7488</v>
      </c>
      <c r="G11" s="45">
        <v>7626</v>
      </c>
      <c r="I11" s="45">
        <v>7933</v>
      </c>
      <c r="K11" s="45">
        <v>8567</v>
      </c>
    </row>
    <row r="12" spans="4:40">
      <c r="G12" s="129"/>
      <c r="I12" s="129">
        <f>I11/E11-1</f>
        <v>5.942841880341887E-2</v>
      </c>
      <c r="K12" s="129">
        <f>K11/G11-1</f>
        <v>0.12339365329137153</v>
      </c>
    </row>
    <row r="13" spans="4:40">
      <c r="D13" t="s">
        <v>429</v>
      </c>
      <c r="G13" s="45"/>
    </row>
    <row r="15" spans="4:40" ht="13.15" thickBot="1"/>
    <row r="16" spans="4:40" ht="13.5" thickBot="1">
      <c r="D16" s="517" t="s">
        <v>160</v>
      </c>
      <c r="E16" s="513" t="s">
        <v>161</v>
      </c>
      <c r="F16" s="513" t="s">
        <v>162</v>
      </c>
      <c r="G16" s="516" t="s">
        <v>164</v>
      </c>
      <c r="H16" s="513" t="s">
        <v>177</v>
      </c>
      <c r="I16" s="513" t="s">
        <v>167</v>
      </c>
      <c r="J16" s="513" t="s">
        <v>171</v>
      </c>
      <c r="K16" s="513" t="s">
        <v>174</v>
      </c>
      <c r="L16" s="513" t="s">
        <v>178</v>
      </c>
      <c r="M16" s="513" t="s">
        <v>179</v>
      </c>
      <c r="N16" s="513" t="s">
        <v>180</v>
      </c>
      <c r="O16" s="513" t="s">
        <v>181</v>
      </c>
      <c r="P16" s="513" t="s">
        <v>324</v>
      </c>
      <c r="Q16" s="513" t="s">
        <v>325</v>
      </c>
      <c r="R16" s="513" t="s">
        <v>326</v>
      </c>
      <c r="S16" s="513" t="s">
        <v>327</v>
      </c>
      <c r="T16" s="517" t="s">
        <v>329</v>
      </c>
      <c r="U16" s="513" t="s">
        <v>330</v>
      </c>
      <c r="V16" s="513" t="s">
        <v>331</v>
      </c>
      <c r="W16" s="516" t="s">
        <v>332</v>
      </c>
      <c r="X16" s="517" t="s">
        <v>345</v>
      </c>
      <c r="Y16" s="513" t="s">
        <v>350</v>
      </c>
      <c r="Z16" s="513" t="s">
        <v>351</v>
      </c>
      <c r="AA16" s="513" t="s">
        <v>352</v>
      </c>
      <c r="AB16" s="513" t="s">
        <v>359</v>
      </c>
      <c r="AC16" s="513" t="s">
        <v>360</v>
      </c>
      <c r="AD16" s="513" t="s">
        <v>361</v>
      </c>
      <c r="AE16" s="513" t="s">
        <v>362</v>
      </c>
      <c r="AF16" s="513" t="s">
        <v>369</v>
      </c>
      <c r="AG16" s="513" t="s">
        <v>371</v>
      </c>
      <c r="AH16" s="513" t="s">
        <v>372</v>
      </c>
      <c r="AI16" s="513" t="s">
        <v>373</v>
      </c>
      <c r="AJ16" s="513" t="s">
        <v>374</v>
      </c>
      <c r="AK16" s="513" t="s">
        <v>375</v>
      </c>
      <c r="AL16" s="513" t="s">
        <v>378</v>
      </c>
      <c r="AM16" s="513" t="s">
        <v>379</v>
      </c>
      <c r="AN16" s="466">
        <v>2022</v>
      </c>
    </row>
    <row r="17" spans="3:40">
      <c r="C17" t="s">
        <v>97</v>
      </c>
      <c r="D17" s="45">
        <f>Metrics!AK4</f>
        <v>20016</v>
      </c>
      <c r="E17" s="45">
        <f>Metrics!AL4</f>
        <v>20745</v>
      </c>
      <c r="F17" s="45">
        <f>Metrics!AM4</f>
        <v>21218</v>
      </c>
      <c r="G17" s="45">
        <f>Metrics!AN4</f>
        <v>21983</v>
      </c>
      <c r="H17" s="45">
        <f>Metrics!AP4</f>
        <v>22436</v>
      </c>
      <c r="I17" s="45">
        <f>Metrics!AQ4</f>
        <v>22746</v>
      </c>
      <c r="J17" s="45">
        <f>Metrics!AR4</f>
        <v>23092</v>
      </c>
      <c r="K17" s="45">
        <f>Metrics!AS4</f>
        <v>23410</v>
      </c>
      <c r="L17" s="45">
        <f>Metrics!AU4</f>
        <v>23817</v>
      </c>
      <c r="M17" s="45">
        <f>Metrics!AV4</f>
        <v>24186</v>
      </c>
      <c r="N17" s="45">
        <f>Metrics!AW4</f>
        <v>24583</v>
      </c>
      <c r="O17" s="45">
        <f>Metrics!AX4</f>
        <v>24805</v>
      </c>
      <c r="P17" s="45">
        <f>Metrics!AZ4</f>
        <v>25001</v>
      </c>
      <c r="Q17" s="45">
        <f>Metrics!BA4</f>
        <v>25153</v>
      </c>
      <c r="R17" s="45">
        <f>Metrics!BB4</f>
        <v>25359</v>
      </c>
      <c r="S17" s="45">
        <f>Metrics!BC4</f>
        <v>25751</v>
      </c>
      <c r="T17" s="45">
        <f>Metrics!BE4</f>
        <v>25888</v>
      </c>
      <c r="U17" s="45">
        <f>Metrics!BF4</f>
        <v>26212</v>
      </c>
      <c r="V17" s="45">
        <f>Metrics!BG4</f>
        <v>26869</v>
      </c>
      <c r="W17" s="45">
        <f>Metrics!BH4</f>
        <v>29308</v>
      </c>
      <c r="X17" s="45">
        <f>Metrics!BJ4</f>
        <v>29466</v>
      </c>
      <c r="Y17" s="45">
        <f>Metrics!BK4</f>
        <v>29889</v>
      </c>
      <c r="Z17" s="45">
        <f>Metrics!BL4</f>
        <v>30551</v>
      </c>
      <c r="AA17" s="45">
        <f>Metrics!BM4</f>
        <v>30771</v>
      </c>
      <c r="AB17" s="45">
        <f>Metrics!BO4</f>
        <v>31000</v>
      </c>
      <c r="AC17" s="45">
        <f>Metrics!BP4</f>
        <v>31468</v>
      </c>
      <c r="AD17" s="45">
        <f>Metrics!BQ4</f>
        <v>32025</v>
      </c>
      <c r="AE17" s="45">
        <f>Metrics!BR4</f>
        <v>33151</v>
      </c>
      <c r="AF17" s="45">
        <f>Metrics!BT4</f>
        <v>33850</v>
      </c>
      <c r="AG17" s="45">
        <f>Metrics!BU4</f>
        <v>34550</v>
      </c>
      <c r="AH17" s="45">
        <f>Metrics!BV4</f>
        <v>35400</v>
      </c>
      <c r="AI17" s="45">
        <f>Metrics!BW4</f>
        <v>37500</v>
      </c>
      <c r="AJ17" s="45">
        <f>Metrics!BY4</f>
        <v>37900</v>
      </c>
      <c r="AK17" s="45">
        <f>Metrics!BZ4</f>
        <v>38650</v>
      </c>
      <c r="AL17" s="45">
        <f>Metrics!CA4</f>
        <v>39550</v>
      </c>
      <c r="AM17" s="45">
        <f>Metrics!CB4</f>
        <v>42300</v>
      </c>
      <c r="AN17" s="45">
        <f>Metrics!CC4</f>
        <v>42300</v>
      </c>
    </row>
    <row r="18" spans="3:40">
      <c r="C18" s="4" t="s">
        <v>141</v>
      </c>
      <c r="D18" s="45">
        <f>Metrics!AK7</f>
        <v>326</v>
      </c>
      <c r="E18" s="45">
        <f>Metrics!AL7</f>
        <v>729</v>
      </c>
      <c r="F18" s="45">
        <f>Metrics!AM7</f>
        <v>473</v>
      </c>
      <c r="G18" s="45">
        <f>Metrics!AN7</f>
        <v>765</v>
      </c>
      <c r="H18" s="45">
        <f>Metrics!AP7</f>
        <v>453</v>
      </c>
      <c r="I18" s="45">
        <f>Metrics!AQ7</f>
        <v>310</v>
      </c>
      <c r="J18" s="45">
        <f>Metrics!AR7</f>
        <v>346</v>
      </c>
      <c r="K18" s="45">
        <f>Metrics!AS7</f>
        <v>318</v>
      </c>
      <c r="L18" s="45">
        <f>Metrics!AU7</f>
        <v>407</v>
      </c>
      <c r="M18" s="45">
        <f>Metrics!AV7</f>
        <v>369</v>
      </c>
      <c r="N18" s="45">
        <f>Metrics!AW7</f>
        <v>397</v>
      </c>
      <c r="O18" s="45">
        <f>Metrics!AX7</f>
        <v>222</v>
      </c>
      <c r="P18" s="45">
        <f>Metrics!AZ7</f>
        <v>196</v>
      </c>
      <c r="Q18" s="45">
        <f>Metrics!BA7</f>
        <v>152</v>
      </c>
      <c r="R18" s="45">
        <f>Metrics!BB7</f>
        <v>206</v>
      </c>
      <c r="S18" s="45">
        <f>Metrics!BC7</f>
        <v>392</v>
      </c>
      <c r="T18" s="45">
        <f>Metrics!BE7</f>
        <v>137</v>
      </c>
      <c r="U18" s="45">
        <f>Metrics!BF7</f>
        <v>324</v>
      </c>
      <c r="V18" s="45">
        <f>Metrics!BG7</f>
        <v>657</v>
      </c>
      <c r="W18" s="45">
        <f>Metrics!BH7</f>
        <v>2439</v>
      </c>
      <c r="X18" s="45">
        <f>Metrics!BJ7</f>
        <v>158</v>
      </c>
      <c r="Y18" s="45">
        <f>Metrics!BK7</f>
        <v>423</v>
      </c>
      <c r="Z18" s="45">
        <f>Metrics!BL7</f>
        <v>662</v>
      </c>
      <c r="AA18" s="45">
        <f>Metrics!BM7</f>
        <v>220</v>
      </c>
      <c r="AB18" s="45">
        <f>Metrics!BO7</f>
        <v>229</v>
      </c>
      <c r="AC18" s="45">
        <f>Metrics!BP7</f>
        <v>468</v>
      </c>
      <c r="AD18" s="45">
        <f>Metrics!BQ7</f>
        <v>557</v>
      </c>
      <c r="AE18" s="45">
        <f>Metrics!BR7</f>
        <v>1126</v>
      </c>
      <c r="AF18" s="45">
        <f>Metrics!BT7</f>
        <v>699</v>
      </c>
      <c r="AG18" s="45">
        <f>Metrics!BU7</f>
        <v>700</v>
      </c>
      <c r="AH18" s="45">
        <f>Metrics!BV7</f>
        <v>850</v>
      </c>
      <c r="AI18" s="45">
        <f>Metrics!BW7</f>
        <v>2100</v>
      </c>
      <c r="AJ18" s="45">
        <f>Metrics!BY7</f>
        <v>400</v>
      </c>
      <c r="AK18" s="45">
        <f>Metrics!BZ7</f>
        <v>750</v>
      </c>
      <c r="AL18" s="45">
        <f>Metrics!CA7</f>
        <v>900</v>
      </c>
      <c r="AM18" s="45">
        <f>Metrics!CB7</f>
        <v>2750</v>
      </c>
      <c r="AN18" s="45">
        <f>Metrics!CC7</f>
        <v>4800</v>
      </c>
    </row>
    <row r="20" spans="3:40">
      <c r="C20" t="s">
        <v>189</v>
      </c>
      <c r="D20" s="45">
        <f>Metrics!AK25</f>
        <v>5220</v>
      </c>
      <c r="E20" s="45">
        <f>Metrics!AL25</f>
        <v>5467</v>
      </c>
      <c r="F20" s="45">
        <f>Metrics!AM25</f>
        <v>5596</v>
      </c>
      <c r="G20" s="45">
        <f>Metrics!AN25</f>
        <v>5922</v>
      </c>
      <c r="H20" s="45">
        <f>Metrics!AP25</f>
        <v>6013</v>
      </c>
      <c r="I20" s="45">
        <f>Metrics!AQ25</f>
        <v>6225</v>
      </c>
      <c r="J20" s="45">
        <f>Metrics!AR25</f>
        <v>6436</v>
      </c>
      <c r="K20" s="45">
        <f>Metrics!AS25</f>
        <v>6631</v>
      </c>
      <c r="L20" s="45">
        <f>Metrics!AU25</f>
        <v>7053</v>
      </c>
      <c r="M20" s="45">
        <f>Metrics!AV25</f>
        <v>7223</v>
      </c>
      <c r="N20" s="45">
        <f>Metrics!AW25</f>
        <v>7399</v>
      </c>
      <c r="O20" s="45">
        <f>Metrics!AX25</f>
        <v>7610</v>
      </c>
      <c r="P20" s="45">
        <f>Metrics!AZ25</f>
        <v>7707</v>
      </c>
      <c r="Q20" s="45">
        <f>Metrics!BA25</f>
        <v>7993</v>
      </c>
      <c r="R20" s="45">
        <f>Metrics!BB25</f>
        <v>8219</v>
      </c>
      <c r="S20" s="45">
        <f>Metrics!BC25</f>
        <v>8441</v>
      </c>
      <c r="T20" s="45">
        <f>Metrics!BE25</f>
        <v>8499</v>
      </c>
      <c r="U20" s="45">
        <f>Metrics!BF25</f>
        <v>8665</v>
      </c>
      <c r="V20" s="45">
        <f>Metrics!BG25</f>
        <v>8838</v>
      </c>
      <c r="W20" s="45">
        <f>Metrics!BH25</f>
        <v>8647</v>
      </c>
      <c r="X20" s="45">
        <f>Metrics!BJ25</f>
        <v>8541</v>
      </c>
      <c r="Y20" s="45">
        <f>Metrics!BK25</f>
        <v>8674</v>
      </c>
      <c r="Z20" s="45">
        <f>Metrics!BL25</f>
        <v>8793</v>
      </c>
      <c r="AA20" s="45">
        <f>Metrics!BM25</f>
        <v>8934</v>
      </c>
      <c r="AB20" s="45">
        <f>Metrics!BO25</f>
        <v>9069</v>
      </c>
      <c r="AC20" s="45">
        <f>Metrics!BP25</f>
        <v>9118</v>
      </c>
      <c r="AD20" s="45">
        <f>Metrics!BQ25</f>
        <v>9473</v>
      </c>
      <c r="AE20" s="45">
        <f>Metrics!BR25</f>
        <v>9645</v>
      </c>
      <c r="AF20" s="45">
        <f>Metrics!BT25</f>
        <v>9900</v>
      </c>
      <c r="AG20" s="45">
        <f>Metrics!BU25</f>
        <v>10150</v>
      </c>
      <c r="AH20" s="45">
        <f>Metrics!BV25</f>
        <v>10350</v>
      </c>
      <c r="AI20" s="45">
        <f>Metrics!BW25</f>
        <v>10400</v>
      </c>
      <c r="AJ20" s="45">
        <f>Metrics!BY25</f>
        <v>10350</v>
      </c>
      <c r="AK20" s="45">
        <f>Metrics!BZ25</f>
        <v>10550</v>
      </c>
      <c r="AL20" s="45">
        <f>Metrics!CA25</f>
        <v>10900</v>
      </c>
      <c r="AM20" s="45">
        <f>Metrics!CB25</f>
        <v>11100</v>
      </c>
      <c r="AN20" s="45">
        <f>Metrics!CC25</f>
        <v>11100</v>
      </c>
    </row>
    <row r="21" spans="3:40" ht="13.15" thickBot="1">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row>
    <row r="22" spans="3:40" ht="13.5" thickBot="1">
      <c r="D22" s="517" t="s">
        <v>160</v>
      </c>
      <c r="E22" s="513" t="s">
        <v>161</v>
      </c>
      <c r="F22" s="513" t="s">
        <v>162</v>
      </c>
      <c r="G22" s="516" t="s">
        <v>164</v>
      </c>
      <c r="H22" s="513" t="s">
        <v>177</v>
      </c>
      <c r="I22" s="513" t="s">
        <v>167</v>
      </c>
      <c r="J22" s="513" t="s">
        <v>171</v>
      </c>
      <c r="K22" s="513" t="s">
        <v>174</v>
      </c>
      <c r="L22" s="513" t="s">
        <v>178</v>
      </c>
      <c r="M22" s="513" t="s">
        <v>179</v>
      </c>
      <c r="N22" s="513" t="s">
        <v>180</v>
      </c>
      <c r="O22" s="513" t="s">
        <v>181</v>
      </c>
      <c r="P22" s="513" t="s">
        <v>324</v>
      </c>
      <c r="Q22" s="513" t="s">
        <v>325</v>
      </c>
      <c r="R22" s="513" t="s">
        <v>326</v>
      </c>
      <c r="S22" s="513" t="s">
        <v>327</v>
      </c>
      <c r="T22" s="517" t="s">
        <v>329</v>
      </c>
      <c r="U22" s="513" t="s">
        <v>330</v>
      </c>
      <c r="V22" s="513" t="s">
        <v>331</v>
      </c>
      <c r="W22" s="516" t="s">
        <v>332</v>
      </c>
      <c r="X22" s="517" t="s">
        <v>345</v>
      </c>
      <c r="Y22" s="513" t="s">
        <v>350</v>
      </c>
      <c r="Z22" s="513" t="s">
        <v>351</v>
      </c>
      <c r="AA22" s="513" t="s">
        <v>352</v>
      </c>
      <c r="AB22" s="513" t="s">
        <v>359</v>
      </c>
      <c r="AC22" s="513" t="s">
        <v>360</v>
      </c>
      <c r="AD22" s="513" t="s">
        <v>361</v>
      </c>
      <c r="AE22" s="513" t="s">
        <v>362</v>
      </c>
      <c r="AF22" s="513" t="s">
        <v>369</v>
      </c>
      <c r="AG22" s="513" t="s">
        <v>371</v>
      </c>
      <c r="AH22" s="513" t="s">
        <v>372</v>
      </c>
      <c r="AI22" s="513" t="s">
        <v>373</v>
      </c>
      <c r="AJ22" s="513" t="s">
        <v>374</v>
      </c>
      <c r="AK22" s="513" t="s">
        <v>375</v>
      </c>
      <c r="AL22" s="513" t="s">
        <v>378</v>
      </c>
      <c r="AM22" s="513" t="s">
        <v>379</v>
      </c>
      <c r="AN22" s="466">
        <v>2022</v>
      </c>
    </row>
    <row r="23" spans="3:40">
      <c r="C23" s="254" t="s">
        <v>424</v>
      </c>
      <c r="D23" s="129">
        <f>Metrics!AK26</f>
        <v>0.12645662494605103</v>
      </c>
      <c r="E23" s="129">
        <f>Metrics!AL26</f>
        <v>0.12281782706921329</v>
      </c>
      <c r="F23" s="129">
        <f>Metrics!AM26</f>
        <v>0.11518533280191301</v>
      </c>
      <c r="G23" s="129">
        <f>Metrics!AN26</f>
        <v>0.16094883356204659</v>
      </c>
      <c r="H23" s="129">
        <f>Metrics!AP26</f>
        <v>0.15191570881226046</v>
      </c>
      <c r="I23" s="129">
        <f>Metrics!AQ26</f>
        <v>0.13865008231205422</v>
      </c>
      <c r="J23" s="129">
        <f>Metrics!AR26</f>
        <v>0.15010721944245886</v>
      </c>
      <c r="K23" s="129">
        <f>Metrics!AS26</f>
        <v>0.11972306653157716</v>
      </c>
      <c r="L23" s="129">
        <f>Metrics!AU26</f>
        <v>0.17295858972226852</v>
      </c>
      <c r="M23" s="129">
        <f>Metrics!AV26</f>
        <v>0.16032128514056221</v>
      </c>
      <c r="N23" s="129">
        <f>Metrics!AW26</f>
        <v>0.14962709757613424</v>
      </c>
      <c r="O23" s="129">
        <f>Metrics!AX26</f>
        <v>0.14763987332227413</v>
      </c>
      <c r="P23" s="129">
        <f>Metrics!AZ26</f>
        <v>9.2726499361973636E-2</v>
      </c>
      <c r="Q23" s="129">
        <f>Metrics!BA26</f>
        <v>0.10660390419493293</v>
      </c>
      <c r="R23" s="129">
        <f>Metrics!BB26</f>
        <v>0.11082578726854986</v>
      </c>
      <c r="S23" s="129">
        <f>Metrics!BC26</f>
        <v>0.10919842312746386</v>
      </c>
      <c r="T23" s="129">
        <f>Metrics!BE26</f>
        <v>0.10276372129233158</v>
      </c>
      <c r="U23" s="129">
        <f>Metrics!BF26</f>
        <v>8.4073564368822629E-2</v>
      </c>
      <c r="V23" s="129">
        <f>Metrics!BG26</f>
        <v>7.5313298454799948E-2</v>
      </c>
      <c r="W23" s="129">
        <f>Metrics!BH26</f>
        <v>2.4404691387276412E-2</v>
      </c>
      <c r="X23" s="129">
        <f>Metrics!BJ26</f>
        <v>4.9417578538650808E-3</v>
      </c>
      <c r="Y23" s="129">
        <f>Metrics!BK26</f>
        <v>1.038661281015596E-3</v>
      </c>
      <c r="Z23" s="129">
        <f>Metrics!BL26</f>
        <v>-5.0916496945010437E-3</v>
      </c>
      <c r="AA23" s="129">
        <f>Metrics!BM26</f>
        <v>3.3190701977564574E-2</v>
      </c>
      <c r="AB23" s="129">
        <f>Metrics!BO26</f>
        <v>6.1819459079732964E-2</v>
      </c>
      <c r="AC23" s="129">
        <f>Metrics!BP26</f>
        <v>5.1187456767350703E-2</v>
      </c>
      <c r="AD23" s="129">
        <f>Metrics!BQ26</f>
        <v>7.733424314795867E-2</v>
      </c>
      <c r="AE23" s="129">
        <f>Metrics!BR26</f>
        <v>7.9583613163196842E-2</v>
      </c>
      <c r="AF23" s="129">
        <f>Metrics!BT26</f>
        <v>9.1630830301025368E-2</v>
      </c>
      <c r="AG23" s="129">
        <f>Metrics!BU26</f>
        <v>0.11318271550778669</v>
      </c>
      <c r="AH23" s="129">
        <f>Metrics!BV26</f>
        <v>9.2578908476723232E-2</v>
      </c>
      <c r="AI23" s="129">
        <f>Metrics!BW26</f>
        <v>7.827890098496626E-2</v>
      </c>
      <c r="AJ23" s="129">
        <f>Metrics!BY26</f>
        <v>4.5454545454545414E-2</v>
      </c>
      <c r="AK23" s="129">
        <f>Metrics!BZ26</f>
        <v>3.9408866995073843E-2</v>
      </c>
      <c r="AL23" s="129">
        <f>Metrics!CA26</f>
        <v>5.3140096618357502E-2</v>
      </c>
      <c r="AM23" s="129">
        <f>Metrics!CB26</f>
        <v>6.7307692307692291E-2</v>
      </c>
      <c r="AN23" s="129">
        <f>Metrics!CC26</f>
        <v>6.7307692307692291E-2</v>
      </c>
    </row>
    <row r="24" spans="3:40">
      <c r="C24" t="str">
        <f>C18</f>
        <v>Customer Additions</v>
      </c>
      <c r="D24">
        <f t="shared" ref="D24:AM24" si="0">D18</f>
        <v>326</v>
      </c>
      <c r="E24">
        <f t="shared" si="0"/>
        <v>729</v>
      </c>
      <c r="F24">
        <f t="shared" si="0"/>
        <v>473</v>
      </c>
      <c r="G24">
        <f t="shared" si="0"/>
        <v>765</v>
      </c>
      <c r="H24">
        <f t="shared" si="0"/>
        <v>453</v>
      </c>
      <c r="I24">
        <f t="shared" si="0"/>
        <v>310</v>
      </c>
      <c r="J24">
        <f t="shared" si="0"/>
        <v>346</v>
      </c>
      <c r="K24">
        <f t="shared" si="0"/>
        <v>318</v>
      </c>
      <c r="L24">
        <f t="shared" si="0"/>
        <v>407</v>
      </c>
      <c r="M24">
        <f t="shared" si="0"/>
        <v>369</v>
      </c>
      <c r="N24">
        <f t="shared" si="0"/>
        <v>397</v>
      </c>
      <c r="O24">
        <f t="shared" si="0"/>
        <v>222</v>
      </c>
      <c r="P24">
        <f t="shared" si="0"/>
        <v>196</v>
      </c>
      <c r="Q24">
        <f t="shared" si="0"/>
        <v>152</v>
      </c>
      <c r="R24">
        <f t="shared" si="0"/>
        <v>206</v>
      </c>
      <c r="S24">
        <f t="shared" si="0"/>
        <v>392</v>
      </c>
      <c r="T24">
        <f t="shared" si="0"/>
        <v>137</v>
      </c>
      <c r="U24">
        <f t="shared" si="0"/>
        <v>324</v>
      </c>
      <c r="V24">
        <f t="shared" si="0"/>
        <v>657</v>
      </c>
      <c r="W24">
        <f t="shared" si="0"/>
        <v>2439</v>
      </c>
      <c r="X24">
        <f t="shared" si="0"/>
        <v>158</v>
      </c>
      <c r="Y24">
        <f t="shared" si="0"/>
        <v>423</v>
      </c>
      <c r="Z24">
        <f t="shared" si="0"/>
        <v>662</v>
      </c>
      <c r="AA24">
        <f t="shared" si="0"/>
        <v>220</v>
      </c>
      <c r="AB24">
        <f t="shared" si="0"/>
        <v>229</v>
      </c>
      <c r="AC24">
        <f t="shared" si="0"/>
        <v>468</v>
      </c>
      <c r="AD24">
        <f t="shared" si="0"/>
        <v>557</v>
      </c>
      <c r="AE24">
        <f t="shared" si="0"/>
        <v>1126</v>
      </c>
      <c r="AF24">
        <f t="shared" si="0"/>
        <v>699</v>
      </c>
      <c r="AG24">
        <f t="shared" si="0"/>
        <v>700</v>
      </c>
      <c r="AH24">
        <f t="shared" si="0"/>
        <v>850</v>
      </c>
      <c r="AI24">
        <f t="shared" si="0"/>
        <v>2100</v>
      </c>
      <c r="AJ24">
        <f t="shared" si="0"/>
        <v>400</v>
      </c>
      <c r="AK24">
        <f t="shared" si="0"/>
        <v>750</v>
      </c>
      <c r="AL24">
        <f t="shared" si="0"/>
        <v>900</v>
      </c>
      <c r="AM24">
        <f t="shared" si="0"/>
        <v>2750</v>
      </c>
    </row>
    <row r="25" spans="3:40">
      <c r="AL25">
        <f>AL24-500</f>
        <v>400</v>
      </c>
      <c r="AM25">
        <v>250</v>
      </c>
    </row>
    <row r="26" spans="3:40">
      <c r="AL26" t="s">
        <v>430</v>
      </c>
    </row>
    <row r="59" spans="3:8">
      <c r="D59" t="s">
        <v>500</v>
      </c>
      <c r="E59" s="768" t="s">
        <v>498</v>
      </c>
      <c r="F59" s="768" t="s">
        <v>499</v>
      </c>
      <c r="G59" s="768" t="s">
        <v>459</v>
      </c>
      <c r="H59" s="768" t="s">
        <v>460</v>
      </c>
    </row>
    <row r="60" spans="3:8">
      <c r="C60" t="s">
        <v>497</v>
      </c>
      <c r="D60" s="609"/>
      <c r="E60" s="609">
        <v>17.75</v>
      </c>
      <c r="F60" s="609">
        <v>10.7</v>
      </c>
      <c r="G60" s="609">
        <v>23</v>
      </c>
      <c r="H60" s="609">
        <v>60.1</v>
      </c>
    </row>
    <row r="61" spans="3:8">
      <c r="C61" t="s">
        <v>471</v>
      </c>
      <c r="D61" s="609">
        <f>IS!BX4/1000</f>
        <v>385.27600000000001</v>
      </c>
      <c r="E61" s="609">
        <f>IS!CC4/1000</f>
        <v>450.875</v>
      </c>
      <c r="F61" s="609">
        <f>IS!CH4/1000</f>
        <v>536.91</v>
      </c>
      <c r="G61" s="609">
        <f>IS!CM4/1000</f>
        <v>637.76499999999999</v>
      </c>
      <c r="H61" s="609">
        <f>IS!CR4/1000</f>
        <v>751.505</v>
      </c>
    </row>
    <row r="62" spans="3:8">
      <c r="C62" s="254" t="s">
        <v>133</v>
      </c>
      <c r="E62" s="609">
        <f>E61-E60</f>
        <v>433.125</v>
      </c>
      <c r="F62" s="609">
        <f t="shared" ref="F62:H62" si="1">F61-F60</f>
        <v>526.20999999999992</v>
      </c>
      <c r="G62" s="609">
        <f t="shared" si="1"/>
        <v>614.76499999999999</v>
      </c>
      <c r="H62" s="609">
        <f t="shared" si="1"/>
        <v>691.40499999999997</v>
      </c>
    </row>
    <row r="63" spans="3:8">
      <c r="C63" s="254" t="s">
        <v>501</v>
      </c>
      <c r="E63" s="72">
        <f>E62/D61-1</f>
        <v>0.12419408424090772</v>
      </c>
      <c r="F63" s="72">
        <f t="shared" ref="F63:H63" si="2">F62/E61-1</f>
        <v>0.16708622123648453</v>
      </c>
      <c r="G63" s="72">
        <f t="shared" si="2"/>
        <v>0.14500568065411334</v>
      </c>
      <c r="H63" s="72">
        <f t="shared" si="2"/>
        <v>8.4106214671548329E-2</v>
      </c>
    </row>
    <row r="67" spans="3:19">
      <c r="D67">
        <f>IS!U3</f>
        <v>2010</v>
      </c>
      <c r="E67">
        <f>D67+1</f>
        <v>2011</v>
      </c>
      <c r="F67">
        <f t="shared" ref="F67:G67" si="3">E67+1</f>
        <v>2012</v>
      </c>
      <c r="G67">
        <f t="shared" si="3"/>
        <v>2013</v>
      </c>
      <c r="H67">
        <f t="shared" ref="H67:Q67" si="4">G67+1</f>
        <v>2014</v>
      </c>
      <c r="I67">
        <f t="shared" si="4"/>
        <v>2015</v>
      </c>
      <c r="J67">
        <f t="shared" si="4"/>
        <v>2016</v>
      </c>
      <c r="K67">
        <f t="shared" si="4"/>
        <v>2017</v>
      </c>
      <c r="L67">
        <f t="shared" si="4"/>
        <v>2018</v>
      </c>
      <c r="M67">
        <f t="shared" si="4"/>
        <v>2019</v>
      </c>
      <c r="N67">
        <f t="shared" si="4"/>
        <v>2020</v>
      </c>
      <c r="O67">
        <f t="shared" si="4"/>
        <v>2021</v>
      </c>
      <c r="P67">
        <f t="shared" si="4"/>
        <v>2022</v>
      </c>
      <c r="Q67">
        <f t="shared" si="4"/>
        <v>2023</v>
      </c>
      <c r="R67">
        <f t="shared" ref="R67" si="5">Q67+1</f>
        <v>2024</v>
      </c>
      <c r="S67" s="768" t="s">
        <v>454</v>
      </c>
    </row>
    <row r="68" spans="3:19">
      <c r="C68" t="s">
        <v>502</v>
      </c>
      <c r="D68" s="70">
        <f>IS!U22</f>
        <v>0.71919635849945063</v>
      </c>
      <c r="E68" s="70">
        <f ca="1">OFFSET(IS!$U$22,0,5*(E67-2010))</f>
        <v>0.73932619158515755</v>
      </c>
      <c r="F68" s="70">
        <f ca="1">OFFSET(IS!$U$22,0,5*(F67-2010))</f>
        <v>0.72015147978108063</v>
      </c>
      <c r="G68" s="70">
        <f ca="1">OFFSET(IS!$U$22,0,5*(G67-2010))</f>
        <v>0.70010824687952022</v>
      </c>
      <c r="H68" s="70">
        <f ca="1">OFFSET(IS!$U$22,0,5*(H67-2010))</f>
        <v>0.69223975552377159</v>
      </c>
      <c r="I68" s="70">
        <f ca="1">OFFSET(IS!$U$22,0,5*(I67-2010))</f>
        <v>0.69054618402957391</v>
      </c>
      <c r="J68" s="70">
        <f ca="1">OFFSET(IS!$U$22,0,5*(J67-2010))</f>
        <v>0.67388189037481572</v>
      </c>
      <c r="K68" s="70">
        <f ca="1">OFFSET(IS!$U$22,0,5*(K67-2010))</f>
        <v>0.67475494863215546</v>
      </c>
      <c r="L68" s="70">
        <f ca="1">OFFSET(IS!$U$22,0,5*(L67-2010))</f>
        <v>0.67942313889784078</v>
      </c>
      <c r="M68" s="70">
        <f ca="1">OFFSET(IS!$U$22,0,5*(M67-2010))</f>
        <v>0.67964058984537334</v>
      </c>
      <c r="N68" s="70">
        <f ca="1">OFFSET(IS!$U$22,0,5*(N67-2010))</f>
        <v>0.69328599302690086</v>
      </c>
      <c r="O68" s="70">
        <f ca="1">OFFSET(IS!$U$22,0,5*(O67-2010))</f>
        <v>0.67577009728091031</v>
      </c>
      <c r="P68" s="70">
        <f ca="1">OFFSET(IS!$U$22,0,5*(P67-2010))</f>
        <v>0.67977599112836151</v>
      </c>
      <c r="Q68" s="70">
        <f ca="1">OFFSET(IS!$U$22,0,5*(Q67-2010))</f>
        <v>0.67983460915237193</v>
      </c>
      <c r="R68" s="70">
        <f ca="1">OFFSET(IS!$U$22,0,5*(R67-2010))</f>
        <v>0.68692073099025508</v>
      </c>
      <c r="S68" s="70">
        <f ca="1">OFFSET(IS!$U$22,0,5*(2025-2010))</f>
        <v>0.7069799934797506</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2:G40"/>
  <sheetViews>
    <sheetView showGridLines="0" topLeftCell="A16" workbookViewId="0">
      <selection activeCell="B5" sqref="B5"/>
    </sheetView>
  </sheetViews>
  <sheetFormatPr defaultRowHeight="12.75"/>
  <cols>
    <col min="1" max="1" width="14.796875" customWidth="1"/>
    <col min="2" max="2" width="10.46484375" customWidth="1"/>
    <col min="3" max="3" width="15.53125" bestFit="1" customWidth="1"/>
    <col min="4" max="4" width="10.53125" bestFit="1" customWidth="1"/>
    <col min="5" max="5" width="10.46484375" customWidth="1"/>
    <col min="6" max="6" width="16.53125" bestFit="1" customWidth="1"/>
    <col min="7" max="7" width="11.265625" bestFit="1" customWidth="1"/>
  </cols>
  <sheetData>
    <row r="2" spans="1:7" ht="13.15" thickBot="1"/>
    <row r="3" spans="1:7" ht="14.25">
      <c r="A3" s="153" t="s">
        <v>119</v>
      </c>
      <c r="B3" s="154" t="s">
        <v>169</v>
      </c>
      <c r="C3" s="155" t="s">
        <v>194</v>
      </c>
      <c r="D3" s="156" t="s">
        <v>169</v>
      </c>
      <c r="E3" s="154" t="s">
        <v>169</v>
      </c>
      <c r="F3" s="155" t="s">
        <v>195</v>
      </c>
      <c r="G3" s="156" t="s">
        <v>169</v>
      </c>
    </row>
    <row r="4" spans="1:7" ht="14.65" thickBot="1">
      <c r="A4" s="157"/>
      <c r="B4" s="158" t="s">
        <v>193</v>
      </c>
      <c r="C4" s="159" t="s">
        <v>116</v>
      </c>
      <c r="D4" s="160" t="s">
        <v>192</v>
      </c>
      <c r="E4" s="158" t="s">
        <v>196</v>
      </c>
      <c r="F4" s="159" t="s">
        <v>116</v>
      </c>
      <c r="G4" s="160" t="s">
        <v>197</v>
      </c>
    </row>
    <row r="5" spans="1:7">
      <c r="A5" s="24" t="s">
        <v>117</v>
      </c>
      <c r="B5" s="188" t="s">
        <v>198</v>
      </c>
      <c r="C5" s="189" t="s">
        <v>201</v>
      </c>
      <c r="D5" s="193" t="s">
        <v>205</v>
      </c>
      <c r="E5" s="190" t="s">
        <v>199</v>
      </c>
      <c r="F5" s="189" t="s">
        <v>203</v>
      </c>
      <c r="G5" s="191" t="s">
        <v>206</v>
      </c>
    </row>
    <row r="6" spans="1:7" ht="13.15" thickBot="1">
      <c r="A6" s="55" t="s">
        <v>118</v>
      </c>
      <c r="B6" s="145">
        <v>0.22</v>
      </c>
      <c r="C6" s="148" t="s">
        <v>202</v>
      </c>
      <c r="D6" s="117">
        <v>0.21</v>
      </c>
      <c r="E6" s="192">
        <v>0.91</v>
      </c>
      <c r="F6" s="116" t="s">
        <v>204</v>
      </c>
      <c r="G6" s="117">
        <v>0.93</v>
      </c>
    </row>
    <row r="7" spans="1:7">
      <c r="A7" s="2" t="s">
        <v>168</v>
      </c>
      <c r="B7" s="91"/>
      <c r="C7" s="91"/>
      <c r="D7" s="91"/>
      <c r="E7" s="91"/>
      <c r="F7" s="91"/>
      <c r="G7" s="91"/>
    </row>
    <row r="9" spans="1:7" ht="13.15" thickBot="1"/>
    <row r="10" spans="1:7" ht="14.25">
      <c r="A10" s="153" t="s">
        <v>119</v>
      </c>
      <c r="B10" s="154" t="s">
        <v>169</v>
      </c>
      <c r="C10" s="155" t="s">
        <v>226</v>
      </c>
      <c r="D10" s="156" t="s">
        <v>169</v>
      </c>
      <c r="E10" s="154" t="s">
        <v>169</v>
      </c>
      <c r="F10" s="155" t="s">
        <v>195</v>
      </c>
      <c r="G10" s="156" t="s">
        <v>169</v>
      </c>
    </row>
    <row r="11" spans="1:7" ht="14.65" thickBot="1">
      <c r="A11" s="157"/>
      <c r="B11" s="158" t="s">
        <v>224</v>
      </c>
      <c r="C11" s="159" t="s">
        <v>116</v>
      </c>
      <c r="D11" s="160" t="s">
        <v>225</v>
      </c>
      <c r="E11" s="158" t="s">
        <v>196</v>
      </c>
      <c r="F11" s="159" t="s">
        <v>116</v>
      </c>
      <c r="G11" s="160" t="s">
        <v>197</v>
      </c>
    </row>
    <row r="12" spans="1:7">
      <c r="A12" s="24" t="s">
        <v>117</v>
      </c>
      <c r="B12" s="188" t="s">
        <v>231</v>
      </c>
      <c r="C12" s="189" t="s">
        <v>230</v>
      </c>
      <c r="D12" s="189" t="s">
        <v>234</v>
      </c>
      <c r="E12" s="245" t="s">
        <v>206</v>
      </c>
      <c r="F12" s="189" t="s">
        <v>227</v>
      </c>
      <c r="G12" s="191" t="s">
        <v>233</v>
      </c>
    </row>
    <row r="13" spans="1:7" ht="13.15" thickBot="1">
      <c r="A13" s="55" t="s">
        <v>118</v>
      </c>
      <c r="B13" s="145">
        <v>0.23</v>
      </c>
      <c r="C13" s="148" t="s">
        <v>229</v>
      </c>
      <c r="D13" s="192">
        <f>IS!AV67</f>
        <v>0.22827102803738317</v>
      </c>
      <c r="E13" s="145">
        <v>0.93</v>
      </c>
      <c r="F13" s="116" t="s">
        <v>228</v>
      </c>
      <c r="G13" s="117">
        <f>IS!AY67</f>
        <v>1.0087719298245614</v>
      </c>
    </row>
    <row r="14" spans="1:7">
      <c r="A14" s="2" t="s">
        <v>168</v>
      </c>
      <c r="B14" s="91"/>
      <c r="C14" s="91"/>
      <c r="D14" s="91"/>
      <c r="E14" s="91"/>
      <c r="F14" s="91"/>
      <c r="G14" s="91"/>
    </row>
    <row r="16" spans="1:7" ht="13.15" thickBot="1"/>
    <row r="17" spans="1:7" ht="14.25">
      <c r="A17" s="153" t="s">
        <v>119</v>
      </c>
      <c r="B17" s="154" t="s">
        <v>169</v>
      </c>
      <c r="C17" s="155" t="s">
        <v>236</v>
      </c>
      <c r="D17" s="156" t="s">
        <v>169</v>
      </c>
      <c r="E17" s="154" t="s">
        <v>169</v>
      </c>
      <c r="F17" s="155" t="s">
        <v>195</v>
      </c>
      <c r="G17" s="156" t="s">
        <v>169</v>
      </c>
    </row>
    <row r="18" spans="1:7" ht="14.65" thickBot="1">
      <c r="A18" s="157"/>
      <c r="B18" s="158" t="s">
        <v>235</v>
      </c>
      <c r="C18" s="159" t="s">
        <v>116</v>
      </c>
      <c r="D18" s="160" t="s">
        <v>237</v>
      </c>
      <c r="E18" s="158" t="s">
        <v>196</v>
      </c>
      <c r="F18" s="159" t="s">
        <v>116</v>
      </c>
      <c r="G18" s="160" t="s">
        <v>197</v>
      </c>
    </row>
    <row r="19" spans="1:7">
      <c r="A19" s="24" t="s">
        <v>117</v>
      </c>
      <c r="B19" s="252" t="s">
        <v>238</v>
      </c>
      <c r="C19" s="189" t="s">
        <v>242</v>
      </c>
      <c r="D19" s="191">
        <f>IS!AW4/1000</f>
        <v>49.283999999999999</v>
      </c>
      <c r="E19" s="245" t="s">
        <v>206</v>
      </c>
      <c r="F19" s="189" t="s">
        <v>240</v>
      </c>
      <c r="G19" s="191">
        <f>IS!AY4/1000</f>
        <v>193.29499999999999</v>
      </c>
    </row>
    <row r="20" spans="1:7" ht="13.15" thickBot="1">
      <c r="A20" s="55" t="s">
        <v>118</v>
      </c>
      <c r="B20" s="145">
        <v>0.24025475361309415</v>
      </c>
      <c r="C20" s="116" t="s">
        <v>243</v>
      </c>
      <c r="D20" s="251">
        <f>IS!AW67</f>
        <v>0.26993829652269191</v>
      </c>
      <c r="E20" s="145">
        <v>0.93</v>
      </c>
      <c r="F20" s="116" t="s">
        <v>241</v>
      </c>
      <c r="G20" s="251">
        <f>IS!AY67</f>
        <v>1.0087719298245614</v>
      </c>
    </row>
    <row r="21" spans="1:7">
      <c r="A21" s="2" t="s">
        <v>168</v>
      </c>
      <c r="B21" s="91"/>
      <c r="C21" s="91"/>
      <c r="D21" s="91"/>
      <c r="E21" s="91"/>
      <c r="F21" s="91"/>
      <c r="G21" s="91"/>
    </row>
    <row r="29" spans="1:7">
      <c r="C29" t="s">
        <v>365</v>
      </c>
      <c r="D29" t="s">
        <v>367</v>
      </c>
      <c r="F29" s="460" t="s">
        <v>366</v>
      </c>
    </row>
    <row r="30" spans="1:7">
      <c r="C30" s="460" t="s">
        <v>353</v>
      </c>
      <c r="D30" s="460">
        <v>306.5</v>
      </c>
      <c r="E30" s="460">
        <v>308.5</v>
      </c>
      <c r="F30" s="460">
        <f>MEDIAN(D30:E30)</f>
        <v>307.5</v>
      </c>
    </row>
    <row r="31" spans="1:7">
      <c r="C31" s="460" t="s">
        <v>354</v>
      </c>
      <c r="D31" s="460">
        <v>83</v>
      </c>
      <c r="E31" s="460">
        <v>84.5</v>
      </c>
      <c r="F31" s="460">
        <f t="shared" ref="F31:F32" si="0">MEDIAN(D31:E31)</f>
        <v>83.75</v>
      </c>
    </row>
    <row r="32" spans="1:7">
      <c r="C32" s="460" t="s">
        <v>305</v>
      </c>
      <c r="D32" s="460">
        <v>1.34</v>
      </c>
      <c r="E32" s="460">
        <v>1.37</v>
      </c>
      <c r="F32" s="460">
        <f t="shared" si="0"/>
        <v>1.355</v>
      </c>
    </row>
    <row r="33" spans="3:6">
      <c r="C33" t="s">
        <v>365</v>
      </c>
      <c r="D33" t="s">
        <v>363</v>
      </c>
      <c r="F33" s="460" t="s">
        <v>366</v>
      </c>
    </row>
    <row r="34" spans="3:6">
      <c r="C34" s="460" t="s">
        <v>353</v>
      </c>
      <c r="D34" s="460"/>
      <c r="E34" s="460"/>
      <c r="F34" s="460"/>
    </row>
    <row r="35" spans="3:6">
      <c r="C35" s="460" t="s">
        <v>354</v>
      </c>
      <c r="D35" s="460"/>
      <c r="E35" s="460"/>
      <c r="F35" s="460"/>
    </row>
    <row r="36" spans="3:6">
      <c r="C36" s="460" t="s">
        <v>305</v>
      </c>
      <c r="D36" s="460"/>
      <c r="E36" s="460"/>
      <c r="F36" s="460"/>
    </row>
    <row r="37" spans="3:6">
      <c r="C37" t="s">
        <v>365</v>
      </c>
      <c r="D37" t="s">
        <v>364</v>
      </c>
      <c r="F37" s="460" t="s">
        <v>366</v>
      </c>
    </row>
    <row r="38" spans="3:6">
      <c r="C38" s="460" t="s">
        <v>353</v>
      </c>
      <c r="D38" s="460"/>
      <c r="E38" s="460"/>
      <c r="F38" s="460">
        <v>304.60000000000002</v>
      </c>
    </row>
    <row r="39" spans="3:6">
      <c r="C39" s="460" t="s">
        <v>354</v>
      </c>
      <c r="D39" s="460"/>
      <c r="E39" s="460"/>
      <c r="F39" s="460">
        <v>82.5</v>
      </c>
    </row>
    <row r="40" spans="3:6">
      <c r="C40" s="460" t="s">
        <v>305</v>
      </c>
      <c r="D40" s="460"/>
      <c r="E40" s="460"/>
      <c r="F40" s="460">
        <v>1.35</v>
      </c>
    </row>
  </sheetData>
  <phoneticPr fontId="8" type="noConversion"/>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A48"/>
  <sheetViews>
    <sheetView topLeftCell="A4" zoomScale="90" zoomScaleNormal="90" workbookViewId="0">
      <selection activeCell="C14" sqref="C14"/>
    </sheetView>
  </sheetViews>
  <sheetFormatPr defaultColWidth="16.265625" defaultRowHeight="15" outlineLevelCol="1"/>
  <cols>
    <col min="1" max="1" width="57" style="273" customWidth="1"/>
    <col min="2" max="2" width="19.265625" style="273" bestFit="1" customWidth="1"/>
    <col min="3" max="3" width="14.53125" style="282" bestFit="1" customWidth="1"/>
    <col min="4" max="4" width="15.73046875" style="263" customWidth="1" outlineLevel="1"/>
    <col min="5" max="5" width="11.265625" style="263" customWidth="1" outlineLevel="1"/>
    <col min="6" max="7" width="12.73046875" style="263" customWidth="1" outlineLevel="1"/>
    <col min="8" max="8" width="12.73046875" style="263" customWidth="1"/>
    <col min="9" max="12" width="12.73046875" style="263" customWidth="1" outlineLevel="1"/>
    <col min="13" max="13" width="15.265625" style="263" customWidth="1"/>
    <col min="14" max="17" width="12.73046875" style="263" customWidth="1" outlineLevel="1"/>
    <col min="18" max="18" width="12.73046875" style="263" customWidth="1"/>
    <col min="19" max="22" width="12.73046875" style="263" customWidth="1" outlineLevel="1"/>
    <col min="23" max="23" width="12.73046875" style="263" customWidth="1"/>
    <col min="24" max="27" width="12.73046875" style="263" customWidth="1" outlineLevel="1"/>
    <col min="28" max="28" width="12.73046875" style="263" customWidth="1"/>
    <col min="29" max="32" width="16.265625" style="263"/>
    <col min="33" max="33" width="1.73046875" style="263" bestFit="1" customWidth="1"/>
    <col min="34" max="34" width="19.53125" style="263" bestFit="1" customWidth="1"/>
    <col min="35" max="35" width="2" style="263" bestFit="1" customWidth="1"/>
    <col min="36" max="36" width="17.46484375" style="263" bestFit="1" customWidth="1"/>
    <col min="37" max="207" width="16.265625" style="263"/>
    <col min="208" max="208" width="57.265625" style="263" customWidth="1"/>
    <col min="209" max="209" width="62.46484375" style="263" customWidth="1"/>
    <col min="210" max="210" width="13.796875" style="263" customWidth="1"/>
    <col min="211" max="211" width="12.796875" style="263" customWidth="1"/>
    <col min="212" max="215" width="0" style="263" hidden="1" customWidth="1"/>
    <col min="216" max="216" width="12.796875" style="263" bestFit="1" customWidth="1"/>
    <col min="217" max="220" width="0" style="263" hidden="1" customWidth="1"/>
    <col min="221" max="221" width="13.19921875" style="263" bestFit="1" customWidth="1"/>
    <col min="222" max="225" width="0" style="263" hidden="1" customWidth="1"/>
    <col min="226" max="226" width="13.19921875" style="263" bestFit="1" customWidth="1"/>
    <col min="227" max="230" width="11.73046875" style="263" bestFit="1" customWidth="1"/>
    <col min="231" max="231" width="14.46484375" style="263" bestFit="1" customWidth="1"/>
    <col min="232" max="261" width="16.265625" style="263"/>
    <col min="262" max="262" width="57" style="263" customWidth="1"/>
    <col min="263" max="263" width="19.265625" style="263" bestFit="1" customWidth="1"/>
    <col min="264" max="264" width="14.53125" style="263" bestFit="1" customWidth="1"/>
    <col min="265" max="284" width="12.73046875" style="263" customWidth="1"/>
    <col min="285" max="288" width="16.265625" style="263"/>
    <col min="289" max="289" width="1.73046875" style="263" bestFit="1" customWidth="1"/>
    <col min="290" max="290" width="19.53125" style="263" bestFit="1" customWidth="1"/>
    <col min="291" max="291" width="2" style="263" bestFit="1" customWidth="1"/>
    <col min="292" max="292" width="17.46484375" style="263" bestFit="1" customWidth="1"/>
    <col min="293" max="463" width="16.265625" style="263"/>
    <col min="464" max="464" width="57.265625" style="263" customWidth="1"/>
    <col min="465" max="465" width="62.46484375" style="263" customWidth="1"/>
    <col min="466" max="466" width="13.796875" style="263" customWidth="1"/>
    <col min="467" max="467" width="12.796875" style="263" customWidth="1"/>
    <col min="468" max="471" width="0" style="263" hidden="1" customWidth="1"/>
    <col min="472" max="472" width="12.796875" style="263" bestFit="1" customWidth="1"/>
    <col min="473" max="476" width="0" style="263" hidden="1" customWidth="1"/>
    <col min="477" max="477" width="13.19921875" style="263" bestFit="1" customWidth="1"/>
    <col min="478" max="481" width="0" style="263" hidden="1" customWidth="1"/>
    <col min="482" max="482" width="13.19921875" style="263" bestFit="1" customWidth="1"/>
    <col min="483" max="486" width="11.73046875" style="263" bestFit="1" customWidth="1"/>
    <col min="487" max="487" width="14.46484375" style="263" bestFit="1" customWidth="1"/>
    <col min="488" max="517" width="16.265625" style="263"/>
    <col min="518" max="518" width="57" style="263" customWidth="1"/>
    <col min="519" max="519" width="19.265625" style="263" bestFit="1" customWidth="1"/>
    <col min="520" max="520" width="14.53125" style="263" bestFit="1" customWidth="1"/>
    <col min="521" max="540" width="12.73046875" style="263" customWidth="1"/>
    <col min="541" max="544" width="16.265625" style="263"/>
    <col min="545" max="545" width="1.73046875" style="263" bestFit="1" customWidth="1"/>
    <col min="546" max="546" width="19.53125" style="263" bestFit="1" customWidth="1"/>
    <col min="547" max="547" width="2" style="263" bestFit="1" customWidth="1"/>
    <col min="548" max="548" width="17.46484375" style="263" bestFit="1" customWidth="1"/>
    <col min="549" max="719" width="16.265625" style="263"/>
    <col min="720" max="720" width="57.265625" style="263" customWidth="1"/>
    <col min="721" max="721" width="62.46484375" style="263" customWidth="1"/>
    <col min="722" max="722" width="13.796875" style="263" customWidth="1"/>
    <col min="723" max="723" width="12.796875" style="263" customWidth="1"/>
    <col min="724" max="727" width="0" style="263" hidden="1" customWidth="1"/>
    <col min="728" max="728" width="12.796875" style="263" bestFit="1" customWidth="1"/>
    <col min="729" max="732" width="0" style="263" hidden="1" customWidth="1"/>
    <col min="733" max="733" width="13.19921875" style="263" bestFit="1" customWidth="1"/>
    <col min="734" max="737" width="0" style="263" hidden="1" customWidth="1"/>
    <col min="738" max="738" width="13.19921875" style="263" bestFit="1" customWidth="1"/>
    <col min="739" max="742" width="11.73046875" style="263" bestFit="1" customWidth="1"/>
    <col min="743" max="743" width="14.46484375" style="263" bestFit="1" customWidth="1"/>
    <col min="744" max="773" width="16.265625" style="263"/>
    <col min="774" max="774" width="57" style="263" customWidth="1"/>
    <col min="775" max="775" width="19.265625" style="263" bestFit="1" customWidth="1"/>
    <col min="776" max="776" width="14.53125" style="263" bestFit="1" customWidth="1"/>
    <col min="777" max="796" width="12.73046875" style="263" customWidth="1"/>
    <col min="797" max="800" width="16.265625" style="263"/>
    <col min="801" max="801" width="1.73046875" style="263" bestFit="1" customWidth="1"/>
    <col min="802" max="802" width="19.53125" style="263" bestFit="1" customWidth="1"/>
    <col min="803" max="803" width="2" style="263" bestFit="1" customWidth="1"/>
    <col min="804" max="804" width="17.46484375" style="263" bestFit="1" customWidth="1"/>
    <col min="805" max="975" width="16.265625" style="263"/>
    <col min="976" max="976" width="57.265625" style="263" customWidth="1"/>
    <col min="977" max="977" width="62.46484375" style="263" customWidth="1"/>
    <col min="978" max="978" width="13.796875" style="263" customWidth="1"/>
    <col min="979" max="979" width="12.796875" style="263" customWidth="1"/>
    <col min="980" max="983" width="0" style="263" hidden="1" customWidth="1"/>
    <col min="984" max="984" width="12.796875" style="263" bestFit="1" customWidth="1"/>
    <col min="985" max="988" width="0" style="263" hidden="1" customWidth="1"/>
    <col min="989" max="989" width="13.19921875" style="263" bestFit="1" customWidth="1"/>
    <col min="990" max="993" width="0" style="263" hidden="1" customWidth="1"/>
    <col min="994" max="994" width="13.19921875" style="263" bestFit="1" customWidth="1"/>
    <col min="995" max="998" width="11.73046875" style="263" bestFit="1" customWidth="1"/>
    <col min="999" max="999" width="14.46484375" style="263" bestFit="1" customWidth="1"/>
    <col min="1000" max="1029" width="16.265625" style="263"/>
    <col min="1030" max="1030" width="57" style="263" customWidth="1"/>
    <col min="1031" max="1031" width="19.265625" style="263" bestFit="1" customWidth="1"/>
    <col min="1032" max="1032" width="14.53125" style="263" bestFit="1" customWidth="1"/>
    <col min="1033" max="1052" width="12.73046875" style="263" customWidth="1"/>
    <col min="1053" max="1056" width="16.265625" style="263"/>
    <col min="1057" max="1057" width="1.73046875" style="263" bestFit="1" customWidth="1"/>
    <col min="1058" max="1058" width="19.53125" style="263" bestFit="1" customWidth="1"/>
    <col min="1059" max="1059" width="2" style="263" bestFit="1" customWidth="1"/>
    <col min="1060" max="1060" width="17.46484375" style="263" bestFit="1" customWidth="1"/>
    <col min="1061" max="1231" width="16.265625" style="263"/>
    <col min="1232" max="1232" width="57.265625" style="263" customWidth="1"/>
    <col min="1233" max="1233" width="62.46484375" style="263" customWidth="1"/>
    <col min="1234" max="1234" width="13.796875" style="263" customWidth="1"/>
    <col min="1235" max="1235" width="12.796875" style="263" customWidth="1"/>
    <col min="1236" max="1239" width="0" style="263" hidden="1" customWidth="1"/>
    <col min="1240" max="1240" width="12.796875" style="263" bestFit="1" customWidth="1"/>
    <col min="1241" max="1244" width="0" style="263" hidden="1" customWidth="1"/>
    <col min="1245" max="1245" width="13.19921875" style="263" bestFit="1" customWidth="1"/>
    <col min="1246" max="1249" width="0" style="263" hidden="1" customWidth="1"/>
    <col min="1250" max="1250" width="13.19921875" style="263" bestFit="1" customWidth="1"/>
    <col min="1251" max="1254" width="11.73046875" style="263" bestFit="1" customWidth="1"/>
    <col min="1255" max="1255" width="14.46484375" style="263" bestFit="1" customWidth="1"/>
    <col min="1256" max="1285" width="16.265625" style="263"/>
    <col min="1286" max="1286" width="57" style="263" customWidth="1"/>
    <col min="1287" max="1287" width="19.265625" style="263" bestFit="1" customWidth="1"/>
    <col min="1288" max="1288" width="14.53125" style="263" bestFit="1" customWidth="1"/>
    <col min="1289" max="1308" width="12.73046875" style="263" customWidth="1"/>
    <col min="1309" max="1312" width="16.265625" style="263"/>
    <col min="1313" max="1313" width="1.73046875" style="263" bestFit="1" customWidth="1"/>
    <col min="1314" max="1314" width="19.53125" style="263" bestFit="1" customWidth="1"/>
    <col min="1315" max="1315" width="2" style="263" bestFit="1" customWidth="1"/>
    <col min="1316" max="1316" width="17.46484375" style="263" bestFit="1" customWidth="1"/>
    <col min="1317" max="1487" width="16.265625" style="263"/>
    <col min="1488" max="1488" width="57.265625" style="263" customWidth="1"/>
    <col min="1489" max="1489" width="62.46484375" style="263" customWidth="1"/>
    <col min="1490" max="1490" width="13.796875" style="263" customWidth="1"/>
    <col min="1491" max="1491" width="12.796875" style="263" customWidth="1"/>
    <col min="1492" max="1495" width="0" style="263" hidden="1" customWidth="1"/>
    <col min="1496" max="1496" width="12.796875" style="263" bestFit="1" customWidth="1"/>
    <col min="1497" max="1500" width="0" style="263" hidden="1" customWidth="1"/>
    <col min="1501" max="1501" width="13.19921875" style="263" bestFit="1" customWidth="1"/>
    <col min="1502" max="1505" width="0" style="263" hidden="1" customWidth="1"/>
    <col min="1506" max="1506" width="13.19921875" style="263" bestFit="1" customWidth="1"/>
    <col min="1507" max="1510" width="11.73046875" style="263" bestFit="1" customWidth="1"/>
    <col min="1511" max="1511" width="14.46484375" style="263" bestFit="1" customWidth="1"/>
    <col min="1512" max="1541" width="16.265625" style="263"/>
    <col min="1542" max="1542" width="57" style="263" customWidth="1"/>
    <col min="1543" max="1543" width="19.265625" style="263" bestFit="1" customWidth="1"/>
    <col min="1544" max="1544" width="14.53125" style="263" bestFit="1" customWidth="1"/>
    <col min="1545" max="1564" width="12.73046875" style="263" customWidth="1"/>
    <col min="1565" max="1568" width="16.265625" style="263"/>
    <col min="1569" max="1569" width="1.73046875" style="263" bestFit="1" customWidth="1"/>
    <col min="1570" max="1570" width="19.53125" style="263" bestFit="1" customWidth="1"/>
    <col min="1571" max="1571" width="2" style="263" bestFit="1" customWidth="1"/>
    <col min="1572" max="1572" width="17.46484375" style="263" bestFit="1" customWidth="1"/>
    <col min="1573" max="1743" width="16.265625" style="263"/>
    <col min="1744" max="1744" width="57.265625" style="263" customWidth="1"/>
    <col min="1745" max="1745" width="62.46484375" style="263" customWidth="1"/>
    <col min="1746" max="1746" width="13.796875" style="263" customWidth="1"/>
    <col min="1747" max="1747" width="12.796875" style="263" customWidth="1"/>
    <col min="1748" max="1751" width="0" style="263" hidden="1" customWidth="1"/>
    <col min="1752" max="1752" width="12.796875" style="263" bestFit="1" customWidth="1"/>
    <col min="1753" max="1756" width="0" style="263" hidden="1" customWidth="1"/>
    <col min="1757" max="1757" width="13.19921875" style="263" bestFit="1" customWidth="1"/>
    <col min="1758" max="1761" width="0" style="263" hidden="1" customWidth="1"/>
    <col min="1762" max="1762" width="13.19921875" style="263" bestFit="1" customWidth="1"/>
    <col min="1763" max="1766" width="11.73046875" style="263" bestFit="1" customWidth="1"/>
    <col min="1767" max="1767" width="14.46484375" style="263" bestFit="1" customWidth="1"/>
    <col min="1768" max="1797" width="16.265625" style="263"/>
    <col min="1798" max="1798" width="57" style="263" customWidth="1"/>
    <col min="1799" max="1799" width="19.265625" style="263" bestFit="1" customWidth="1"/>
    <col min="1800" max="1800" width="14.53125" style="263" bestFit="1" customWidth="1"/>
    <col min="1801" max="1820" width="12.73046875" style="263" customWidth="1"/>
    <col min="1821" max="1824" width="16.265625" style="263"/>
    <col min="1825" max="1825" width="1.73046875" style="263" bestFit="1" customWidth="1"/>
    <col min="1826" max="1826" width="19.53125" style="263" bestFit="1" customWidth="1"/>
    <col min="1827" max="1827" width="2" style="263" bestFit="1" customWidth="1"/>
    <col min="1828" max="1828" width="17.46484375" style="263" bestFit="1" customWidth="1"/>
    <col min="1829" max="1999" width="16.265625" style="263"/>
    <col min="2000" max="2000" width="57.265625" style="263" customWidth="1"/>
    <col min="2001" max="2001" width="62.46484375" style="263" customWidth="1"/>
    <col min="2002" max="2002" width="13.796875" style="263" customWidth="1"/>
    <col min="2003" max="2003" width="12.796875" style="263" customWidth="1"/>
    <col min="2004" max="2007" width="0" style="263" hidden="1" customWidth="1"/>
    <col min="2008" max="2008" width="12.796875" style="263" bestFit="1" customWidth="1"/>
    <col min="2009" max="2012" width="0" style="263" hidden="1" customWidth="1"/>
    <col min="2013" max="2013" width="13.19921875" style="263" bestFit="1" customWidth="1"/>
    <col min="2014" max="2017" width="0" style="263" hidden="1" customWidth="1"/>
    <col min="2018" max="2018" width="13.19921875" style="263" bestFit="1" customWidth="1"/>
    <col min="2019" max="2022" width="11.73046875" style="263" bestFit="1" customWidth="1"/>
    <col min="2023" max="2023" width="14.46484375" style="263" bestFit="1" customWidth="1"/>
    <col min="2024" max="2053" width="16.265625" style="263"/>
    <col min="2054" max="2054" width="57" style="263" customWidth="1"/>
    <col min="2055" max="2055" width="19.265625" style="263" bestFit="1" customWidth="1"/>
    <col min="2056" max="2056" width="14.53125" style="263" bestFit="1" customWidth="1"/>
    <col min="2057" max="2076" width="12.73046875" style="263" customWidth="1"/>
    <col min="2077" max="2080" width="16.265625" style="263"/>
    <col min="2081" max="2081" width="1.73046875" style="263" bestFit="1" customWidth="1"/>
    <col min="2082" max="2082" width="19.53125" style="263" bestFit="1" customWidth="1"/>
    <col min="2083" max="2083" width="2" style="263" bestFit="1" customWidth="1"/>
    <col min="2084" max="2084" width="17.46484375" style="263" bestFit="1" customWidth="1"/>
    <col min="2085" max="2255" width="16.265625" style="263"/>
    <col min="2256" max="2256" width="57.265625" style="263" customWidth="1"/>
    <col min="2257" max="2257" width="62.46484375" style="263" customWidth="1"/>
    <col min="2258" max="2258" width="13.796875" style="263" customWidth="1"/>
    <col min="2259" max="2259" width="12.796875" style="263" customWidth="1"/>
    <col min="2260" max="2263" width="0" style="263" hidden="1" customWidth="1"/>
    <col min="2264" max="2264" width="12.796875" style="263" bestFit="1" customWidth="1"/>
    <col min="2265" max="2268" width="0" style="263" hidden="1" customWidth="1"/>
    <col min="2269" max="2269" width="13.19921875" style="263" bestFit="1" customWidth="1"/>
    <col min="2270" max="2273" width="0" style="263" hidden="1" customWidth="1"/>
    <col min="2274" max="2274" width="13.19921875" style="263" bestFit="1" customWidth="1"/>
    <col min="2275" max="2278" width="11.73046875" style="263" bestFit="1" customWidth="1"/>
    <col min="2279" max="2279" width="14.46484375" style="263" bestFit="1" customWidth="1"/>
    <col min="2280" max="2309" width="16.265625" style="263"/>
    <col min="2310" max="2310" width="57" style="263" customWidth="1"/>
    <col min="2311" max="2311" width="19.265625" style="263" bestFit="1" customWidth="1"/>
    <col min="2312" max="2312" width="14.53125" style="263" bestFit="1" customWidth="1"/>
    <col min="2313" max="2332" width="12.73046875" style="263" customWidth="1"/>
    <col min="2333" max="2336" width="16.265625" style="263"/>
    <col min="2337" max="2337" width="1.73046875" style="263" bestFit="1" customWidth="1"/>
    <col min="2338" max="2338" width="19.53125" style="263" bestFit="1" customWidth="1"/>
    <col min="2339" max="2339" width="2" style="263" bestFit="1" customWidth="1"/>
    <col min="2340" max="2340" width="17.46484375" style="263" bestFit="1" customWidth="1"/>
    <col min="2341" max="2511" width="16.265625" style="263"/>
    <col min="2512" max="2512" width="57.265625" style="263" customWidth="1"/>
    <col min="2513" max="2513" width="62.46484375" style="263" customWidth="1"/>
    <col min="2514" max="2514" width="13.796875" style="263" customWidth="1"/>
    <col min="2515" max="2515" width="12.796875" style="263" customWidth="1"/>
    <col min="2516" max="2519" width="0" style="263" hidden="1" customWidth="1"/>
    <col min="2520" max="2520" width="12.796875" style="263" bestFit="1" customWidth="1"/>
    <col min="2521" max="2524" width="0" style="263" hidden="1" customWidth="1"/>
    <col min="2525" max="2525" width="13.19921875" style="263" bestFit="1" customWidth="1"/>
    <col min="2526" max="2529" width="0" style="263" hidden="1" customWidth="1"/>
    <col min="2530" max="2530" width="13.19921875" style="263" bestFit="1" customWidth="1"/>
    <col min="2531" max="2534" width="11.73046875" style="263" bestFit="1" customWidth="1"/>
    <col min="2535" max="2535" width="14.46484375" style="263" bestFit="1" customWidth="1"/>
    <col min="2536" max="2565" width="16.265625" style="263"/>
    <col min="2566" max="2566" width="57" style="263" customWidth="1"/>
    <col min="2567" max="2567" width="19.265625" style="263" bestFit="1" customWidth="1"/>
    <col min="2568" max="2568" width="14.53125" style="263" bestFit="1" customWidth="1"/>
    <col min="2569" max="2588" width="12.73046875" style="263" customWidth="1"/>
    <col min="2589" max="2592" width="16.265625" style="263"/>
    <col min="2593" max="2593" width="1.73046875" style="263" bestFit="1" customWidth="1"/>
    <col min="2594" max="2594" width="19.53125" style="263" bestFit="1" customWidth="1"/>
    <col min="2595" max="2595" width="2" style="263" bestFit="1" customWidth="1"/>
    <col min="2596" max="2596" width="17.46484375" style="263" bestFit="1" customWidth="1"/>
    <col min="2597" max="2767" width="16.265625" style="263"/>
    <col min="2768" max="2768" width="57.265625" style="263" customWidth="1"/>
    <col min="2769" max="2769" width="62.46484375" style="263" customWidth="1"/>
    <col min="2770" max="2770" width="13.796875" style="263" customWidth="1"/>
    <col min="2771" max="2771" width="12.796875" style="263" customWidth="1"/>
    <col min="2772" max="2775" width="0" style="263" hidden="1" customWidth="1"/>
    <col min="2776" max="2776" width="12.796875" style="263" bestFit="1" customWidth="1"/>
    <col min="2777" max="2780" width="0" style="263" hidden="1" customWidth="1"/>
    <col min="2781" max="2781" width="13.19921875" style="263" bestFit="1" customWidth="1"/>
    <col min="2782" max="2785" width="0" style="263" hidden="1" customWidth="1"/>
    <col min="2786" max="2786" width="13.19921875" style="263" bestFit="1" customWidth="1"/>
    <col min="2787" max="2790" width="11.73046875" style="263" bestFit="1" customWidth="1"/>
    <col min="2791" max="2791" width="14.46484375" style="263" bestFit="1" customWidth="1"/>
    <col min="2792" max="2821" width="16.265625" style="263"/>
    <col min="2822" max="2822" width="57" style="263" customWidth="1"/>
    <col min="2823" max="2823" width="19.265625" style="263" bestFit="1" customWidth="1"/>
    <col min="2824" max="2824" width="14.53125" style="263" bestFit="1" customWidth="1"/>
    <col min="2825" max="2844" width="12.73046875" style="263" customWidth="1"/>
    <col min="2845" max="2848" width="16.265625" style="263"/>
    <col min="2849" max="2849" width="1.73046875" style="263" bestFit="1" customWidth="1"/>
    <col min="2850" max="2850" width="19.53125" style="263" bestFit="1" customWidth="1"/>
    <col min="2851" max="2851" width="2" style="263" bestFit="1" customWidth="1"/>
    <col min="2852" max="2852" width="17.46484375" style="263" bestFit="1" customWidth="1"/>
    <col min="2853" max="3023" width="16.265625" style="263"/>
    <col min="3024" max="3024" width="57.265625" style="263" customWidth="1"/>
    <col min="3025" max="3025" width="62.46484375" style="263" customWidth="1"/>
    <col min="3026" max="3026" width="13.796875" style="263" customWidth="1"/>
    <col min="3027" max="3027" width="12.796875" style="263" customWidth="1"/>
    <col min="3028" max="3031" width="0" style="263" hidden="1" customWidth="1"/>
    <col min="3032" max="3032" width="12.796875" style="263" bestFit="1" customWidth="1"/>
    <col min="3033" max="3036" width="0" style="263" hidden="1" customWidth="1"/>
    <col min="3037" max="3037" width="13.19921875" style="263" bestFit="1" customWidth="1"/>
    <col min="3038" max="3041" width="0" style="263" hidden="1" customWidth="1"/>
    <col min="3042" max="3042" width="13.19921875" style="263" bestFit="1" customWidth="1"/>
    <col min="3043" max="3046" width="11.73046875" style="263" bestFit="1" customWidth="1"/>
    <col min="3047" max="3047" width="14.46484375" style="263" bestFit="1" customWidth="1"/>
    <col min="3048" max="3077" width="16.265625" style="263"/>
    <col min="3078" max="3078" width="57" style="263" customWidth="1"/>
    <col min="3079" max="3079" width="19.265625" style="263" bestFit="1" customWidth="1"/>
    <col min="3080" max="3080" width="14.53125" style="263" bestFit="1" customWidth="1"/>
    <col min="3081" max="3100" width="12.73046875" style="263" customWidth="1"/>
    <col min="3101" max="3104" width="16.265625" style="263"/>
    <col min="3105" max="3105" width="1.73046875" style="263" bestFit="1" customWidth="1"/>
    <col min="3106" max="3106" width="19.53125" style="263" bestFit="1" customWidth="1"/>
    <col min="3107" max="3107" width="2" style="263" bestFit="1" customWidth="1"/>
    <col min="3108" max="3108" width="17.46484375" style="263" bestFit="1" customWidth="1"/>
    <col min="3109" max="3279" width="16.265625" style="263"/>
    <col min="3280" max="3280" width="57.265625" style="263" customWidth="1"/>
    <col min="3281" max="3281" width="62.46484375" style="263" customWidth="1"/>
    <col min="3282" max="3282" width="13.796875" style="263" customWidth="1"/>
    <col min="3283" max="3283" width="12.796875" style="263" customWidth="1"/>
    <col min="3284" max="3287" width="0" style="263" hidden="1" customWidth="1"/>
    <col min="3288" max="3288" width="12.796875" style="263" bestFit="1" customWidth="1"/>
    <col min="3289" max="3292" width="0" style="263" hidden="1" customWidth="1"/>
    <col min="3293" max="3293" width="13.19921875" style="263" bestFit="1" customWidth="1"/>
    <col min="3294" max="3297" width="0" style="263" hidden="1" customWidth="1"/>
    <col min="3298" max="3298" width="13.19921875" style="263" bestFit="1" customWidth="1"/>
    <col min="3299" max="3302" width="11.73046875" style="263" bestFit="1" customWidth="1"/>
    <col min="3303" max="3303" width="14.46484375" style="263" bestFit="1" customWidth="1"/>
    <col min="3304" max="3333" width="16.265625" style="263"/>
    <col min="3334" max="3334" width="57" style="263" customWidth="1"/>
    <col min="3335" max="3335" width="19.265625" style="263" bestFit="1" customWidth="1"/>
    <col min="3336" max="3336" width="14.53125" style="263" bestFit="1" customWidth="1"/>
    <col min="3337" max="3356" width="12.73046875" style="263" customWidth="1"/>
    <col min="3357" max="3360" width="16.265625" style="263"/>
    <col min="3361" max="3361" width="1.73046875" style="263" bestFit="1" customWidth="1"/>
    <col min="3362" max="3362" width="19.53125" style="263" bestFit="1" customWidth="1"/>
    <col min="3363" max="3363" width="2" style="263" bestFit="1" customWidth="1"/>
    <col min="3364" max="3364" width="17.46484375" style="263" bestFit="1" customWidth="1"/>
    <col min="3365" max="3535" width="16.265625" style="263"/>
    <col min="3536" max="3536" width="57.265625" style="263" customWidth="1"/>
    <col min="3537" max="3537" width="62.46484375" style="263" customWidth="1"/>
    <col min="3538" max="3538" width="13.796875" style="263" customWidth="1"/>
    <col min="3539" max="3539" width="12.796875" style="263" customWidth="1"/>
    <col min="3540" max="3543" width="0" style="263" hidden="1" customWidth="1"/>
    <col min="3544" max="3544" width="12.796875" style="263" bestFit="1" customWidth="1"/>
    <col min="3545" max="3548" width="0" style="263" hidden="1" customWidth="1"/>
    <col min="3549" max="3549" width="13.19921875" style="263" bestFit="1" customWidth="1"/>
    <col min="3550" max="3553" width="0" style="263" hidden="1" customWidth="1"/>
    <col min="3554" max="3554" width="13.19921875" style="263" bestFit="1" customWidth="1"/>
    <col min="3555" max="3558" width="11.73046875" style="263" bestFit="1" customWidth="1"/>
    <col min="3559" max="3559" width="14.46484375" style="263" bestFit="1" customWidth="1"/>
    <col min="3560" max="3589" width="16.265625" style="263"/>
    <col min="3590" max="3590" width="57" style="263" customWidth="1"/>
    <col min="3591" max="3591" width="19.265625" style="263" bestFit="1" customWidth="1"/>
    <col min="3592" max="3592" width="14.53125" style="263" bestFit="1" customWidth="1"/>
    <col min="3593" max="3612" width="12.73046875" style="263" customWidth="1"/>
    <col min="3613" max="3616" width="16.265625" style="263"/>
    <col min="3617" max="3617" width="1.73046875" style="263" bestFit="1" customWidth="1"/>
    <col min="3618" max="3618" width="19.53125" style="263" bestFit="1" customWidth="1"/>
    <col min="3619" max="3619" width="2" style="263" bestFit="1" customWidth="1"/>
    <col min="3620" max="3620" width="17.46484375" style="263" bestFit="1" customWidth="1"/>
    <col min="3621" max="3791" width="16.265625" style="263"/>
    <col min="3792" max="3792" width="57.265625" style="263" customWidth="1"/>
    <col min="3793" max="3793" width="62.46484375" style="263" customWidth="1"/>
    <col min="3794" max="3794" width="13.796875" style="263" customWidth="1"/>
    <col min="3795" max="3795" width="12.796875" style="263" customWidth="1"/>
    <col min="3796" max="3799" width="0" style="263" hidden="1" customWidth="1"/>
    <col min="3800" max="3800" width="12.796875" style="263" bestFit="1" customWidth="1"/>
    <col min="3801" max="3804" width="0" style="263" hidden="1" customWidth="1"/>
    <col min="3805" max="3805" width="13.19921875" style="263" bestFit="1" customWidth="1"/>
    <col min="3806" max="3809" width="0" style="263" hidden="1" customWidth="1"/>
    <col min="3810" max="3810" width="13.19921875" style="263" bestFit="1" customWidth="1"/>
    <col min="3811" max="3814" width="11.73046875" style="263" bestFit="1" customWidth="1"/>
    <col min="3815" max="3815" width="14.46484375" style="263" bestFit="1" customWidth="1"/>
    <col min="3816" max="3845" width="16.265625" style="263"/>
    <col min="3846" max="3846" width="57" style="263" customWidth="1"/>
    <col min="3847" max="3847" width="19.265625" style="263" bestFit="1" customWidth="1"/>
    <col min="3848" max="3848" width="14.53125" style="263" bestFit="1" customWidth="1"/>
    <col min="3849" max="3868" width="12.73046875" style="263" customWidth="1"/>
    <col min="3869" max="3872" width="16.265625" style="263"/>
    <col min="3873" max="3873" width="1.73046875" style="263" bestFit="1" customWidth="1"/>
    <col min="3874" max="3874" width="19.53125" style="263" bestFit="1" customWidth="1"/>
    <col min="3875" max="3875" width="2" style="263" bestFit="1" customWidth="1"/>
    <col min="3876" max="3876" width="17.46484375" style="263" bestFit="1" customWidth="1"/>
    <col min="3877" max="4047" width="16.265625" style="263"/>
    <col min="4048" max="4048" width="57.265625" style="263" customWidth="1"/>
    <col min="4049" max="4049" width="62.46484375" style="263" customWidth="1"/>
    <col min="4050" max="4050" width="13.796875" style="263" customWidth="1"/>
    <col min="4051" max="4051" width="12.796875" style="263" customWidth="1"/>
    <col min="4052" max="4055" width="0" style="263" hidden="1" customWidth="1"/>
    <col min="4056" max="4056" width="12.796875" style="263" bestFit="1" customWidth="1"/>
    <col min="4057" max="4060" width="0" style="263" hidden="1" customWidth="1"/>
    <col min="4061" max="4061" width="13.19921875" style="263" bestFit="1" customWidth="1"/>
    <col min="4062" max="4065" width="0" style="263" hidden="1" customWidth="1"/>
    <col min="4066" max="4066" width="13.19921875" style="263" bestFit="1" customWidth="1"/>
    <col min="4067" max="4070" width="11.73046875" style="263" bestFit="1" customWidth="1"/>
    <col min="4071" max="4071" width="14.46484375" style="263" bestFit="1" customWidth="1"/>
    <col min="4072" max="4101" width="16.265625" style="263"/>
    <col min="4102" max="4102" width="57" style="263" customWidth="1"/>
    <col min="4103" max="4103" width="19.265625" style="263" bestFit="1" customWidth="1"/>
    <col min="4104" max="4104" width="14.53125" style="263" bestFit="1" customWidth="1"/>
    <col min="4105" max="4124" width="12.73046875" style="263" customWidth="1"/>
    <col min="4125" max="4128" width="16.265625" style="263"/>
    <col min="4129" max="4129" width="1.73046875" style="263" bestFit="1" customWidth="1"/>
    <col min="4130" max="4130" width="19.53125" style="263" bestFit="1" customWidth="1"/>
    <col min="4131" max="4131" width="2" style="263" bestFit="1" customWidth="1"/>
    <col min="4132" max="4132" width="17.46484375" style="263" bestFit="1" customWidth="1"/>
    <col min="4133" max="4303" width="16.265625" style="263"/>
    <col min="4304" max="4304" width="57.265625" style="263" customWidth="1"/>
    <col min="4305" max="4305" width="62.46484375" style="263" customWidth="1"/>
    <col min="4306" max="4306" width="13.796875" style="263" customWidth="1"/>
    <col min="4307" max="4307" width="12.796875" style="263" customWidth="1"/>
    <col min="4308" max="4311" width="0" style="263" hidden="1" customWidth="1"/>
    <col min="4312" max="4312" width="12.796875" style="263" bestFit="1" customWidth="1"/>
    <col min="4313" max="4316" width="0" style="263" hidden="1" customWidth="1"/>
    <col min="4317" max="4317" width="13.19921875" style="263" bestFit="1" customWidth="1"/>
    <col min="4318" max="4321" width="0" style="263" hidden="1" customWidth="1"/>
    <col min="4322" max="4322" width="13.19921875" style="263" bestFit="1" customWidth="1"/>
    <col min="4323" max="4326" width="11.73046875" style="263" bestFit="1" customWidth="1"/>
    <col min="4327" max="4327" width="14.46484375" style="263" bestFit="1" customWidth="1"/>
    <col min="4328" max="4357" width="16.265625" style="263"/>
    <col min="4358" max="4358" width="57" style="263" customWidth="1"/>
    <col min="4359" max="4359" width="19.265625" style="263" bestFit="1" customWidth="1"/>
    <col min="4360" max="4360" width="14.53125" style="263" bestFit="1" customWidth="1"/>
    <col min="4361" max="4380" width="12.73046875" style="263" customWidth="1"/>
    <col min="4381" max="4384" width="16.265625" style="263"/>
    <col min="4385" max="4385" width="1.73046875" style="263" bestFit="1" customWidth="1"/>
    <col min="4386" max="4386" width="19.53125" style="263" bestFit="1" customWidth="1"/>
    <col min="4387" max="4387" width="2" style="263" bestFit="1" customWidth="1"/>
    <col min="4388" max="4388" width="17.46484375" style="263" bestFit="1" customWidth="1"/>
    <col min="4389" max="4559" width="16.265625" style="263"/>
    <col min="4560" max="4560" width="57.265625" style="263" customWidth="1"/>
    <col min="4561" max="4561" width="62.46484375" style="263" customWidth="1"/>
    <col min="4562" max="4562" width="13.796875" style="263" customWidth="1"/>
    <col min="4563" max="4563" width="12.796875" style="263" customWidth="1"/>
    <col min="4564" max="4567" width="0" style="263" hidden="1" customWidth="1"/>
    <col min="4568" max="4568" width="12.796875" style="263" bestFit="1" customWidth="1"/>
    <col min="4569" max="4572" width="0" style="263" hidden="1" customWidth="1"/>
    <col min="4573" max="4573" width="13.19921875" style="263" bestFit="1" customWidth="1"/>
    <col min="4574" max="4577" width="0" style="263" hidden="1" customWidth="1"/>
    <col min="4578" max="4578" width="13.19921875" style="263" bestFit="1" customWidth="1"/>
    <col min="4579" max="4582" width="11.73046875" style="263" bestFit="1" customWidth="1"/>
    <col min="4583" max="4583" width="14.46484375" style="263" bestFit="1" customWidth="1"/>
    <col min="4584" max="4613" width="16.265625" style="263"/>
    <col min="4614" max="4614" width="57" style="263" customWidth="1"/>
    <col min="4615" max="4615" width="19.265625" style="263" bestFit="1" customWidth="1"/>
    <col min="4616" max="4616" width="14.53125" style="263" bestFit="1" customWidth="1"/>
    <col min="4617" max="4636" width="12.73046875" style="263" customWidth="1"/>
    <col min="4637" max="4640" width="16.265625" style="263"/>
    <col min="4641" max="4641" width="1.73046875" style="263" bestFit="1" customWidth="1"/>
    <col min="4642" max="4642" width="19.53125" style="263" bestFit="1" customWidth="1"/>
    <col min="4643" max="4643" width="2" style="263" bestFit="1" customWidth="1"/>
    <col min="4644" max="4644" width="17.46484375" style="263" bestFit="1" customWidth="1"/>
    <col min="4645" max="4815" width="16.265625" style="263"/>
    <col min="4816" max="4816" width="57.265625" style="263" customWidth="1"/>
    <col min="4817" max="4817" width="62.46484375" style="263" customWidth="1"/>
    <col min="4818" max="4818" width="13.796875" style="263" customWidth="1"/>
    <col min="4819" max="4819" width="12.796875" style="263" customWidth="1"/>
    <col min="4820" max="4823" width="0" style="263" hidden="1" customWidth="1"/>
    <col min="4824" max="4824" width="12.796875" style="263" bestFit="1" customWidth="1"/>
    <col min="4825" max="4828" width="0" style="263" hidden="1" customWidth="1"/>
    <col min="4829" max="4829" width="13.19921875" style="263" bestFit="1" customWidth="1"/>
    <col min="4830" max="4833" width="0" style="263" hidden="1" customWidth="1"/>
    <col min="4834" max="4834" width="13.19921875" style="263" bestFit="1" customWidth="1"/>
    <col min="4835" max="4838" width="11.73046875" style="263" bestFit="1" customWidth="1"/>
    <col min="4839" max="4839" width="14.46484375" style="263" bestFit="1" customWidth="1"/>
    <col min="4840" max="4869" width="16.265625" style="263"/>
    <col min="4870" max="4870" width="57" style="263" customWidth="1"/>
    <col min="4871" max="4871" width="19.265625" style="263" bestFit="1" customWidth="1"/>
    <col min="4872" max="4872" width="14.53125" style="263" bestFit="1" customWidth="1"/>
    <col min="4873" max="4892" width="12.73046875" style="263" customWidth="1"/>
    <col min="4893" max="4896" width="16.265625" style="263"/>
    <col min="4897" max="4897" width="1.73046875" style="263" bestFit="1" customWidth="1"/>
    <col min="4898" max="4898" width="19.53125" style="263" bestFit="1" customWidth="1"/>
    <col min="4899" max="4899" width="2" style="263" bestFit="1" customWidth="1"/>
    <col min="4900" max="4900" width="17.46484375" style="263" bestFit="1" customWidth="1"/>
    <col min="4901" max="5071" width="16.265625" style="263"/>
    <col min="5072" max="5072" width="57.265625" style="263" customWidth="1"/>
    <col min="5073" max="5073" width="62.46484375" style="263" customWidth="1"/>
    <col min="5074" max="5074" width="13.796875" style="263" customWidth="1"/>
    <col min="5075" max="5075" width="12.796875" style="263" customWidth="1"/>
    <col min="5076" max="5079" width="0" style="263" hidden="1" customWidth="1"/>
    <col min="5080" max="5080" width="12.796875" style="263" bestFit="1" customWidth="1"/>
    <col min="5081" max="5084" width="0" style="263" hidden="1" customWidth="1"/>
    <col min="5085" max="5085" width="13.19921875" style="263" bestFit="1" customWidth="1"/>
    <col min="5086" max="5089" width="0" style="263" hidden="1" customWidth="1"/>
    <col min="5090" max="5090" width="13.19921875" style="263" bestFit="1" customWidth="1"/>
    <col min="5091" max="5094" width="11.73046875" style="263" bestFit="1" customWidth="1"/>
    <col min="5095" max="5095" width="14.46484375" style="263" bestFit="1" customWidth="1"/>
    <col min="5096" max="5125" width="16.265625" style="263"/>
    <col min="5126" max="5126" width="57" style="263" customWidth="1"/>
    <col min="5127" max="5127" width="19.265625" style="263" bestFit="1" customWidth="1"/>
    <col min="5128" max="5128" width="14.53125" style="263" bestFit="1" customWidth="1"/>
    <col min="5129" max="5148" width="12.73046875" style="263" customWidth="1"/>
    <col min="5149" max="5152" width="16.265625" style="263"/>
    <col min="5153" max="5153" width="1.73046875" style="263" bestFit="1" customWidth="1"/>
    <col min="5154" max="5154" width="19.53125" style="263" bestFit="1" customWidth="1"/>
    <col min="5155" max="5155" width="2" style="263" bestFit="1" customWidth="1"/>
    <col min="5156" max="5156" width="17.46484375" style="263" bestFit="1" customWidth="1"/>
    <col min="5157" max="5327" width="16.265625" style="263"/>
    <col min="5328" max="5328" width="57.265625" style="263" customWidth="1"/>
    <col min="5329" max="5329" width="62.46484375" style="263" customWidth="1"/>
    <col min="5330" max="5330" width="13.796875" style="263" customWidth="1"/>
    <col min="5331" max="5331" width="12.796875" style="263" customWidth="1"/>
    <col min="5332" max="5335" width="0" style="263" hidden="1" customWidth="1"/>
    <col min="5336" max="5336" width="12.796875" style="263" bestFit="1" customWidth="1"/>
    <col min="5337" max="5340" width="0" style="263" hidden="1" customWidth="1"/>
    <col min="5341" max="5341" width="13.19921875" style="263" bestFit="1" customWidth="1"/>
    <col min="5342" max="5345" width="0" style="263" hidden="1" customWidth="1"/>
    <col min="5346" max="5346" width="13.19921875" style="263" bestFit="1" customWidth="1"/>
    <col min="5347" max="5350" width="11.73046875" style="263" bestFit="1" customWidth="1"/>
    <col min="5351" max="5351" width="14.46484375" style="263" bestFit="1" customWidth="1"/>
    <col min="5352" max="5381" width="16.265625" style="263"/>
    <col min="5382" max="5382" width="57" style="263" customWidth="1"/>
    <col min="5383" max="5383" width="19.265625" style="263" bestFit="1" customWidth="1"/>
    <col min="5384" max="5384" width="14.53125" style="263" bestFit="1" customWidth="1"/>
    <col min="5385" max="5404" width="12.73046875" style="263" customWidth="1"/>
    <col min="5405" max="5408" width="16.265625" style="263"/>
    <col min="5409" max="5409" width="1.73046875" style="263" bestFit="1" customWidth="1"/>
    <col min="5410" max="5410" width="19.53125" style="263" bestFit="1" customWidth="1"/>
    <col min="5411" max="5411" width="2" style="263" bestFit="1" customWidth="1"/>
    <col min="5412" max="5412" width="17.46484375" style="263" bestFit="1" customWidth="1"/>
    <col min="5413" max="5583" width="16.265625" style="263"/>
    <col min="5584" max="5584" width="57.265625" style="263" customWidth="1"/>
    <col min="5585" max="5585" width="62.46484375" style="263" customWidth="1"/>
    <col min="5586" max="5586" width="13.796875" style="263" customWidth="1"/>
    <col min="5587" max="5587" width="12.796875" style="263" customWidth="1"/>
    <col min="5588" max="5591" width="0" style="263" hidden="1" customWidth="1"/>
    <col min="5592" max="5592" width="12.796875" style="263" bestFit="1" customWidth="1"/>
    <col min="5593" max="5596" width="0" style="263" hidden="1" customWidth="1"/>
    <col min="5597" max="5597" width="13.19921875" style="263" bestFit="1" customWidth="1"/>
    <col min="5598" max="5601" width="0" style="263" hidden="1" customWidth="1"/>
    <col min="5602" max="5602" width="13.19921875" style="263" bestFit="1" customWidth="1"/>
    <col min="5603" max="5606" width="11.73046875" style="263" bestFit="1" customWidth="1"/>
    <col min="5607" max="5607" width="14.46484375" style="263" bestFit="1" customWidth="1"/>
    <col min="5608" max="5637" width="16.265625" style="263"/>
    <col min="5638" max="5638" width="57" style="263" customWidth="1"/>
    <col min="5639" max="5639" width="19.265625" style="263" bestFit="1" customWidth="1"/>
    <col min="5640" max="5640" width="14.53125" style="263" bestFit="1" customWidth="1"/>
    <col min="5641" max="5660" width="12.73046875" style="263" customWidth="1"/>
    <col min="5661" max="5664" width="16.265625" style="263"/>
    <col min="5665" max="5665" width="1.73046875" style="263" bestFit="1" customWidth="1"/>
    <col min="5666" max="5666" width="19.53125" style="263" bestFit="1" customWidth="1"/>
    <col min="5667" max="5667" width="2" style="263" bestFit="1" customWidth="1"/>
    <col min="5668" max="5668" width="17.46484375" style="263" bestFit="1" customWidth="1"/>
    <col min="5669" max="5839" width="16.265625" style="263"/>
    <col min="5840" max="5840" width="57.265625" style="263" customWidth="1"/>
    <col min="5841" max="5841" width="62.46484375" style="263" customWidth="1"/>
    <col min="5842" max="5842" width="13.796875" style="263" customWidth="1"/>
    <col min="5843" max="5843" width="12.796875" style="263" customWidth="1"/>
    <col min="5844" max="5847" width="0" style="263" hidden="1" customWidth="1"/>
    <col min="5848" max="5848" width="12.796875" style="263" bestFit="1" customWidth="1"/>
    <col min="5849" max="5852" width="0" style="263" hidden="1" customWidth="1"/>
    <col min="5853" max="5853" width="13.19921875" style="263" bestFit="1" customWidth="1"/>
    <col min="5854" max="5857" width="0" style="263" hidden="1" customWidth="1"/>
    <col min="5858" max="5858" width="13.19921875" style="263" bestFit="1" customWidth="1"/>
    <col min="5859" max="5862" width="11.73046875" style="263" bestFit="1" customWidth="1"/>
    <col min="5863" max="5863" width="14.46484375" style="263" bestFit="1" customWidth="1"/>
    <col min="5864" max="5893" width="16.265625" style="263"/>
    <col min="5894" max="5894" width="57" style="263" customWidth="1"/>
    <col min="5895" max="5895" width="19.265625" style="263" bestFit="1" customWidth="1"/>
    <col min="5896" max="5896" width="14.53125" style="263" bestFit="1" customWidth="1"/>
    <col min="5897" max="5916" width="12.73046875" style="263" customWidth="1"/>
    <col min="5917" max="5920" width="16.265625" style="263"/>
    <col min="5921" max="5921" width="1.73046875" style="263" bestFit="1" customWidth="1"/>
    <col min="5922" max="5922" width="19.53125" style="263" bestFit="1" customWidth="1"/>
    <col min="5923" max="5923" width="2" style="263" bestFit="1" customWidth="1"/>
    <col min="5924" max="5924" width="17.46484375" style="263" bestFit="1" customWidth="1"/>
    <col min="5925" max="6095" width="16.265625" style="263"/>
    <col min="6096" max="6096" width="57.265625" style="263" customWidth="1"/>
    <col min="6097" max="6097" width="62.46484375" style="263" customWidth="1"/>
    <col min="6098" max="6098" width="13.796875" style="263" customWidth="1"/>
    <col min="6099" max="6099" width="12.796875" style="263" customWidth="1"/>
    <col min="6100" max="6103" width="0" style="263" hidden="1" customWidth="1"/>
    <col min="6104" max="6104" width="12.796875" style="263" bestFit="1" customWidth="1"/>
    <col min="6105" max="6108" width="0" style="263" hidden="1" customWidth="1"/>
    <col min="6109" max="6109" width="13.19921875" style="263" bestFit="1" customWidth="1"/>
    <col min="6110" max="6113" width="0" style="263" hidden="1" customWidth="1"/>
    <col min="6114" max="6114" width="13.19921875" style="263" bestFit="1" customWidth="1"/>
    <col min="6115" max="6118" width="11.73046875" style="263" bestFit="1" customWidth="1"/>
    <col min="6119" max="6119" width="14.46484375" style="263" bestFit="1" customWidth="1"/>
    <col min="6120" max="6149" width="16.265625" style="263"/>
    <col min="6150" max="6150" width="57" style="263" customWidth="1"/>
    <col min="6151" max="6151" width="19.265625" style="263" bestFit="1" customWidth="1"/>
    <col min="6152" max="6152" width="14.53125" style="263" bestFit="1" customWidth="1"/>
    <col min="6153" max="6172" width="12.73046875" style="263" customWidth="1"/>
    <col min="6173" max="6176" width="16.265625" style="263"/>
    <col min="6177" max="6177" width="1.73046875" style="263" bestFit="1" customWidth="1"/>
    <col min="6178" max="6178" width="19.53125" style="263" bestFit="1" customWidth="1"/>
    <col min="6179" max="6179" width="2" style="263" bestFit="1" customWidth="1"/>
    <col min="6180" max="6180" width="17.46484375" style="263" bestFit="1" customWidth="1"/>
    <col min="6181" max="6351" width="16.265625" style="263"/>
    <col min="6352" max="6352" width="57.265625" style="263" customWidth="1"/>
    <col min="6353" max="6353" width="62.46484375" style="263" customWidth="1"/>
    <col min="6354" max="6354" width="13.796875" style="263" customWidth="1"/>
    <col min="6355" max="6355" width="12.796875" style="263" customWidth="1"/>
    <col min="6356" max="6359" width="0" style="263" hidden="1" customWidth="1"/>
    <col min="6360" max="6360" width="12.796875" style="263" bestFit="1" customWidth="1"/>
    <col min="6361" max="6364" width="0" style="263" hidden="1" customWidth="1"/>
    <col min="6365" max="6365" width="13.19921875" style="263" bestFit="1" customWidth="1"/>
    <col min="6366" max="6369" width="0" style="263" hidden="1" customWidth="1"/>
    <col min="6370" max="6370" width="13.19921875" style="263" bestFit="1" customWidth="1"/>
    <col min="6371" max="6374" width="11.73046875" style="263" bestFit="1" customWidth="1"/>
    <col min="6375" max="6375" width="14.46484375" style="263" bestFit="1" customWidth="1"/>
    <col min="6376" max="6405" width="16.265625" style="263"/>
    <col min="6406" max="6406" width="57" style="263" customWidth="1"/>
    <col min="6407" max="6407" width="19.265625" style="263" bestFit="1" customWidth="1"/>
    <col min="6408" max="6408" width="14.53125" style="263" bestFit="1" customWidth="1"/>
    <col min="6409" max="6428" width="12.73046875" style="263" customWidth="1"/>
    <col min="6429" max="6432" width="16.265625" style="263"/>
    <col min="6433" max="6433" width="1.73046875" style="263" bestFit="1" customWidth="1"/>
    <col min="6434" max="6434" width="19.53125" style="263" bestFit="1" customWidth="1"/>
    <col min="6435" max="6435" width="2" style="263" bestFit="1" customWidth="1"/>
    <col min="6436" max="6436" width="17.46484375" style="263" bestFit="1" customWidth="1"/>
    <col min="6437" max="6607" width="16.265625" style="263"/>
    <col min="6608" max="6608" width="57.265625" style="263" customWidth="1"/>
    <col min="6609" max="6609" width="62.46484375" style="263" customWidth="1"/>
    <col min="6610" max="6610" width="13.796875" style="263" customWidth="1"/>
    <col min="6611" max="6611" width="12.796875" style="263" customWidth="1"/>
    <col min="6612" max="6615" width="0" style="263" hidden="1" customWidth="1"/>
    <col min="6616" max="6616" width="12.796875" style="263" bestFit="1" customWidth="1"/>
    <col min="6617" max="6620" width="0" style="263" hidden="1" customWidth="1"/>
    <col min="6621" max="6621" width="13.19921875" style="263" bestFit="1" customWidth="1"/>
    <col min="6622" max="6625" width="0" style="263" hidden="1" customWidth="1"/>
    <col min="6626" max="6626" width="13.19921875" style="263" bestFit="1" customWidth="1"/>
    <col min="6627" max="6630" width="11.73046875" style="263" bestFit="1" customWidth="1"/>
    <col min="6631" max="6631" width="14.46484375" style="263" bestFit="1" customWidth="1"/>
    <col min="6632" max="6661" width="16.265625" style="263"/>
    <col min="6662" max="6662" width="57" style="263" customWidth="1"/>
    <col min="6663" max="6663" width="19.265625" style="263" bestFit="1" customWidth="1"/>
    <col min="6664" max="6664" width="14.53125" style="263" bestFit="1" customWidth="1"/>
    <col min="6665" max="6684" width="12.73046875" style="263" customWidth="1"/>
    <col min="6685" max="6688" width="16.265625" style="263"/>
    <col min="6689" max="6689" width="1.73046875" style="263" bestFit="1" customWidth="1"/>
    <col min="6690" max="6690" width="19.53125" style="263" bestFit="1" customWidth="1"/>
    <col min="6691" max="6691" width="2" style="263" bestFit="1" customWidth="1"/>
    <col min="6692" max="6692" width="17.46484375" style="263" bestFit="1" customWidth="1"/>
    <col min="6693" max="6863" width="16.265625" style="263"/>
    <col min="6864" max="6864" width="57.265625" style="263" customWidth="1"/>
    <col min="6865" max="6865" width="62.46484375" style="263" customWidth="1"/>
    <col min="6866" max="6866" width="13.796875" style="263" customWidth="1"/>
    <col min="6867" max="6867" width="12.796875" style="263" customWidth="1"/>
    <col min="6868" max="6871" width="0" style="263" hidden="1" customWidth="1"/>
    <col min="6872" max="6872" width="12.796875" style="263" bestFit="1" customWidth="1"/>
    <col min="6873" max="6876" width="0" style="263" hidden="1" customWidth="1"/>
    <col min="6877" max="6877" width="13.19921875" style="263" bestFit="1" customWidth="1"/>
    <col min="6878" max="6881" width="0" style="263" hidden="1" customWidth="1"/>
    <col min="6882" max="6882" width="13.19921875" style="263" bestFit="1" customWidth="1"/>
    <col min="6883" max="6886" width="11.73046875" style="263" bestFit="1" customWidth="1"/>
    <col min="6887" max="6887" width="14.46484375" style="263" bestFit="1" customWidth="1"/>
    <col min="6888" max="6917" width="16.265625" style="263"/>
    <col min="6918" max="6918" width="57" style="263" customWidth="1"/>
    <col min="6919" max="6919" width="19.265625" style="263" bestFit="1" customWidth="1"/>
    <col min="6920" max="6920" width="14.53125" style="263" bestFit="1" customWidth="1"/>
    <col min="6921" max="6940" width="12.73046875" style="263" customWidth="1"/>
    <col min="6941" max="6944" width="16.265625" style="263"/>
    <col min="6945" max="6945" width="1.73046875" style="263" bestFit="1" customWidth="1"/>
    <col min="6946" max="6946" width="19.53125" style="263" bestFit="1" customWidth="1"/>
    <col min="6947" max="6947" width="2" style="263" bestFit="1" customWidth="1"/>
    <col min="6948" max="6948" width="17.46484375" style="263" bestFit="1" customWidth="1"/>
    <col min="6949" max="7119" width="16.265625" style="263"/>
    <col min="7120" max="7120" width="57.265625" style="263" customWidth="1"/>
    <col min="7121" max="7121" width="62.46484375" style="263" customWidth="1"/>
    <col min="7122" max="7122" width="13.796875" style="263" customWidth="1"/>
    <col min="7123" max="7123" width="12.796875" style="263" customWidth="1"/>
    <col min="7124" max="7127" width="0" style="263" hidden="1" customWidth="1"/>
    <col min="7128" max="7128" width="12.796875" style="263" bestFit="1" customWidth="1"/>
    <col min="7129" max="7132" width="0" style="263" hidden="1" customWidth="1"/>
    <col min="7133" max="7133" width="13.19921875" style="263" bestFit="1" customWidth="1"/>
    <col min="7134" max="7137" width="0" style="263" hidden="1" customWidth="1"/>
    <col min="7138" max="7138" width="13.19921875" style="263" bestFit="1" customWidth="1"/>
    <col min="7139" max="7142" width="11.73046875" style="263" bestFit="1" customWidth="1"/>
    <col min="7143" max="7143" width="14.46484375" style="263" bestFit="1" customWidth="1"/>
    <col min="7144" max="7173" width="16.265625" style="263"/>
    <col min="7174" max="7174" width="57" style="263" customWidth="1"/>
    <col min="7175" max="7175" width="19.265625" style="263" bestFit="1" customWidth="1"/>
    <col min="7176" max="7176" width="14.53125" style="263" bestFit="1" customWidth="1"/>
    <col min="7177" max="7196" width="12.73046875" style="263" customWidth="1"/>
    <col min="7197" max="7200" width="16.265625" style="263"/>
    <col min="7201" max="7201" width="1.73046875" style="263" bestFit="1" customWidth="1"/>
    <col min="7202" max="7202" width="19.53125" style="263" bestFit="1" customWidth="1"/>
    <col min="7203" max="7203" width="2" style="263" bestFit="1" customWidth="1"/>
    <col min="7204" max="7204" width="17.46484375" style="263" bestFit="1" customWidth="1"/>
    <col min="7205" max="7375" width="16.265625" style="263"/>
    <col min="7376" max="7376" width="57.265625" style="263" customWidth="1"/>
    <col min="7377" max="7377" width="62.46484375" style="263" customWidth="1"/>
    <col min="7378" max="7378" width="13.796875" style="263" customWidth="1"/>
    <col min="7379" max="7379" width="12.796875" style="263" customWidth="1"/>
    <col min="7380" max="7383" width="0" style="263" hidden="1" customWidth="1"/>
    <col min="7384" max="7384" width="12.796875" style="263" bestFit="1" customWidth="1"/>
    <col min="7385" max="7388" width="0" style="263" hidden="1" customWidth="1"/>
    <col min="7389" max="7389" width="13.19921875" style="263" bestFit="1" customWidth="1"/>
    <col min="7390" max="7393" width="0" style="263" hidden="1" customWidth="1"/>
    <col min="7394" max="7394" width="13.19921875" style="263" bestFit="1" customWidth="1"/>
    <col min="7395" max="7398" width="11.73046875" style="263" bestFit="1" customWidth="1"/>
    <col min="7399" max="7399" width="14.46484375" style="263" bestFit="1" customWidth="1"/>
    <col min="7400" max="7429" width="16.265625" style="263"/>
    <col min="7430" max="7430" width="57" style="263" customWidth="1"/>
    <col min="7431" max="7431" width="19.265625" style="263" bestFit="1" customWidth="1"/>
    <col min="7432" max="7432" width="14.53125" style="263" bestFit="1" customWidth="1"/>
    <col min="7433" max="7452" width="12.73046875" style="263" customWidth="1"/>
    <col min="7453" max="7456" width="16.265625" style="263"/>
    <col min="7457" max="7457" width="1.73046875" style="263" bestFit="1" customWidth="1"/>
    <col min="7458" max="7458" width="19.53125" style="263" bestFit="1" customWidth="1"/>
    <col min="7459" max="7459" width="2" style="263" bestFit="1" customWidth="1"/>
    <col min="7460" max="7460" width="17.46484375" style="263" bestFit="1" customWidth="1"/>
    <col min="7461" max="7631" width="16.265625" style="263"/>
    <col min="7632" max="7632" width="57.265625" style="263" customWidth="1"/>
    <col min="7633" max="7633" width="62.46484375" style="263" customWidth="1"/>
    <col min="7634" max="7634" width="13.796875" style="263" customWidth="1"/>
    <col min="7635" max="7635" width="12.796875" style="263" customWidth="1"/>
    <col min="7636" max="7639" width="0" style="263" hidden="1" customWidth="1"/>
    <col min="7640" max="7640" width="12.796875" style="263" bestFit="1" customWidth="1"/>
    <col min="7641" max="7644" width="0" style="263" hidden="1" customWidth="1"/>
    <col min="7645" max="7645" width="13.19921875" style="263" bestFit="1" customWidth="1"/>
    <col min="7646" max="7649" width="0" style="263" hidden="1" customWidth="1"/>
    <col min="7650" max="7650" width="13.19921875" style="263" bestFit="1" customWidth="1"/>
    <col min="7651" max="7654" width="11.73046875" style="263" bestFit="1" customWidth="1"/>
    <col min="7655" max="7655" width="14.46484375" style="263" bestFit="1" customWidth="1"/>
    <col min="7656" max="7685" width="16.265625" style="263"/>
    <col min="7686" max="7686" width="57" style="263" customWidth="1"/>
    <col min="7687" max="7687" width="19.265625" style="263" bestFit="1" customWidth="1"/>
    <col min="7688" max="7688" width="14.53125" style="263" bestFit="1" customWidth="1"/>
    <col min="7689" max="7708" width="12.73046875" style="263" customWidth="1"/>
    <col min="7709" max="7712" width="16.265625" style="263"/>
    <col min="7713" max="7713" width="1.73046875" style="263" bestFit="1" customWidth="1"/>
    <col min="7714" max="7714" width="19.53125" style="263" bestFit="1" customWidth="1"/>
    <col min="7715" max="7715" width="2" style="263" bestFit="1" customWidth="1"/>
    <col min="7716" max="7716" width="17.46484375" style="263" bestFit="1" customWidth="1"/>
    <col min="7717" max="7887" width="16.265625" style="263"/>
    <col min="7888" max="7888" width="57.265625" style="263" customWidth="1"/>
    <col min="7889" max="7889" width="62.46484375" style="263" customWidth="1"/>
    <col min="7890" max="7890" width="13.796875" style="263" customWidth="1"/>
    <col min="7891" max="7891" width="12.796875" style="263" customWidth="1"/>
    <col min="7892" max="7895" width="0" style="263" hidden="1" customWidth="1"/>
    <col min="7896" max="7896" width="12.796875" style="263" bestFit="1" customWidth="1"/>
    <col min="7897" max="7900" width="0" style="263" hidden="1" customWidth="1"/>
    <col min="7901" max="7901" width="13.19921875" style="263" bestFit="1" customWidth="1"/>
    <col min="7902" max="7905" width="0" style="263" hidden="1" customWidth="1"/>
    <col min="7906" max="7906" width="13.19921875" style="263" bestFit="1" customWidth="1"/>
    <col min="7907" max="7910" width="11.73046875" style="263" bestFit="1" customWidth="1"/>
    <col min="7911" max="7911" width="14.46484375" style="263" bestFit="1" customWidth="1"/>
    <col min="7912" max="7941" width="16.265625" style="263"/>
    <col min="7942" max="7942" width="57" style="263" customWidth="1"/>
    <col min="7943" max="7943" width="19.265625" style="263" bestFit="1" customWidth="1"/>
    <col min="7944" max="7944" width="14.53125" style="263" bestFit="1" customWidth="1"/>
    <col min="7945" max="7964" width="12.73046875" style="263" customWidth="1"/>
    <col min="7965" max="7968" width="16.265625" style="263"/>
    <col min="7969" max="7969" width="1.73046875" style="263" bestFit="1" customWidth="1"/>
    <col min="7970" max="7970" width="19.53125" style="263" bestFit="1" customWidth="1"/>
    <col min="7971" max="7971" width="2" style="263" bestFit="1" customWidth="1"/>
    <col min="7972" max="7972" width="17.46484375" style="263" bestFit="1" customWidth="1"/>
    <col min="7973" max="8143" width="16.265625" style="263"/>
    <col min="8144" max="8144" width="57.265625" style="263" customWidth="1"/>
    <col min="8145" max="8145" width="62.46484375" style="263" customWidth="1"/>
    <col min="8146" max="8146" width="13.796875" style="263" customWidth="1"/>
    <col min="8147" max="8147" width="12.796875" style="263" customWidth="1"/>
    <col min="8148" max="8151" width="0" style="263" hidden="1" customWidth="1"/>
    <col min="8152" max="8152" width="12.796875" style="263" bestFit="1" customWidth="1"/>
    <col min="8153" max="8156" width="0" style="263" hidden="1" customWidth="1"/>
    <col min="8157" max="8157" width="13.19921875" style="263" bestFit="1" customWidth="1"/>
    <col min="8158" max="8161" width="0" style="263" hidden="1" customWidth="1"/>
    <col min="8162" max="8162" width="13.19921875" style="263" bestFit="1" customWidth="1"/>
    <col min="8163" max="8166" width="11.73046875" style="263" bestFit="1" customWidth="1"/>
    <col min="8167" max="8167" width="14.46484375" style="263" bestFit="1" customWidth="1"/>
    <col min="8168" max="8197" width="16.265625" style="263"/>
    <col min="8198" max="8198" width="57" style="263" customWidth="1"/>
    <col min="8199" max="8199" width="19.265625" style="263" bestFit="1" customWidth="1"/>
    <col min="8200" max="8200" width="14.53125" style="263" bestFit="1" customWidth="1"/>
    <col min="8201" max="8220" width="12.73046875" style="263" customWidth="1"/>
    <col min="8221" max="8224" width="16.265625" style="263"/>
    <col min="8225" max="8225" width="1.73046875" style="263" bestFit="1" customWidth="1"/>
    <col min="8226" max="8226" width="19.53125" style="263" bestFit="1" customWidth="1"/>
    <col min="8227" max="8227" width="2" style="263" bestFit="1" customWidth="1"/>
    <col min="8228" max="8228" width="17.46484375" style="263" bestFit="1" customWidth="1"/>
    <col min="8229" max="8399" width="16.265625" style="263"/>
    <col min="8400" max="8400" width="57.265625" style="263" customWidth="1"/>
    <col min="8401" max="8401" width="62.46484375" style="263" customWidth="1"/>
    <col min="8402" max="8402" width="13.796875" style="263" customWidth="1"/>
    <col min="8403" max="8403" width="12.796875" style="263" customWidth="1"/>
    <col min="8404" max="8407" width="0" style="263" hidden="1" customWidth="1"/>
    <col min="8408" max="8408" width="12.796875" style="263" bestFit="1" customWidth="1"/>
    <col min="8409" max="8412" width="0" style="263" hidden="1" customWidth="1"/>
    <col min="8413" max="8413" width="13.19921875" style="263" bestFit="1" customWidth="1"/>
    <col min="8414" max="8417" width="0" style="263" hidden="1" customWidth="1"/>
    <col min="8418" max="8418" width="13.19921875" style="263" bestFit="1" customWidth="1"/>
    <col min="8419" max="8422" width="11.73046875" style="263" bestFit="1" customWidth="1"/>
    <col min="8423" max="8423" width="14.46484375" style="263" bestFit="1" customWidth="1"/>
    <col min="8424" max="8453" width="16.265625" style="263"/>
    <col min="8454" max="8454" width="57" style="263" customWidth="1"/>
    <col min="8455" max="8455" width="19.265625" style="263" bestFit="1" customWidth="1"/>
    <col min="8456" max="8456" width="14.53125" style="263" bestFit="1" customWidth="1"/>
    <col min="8457" max="8476" width="12.73046875" style="263" customWidth="1"/>
    <col min="8477" max="8480" width="16.265625" style="263"/>
    <col min="8481" max="8481" width="1.73046875" style="263" bestFit="1" customWidth="1"/>
    <col min="8482" max="8482" width="19.53125" style="263" bestFit="1" customWidth="1"/>
    <col min="8483" max="8483" width="2" style="263" bestFit="1" customWidth="1"/>
    <col min="8484" max="8484" width="17.46484375" style="263" bestFit="1" customWidth="1"/>
    <col min="8485" max="8655" width="16.265625" style="263"/>
    <col min="8656" max="8656" width="57.265625" style="263" customWidth="1"/>
    <col min="8657" max="8657" width="62.46484375" style="263" customWidth="1"/>
    <col min="8658" max="8658" width="13.796875" style="263" customWidth="1"/>
    <col min="8659" max="8659" width="12.796875" style="263" customWidth="1"/>
    <col min="8660" max="8663" width="0" style="263" hidden="1" customWidth="1"/>
    <col min="8664" max="8664" width="12.796875" style="263" bestFit="1" customWidth="1"/>
    <col min="8665" max="8668" width="0" style="263" hidden="1" customWidth="1"/>
    <col min="8669" max="8669" width="13.19921875" style="263" bestFit="1" customWidth="1"/>
    <col min="8670" max="8673" width="0" style="263" hidden="1" customWidth="1"/>
    <col min="8674" max="8674" width="13.19921875" style="263" bestFit="1" customWidth="1"/>
    <col min="8675" max="8678" width="11.73046875" style="263" bestFit="1" customWidth="1"/>
    <col min="8679" max="8679" width="14.46484375" style="263" bestFit="1" customWidth="1"/>
    <col min="8680" max="8709" width="16.265625" style="263"/>
    <col min="8710" max="8710" width="57" style="263" customWidth="1"/>
    <col min="8711" max="8711" width="19.265625" style="263" bestFit="1" customWidth="1"/>
    <col min="8712" max="8712" width="14.53125" style="263" bestFit="1" customWidth="1"/>
    <col min="8713" max="8732" width="12.73046875" style="263" customWidth="1"/>
    <col min="8733" max="8736" width="16.265625" style="263"/>
    <col min="8737" max="8737" width="1.73046875" style="263" bestFit="1" customWidth="1"/>
    <col min="8738" max="8738" width="19.53125" style="263" bestFit="1" customWidth="1"/>
    <col min="8739" max="8739" width="2" style="263" bestFit="1" customWidth="1"/>
    <col min="8740" max="8740" width="17.46484375" style="263" bestFit="1" customWidth="1"/>
    <col min="8741" max="8911" width="16.265625" style="263"/>
    <col min="8912" max="8912" width="57.265625" style="263" customWidth="1"/>
    <col min="8913" max="8913" width="62.46484375" style="263" customWidth="1"/>
    <col min="8914" max="8914" width="13.796875" style="263" customWidth="1"/>
    <col min="8915" max="8915" width="12.796875" style="263" customWidth="1"/>
    <col min="8916" max="8919" width="0" style="263" hidden="1" customWidth="1"/>
    <col min="8920" max="8920" width="12.796875" style="263" bestFit="1" customWidth="1"/>
    <col min="8921" max="8924" width="0" style="263" hidden="1" customWidth="1"/>
    <col min="8925" max="8925" width="13.19921875" style="263" bestFit="1" customWidth="1"/>
    <col min="8926" max="8929" width="0" style="263" hidden="1" customWidth="1"/>
    <col min="8930" max="8930" width="13.19921875" style="263" bestFit="1" customWidth="1"/>
    <col min="8931" max="8934" width="11.73046875" style="263" bestFit="1" customWidth="1"/>
    <col min="8935" max="8935" width="14.46484375" style="263" bestFit="1" customWidth="1"/>
    <col min="8936" max="8965" width="16.265625" style="263"/>
    <col min="8966" max="8966" width="57" style="263" customWidth="1"/>
    <col min="8967" max="8967" width="19.265625" style="263" bestFit="1" customWidth="1"/>
    <col min="8968" max="8968" width="14.53125" style="263" bestFit="1" customWidth="1"/>
    <col min="8969" max="8988" width="12.73046875" style="263" customWidth="1"/>
    <col min="8989" max="8992" width="16.265625" style="263"/>
    <col min="8993" max="8993" width="1.73046875" style="263" bestFit="1" customWidth="1"/>
    <col min="8994" max="8994" width="19.53125" style="263" bestFit="1" customWidth="1"/>
    <col min="8995" max="8995" width="2" style="263" bestFit="1" customWidth="1"/>
    <col min="8996" max="8996" width="17.46484375" style="263" bestFit="1" customWidth="1"/>
    <col min="8997" max="9167" width="16.265625" style="263"/>
    <col min="9168" max="9168" width="57.265625" style="263" customWidth="1"/>
    <col min="9169" max="9169" width="62.46484375" style="263" customWidth="1"/>
    <col min="9170" max="9170" width="13.796875" style="263" customWidth="1"/>
    <col min="9171" max="9171" width="12.796875" style="263" customWidth="1"/>
    <col min="9172" max="9175" width="0" style="263" hidden="1" customWidth="1"/>
    <col min="9176" max="9176" width="12.796875" style="263" bestFit="1" customWidth="1"/>
    <col min="9177" max="9180" width="0" style="263" hidden="1" customWidth="1"/>
    <col min="9181" max="9181" width="13.19921875" style="263" bestFit="1" customWidth="1"/>
    <col min="9182" max="9185" width="0" style="263" hidden="1" customWidth="1"/>
    <col min="9186" max="9186" width="13.19921875" style="263" bestFit="1" customWidth="1"/>
    <col min="9187" max="9190" width="11.73046875" style="263" bestFit="1" customWidth="1"/>
    <col min="9191" max="9191" width="14.46484375" style="263" bestFit="1" customWidth="1"/>
    <col min="9192" max="9221" width="16.265625" style="263"/>
    <col min="9222" max="9222" width="57" style="263" customWidth="1"/>
    <col min="9223" max="9223" width="19.265625" style="263" bestFit="1" customWidth="1"/>
    <col min="9224" max="9224" width="14.53125" style="263" bestFit="1" customWidth="1"/>
    <col min="9225" max="9244" width="12.73046875" style="263" customWidth="1"/>
    <col min="9245" max="9248" width="16.265625" style="263"/>
    <col min="9249" max="9249" width="1.73046875" style="263" bestFit="1" customWidth="1"/>
    <col min="9250" max="9250" width="19.53125" style="263" bestFit="1" customWidth="1"/>
    <col min="9251" max="9251" width="2" style="263" bestFit="1" customWidth="1"/>
    <col min="9252" max="9252" width="17.46484375" style="263" bestFit="1" customWidth="1"/>
    <col min="9253" max="9423" width="16.265625" style="263"/>
    <col min="9424" max="9424" width="57.265625" style="263" customWidth="1"/>
    <col min="9425" max="9425" width="62.46484375" style="263" customWidth="1"/>
    <col min="9426" max="9426" width="13.796875" style="263" customWidth="1"/>
    <col min="9427" max="9427" width="12.796875" style="263" customWidth="1"/>
    <col min="9428" max="9431" width="0" style="263" hidden="1" customWidth="1"/>
    <col min="9432" max="9432" width="12.796875" style="263" bestFit="1" customWidth="1"/>
    <col min="9433" max="9436" width="0" style="263" hidden="1" customWidth="1"/>
    <col min="9437" max="9437" width="13.19921875" style="263" bestFit="1" customWidth="1"/>
    <col min="9438" max="9441" width="0" style="263" hidden="1" customWidth="1"/>
    <col min="9442" max="9442" width="13.19921875" style="263" bestFit="1" customWidth="1"/>
    <col min="9443" max="9446" width="11.73046875" style="263" bestFit="1" customWidth="1"/>
    <col min="9447" max="9447" width="14.46484375" style="263" bestFit="1" customWidth="1"/>
    <col min="9448" max="9477" width="16.265625" style="263"/>
    <col min="9478" max="9478" width="57" style="263" customWidth="1"/>
    <col min="9479" max="9479" width="19.265625" style="263" bestFit="1" customWidth="1"/>
    <col min="9480" max="9480" width="14.53125" style="263" bestFit="1" customWidth="1"/>
    <col min="9481" max="9500" width="12.73046875" style="263" customWidth="1"/>
    <col min="9501" max="9504" width="16.265625" style="263"/>
    <col min="9505" max="9505" width="1.73046875" style="263" bestFit="1" customWidth="1"/>
    <col min="9506" max="9506" width="19.53125" style="263" bestFit="1" customWidth="1"/>
    <col min="9507" max="9507" width="2" style="263" bestFit="1" customWidth="1"/>
    <col min="9508" max="9508" width="17.46484375" style="263" bestFit="1" customWidth="1"/>
    <col min="9509" max="9679" width="16.265625" style="263"/>
    <col min="9680" max="9680" width="57.265625" style="263" customWidth="1"/>
    <col min="9681" max="9681" width="62.46484375" style="263" customWidth="1"/>
    <col min="9682" max="9682" width="13.796875" style="263" customWidth="1"/>
    <col min="9683" max="9683" width="12.796875" style="263" customWidth="1"/>
    <col min="9684" max="9687" width="0" style="263" hidden="1" customWidth="1"/>
    <col min="9688" max="9688" width="12.796875" style="263" bestFit="1" customWidth="1"/>
    <col min="9689" max="9692" width="0" style="263" hidden="1" customWidth="1"/>
    <col min="9693" max="9693" width="13.19921875" style="263" bestFit="1" customWidth="1"/>
    <col min="9694" max="9697" width="0" style="263" hidden="1" customWidth="1"/>
    <col min="9698" max="9698" width="13.19921875" style="263" bestFit="1" customWidth="1"/>
    <col min="9699" max="9702" width="11.73046875" style="263" bestFit="1" customWidth="1"/>
    <col min="9703" max="9703" width="14.46484375" style="263" bestFit="1" customWidth="1"/>
    <col min="9704" max="9733" width="16.265625" style="263"/>
    <col min="9734" max="9734" width="57" style="263" customWidth="1"/>
    <col min="9735" max="9735" width="19.265625" style="263" bestFit="1" customWidth="1"/>
    <col min="9736" max="9736" width="14.53125" style="263" bestFit="1" customWidth="1"/>
    <col min="9737" max="9756" width="12.73046875" style="263" customWidth="1"/>
    <col min="9757" max="9760" width="16.265625" style="263"/>
    <col min="9761" max="9761" width="1.73046875" style="263" bestFit="1" customWidth="1"/>
    <col min="9762" max="9762" width="19.53125" style="263" bestFit="1" customWidth="1"/>
    <col min="9763" max="9763" width="2" style="263" bestFit="1" customWidth="1"/>
    <col min="9764" max="9764" width="17.46484375" style="263" bestFit="1" customWidth="1"/>
    <col min="9765" max="9935" width="16.265625" style="263"/>
    <col min="9936" max="9936" width="57.265625" style="263" customWidth="1"/>
    <col min="9937" max="9937" width="62.46484375" style="263" customWidth="1"/>
    <col min="9938" max="9938" width="13.796875" style="263" customWidth="1"/>
    <col min="9939" max="9939" width="12.796875" style="263" customWidth="1"/>
    <col min="9940" max="9943" width="0" style="263" hidden="1" customWidth="1"/>
    <col min="9944" max="9944" width="12.796875" style="263" bestFit="1" customWidth="1"/>
    <col min="9945" max="9948" width="0" style="263" hidden="1" customWidth="1"/>
    <col min="9949" max="9949" width="13.19921875" style="263" bestFit="1" customWidth="1"/>
    <col min="9950" max="9953" width="0" style="263" hidden="1" customWidth="1"/>
    <col min="9954" max="9954" width="13.19921875" style="263" bestFit="1" customWidth="1"/>
    <col min="9955" max="9958" width="11.73046875" style="263" bestFit="1" customWidth="1"/>
    <col min="9959" max="9959" width="14.46484375" style="263" bestFit="1" customWidth="1"/>
    <col min="9960" max="9989" width="16.265625" style="263"/>
    <col min="9990" max="9990" width="57" style="263" customWidth="1"/>
    <col min="9991" max="9991" width="19.265625" style="263" bestFit="1" customWidth="1"/>
    <col min="9992" max="9992" width="14.53125" style="263" bestFit="1" customWidth="1"/>
    <col min="9993" max="10012" width="12.73046875" style="263" customWidth="1"/>
    <col min="10013" max="10016" width="16.265625" style="263"/>
    <col min="10017" max="10017" width="1.73046875" style="263" bestFit="1" customWidth="1"/>
    <col min="10018" max="10018" width="19.53125" style="263" bestFit="1" customWidth="1"/>
    <col min="10019" max="10019" width="2" style="263" bestFit="1" customWidth="1"/>
    <col min="10020" max="10020" width="17.46484375" style="263" bestFit="1" customWidth="1"/>
    <col min="10021" max="10191" width="16.265625" style="263"/>
    <col min="10192" max="10192" width="57.265625" style="263" customWidth="1"/>
    <col min="10193" max="10193" width="62.46484375" style="263" customWidth="1"/>
    <col min="10194" max="10194" width="13.796875" style="263" customWidth="1"/>
    <col min="10195" max="10195" width="12.796875" style="263" customWidth="1"/>
    <col min="10196" max="10199" width="0" style="263" hidden="1" customWidth="1"/>
    <col min="10200" max="10200" width="12.796875" style="263" bestFit="1" customWidth="1"/>
    <col min="10201" max="10204" width="0" style="263" hidden="1" customWidth="1"/>
    <col min="10205" max="10205" width="13.19921875" style="263" bestFit="1" customWidth="1"/>
    <col min="10206" max="10209" width="0" style="263" hidden="1" customWidth="1"/>
    <col min="10210" max="10210" width="13.19921875" style="263" bestFit="1" customWidth="1"/>
    <col min="10211" max="10214" width="11.73046875" style="263" bestFit="1" customWidth="1"/>
    <col min="10215" max="10215" width="14.46484375" style="263" bestFit="1" customWidth="1"/>
    <col min="10216" max="10245" width="16.265625" style="263"/>
    <col min="10246" max="10246" width="57" style="263" customWidth="1"/>
    <col min="10247" max="10247" width="19.265625" style="263" bestFit="1" customWidth="1"/>
    <col min="10248" max="10248" width="14.53125" style="263" bestFit="1" customWidth="1"/>
    <col min="10249" max="10268" width="12.73046875" style="263" customWidth="1"/>
    <col min="10269" max="10272" width="16.265625" style="263"/>
    <col min="10273" max="10273" width="1.73046875" style="263" bestFit="1" customWidth="1"/>
    <col min="10274" max="10274" width="19.53125" style="263" bestFit="1" customWidth="1"/>
    <col min="10275" max="10275" width="2" style="263" bestFit="1" customWidth="1"/>
    <col min="10276" max="10276" width="17.46484375" style="263" bestFit="1" customWidth="1"/>
    <col min="10277" max="10447" width="16.265625" style="263"/>
    <col min="10448" max="10448" width="57.265625" style="263" customWidth="1"/>
    <col min="10449" max="10449" width="62.46484375" style="263" customWidth="1"/>
    <col min="10450" max="10450" width="13.796875" style="263" customWidth="1"/>
    <col min="10451" max="10451" width="12.796875" style="263" customWidth="1"/>
    <col min="10452" max="10455" width="0" style="263" hidden="1" customWidth="1"/>
    <col min="10456" max="10456" width="12.796875" style="263" bestFit="1" customWidth="1"/>
    <col min="10457" max="10460" width="0" style="263" hidden="1" customWidth="1"/>
    <col min="10461" max="10461" width="13.19921875" style="263" bestFit="1" customWidth="1"/>
    <col min="10462" max="10465" width="0" style="263" hidden="1" customWidth="1"/>
    <col min="10466" max="10466" width="13.19921875" style="263" bestFit="1" customWidth="1"/>
    <col min="10467" max="10470" width="11.73046875" style="263" bestFit="1" customWidth="1"/>
    <col min="10471" max="10471" width="14.46484375" style="263" bestFit="1" customWidth="1"/>
    <col min="10472" max="10501" width="16.265625" style="263"/>
    <col min="10502" max="10502" width="57" style="263" customWidth="1"/>
    <col min="10503" max="10503" width="19.265625" style="263" bestFit="1" customWidth="1"/>
    <col min="10504" max="10504" width="14.53125" style="263" bestFit="1" customWidth="1"/>
    <col min="10505" max="10524" width="12.73046875" style="263" customWidth="1"/>
    <col min="10525" max="10528" width="16.265625" style="263"/>
    <col min="10529" max="10529" width="1.73046875" style="263" bestFit="1" customWidth="1"/>
    <col min="10530" max="10530" width="19.53125" style="263" bestFit="1" customWidth="1"/>
    <col min="10531" max="10531" width="2" style="263" bestFit="1" customWidth="1"/>
    <col min="10532" max="10532" width="17.46484375" style="263" bestFit="1" customWidth="1"/>
    <col min="10533" max="10703" width="16.265625" style="263"/>
    <col min="10704" max="10704" width="57.265625" style="263" customWidth="1"/>
    <col min="10705" max="10705" width="62.46484375" style="263" customWidth="1"/>
    <col min="10706" max="10706" width="13.796875" style="263" customWidth="1"/>
    <col min="10707" max="10707" width="12.796875" style="263" customWidth="1"/>
    <col min="10708" max="10711" width="0" style="263" hidden="1" customWidth="1"/>
    <col min="10712" max="10712" width="12.796875" style="263" bestFit="1" customWidth="1"/>
    <col min="10713" max="10716" width="0" style="263" hidden="1" customWidth="1"/>
    <col min="10717" max="10717" width="13.19921875" style="263" bestFit="1" customWidth="1"/>
    <col min="10718" max="10721" width="0" style="263" hidden="1" customWidth="1"/>
    <col min="10722" max="10722" width="13.19921875" style="263" bestFit="1" customWidth="1"/>
    <col min="10723" max="10726" width="11.73046875" style="263" bestFit="1" customWidth="1"/>
    <col min="10727" max="10727" width="14.46484375" style="263" bestFit="1" customWidth="1"/>
    <col min="10728" max="10757" width="16.265625" style="263"/>
    <col min="10758" max="10758" width="57" style="263" customWidth="1"/>
    <col min="10759" max="10759" width="19.265625" style="263" bestFit="1" customWidth="1"/>
    <col min="10760" max="10760" width="14.53125" style="263" bestFit="1" customWidth="1"/>
    <col min="10761" max="10780" width="12.73046875" style="263" customWidth="1"/>
    <col min="10781" max="10784" width="16.265625" style="263"/>
    <col min="10785" max="10785" width="1.73046875" style="263" bestFit="1" customWidth="1"/>
    <col min="10786" max="10786" width="19.53125" style="263" bestFit="1" customWidth="1"/>
    <col min="10787" max="10787" width="2" style="263" bestFit="1" customWidth="1"/>
    <col min="10788" max="10788" width="17.46484375" style="263" bestFit="1" customWidth="1"/>
    <col min="10789" max="10959" width="16.265625" style="263"/>
    <col min="10960" max="10960" width="57.265625" style="263" customWidth="1"/>
    <col min="10961" max="10961" width="62.46484375" style="263" customWidth="1"/>
    <col min="10962" max="10962" width="13.796875" style="263" customWidth="1"/>
    <col min="10963" max="10963" width="12.796875" style="263" customWidth="1"/>
    <col min="10964" max="10967" width="0" style="263" hidden="1" customWidth="1"/>
    <col min="10968" max="10968" width="12.796875" style="263" bestFit="1" customWidth="1"/>
    <col min="10969" max="10972" width="0" style="263" hidden="1" customWidth="1"/>
    <col min="10973" max="10973" width="13.19921875" style="263" bestFit="1" customWidth="1"/>
    <col min="10974" max="10977" width="0" style="263" hidden="1" customWidth="1"/>
    <col min="10978" max="10978" width="13.19921875" style="263" bestFit="1" customWidth="1"/>
    <col min="10979" max="10982" width="11.73046875" style="263" bestFit="1" customWidth="1"/>
    <col min="10983" max="10983" width="14.46484375" style="263" bestFit="1" customWidth="1"/>
    <col min="10984" max="11013" width="16.265625" style="263"/>
    <col min="11014" max="11014" width="57" style="263" customWidth="1"/>
    <col min="11015" max="11015" width="19.265625" style="263" bestFit="1" customWidth="1"/>
    <col min="11016" max="11016" width="14.53125" style="263" bestFit="1" customWidth="1"/>
    <col min="11017" max="11036" width="12.73046875" style="263" customWidth="1"/>
    <col min="11037" max="11040" width="16.265625" style="263"/>
    <col min="11041" max="11041" width="1.73046875" style="263" bestFit="1" customWidth="1"/>
    <col min="11042" max="11042" width="19.53125" style="263" bestFit="1" customWidth="1"/>
    <col min="11043" max="11043" width="2" style="263" bestFit="1" customWidth="1"/>
    <col min="11044" max="11044" width="17.46484375" style="263" bestFit="1" customWidth="1"/>
    <col min="11045" max="11215" width="16.265625" style="263"/>
    <col min="11216" max="11216" width="57.265625" style="263" customWidth="1"/>
    <col min="11217" max="11217" width="62.46484375" style="263" customWidth="1"/>
    <col min="11218" max="11218" width="13.796875" style="263" customWidth="1"/>
    <col min="11219" max="11219" width="12.796875" style="263" customWidth="1"/>
    <col min="11220" max="11223" width="0" style="263" hidden="1" customWidth="1"/>
    <col min="11224" max="11224" width="12.796875" style="263" bestFit="1" customWidth="1"/>
    <col min="11225" max="11228" width="0" style="263" hidden="1" customWidth="1"/>
    <col min="11229" max="11229" width="13.19921875" style="263" bestFit="1" customWidth="1"/>
    <col min="11230" max="11233" width="0" style="263" hidden="1" customWidth="1"/>
    <col min="11234" max="11234" width="13.19921875" style="263" bestFit="1" customWidth="1"/>
    <col min="11235" max="11238" width="11.73046875" style="263" bestFit="1" customWidth="1"/>
    <col min="11239" max="11239" width="14.46484375" style="263" bestFit="1" customWidth="1"/>
    <col min="11240" max="11269" width="16.265625" style="263"/>
    <col min="11270" max="11270" width="57" style="263" customWidth="1"/>
    <col min="11271" max="11271" width="19.265625" style="263" bestFit="1" customWidth="1"/>
    <col min="11272" max="11272" width="14.53125" style="263" bestFit="1" customWidth="1"/>
    <col min="11273" max="11292" width="12.73046875" style="263" customWidth="1"/>
    <col min="11293" max="11296" width="16.265625" style="263"/>
    <col min="11297" max="11297" width="1.73046875" style="263" bestFit="1" customWidth="1"/>
    <col min="11298" max="11298" width="19.53125" style="263" bestFit="1" customWidth="1"/>
    <col min="11299" max="11299" width="2" style="263" bestFit="1" customWidth="1"/>
    <col min="11300" max="11300" width="17.46484375" style="263" bestFit="1" customWidth="1"/>
    <col min="11301" max="11471" width="16.265625" style="263"/>
    <col min="11472" max="11472" width="57.265625" style="263" customWidth="1"/>
    <col min="11473" max="11473" width="62.46484375" style="263" customWidth="1"/>
    <col min="11474" max="11474" width="13.796875" style="263" customWidth="1"/>
    <col min="11475" max="11475" width="12.796875" style="263" customWidth="1"/>
    <col min="11476" max="11479" width="0" style="263" hidden="1" customWidth="1"/>
    <col min="11480" max="11480" width="12.796875" style="263" bestFit="1" customWidth="1"/>
    <col min="11481" max="11484" width="0" style="263" hidden="1" customWidth="1"/>
    <col min="11485" max="11485" width="13.19921875" style="263" bestFit="1" customWidth="1"/>
    <col min="11486" max="11489" width="0" style="263" hidden="1" customWidth="1"/>
    <col min="11490" max="11490" width="13.19921875" style="263" bestFit="1" customWidth="1"/>
    <col min="11491" max="11494" width="11.73046875" style="263" bestFit="1" customWidth="1"/>
    <col min="11495" max="11495" width="14.46484375" style="263" bestFit="1" customWidth="1"/>
    <col min="11496" max="11525" width="16.265625" style="263"/>
    <col min="11526" max="11526" width="57" style="263" customWidth="1"/>
    <col min="11527" max="11527" width="19.265625" style="263" bestFit="1" customWidth="1"/>
    <col min="11528" max="11528" width="14.53125" style="263" bestFit="1" customWidth="1"/>
    <col min="11529" max="11548" width="12.73046875" style="263" customWidth="1"/>
    <col min="11549" max="11552" width="16.265625" style="263"/>
    <col min="11553" max="11553" width="1.73046875" style="263" bestFit="1" customWidth="1"/>
    <col min="11554" max="11554" width="19.53125" style="263" bestFit="1" customWidth="1"/>
    <col min="11555" max="11555" width="2" style="263" bestFit="1" customWidth="1"/>
    <col min="11556" max="11556" width="17.46484375" style="263" bestFit="1" customWidth="1"/>
    <col min="11557" max="11727" width="16.265625" style="263"/>
    <col min="11728" max="11728" width="57.265625" style="263" customWidth="1"/>
    <col min="11729" max="11729" width="62.46484375" style="263" customWidth="1"/>
    <col min="11730" max="11730" width="13.796875" style="263" customWidth="1"/>
    <col min="11731" max="11731" width="12.796875" style="263" customWidth="1"/>
    <col min="11732" max="11735" width="0" style="263" hidden="1" customWidth="1"/>
    <col min="11736" max="11736" width="12.796875" style="263" bestFit="1" customWidth="1"/>
    <col min="11737" max="11740" width="0" style="263" hidden="1" customWidth="1"/>
    <col min="11741" max="11741" width="13.19921875" style="263" bestFit="1" customWidth="1"/>
    <col min="11742" max="11745" width="0" style="263" hidden="1" customWidth="1"/>
    <col min="11746" max="11746" width="13.19921875" style="263" bestFit="1" customWidth="1"/>
    <col min="11747" max="11750" width="11.73046875" style="263" bestFit="1" customWidth="1"/>
    <col min="11751" max="11751" width="14.46484375" style="263" bestFit="1" customWidth="1"/>
    <col min="11752" max="11781" width="16.265625" style="263"/>
    <col min="11782" max="11782" width="57" style="263" customWidth="1"/>
    <col min="11783" max="11783" width="19.265625" style="263" bestFit="1" customWidth="1"/>
    <col min="11784" max="11784" width="14.53125" style="263" bestFit="1" customWidth="1"/>
    <col min="11785" max="11804" width="12.73046875" style="263" customWidth="1"/>
    <col min="11805" max="11808" width="16.265625" style="263"/>
    <col min="11809" max="11809" width="1.73046875" style="263" bestFit="1" customWidth="1"/>
    <col min="11810" max="11810" width="19.53125" style="263" bestFit="1" customWidth="1"/>
    <col min="11811" max="11811" width="2" style="263" bestFit="1" customWidth="1"/>
    <col min="11812" max="11812" width="17.46484375" style="263" bestFit="1" customWidth="1"/>
    <col min="11813" max="11983" width="16.265625" style="263"/>
    <col min="11984" max="11984" width="57.265625" style="263" customWidth="1"/>
    <col min="11985" max="11985" width="62.46484375" style="263" customWidth="1"/>
    <col min="11986" max="11986" width="13.796875" style="263" customWidth="1"/>
    <col min="11987" max="11987" width="12.796875" style="263" customWidth="1"/>
    <col min="11988" max="11991" width="0" style="263" hidden="1" customWidth="1"/>
    <col min="11992" max="11992" width="12.796875" style="263" bestFit="1" customWidth="1"/>
    <col min="11993" max="11996" width="0" style="263" hidden="1" customWidth="1"/>
    <col min="11997" max="11997" width="13.19921875" style="263" bestFit="1" customWidth="1"/>
    <col min="11998" max="12001" width="0" style="263" hidden="1" customWidth="1"/>
    <col min="12002" max="12002" width="13.19921875" style="263" bestFit="1" customWidth="1"/>
    <col min="12003" max="12006" width="11.73046875" style="263" bestFit="1" customWidth="1"/>
    <col min="12007" max="12007" width="14.46484375" style="263" bestFit="1" customWidth="1"/>
    <col min="12008" max="12037" width="16.265625" style="263"/>
    <col min="12038" max="12038" width="57" style="263" customWidth="1"/>
    <col min="12039" max="12039" width="19.265625" style="263" bestFit="1" customWidth="1"/>
    <col min="12040" max="12040" width="14.53125" style="263" bestFit="1" customWidth="1"/>
    <col min="12041" max="12060" width="12.73046875" style="263" customWidth="1"/>
    <col min="12061" max="12064" width="16.265625" style="263"/>
    <col min="12065" max="12065" width="1.73046875" style="263" bestFit="1" customWidth="1"/>
    <col min="12066" max="12066" width="19.53125" style="263" bestFit="1" customWidth="1"/>
    <col min="12067" max="12067" width="2" style="263" bestFit="1" customWidth="1"/>
    <col min="12068" max="12068" width="17.46484375" style="263" bestFit="1" customWidth="1"/>
    <col min="12069" max="12239" width="16.265625" style="263"/>
    <col min="12240" max="12240" width="57.265625" style="263" customWidth="1"/>
    <col min="12241" max="12241" width="62.46484375" style="263" customWidth="1"/>
    <col min="12242" max="12242" width="13.796875" style="263" customWidth="1"/>
    <col min="12243" max="12243" width="12.796875" style="263" customWidth="1"/>
    <col min="12244" max="12247" width="0" style="263" hidden="1" customWidth="1"/>
    <col min="12248" max="12248" width="12.796875" style="263" bestFit="1" customWidth="1"/>
    <col min="12249" max="12252" width="0" style="263" hidden="1" customWidth="1"/>
    <col min="12253" max="12253" width="13.19921875" style="263" bestFit="1" customWidth="1"/>
    <col min="12254" max="12257" width="0" style="263" hidden="1" customWidth="1"/>
    <col min="12258" max="12258" width="13.19921875" style="263" bestFit="1" customWidth="1"/>
    <col min="12259" max="12262" width="11.73046875" style="263" bestFit="1" customWidth="1"/>
    <col min="12263" max="12263" width="14.46484375" style="263" bestFit="1" customWidth="1"/>
    <col min="12264" max="12293" width="16.265625" style="263"/>
    <col min="12294" max="12294" width="57" style="263" customWidth="1"/>
    <col min="12295" max="12295" width="19.265625" style="263" bestFit="1" customWidth="1"/>
    <col min="12296" max="12296" width="14.53125" style="263" bestFit="1" customWidth="1"/>
    <col min="12297" max="12316" width="12.73046875" style="263" customWidth="1"/>
    <col min="12317" max="12320" width="16.265625" style="263"/>
    <col min="12321" max="12321" width="1.73046875" style="263" bestFit="1" customWidth="1"/>
    <col min="12322" max="12322" width="19.53125" style="263" bestFit="1" customWidth="1"/>
    <col min="12323" max="12323" width="2" style="263" bestFit="1" customWidth="1"/>
    <col min="12324" max="12324" width="17.46484375" style="263" bestFit="1" customWidth="1"/>
    <col min="12325" max="12495" width="16.265625" style="263"/>
    <col min="12496" max="12496" width="57.265625" style="263" customWidth="1"/>
    <col min="12497" max="12497" width="62.46484375" style="263" customWidth="1"/>
    <col min="12498" max="12498" width="13.796875" style="263" customWidth="1"/>
    <col min="12499" max="12499" width="12.796875" style="263" customWidth="1"/>
    <col min="12500" max="12503" width="0" style="263" hidden="1" customWidth="1"/>
    <col min="12504" max="12504" width="12.796875" style="263" bestFit="1" customWidth="1"/>
    <col min="12505" max="12508" width="0" style="263" hidden="1" customWidth="1"/>
    <col min="12509" max="12509" width="13.19921875" style="263" bestFit="1" customWidth="1"/>
    <col min="12510" max="12513" width="0" style="263" hidden="1" customWidth="1"/>
    <col min="12514" max="12514" width="13.19921875" style="263" bestFit="1" customWidth="1"/>
    <col min="12515" max="12518" width="11.73046875" style="263" bestFit="1" customWidth="1"/>
    <col min="12519" max="12519" width="14.46484375" style="263" bestFit="1" customWidth="1"/>
    <col min="12520" max="12549" width="16.265625" style="263"/>
    <col min="12550" max="12550" width="57" style="263" customWidth="1"/>
    <col min="12551" max="12551" width="19.265625" style="263" bestFit="1" customWidth="1"/>
    <col min="12552" max="12552" width="14.53125" style="263" bestFit="1" customWidth="1"/>
    <col min="12553" max="12572" width="12.73046875" style="263" customWidth="1"/>
    <col min="12573" max="12576" width="16.265625" style="263"/>
    <col min="12577" max="12577" width="1.73046875" style="263" bestFit="1" customWidth="1"/>
    <col min="12578" max="12578" width="19.53125" style="263" bestFit="1" customWidth="1"/>
    <col min="12579" max="12579" width="2" style="263" bestFit="1" customWidth="1"/>
    <col min="12580" max="12580" width="17.46484375" style="263" bestFit="1" customWidth="1"/>
    <col min="12581" max="12751" width="16.265625" style="263"/>
    <col min="12752" max="12752" width="57.265625" style="263" customWidth="1"/>
    <col min="12753" max="12753" width="62.46484375" style="263" customWidth="1"/>
    <col min="12754" max="12754" width="13.796875" style="263" customWidth="1"/>
    <col min="12755" max="12755" width="12.796875" style="263" customWidth="1"/>
    <col min="12756" max="12759" width="0" style="263" hidden="1" customWidth="1"/>
    <col min="12760" max="12760" width="12.796875" style="263" bestFit="1" customWidth="1"/>
    <col min="12761" max="12764" width="0" style="263" hidden="1" customWidth="1"/>
    <col min="12765" max="12765" width="13.19921875" style="263" bestFit="1" customWidth="1"/>
    <col min="12766" max="12769" width="0" style="263" hidden="1" customWidth="1"/>
    <col min="12770" max="12770" width="13.19921875" style="263" bestFit="1" customWidth="1"/>
    <col min="12771" max="12774" width="11.73046875" style="263" bestFit="1" customWidth="1"/>
    <col min="12775" max="12775" width="14.46484375" style="263" bestFit="1" customWidth="1"/>
    <col min="12776" max="12805" width="16.265625" style="263"/>
    <col min="12806" max="12806" width="57" style="263" customWidth="1"/>
    <col min="12807" max="12807" width="19.265625" style="263" bestFit="1" customWidth="1"/>
    <col min="12808" max="12808" width="14.53125" style="263" bestFit="1" customWidth="1"/>
    <col min="12809" max="12828" width="12.73046875" style="263" customWidth="1"/>
    <col min="12829" max="12832" width="16.265625" style="263"/>
    <col min="12833" max="12833" width="1.73046875" style="263" bestFit="1" customWidth="1"/>
    <col min="12834" max="12834" width="19.53125" style="263" bestFit="1" customWidth="1"/>
    <col min="12835" max="12835" width="2" style="263" bestFit="1" customWidth="1"/>
    <col min="12836" max="12836" width="17.46484375" style="263" bestFit="1" customWidth="1"/>
    <col min="12837" max="13007" width="16.265625" style="263"/>
    <col min="13008" max="13008" width="57.265625" style="263" customWidth="1"/>
    <col min="13009" max="13009" width="62.46484375" style="263" customWidth="1"/>
    <col min="13010" max="13010" width="13.796875" style="263" customWidth="1"/>
    <col min="13011" max="13011" width="12.796875" style="263" customWidth="1"/>
    <col min="13012" max="13015" width="0" style="263" hidden="1" customWidth="1"/>
    <col min="13016" max="13016" width="12.796875" style="263" bestFit="1" customWidth="1"/>
    <col min="13017" max="13020" width="0" style="263" hidden="1" customWidth="1"/>
    <col min="13021" max="13021" width="13.19921875" style="263" bestFit="1" customWidth="1"/>
    <col min="13022" max="13025" width="0" style="263" hidden="1" customWidth="1"/>
    <col min="13026" max="13026" width="13.19921875" style="263" bestFit="1" customWidth="1"/>
    <col min="13027" max="13030" width="11.73046875" style="263" bestFit="1" customWidth="1"/>
    <col min="13031" max="13031" width="14.46484375" style="263" bestFit="1" customWidth="1"/>
    <col min="13032" max="13061" width="16.265625" style="263"/>
    <col min="13062" max="13062" width="57" style="263" customWidth="1"/>
    <col min="13063" max="13063" width="19.265625" style="263" bestFit="1" customWidth="1"/>
    <col min="13064" max="13064" width="14.53125" style="263" bestFit="1" customWidth="1"/>
    <col min="13065" max="13084" width="12.73046875" style="263" customWidth="1"/>
    <col min="13085" max="13088" width="16.265625" style="263"/>
    <col min="13089" max="13089" width="1.73046875" style="263" bestFit="1" customWidth="1"/>
    <col min="13090" max="13090" width="19.53125" style="263" bestFit="1" customWidth="1"/>
    <col min="13091" max="13091" width="2" style="263" bestFit="1" customWidth="1"/>
    <col min="13092" max="13092" width="17.46484375" style="263" bestFit="1" customWidth="1"/>
    <col min="13093" max="13263" width="16.265625" style="263"/>
    <col min="13264" max="13264" width="57.265625" style="263" customWidth="1"/>
    <col min="13265" max="13265" width="62.46484375" style="263" customWidth="1"/>
    <col min="13266" max="13266" width="13.796875" style="263" customWidth="1"/>
    <col min="13267" max="13267" width="12.796875" style="263" customWidth="1"/>
    <col min="13268" max="13271" width="0" style="263" hidden="1" customWidth="1"/>
    <col min="13272" max="13272" width="12.796875" style="263" bestFit="1" customWidth="1"/>
    <col min="13273" max="13276" width="0" style="263" hidden="1" customWidth="1"/>
    <col min="13277" max="13277" width="13.19921875" style="263" bestFit="1" customWidth="1"/>
    <col min="13278" max="13281" width="0" style="263" hidden="1" customWidth="1"/>
    <col min="13282" max="13282" width="13.19921875" style="263" bestFit="1" customWidth="1"/>
    <col min="13283" max="13286" width="11.73046875" style="263" bestFit="1" customWidth="1"/>
    <col min="13287" max="13287" width="14.46484375" style="263" bestFit="1" customWidth="1"/>
    <col min="13288" max="13317" width="16.265625" style="263"/>
    <col min="13318" max="13318" width="57" style="263" customWidth="1"/>
    <col min="13319" max="13319" width="19.265625" style="263" bestFit="1" customWidth="1"/>
    <col min="13320" max="13320" width="14.53125" style="263" bestFit="1" customWidth="1"/>
    <col min="13321" max="13340" width="12.73046875" style="263" customWidth="1"/>
    <col min="13341" max="13344" width="16.265625" style="263"/>
    <col min="13345" max="13345" width="1.73046875" style="263" bestFit="1" customWidth="1"/>
    <col min="13346" max="13346" width="19.53125" style="263" bestFit="1" customWidth="1"/>
    <col min="13347" max="13347" width="2" style="263" bestFit="1" customWidth="1"/>
    <col min="13348" max="13348" width="17.46484375" style="263" bestFit="1" customWidth="1"/>
    <col min="13349" max="13519" width="16.265625" style="263"/>
    <col min="13520" max="13520" width="57.265625" style="263" customWidth="1"/>
    <col min="13521" max="13521" width="62.46484375" style="263" customWidth="1"/>
    <col min="13522" max="13522" width="13.796875" style="263" customWidth="1"/>
    <col min="13523" max="13523" width="12.796875" style="263" customWidth="1"/>
    <col min="13524" max="13527" width="0" style="263" hidden="1" customWidth="1"/>
    <col min="13528" max="13528" width="12.796875" style="263" bestFit="1" customWidth="1"/>
    <col min="13529" max="13532" width="0" style="263" hidden="1" customWidth="1"/>
    <col min="13533" max="13533" width="13.19921875" style="263" bestFit="1" customWidth="1"/>
    <col min="13534" max="13537" width="0" style="263" hidden="1" customWidth="1"/>
    <col min="13538" max="13538" width="13.19921875" style="263" bestFit="1" customWidth="1"/>
    <col min="13539" max="13542" width="11.73046875" style="263" bestFit="1" customWidth="1"/>
    <col min="13543" max="13543" width="14.46484375" style="263" bestFit="1" customWidth="1"/>
    <col min="13544" max="13573" width="16.265625" style="263"/>
    <col min="13574" max="13574" width="57" style="263" customWidth="1"/>
    <col min="13575" max="13575" width="19.265625" style="263" bestFit="1" customWidth="1"/>
    <col min="13576" max="13576" width="14.53125" style="263" bestFit="1" customWidth="1"/>
    <col min="13577" max="13596" width="12.73046875" style="263" customWidth="1"/>
    <col min="13597" max="13600" width="16.265625" style="263"/>
    <col min="13601" max="13601" width="1.73046875" style="263" bestFit="1" customWidth="1"/>
    <col min="13602" max="13602" width="19.53125" style="263" bestFit="1" customWidth="1"/>
    <col min="13603" max="13603" width="2" style="263" bestFit="1" customWidth="1"/>
    <col min="13604" max="13604" width="17.46484375" style="263" bestFit="1" customWidth="1"/>
    <col min="13605" max="13775" width="16.265625" style="263"/>
    <col min="13776" max="13776" width="57.265625" style="263" customWidth="1"/>
    <col min="13777" max="13777" width="62.46484375" style="263" customWidth="1"/>
    <col min="13778" max="13778" width="13.796875" style="263" customWidth="1"/>
    <col min="13779" max="13779" width="12.796875" style="263" customWidth="1"/>
    <col min="13780" max="13783" width="0" style="263" hidden="1" customWidth="1"/>
    <col min="13784" max="13784" width="12.796875" style="263" bestFit="1" customWidth="1"/>
    <col min="13785" max="13788" width="0" style="263" hidden="1" customWidth="1"/>
    <col min="13789" max="13789" width="13.19921875" style="263" bestFit="1" customWidth="1"/>
    <col min="13790" max="13793" width="0" style="263" hidden="1" customWidth="1"/>
    <col min="13794" max="13794" width="13.19921875" style="263" bestFit="1" customWidth="1"/>
    <col min="13795" max="13798" width="11.73046875" style="263" bestFit="1" customWidth="1"/>
    <col min="13799" max="13799" width="14.46484375" style="263" bestFit="1" customWidth="1"/>
    <col min="13800" max="13829" width="16.265625" style="263"/>
    <col min="13830" max="13830" width="57" style="263" customWidth="1"/>
    <col min="13831" max="13831" width="19.265625" style="263" bestFit="1" customWidth="1"/>
    <col min="13832" max="13832" width="14.53125" style="263" bestFit="1" customWidth="1"/>
    <col min="13833" max="13852" width="12.73046875" style="263" customWidth="1"/>
    <col min="13853" max="13856" width="16.265625" style="263"/>
    <col min="13857" max="13857" width="1.73046875" style="263" bestFit="1" customWidth="1"/>
    <col min="13858" max="13858" width="19.53125" style="263" bestFit="1" customWidth="1"/>
    <col min="13859" max="13859" width="2" style="263" bestFit="1" customWidth="1"/>
    <col min="13860" max="13860" width="17.46484375" style="263" bestFit="1" customWidth="1"/>
    <col min="13861" max="14031" width="16.265625" style="263"/>
    <col min="14032" max="14032" width="57.265625" style="263" customWidth="1"/>
    <col min="14033" max="14033" width="62.46484375" style="263" customWidth="1"/>
    <col min="14034" max="14034" width="13.796875" style="263" customWidth="1"/>
    <col min="14035" max="14035" width="12.796875" style="263" customWidth="1"/>
    <col min="14036" max="14039" width="0" style="263" hidden="1" customWidth="1"/>
    <col min="14040" max="14040" width="12.796875" style="263" bestFit="1" customWidth="1"/>
    <col min="14041" max="14044" width="0" style="263" hidden="1" customWidth="1"/>
    <col min="14045" max="14045" width="13.19921875" style="263" bestFit="1" customWidth="1"/>
    <col min="14046" max="14049" width="0" style="263" hidden="1" customWidth="1"/>
    <col min="14050" max="14050" width="13.19921875" style="263" bestFit="1" customWidth="1"/>
    <col min="14051" max="14054" width="11.73046875" style="263" bestFit="1" customWidth="1"/>
    <col min="14055" max="14055" width="14.46484375" style="263" bestFit="1" customWidth="1"/>
    <col min="14056" max="14085" width="16.265625" style="263"/>
    <col min="14086" max="14086" width="57" style="263" customWidth="1"/>
    <col min="14087" max="14087" width="19.265625" style="263" bestFit="1" customWidth="1"/>
    <col min="14088" max="14088" width="14.53125" style="263" bestFit="1" customWidth="1"/>
    <col min="14089" max="14108" width="12.73046875" style="263" customWidth="1"/>
    <col min="14109" max="14112" width="16.265625" style="263"/>
    <col min="14113" max="14113" width="1.73046875" style="263" bestFit="1" customWidth="1"/>
    <col min="14114" max="14114" width="19.53125" style="263" bestFit="1" customWidth="1"/>
    <col min="14115" max="14115" width="2" style="263" bestFit="1" customWidth="1"/>
    <col min="14116" max="14116" width="17.46484375" style="263" bestFit="1" customWidth="1"/>
    <col min="14117" max="14287" width="16.265625" style="263"/>
    <col min="14288" max="14288" width="57.265625" style="263" customWidth="1"/>
    <col min="14289" max="14289" width="62.46484375" style="263" customWidth="1"/>
    <col min="14290" max="14290" width="13.796875" style="263" customWidth="1"/>
    <col min="14291" max="14291" width="12.796875" style="263" customWidth="1"/>
    <col min="14292" max="14295" width="0" style="263" hidden="1" customWidth="1"/>
    <col min="14296" max="14296" width="12.796875" style="263" bestFit="1" customWidth="1"/>
    <col min="14297" max="14300" width="0" style="263" hidden="1" customWidth="1"/>
    <col min="14301" max="14301" width="13.19921875" style="263" bestFit="1" customWidth="1"/>
    <col min="14302" max="14305" width="0" style="263" hidden="1" customWidth="1"/>
    <col min="14306" max="14306" width="13.19921875" style="263" bestFit="1" customWidth="1"/>
    <col min="14307" max="14310" width="11.73046875" style="263" bestFit="1" customWidth="1"/>
    <col min="14311" max="14311" width="14.46484375" style="263" bestFit="1" customWidth="1"/>
    <col min="14312" max="14341" width="16.265625" style="263"/>
    <col min="14342" max="14342" width="57" style="263" customWidth="1"/>
    <col min="14343" max="14343" width="19.265625" style="263" bestFit="1" customWidth="1"/>
    <col min="14344" max="14344" width="14.53125" style="263" bestFit="1" customWidth="1"/>
    <col min="14345" max="14364" width="12.73046875" style="263" customWidth="1"/>
    <col min="14365" max="14368" width="16.265625" style="263"/>
    <col min="14369" max="14369" width="1.73046875" style="263" bestFit="1" customWidth="1"/>
    <col min="14370" max="14370" width="19.53125" style="263" bestFit="1" customWidth="1"/>
    <col min="14371" max="14371" width="2" style="263" bestFit="1" customWidth="1"/>
    <col min="14372" max="14372" width="17.46484375" style="263" bestFit="1" customWidth="1"/>
    <col min="14373" max="14543" width="16.265625" style="263"/>
    <col min="14544" max="14544" width="57.265625" style="263" customWidth="1"/>
    <col min="14545" max="14545" width="62.46484375" style="263" customWidth="1"/>
    <col min="14546" max="14546" width="13.796875" style="263" customWidth="1"/>
    <col min="14547" max="14547" width="12.796875" style="263" customWidth="1"/>
    <col min="14548" max="14551" width="0" style="263" hidden="1" customWidth="1"/>
    <col min="14552" max="14552" width="12.796875" style="263" bestFit="1" customWidth="1"/>
    <col min="14553" max="14556" width="0" style="263" hidden="1" customWidth="1"/>
    <col min="14557" max="14557" width="13.19921875" style="263" bestFit="1" customWidth="1"/>
    <col min="14558" max="14561" width="0" style="263" hidden="1" customWidth="1"/>
    <col min="14562" max="14562" width="13.19921875" style="263" bestFit="1" customWidth="1"/>
    <col min="14563" max="14566" width="11.73046875" style="263" bestFit="1" customWidth="1"/>
    <col min="14567" max="14567" width="14.46484375" style="263" bestFit="1" customWidth="1"/>
    <col min="14568" max="14597" width="16.265625" style="263"/>
    <col min="14598" max="14598" width="57" style="263" customWidth="1"/>
    <col min="14599" max="14599" width="19.265625" style="263" bestFit="1" customWidth="1"/>
    <col min="14600" max="14600" width="14.53125" style="263" bestFit="1" customWidth="1"/>
    <col min="14601" max="14620" width="12.73046875" style="263" customWidth="1"/>
    <col min="14621" max="14624" width="16.265625" style="263"/>
    <col min="14625" max="14625" width="1.73046875" style="263" bestFit="1" customWidth="1"/>
    <col min="14626" max="14626" width="19.53125" style="263" bestFit="1" customWidth="1"/>
    <col min="14627" max="14627" width="2" style="263" bestFit="1" customWidth="1"/>
    <col min="14628" max="14628" width="17.46484375" style="263" bestFit="1" customWidth="1"/>
    <col min="14629" max="14799" width="16.265625" style="263"/>
    <col min="14800" max="14800" width="57.265625" style="263" customWidth="1"/>
    <col min="14801" max="14801" width="62.46484375" style="263" customWidth="1"/>
    <col min="14802" max="14802" width="13.796875" style="263" customWidth="1"/>
    <col min="14803" max="14803" width="12.796875" style="263" customWidth="1"/>
    <col min="14804" max="14807" width="0" style="263" hidden="1" customWidth="1"/>
    <col min="14808" max="14808" width="12.796875" style="263" bestFit="1" customWidth="1"/>
    <col min="14809" max="14812" width="0" style="263" hidden="1" customWidth="1"/>
    <col min="14813" max="14813" width="13.19921875" style="263" bestFit="1" customWidth="1"/>
    <col min="14814" max="14817" width="0" style="263" hidden="1" customWidth="1"/>
    <col min="14818" max="14818" width="13.19921875" style="263" bestFit="1" customWidth="1"/>
    <col min="14819" max="14822" width="11.73046875" style="263" bestFit="1" customWidth="1"/>
    <col min="14823" max="14823" width="14.46484375" style="263" bestFit="1" customWidth="1"/>
    <col min="14824" max="14853" width="16.265625" style="263"/>
    <col min="14854" max="14854" width="57" style="263" customWidth="1"/>
    <col min="14855" max="14855" width="19.265625" style="263" bestFit="1" customWidth="1"/>
    <col min="14856" max="14856" width="14.53125" style="263" bestFit="1" customWidth="1"/>
    <col min="14857" max="14876" width="12.73046875" style="263" customWidth="1"/>
    <col min="14877" max="14880" width="16.265625" style="263"/>
    <col min="14881" max="14881" width="1.73046875" style="263" bestFit="1" customWidth="1"/>
    <col min="14882" max="14882" width="19.53125" style="263" bestFit="1" customWidth="1"/>
    <col min="14883" max="14883" width="2" style="263" bestFit="1" customWidth="1"/>
    <col min="14884" max="14884" width="17.46484375" style="263" bestFit="1" customWidth="1"/>
    <col min="14885" max="15055" width="16.265625" style="263"/>
    <col min="15056" max="15056" width="57.265625" style="263" customWidth="1"/>
    <col min="15057" max="15057" width="62.46484375" style="263" customWidth="1"/>
    <col min="15058" max="15058" width="13.796875" style="263" customWidth="1"/>
    <col min="15059" max="15059" width="12.796875" style="263" customWidth="1"/>
    <col min="15060" max="15063" width="0" style="263" hidden="1" customWidth="1"/>
    <col min="15064" max="15064" width="12.796875" style="263" bestFit="1" customWidth="1"/>
    <col min="15065" max="15068" width="0" style="263" hidden="1" customWidth="1"/>
    <col min="15069" max="15069" width="13.19921875" style="263" bestFit="1" customWidth="1"/>
    <col min="15070" max="15073" width="0" style="263" hidden="1" customWidth="1"/>
    <col min="15074" max="15074" width="13.19921875" style="263" bestFit="1" customWidth="1"/>
    <col min="15075" max="15078" width="11.73046875" style="263" bestFit="1" customWidth="1"/>
    <col min="15079" max="15079" width="14.46484375" style="263" bestFit="1" customWidth="1"/>
    <col min="15080" max="15109" width="16.265625" style="263"/>
    <col min="15110" max="15110" width="57" style="263" customWidth="1"/>
    <col min="15111" max="15111" width="19.265625" style="263" bestFit="1" customWidth="1"/>
    <col min="15112" max="15112" width="14.53125" style="263" bestFit="1" customWidth="1"/>
    <col min="15113" max="15132" width="12.73046875" style="263" customWidth="1"/>
    <col min="15133" max="15136" width="16.265625" style="263"/>
    <col min="15137" max="15137" width="1.73046875" style="263" bestFit="1" customWidth="1"/>
    <col min="15138" max="15138" width="19.53125" style="263" bestFit="1" customWidth="1"/>
    <col min="15139" max="15139" width="2" style="263" bestFit="1" customWidth="1"/>
    <col min="15140" max="15140" width="17.46484375" style="263" bestFit="1" customWidth="1"/>
    <col min="15141" max="15311" width="16.265625" style="263"/>
    <col min="15312" max="15312" width="57.265625" style="263" customWidth="1"/>
    <col min="15313" max="15313" width="62.46484375" style="263" customWidth="1"/>
    <col min="15314" max="15314" width="13.796875" style="263" customWidth="1"/>
    <col min="15315" max="15315" width="12.796875" style="263" customWidth="1"/>
    <col min="15316" max="15319" width="0" style="263" hidden="1" customWidth="1"/>
    <col min="15320" max="15320" width="12.796875" style="263" bestFit="1" customWidth="1"/>
    <col min="15321" max="15324" width="0" style="263" hidden="1" customWidth="1"/>
    <col min="15325" max="15325" width="13.19921875" style="263" bestFit="1" customWidth="1"/>
    <col min="15326" max="15329" width="0" style="263" hidden="1" customWidth="1"/>
    <col min="15330" max="15330" width="13.19921875" style="263" bestFit="1" customWidth="1"/>
    <col min="15331" max="15334" width="11.73046875" style="263" bestFit="1" customWidth="1"/>
    <col min="15335" max="15335" width="14.46484375" style="263" bestFit="1" customWidth="1"/>
    <col min="15336" max="15365" width="16.265625" style="263"/>
    <col min="15366" max="15366" width="57" style="263" customWidth="1"/>
    <col min="15367" max="15367" width="19.265625" style="263" bestFit="1" customWidth="1"/>
    <col min="15368" max="15368" width="14.53125" style="263" bestFit="1" customWidth="1"/>
    <col min="15369" max="15388" width="12.73046875" style="263" customWidth="1"/>
    <col min="15389" max="15392" width="16.265625" style="263"/>
    <col min="15393" max="15393" width="1.73046875" style="263" bestFit="1" customWidth="1"/>
    <col min="15394" max="15394" width="19.53125" style="263" bestFit="1" customWidth="1"/>
    <col min="15395" max="15395" width="2" style="263" bestFit="1" customWidth="1"/>
    <col min="15396" max="15396" width="17.46484375" style="263" bestFit="1" customWidth="1"/>
    <col min="15397" max="15567" width="16.265625" style="263"/>
    <col min="15568" max="15568" width="57.265625" style="263" customWidth="1"/>
    <col min="15569" max="15569" width="62.46484375" style="263" customWidth="1"/>
    <col min="15570" max="15570" width="13.796875" style="263" customWidth="1"/>
    <col min="15571" max="15571" width="12.796875" style="263" customWidth="1"/>
    <col min="15572" max="15575" width="0" style="263" hidden="1" customWidth="1"/>
    <col min="15576" max="15576" width="12.796875" style="263" bestFit="1" customWidth="1"/>
    <col min="15577" max="15580" width="0" style="263" hidden="1" customWidth="1"/>
    <col min="15581" max="15581" width="13.19921875" style="263" bestFit="1" customWidth="1"/>
    <col min="15582" max="15585" width="0" style="263" hidden="1" customWidth="1"/>
    <col min="15586" max="15586" width="13.19921875" style="263" bestFit="1" customWidth="1"/>
    <col min="15587" max="15590" width="11.73046875" style="263" bestFit="1" customWidth="1"/>
    <col min="15591" max="15591" width="14.46484375" style="263" bestFit="1" customWidth="1"/>
    <col min="15592" max="15621" width="16.265625" style="263"/>
    <col min="15622" max="15622" width="57" style="263" customWidth="1"/>
    <col min="15623" max="15623" width="19.265625" style="263" bestFit="1" customWidth="1"/>
    <col min="15624" max="15624" width="14.53125" style="263" bestFit="1" customWidth="1"/>
    <col min="15625" max="15644" width="12.73046875" style="263" customWidth="1"/>
    <col min="15645" max="15648" width="16.265625" style="263"/>
    <col min="15649" max="15649" width="1.73046875" style="263" bestFit="1" customWidth="1"/>
    <col min="15650" max="15650" width="19.53125" style="263" bestFit="1" customWidth="1"/>
    <col min="15651" max="15651" width="2" style="263" bestFit="1" customWidth="1"/>
    <col min="15652" max="15652" width="17.46484375" style="263" bestFit="1" customWidth="1"/>
    <col min="15653" max="15823" width="16.265625" style="263"/>
    <col min="15824" max="15824" width="57.265625" style="263" customWidth="1"/>
    <col min="15825" max="15825" width="62.46484375" style="263" customWidth="1"/>
    <col min="15826" max="15826" width="13.796875" style="263" customWidth="1"/>
    <col min="15827" max="15827" width="12.796875" style="263" customWidth="1"/>
    <col min="15828" max="15831" width="0" style="263" hidden="1" customWidth="1"/>
    <col min="15832" max="15832" width="12.796875" style="263" bestFit="1" customWidth="1"/>
    <col min="15833" max="15836" width="0" style="263" hidden="1" customWidth="1"/>
    <col min="15837" max="15837" width="13.19921875" style="263" bestFit="1" customWidth="1"/>
    <col min="15838" max="15841" width="0" style="263" hidden="1" customWidth="1"/>
    <col min="15842" max="15842" width="13.19921875" style="263" bestFit="1" customWidth="1"/>
    <col min="15843" max="15846" width="11.73046875" style="263" bestFit="1" customWidth="1"/>
    <col min="15847" max="15847" width="14.46484375" style="263" bestFit="1" customWidth="1"/>
    <col min="15848" max="15877" width="16.265625" style="263"/>
    <col min="15878" max="15878" width="57" style="263" customWidth="1"/>
    <col min="15879" max="15879" width="19.265625" style="263" bestFit="1" customWidth="1"/>
    <col min="15880" max="15880" width="14.53125" style="263" bestFit="1" customWidth="1"/>
    <col min="15881" max="15900" width="12.73046875" style="263" customWidth="1"/>
    <col min="15901" max="15904" width="16.265625" style="263"/>
    <col min="15905" max="15905" width="1.73046875" style="263" bestFit="1" customWidth="1"/>
    <col min="15906" max="15906" width="19.53125" style="263" bestFit="1" customWidth="1"/>
    <col min="15907" max="15907" width="2" style="263" bestFit="1" customWidth="1"/>
    <col min="15908" max="15908" width="17.46484375" style="263" bestFit="1" customWidth="1"/>
    <col min="15909" max="16079" width="16.265625" style="263"/>
    <col min="16080" max="16080" width="57.265625" style="263" customWidth="1"/>
    <col min="16081" max="16081" width="62.46484375" style="263" customWidth="1"/>
    <col min="16082" max="16082" width="13.796875" style="263" customWidth="1"/>
    <col min="16083" max="16083" width="12.796875" style="263" customWidth="1"/>
    <col min="16084" max="16087" width="0" style="263" hidden="1" customWidth="1"/>
    <col min="16088" max="16088" width="12.796875" style="263" bestFit="1" customWidth="1"/>
    <col min="16089" max="16092" width="0" style="263" hidden="1" customWidth="1"/>
    <col min="16093" max="16093" width="13.19921875" style="263" bestFit="1" customWidth="1"/>
    <col min="16094" max="16097" width="0" style="263" hidden="1" customWidth="1"/>
    <col min="16098" max="16098" width="13.19921875" style="263" bestFit="1" customWidth="1"/>
    <col min="16099" max="16102" width="11.73046875" style="263" bestFit="1" customWidth="1"/>
    <col min="16103" max="16103" width="14.46484375" style="263" bestFit="1" customWidth="1"/>
    <col min="16104" max="16133" width="16.265625" style="263"/>
    <col min="16134" max="16134" width="57" style="263" customWidth="1"/>
    <col min="16135" max="16135" width="19.265625" style="263" bestFit="1" customWidth="1"/>
    <col min="16136" max="16136" width="14.53125" style="263" bestFit="1" customWidth="1"/>
    <col min="16137" max="16156" width="12.73046875" style="263" customWidth="1"/>
    <col min="16157" max="16160" width="16.265625" style="263"/>
    <col min="16161" max="16161" width="1.73046875" style="263" bestFit="1" customWidth="1"/>
    <col min="16162" max="16162" width="19.53125" style="263" bestFit="1" customWidth="1"/>
    <col min="16163" max="16163" width="2" style="263" bestFit="1" customWidth="1"/>
    <col min="16164" max="16164" width="17.46484375" style="263" bestFit="1" customWidth="1"/>
    <col min="16165" max="16335" width="16.265625" style="263"/>
    <col min="16336" max="16336" width="57.265625" style="263" customWidth="1"/>
    <col min="16337" max="16337" width="62.46484375" style="263" customWidth="1"/>
    <col min="16338" max="16338" width="13.796875" style="263" customWidth="1"/>
    <col min="16339" max="16339" width="12.796875" style="263" customWidth="1"/>
    <col min="16340" max="16343" width="0" style="263" hidden="1" customWidth="1"/>
    <col min="16344" max="16344" width="12.796875" style="263" bestFit="1" customWidth="1"/>
    <col min="16345" max="16348" width="0" style="263" hidden="1" customWidth="1"/>
    <col min="16349" max="16349" width="13.19921875" style="263" bestFit="1" customWidth="1"/>
    <col min="16350" max="16353" width="0" style="263" hidden="1" customWidth="1"/>
    <col min="16354" max="16354" width="13.19921875" style="263" bestFit="1" customWidth="1"/>
    <col min="16355" max="16358" width="11.73046875" style="263" bestFit="1" customWidth="1"/>
    <col min="16359" max="16359" width="14.46484375" style="263" bestFit="1" customWidth="1"/>
    <col min="16360" max="16384" width="16.265625" style="263"/>
  </cols>
  <sheetData>
    <row r="1" spans="1:261" ht="15.4">
      <c r="A1" s="258" t="s">
        <v>249</v>
      </c>
      <c r="B1" s="259"/>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1" t="s">
        <v>250</v>
      </c>
      <c r="AK1" s="262"/>
      <c r="AL1" s="260"/>
      <c r="AM1" s="260"/>
      <c r="AN1" s="260"/>
      <c r="AO1" s="260"/>
      <c r="AP1" s="260"/>
      <c r="AQ1" s="260"/>
      <c r="AR1" s="260"/>
      <c r="AS1" s="260"/>
      <c r="AT1" s="260"/>
      <c r="AU1" s="260"/>
      <c r="AV1" s="260"/>
      <c r="AW1" s="260"/>
      <c r="AX1" s="260"/>
      <c r="AY1" s="260"/>
      <c r="AZ1" s="260"/>
      <c r="BA1" s="260"/>
      <c r="BB1" s="260"/>
      <c r="BC1" s="260"/>
      <c r="BD1" s="260"/>
      <c r="BE1" s="260"/>
      <c r="BF1" s="260"/>
      <c r="BG1" s="260"/>
      <c r="BH1" s="260"/>
      <c r="BI1" s="260"/>
      <c r="BJ1" s="260"/>
      <c r="BK1" s="260"/>
      <c r="BL1" s="260"/>
      <c r="BM1" s="260"/>
      <c r="BN1" s="260"/>
      <c r="BO1" s="260"/>
      <c r="BP1" s="260"/>
      <c r="BQ1" s="260"/>
      <c r="BR1" s="260"/>
      <c r="BS1" s="260"/>
      <c r="BT1" s="260"/>
      <c r="BU1" s="260"/>
      <c r="BV1" s="260"/>
      <c r="BW1" s="260"/>
      <c r="BX1" s="260"/>
      <c r="BY1" s="260"/>
      <c r="BZ1" s="260"/>
      <c r="CA1" s="260"/>
      <c r="CB1" s="260"/>
      <c r="CC1" s="260"/>
      <c r="CD1" s="260"/>
      <c r="CE1" s="260"/>
      <c r="CF1" s="260"/>
      <c r="CG1" s="260"/>
      <c r="CH1" s="260"/>
      <c r="CI1" s="260"/>
      <c r="CJ1" s="260"/>
      <c r="CK1" s="260"/>
      <c r="CL1" s="260"/>
      <c r="CM1" s="260"/>
      <c r="CN1" s="260"/>
      <c r="CO1" s="260"/>
      <c r="CP1" s="260"/>
      <c r="CQ1" s="260"/>
      <c r="CR1" s="260"/>
      <c r="CS1" s="260"/>
      <c r="CT1" s="260"/>
      <c r="CU1" s="260"/>
      <c r="CV1" s="260"/>
      <c r="CW1" s="260"/>
      <c r="CX1" s="260"/>
      <c r="CY1" s="260"/>
      <c r="CZ1" s="260"/>
      <c r="DA1" s="260"/>
      <c r="DB1" s="260"/>
      <c r="DC1" s="260"/>
      <c r="DD1" s="260"/>
      <c r="DE1" s="260"/>
      <c r="DF1" s="260"/>
      <c r="DG1" s="260"/>
      <c r="DH1" s="260"/>
      <c r="DI1" s="260"/>
      <c r="DJ1" s="260"/>
      <c r="DK1" s="260"/>
      <c r="DL1" s="260"/>
      <c r="DM1" s="260"/>
      <c r="DN1" s="260"/>
      <c r="DO1" s="260"/>
      <c r="DP1" s="260"/>
      <c r="DQ1" s="260"/>
      <c r="DR1" s="260"/>
      <c r="DS1" s="260"/>
      <c r="DT1" s="260"/>
      <c r="DU1" s="260"/>
      <c r="DV1" s="260"/>
      <c r="DW1" s="260"/>
      <c r="DX1" s="260"/>
      <c r="DY1" s="260"/>
      <c r="DZ1" s="260"/>
      <c r="EA1" s="260"/>
      <c r="EB1" s="260"/>
      <c r="EC1" s="260"/>
      <c r="ED1" s="260"/>
      <c r="EE1" s="260"/>
      <c r="EF1" s="260"/>
      <c r="EG1" s="260"/>
      <c r="EH1" s="260"/>
      <c r="EI1" s="260"/>
      <c r="EJ1" s="260"/>
      <c r="EK1" s="260"/>
      <c r="EL1" s="260"/>
      <c r="EM1" s="260"/>
      <c r="EN1" s="260"/>
      <c r="EO1" s="260"/>
      <c r="EP1" s="260"/>
      <c r="EQ1" s="260"/>
      <c r="ER1" s="260"/>
      <c r="ES1" s="260"/>
      <c r="ET1" s="260"/>
      <c r="EU1" s="260"/>
      <c r="EV1" s="260"/>
      <c r="EW1" s="260"/>
      <c r="EX1" s="260"/>
      <c r="EY1" s="260"/>
      <c r="EZ1" s="260"/>
      <c r="FA1" s="260"/>
      <c r="FB1" s="260"/>
      <c r="FC1" s="260"/>
      <c r="FD1" s="260"/>
      <c r="FE1" s="260"/>
      <c r="FF1" s="260"/>
      <c r="FG1" s="260"/>
      <c r="FH1" s="260"/>
      <c r="FI1" s="260"/>
      <c r="FJ1" s="260"/>
      <c r="FK1" s="260"/>
      <c r="FL1" s="260"/>
      <c r="FM1" s="260"/>
      <c r="FN1" s="260"/>
      <c r="FO1" s="260"/>
      <c r="FP1" s="260"/>
      <c r="FQ1" s="260"/>
      <c r="FR1" s="260"/>
      <c r="FS1" s="260"/>
      <c r="FT1" s="260"/>
      <c r="FU1" s="260"/>
      <c r="FV1" s="260"/>
      <c r="FW1" s="260"/>
      <c r="FX1" s="260"/>
      <c r="FY1" s="260"/>
      <c r="FZ1" s="260"/>
      <c r="GA1" s="260"/>
      <c r="GB1" s="260"/>
      <c r="GC1" s="260"/>
      <c r="GD1" s="260"/>
      <c r="GE1" s="260"/>
      <c r="GF1" s="260"/>
      <c r="GG1" s="260"/>
      <c r="GH1" s="260"/>
      <c r="GI1" s="260"/>
      <c r="GJ1" s="260"/>
      <c r="GK1" s="260"/>
      <c r="GL1" s="260"/>
      <c r="GM1" s="260"/>
      <c r="GN1" s="260"/>
      <c r="GO1" s="260"/>
      <c r="GP1" s="260"/>
      <c r="GQ1" s="260"/>
      <c r="GR1" s="260"/>
      <c r="GS1" s="260"/>
      <c r="GT1" s="260"/>
      <c r="GU1" s="260"/>
      <c r="GV1" s="260"/>
      <c r="GW1" s="260"/>
      <c r="GX1" s="260"/>
      <c r="GY1" s="260"/>
      <c r="GZ1" s="260"/>
      <c r="HA1" s="260"/>
      <c r="HB1" s="260"/>
      <c r="HC1" s="260"/>
      <c r="HD1" s="260"/>
      <c r="HE1" s="260"/>
      <c r="HF1" s="260"/>
      <c r="HG1" s="260"/>
      <c r="HH1" s="260"/>
      <c r="HI1" s="260"/>
      <c r="HJ1" s="260"/>
      <c r="HK1" s="260"/>
      <c r="HL1" s="260"/>
      <c r="HM1" s="260"/>
      <c r="HN1" s="260"/>
      <c r="HO1" s="260"/>
      <c r="HP1" s="260"/>
      <c r="HQ1" s="260"/>
      <c r="HR1" s="260"/>
      <c r="HS1" s="260"/>
      <c r="HT1" s="260"/>
      <c r="HU1" s="260"/>
      <c r="HV1" s="260"/>
      <c r="HW1" s="260"/>
      <c r="HX1" s="260"/>
      <c r="HY1" s="260"/>
      <c r="HZ1" s="260"/>
      <c r="IA1" s="260"/>
      <c r="IB1" s="260"/>
      <c r="IC1" s="260"/>
      <c r="ID1" s="260"/>
      <c r="IE1" s="260"/>
      <c r="IF1" s="260"/>
      <c r="IG1" s="260"/>
      <c r="IH1" s="260"/>
      <c r="II1" s="260"/>
      <c r="IJ1" s="260"/>
      <c r="IK1" s="260"/>
      <c r="IL1" s="260"/>
      <c r="IM1" s="260"/>
      <c r="IN1" s="260"/>
      <c r="IO1" s="260"/>
      <c r="IP1" s="260"/>
      <c r="IQ1" s="260"/>
      <c r="IR1" s="260"/>
      <c r="IS1" s="260"/>
      <c r="IT1" s="260"/>
      <c r="IU1" s="260"/>
      <c r="IV1" s="260"/>
      <c r="IW1" s="260"/>
      <c r="IX1" s="260"/>
      <c r="IY1" s="260"/>
      <c r="IZ1" s="260"/>
      <c r="JA1" s="260"/>
    </row>
    <row r="2" spans="1:261" ht="15.4">
      <c r="A2" s="258" t="s">
        <v>251</v>
      </c>
      <c r="B2" s="259"/>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1" t="s">
        <v>252</v>
      </c>
      <c r="AK2" s="262"/>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0"/>
      <c r="BP2" s="260"/>
      <c r="BQ2" s="260"/>
      <c r="BR2" s="260"/>
      <c r="BS2" s="260"/>
      <c r="BT2" s="260"/>
      <c r="BU2" s="260"/>
      <c r="BV2" s="260"/>
      <c r="BW2" s="260"/>
      <c r="BX2" s="260"/>
      <c r="BY2" s="260"/>
      <c r="BZ2" s="260"/>
      <c r="CA2" s="260"/>
      <c r="CB2" s="260"/>
      <c r="CC2" s="260"/>
      <c r="CD2" s="260"/>
      <c r="CE2" s="260"/>
      <c r="CF2" s="260"/>
      <c r="CG2" s="260"/>
      <c r="CH2" s="260"/>
      <c r="CI2" s="260"/>
      <c r="CJ2" s="260"/>
      <c r="CK2" s="260"/>
      <c r="CL2" s="260"/>
      <c r="CM2" s="260"/>
      <c r="CN2" s="260"/>
      <c r="CO2" s="260"/>
      <c r="CP2" s="260"/>
      <c r="CQ2" s="260"/>
      <c r="CR2" s="260"/>
      <c r="CS2" s="260"/>
      <c r="CT2" s="260"/>
      <c r="CU2" s="260"/>
      <c r="CV2" s="260"/>
      <c r="CW2" s="260"/>
      <c r="CX2" s="260"/>
      <c r="CY2" s="260"/>
      <c r="CZ2" s="260"/>
      <c r="DA2" s="260"/>
      <c r="DB2" s="260"/>
      <c r="DC2" s="260"/>
      <c r="DD2" s="260"/>
      <c r="DE2" s="260"/>
      <c r="DF2" s="260"/>
      <c r="DG2" s="260"/>
      <c r="DH2" s="260"/>
      <c r="DI2" s="260"/>
      <c r="DJ2" s="260"/>
      <c r="DK2" s="260"/>
      <c r="DL2" s="260"/>
      <c r="DM2" s="260"/>
      <c r="DN2" s="260"/>
      <c r="DO2" s="260"/>
      <c r="DP2" s="260"/>
      <c r="DQ2" s="260"/>
      <c r="DR2" s="260"/>
      <c r="DS2" s="260"/>
      <c r="DT2" s="260"/>
      <c r="DU2" s="260"/>
      <c r="DV2" s="260"/>
      <c r="DW2" s="260"/>
      <c r="DX2" s="260"/>
      <c r="DY2" s="260"/>
      <c r="DZ2" s="260"/>
      <c r="EA2" s="260"/>
      <c r="EB2" s="260"/>
      <c r="EC2" s="260"/>
      <c r="ED2" s="260"/>
      <c r="EE2" s="260"/>
      <c r="EF2" s="260"/>
      <c r="EG2" s="260"/>
      <c r="EH2" s="260"/>
      <c r="EI2" s="260"/>
      <c r="EJ2" s="260"/>
      <c r="EK2" s="260"/>
      <c r="EL2" s="260"/>
      <c r="EM2" s="260"/>
      <c r="EN2" s="260"/>
      <c r="EO2" s="260"/>
      <c r="EP2" s="260"/>
      <c r="EQ2" s="260"/>
      <c r="ER2" s="260"/>
      <c r="ES2" s="260"/>
      <c r="ET2" s="260"/>
      <c r="EU2" s="260"/>
      <c r="EV2" s="260"/>
      <c r="EW2" s="260"/>
      <c r="EX2" s="260"/>
      <c r="EY2" s="260"/>
      <c r="EZ2" s="260"/>
      <c r="FA2" s="260"/>
      <c r="FB2" s="260"/>
      <c r="FC2" s="260"/>
      <c r="FD2" s="260"/>
      <c r="FE2" s="260"/>
      <c r="FF2" s="260"/>
      <c r="FG2" s="260"/>
      <c r="FH2" s="260"/>
      <c r="FI2" s="260"/>
      <c r="FJ2" s="260"/>
      <c r="FK2" s="260"/>
      <c r="FL2" s="260"/>
      <c r="FM2" s="260"/>
      <c r="FN2" s="260"/>
      <c r="FO2" s="260"/>
      <c r="FP2" s="260"/>
      <c r="FQ2" s="260"/>
      <c r="FR2" s="260"/>
      <c r="FS2" s="260"/>
      <c r="FT2" s="260"/>
      <c r="FU2" s="260"/>
      <c r="FV2" s="260"/>
      <c r="FW2" s="260"/>
      <c r="FX2" s="260"/>
      <c r="FY2" s="260"/>
      <c r="FZ2" s="260"/>
      <c r="GA2" s="260"/>
      <c r="GB2" s="260"/>
      <c r="GC2" s="260"/>
      <c r="GD2" s="260"/>
      <c r="GE2" s="260"/>
      <c r="GF2" s="260"/>
      <c r="GG2" s="260"/>
      <c r="GH2" s="260"/>
      <c r="GI2" s="260"/>
      <c r="GJ2" s="260"/>
      <c r="GK2" s="260"/>
      <c r="GL2" s="260"/>
      <c r="GM2" s="260"/>
      <c r="GN2" s="260"/>
      <c r="GO2" s="260"/>
      <c r="GP2" s="260"/>
      <c r="GQ2" s="260"/>
      <c r="GR2" s="260"/>
      <c r="GS2" s="260"/>
      <c r="GT2" s="260"/>
      <c r="GU2" s="260"/>
      <c r="GV2" s="260"/>
      <c r="GW2" s="260"/>
      <c r="GX2" s="260"/>
      <c r="GY2" s="260"/>
      <c r="GZ2" s="260"/>
      <c r="HA2" s="260"/>
      <c r="HB2" s="260"/>
      <c r="HC2" s="260"/>
      <c r="HD2" s="260"/>
      <c r="HE2" s="260"/>
      <c r="HF2" s="260"/>
      <c r="HG2" s="260"/>
      <c r="HH2" s="260"/>
      <c r="HI2" s="260"/>
      <c r="HJ2" s="260"/>
      <c r="HK2" s="260"/>
      <c r="HL2" s="260"/>
      <c r="HM2" s="260"/>
      <c r="HN2" s="260"/>
      <c r="HO2" s="260"/>
      <c r="HP2" s="260"/>
      <c r="HQ2" s="260"/>
      <c r="HR2" s="260"/>
      <c r="HS2" s="260"/>
      <c r="HT2" s="260"/>
      <c r="HU2" s="260"/>
      <c r="HV2" s="260"/>
      <c r="HW2" s="260"/>
      <c r="HX2" s="260"/>
      <c r="HY2" s="260"/>
      <c r="HZ2" s="260"/>
      <c r="IA2" s="260"/>
      <c r="IB2" s="260"/>
      <c r="IC2" s="260"/>
      <c r="ID2" s="260"/>
      <c r="IE2" s="260"/>
      <c r="IF2" s="260"/>
      <c r="IG2" s="260"/>
      <c r="IH2" s="260"/>
      <c r="II2" s="260"/>
      <c r="IJ2" s="260"/>
      <c r="IK2" s="260"/>
      <c r="IL2" s="260"/>
      <c r="IM2" s="260"/>
      <c r="IN2" s="260"/>
      <c r="IO2" s="260"/>
      <c r="IP2" s="260"/>
      <c r="IQ2" s="260"/>
      <c r="IR2" s="260"/>
      <c r="IS2" s="260"/>
      <c r="IT2" s="260"/>
      <c r="IU2" s="260"/>
      <c r="IV2" s="260"/>
      <c r="IW2" s="260"/>
      <c r="IX2" s="260"/>
      <c r="IY2" s="260"/>
      <c r="IZ2" s="260"/>
      <c r="JA2" s="260"/>
    </row>
    <row r="3" spans="1:261" ht="15.4">
      <c r="A3" s="258" t="s">
        <v>253</v>
      </c>
      <c r="B3" s="259"/>
      <c r="C3" s="260"/>
      <c r="D3" s="260"/>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1" t="s">
        <v>254</v>
      </c>
      <c r="AK3" s="262"/>
      <c r="AL3" s="260"/>
      <c r="AM3" s="260"/>
      <c r="AN3" s="260"/>
      <c r="AO3" s="260"/>
      <c r="AP3" s="260"/>
      <c r="AQ3" s="260"/>
      <c r="AR3" s="260"/>
      <c r="AS3" s="260"/>
      <c r="AT3" s="260"/>
      <c r="AU3" s="260"/>
      <c r="AV3" s="260"/>
      <c r="AW3" s="260"/>
      <c r="AX3" s="260"/>
      <c r="AY3" s="260"/>
      <c r="AZ3" s="260"/>
      <c r="BA3" s="260"/>
      <c r="BB3" s="260"/>
      <c r="BC3" s="260"/>
      <c r="BD3" s="260"/>
      <c r="BE3" s="260"/>
      <c r="BF3" s="260"/>
      <c r="BG3" s="260"/>
      <c r="BH3" s="260"/>
      <c r="BI3" s="260"/>
      <c r="BJ3" s="260"/>
      <c r="BK3" s="260"/>
      <c r="BL3" s="260"/>
      <c r="BM3" s="260"/>
      <c r="BN3" s="260"/>
      <c r="BO3" s="260"/>
      <c r="BP3" s="260"/>
      <c r="BQ3" s="260"/>
      <c r="BR3" s="260"/>
      <c r="BS3" s="260"/>
      <c r="BT3" s="260"/>
      <c r="BU3" s="260"/>
      <c r="BV3" s="260"/>
      <c r="BW3" s="260"/>
      <c r="BX3" s="260"/>
      <c r="BY3" s="260"/>
      <c r="BZ3" s="260"/>
      <c r="CA3" s="260"/>
      <c r="CB3" s="260"/>
      <c r="CC3" s="260"/>
      <c r="CD3" s="260"/>
      <c r="CE3" s="260"/>
      <c r="CF3" s="260"/>
      <c r="CG3" s="260"/>
      <c r="CH3" s="260"/>
      <c r="CI3" s="260"/>
      <c r="CJ3" s="260"/>
      <c r="CK3" s="260"/>
      <c r="CL3" s="260"/>
      <c r="CM3" s="260"/>
      <c r="CN3" s="260"/>
      <c r="CO3" s="260"/>
      <c r="CP3" s="260"/>
      <c r="CQ3" s="260"/>
      <c r="CR3" s="260"/>
      <c r="CS3" s="260"/>
      <c r="CT3" s="260"/>
      <c r="CU3" s="260"/>
      <c r="CV3" s="260"/>
      <c r="CW3" s="260"/>
      <c r="CX3" s="260"/>
      <c r="CY3" s="260"/>
      <c r="CZ3" s="260"/>
      <c r="DA3" s="260"/>
      <c r="DB3" s="260"/>
      <c r="DC3" s="260"/>
      <c r="DD3" s="260"/>
      <c r="DE3" s="260"/>
      <c r="DF3" s="260"/>
      <c r="DG3" s="260"/>
      <c r="DH3" s="260"/>
      <c r="DI3" s="260"/>
      <c r="DJ3" s="260"/>
      <c r="DK3" s="260"/>
      <c r="DL3" s="260"/>
      <c r="DM3" s="260"/>
      <c r="DN3" s="260"/>
      <c r="DO3" s="260"/>
      <c r="DP3" s="260"/>
      <c r="DQ3" s="260"/>
      <c r="DR3" s="260"/>
      <c r="DS3" s="260"/>
      <c r="DT3" s="260"/>
      <c r="DU3" s="260"/>
      <c r="DV3" s="260"/>
      <c r="DW3" s="260"/>
      <c r="DX3" s="260"/>
      <c r="DY3" s="260"/>
      <c r="DZ3" s="260"/>
      <c r="EA3" s="260"/>
      <c r="EB3" s="260"/>
      <c r="EC3" s="260"/>
      <c r="ED3" s="260"/>
      <c r="EE3" s="260"/>
      <c r="EF3" s="260"/>
      <c r="EG3" s="260"/>
      <c r="EH3" s="260"/>
      <c r="EI3" s="260"/>
      <c r="EJ3" s="260"/>
      <c r="EK3" s="260"/>
      <c r="EL3" s="260"/>
      <c r="EM3" s="260"/>
      <c r="EN3" s="260"/>
      <c r="EO3" s="260"/>
      <c r="EP3" s="260"/>
      <c r="EQ3" s="260"/>
      <c r="ER3" s="260"/>
      <c r="ES3" s="260"/>
      <c r="ET3" s="260"/>
      <c r="EU3" s="260"/>
      <c r="EV3" s="260"/>
      <c r="EW3" s="260"/>
      <c r="EX3" s="260"/>
      <c r="EY3" s="260"/>
      <c r="EZ3" s="260"/>
      <c r="FA3" s="260"/>
      <c r="FB3" s="260"/>
      <c r="FC3" s="260"/>
      <c r="FD3" s="260"/>
      <c r="FE3" s="260"/>
      <c r="FF3" s="260"/>
      <c r="FG3" s="260"/>
      <c r="FH3" s="260"/>
      <c r="FI3" s="260"/>
      <c r="FJ3" s="260"/>
      <c r="FK3" s="260"/>
      <c r="FL3" s="260"/>
      <c r="FM3" s="260"/>
      <c r="FN3" s="260"/>
      <c r="FO3" s="260"/>
      <c r="FP3" s="260"/>
      <c r="FQ3" s="260"/>
      <c r="FR3" s="260"/>
      <c r="FS3" s="260"/>
      <c r="FT3" s="260"/>
      <c r="FU3" s="260"/>
      <c r="FV3" s="260"/>
      <c r="FW3" s="260"/>
      <c r="FX3" s="260"/>
      <c r="FY3" s="260"/>
      <c r="FZ3" s="260"/>
      <c r="GA3" s="260"/>
      <c r="GB3" s="260"/>
      <c r="GC3" s="260"/>
      <c r="GD3" s="260"/>
      <c r="GE3" s="260"/>
      <c r="GF3" s="260"/>
      <c r="GG3" s="260"/>
      <c r="GH3" s="260"/>
      <c r="GI3" s="260"/>
      <c r="GJ3" s="260"/>
      <c r="GK3" s="260"/>
      <c r="GL3" s="260"/>
      <c r="GM3" s="260"/>
      <c r="GN3" s="260"/>
      <c r="GO3" s="260"/>
      <c r="GP3" s="260"/>
      <c r="GQ3" s="260"/>
      <c r="GR3" s="260"/>
      <c r="GS3" s="260"/>
      <c r="GT3" s="260"/>
      <c r="GU3" s="260"/>
      <c r="GV3" s="260"/>
      <c r="GW3" s="260"/>
      <c r="GX3" s="260"/>
      <c r="GY3" s="260"/>
      <c r="GZ3" s="260"/>
      <c r="HA3" s="260"/>
      <c r="HB3" s="260"/>
      <c r="HC3" s="260"/>
      <c r="HD3" s="260"/>
      <c r="HE3" s="260"/>
      <c r="HF3" s="260"/>
      <c r="HG3" s="260"/>
      <c r="HH3" s="260"/>
      <c r="HI3" s="260"/>
      <c r="HJ3" s="260"/>
      <c r="HK3" s="260"/>
      <c r="HL3" s="260"/>
      <c r="HM3" s="260"/>
      <c r="HN3" s="260"/>
      <c r="HO3" s="260"/>
      <c r="HP3" s="260"/>
      <c r="HQ3" s="260"/>
      <c r="HR3" s="260"/>
      <c r="HS3" s="260"/>
      <c r="HT3" s="260"/>
      <c r="HU3" s="260"/>
      <c r="HV3" s="260"/>
      <c r="HW3" s="260"/>
      <c r="HX3" s="260"/>
      <c r="HY3" s="260"/>
      <c r="HZ3" s="260"/>
      <c r="IA3" s="260"/>
      <c r="IB3" s="260"/>
      <c r="IC3" s="260"/>
      <c r="ID3" s="260"/>
      <c r="IE3" s="260"/>
      <c r="IF3" s="260"/>
      <c r="IG3" s="260"/>
      <c r="IH3" s="260"/>
      <c r="II3" s="260"/>
      <c r="IJ3" s="260"/>
      <c r="IK3" s="260"/>
      <c r="IL3" s="260"/>
      <c r="IM3" s="260"/>
      <c r="IN3" s="260"/>
      <c r="IO3" s="260"/>
      <c r="IP3" s="260"/>
      <c r="IQ3" s="260"/>
      <c r="IR3" s="260"/>
      <c r="IS3" s="260"/>
      <c r="IT3" s="260"/>
      <c r="IU3" s="260"/>
      <c r="IV3" s="260"/>
      <c r="IW3" s="260"/>
      <c r="IX3" s="260"/>
      <c r="IY3" s="260"/>
      <c r="IZ3" s="260"/>
      <c r="JA3" s="260"/>
    </row>
    <row r="4" spans="1:261" ht="21">
      <c r="A4" s="264" t="s">
        <v>255</v>
      </c>
      <c r="B4" s="259"/>
      <c r="C4" s="265"/>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1" t="s">
        <v>256</v>
      </c>
      <c r="AK4" s="262"/>
      <c r="AL4" s="260"/>
      <c r="AM4" s="260"/>
      <c r="AN4" s="260"/>
      <c r="AO4" s="260"/>
      <c r="AP4" s="260"/>
      <c r="AQ4" s="260"/>
      <c r="AR4" s="260"/>
      <c r="AS4" s="260"/>
      <c r="AT4" s="260"/>
      <c r="AU4" s="260"/>
      <c r="AV4" s="260"/>
      <c r="AW4" s="260"/>
      <c r="AX4" s="260"/>
      <c r="AY4" s="260"/>
      <c r="AZ4" s="260"/>
      <c r="BA4" s="260"/>
      <c r="BB4" s="260"/>
      <c r="BC4" s="260"/>
      <c r="BD4" s="260"/>
      <c r="BE4" s="260"/>
      <c r="BF4" s="260"/>
      <c r="BG4" s="260"/>
      <c r="BH4" s="260"/>
      <c r="BI4" s="260"/>
      <c r="BJ4" s="260"/>
      <c r="BK4" s="260"/>
      <c r="BL4" s="260"/>
      <c r="BM4" s="260"/>
      <c r="BN4" s="260"/>
      <c r="BO4" s="260"/>
      <c r="BP4" s="260"/>
      <c r="BQ4" s="260"/>
      <c r="BR4" s="260"/>
      <c r="BS4" s="260"/>
      <c r="BT4" s="260"/>
      <c r="BU4" s="260"/>
      <c r="BV4" s="260"/>
      <c r="BW4" s="260"/>
      <c r="BX4" s="260"/>
      <c r="BY4" s="260"/>
      <c r="BZ4" s="260"/>
      <c r="CA4" s="260"/>
      <c r="CB4" s="260"/>
      <c r="CC4" s="260"/>
      <c r="CD4" s="260"/>
      <c r="CE4" s="260"/>
      <c r="CF4" s="260"/>
      <c r="CG4" s="260"/>
      <c r="CH4" s="260"/>
      <c r="CI4" s="260"/>
      <c r="CJ4" s="260"/>
      <c r="CK4" s="260"/>
      <c r="CL4" s="260"/>
      <c r="CM4" s="260"/>
      <c r="CN4" s="260"/>
      <c r="CO4" s="260"/>
      <c r="CP4" s="260"/>
      <c r="CQ4" s="260"/>
      <c r="CR4" s="260"/>
      <c r="CS4" s="260"/>
      <c r="CT4" s="260"/>
      <c r="CU4" s="260"/>
      <c r="CV4" s="260"/>
      <c r="CW4" s="260"/>
      <c r="CX4" s="260"/>
      <c r="CY4" s="260"/>
      <c r="CZ4" s="260"/>
      <c r="DA4" s="260"/>
      <c r="DB4" s="260"/>
      <c r="DC4" s="260"/>
      <c r="DD4" s="260"/>
      <c r="DE4" s="260"/>
      <c r="DF4" s="260"/>
      <c r="DG4" s="260"/>
      <c r="DH4" s="260"/>
      <c r="DI4" s="260"/>
      <c r="DJ4" s="260"/>
      <c r="DK4" s="260"/>
      <c r="DL4" s="260"/>
      <c r="DM4" s="260"/>
      <c r="DN4" s="260"/>
      <c r="DO4" s="260"/>
      <c r="DP4" s="260"/>
      <c r="DQ4" s="260"/>
      <c r="DR4" s="260"/>
      <c r="DS4" s="260"/>
      <c r="DT4" s="260"/>
      <c r="DU4" s="260"/>
      <c r="DV4" s="260"/>
      <c r="DW4" s="260"/>
      <c r="DX4" s="260"/>
      <c r="DY4" s="260"/>
      <c r="DZ4" s="260"/>
      <c r="EA4" s="260"/>
      <c r="EB4" s="260"/>
      <c r="EC4" s="260"/>
      <c r="ED4" s="260"/>
      <c r="EE4" s="260"/>
      <c r="EF4" s="260"/>
      <c r="EG4" s="260"/>
      <c r="EH4" s="260"/>
      <c r="EI4" s="260"/>
      <c r="EJ4" s="260"/>
      <c r="EK4" s="260"/>
      <c r="EL4" s="260"/>
      <c r="EM4" s="260"/>
      <c r="EN4" s="260"/>
      <c r="EO4" s="260"/>
      <c r="EP4" s="260"/>
      <c r="EQ4" s="260"/>
      <c r="ER4" s="260"/>
      <c r="ES4" s="260"/>
      <c r="ET4" s="260"/>
      <c r="EU4" s="260"/>
      <c r="EV4" s="260"/>
      <c r="EW4" s="260"/>
      <c r="EX4" s="260"/>
      <c r="EY4" s="260"/>
      <c r="EZ4" s="260"/>
      <c r="FA4" s="260"/>
      <c r="FB4" s="260"/>
      <c r="FC4" s="260"/>
      <c r="FD4" s="260"/>
      <c r="FE4" s="260"/>
      <c r="FF4" s="260"/>
      <c r="FG4" s="260"/>
      <c r="FH4" s="260"/>
      <c r="FI4" s="260"/>
      <c r="FJ4" s="260"/>
      <c r="FK4" s="260"/>
      <c r="FL4" s="260"/>
      <c r="FM4" s="260"/>
      <c r="FN4" s="260"/>
      <c r="FO4" s="260"/>
      <c r="FP4" s="260"/>
      <c r="FQ4" s="260"/>
      <c r="FR4" s="260"/>
      <c r="FS4" s="260"/>
      <c r="FT4" s="260"/>
      <c r="FU4" s="260"/>
      <c r="FV4" s="260"/>
      <c r="FW4" s="260"/>
      <c r="FX4" s="260"/>
      <c r="FY4" s="260"/>
      <c r="FZ4" s="260"/>
      <c r="GA4" s="260"/>
      <c r="GB4" s="260"/>
      <c r="GC4" s="260"/>
      <c r="GD4" s="260"/>
      <c r="GE4" s="260"/>
      <c r="GF4" s="260"/>
      <c r="GG4" s="260"/>
      <c r="GH4" s="260"/>
      <c r="GI4" s="260"/>
      <c r="GJ4" s="260"/>
      <c r="GK4" s="260"/>
      <c r="GL4" s="260"/>
      <c r="GM4" s="260"/>
      <c r="GN4" s="260"/>
      <c r="GO4" s="260"/>
      <c r="GP4" s="260"/>
      <c r="GQ4" s="260"/>
      <c r="GR4" s="260"/>
      <c r="GS4" s="260"/>
      <c r="GT4" s="260"/>
      <c r="GU4" s="260"/>
      <c r="GV4" s="260"/>
      <c r="GW4" s="260"/>
      <c r="GX4" s="260"/>
      <c r="GY4" s="260"/>
      <c r="GZ4" s="260"/>
      <c r="HA4" s="260"/>
      <c r="HB4" s="260"/>
      <c r="HC4" s="260"/>
      <c r="HD4" s="260"/>
      <c r="HE4" s="260"/>
      <c r="HF4" s="260"/>
      <c r="HG4" s="260"/>
      <c r="HH4" s="260"/>
      <c r="HI4" s="260"/>
      <c r="HJ4" s="260"/>
      <c r="HK4" s="260"/>
      <c r="HL4" s="260"/>
      <c r="HM4" s="260"/>
      <c r="HN4" s="260"/>
      <c r="HO4" s="260"/>
      <c r="HP4" s="260"/>
      <c r="HQ4" s="260"/>
      <c r="HR4" s="260"/>
      <c r="HS4" s="260"/>
      <c r="HT4" s="260"/>
      <c r="HU4" s="260"/>
      <c r="HV4" s="260"/>
      <c r="HW4" s="260"/>
      <c r="HX4" s="260"/>
      <c r="HY4" s="260"/>
      <c r="HZ4" s="260"/>
      <c r="IA4" s="260"/>
      <c r="IB4" s="260"/>
      <c r="IC4" s="260"/>
      <c r="ID4" s="260"/>
      <c r="IE4" s="260"/>
      <c r="IF4" s="260"/>
      <c r="IG4" s="260"/>
      <c r="IH4" s="260"/>
      <c r="II4" s="260"/>
      <c r="IJ4" s="260"/>
      <c r="IK4" s="260"/>
      <c r="IL4" s="260"/>
      <c r="IM4" s="260"/>
      <c r="IN4" s="260"/>
      <c r="IO4" s="260"/>
      <c r="IP4" s="260"/>
      <c r="IQ4" s="260"/>
      <c r="IR4" s="260"/>
      <c r="IS4" s="260"/>
      <c r="IT4" s="260"/>
      <c r="IU4" s="260"/>
      <c r="IV4" s="260"/>
      <c r="IW4" s="260"/>
      <c r="IX4" s="260"/>
      <c r="IY4" s="260"/>
      <c r="IZ4" s="260"/>
      <c r="JA4" s="260"/>
    </row>
    <row r="5" spans="1:261" ht="21">
      <c r="A5" s="264"/>
      <c r="B5" s="259"/>
      <c r="C5" s="265"/>
      <c r="D5" s="260"/>
      <c r="E5" s="260"/>
      <c r="F5" s="260"/>
      <c r="G5" s="260"/>
      <c r="H5" s="260"/>
      <c r="I5" s="259"/>
      <c r="J5" s="260"/>
      <c r="K5" s="260"/>
      <c r="L5" s="260"/>
      <c r="M5" s="260"/>
      <c r="N5" s="260"/>
      <c r="O5" s="260"/>
      <c r="P5" s="260"/>
      <c r="Q5" s="260"/>
      <c r="R5" s="260"/>
      <c r="S5" s="260"/>
      <c r="T5" s="260"/>
      <c r="U5" s="260"/>
      <c r="V5" s="260"/>
      <c r="W5" s="260"/>
      <c r="X5" s="260"/>
      <c r="Y5" s="260"/>
      <c r="Z5" s="260"/>
      <c r="AA5" s="260"/>
      <c r="AB5" s="260"/>
      <c r="AC5" s="259"/>
      <c r="AD5" s="259"/>
      <c r="AE5" s="259"/>
      <c r="AF5" s="259"/>
      <c r="AG5" s="259"/>
      <c r="AH5" s="266" t="s">
        <v>257</v>
      </c>
      <c r="AI5" s="259"/>
      <c r="AJ5" s="261" t="s">
        <v>258</v>
      </c>
      <c r="AK5" s="262"/>
      <c r="AL5" s="259"/>
      <c r="AM5" s="259"/>
      <c r="AN5" s="259"/>
      <c r="AO5" s="259"/>
      <c r="AP5" s="259"/>
      <c r="AQ5" s="259"/>
      <c r="AR5" s="259"/>
      <c r="AS5" s="259"/>
      <c r="AT5" s="259"/>
      <c r="AU5" s="259"/>
      <c r="AV5" s="259"/>
      <c r="AW5" s="259"/>
      <c r="AX5" s="259"/>
      <c r="AY5" s="259"/>
      <c r="AZ5" s="259"/>
      <c r="BA5" s="259"/>
      <c r="BB5" s="259"/>
      <c r="BC5" s="259"/>
      <c r="BD5" s="259"/>
      <c r="BE5" s="259"/>
      <c r="BF5" s="259"/>
      <c r="BG5" s="259"/>
      <c r="BH5" s="259"/>
      <c r="BI5" s="259"/>
      <c r="BJ5" s="259"/>
      <c r="BK5" s="259"/>
      <c r="BL5" s="259"/>
      <c r="BM5" s="259"/>
      <c r="BN5" s="259"/>
      <c r="BO5" s="259"/>
      <c r="BP5" s="259"/>
      <c r="BQ5" s="259"/>
      <c r="BR5" s="259"/>
      <c r="BS5" s="259"/>
      <c r="BT5" s="259"/>
      <c r="BU5" s="259"/>
      <c r="BV5" s="259"/>
      <c r="BW5" s="259"/>
      <c r="BX5" s="259"/>
      <c r="BY5" s="259"/>
      <c r="BZ5" s="259"/>
      <c r="CA5" s="259"/>
      <c r="CB5" s="259"/>
      <c r="CC5" s="259"/>
      <c r="CD5" s="259"/>
      <c r="CE5" s="259"/>
      <c r="CF5" s="259"/>
      <c r="CG5" s="259"/>
      <c r="CH5" s="259"/>
      <c r="CI5" s="259"/>
      <c r="CJ5" s="259"/>
      <c r="CK5" s="259"/>
      <c r="CL5" s="259"/>
      <c r="CM5" s="259"/>
      <c r="CN5" s="259"/>
      <c r="CO5" s="259"/>
      <c r="CP5" s="259"/>
      <c r="CQ5" s="259"/>
      <c r="CR5" s="259"/>
      <c r="CS5" s="259"/>
      <c r="CT5" s="259"/>
      <c r="CU5" s="259"/>
      <c r="CV5" s="259"/>
      <c r="CW5" s="259"/>
      <c r="CX5" s="259"/>
      <c r="CY5" s="259"/>
      <c r="CZ5" s="259"/>
      <c r="DA5" s="259"/>
      <c r="DB5" s="259"/>
      <c r="DC5" s="259"/>
      <c r="DD5" s="259"/>
      <c r="DE5" s="259"/>
      <c r="DF5" s="259"/>
      <c r="DG5" s="259"/>
      <c r="DH5" s="259"/>
      <c r="DI5" s="259"/>
      <c r="DJ5" s="259"/>
      <c r="DK5" s="259"/>
      <c r="DL5" s="259"/>
      <c r="DM5" s="259"/>
      <c r="DN5" s="259"/>
      <c r="DO5" s="259"/>
      <c r="DP5" s="259"/>
      <c r="DQ5" s="259"/>
      <c r="DR5" s="259"/>
      <c r="DS5" s="259"/>
      <c r="DT5" s="259"/>
      <c r="DU5" s="259"/>
      <c r="DV5" s="259"/>
      <c r="DW5" s="259"/>
      <c r="DX5" s="259"/>
      <c r="DY5" s="259"/>
      <c r="DZ5" s="259"/>
      <c r="EA5" s="259"/>
      <c r="EB5" s="259"/>
      <c r="EC5" s="259"/>
      <c r="ED5" s="259"/>
      <c r="EE5" s="259"/>
      <c r="EF5" s="259"/>
      <c r="EG5" s="259"/>
      <c r="EH5" s="259"/>
      <c r="EI5" s="259"/>
      <c r="EJ5" s="259"/>
      <c r="EK5" s="259"/>
      <c r="EL5" s="259"/>
      <c r="EM5" s="259"/>
      <c r="EN5" s="259"/>
      <c r="EO5" s="259"/>
      <c r="EP5" s="259"/>
      <c r="EQ5" s="259"/>
      <c r="ER5" s="259"/>
      <c r="ES5" s="259"/>
      <c r="ET5" s="259"/>
      <c r="EU5" s="259"/>
      <c r="EV5" s="259"/>
      <c r="EW5" s="259"/>
      <c r="EX5" s="259"/>
      <c r="EY5" s="259"/>
      <c r="EZ5" s="259"/>
      <c r="FA5" s="259"/>
      <c r="FB5" s="259"/>
      <c r="FC5" s="259"/>
      <c r="FD5" s="259"/>
      <c r="FE5" s="259"/>
      <c r="FF5" s="259"/>
      <c r="FG5" s="259"/>
      <c r="FH5" s="259"/>
      <c r="FI5" s="259"/>
      <c r="FJ5" s="259"/>
      <c r="FK5" s="259"/>
      <c r="FL5" s="259"/>
      <c r="FM5" s="259"/>
      <c r="FN5" s="259"/>
      <c r="FO5" s="259"/>
      <c r="FP5" s="259"/>
      <c r="FQ5" s="259"/>
      <c r="FR5" s="259"/>
      <c r="FS5" s="259"/>
      <c r="FT5" s="259"/>
      <c r="FU5" s="259"/>
      <c r="FV5" s="259"/>
      <c r="FW5" s="259"/>
      <c r="FX5" s="259"/>
      <c r="FY5" s="259"/>
      <c r="FZ5" s="259"/>
      <c r="GA5" s="259"/>
      <c r="GB5" s="259"/>
      <c r="GC5" s="259"/>
      <c r="GD5" s="259"/>
      <c r="GE5" s="259"/>
      <c r="GF5" s="259"/>
      <c r="GG5" s="259"/>
      <c r="GH5" s="259"/>
      <c r="GI5" s="259"/>
      <c r="GJ5" s="259"/>
      <c r="GK5" s="259"/>
      <c r="GL5" s="259"/>
      <c r="GM5" s="259"/>
      <c r="GN5" s="259"/>
      <c r="GO5" s="259"/>
      <c r="GP5" s="259"/>
      <c r="GQ5" s="259"/>
      <c r="GR5" s="259"/>
      <c r="GS5" s="259"/>
      <c r="GT5" s="259"/>
      <c r="GU5" s="259"/>
      <c r="GV5" s="259"/>
      <c r="GW5" s="259"/>
      <c r="GX5" s="259"/>
      <c r="GY5" s="259"/>
      <c r="GZ5" s="259"/>
      <c r="HA5" s="259"/>
      <c r="HB5" s="259"/>
      <c r="HC5" s="259"/>
      <c r="HD5" s="259"/>
      <c r="HE5" s="259"/>
      <c r="HF5" s="259"/>
      <c r="HG5" s="259"/>
      <c r="HH5" s="259"/>
      <c r="HI5" s="259"/>
      <c r="HJ5" s="259"/>
      <c r="HK5" s="259"/>
      <c r="HL5" s="259"/>
      <c r="HM5" s="259"/>
      <c r="HN5" s="259"/>
      <c r="HO5" s="259"/>
      <c r="HP5" s="259"/>
      <c r="HQ5" s="259"/>
      <c r="HR5" s="259"/>
      <c r="HS5" s="259"/>
      <c r="HT5" s="259"/>
      <c r="HU5" s="259"/>
      <c r="HV5" s="259"/>
      <c r="HW5" s="259"/>
      <c r="HX5" s="259"/>
      <c r="HY5" s="259"/>
      <c r="HZ5" s="259"/>
      <c r="IA5" s="259"/>
      <c r="IB5" s="259"/>
      <c r="IC5" s="259"/>
      <c r="ID5" s="259"/>
      <c r="IE5" s="259"/>
      <c r="IF5" s="259"/>
      <c r="IG5" s="259"/>
      <c r="IH5" s="259"/>
      <c r="II5" s="259"/>
      <c r="IJ5" s="259"/>
      <c r="IK5" s="259"/>
      <c r="IL5" s="259"/>
      <c r="IM5" s="259"/>
      <c r="IN5" s="259"/>
      <c r="IO5" s="259"/>
      <c r="IP5" s="259"/>
      <c r="IQ5" s="259"/>
      <c r="IR5" s="259"/>
      <c r="IS5" s="259"/>
      <c r="IT5" s="259"/>
      <c r="IU5" s="259"/>
      <c r="IV5" s="259"/>
      <c r="IW5" s="259"/>
      <c r="IX5" s="259"/>
      <c r="IY5" s="259"/>
      <c r="IZ5" s="259"/>
      <c r="JA5" s="259"/>
    </row>
    <row r="6" spans="1:261" ht="21">
      <c r="A6" s="264"/>
      <c r="B6" s="259"/>
      <c r="C6" s="265"/>
      <c r="D6" s="260"/>
      <c r="E6" s="260"/>
      <c r="F6" s="260"/>
      <c r="G6" s="260"/>
      <c r="H6" s="260"/>
      <c r="I6" s="260"/>
      <c r="J6" s="260"/>
      <c r="K6" s="260"/>
      <c r="L6" s="260"/>
      <c r="M6" s="260"/>
      <c r="N6" s="260"/>
      <c r="O6" s="260"/>
      <c r="P6" s="260"/>
      <c r="Q6" s="260"/>
      <c r="R6" s="260"/>
      <c r="S6" s="260"/>
      <c r="T6" s="260"/>
      <c r="U6" s="260"/>
      <c r="V6" s="260"/>
      <c r="W6" s="260"/>
      <c r="X6" s="260"/>
      <c r="Y6" s="260"/>
      <c r="Z6" s="260"/>
      <c r="AA6" s="260"/>
      <c r="AB6" s="260"/>
      <c r="AC6" s="260"/>
      <c r="AD6" s="260"/>
      <c r="AE6" s="260"/>
      <c r="AF6" s="260"/>
      <c r="AG6" s="260"/>
      <c r="AH6" s="266" t="s">
        <v>259</v>
      </c>
      <c r="AI6" s="260"/>
      <c r="AJ6" s="261" t="s">
        <v>260</v>
      </c>
      <c r="AK6" s="262"/>
      <c r="AL6" s="260"/>
      <c r="AM6" s="260"/>
      <c r="AN6" s="260"/>
      <c r="AO6" s="260"/>
      <c r="AP6" s="260"/>
      <c r="AQ6" s="260"/>
      <c r="AR6" s="260"/>
      <c r="AS6" s="260"/>
      <c r="AT6" s="260"/>
      <c r="AU6" s="260"/>
      <c r="AV6" s="260"/>
      <c r="AW6" s="260"/>
      <c r="AX6" s="260"/>
      <c r="AY6" s="260"/>
      <c r="AZ6" s="260"/>
      <c r="BA6" s="260"/>
      <c r="BB6" s="260"/>
      <c r="BC6" s="260"/>
      <c r="BD6" s="260"/>
      <c r="BE6" s="260"/>
      <c r="BF6" s="260"/>
      <c r="BG6" s="260"/>
      <c r="BH6" s="260"/>
      <c r="BI6" s="260"/>
      <c r="BJ6" s="260"/>
      <c r="BK6" s="260"/>
      <c r="BL6" s="260"/>
      <c r="BM6" s="260"/>
      <c r="BN6" s="260"/>
      <c r="BO6" s="260"/>
      <c r="BP6" s="260"/>
      <c r="BQ6" s="260"/>
      <c r="BR6" s="260"/>
      <c r="BS6" s="260"/>
      <c r="BT6" s="260"/>
      <c r="BU6" s="260"/>
      <c r="BV6" s="260"/>
      <c r="BW6" s="260"/>
      <c r="BX6" s="260"/>
      <c r="BY6" s="260"/>
      <c r="BZ6" s="260"/>
      <c r="CA6" s="260"/>
      <c r="CB6" s="260"/>
      <c r="CC6" s="260"/>
      <c r="CD6" s="260"/>
      <c r="CE6" s="260"/>
      <c r="CF6" s="260"/>
      <c r="CG6" s="260"/>
      <c r="CH6" s="260"/>
      <c r="CI6" s="260"/>
      <c r="CJ6" s="260"/>
      <c r="CK6" s="260"/>
      <c r="CL6" s="260"/>
      <c r="CM6" s="260"/>
      <c r="CN6" s="260"/>
      <c r="CO6" s="260"/>
      <c r="CP6" s="260"/>
      <c r="CQ6" s="260"/>
      <c r="CR6" s="260"/>
      <c r="CS6" s="260"/>
      <c r="CT6" s="260"/>
      <c r="CU6" s="260"/>
      <c r="CV6" s="260"/>
      <c r="CW6" s="260"/>
      <c r="CX6" s="260"/>
      <c r="CY6" s="260"/>
      <c r="CZ6" s="260"/>
      <c r="DA6" s="260"/>
      <c r="DB6" s="260"/>
      <c r="DC6" s="260"/>
      <c r="DD6" s="260"/>
      <c r="DE6" s="260"/>
      <c r="DF6" s="260"/>
      <c r="DG6" s="260"/>
      <c r="DH6" s="260"/>
      <c r="DI6" s="260"/>
      <c r="DJ6" s="260"/>
      <c r="DK6" s="260"/>
      <c r="DL6" s="260"/>
      <c r="DM6" s="260"/>
      <c r="DN6" s="260"/>
      <c r="DO6" s="260"/>
      <c r="DP6" s="260"/>
      <c r="DQ6" s="260"/>
      <c r="DR6" s="260"/>
      <c r="DS6" s="260"/>
      <c r="DT6" s="260"/>
      <c r="DU6" s="260"/>
      <c r="DV6" s="260"/>
      <c r="DW6" s="260"/>
      <c r="DX6" s="260"/>
      <c r="DY6" s="260"/>
      <c r="DZ6" s="260"/>
      <c r="EA6" s="260"/>
      <c r="EB6" s="260"/>
      <c r="EC6" s="260"/>
      <c r="ED6" s="260"/>
      <c r="EE6" s="260"/>
      <c r="EF6" s="260"/>
      <c r="EG6" s="260"/>
      <c r="EH6" s="260"/>
      <c r="EI6" s="260"/>
      <c r="EJ6" s="260"/>
      <c r="EK6" s="260"/>
      <c r="EL6" s="260"/>
      <c r="EM6" s="260"/>
      <c r="EN6" s="260"/>
      <c r="EO6" s="260"/>
      <c r="EP6" s="260"/>
      <c r="EQ6" s="260"/>
      <c r="ER6" s="260"/>
      <c r="ES6" s="260"/>
      <c r="ET6" s="260"/>
      <c r="EU6" s="260"/>
      <c r="EV6" s="260"/>
      <c r="EW6" s="260"/>
      <c r="EX6" s="260"/>
      <c r="EY6" s="260"/>
      <c r="EZ6" s="260"/>
      <c r="FA6" s="260"/>
      <c r="FB6" s="260"/>
      <c r="FC6" s="260"/>
      <c r="FD6" s="260"/>
      <c r="FE6" s="260"/>
      <c r="FF6" s="260"/>
      <c r="FG6" s="260"/>
      <c r="FH6" s="260"/>
      <c r="FI6" s="260"/>
      <c r="FJ6" s="260"/>
      <c r="FK6" s="260"/>
      <c r="FL6" s="260"/>
      <c r="FM6" s="260"/>
      <c r="FN6" s="260"/>
      <c r="FO6" s="260"/>
      <c r="FP6" s="260"/>
      <c r="FQ6" s="260"/>
      <c r="FR6" s="260"/>
      <c r="FS6" s="260"/>
      <c r="FT6" s="260"/>
      <c r="FU6" s="260"/>
      <c r="FV6" s="260"/>
      <c r="FW6" s="260"/>
      <c r="FX6" s="260"/>
      <c r="FY6" s="260"/>
      <c r="FZ6" s="260"/>
      <c r="GA6" s="260"/>
      <c r="GB6" s="260"/>
      <c r="GC6" s="260"/>
      <c r="GD6" s="260"/>
      <c r="GE6" s="260"/>
      <c r="GF6" s="260"/>
      <c r="GG6" s="260"/>
      <c r="GH6" s="260"/>
      <c r="GI6" s="260"/>
      <c r="GJ6" s="260"/>
      <c r="GK6" s="260"/>
      <c r="GL6" s="260"/>
      <c r="GM6" s="260"/>
      <c r="GN6" s="260"/>
      <c r="GO6" s="260"/>
      <c r="GP6" s="260"/>
      <c r="GQ6" s="260"/>
      <c r="GR6" s="260"/>
      <c r="GS6" s="260"/>
      <c r="GT6" s="260"/>
      <c r="GU6" s="260"/>
      <c r="GV6" s="260"/>
      <c r="GW6" s="260"/>
      <c r="GX6" s="260"/>
      <c r="GY6" s="260"/>
      <c r="GZ6" s="260"/>
      <c r="HA6" s="260"/>
      <c r="HB6" s="260"/>
      <c r="HC6" s="260"/>
      <c r="HD6" s="260"/>
      <c r="HE6" s="260"/>
      <c r="HF6" s="260"/>
      <c r="HG6" s="260"/>
      <c r="HH6" s="260"/>
      <c r="HI6" s="260"/>
      <c r="HJ6" s="260"/>
      <c r="HK6" s="260"/>
      <c r="HL6" s="260"/>
      <c r="HM6" s="260"/>
      <c r="HN6" s="260"/>
      <c r="HO6" s="260"/>
      <c r="HP6" s="260"/>
      <c r="HQ6" s="260"/>
      <c r="HR6" s="260"/>
      <c r="HS6" s="260"/>
      <c r="HT6" s="260"/>
      <c r="HU6" s="260"/>
      <c r="HV6" s="260"/>
      <c r="HW6" s="260"/>
      <c r="HX6" s="260"/>
      <c r="HY6" s="260"/>
      <c r="HZ6" s="260"/>
      <c r="IA6" s="260"/>
      <c r="IB6" s="260"/>
      <c r="IC6" s="260"/>
      <c r="ID6" s="260"/>
      <c r="IE6" s="260"/>
      <c r="IF6" s="260"/>
      <c r="IG6" s="260"/>
      <c r="IH6" s="260"/>
      <c r="II6" s="260"/>
      <c r="IJ6" s="260"/>
      <c r="IK6" s="260"/>
      <c r="IL6" s="260"/>
      <c r="IM6" s="260"/>
      <c r="IN6" s="260"/>
      <c r="IO6" s="260"/>
      <c r="IP6" s="260"/>
      <c r="IQ6" s="260"/>
      <c r="IR6" s="260"/>
      <c r="IS6" s="260"/>
      <c r="IT6" s="260"/>
      <c r="IU6" s="260"/>
      <c r="IV6" s="260"/>
      <c r="IW6" s="260"/>
      <c r="IX6" s="260"/>
      <c r="IY6" s="260"/>
      <c r="IZ6" s="260"/>
      <c r="JA6" s="260"/>
    </row>
    <row r="7" spans="1:261" ht="21">
      <c r="A7" s="264"/>
      <c r="B7" s="259"/>
      <c r="C7" s="265"/>
      <c r="D7" s="260"/>
      <c r="E7" s="260"/>
      <c r="F7" s="260"/>
      <c r="G7" s="260"/>
      <c r="H7" s="260"/>
      <c r="I7" s="260"/>
      <c r="J7" s="260"/>
      <c r="K7" s="260"/>
      <c r="L7" s="260"/>
      <c r="M7" s="260"/>
      <c r="N7" s="260"/>
      <c r="O7" s="260"/>
      <c r="P7" s="260"/>
      <c r="Q7" s="260"/>
      <c r="R7" s="260"/>
      <c r="S7" s="260"/>
      <c r="T7" s="260"/>
      <c r="U7" s="260"/>
      <c r="V7" s="260"/>
      <c r="W7" s="260"/>
      <c r="X7" s="260"/>
      <c r="Y7" s="260"/>
      <c r="Z7" s="260"/>
      <c r="AA7" s="260"/>
      <c r="AB7" s="260"/>
      <c r="AC7" s="260"/>
      <c r="AD7" s="260"/>
      <c r="AE7" s="260"/>
      <c r="AF7" s="260"/>
      <c r="AG7" s="260"/>
      <c r="AH7" s="266" t="s">
        <v>261</v>
      </c>
      <c r="AI7" s="260"/>
      <c r="AJ7" s="261" t="s">
        <v>262</v>
      </c>
      <c r="AK7" s="262"/>
      <c r="AL7" s="260"/>
      <c r="AM7" s="260"/>
      <c r="AN7" s="260"/>
      <c r="AO7" s="260"/>
      <c r="AP7" s="260"/>
      <c r="AQ7" s="260"/>
      <c r="AR7" s="260"/>
      <c r="AS7" s="260"/>
      <c r="AT7" s="260"/>
      <c r="AU7" s="260"/>
      <c r="AV7" s="260"/>
      <c r="AW7" s="260"/>
      <c r="AX7" s="260"/>
      <c r="AY7" s="260"/>
      <c r="AZ7" s="260"/>
      <c r="BA7" s="260"/>
      <c r="BB7" s="260"/>
      <c r="BC7" s="260"/>
      <c r="BD7" s="260"/>
      <c r="BE7" s="260"/>
      <c r="BF7" s="260"/>
      <c r="BG7" s="260"/>
      <c r="BH7" s="260"/>
      <c r="BI7" s="260"/>
      <c r="BJ7" s="260"/>
      <c r="BK7" s="260"/>
      <c r="BL7" s="260"/>
      <c r="BM7" s="260"/>
      <c r="BN7" s="260"/>
      <c r="BO7" s="260"/>
      <c r="BP7" s="260"/>
      <c r="BQ7" s="260"/>
      <c r="BR7" s="260"/>
      <c r="BS7" s="260"/>
      <c r="BT7" s="260"/>
      <c r="BU7" s="260"/>
      <c r="BV7" s="260"/>
      <c r="BW7" s="260"/>
      <c r="BX7" s="260"/>
      <c r="BY7" s="260"/>
      <c r="BZ7" s="260"/>
      <c r="CA7" s="260"/>
      <c r="CB7" s="260"/>
      <c r="CC7" s="260"/>
      <c r="CD7" s="260"/>
      <c r="CE7" s="260"/>
      <c r="CF7" s="260"/>
      <c r="CG7" s="260"/>
      <c r="CH7" s="260"/>
      <c r="CI7" s="260"/>
      <c r="CJ7" s="260"/>
      <c r="CK7" s="260"/>
      <c r="CL7" s="260"/>
      <c r="CM7" s="260"/>
      <c r="CN7" s="260"/>
      <c r="CO7" s="260"/>
      <c r="CP7" s="260"/>
      <c r="CQ7" s="260"/>
      <c r="CR7" s="260"/>
      <c r="CS7" s="260"/>
      <c r="CT7" s="260"/>
      <c r="CU7" s="260"/>
      <c r="CV7" s="260"/>
      <c r="CW7" s="260"/>
      <c r="CX7" s="260"/>
      <c r="CY7" s="260"/>
      <c r="CZ7" s="260"/>
      <c r="DA7" s="260"/>
      <c r="DB7" s="260"/>
      <c r="DC7" s="260"/>
      <c r="DD7" s="260"/>
      <c r="DE7" s="260"/>
      <c r="DF7" s="260"/>
      <c r="DG7" s="260"/>
      <c r="DH7" s="260"/>
      <c r="DI7" s="260"/>
      <c r="DJ7" s="260"/>
      <c r="DK7" s="260"/>
      <c r="DL7" s="260"/>
      <c r="DM7" s="260"/>
      <c r="DN7" s="260"/>
      <c r="DO7" s="260"/>
      <c r="DP7" s="260"/>
      <c r="DQ7" s="260"/>
      <c r="DR7" s="260"/>
      <c r="DS7" s="260"/>
      <c r="DT7" s="260"/>
      <c r="DU7" s="260"/>
      <c r="DV7" s="260"/>
      <c r="DW7" s="260"/>
      <c r="DX7" s="260"/>
      <c r="DY7" s="260"/>
      <c r="DZ7" s="260"/>
      <c r="EA7" s="260"/>
      <c r="EB7" s="260"/>
      <c r="EC7" s="260"/>
      <c r="ED7" s="260"/>
      <c r="EE7" s="260"/>
      <c r="EF7" s="260"/>
      <c r="EG7" s="260"/>
      <c r="EH7" s="260"/>
      <c r="EI7" s="260"/>
      <c r="EJ7" s="260"/>
      <c r="EK7" s="260"/>
      <c r="EL7" s="260"/>
      <c r="EM7" s="260"/>
      <c r="EN7" s="260"/>
      <c r="EO7" s="260"/>
      <c r="EP7" s="260"/>
      <c r="EQ7" s="260"/>
      <c r="ER7" s="260"/>
      <c r="ES7" s="260"/>
      <c r="ET7" s="260"/>
      <c r="EU7" s="260"/>
      <c r="EV7" s="260"/>
      <c r="EW7" s="260"/>
      <c r="EX7" s="260"/>
      <c r="EY7" s="260"/>
      <c r="EZ7" s="260"/>
      <c r="FA7" s="260"/>
      <c r="FB7" s="260"/>
      <c r="FC7" s="260"/>
      <c r="FD7" s="260"/>
      <c r="FE7" s="260"/>
      <c r="FF7" s="260"/>
      <c r="FG7" s="260"/>
      <c r="FH7" s="260"/>
      <c r="FI7" s="260"/>
      <c r="FJ7" s="260"/>
      <c r="FK7" s="260"/>
      <c r="FL7" s="260"/>
      <c r="FM7" s="260"/>
      <c r="FN7" s="260"/>
      <c r="FO7" s="260"/>
      <c r="FP7" s="260"/>
      <c r="FQ7" s="260"/>
      <c r="FR7" s="260"/>
      <c r="FS7" s="260"/>
      <c r="FT7" s="260"/>
      <c r="FU7" s="260"/>
      <c r="FV7" s="260"/>
      <c r="FW7" s="260"/>
      <c r="FX7" s="260"/>
      <c r="FY7" s="260"/>
      <c r="FZ7" s="260"/>
      <c r="GA7" s="260"/>
      <c r="GB7" s="260"/>
      <c r="GC7" s="260"/>
      <c r="GD7" s="260"/>
      <c r="GE7" s="260"/>
      <c r="GF7" s="260"/>
      <c r="GG7" s="260"/>
      <c r="GH7" s="260"/>
      <c r="GI7" s="260"/>
      <c r="GJ7" s="260"/>
      <c r="GK7" s="260"/>
      <c r="GL7" s="260"/>
      <c r="GM7" s="260"/>
      <c r="GN7" s="260"/>
      <c r="GO7" s="260"/>
      <c r="GP7" s="260"/>
      <c r="GQ7" s="260"/>
      <c r="GR7" s="260"/>
      <c r="GS7" s="260"/>
      <c r="GT7" s="260"/>
      <c r="GU7" s="260"/>
      <c r="GV7" s="260"/>
      <c r="GW7" s="260"/>
      <c r="GX7" s="260"/>
      <c r="GY7" s="260"/>
      <c r="GZ7" s="260"/>
      <c r="HA7" s="260"/>
      <c r="HB7" s="260"/>
      <c r="HC7" s="260"/>
      <c r="HD7" s="260"/>
      <c r="HE7" s="260"/>
      <c r="HF7" s="260"/>
      <c r="HG7" s="260"/>
      <c r="HH7" s="260"/>
      <c r="HI7" s="260"/>
      <c r="HJ7" s="260"/>
      <c r="HK7" s="260"/>
      <c r="HL7" s="260"/>
      <c r="HM7" s="260"/>
      <c r="HN7" s="260"/>
      <c r="HO7" s="260"/>
      <c r="HP7" s="260"/>
      <c r="HQ7" s="260"/>
      <c r="HR7" s="260"/>
      <c r="HS7" s="260"/>
      <c r="HT7" s="260"/>
      <c r="HU7" s="260"/>
      <c r="HV7" s="260"/>
      <c r="HW7" s="260"/>
      <c r="HX7" s="260"/>
      <c r="HY7" s="260"/>
      <c r="HZ7" s="260"/>
      <c r="IA7" s="260"/>
      <c r="IB7" s="260"/>
      <c r="IC7" s="260"/>
      <c r="ID7" s="260"/>
      <c r="IE7" s="260"/>
      <c r="IF7" s="260"/>
      <c r="IG7" s="260"/>
      <c r="IH7" s="260"/>
      <c r="II7" s="260"/>
      <c r="IJ7" s="260"/>
      <c r="IK7" s="260"/>
      <c r="IL7" s="260"/>
      <c r="IM7" s="260"/>
      <c r="IN7" s="260"/>
      <c r="IO7" s="260"/>
      <c r="IP7" s="260"/>
      <c r="IQ7" s="260"/>
      <c r="IR7" s="260"/>
      <c r="IS7" s="260"/>
      <c r="IT7" s="260"/>
      <c r="IU7" s="260"/>
      <c r="IV7" s="260"/>
      <c r="IW7" s="260"/>
      <c r="IX7" s="260"/>
      <c r="IY7" s="260"/>
      <c r="IZ7" s="260"/>
      <c r="JA7" s="260"/>
    </row>
    <row r="8" spans="1:261" ht="21">
      <c r="A8" s="264"/>
      <c r="B8" s="259"/>
      <c r="C8" s="265"/>
      <c r="D8" s="260"/>
      <c r="E8" s="260"/>
      <c r="F8" s="260"/>
      <c r="G8" s="260"/>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260"/>
      <c r="AH8" s="266" t="s">
        <v>263</v>
      </c>
      <c r="AI8" s="260"/>
      <c r="AJ8" s="261" t="s">
        <v>264</v>
      </c>
      <c r="AK8" s="262"/>
      <c r="AL8" s="260"/>
      <c r="AM8" s="260"/>
      <c r="AN8" s="260"/>
      <c r="AO8" s="260"/>
      <c r="AP8" s="260"/>
      <c r="AQ8" s="260"/>
      <c r="AR8" s="260"/>
      <c r="AS8" s="260"/>
      <c r="AT8" s="260"/>
      <c r="AU8" s="260"/>
      <c r="AV8" s="260"/>
      <c r="AW8" s="260"/>
      <c r="AX8" s="260"/>
      <c r="AY8" s="260"/>
      <c r="AZ8" s="260"/>
      <c r="BA8" s="260"/>
      <c r="BB8" s="260"/>
      <c r="BC8" s="260"/>
      <c r="BD8" s="260"/>
      <c r="BE8" s="260"/>
      <c r="BF8" s="260"/>
      <c r="BG8" s="260"/>
      <c r="BH8" s="260"/>
      <c r="BI8" s="260"/>
      <c r="BJ8" s="260"/>
      <c r="BK8" s="260"/>
      <c r="BL8" s="260"/>
      <c r="BM8" s="260"/>
      <c r="BN8" s="260"/>
      <c r="BO8" s="260"/>
      <c r="BP8" s="260"/>
      <c r="BQ8" s="260"/>
      <c r="BR8" s="260"/>
      <c r="BS8" s="260"/>
      <c r="BT8" s="260"/>
      <c r="BU8" s="260"/>
      <c r="BV8" s="260"/>
      <c r="BW8" s="260"/>
      <c r="BX8" s="260"/>
      <c r="BY8" s="260"/>
      <c r="BZ8" s="260"/>
      <c r="CA8" s="260"/>
      <c r="CB8" s="260"/>
      <c r="CC8" s="260"/>
      <c r="CD8" s="260"/>
      <c r="CE8" s="260"/>
      <c r="CF8" s="260"/>
      <c r="CG8" s="260"/>
      <c r="CH8" s="260"/>
      <c r="CI8" s="260"/>
      <c r="CJ8" s="260"/>
      <c r="CK8" s="260"/>
      <c r="CL8" s="260"/>
      <c r="CM8" s="260"/>
      <c r="CN8" s="260"/>
      <c r="CO8" s="260"/>
      <c r="CP8" s="260"/>
      <c r="CQ8" s="260"/>
      <c r="CR8" s="260"/>
      <c r="CS8" s="260"/>
      <c r="CT8" s="260"/>
      <c r="CU8" s="260"/>
      <c r="CV8" s="260"/>
      <c r="CW8" s="260"/>
      <c r="CX8" s="260"/>
      <c r="CY8" s="260"/>
      <c r="CZ8" s="260"/>
      <c r="DA8" s="260"/>
      <c r="DB8" s="260"/>
      <c r="DC8" s="260"/>
      <c r="DD8" s="260"/>
      <c r="DE8" s="260"/>
      <c r="DF8" s="260"/>
      <c r="DG8" s="260"/>
      <c r="DH8" s="260"/>
      <c r="DI8" s="260"/>
      <c r="DJ8" s="260"/>
      <c r="DK8" s="260"/>
      <c r="DL8" s="260"/>
      <c r="DM8" s="260"/>
      <c r="DN8" s="260"/>
      <c r="DO8" s="260"/>
      <c r="DP8" s="260"/>
      <c r="DQ8" s="260"/>
      <c r="DR8" s="260"/>
      <c r="DS8" s="260"/>
      <c r="DT8" s="260"/>
      <c r="DU8" s="260"/>
      <c r="DV8" s="260"/>
      <c r="DW8" s="260"/>
      <c r="DX8" s="260"/>
      <c r="DY8" s="260"/>
      <c r="DZ8" s="260"/>
      <c r="EA8" s="260"/>
      <c r="EB8" s="260"/>
      <c r="EC8" s="260"/>
      <c r="ED8" s="260"/>
      <c r="EE8" s="260"/>
      <c r="EF8" s="260"/>
      <c r="EG8" s="260"/>
      <c r="EH8" s="260"/>
      <c r="EI8" s="260"/>
      <c r="EJ8" s="260"/>
      <c r="EK8" s="260"/>
      <c r="EL8" s="260"/>
      <c r="EM8" s="260"/>
      <c r="EN8" s="260"/>
      <c r="EO8" s="260"/>
      <c r="EP8" s="260"/>
      <c r="EQ8" s="260"/>
      <c r="ER8" s="260"/>
      <c r="ES8" s="260"/>
      <c r="ET8" s="260"/>
      <c r="EU8" s="260"/>
      <c r="EV8" s="260"/>
      <c r="EW8" s="260"/>
      <c r="EX8" s="260"/>
      <c r="EY8" s="260"/>
      <c r="EZ8" s="260"/>
      <c r="FA8" s="260"/>
      <c r="FB8" s="260"/>
      <c r="FC8" s="260"/>
      <c r="FD8" s="260"/>
      <c r="FE8" s="260"/>
      <c r="FF8" s="260"/>
      <c r="FG8" s="260"/>
      <c r="FH8" s="260"/>
      <c r="FI8" s="260"/>
      <c r="FJ8" s="260"/>
      <c r="FK8" s="260"/>
      <c r="FL8" s="260"/>
      <c r="FM8" s="260"/>
      <c r="FN8" s="260"/>
      <c r="FO8" s="260"/>
      <c r="FP8" s="260"/>
      <c r="FQ8" s="260"/>
      <c r="FR8" s="260"/>
      <c r="FS8" s="260"/>
      <c r="FT8" s="260"/>
      <c r="FU8" s="260"/>
      <c r="FV8" s="260"/>
      <c r="FW8" s="260"/>
      <c r="FX8" s="260"/>
      <c r="FY8" s="260"/>
      <c r="FZ8" s="260"/>
      <c r="GA8" s="260"/>
      <c r="GB8" s="260"/>
      <c r="GC8" s="260"/>
      <c r="GD8" s="260"/>
      <c r="GE8" s="260"/>
      <c r="GF8" s="260"/>
      <c r="GG8" s="260"/>
      <c r="GH8" s="260"/>
      <c r="GI8" s="260"/>
      <c r="GJ8" s="260"/>
      <c r="GK8" s="260"/>
      <c r="GL8" s="260"/>
      <c r="GM8" s="260"/>
      <c r="GN8" s="260"/>
      <c r="GO8" s="260"/>
      <c r="GP8" s="260"/>
      <c r="GQ8" s="260"/>
      <c r="GR8" s="260"/>
      <c r="GS8" s="260"/>
      <c r="GT8" s="260"/>
      <c r="GU8" s="260"/>
      <c r="GV8" s="260"/>
      <c r="GW8" s="260"/>
      <c r="GX8" s="260"/>
      <c r="GY8" s="260"/>
      <c r="GZ8" s="260"/>
      <c r="HA8" s="260"/>
      <c r="HB8" s="260"/>
      <c r="HC8" s="260"/>
      <c r="HD8" s="260"/>
      <c r="HE8" s="260"/>
      <c r="HF8" s="260"/>
      <c r="HG8" s="260"/>
      <c r="HH8" s="260"/>
      <c r="HI8" s="260"/>
      <c r="HJ8" s="260"/>
      <c r="HK8" s="260"/>
      <c r="HL8" s="260"/>
      <c r="HM8" s="260"/>
      <c r="HN8" s="260"/>
      <c r="HO8" s="260"/>
      <c r="HP8" s="260"/>
      <c r="HQ8" s="260"/>
      <c r="HR8" s="260"/>
      <c r="HS8" s="260"/>
      <c r="HT8" s="260"/>
      <c r="HU8" s="260"/>
      <c r="HV8" s="260"/>
      <c r="HW8" s="260"/>
      <c r="HX8" s="260"/>
      <c r="HY8" s="260"/>
      <c r="HZ8" s="260"/>
      <c r="IA8" s="260"/>
      <c r="IB8" s="260"/>
      <c r="IC8" s="260"/>
      <c r="ID8" s="260"/>
      <c r="IE8" s="260"/>
      <c r="IF8" s="260"/>
      <c r="IG8" s="260"/>
      <c r="IH8" s="260"/>
      <c r="II8" s="260"/>
      <c r="IJ8" s="260"/>
      <c r="IK8" s="260"/>
      <c r="IL8" s="260"/>
      <c r="IM8" s="260"/>
      <c r="IN8" s="260"/>
      <c r="IO8" s="260"/>
      <c r="IP8" s="260"/>
      <c r="IQ8" s="260"/>
      <c r="IR8" s="260"/>
      <c r="IS8" s="260"/>
      <c r="IT8" s="260"/>
      <c r="IU8" s="260"/>
      <c r="IV8" s="260"/>
      <c r="IW8" s="260"/>
      <c r="IX8" s="260"/>
      <c r="IY8" s="260"/>
      <c r="IZ8" s="260"/>
      <c r="JA8" s="260"/>
    </row>
    <row r="9" spans="1:261" ht="17.649999999999999">
      <c r="A9" s="267" t="s">
        <v>265</v>
      </c>
      <c r="B9" s="268"/>
      <c r="C9" s="269" t="s">
        <v>132</v>
      </c>
      <c r="D9" s="259"/>
      <c r="E9" s="259"/>
      <c r="F9" s="259"/>
      <c r="G9" s="259"/>
      <c r="H9" s="259"/>
      <c r="I9" s="259"/>
      <c r="J9" s="259"/>
      <c r="K9" s="259"/>
      <c r="L9" s="259"/>
      <c r="M9" s="259"/>
      <c r="N9" s="259"/>
      <c r="O9" s="259"/>
      <c r="P9" s="259"/>
      <c r="Q9" s="259"/>
      <c r="R9" s="259"/>
      <c r="S9" s="259"/>
      <c r="T9" s="259"/>
      <c r="U9" s="259"/>
      <c r="V9" s="259"/>
      <c r="W9" s="259"/>
      <c r="X9" s="259"/>
      <c r="Y9" s="259"/>
      <c r="Z9" s="259"/>
      <c r="AA9" s="259"/>
      <c r="AB9" s="259"/>
      <c r="AC9" s="260"/>
      <c r="AD9" s="260"/>
      <c r="AE9" s="260"/>
      <c r="AF9" s="260"/>
      <c r="AG9" s="260"/>
      <c r="AH9" s="266" t="s">
        <v>266</v>
      </c>
      <c r="AI9" s="260"/>
      <c r="AJ9" s="261" t="s">
        <v>267</v>
      </c>
      <c r="AK9" s="262"/>
      <c r="AL9" s="260"/>
      <c r="AM9" s="260"/>
      <c r="AN9" s="260"/>
      <c r="AO9" s="260"/>
      <c r="AP9" s="260"/>
      <c r="AQ9" s="260"/>
      <c r="AR9" s="260"/>
      <c r="AS9" s="260"/>
      <c r="AT9" s="260"/>
      <c r="AU9" s="260"/>
      <c r="AV9" s="260"/>
      <c r="AW9" s="260"/>
      <c r="AX9" s="260"/>
      <c r="AY9" s="260"/>
      <c r="AZ9" s="260"/>
      <c r="BA9" s="260"/>
      <c r="BB9" s="260"/>
      <c r="BC9" s="260"/>
      <c r="BD9" s="260"/>
      <c r="BE9" s="260"/>
      <c r="BF9" s="260"/>
      <c r="BG9" s="260"/>
      <c r="BH9" s="260"/>
      <c r="BI9" s="260"/>
      <c r="BJ9" s="260"/>
      <c r="BK9" s="260"/>
      <c r="BL9" s="260"/>
      <c r="BM9" s="260"/>
      <c r="BN9" s="260"/>
      <c r="BO9" s="260"/>
      <c r="BP9" s="260"/>
      <c r="BQ9" s="260"/>
      <c r="BR9" s="260"/>
      <c r="BS9" s="260"/>
      <c r="BT9" s="260"/>
      <c r="BU9" s="260"/>
      <c r="BV9" s="260"/>
      <c r="BW9" s="260"/>
      <c r="BX9" s="260"/>
      <c r="BY9" s="260"/>
      <c r="BZ9" s="260"/>
      <c r="CA9" s="260"/>
      <c r="CB9" s="260"/>
      <c r="CC9" s="260"/>
      <c r="CD9" s="260"/>
      <c r="CE9" s="260"/>
      <c r="CF9" s="260"/>
      <c r="CG9" s="260"/>
      <c r="CH9" s="260"/>
      <c r="CI9" s="260"/>
      <c r="CJ9" s="260"/>
      <c r="CK9" s="260"/>
      <c r="CL9" s="260"/>
      <c r="CM9" s="260"/>
      <c r="CN9" s="260"/>
      <c r="CO9" s="260"/>
      <c r="CP9" s="260"/>
      <c r="CQ9" s="260"/>
      <c r="CR9" s="260"/>
      <c r="CS9" s="260"/>
      <c r="CT9" s="260"/>
      <c r="CU9" s="260"/>
      <c r="CV9" s="260"/>
      <c r="CW9" s="260"/>
      <c r="CX9" s="260"/>
      <c r="CY9" s="260"/>
      <c r="CZ9" s="260"/>
      <c r="DA9" s="260"/>
      <c r="DB9" s="260"/>
      <c r="DC9" s="260"/>
      <c r="DD9" s="260"/>
      <c r="DE9" s="260"/>
      <c r="DF9" s="260"/>
      <c r="DG9" s="260"/>
      <c r="DH9" s="260"/>
      <c r="DI9" s="260"/>
      <c r="DJ9" s="260"/>
      <c r="DK9" s="260"/>
      <c r="DL9" s="260"/>
      <c r="DM9" s="260"/>
      <c r="DN9" s="260"/>
      <c r="DO9" s="260"/>
      <c r="DP9" s="260"/>
      <c r="DQ9" s="260"/>
      <c r="DR9" s="260"/>
      <c r="DS9" s="260"/>
      <c r="DT9" s="260"/>
      <c r="DU9" s="260"/>
      <c r="DV9" s="260"/>
      <c r="DW9" s="260"/>
      <c r="DX9" s="260"/>
      <c r="DY9" s="260"/>
      <c r="DZ9" s="260"/>
      <c r="EA9" s="260"/>
      <c r="EB9" s="260"/>
      <c r="EC9" s="260"/>
      <c r="ED9" s="260"/>
      <c r="EE9" s="260"/>
      <c r="EF9" s="260"/>
      <c r="EG9" s="260"/>
      <c r="EH9" s="260"/>
      <c r="EI9" s="260"/>
      <c r="EJ9" s="260"/>
      <c r="EK9" s="260"/>
      <c r="EL9" s="260"/>
      <c r="EM9" s="260"/>
      <c r="EN9" s="260"/>
      <c r="EO9" s="260"/>
      <c r="EP9" s="260"/>
      <c r="EQ9" s="260"/>
      <c r="ER9" s="260"/>
      <c r="ES9" s="260"/>
      <c r="ET9" s="260"/>
      <c r="EU9" s="260"/>
      <c r="EV9" s="260"/>
      <c r="EW9" s="260"/>
      <c r="EX9" s="260"/>
      <c r="EY9" s="260"/>
      <c r="EZ9" s="260"/>
      <c r="FA9" s="260"/>
      <c r="FB9" s="260"/>
      <c r="FC9" s="260"/>
      <c r="FD9" s="260"/>
      <c r="FE9" s="260"/>
      <c r="FF9" s="260"/>
      <c r="FG9" s="260"/>
      <c r="FH9" s="260"/>
      <c r="FI9" s="260"/>
      <c r="FJ9" s="260"/>
      <c r="FK9" s="260"/>
      <c r="FL9" s="260"/>
      <c r="FM9" s="260"/>
      <c r="FN9" s="260"/>
      <c r="FO9" s="260"/>
      <c r="FP9" s="260"/>
      <c r="FQ9" s="260"/>
      <c r="FR9" s="260"/>
      <c r="FS9" s="260"/>
      <c r="FT9" s="260"/>
      <c r="FU9" s="260"/>
      <c r="FV9" s="260"/>
      <c r="FW9" s="260"/>
      <c r="FX9" s="260"/>
      <c r="FY9" s="260"/>
      <c r="FZ9" s="260"/>
      <c r="GA9" s="260"/>
      <c r="GB9" s="260"/>
      <c r="GC9" s="260"/>
      <c r="GD9" s="260"/>
      <c r="GE9" s="260"/>
      <c r="GF9" s="260"/>
      <c r="GG9" s="260"/>
      <c r="GH9" s="260"/>
      <c r="GI9" s="260"/>
      <c r="GJ9" s="260"/>
      <c r="GK9" s="260"/>
      <c r="GL9" s="260"/>
      <c r="GM9" s="260"/>
      <c r="GN9" s="260"/>
      <c r="GO9" s="260"/>
      <c r="GP9" s="260"/>
      <c r="GQ9" s="260"/>
      <c r="GR9" s="260"/>
      <c r="GS9" s="260"/>
      <c r="GT9" s="260"/>
      <c r="GU9" s="260"/>
      <c r="GV9" s="260"/>
      <c r="GW9" s="260"/>
      <c r="GX9" s="260"/>
      <c r="GY9" s="260"/>
      <c r="GZ9" s="260"/>
      <c r="HA9" s="260"/>
      <c r="HB9" s="260"/>
      <c r="HC9" s="260"/>
      <c r="HD9" s="260"/>
      <c r="HE9" s="260"/>
      <c r="HF9" s="260"/>
      <c r="HG9" s="260"/>
      <c r="HH9" s="260"/>
      <c r="HI9" s="260"/>
      <c r="HJ9" s="260"/>
      <c r="HK9" s="260"/>
      <c r="HL9" s="260"/>
      <c r="HM9" s="260"/>
      <c r="HN9" s="260"/>
      <c r="HO9" s="260"/>
      <c r="HP9" s="260"/>
      <c r="HQ9" s="260"/>
      <c r="HR9" s="260"/>
      <c r="HS9" s="260"/>
      <c r="HT9" s="260"/>
      <c r="HU9" s="260"/>
      <c r="HV9" s="260"/>
      <c r="HW9" s="260"/>
      <c r="HX9" s="260"/>
      <c r="HY9" s="260"/>
      <c r="HZ9" s="260"/>
      <c r="IA9" s="260"/>
      <c r="IB9" s="260"/>
      <c r="IC9" s="260"/>
      <c r="ID9" s="260"/>
      <c r="IE9" s="260"/>
      <c r="IF9" s="260"/>
      <c r="IG9" s="260"/>
      <c r="IH9" s="260"/>
      <c r="II9" s="260"/>
      <c r="IJ9" s="260"/>
      <c r="IK9" s="260"/>
      <c r="IL9" s="260"/>
      <c r="IM9" s="260"/>
      <c r="IN9" s="260"/>
      <c r="IO9" s="260"/>
      <c r="IP9" s="260"/>
      <c r="IQ9" s="260"/>
      <c r="IR9" s="260"/>
      <c r="IS9" s="260"/>
      <c r="IT9" s="260"/>
      <c r="IU9" s="260"/>
      <c r="IV9" s="260"/>
      <c r="IW9" s="260"/>
      <c r="IX9" s="260"/>
      <c r="IY9" s="260"/>
      <c r="IZ9" s="260"/>
      <c r="JA9" s="260"/>
    </row>
    <row r="10" spans="1:261" ht="15.4">
      <c r="A10" s="260" t="s">
        <v>268</v>
      </c>
      <c r="B10" s="270" t="s">
        <v>269</v>
      </c>
      <c r="C10" s="269" t="s">
        <v>259</v>
      </c>
      <c r="D10" s="271" t="e">
        <f ca="1">_xll.BLUEMATRIX2("/servlet/excelData",C10, $C$14,$B10)</f>
        <v>#NAME?</v>
      </c>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6" t="s">
        <v>270</v>
      </c>
      <c r="AI10" s="260"/>
      <c r="AJ10" s="261" t="s">
        <v>271</v>
      </c>
      <c r="AK10" s="262"/>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c r="BH10" s="260"/>
      <c r="BI10" s="260"/>
      <c r="BJ10" s="260"/>
      <c r="BK10" s="260"/>
      <c r="BL10" s="260"/>
      <c r="BM10" s="260"/>
      <c r="BN10" s="260"/>
      <c r="BO10" s="260"/>
      <c r="BP10" s="260"/>
      <c r="BQ10" s="260"/>
      <c r="BR10" s="260"/>
      <c r="BS10" s="260"/>
      <c r="BT10" s="260"/>
      <c r="BU10" s="260"/>
      <c r="BV10" s="260"/>
      <c r="BW10" s="260"/>
      <c r="BX10" s="260"/>
      <c r="BY10" s="260"/>
      <c r="BZ10" s="260"/>
      <c r="CA10" s="260"/>
      <c r="CB10" s="260"/>
      <c r="CC10" s="260"/>
      <c r="CD10" s="260"/>
      <c r="CE10" s="260"/>
      <c r="CF10" s="260"/>
      <c r="CG10" s="260"/>
      <c r="CH10" s="260"/>
      <c r="CI10" s="260"/>
      <c r="CJ10" s="260"/>
      <c r="CK10" s="260"/>
      <c r="CL10" s="260"/>
      <c r="CM10" s="260"/>
      <c r="CN10" s="260"/>
      <c r="CO10" s="260"/>
      <c r="CP10" s="260"/>
      <c r="CQ10" s="260"/>
      <c r="CR10" s="260"/>
      <c r="CS10" s="260"/>
      <c r="CT10" s="260"/>
      <c r="CU10" s="260"/>
      <c r="CV10" s="260"/>
      <c r="CW10" s="260"/>
      <c r="CX10" s="260"/>
      <c r="CY10" s="260"/>
      <c r="CZ10" s="260"/>
      <c r="DA10" s="260"/>
      <c r="DB10" s="260"/>
      <c r="DC10" s="260"/>
      <c r="DD10" s="260"/>
      <c r="DE10" s="260"/>
      <c r="DF10" s="260"/>
      <c r="DG10" s="260"/>
      <c r="DH10" s="260"/>
      <c r="DI10" s="260"/>
      <c r="DJ10" s="260"/>
      <c r="DK10" s="260"/>
      <c r="DL10" s="260"/>
      <c r="DM10" s="260"/>
      <c r="DN10" s="260"/>
      <c r="DO10" s="260"/>
      <c r="DP10" s="260"/>
      <c r="DQ10" s="260"/>
      <c r="DR10" s="260"/>
      <c r="DS10" s="260"/>
      <c r="DT10" s="260"/>
      <c r="DU10" s="260"/>
      <c r="DV10" s="260"/>
      <c r="DW10" s="260"/>
      <c r="DX10" s="260"/>
      <c r="DY10" s="260"/>
      <c r="DZ10" s="260"/>
      <c r="EA10" s="260"/>
      <c r="EB10" s="260"/>
      <c r="EC10" s="260"/>
      <c r="ED10" s="260"/>
      <c r="EE10" s="260"/>
      <c r="EF10" s="260"/>
      <c r="EG10" s="260"/>
      <c r="EH10" s="260"/>
      <c r="EI10" s="260"/>
      <c r="EJ10" s="260"/>
      <c r="EK10" s="260"/>
      <c r="EL10" s="260"/>
      <c r="EM10" s="260"/>
      <c r="EN10" s="260"/>
      <c r="EO10" s="260"/>
      <c r="EP10" s="260"/>
      <c r="EQ10" s="260"/>
      <c r="ER10" s="260"/>
      <c r="ES10" s="260"/>
      <c r="ET10" s="260"/>
      <c r="EU10" s="260"/>
      <c r="EV10" s="260"/>
      <c r="EW10" s="260"/>
      <c r="EX10" s="260"/>
      <c r="EY10" s="260"/>
      <c r="EZ10" s="260"/>
      <c r="FA10" s="260"/>
      <c r="FB10" s="260"/>
      <c r="FC10" s="260"/>
      <c r="FD10" s="260"/>
      <c r="FE10" s="260"/>
      <c r="FF10" s="260"/>
      <c r="FG10" s="260"/>
      <c r="FH10" s="260"/>
      <c r="FI10" s="260"/>
      <c r="FJ10" s="260"/>
      <c r="FK10" s="260"/>
      <c r="FL10" s="260"/>
      <c r="FM10" s="260"/>
      <c r="FN10" s="260"/>
      <c r="FO10" s="260"/>
      <c r="FP10" s="260"/>
      <c r="FQ10" s="260"/>
      <c r="FR10" s="260"/>
      <c r="FS10" s="260"/>
      <c r="FT10" s="260"/>
      <c r="FU10" s="260"/>
      <c r="FV10" s="260"/>
      <c r="FW10" s="260"/>
      <c r="FX10" s="260"/>
      <c r="FY10" s="260"/>
      <c r="FZ10" s="260"/>
      <c r="GA10" s="260"/>
      <c r="GB10" s="260"/>
      <c r="GC10" s="260"/>
      <c r="GD10" s="260"/>
      <c r="GE10" s="260"/>
      <c r="GF10" s="260"/>
      <c r="GG10" s="260"/>
      <c r="GH10" s="260"/>
      <c r="GI10" s="260"/>
      <c r="GJ10" s="260"/>
      <c r="GK10" s="260"/>
      <c r="GL10" s="260"/>
      <c r="GM10" s="260"/>
      <c r="GN10" s="260"/>
      <c r="GO10" s="260"/>
      <c r="GP10" s="260"/>
      <c r="GQ10" s="260"/>
      <c r="GR10" s="260"/>
      <c r="GS10" s="260"/>
      <c r="GT10" s="260"/>
      <c r="GU10" s="260"/>
      <c r="GV10" s="260"/>
      <c r="GW10" s="260"/>
      <c r="GX10" s="260"/>
      <c r="GY10" s="260"/>
      <c r="GZ10" s="260"/>
      <c r="HA10" s="260"/>
      <c r="HB10" s="260"/>
      <c r="HC10" s="260"/>
      <c r="HD10" s="260"/>
      <c r="HE10" s="260"/>
      <c r="HF10" s="260"/>
      <c r="HG10" s="260"/>
      <c r="HH10" s="260"/>
      <c r="HI10" s="260"/>
      <c r="HJ10" s="260"/>
      <c r="HK10" s="260"/>
      <c r="HL10" s="260"/>
      <c r="HM10" s="260"/>
      <c r="HN10" s="260"/>
      <c r="HO10" s="260"/>
      <c r="HP10" s="260"/>
      <c r="HQ10" s="260"/>
      <c r="HR10" s="260"/>
      <c r="HS10" s="260"/>
      <c r="HT10" s="260"/>
      <c r="HU10" s="260"/>
      <c r="HV10" s="260"/>
      <c r="HW10" s="260"/>
      <c r="HX10" s="260"/>
      <c r="HY10" s="260"/>
      <c r="HZ10" s="260"/>
      <c r="IA10" s="260"/>
      <c r="IB10" s="260"/>
      <c r="IC10" s="260"/>
      <c r="ID10" s="260"/>
      <c r="IE10" s="260"/>
      <c r="IF10" s="260"/>
      <c r="IG10" s="260"/>
      <c r="IH10" s="260"/>
      <c r="II10" s="260"/>
      <c r="IJ10" s="260"/>
      <c r="IK10" s="260"/>
      <c r="IL10" s="260"/>
      <c r="IM10" s="260"/>
      <c r="IN10" s="260"/>
      <c r="IO10" s="260"/>
      <c r="IP10" s="260"/>
      <c r="IQ10" s="260"/>
      <c r="IR10" s="260"/>
      <c r="IS10" s="260"/>
      <c r="IT10" s="260"/>
      <c r="IU10" s="260"/>
      <c r="IV10" s="260"/>
      <c r="IW10" s="260"/>
      <c r="IX10" s="260"/>
      <c r="IY10" s="260"/>
      <c r="IZ10" s="260"/>
      <c r="JA10" s="260"/>
    </row>
    <row r="11" spans="1:261" ht="15.4">
      <c r="A11" s="260" t="s">
        <v>272</v>
      </c>
      <c r="B11" s="270"/>
      <c r="C11" s="269" t="s">
        <v>273</v>
      </c>
      <c r="D11" s="260"/>
      <c r="E11" s="260"/>
      <c r="F11" s="260"/>
      <c r="G11" s="260"/>
      <c r="H11" s="260"/>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6" t="s">
        <v>274</v>
      </c>
      <c r="AI11" s="260"/>
      <c r="AJ11" s="261" t="s">
        <v>275</v>
      </c>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c r="BG11" s="260"/>
      <c r="BH11" s="260"/>
      <c r="BI11" s="260"/>
      <c r="BJ11" s="260"/>
      <c r="BK11" s="260"/>
      <c r="BL11" s="260"/>
      <c r="BM11" s="260"/>
      <c r="BN11" s="260"/>
      <c r="BO11" s="260"/>
      <c r="BP11" s="260"/>
      <c r="BQ11" s="260"/>
      <c r="BR11" s="260"/>
      <c r="BS11" s="260"/>
      <c r="BT11" s="260"/>
      <c r="BU11" s="260"/>
      <c r="BV11" s="260"/>
      <c r="BW11" s="260"/>
      <c r="BX11" s="260"/>
      <c r="BY11" s="260"/>
      <c r="BZ11" s="260"/>
      <c r="CA11" s="260"/>
      <c r="CB11" s="260"/>
      <c r="CC11" s="260"/>
      <c r="CD11" s="260"/>
      <c r="CE11" s="260"/>
      <c r="CF11" s="260"/>
      <c r="CG11" s="260"/>
      <c r="CH11" s="260"/>
      <c r="CI11" s="260"/>
      <c r="CJ11" s="260"/>
      <c r="CK11" s="260"/>
      <c r="CL11" s="260"/>
      <c r="CM11" s="260"/>
      <c r="CN11" s="260"/>
      <c r="CO11" s="260"/>
      <c r="CP11" s="260"/>
      <c r="CQ11" s="260"/>
      <c r="CR11" s="260"/>
      <c r="CS11" s="260"/>
      <c r="CT11" s="260"/>
      <c r="CU11" s="260"/>
      <c r="CV11" s="260"/>
      <c r="CW11" s="260"/>
      <c r="CX11" s="260"/>
      <c r="CY11" s="260"/>
      <c r="CZ11" s="260"/>
      <c r="DA11" s="260"/>
      <c r="DB11" s="260"/>
      <c r="DC11" s="260"/>
      <c r="DD11" s="260"/>
      <c r="DE11" s="260"/>
      <c r="DF11" s="260"/>
      <c r="DG11" s="260"/>
      <c r="DH11" s="260"/>
      <c r="DI11" s="260"/>
      <c r="DJ11" s="260"/>
      <c r="DK11" s="260"/>
      <c r="DL11" s="260"/>
      <c r="DM11" s="260"/>
      <c r="DN11" s="260"/>
      <c r="DO11" s="260"/>
      <c r="DP11" s="260"/>
      <c r="DQ11" s="260"/>
      <c r="DR11" s="260"/>
      <c r="DS11" s="260"/>
      <c r="DT11" s="260"/>
      <c r="DU11" s="260"/>
      <c r="DV11" s="260"/>
      <c r="DW11" s="260"/>
      <c r="DX11" s="260"/>
      <c r="DY11" s="260"/>
      <c r="DZ11" s="260"/>
      <c r="EA11" s="260"/>
      <c r="EB11" s="260"/>
      <c r="EC11" s="260"/>
      <c r="ED11" s="260"/>
      <c r="EE11" s="260"/>
      <c r="EF11" s="260"/>
      <c r="EG11" s="260"/>
      <c r="EH11" s="260"/>
      <c r="EI11" s="260"/>
      <c r="EJ11" s="260"/>
      <c r="EK11" s="260"/>
      <c r="EL11" s="260"/>
      <c r="EM11" s="260"/>
      <c r="EN11" s="260"/>
      <c r="EO11" s="260"/>
      <c r="EP11" s="260"/>
      <c r="EQ11" s="260"/>
      <c r="ER11" s="260"/>
      <c r="ES11" s="260"/>
      <c r="ET11" s="260"/>
      <c r="EU11" s="260"/>
      <c r="EV11" s="260"/>
      <c r="EW11" s="260"/>
      <c r="EX11" s="260"/>
      <c r="EY11" s="260"/>
      <c r="EZ11" s="260"/>
      <c r="FA11" s="260"/>
      <c r="FB11" s="260"/>
      <c r="FC11" s="260"/>
      <c r="FD11" s="260"/>
      <c r="FE11" s="260"/>
      <c r="FF11" s="260"/>
      <c r="FG11" s="260"/>
      <c r="FH11" s="260"/>
      <c r="FI11" s="260"/>
      <c r="FJ11" s="260"/>
      <c r="FK11" s="260"/>
      <c r="FL11" s="260"/>
      <c r="FM11" s="260"/>
      <c r="FN11" s="260"/>
      <c r="FO11" s="260"/>
      <c r="FP11" s="260"/>
      <c r="FQ11" s="260"/>
      <c r="FR11" s="260"/>
      <c r="FS11" s="260"/>
      <c r="FT11" s="260"/>
      <c r="FU11" s="260"/>
      <c r="FV11" s="260"/>
      <c r="FW11" s="260"/>
      <c r="FX11" s="260"/>
      <c r="FY11" s="260"/>
      <c r="FZ11" s="260"/>
      <c r="GA11" s="260"/>
      <c r="GB11" s="260"/>
      <c r="GC11" s="260"/>
      <c r="GD11" s="260"/>
      <c r="GE11" s="260"/>
      <c r="GF11" s="260"/>
      <c r="GG11" s="260"/>
      <c r="GH11" s="260"/>
      <c r="GI11" s="260"/>
      <c r="GJ11" s="260"/>
      <c r="GK11" s="260"/>
      <c r="GL11" s="260"/>
      <c r="GM11" s="260"/>
      <c r="GN11" s="260"/>
      <c r="GO11" s="260"/>
      <c r="GP11" s="260"/>
      <c r="GQ11" s="260"/>
      <c r="GR11" s="260"/>
      <c r="GS11" s="260"/>
      <c r="GT11" s="260"/>
      <c r="GU11" s="260"/>
      <c r="GV11" s="260"/>
      <c r="GW11" s="260"/>
      <c r="GX11" s="260"/>
      <c r="GY11" s="260"/>
      <c r="GZ11" s="260"/>
      <c r="HA11" s="260"/>
      <c r="HB11" s="260"/>
      <c r="HC11" s="260"/>
      <c r="HD11" s="260"/>
      <c r="HE11" s="260"/>
      <c r="HF11" s="260"/>
      <c r="HG11" s="260"/>
      <c r="HH11" s="260"/>
      <c r="HI11" s="260"/>
      <c r="HJ11" s="260"/>
      <c r="HK11" s="260"/>
      <c r="HL11" s="260"/>
      <c r="HM11" s="260"/>
      <c r="HN11" s="260"/>
      <c r="HO11" s="260"/>
      <c r="HP11" s="260"/>
      <c r="HQ11" s="260"/>
      <c r="HR11" s="260"/>
      <c r="HS11" s="260"/>
      <c r="HT11" s="260"/>
      <c r="HU11" s="260"/>
      <c r="HV11" s="260"/>
      <c r="HW11" s="260"/>
      <c r="HX11" s="260"/>
      <c r="HY11" s="260"/>
      <c r="HZ11" s="260"/>
      <c r="IA11" s="260"/>
      <c r="IB11" s="260"/>
      <c r="IC11" s="260"/>
      <c r="ID11" s="260"/>
      <c r="IE11" s="260"/>
      <c r="IF11" s="260"/>
      <c r="IG11" s="260"/>
      <c r="IH11" s="260"/>
      <c r="II11" s="260"/>
      <c r="IJ11" s="260"/>
      <c r="IK11" s="260"/>
      <c r="IL11" s="260"/>
      <c r="IM11" s="260"/>
      <c r="IN11" s="260"/>
      <c r="IO11" s="260"/>
      <c r="IP11" s="260"/>
      <c r="IQ11" s="260"/>
      <c r="IR11" s="260"/>
      <c r="IS11" s="260"/>
      <c r="IT11" s="260"/>
      <c r="IU11" s="260"/>
      <c r="IV11" s="260"/>
      <c r="IW11" s="260"/>
      <c r="IX11" s="260"/>
      <c r="IY11" s="260"/>
      <c r="IZ11" s="260"/>
      <c r="JA11" s="260"/>
    </row>
    <row r="12" spans="1:261" ht="15.4">
      <c r="A12" s="260"/>
      <c r="B12" s="270"/>
      <c r="C12" s="272"/>
      <c r="D12" s="260"/>
      <c r="E12" s="260"/>
      <c r="F12" s="260"/>
      <c r="G12" s="260"/>
      <c r="H12" s="260"/>
      <c r="I12" s="260"/>
      <c r="J12" s="260"/>
      <c r="K12" s="260"/>
      <c r="L12" s="260"/>
      <c r="M12" s="260"/>
      <c r="N12" s="260"/>
      <c r="O12" s="260"/>
      <c r="P12" s="260"/>
      <c r="Q12" s="260"/>
      <c r="R12" s="260"/>
      <c r="S12" s="260"/>
      <c r="T12" s="260"/>
      <c r="U12" s="260"/>
      <c r="V12" s="260"/>
      <c r="W12" s="260"/>
      <c r="X12" s="260"/>
      <c r="Y12" s="260"/>
      <c r="Z12" s="260"/>
      <c r="AA12" s="260"/>
      <c r="AB12" s="260"/>
      <c r="AC12" s="273"/>
      <c r="AD12" s="273"/>
      <c r="AE12" s="273"/>
      <c r="AF12" s="273"/>
      <c r="AG12" s="273"/>
      <c r="AH12" s="263" t="s">
        <v>276</v>
      </c>
      <c r="AI12" s="273"/>
      <c r="AJ12" s="261" t="s">
        <v>277</v>
      </c>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c r="BM12" s="273"/>
      <c r="BN12" s="273"/>
      <c r="BO12" s="273"/>
      <c r="BP12" s="273"/>
      <c r="BQ12" s="273"/>
      <c r="BR12" s="273"/>
      <c r="BS12" s="273"/>
      <c r="BT12" s="273"/>
      <c r="BU12" s="273"/>
      <c r="BV12" s="273"/>
      <c r="BW12" s="273"/>
      <c r="BX12" s="273"/>
      <c r="BY12" s="273"/>
      <c r="BZ12" s="273"/>
      <c r="CA12" s="273"/>
      <c r="CB12" s="273"/>
      <c r="CC12" s="273"/>
      <c r="CD12" s="273"/>
      <c r="CE12" s="273"/>
      <c r="CF12" s="273"/>
      <c r="CG12" s="273"/>
      <c r="CH12" s="273"/>
      <c r="CI12" s="273"/>
      <c r="CJ12" s="273"/>
      <c r="CK12" s="273"/>
      <c r="CL12" s="273"/>
      <c r="CM12" s="273"/>
      <c r="CN12" s="273"/>
      <c r="CO12" s="273"/>
      <c r="CP12" s="273"/>
      <c r="CQ12" s="273"/>
      <c r="CR12" s="273"/>
      <c r="CS12" s="273"/>
      <c r="CT12" s="273"/>
      <c r="CU12" s="273"/>
      <c r="CV12" s="273"/>
      <c r="CW12" s="273"/>
      <c r="CX12" s="273"/>
      <c r="CY12" s="273"/>
      <c r="CZ12" s="273"/>
      <c r="DA12" s="273"/>
      <c r="DB12" s="273"/>
      <c r="DC12" s="273"/>
      <c r="DD12" s="273"/>
      <c r="DE12" s="273"/>
      <c r="DF12" s="273"/>
      <c r="DG12" s="273"/>
      <c r="DH12" s="273"/>
      <c r="DI12" s="273"/>
      <c r="DJ12" s="273"/>
      <c r="DK12" s="273"/>
      <c r="DL12" s="273"/>
      <c r="DM12" s="273"/>
      <c r="DN12" s="273"/>
      <c r="DO12" s="273"/>
      <c r="DP12" s="273"/>
      <c r="DQ12" s="273"/>
      <c r="DR12" s="273"/>
      <c r="DS12" s="273"/>
      <c r="DT12" s="273"/>
      <c r="DU12" s="273"/>
      <c r="DV12" s="273"/>
      <c r="DW12" s="273"/>
      <c r="DX12" s="273"/>
      <c r="DY12" s="273"/>
      <c r="DZ12" s="273"/>
      <c r="EA12" s="273"/>
      <c r="EB12" s="273"/>
      <c r="EC12" s="273"/>
      <c r="ED12" s="273"/>
      <c r="EE12" s="273"/>
      <c r="EF12" s="273"/>
      <c r="EG12" s="273"/>
      <c r="EH12" s="273"/>
      <c r="EI12" s="273"/>
      <c r="EJ12" s="273"/>
      <c r="EK12" s="273"/>
      <c r="EL12" s="273"/>
      <c r="EM12" s="273"/>
      <c r="EN12" s="273"/>
      <c r="EO12" s="273"/>
      <c r="EP12" s="273"/>
      <c r="EQ12" s="273"/>
      <c r="ER12" s="273"/>
      <c r="ES12" s="273"/>
      <c r="ET12" s="273"/>
      <c r="EU12" s="273"/>
      <c r="EV12" s="273"/>
      <c r="EW12" s="273"/>
      <c r="EX12" s="273"/>
      <c r="EY12" s="273"/>
      <c r="EZ12" s="273"/>
      <c r="FA12" s="273"/>
      <c r="FB12" s="273"/>
      <c r="FC12" s="273"/>
      <c r="FD12" s="273"/>
      <c r="FE12" s="273"/>
      <c r="FF12" s="273"/>
      <c r="FG12" s="273"/>
      <c r="FH12" s="273"/>
      <c r="FI12" s="273"/>
      <c r="FJ12" s="273"/>
      <c r="FK12" s="273"/>
      <c r="FL12" s="273"/>
      <c r="FM12" s="273"/>
      <c r="FN12" s="273"/>
      <c r="FO12" s="273"/>
      <c r="FP12" s="273"/>
      <c r="FQ12" s="273"/>
      <c r="FR12" s="273"/>
      <c r="FS12" s="273"/>
      <c r="FT12" s="273"/>
      <c r="FU12" s="273"/>
      <c r="FV12" s="273"/>
      <c r="FW12" s="273"/>
      <c r="FX12" s="273"/>
      <c r="FY12" s="273"/>
      <c r="FZ12" s="273"/>
      <c r="GA12" s="273"/>
      <c r="GB12" s="273"/>
      <c r="GC12" s="273"/>
      <c r="GD12" s="273"/>
      <c r="GE12" s="273"/>
      <c r="GF12" s="273"/>
      <c r="GG12" s="273"/>
      <c r="GH12" s="273"/>
      <c r="GI12" s="273"/>
      <c r="GJ12" s="273"/>
      <c r="GK12" s="273"/>
      <c r="GL12" s="273"/>
      <c r="GM12" s="273"/>
      <c r="GN12" s="273"/>
      <c r="GO12" s="273"/>
      <c r="GP12" s="273"/>
      <c r="GQ12" s="273"/>
      <c r="GR12" s="273"/>
      <c r="GS12" s="273"/>
      <c r="GT12" s="273"/>
      <c r="GU12" s="273"/>
      <c r="GV12" s="273"/>
      <c r="GW12" s="273"/>
      <c r="GX12" s="273"/>
      <c r="GY12" s="273"/>
      <c r="GZ12" s="273"/>
      <c r="HA12" s="273"/>
      <c r="HB12" s="273"/>
      <c r="HC12" s="273"/>
      <c r="HD12" s="273"/>
      <c r="HE12" s="273"/>
      <c r="HF12" s="273"/>
      <c r="HG12" s="273"/>
      <c r="HH12" s="273"/>
      <c r="HI12" s="273"/>
      <c r="HJ12" s="273"/>
      <c r="HK12" s="273"/>
      <c r="HL12" s="273"/>
      <c r="HM12" s="273"/>
      <c r="HN12" s="273"/>
      <c r="HO12" s="273"/>
      <c r="HP12" s="273"/>
      <c r="HQ12" s="273"/>
      <c r="HR12" s="273"/>
      <c r="HS12" s="273"/>
      <c r="HT12" s="273"/>
      <c r="HU12" s="273"/>
      <c r="HV12" s="273"/>
      <c r="HW12" s="273"/>
      <c r="HX12" s="273"/>
      <c r="HY12" s="273"/>
      <c r="HZ12" s="273"/>
      <c r="IA12" s="273"/>
      <c r="IB12" s="273"/>
      <c r="IC12" s="273"/>
      <c r="ID12" s="273"/>
      <c r="IE12" s="273"/>
      <c r="IF12" s="273"/>
      <c r="IG12" s="273"/>
      <c r="IH12" s="273"/>
      <c r="II12" s="273"/>
      <c r="IJ12" s="273"/>
      <c r="IK12" s="273"/>
      <c r="IL12" s="273"/>
      <c r="IM12" s="273"/>
      <c r="IN12" s="273"/>
      <c r="IO12" s="273"/>
      <c r="IP12" s="273"/>
      <c r="IQ12" s="273"/>
      <c r="IR12" s="273"/>
      <c r="IS12" s="273"/>
      <c r="IT12" s="273"/>
      <c r="IU12" s="273"/>
      <c r="IV12" s="273"/>
      <c r="IW12" s="273"/>
      <c r="IX12" s="273"/>
      <c r="IY12" s="273"/>
      <c r="IZ12" s="273"/>
      <c r="JA12" s="273"/>
    </row>
    <row r="13" spans="1:261" ht="15.4">
      <c r="A13" s="260" t="s">
        <v>278</v>
      </c>
      <c r="B13" s="270" t="s">
        <v>279</v>
      </c>
      <c r="C13" s="274">
        <v>110</v>
      </c>
      <c r="D13" s="271" t="e">
        <f ca="1">_xll.BLUEMATRIX2("/servlet/excelData",C13, $C$14,$B13)</f>
        <v>#NAME?</v>
      </c>
      <c r="E13" s="260"/>
      <c r="F13" s="260"/>
      <c r="G13" s="260"/>
      <c r="H13" s="260"/>
      <c r="I13" s="260"/>
      <c r="J13" s="260"/>
      <c r="K13" s="260"/>
      <c r="L13" s="260"/>
      <c r="M13" s="260"/>
      <c r="N13" s="260"/>
      <c r="O13" s="260"/>
      <c r="P13" s="260"/>
      <c r="Q13" s="260"/>
      <c r="R13" s="260"/>
      <c r="S13" s="260"/>
      <c r="T13" s="260"/>
      <c r="U13" s="260"/>
      <c r="V13" s="260"/>
      <c r="W13" s="260"/>
      <c r="X13" s="260"/>
      <c r="Y13" s="260"/>
      <c r="Z13" s="260"/>
      <c r="AA13" s="260"/>
      <c r="AB13" s="260"/>
      <c r="AC13" s="273"/>
      <c r="AD13" s="273"/>
      <c r="AE13" s="273"/>
      <c r="AF13" s="273"/>
      <c r="AG13" s="273"/>
      <c r="AH13" s="273"/>
      <c r="AI13" s="273"/>
      <c r="AJ13" s="261" t="s">
        <v>280</v>
      </c>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c r="BK13" s="273"/>
      <c r="BL13" s="273"/>
      <c r="BM13" s="273"/>
      <c r="BN13" s="273"/>
      <c r="BO13" s="273"/>
      <c r="BP13" s="273"/>
      <c r="BQ13" s="273"/>
      <c r="BR13" s="273"/>
      <c r="BS13" s="273"/>
      <c r="BT13" s="273"/>
      <c r="BU13" s="273"/>
      <c r="BV13" s="273"/>
      <c r="BW13" s="273"/>
      <c r="BX13" s="273"/>
      <c r="BY13" s="273"/>
      <c r="BZ13" s="273"/>
      <c r="CA13" s="273"/>
      <c r="CB13" s="273"/>
      <c r="CC13" s="273"/>
      <c r="CD13" s="273"/>
      <c r="CE13" s="273"/>
      <c r="CF13" s="273"/>
      <c r="CG13" s="273"/>
      <c r="CH13" s="273"/>
      <c r="CI13" s="273"/>
      <c r="CJ13" s="273"/>
      <c r="CK13" s="273"/>
      <c r="CL13" s="273"/>
      <c r="CM13" s="273"/>
      <c r="CN13" s="273"/>
      <c r="CO13" s="273"/>
      <c r="CP13" s="273"/>
      <c r="CQ13" s="273"/>
      <c r="CR13" s="273"/>
      <c r="CS13" s="273"/>
      <c r="CT13" s="273"/>
      <c r="CU13" s="273"/>
      <c r="CV13" s="273"/>
      <c r="CW13" s="273"/>
      <c r="CX13" s="273"/>
      <c r="CY13" s="273"/>
      <c r="CZ13" s="273"/>
      <c r="DA13" s="273"/>
      <c r="DB13" s="273"/>
      <c r="DC13" s="273"/>
      <c r="DD13" s="273"/>
      <c r="DE13" s="273"/>
      <c r="DF13" s="273"/>
      <c r="DG13" s="273"/>
      <c r="DH13" s="273"/>
      <c r="DI13" s="273"/>
      <c r="DJ13" s="273"/>
      <c r="DK13" s="273"/>
      <c r="DL13" s="273"/>
      <c r="DM13" s="273"/>
      <c r="DN13" s="273"/>
      <c r="DO13" s="273"/>
      <c r="DP13" s="273"/>
      <c r="DQ13" s="273"/>
      <c r="DR13" s="273"/>
      <c r="DS13" s="273"/>
      <c r="DT13" s="273"/>
      <c r="DU13" s="273"/>
      <c r="DV13" s="273"/>
      <c r="DW13" s="273"/>
      <c r="DX13" s="273"/>
      <c r="DY13" s="273"/>
      <c r="DZ13" s="273"/>
      <c r="EA13" s="273"/>
      <c r="EB13" s="273"/>
      <c r="EC13" s="273"/>
      <c r="ED13" s="273"/>
      <c r="EE13" s="273"/>
      <c r="EF13" s="273"/>
      <c r="EG13" s="273"/>
      <c r="EH13" s="273"/>
      <c r="EI13" s="273"/>
      <c r="EJ13" s="273"/>
      <c r="EK13" s="273"/>
      <c r="EL13" s="273"/>
      <c r="EM13" s="273"/>
      <c r="EN13" s="273"/>
      <c r="EO13" s="273"/>
      <c r="EP13" s="273"/>
      <c r="EQ13" s="273"/>
      <c r="ER13" s="273"/>
      <c r="ES13" s="273"/>
      <c r="ET13" s="273"/>
      <c r="EU13" s="273"/>
      <c r="EV13" s="273"/>
      <c r="EW13" s="273"/>
      <c r="EX13" s="273"/>
      <c r="EY13" s="273"/>
      <c r="EZ13" s="273"/>
      <c r="FA13" s="273"/>
      <c r="FB13" s="273"/>
      <c r="FC13" s="273"/>
      <c r="FD13" s="273"/>
      <c r="FE13" s="273"/>
      <c r="FF13" s="273"/>
      <c r="FG13" s="273"/>
      <c r="FH13" s="273"/>
      <c r="FI13" s="273"/>
      <c r="FJ13" s="273"/>
      <c r="FK13" s="273"/>
      <c r="FL13" s="273"/>
      <c r="FM13" s="273"/>
      <c r="FN13" s="273"/>
      <c r="FO13" s="273"/>
      <c r="FP13" s="273"/>
      <c r="FQ13" s="273"/>
      <c r="FR13" s="273"/>
      <c r="FS13" s="273"/>
      <c r="FT13" s="273"/>
      <c r="FU13" s="273"/>
      <c r="FV13" s="273"/>
      <c r="FW13" s="273"/>
      <c r="FX13" s="273"/>
      <c r="FY13" s="273"/>
      <c r="FZ13" s="273"/>
      <c r="GA13" s="273"/>
      <c r="GB13" s="273"/>
      <c r="GC13" s="273"/>
      <c r="GD13" s="273"/>
      <c r="GE13" s="273"/>
      <c r="GF13" s="273"/>
      <c r="GG13" s="273"/>
      <c r="GH13" s="273"/>
      <c r="GI13" s="273"/>
      <c r="GJ13" s="273"/>
      <c r="GK13" s="273"/>
      <c r="GL13" s="273"/>
      <c r="GM13" s="273"/>
      <c r="GN13" s="273"/>
      <c r="GO13" s="273"/>
      <c r="GP13" s="273"/>
      <c r="GQ13" s="273"/>
      <c r="GR13" s="273"/>
      <c r="GS13" s="273"/>
      <c r="GT13" s="273"/>
      <c r="GU13" s="273"/>
      <c r="GV13" s="273"/>
      <c r="GW13" s="273"/>
      <c r="GX13" s="273"/>
      <c r="GY13" s="273"/>
      <c r="GZ13" s="273"/>
      <c r="HA13" s="273"/>
      <c r="HB13" s="273"/>
      <c r="HC13" s="273"/>
      <c r="HD13" s="273"/>
      <c r="HE13" s="273"/>
      <c r="HF13" s="273"/>
      <c r="HG13" s="273"/>
      <c r="HH13" s="273"/>
      <c r="HI13" s="273"/>
      <c r="HJ13" s="273"/>
      <c r="HK13" s="273"/>
      <c r="HL13" s="273"/>
      <c r="HM13" s="273"/>
      <c r="HN13" s="273"/>
      <c r="HO13" s="273"/>
      <c r="HP13" s="273"/>
      <c r="HQ13" s="273"/>
      <c r="HR13" s="273"/>
      <c r="HS13" s="273"/>
      <c r="HT13" s="273"/>
      <c r="HU13" s="273"/>
      <c r="HV13" s="273"/>
      <c r="HW13" s="273"/>
      <c r="HX13" s="273"/>
      <c r="HY13" s="273"/>
      <c r="HZ13" s="273"/>
      <c r="IA13" s="273"/>
      <c r="IB13" s="273"/>
      <c r="IC13" s="273"/>
      <c r="ID13" s="273"/>
      <c r="IE13" s="273"/>
      <c r="IF13" s="273"/>
      <c r="IG13" s="273"/>
      <c r="IH13" s="273"/>
      <c r="II13" s="273"/>
      <c r="IJ13" s="273"/>
      <c r="IK13" s="273"/>
      <c r="IL13" s="273"/>
      <c r="IM13" s="273"/>
      <c r="IN13" s="273"/>
      <c r="IO13" s="273"/>
      <c r="IP13" s="273"/>
      <c r="IQ13" s="273"/>
      <c r="IR13" s="273"/>
      <c r="IS13" s="273"/>
      <c r="IT13" s="273"/>
      <c r="IU13" s="273"/>
      <c r="IV13" s="273"/>
      <c r="IW13" s="273"/>
      <c r="IX13" s="273"/>
      <c r="IY13" s="273"/>
      <c r="IZ13" s="273"/>
      <c r="JA13" s="273"/>
    </row>
    <row r="14" spans="1:261" ht="15.4">
      <c r="A14" s="260" t="s">
        <v>281</v>
      </c>
      <c r="B14" s="275"/>
      <c r="C14" s="276" t="s">
        <v>282</v>
      </c>
      <c r="D14" s="260"/>
      <c r="E14" s="260"/>
      <c r="F14" s="260"/>
      <c r="G14" s="260"/>
      <c r="H14" s="260"/>
      <c r="I14" s="260"/>
      <c r="J14" s="260"/>
      <c r="K14" s="260"/>
      <c r="L14" s="260"/>
      <c r="M14" s="260"/>
      <c r="N14" s="260"/>
      <c r="O14" s="260"/>
      <c r="P14" s="260"/>
      <c r="Q14" s="260"/>
      <c r="R14" s="260"/>
      <c r="S14" s="260"/>
      <c r="T14" s="260"/>
      <c r="U14" s="260"/>
      <c r="V14" s="260"/>
      <c r="W14" s="260"/>
      <c r="X14" s="260"/>
      <c r="Y14" s="260"/>
      <c r="Z14" s="260"/>
      <c r="AA14" s="260"/>
      <c r="AB14" s="260"/>
      <c r="AC14" s="277"/>
      <c r="AD14" s="277"/>
      <c r="AE14" s="278"/>
      <c r="AF14" s="278"/>
      <c r="AG14" s="277" t="s">
        <v>283</v>
      </c>
      <c r="AH14" s="277" t="s">
        <v>284</v>
      </c>
      <c r="AI14" s="277" t="s">
        <v>283</v>
      </c>
      <c r="AJ14" s="261" t="s">
        <v>285</v>
      </c>
      <c r="AK14" s="278"/>
      <c r="AL14" s="278"/>
      <c r="AM14" s="278"/>
      <c r="AN14" s="278"/>
      <c r="AO14" s="278"/>
      <c r="AP14" s="278"/>
      <c r="AQ14" s="278"/>
      <c r="AR14" s="278"/>
      <c r="AS14" s="278"/>
      <c r="AT14" s="278"/>
      <c r="AU14" s="278"/>
      <c r="AV14" s="278"/>
      <c r="AW14" s="278"/>
      <c r="AX14" s="278"/>
      <c r="AY14" s="278"/>
      <c r="AZ14" s="278"/>
      <c r="BA14" s="278"/>
      <c r="BB14" s="278"/>
      <c r="BC14" s="278"/>
      <c r="BD14" s="278"/>
      <c r="BE14" s="278"/>
      <c r="BF14" s="278"/>
      <c r="BG14" s="278"/>
      <c r="BH14" s="278"/>
      <c r="BI14" s="278"/>
      <c r="BJ14" s="278"/>
      <c r="BK14" s="278"/>
      <c r="BL14" s="278"/>
      <c r="BM14" s="278"/>
      <c r="BN14" s="278"/>
      <c r="BO14" s="278"/>
      <c r="BP14" s="278"/>
      <c r="BQ14" s="278"/>
      <c r="BR14" s="278"/>
      <c r="BS14" s="278"/>
      <c r="BT14" s="278"/>
      <c r="BU14" s="278"/>
      <c r="BV14" s="278"/>
      <c r="BW14" s="278"/>
      <c r="BX14" s="278"/>
      <c r="BY14" s="278"/>
      <c r="BZ14" s="278"/>
      <c r="CA14" s="278"/>
      <c r="CB14" s="278"/>
      <c r="CC14" s="278"/>
      <c r="CD14" s="278"/>
      <c r="CE14" s="278"/>
      <c r="CF14" s="278"/>
      <c r="CG14" s="278"/>
      <c r="CH14" s="278"/>
      <c r="CI14" s="278"/>
      <c r="CJ14" s="278"/>
      <c r="CK14" s="278"/>
      <c r="CL14" s="278"/>
      <c r="CM14" s="278"/>
      <c r="CN14" s="278"/>
      <c r="CO14" s="278"/>
      <c r="CP14" s="278"/>
      <c r="CQ14" s="278"/>
      <c r="CR14" s="278"/>
      <c r="CS14" s="278"/>
      <c r="CT14" s="278"/>
      <c r="CU14" s="278"/>
      <c r="CV14" s="278"/>
      <c r="CW14" s="278"/>
      <c r="CX14" s="278"/>
      <c r="CY14" s="278"/>
      <c r="CZ14" s="278"/>
      <c r="DA14" s="278"/>
      <c r="DB14" s="278"/>
      <c r="DC14" s="278"/>
      <c r="DD14" s="278"/>
      <c r="DE14" s="278"/>
      <c r="DF14" s="278"/>
      <c r="DG14" s="278"/>
      <c r="DH14" s="278"/>
      <c r="DI14" s="278"/>
      <c r="DJ14" s="278"/>
      <c r="DK14" s="278"/>
      <c r="DL14" s="278"/>
      <c r="DM14" s="278"/>
      <c r="DN14" s="278"/>
      <c r="DO14" s="278"/>
      <c r="DP14" s="278"/>
      <c r="DQ14" s="278"/>
      <c r="DR14" s="278"/>
      <c r="DS14" s="278"/>
      <c r="DT14" s="278"/>
      <c r="DU14" s="278"/>
      <c r="DV14" s="278"/>
      <c r="DW14" s="278"/>
      <c r="DX14" s="278"/>
      <c r="DY14" s="278"/>
      <c r="DZ14" s="278"/>
      <c r="EA14" s="278"/>
      <c r="EB14" s="278"/>
      <c r="EC14" s="278"/>
      <c r="ED14" s="278"/>
      <c r="EE14" s="278"/>
      <c r="EF14" s="278"/>
      <c r="EG14" s="278"/>
      <c r="EH14" s="278"/>
      <c r="EI14" s="278"/>
      <c r="EJ14" s="278"/>
      <c r="EK14" s="278"/>
      <c r="EL14" s="278"/>
      <c r="EM14" s="278"/>
      <c r="EN14" s="278"/>
      <c r="EO14" s="278"/>
      <c r="EP14" s="278"/>
      <c r="EQ14" s="278"/>
      <c r="ER14" s="278"/>
      <c r="ES14" s="278"/>
      <c r="ET14" s="278"/>
      <c r="EU14" s="278"/>
      <c r="EV14" s="278"/>
      <c r="EW14" s="278"/>
      <c r="EX14" s="278"/>
      <c r="EY14" s="278"/>
      <c r="EZ14" s="278"/>
      <c r="FA14" s="278"/>
      <c r="FB14" s="278"/>
      <c r="FC14" s="278"/>
      <c r="FD14" s="278"/>
      <c r="FE14" s="278"/>
      <c r="FF14" s="278"/>
      <c r="FG14" s="278"/>
      <c r="FH14" s="278"/>
      <c r="FI14" s="278"/>
      <c r="FJ14" s="278"/>
      <c r="FK14" s="278"/>
      <c r="FL14" s="278"/>
      <c r="FM14" s="278"/>
      <c r="FN14" s="278"/>
      <c r="FO14" s="278"/>
      <c r="FP14" s="278"/>
      <c r="FQ14" s="278"/>
      <c r="FR14" s="278"/>
      <c r="FS14" s="278"/>
      <c r="FT14" s="278"/>
      <c r="FU14" s="278"/>
      <c r="FV14" s="278"/>
      <c r="FW14" s="278"/>
      <c r="FX14" s="278"/>
      <c r="FY14" s="278"/>
      <c r="FZ14" s="278"/>
      <c r="GA14" s="278"/>
      <c r="GB14" s="278"/>
      <c r="GC14" s="278"/>
      <c r="GD14" s="278"/>
      <c r="GE14" s="278"/>
      <c r="GF14" s="278"/>
      <c r="GG14" s="278"/>
      <c r="GH14" s="278"/>
      <c r="GI14" s="278"/>
      <c r="GJ14" s="278"/>
      <c r="GK14" s="278"/>
      <c r="GL14" s="278"/>
      <c r="GM14" s="278"/>
      <c r="GN14" s="278"/>
      <c r="GO14" s="278"/>
      <c r="GP14" s="278"/>
      <c r="GQ14" s="278"/>
      <c r="GR14" s="278"/>
      <c r="GS14" s="278"/>
      <c r="GT14" s="278"/>
      <c r="GU14" s="278"/>
      <c r="GV14" s="278"/>
      <c r="GW14" s="278"/>
      <c r="GX14" s="278"/>
      <c r="GY14" s="278"/>
      <c r="GZ14" s="278"/>
      <c r="HA14" s="278"/>
      <c r="HB14" s="278"/>
      <c r="HC14" s="278"/>
      <c r="HD14" s="278"/>
      <c r="HE14" s="278"/>
      <c r="HF14" s="278"/>
      <c r="HG14" s="278"/>
      <c r="HH14" s="278"/>
      <c r="HI14" s="278"/>
      <c r="HJ14" s="278"/>
      <c r="HK14" s="278"/>
      <c r="HL14" s="278"/>
      <c r="HM14" s="278"/>
      <c r="HN14" s="278"/>
      <c r="HO14" s="278"/>
      <c r="HP14" s="278"/>
      <c r="HQ14" s="278"/>
      <c r="HR14" s="278"/>
      <c r="HS14" s="278"/>
      <c r="HT14" s="278"/>
      <c r="HU14" s="278"/>
      <c r="HV14" s="278"/>
      <c r="HW14" s="278"/>
      <c r="HX14" s="278"/>
      <c r="HY14" s="278"/>
      <c r="HZ14" s="278"/>
      <c r="IA14" s="278"/>
      <c r="IB14" s="278"/>
      <c r="IC14" s="278"/>
      <c r="ID14" s="278"/>
      <c r="IE14" s="278"/>
      <c r="IF14" s="278"/>
      <c r="IG14" s="278"/>
      <c r="IH14" s="278"/>
      <c r="II14" s="278"/>
      <c r="IJ14" s="278"/>
      <c r="IK14" s="278"/>
      <c r="IL14" s="278"/>
      <c r="IM14" s="278"/>
      <c r="IN14" s="278"/>
      <c r="IO14" s="278"/>
      <c r="IP14" s="278"/>
      <c r="IQ14" s="278"/>
      <c r="IR14" s="278"/>
      <c r="IS14" s="278"/>
      <c r="IT14" s="278"/>
      <c r="IU14" s="278"/>
      <c r="IV14" s="278"/>
      <c r="IW14" s="278"/>
      <c r="IX14" s="278"/>
      <c r="IY14" s="278"/>
      <c r="IZ14" s="278"/>
      <c r="JA14" s="278"/>
    </row>
    <row r="15" spans="1:261" ht="15.4">
      <c r="A15" s="278"/>
      <c r="B15" s="279"/>
      <c r="C15" s="280"/>
      <c r="D15" s="260"/>
      <c r="E15" s="260"/>
      <c r="F15" s="260"/>
      <c r="G15" s="260"/>
      <c r="H15" s="260"/>
      <c r="I15" s="260"/>
      <c r="J15" s="260"/>
      <c r="K15" s="260"/>
      <c r="L15" s="260"/>
      <c r="M15" s="260"/>
      <c r="N15" s="260"/>
      <c r="O15" s="260"/>
      <c r="P15" s="260"/>
      <c r="Q15" s="260"/>
      <c r="R15" s="260"/>
      <c r="S15" s="260"/>
      <c r="T15" s="260"/>
      <c r="U15" s="260"/>
      <c r="V15" s="260"/>
      <c r="W15" s="260"/>
      <c r="X15" s="260"/>
      <c r="Y15" s="260"/>
      <c r="Z15" s="260"/>
      <c r="AA15" s="260"/>
      <c r="AB15" s="260"/>
      <c r="AC15" s="273"/>
      <c r="AD15" s="273"/>
      <c r="AE15" s="273"/>
      <c r="AF15" s="273"/>
      <c r="AG15" s="277"/>
      <c r="AH15" s="277" t="s">
        <v>283</v>
      </c>
      <c r="AI15" s="277" t="s">
        <v>284</v>
      </c>
      <c r="AJ15" s="261" t="s">
        <v>286</v>
      </c>
      <c r="AK15" s="273"/>
      <c r="AL15" s="273"/>
      <c r="AM15" s="273"/>
      <c r="AN15" s="273"/>
      <c r="AO15" s="273"/>
      <c r="AP15" s="273"/>
      <c r="AQ15" s="273"/>
      <c r="AR15" s="273"/>
      <c r="AS15" s="273"/>
      <c r="AT15" s="273"/>
      <c r="AU15" s="273"/>
      <c r="AV15" s="273"/>
      <c r="AW15" s="273"/>
      <c r="AX15" s="273"/>
      <c r="AY15" s="273"/>
      <c r="AZ15" s="273"/>
      <c r="BA15" s="273"/>
      <c r="BB15" s="273"/>
      <c r="BC15" s="273"/>
      <c r="BD15" s="273"/>
      <c r="BE15" s="273"/>
      <c r="BF15" s="273"/>
      <c r="BG15" s="273"/>
      <c r="BH15" s="273"/>
      <c r="BI15" s="273"/>
      <c r="BJ15" s="273"/>
      <c r="BK15" s="273"/>
      <c r="BL15" s="273"/>
      <c r="BM15" s="273"/>
      <c r="BN15" s="273"/>
      <c r="BO15" s="273"/>
      <c r="BP15" s="273"/>
      <c r="BQ15" s="273"/>
      <c r="BR15" s="273"/>
      <c r="BS15" s="273"/>
      <c r="BT15" s="273"/>
      <c r="BU15" s="273"/>
      <c r="BV15" s="273"/>
      <c r="BW15" s="273"/>
      <c r="BX15" s="273"/>
      <c r="BY15" s="273"/>
      <c r="BZ15" s="273"/>
      <c r="CA15" s="273"/>
      <c r="CB15" s="273"/>
      <c r="CC15" s="273"/>
      <c r="CD15" s="273"/>
      <c r="CE15" s="273"/>
      <c r="CF15" s="273"/>
      <c r="CG15" s="273"/>
      <c r="CH15" s="273"/>
      <c r="CI15" s="273"/>
      <c r="CJ15" s="273"/>
      <c r="CK15" s="273"/>
      <c r="CL15" s="273"/>
      <c r="CM15" s="273"/>
      <c r="CN15" s="273"/>
      <c r="CO15" s="273"/>
      <c r="CP15" s="273"/>
      <c r="CQ15" s="273"/>
      <c r="CR15" s="273"/>
      <c r="CS15" s="273"/>
      <c r="CT15" s="273"/>
      <c r="CU15" s="273"/>
      <c r="CV15" s="273"/>
      <c r="CW15" s="273"/>
      <c r="CX15" s="273"/>
      <c r="CY15" s="273"/>
      <c r="CZ15" s="273"/>
      <c r="DA15" s="273"/>
      <c r="DB15" s="273"/>
      <c r="DC15" s="273"/>
      <c r="DD15" s="273"/>
      <c r="DE15" s="273"/>
      <c r="DF15" s="273"/>
      <c r="DG15" s="273"/>
      <c r="DH15" s="273"/>
      <c r="DI15" s="273"/>
      <c r="DJ15" s="273"/>
      <c r="DK15" s="273"/>
      <c r="DL15" s="273"/>
      <c r="DM15" s="273"/>
      <c r="DN15" s="273"/>
      <c r="DO15" s="273"/>
      <c r="DP15" s="273"/>
      <c r="DQ15" s="273"/>
      <c r="DR15" s="273"/>
      <c r="DS15" s="273"/>
      <c r="DT15" s="273"/>
      <c r="DU15" s="273"/>
      <c r="DV15" s="273"/>
      <c r="DW15" s="273"/>
      <c r="DX15" s="273"/>
      <c r="DY15" s="273"/>
      <c r="DZ15" s="273"/>
      <c r="EA15" s="273"/>
      <c r="EB15" s="273"/>
      <c r="EC15" s="273"/>
      <c r="ED15" s="273"/>
      <c r="EE15" s="273"/>
      <c r="EF15" s="273"/>
      <c r="EG15" s="273"/>
      <c r="EH15" s="273"/>
      <c r="EI15" s="273"/>
      <c r="EJ15" s="273"/>
      <c r="EK15" s="273"/>
      <c r="EL15" s="273"/>
      <c r="EM15" s="273"/>
      <c r="EN15" s="273"/>
      <c r="EO15" s="273"/>
      <c r="EP15" s="273"/>
      <c r="EQ15" s="273"/>
      <c r="ER15" s="273"/>
      <c r="ES15" s="273"/>
      <c r="ET15" s="273"/>
      <c r="EU15" s="273"/>
      <c r="EV15" s="273"/>
      <c r="EW15" s="273"/>
      <c r="EX15" s="273"/>
      <c r="EY15" s="273"/>
      <c r="EZ15" s="273"/>
      <c r="FA15" s="273"/>
      <c r="FB15" s="273"/>
      <c r="FC15" s="273"/>
      <c r="FD15" s="273"/>
      <c r="FE15" s="273"/>
      <c r="FF15" s="273"/>
      <c r="FG15" s="273"/>
      <c r="FH15" s="273"/>
      <c r="FI15" s="273"/>
      <c r="FJ15" s="273"/>
      <c r="FK15" s="273"/>
      <c r="FL15" s="273"/>
      <c r="FM15" s="273"/>
      <c r="FN15" s="273"/>
      <c r="FO15" s="273"/>
      <c r="FP15" s="273"/>
      <c r="FQ15" s="273"/>
      <c r="FR15" s="273"/>
      <c r="FS15" s="273"/>
      <c r="FT15" s="273"/>
      <c r="FU15" s="273"/>
      <c r="FV15" s="273"/>
      <c r="FW15" s="273"/>
      <c r="FX15" s="273"/>
      <c r="FY15" s="273"/>
      <c r="FZ15" s="273"/>
      <c r="GA15" s="273"/>
      <c r="GB15" s="273"/>
      <c r="GC15" s="273"/>
      <c r="GD15" s="273"/>
      <c r="GE15" s="273"/>
      <c r="GF15" s="273"/>
      <c r="GG15" s="273"/>
      <c r="GH15" s="273"/>
      <c r="GI15" s="273"/>
      <c r="GJ15" s="273"/>
      <c r="GK15" s="273"/>
      <c r="GL15" s="273"/>
      <c r="GM15" s="273"/>
      <c r="GN15" s="273"/>
      <c r="GO15" s="273"/>
      <c r="GP15" s="273"/>
      <c r="GQ15" s="273"/>
      <c r="GR15" s="273"/>
      <c r="GS15" s="273"/>
      <c r="GT15" s="273"/>
      <c r="GU15" s="273"/>
      <c r="GV15" s="273"/>
      <c r="GW15" s="273"/>
      <c r="GX15" s="273"/>
      <c r="GY15" s="273"/>
      <c r="GZ15" s="273"/>
      <c r="HA15" s="273"/>
      <c r="HB15" s="273"/>
      <c r="HC15" s="273"/>
      <c r="HD15" s="273"/>
      <c r="HE15" s="273"/>
      <c r="HF15" s="273"/>
      <c r="HG15" s="273"/>
      <c r="HH15" s="273"/>
      <c r="HI15" s="273"/>
      <c r="HJ15" s="273"/>
      <c r="HK15" s="273"/>
      <c r="HL15" s="273"/>
      <c r="HM15" s="273"/>
      <c r="HN15" s="273"/>
      <c r="HO15" s="273"/>
      <c r="HP15" s="273"/>
      <c r="HQ15" s="273"/>
      <c r="HR15" s="273"/>
      <c r="HS15" s="273"/>
      <c r="HT15" s="273"/>
      <c r="HU15" s="273"/>
      <c r="HV15" s="273"/>
      <c r="HW15" s="273"/>
      <c r="HX15" s="273"/>
      <c r="HY15" s="273"/>
      <c r="HZ15" s="273"/>
      <c r="IA15" s="273"/>
      <c r="IB15" s="273"/>
      <c r="IC15" s="273"/>
      <c r="ID15" s="273"/>
      <c r="IE15" s="273"/>
      <c r="IF15" s="273"/>
      <c r="IG15" s="273"/>
      <c r="IH15" s="273"/>
      <c r="II15" s="273"/>
      <c r="IJ15" s="273"/>
      <c r="IK15" s="273"/>
      <c r="IL15" s="273"/>
      <c r="IM15" s="273"/>
      <c r="IN15" s="273"/>
      <c r="IO15" s="273"/>
      <c r="IP15" s="273"/>
      <c r="IQ15" s="273"/>
      <c r="IR15" s="273"/>
      <c r="IS15" s="273"/>
      <c r="IT15" s="273"/>
      <c r="IU15" s="273"/>
      <c r="IV15" s="273"/>
      <c r="IW15" s="273"/>
      <c r="IX15" s="273"/>
      <c r="IY15" s="273"/>
      <c r="IZ15" s="273"/>
      <c r="JA15" s="273"/>
    </row>
    <row r="16" spans="1:261" ht="15.4">
      <c r="B16" s="281"/>
      <c r="D16" s="283">
        <f>$B$17-1</f>
        <v>2022</v>
      </c>
      <c r="E16" s="283">
        <f>$B$17-1</f>
        <v>2022</v>
      </c>
      <c r="F16" s="283">
        <f>$B$17-1</f>
        <v>2022</v>
      </c>
      <c r="G16" s="283">
        <f>$B$17-1</f>
        <v>2022</v>
      </c>
      <c r="H16" s="283">
        <f>$B$17-1</f>
        <v>2022</v>
      </c>
      <c r="I16" s="284">
        <f>$B$17</f>
        <v>2023</v>
      </c>
      <c r="J16" s="283">
        <f>$B$17</f>
        <v>2023</v>
      </c>
      <c r="K16" s="283">
        <f>$B$17</f>
        <v>2023</v>
      </c>
      <c r="L16" s="283">
        <f>$B$17</f>
        <v>2023</v>
      </c>
      <c r="M16" s="283">
        <f>$B$17</f>
        <v>2023</v>
      </c>
      <c r="N16" s="284">
        <f>$B$17+1</f>
        <v>2024</v>
      </c>
      <c r="O16" s="283">
        <f>$B$17+1</f>
        <v>2024</v>
      </c>
      <c r="P16" s="283">
        <f>$B$17+1</f>
        <v>2024</v>
      </c>
      <c r="Q16" s="283">
        <f>$B$17+1</f>
        <v>2024</v>
      </c>
      <c r="R16" s="283">
        <f>$B$17+1</f>
        <v>2024</v>
      </c>
      <c r="S16" s="284">
        <f>$B$17+2</f>
        <v>2025</v>
      </c>
      <c r="T16" s="283">
        <f>$B$17+2</f>
        <v>2025</v>
      </c>
      <c r="U16" s="283">
        <f>$B$17+2</f>
        <v>2025</v>
      </c>
      <c r="V16" s="283">
        <f>$B$17+2</f>
        <v>2025</v>
      </c>
      <c r="W16" s="283">
        <f>$B$17+2</f>
        <v>2025</v>
      </c>
      <c r="X16" s="284">
        <f>S16+1</f>
        <v>2026</v>
      </c>
      <c r="Y16" s="284">
        <f>T16+1</f>
        <v>2026</v>
      </c>
      <c r="Z16" s="284">
        <f>U16+1</f>
        <v>2026</v>
      </c>
      <c r="AA16" s="284">
        <f>V16+1</f>
        <v>2026</v>
      </c>
      <c r="AB16" s="284">
        <f>W16+1</f>
        <v>2026</v>
      </c>
      <c r="AJ16" s="261" t="s">
        <v>287</v>
      </c>
    </row>
    <row r="17" spans="1:261" ht="30.75">
      <c r="A17" s="285" t="s">
        <v>288</v>
      </c>
      <c r="B17" s="286">
        <v>2023</v>
      </c>
      <c r="D17" s="287" t="str">
        <f>IF(RIGHT(IS!BY3)="E","E","A")</f>
        <v>A</v>
      </c>
      <c r="E17" s="287" t="str">
        <f>IF(RIGHT(IS!BZ3)="E","E","A")</f>
        <v>A</v>
      </c>
      <c r="F17" s="287" t="str">
        <f>IF(RIGHT(IS!CA3)="E","E","A")</f>
        <v>A</v>
      </c>
      <c r="G17" s="287" t="str">
        <f>IF(RIGHT(IS!CB3)="E","E","A")</f>
        <v>A</v>
      </c>
      <c r="H17" s="287" t="str">
        <f>IF(RIGHT(IS!CC3)="E","E","A")</f>
        <v>A</v>
      </c>
      <c r="I17" s="287" t="str">
        <f>IF(RIGHT(IS!CD3)="E","E","A")</f>
        <v>A</v>
      </c>
      <c r="J17" s="287" t="str">
        <f>IF(RIGHT(IS!CE3)="E","E","A")</f>
        <v>A</v>
      </c>
      <c r="K17" s="287" t="str">
        <f>IF(RIGHT(IS!CF3)="E","E","A")</f>
        <v>A</v>
      </c>
      <c r="L17" s="287" t="str">
        <f>IF(RIGHT(IS!CG3)="E","E","A")</f>
        <v>A</v>
      </c>
      <c r="M17" s="287" t="str">
        <f>IF(RIGHT(IS!CH3)="E","E","A")</f>
        <v>A</v>
      </c>
      <c r="N17" s="287" t="str">
        <f>IF(RIGHT(IS!CI3)="E","E","A")</f>
        <v>A</v>
      </c>
      <c r="O17" s="287" t="str">
        <f>IF(RIGHT(IS!CJ3)="E","E","A")</f>
        <v>A</v>
      </c>
      <c r="P17" s="287" t="str">
        <f>IF(RIGHT(IS!CK3)="E","E","A")</f>
        <v>A</v>
      </c>
      <c r="Q17" s="287" t="str">
        <f>IF(RIGHT(IS!CL3)="E","E","A")</f>
        <v>A</v>
      </c>
      <c r="R17" s="287" t="str">
        <f>IF(RIGHT(IS!CM3)="E","E","A")</f>
        <v>A</v>
      </c>
      <c r="S17" s="287" t="str">
        <f>IF(RIGHT(IS!CN3)="E","E","A")</f>
        <v>A</v>
      </c>
      <c r="T17" s="287" t="str">
        <f>IF(RIGHT(IS!CO3)="E","E","A")</f>
        <v>A</v>
      </c>
      <c r="U17" s="287" t="str">
        <f>IF(RIGHT(IS!CP3)="E","E","A")</f>
        <v>A</v>
      </c>
      <c r="V17" s="287" t="str">
        <f>IF(RIGHT(IS!CQ3)="E","E","A")</f>
        <v>A</v>
      </c>
      <c r="W17" s="287" t="str">
        <f>IF(RIGHT(IS!CR3)="E","E","A")</f>
        <v>A</v>
      </c>
      <c r="X17" s="287" t="str">
        <f>IF(RIGHT(IS!CS3)="E","E","A")</f>
        <v>E</v>
      </c>
      <c r="Y17" s="287" t="str">
        <f>IF(RIGHT(IS!CT3)="E","E","A")</f>
        <v>E</v>
      </c>
      <c r="Z17" s="287" t="str">
        <f>IF(RIGHT(IS!CU3)="E","E","A")</f>
        <v>E</v>
      </c>
      <c r="AA17" s="287" t="str">
        <f>IF(RIGHT(IS!CV3)="E","E","A")</f>
        <v>E</v>
      </c>
      <c r="AB17" s="287" t="str">
        <f>IF(RIGHT(IS!CW3)="E","E","A")</f>
        <v>E</v>
      </c>
      <c r="AJ17" s="261" t="s">
        <v>289</v>
      </c>
    </row>
    <row r="18" spans="1:261" ht="30.75">
      <c r="A18" s="285" t="s">
        <v>290</v>
      </c>
      <c r="B18" s="288" t="s">
        <v>294</v>
      </c>
      <c r="D18" s="289" t="str">
        <f>D16&amp;D19</f>
        <v>2022Q1</v>
      </c>
      <c r="E18" s="289" t="str">
        <f>E16&amp;E19</f>
        <v>2022Q2</v>
      </c>
      <c r="F18" s="289" t="str">
        <f>F16&amp;F19</f>
        <v>2022Q3</v>
      </c>
      <c r="G18" s="289" t="str">
        <f>G16&amp;G19</f>
        <v>2022Q4</v>
      </c>
      <c r="H18" s="289">
        <f>H16</f>
        <v>2022</v>
      </c>
      <c r="I18" s="290" t="str">
        <f>I16&amp;I19&amp;I17</f>
        <v>2023Q1A</v>
      </c>
      <c r="J18" s="289" t="str">
        <f>J16&amp;J19&amp;J17</f>
        <v>2023Q2A</v>
      </c>
      <c r="K18" s="289" t="str">
        <f>K16&amp;K19&amp;K17</f>
        <v>2023Q3A</v>
      </c>
      <c r="L18" s="289" t="str">
        <f>L16&amp;L19&amp;L17</f>
        <v>2023Q4A</v>
      </c>
      <c r="M18" s="289" t="str">
        <f>M16&amp;M17</f>
        <v>2023A</v>
      </c>
      <c r="N18" s="290" t="str">
        <f>N16&amp;N19&amp;N17</f>
        <v>2024Q1A</v>
      </c>
      <c r="O18" s="289" t="str">
        <f>O16&amp;O19&amp;O17</f>
        <v>2024Q2A</v>
      </c>
      <c r="P18" s="289" t="str">
        <f>P16&amp;P19&amp;P17</f>
        <v>2024Q3A</v>
      </c>
      <c r="Q18" s="289" t="str">
        <f>Q16&amp;Q19&amp;Q17</f>
        <v>2024Q4A</v>
      </c>
      <c r="R18" s="289" t="str">
        <f>R16&amp;R17</f>
        <v>2024A</v>
      </c>
      <c r="S18" s="290" t="str">
        <f>S16&amp;S19&amp;S17</f>
        <v>2025Q1A</v>
      </c>
      <c r="T18" s="289" t="str">
        <f>T16&amp;T19&amp;T17</f>
        <v>2025Q2A</v>
      </c>
      <c r="U18" s="289" t="str">
        <f>U16&amp;U19&amp;U17</f>
        <v>2025Q3A</v>
      </c>
      <c r="V18" s="289" t="str">
        <f>V16&amp;V19&amp;V17</f>
        <v>2025Q4A</v>
      </c>
      <c r="W18" s="289" t="str">
        <f>W16&amp;W17</f>
        <v>2025A</v>
      </c>
      <c r="X18" s="290" t="str">
        <f>X16&amp;X19&amp;X17</f>
        <v>2026Q1E</v>
      </c>
      <c r="Y18" s="289" t="str">
        <f>Y16&amp;Y19&amp;Y17</f>
        <v>2026Q2E</v>
      </c>
      <c r="Z18" s="289" t="str">
        <f>Z16&amp;Z19&amp;Z17</f>
        <v>2026Q3E</v>
      </c>
      <c r="AA18" s="289" t="str">
        <f>AA16&amp;AA19&amp;AA17</f>
        <v>2026Q4E</v>
      </c>
      <c r="AB18" s="289" t="str">
        <f>AB16&amp;AB17</f>
        <v>2026E</v>
      </c>
      <c r="AC18" s="291"/>
      <c r="AD18" s="291"/>
      <c r="AE18" s="291"/>
      <c r="AF18" s="291"/>
      <c r="AG18" s="291"/>
      <c r="AH18" s="291"/>
      <c r="AI18" s="291"/>
      <c r="AJ18" s="261" t="s">
        <v>292</v>
      </c>
      <c r="AK18" s="291"/>
      <c r="AL18" s="291"/>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1"/>
      <c r="BK18" s="291"/>
      <c r="BL18" s="291"/>
      <c r="BM18" s="291"/>
      <c r="BN18" s="291"/>
      <c r="BO18" s="291"/>
      <c r="BP18" s="291"/>
      <c r="BQ18" s="291"/>
      <c r="BR18" s="291"/>
      <c r="BS18" s="291"/>
      <c r="BT18" s="291"/>
      <c r="BU18" s="291"/>
      <c r="BV18" s="291"/>
      <c r="BW18" s="291"/>
      <c r="BX18" s="291"/>
      <c r="BY18" s="291"/>
      <c r="BZ18" s="291"/>
      <c r="CA18" s="291"/>
      <c r="CB18" s="291"/>
      <c r="CC18" s="291"/>
      <c r="CD18" s="291"/>
      <c r="CE18" s="291"/>
      <c r="CF18" s="291"/>
      <c r="CG18" s="291"/>
      <c r="CH18" s="291"/>
      <c r="CI18" s="291"/>
      <c r="CJ18" s="291"/>
      <c r="CK18" s="291"/>
      <c r="CL18" s="291"/>
      <c r="CM18" s="291"/>
      <c r="CN18" s="291"/>
      <c r="CO18" s="291"/>
      <c r="CP18" s="291"/>
      <c r="CQ18" s="291"/>
      <c r="CR18" s="291"/>
      <c r="CS18" s="291"/>
      <c r="CT18" s="291"/>
      <c r="CU18" s="291"/>
      <c r="CV18" s="291"/>
      <c r="CW18" s="291"/>
      <c r="CX18" s="291"/>
      <c r="CY18" s="291"/>
      <c r="CZ18" s="291"/>
      <c r="DA18" s="291"/>
      <c r="DB18" s="291"/>
      <c r="DC18" s="291"/>
      <c r="DD18" s="291"/>
      <c r="DE18" s="291"/>
      <c r="DF18" s="291"/>
      <c r="DG18" s="291"/>
      <c r="DH18" s="291"/>
      <c r="DI18" s="291"/>
      <c r="DJ18" s="291"/>
      <c r="DK18" s="291"/>
      <c r="DL18" s="291"/>
      <c r="DM18" s="291"/>
      <c r="DN18" s="291"/>
      <c r="DO18" s="291"/>
      <c r="DP18" s="291"/>
      <c r="DQ18" s="291"/>
      <c r="DR18" s="291"/>
      <c r="DS18" s="291"/>
      <c r="DT18" s="291"/>
      <c r="DU18" s="291"/>
      <c r="DV18" s="291"/>
      <c r="DW18" s="291"/>
      <c r="DX18" s="291"/>
      <c r="DY18" s="291"/>
      <c r="DZ18" s="291"/>
      <c r="EA18" s="291"/>
      <c r="EB18" s="291"/>
      <c r="EC18" s="291"/>
      <c r="ED18" s="291"/>
      <c r="EE18" s="291"/>
      <c r="EF18" s="291"/>
      <c r="EG18" s="291"/>
      <c r="EH18" s="291"/>
      <c r="EI18" s="291"/>
      <c r="EJ18" s="291"/>
      <c r="EK18" s="291"/>
      <c r="EL18" s="291"/>
      <c r="EM18" s="291"/>
      <c r="EN18" s="291"/>
      <c r="EO18" s="291"/>
      <c r="EP18" s="291"/>
      <c r="EQ18" s="291"/>
      <c r="ER18" s="291"/>
      <c r="ES18" s="291"/>
      <c r="ET18" s="291"/>
      <c r="EU18" s="291"/>
      <c r="EV18" s="291"/>
      <c r="EW18" s="291"/>
      <c r="EX18" s="291"/>
      <c r="EY18" s="291"/>
      <c r="EZ18" s="291"/>
      <c r="FA18" s="291"/>
      <c r="FB18" s="291"/>
      <c r="FC18" s="291"/>
      <c r="FD18" s="291"/>
      <c r="FE18" s="291"/>
      <c r="FF18" s="291"/>
      <c r="FG18" s="291"/>
      <c r="FH18" s="291"/>
      <c r="FI18" s="291"/>
      <c r="FJ18" s="291"/>
      <c r="FK18" s="291"/>
      <c r="FL18" s="291"/>
      <c r="FM18" s="291"/>
      <c r="FN18" s="291"/>
      <c r="FO18" s="291"/>
      <c r="FP18" s="291"/>
      <c r="FQ18" s="291"/>
      <c r="FR18" s="291"/>
      <c r="FS18" s="291"/>
      <c r="FT18" s="291"/>
      <c r="FU18" s="291"/>
      <c r="FV18" s="291"/>
      <c r="FW18" s="291"/>
      <c r="FX18" s="291"/>
      <c r="FY18" s="291"/>
      <c r="FZ18" s="291"/>
      <c r="GA18" s="291"/>
      <c r="GB18" s="291"/>
      <c r="GC18" s="291"/>
      <c r="GD18" s="291"/>
      <c r="GE18" s="291"/>
      <c r="GF18" s="291"/>
      <c r="GG18" s="291"/>
      <c r="GH18" s="291"/>
      <c r="GI18" s="291"/>
      <c r="GJ18" s="291"/>
      <c r="GK18" s="291"/>
      <c r="GL18" s="291"/>
      <c r="GM18" s="291"/>
      <c r="GN18" s="291"/>
      <c r="GO18" s="291"/>
      <c r="GP18" s="291"/>
      <c r="GQ18" s="291"/>
      <c r="GR18" s="291"/>
      <c r="GS18" s="291"/>
      <c r="GT18" s="291"/>
      <c r="GU18" s="291"/>
      <c r="GV18" s="291"/>
      <c r="GW18" s="291"/>
      <c r="GX18" s="291"/>
      <c r="GY18" s="291"/>
      <c r="GZ18" s="291"/>
      <c r="HA18" s="291"/>
      <c r="HB18" s="291"/>
      <c r="HC18" s="291"/>
      <c r="HD18" s="291"/>
      <c r="HE18" s="291"/>
      <c r="HF18" s="291"/>
      <c r="HG18" s="291"/>
      <c r="HH18" s="291"/>
      <c r="HI18" s="291"/>
      <c r="HJ18" s="291"/>
      <c r="HK18" s="291"/>
      <c r="HL18" s="291"/>
      <c r="HM18" s="291"/>
      <c r="HN18" s="291"/>
      <c r="HO18" s="291"/>
      <c r="HP18" s="291"/>
      <c r="HQ18" s="291"/>
      <c r="HR18" s="291"/>
      <c r="HS18" s="291"/>
      <c r="HT18" s="291"/>
      <c r="HU18" s="291"/>
      <c r="HV18" s="291"/>
      <c r="HW18" s="291"/>
      <c r="HX18" s="291"/>
      <c r="HY18" s="291"/>
      <c r="HZ18" s="291"/>
      <c r="IA18" s="291"/>
      <c r="IB18" s="291"/>
      <c r="IC18" s="291"/>
      <c r="ID18" s="291"/>
      <c r="IE18" s="291"/>
      <c r="IF18" s="291"/>
      <c r="IG18" s="291"/>
      <c r="IH18" s="291"/>
      <c r="II18" s="291"/>
      <c r="IJ18" s="291"/>
      <c r="IK18" s="291"/>
      <c r="IL18" s="291"/>
      <c r="IM18" s="291"/>
      <c r="IN18" s="291"/>
      <c r="IO18" s="291"/>
      <c r="IP18" s="291"/>
      <c r="IQ18" s="291"/>
      <c r="IR18" s="291"/>
      <c r="IS18" s="291"/>
      <c r="IT18" s="291"/>
      <c r="IU18" s="291"/>
      <c r="IV18" s="291"/>
      <c r="IW18" s="291"/>
      <c r="IX18" s="291"/>
      <c r="IY18" s="291"/>
      <c r="IZ18" s="291"/>
      <c r="JA18" s="291"/>
    </row>
    <row r="19" spans="1:261" ht="15.4">
      <c r="A19" s="292"/>
      <c r="B19" s="293"/>
      <c r="C19" s="294"/>
      <c r="D19" s="295" t="s">
        <v>293</v>
      </c>
      <c r="E19" s="295" t="s">
        <v>294</v>
      </c>
      <c r="F19" s="295" t="s">
        <v>295</v>
      </c>
      <c r="G19" s="295" t="s">
        <v>291</v>
      </c>
      <c r="H19" s="295" t="s">
        <v>296</v>
      </c>
      <c r="I19" s="296" t="s">
        <v>293</v>
      </c>
      <c r="J19" s="295" t="s">
        <v>294</v>
      </c>
      <c r="K19" s="295" t="s">
        <v>295</v>
      </c>
      <c r="L19" s="295" t="s">
        <v>291</v>
      </c>
      <c r="M19" s="295" t="s">
        <v>296</v>
      </c>
      <c r="N19" s="296" t="s">
        <v>293</v>
      </c>
      <c r="O19" s="295" t="s">
        <v>294</v>
      </c>
      <c r="P19" s="295" t="s">
        <v>295</v>
      </c>
      <c r="Q19" s="295" t="s">
        <v>291</v>
      </c>
      <c r="R19" s="295" t="s">
        <v>296</v>
      </c>
      <c r="S19" s="296" t="s">
        <v>293</v>
      </c>
      <c r="T19" s="295" t="s">
        <v>294</v>
      </c>
      <c r="U19" s="295" t="s">
        <v>295</v>
      </c>
      <c r="V19" s="295" t="s">
        <v>291</v>
      </c>
      <c r="W19" s="295" t="s">
        <v>296</v>
      </c>
      <c r="X19" s="296" t="s">
        <v>293</v>
      </c>
      <c r="Y19" s="295" t="s">
        <v>294</v>
      </c>
      <c r="Z19" s="295" t="s">
        <v>295</v>
      </c>
      <c r="AA19" s="295" t="s">
        <v>291</v>
      </c>
      <c r="AB19" s="295" t="s">
        <v>296</v>
      </c>
      <c r="AC19" s="297"/>
      <c r="AD19" s="297"/>
      <c r="AE19" s="297"/>
      <c r="AF19" s="297"/>
      <c r="AG19" s="297"/>
      <c r="AH19" s="297"/>
      <c r="AI19" s="297"/>
      <c r="AJ19" s="261" t="s">
        <v>297</v>
      </c>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7"/>
      <c r="BL19" s="297"/>
      <c r="BM19" s="297"/>
      <c r="BN19" s="297"/>
      <c r="BO19" s="297"/>
      <c r="BP19" s="297"/>
      <c r="BQ19" s="297"/>
      <c r="BR19" s="297"/>
      <c r="BS19" s="297"/>
      <c r="BT19" s="297"/>
      <c r="BU19" s="297"/>
      <c r="BV19" s="297"/>
      <c r="BW19" s="297"/>
      <c r="BX19" s="297"/>
      <c r="BY19" s="297"/>
      <c r="BZ19" s="297"/>
      <c r="CA19" s="297"/>
      <c r="CB19" s="297"/>
      <c r="CC19" s="297"/>
      <c r="CD19" s="297"/>
      <c r="CE19" s="297"/>
      <c r="CF19" s="297"/>
      <c r="CG19" s="297"/>
      <c r="CH19" s="297"/>
      <c r="CI19" s="297"/>
      <c r="CJ19" s="297"/>
      <c r="CK19" s="297"/>
      <c r="CL19" s="297"/>
      <c r="CM19" s="297"/>
      <c r="CN19" s="297"/>
      <c r="CO19" s="297"/>
      <c r="CP19" s="297"/>
      <c r="CQ19" s="297"/>
      <c r="CR19" s="297"/>
      <c r="CS19" s="297"/>
      <c r="CT19" s="297"/>
      <c r="CU19" s="297"/>
      <c r="CV19" s="297"/>
      <c r="CW19" s="297"/>
      <c r="CX19" s="297"/>
      <c r="CY19" s="297"/>
      <c r="CZ19" s="297"/>
      <c r="DA19" s="297"/>
      <c r="DB19" s="297"/>
      <c r="DC19" s="297"/>
      <c r="DD19" s="297"/>
      <c r="DE19" s="297"/>
      <c r="DF19" s="297"/>
      <c r="DG19" s="297"/>
      <c r="DH19" s="297"/>
      <c r="DI19" s="297"/>
      <c r="DJ19" s="297"/>
      <c r="DK19" s="297"/>
      <c r="DL19" s="297"/>
      <c r="DM19" s="297"/>
      <c r="DN19" s="297"/>
      <c r="DO19" s="297"/>
      <c r="DP19" s="297"/>
      <c r="DQ19" s="297"/>
      <c r="DR19" s="297"/>
      <c r="DS19" s="297"/>
      <c r="DT19" s="297"/>
      <c r="DU19" s="297"/>
      <c r="DV19" s="297"/>
      <c r="DW19" s="297"/>
      <c r="DX19" s="297"/>
      <c r="DY19" s="297"/>
      <c r="DZ19" s="297"/>
      <c r="EA19" s="297"/>
      <c r="EB19" s="297"/>
      <c r="EC19" s="297"/>
      <c r="ED19" s="297"/>
      <c r="EE19" s="297"/>
      <c r="EF19" s="297"/>
      <c r="EG19" s="297"/>
      <c r="EH19" s="297"/>
      <c r="EI19" s="297"/>
      <c r="EJ19" s="297"/>
      <c r="EK19" s="297"/>
      <c r="EL19" s="297"/>
      <c r="EM19" s="297"/>
      <c r="EN19" s="297"/>
      <c r="EO19" s="297"/>
      <c r="EP19" s="297"/>
      <c r="EQ19" s="297"/>
      <c r="ER19" s="297"/>
      <c r="ES19" s="297"/>
      <c r="ET19" s="297"/>
      <c r="EU19" s="297"/>
      <c r="EV19" s="297"/>
      <c r="EW19" s="297"/>
      <c r="EX19" s="297"/>
      <c r="EY19" s="297"/>
      <c r="EZ19" s="297"/>
      <c r="FA19" s="297"/>
      <c r="FB19" s="297"/>
      <c r="FC19" s="297"/>
      <c r="FD19" s="297"/>
      <c r="FE19" s="297"/>
      <c r="FF19" s="297"/>
      <c r="FG19" s="297"/>
      <c r="FH19" s="297"/>
      <c r="FI19" s="297"/>
      <c r="FJ19" s="297"/>
      <c r="FK19" s="297"/>
      <c r="FL19" s="297"/>
      <c r="FM19" s="297"/>
      <c r="FN19" s="297"/>
      <c r="FO19" s="297"/>
      <c r="FP19" s="297"/>
      <c r="FQ19" s="297"/>
      <c r="FR19" s="297"/>
      <c r="FS19" s="297"/>
      <c r="FT19" s="297"/>
      <c r="FU19" s="297"/>
      <c r="FV19" s="297"/>
      <c r="FW19" s="297"/>
      <c r="FX19" s="297"/>
      <c r="FY19" s="297"/>
      <c r="FZ19" s="297"/>
      <c r="GA19" s="297"/>
      <c r="GB19" s="297"/>
      <c r="GC19" s="297"/>
      <c r="GD19" s="297"/>
      <c r="GE19" s="297"/>
      <c r="GF19" s="297"/>
      <c r="GG19" s="297"/>
      <c r="GH19" s="297"/>
      <c r="GI19" s="297"/>
      <c r="GJ19" s="297"/>
      <c r="GK19" s="297"/>
      <c r="GL19" s="297"/>
      <c r="GM19" s="297"/>
      <c r="GN19" s="297"/>
      <c r="GO19" s="297"/>
      <c r="GP19" s="297"/>
      <c r="GQ19" s="297"/>
      <c r="GR19" s="297"/>
      <c r="GS19" s="297"/>
      <c r="GT19" s="297"/>
      <c r="GU19" s="297"/>
      <c r="GV19" s="297"/>
      <c r="GW19" s="297"/>
      <c r="GX19" s="297"/>
      <c r="GY19" s="297"/>
      <c r="GZ19" s="297"/>
      <c r="HA19" s="297"/>
      <c r="HB19" s="297"/>
      <c r="HC19" s="297"/>
      <c r="HD19" s="297"/>
      <c r="HE19" s="297"/>
      <c r="HF19" s="297"/>
      <c r="HG19" s="297"/>
      <c r="HH19" s="297"/>
      <c r="HI19" s="297"/>
      <c r="HJ19" s="297"/>
      <c r="HK19" s="297"/>
      <c r="HL19" s="297"/>
      <c r="HM19" s="297"/>
      <c r="HN19" s="297"/>
      <c r="HO19" s="297"/>
      <c r="HP19" s="297"/>
      <c r="HQ19" s="297"/>
      <c r="HR19" s="297"/>
      <c r="HS19" s="297"/>
      <c r="HT19" s="297"/>
      <c r="HU19" s="297"/>
      <c r="HV19" s="297"/>
      <c r="HW19" s="297"/>
      <c r="HX19" s="297"/>
      <c r="HY19" s="297"/>
      <c r="HZ19" s="297"/>
      <c r="IA19" s="297"/>
      <c r="IB19" s="297"/>
      <c r="IC19" s="297"/>
      <c r="ID19" s="297"/>
      <c r="IE19" s="297"/>
      <c r="IF19" s="297"/>
      <c r="IG19" s="297"/>
      <c r="IH19" s="297"/>
      <c r="II19" s="297"/>
      <c r="IJ19" s="297"/>
      <c r="IK19" s="297"/>
      <c r="IL19" s="297"/>
      <c r="IM19" s="297"/>
      <c r="IN19" s="297"/>
      <c r="IO19" s="297"/>
      <c r="IP19" s="297"/>
      <c r="IQ19" s="297"/>
      <c r="IR19" s="297"/>
      <c r="IS19" s="297"/>
      <c r="IT19" s="297"/>
      <c r="IU19" s="297"/>
      <c r="IV19" s="297"/>
      <c r="IW19" s="297"/>
      <c r="IX19" s="297"/>
      <c r="IY19" s="297"/>
      <c r="IZ19" s="297"/>
      <c r="JA19" s="297"/>
    </row>
    <row r="20" spans="1:261" ht="15.4">
      <c r="A20" s="298" t="s">
        <v>298</v>
      </c>
      <c r="B20" s="299"/>
      <c r="C20" s="300"/>
      <c r="D20" s="301" t="str">
        <f>($B$45&amp;"/"&amp;31&amp;"/"&amp;(D16+$D$45))</f>
        <v>3/31/2022</v>
      </c>
      <c r="E20" s="302" t="str">
        <f>$B$46&amp;"/"&amp;31&amp;"/"&amp;(E16+$D$46)</f>
        <v>6/31/2022</v>
      </c>
      <c r="F20" s="302" t="str">
        <f>$B$47&amp;"/"&amp;31&amp;"/"&amp;(F16+$D$47)</f>
        <v>9/31/2022</v>
      </c>
      <c r="G20" s="302" t="str">
        <f>$B$48&amp;"/"&amp;31&amp;"/"&amp;(G16+$D$48)</f>
        <v>12/31/2022</v>
      </c>
      <c r="H20" s="303" t="str">
        <f>G20</f>
        <v>12/31/2022</v>
      </c>
      <c r="I20" s="301" t="str">
        <f>($B$45&amp;"/"&amp;31&amp;"/"&amp;(I16+$D$45))</f>
        <v>3/31/2023</v>
      </c>
      <c r="J20" s="302" t="str">
        <f>$B$46&amp;"/"&amp;31&amp;"/"&amp;(J16+$D$46)</f>
        <v>6/31/2023</v>
      </c>
      <c r="K20" s="302" t="str">
        <f>$B$47&amp;"/"&amp;31&amp;"/"&amp;(K16+$D$47)</f>
        <v>9/31/2023</v>
      </c>
      <c r="L20" s="302" t="str">
        <f>$B$48&amp;"/"&amp;31&amp;"/"&amp;(L16+$D$48)</f>
        <v>12/31/2023</v>
      </c>
      <c r="M20" s="303" t="str">
        <f>L20</f>
        <v>12/31/2023</v>
      </c>
      <c r="N20" s="304" t="str">
        <f>($B$45&amp;"/"&amp;31&amp;"/"&amp;(N16+$D$45))</f>
        <v>3/31/2024</v>
      </c>
      <c r="O20" s="305" t="str">
        <f>$B$46&amp;"/"&amp;31&amp;"/"&amp;(O16+$D$46)</f>
        <v>6/31/2024</v>
      </c>
      <c r="P20" s="305" t="str">
        <f>$B$47&amp;"/"&amp;31&amp;"/"&amp;(P16+$D$47)</f>
        <v>9/31/2024</v>
      </c>
      <c r="Q20" s="305" t="str">
        <f>$B$48&amp;"/"&amp;31&amp;"/"&amp;(Q16+$D$48)</f>
        <v>12/31/2024</v>
      </c>
      <c r="R20" s="306" t="str">
        <f>Q20</f>
        <v>12/31/2024</v>
      </c>
      <c r="S20" s="304" t="str">
        <f>($B$45&amp;"/"&amp;31&amp;"/"&amp;(S16+$D$45))</f>
        <v>3/31/2025</v>
      </c>
      <c r="T20" s="305" t="str">
        <f>$B$46&amp;"/"&amp;31&amp;"/"&amp;(T16+$D$46)</f>
        <v>6/31/2025</v>
      </c>
      <c r="U20" s="305" t="str">
        <f>$B$47&amp;"/"&amp;31&amp;"/"&amp;(U16+$D$47)</f>
        <v>9/31/2025</v>
      </c>
      <c r="V20" s="305" t="str">
        <f>$B$48&amp;"/"&amp;31&amp;"/"&amp;(V16+$D$48)</f>
        <v>12/31/2025</v>
      </c>
      <c r="W20" s="306" t="str">
        <f>V20</f>
        <v>12/31/2025</v>
      </c>
      <c r="X20" s="304" t="str">
        <f>($B$45&amp;"/"&amp;31&amp;"/"&amp;(X16+$D$45))</f>
        <v>3/31/2026</v>
      </c>
      <c r="Y20" s="305" t="str">
        <f>$B$46&amp;"/"&amp;31&amp;"/"&amp;(Y16+$D$46)</f>
        <v>6/31/2026</v>
      </c>
      <c r="Z20" s="305" t="str">
        <f>$B$47&amp;"/"&amp;31&amp;"/"&amp;(Z16+$D$47)</f>
        <v>9/31/2026</v>
      </c>
      <c r="AA20" s="305" t="str">
        <f>$B$48&amp;"/"&amp;31&amp;"/"&amp;(AA16+$D$48)</f>
        <v>12/31/2026</v>
      </c>
      <c r="AB20" s="306" t="str">
        <f>AA20</f>
        <v>12/31/2026</v>
      </c>
      <c r="AJ20" s="261" t="s">
        <v>299</v>
      </c>
    </row>
    <row r="21" spans="1:261" ht="17.649999999999999">
      <c r="A21" s="307" t="s">
        <v>300</v>
      </c>
      <c r="B21" s="308" t="s">
        <v>301</v>
      </c>
      <c r="C21" s="309"/>
      <c r="D21" s="310">
        <f>IS!BY4/1000</f>
        <v>105.193</v>
      </c>
      <c r="E21" s="310">
        <f>IS!BZ4/1000</f>
        <v>109.178</v>
      </c>
      <c r="F21" s="310">
        <f>IS!CA4/1000</f>
        <v>114.486</v>
      </c>
      <c r="G21" s="310">
        <f>IS!CB4/1000</f>
        <v>122.018</v>
      </c>
      <c r="H21" s="310">
        <f>IS!CC4/1000</f>
        <v>450.875</v>
      </c>
      <c r="I21" s="310">
        <f>IS!CD4/1000</f>
        <v>125.86799999999999</v>
      </c>
      <c r="J21" s="310">
        <f>IS!CE4/1000</f>
        <v>130.416</v>
      </c>
      <c r="K21" s="310">
        <f>IS!CF4/1000</f>
        <v>135.661</v>
      </c>
      <c r="L21" s="310">
        <f>IS!CG4/1000</f>
        <v>144.965</v>
      </c>
      <c r="M21" s="310">
        <f>IS!CH4/1000</f>
        <v>536.91</v>
      </c>
      <c r="N21" s="310">
        <f>IS!CI4/1000</f>
        <v>149.57599999999999</v>
      </c>
      <c r="O21" s="310">
        <f>IS!CJ4/1000</f>
        <v>153.596</v>
      </c>
      <c r="P21" s="310">
        <f>IS!CK4/1000</f>
        <v>163.68600000000001</v>
      </c>
      <c r="Q21" s="310">
        <f>IS!CL4/1000</f>
        <v>170.90700000000001</v>
      </c>
      <c r="R21" s="310">
        <f>IS!CM4/1000</f>
        <v>637.76499999999999</v>
      </c>
      <c r="S21" s="310">
        <f>IS!CN4/1000</f>
        <v>181.54900000000001</v>
      </c>
      <c r="T21" s="310">
        <f>IS!CO4/1000</f>
        <v>187.4</v>
      </c>
      <c r="U21" s="310">
        <f>IS!CP4/1000</f>
        <v>189.904</v>
      </c>
      <c r="V21" s="310">
        <f>IS!CQ4/1000</f>
        <v>192.65199999999999</v>
      </c>
      <c r="W21" s="310">
        <f>IS!CR4/1000</f>
        <v>751.505</v>
      </c>
      <c r="X21" s="310">
        <f>IS!CS4/1000</f>
        <v>192.63161449999998</v>
      </c>
      <c r="Y21" s="310">
        <f>IS!CT4/1000</f>
        <v>197.69872000000001</v>
      </c>
      <c r="Z21" s="310">
        <f>IS!CU4/1000</f>
        <v>204.41938880000001</v>
      </c>
      <c r="AA21" s="310">
        <f>IS!CV4/1000</f>
        <v>207.96686399999996</v>
      </c>
      <c r="AB21" s="310">
        <f>IS!CW4/1000</f>
        <v>802.7165872999999</v>
      </c>
      <c r="AC21" s="263" t="s">
        <v>302</v>
      </c>
      <c r="AJ21" s="261" t="s">
        <v>303</v>
      </c>
    </row>
    <row r="22" spans="1:261" ht="17.649999999999999">
      <c r="A22" s="311"/>
      <c r="B22" s="312" t="s">
        <v>285</v>
      </c>
      <c r="C22" s="313"/>
      <c r="D22" s="314" t="e">
        <f ca="1">_xll.BLUEMATRIX2("/servlet/excelData",D21, $C$14,$B21&amp;":"&amp;D$16&amp;D$17&amp;":"&amp;D$19&amp;":"&amp;$B22)</f>
        <v>#NAME?</v>
      </c>
      <c r="E22" s="315" t="e">
        <f ca="1">_xll.BLUEMATRIX2("/servlet/excelData",E21, $C$14,$B21&amp;":"&amp;E$16&amp;E$17&amp;":"&amp;E$19&amp;":"&amp;$B22)</f>
        <v>#NAME?</v>
      </c>
      <c r="F22" s="315" t="e">
        <f ca="1">_xll.BLUEMATRIX2("/servlet/excelData",F21, $C$14,$B21&amp;":"&amp;F$16&amp;F$17&amp;":"&amp;F$19&amp;":"&amp;$B22)</f>
        <v>#NAME?</v>
      </c>
      <c r="G22" s="315" t="e">
        <f ca="1">_xll.BLUEMATRIX2("/servlet/excelData",G21, $C$14,$B21&amp;":"&amp;G$16&amp;G$17&amp;":"&amp;G$19&amp;":"&amp;$B22)</f>
        <v>#NAME?</v>
      </c>
      <c r="H22" s="316" t="e">
        <f ca="1">_xll.BLUEMATRIX2("/servlet/excelData",H21, $C$14,$B21&amp;":"&amp;H$16&amp;H$17&amp;":"&amp;H$19&amp;":"&amp;$B22)</f>
        <v>#NAME?</v>
      </c>
      <c r="I22" s="315" t="e">
        <f ca="1">_xll.BLUEMATRIX2("/servlet/excelData",I21, $C$14,$B21&amp;":"&amp;I$16&amp;I$17&amp;":"&amp;I$19&amp;":"&amp;$B22)</f>
        <v>#NAME?</v>
      </c>
      <c r="J22" s="315" t="e">
        <f ca="1">_xll.BLUEMATRIX2("/servlet/excelData",J21, $C$14,$B21&amp;":"&amp;J$16&amp;J$17&amp;":"&amp;J$19&amp;":"&amp;$B22)</f>
        <v>#NAME?</v>
      </c>
      <c r="K22" s="315" t="e">
        <f ca="1">_xll.BLUEMATRIX2("/servlet/excelData",K21, $C$14,$B21&amp;":"&amp;K$16&amp;K$17&amp;":"&amp;K$19&amp;":"&amp;$B22)</f>
        <v>#NAME?</v>
      </c>
      <c r="L22" s="315" t="e">
        <f ca="1">_xll.BLUEMATRIX2("/servlet/excelData",L21, $C$14,$B21&amp;":"&amp;L$16&amp;L$17&amp;":"&amp;L$19&amp;":"&amp;$B22)</f>
        <v>#NAME?</v>
      </c>
      <c r="M22" s="316" t="e">
        <f ca="1">_xll.BLUEMATRIX2("/servlet/excelData",M21, $C$14,$B21&amp;":"&amp;M$16&amp;M$17&amp;":"&amp;M$19&amp;":"&amp;$B22)</f>
        <v>#NAME?</v>
      </c>
      <c r="N22" s="315" t="e">
        <f ca="1">_xll.BLUEMATRIX2("/servlet/excelData",N21, $C$14,$B21&amp;":"&amp;N$16&amp;N$17&amp;":"&amp;N$19&amp;":"&amp;$B22)</f>
        <v>#NAME?</v>
      </c>
      <c r="O22" s="315" t="e">
        <f ca="1">_xll.BLUEMATRIX2("/servlet/excelData",O21, $C$14,$B21&amp;":"&amp;O$16&amp;O$17&amp;":"&amp;O$19&amp;":"&amp;$B22)</f>
        <v>#NAME?</v>
      </c>
      <c r="P22" s="315" t="e">
        <f ca="1">_xll.BLUEMATRIX2("/servlet/excelData",P21, $C$14,$B21&amp;":"&amp;P$16&amp;P$17&amp;":"&amp;P$19&amp;":"&amp;$B22)</f>
        <v>#NAME?</v>
      </c>
      <c r="Q22" s="315" t="e">
        <f ca="1">_xll.BLUEMATRIX2("/servlet/excelData",Q21, $C$14,$B21&amp;":"&amp;Q$16&amp;Q$17&amp;":"&amp;Q$19&amp;":"&amp;$B22)</f>
        <v>#NAME?</v>
      </c>
      <c r="R22" s="316" t="e">
        <f ca="1">_xll.BLUEMATRIX2("/servlet/excelData",R21, $C$14,$B21&amp;":"&amp;R$16&amp;R$17&amp;":"&amp;R$19&amp;":"&amp;$B22)</f>
        <v>#NAME?</v>
      </c>
      <c r="S22" s="315" t="e">
        <f ca="1">_xll.BLUEMATRIX2("/servlet/excelData",S21, $C$14,$B21&amp;":"&amp;S$16&amp;S$17&amp;":"&amp;S$19&amp;":"&amp;$B22)</f>
        <v>#NAME?</v>
      </c>
      <c r="T22" s="315" t="e">
        <f ca="1">_xll.BLUEMATRIX2("/servlet/excelData",T21, $C$14,$B21&amp;":"&amp;T$16&amp;T$17&amp;":"&amp;T$19&amp;":"&amp;$B22)</f>
        <v>#NAME?</v>
      </c>
      <c r="U22" s="315" t="e">
        <f ca="1">_xll.BLUEMATRIX2("/servlet/excelData",U21, $C$14,$B21&amp;":"&amp;U$16&amp;U$17&amp;":"&amp;U$19&amp;":"&amp;$B22)</f>
        <v>#NAME?</v>
      </c>
      <c r="V22" s="315" t="e">
        <f ca="1">_xll.BLUEMATRIX2("/servlet/excelData",V21, $C$14,$B21&amp;":"&amp;V$16&amp;V$17&amp;":"&amp;V$19&amp;":"&amp;$B22)</f>
        <v>#NAME?</v>
      </c>
      <c r="W22" s="316" t="e">
        <f ca="1">_xll.BLUEMATRIX2("/servlet/excelData",W21, $C$14,$B21&amp;":"&amp;W$16&amp;W$17&amp;":"&amp;W$19&amp;":"&amp;$B22)</f>
        <v>#NAME?</v>
      </c>
      <c r="X22" s="315" t="e">
        <f ca="1">_xll.BLUEMATRIX2("/servlet/excelData",X21, $C$14,$B21&amp;":"&amp;X$16&amp;X$17&amp;":"&amp;X$19&amp;":"&amp;$B22)</f>
        <v>#NAME?</v>
      </c>
      <c r="Y22" s="315" t="e">
        <f ca="1">_xll.BLUEMATRIX2("/servlet/excelData",Y21, $C$14,$B21&amp;":"&amp;Y$16&amp;Y$17&amp;":"&amp;Y$19&amp;":"&amp;$B22)</f>
        <v>#NAME?</v>
      </c>
      <c r="Z22" s="315" t="e">
        <f ca="1">_xll.BLUEMATRIX2("/servlet/excelData",Z21, $C$14,$B21&amp;":"&amp;Z$16&amp;Z$17&amp;":"&amp;Z$19&amp;":"&amp;$B22)</f>
        <v>#NAME?</v>
      </c>
      <c r="AA22" s="315" t="e">
        <f ca="1">_xll.BLUEMATRIX2("/servlet/excelData",AA21, $C$14,$B21&amp;":"&amp;AA$16&amp;AA$17&amp;":"&amp;AA$19&amp;":"&amp;$B22)</f>
        <v>#NAME?</v>
      </c>
      <c r="AB22" s="316" t="e">
        <f ca="1">_xll.BLUEMATRIX2("/servlet/excelData",AB21, $C$14,$B21&amp;":"&amp;AB$16&amp;AB$17&amp;":"&amp;AB$19&amp;":"&amp;$B22)</f>
        <v>#NAME?</v>
      </c>
      <c r="AC22" s="317"/>
      <c r="AD22" s="317"/>
      <c r="AE22" s="317"/>
      <c r="AF22" s="317"/>
      <c r="AG22" s="317"/>
      <c r="AH22" s="317"/>
      <c r="AI22" s="317"/>
      <c r="AJ22" s="261" t="s">
        <v>304</v>
      </c>
      <c r="AK22" s="317"/>
      <c r="AL22" s="317"/>
      <c r="AM22" s="317"/>
      <c r="AN22" s="317"/>
      <c r="AO22" s="317"/>
      <c r="AP22" s="317"/>
      <c r="AQ22" s="317"/>
      <c r="AR22" s="317"/>
      <c r="AS22" s="317"/>
      <c r="AT22" s="317"/>
      <c r="AU22" s="317"/>
      <c r="AV22" s="317"/>
      <c r="AW22" s="317"/>
      <c r="AX22" s="317"/>
      <c r="AY22" s="317"/>
      <c r="AZ22" s="317"/>
      <c r="BA22" s="317"/>
      <c r="BB22" s="317"/>
      <c r="BC22" s="317"/>
      <c r="BD22" s="317"/>
      <c r="BE22" s="317"/>
      <c r="BF22" s="317"/>
      <c r="BG22" s="317"/>
      <c r="BH22" s="317"/>
      <c r="BI22" s="317"/>
      <c r="BJ22" s="317"/>
      <c r="BK22" s="317"/>
      <c r="BL22" s="317"/>
      <c r="BM22" s="317"/>
      <c r="BN22" s="317"/>
      <c r="BO22" s="317"/>
      <c r="BP22" s="317"/>
      <c r="BQ22" s="317"/>
      <c r="BR22" s="317"/>
      <c r="BS22" s="317"/>
      <c r="BT22" s="317"/>
      <c r="BU22" s="317"/>
      <c r="BV22" s="317"/>
      <c r="BW22" s="317"/>
      <c r="BX22" s="317"/>
      <c r="BY22" s="317"/>
      <c r="BZ22" s="317"/>
      <c r="CA22" s="317"/>
      <c r="CB22" s="317"/>
      <c r="CC22" s="317"/>
      <c r="CD22" s="317"/>
      <c r="CE22" s="317"/>
      <c r="CF22" s="317"/>
      <c r="CG22" s="317"/>
      <c r="CH22" s="317"/>
      <c r="CI22" s="317"/>
      <c r="CJ22" s="317"/>
      <c r="CK22" s="317"/>
      <c r="CL22" s="317"/>
      <c r="CM22" s="317"/>
      <c r="CN22" s="317"/>
      <c r="CO22" s="317"/>
      <c r="CP22" s="317"/>
      <c r="CQ22" s="317"/>
      <c r="CR22" s="317"/>
      <c r="CS22" s="317"/>
      <c r="CT22" s="317"/>
      <c r="CU22" s="317"/>
      <c r="CV22" s="317"/>
      <c r="CW22" s="317"/>
      <c r="CX22" s="317"/>
      <c r="CY22" s="317"/>
      <c r="CZ22" s="317"/>
      <c r="DA22" s="317"/>
      <c r="DB22" s="317"/>
      <c r="DC22" s="317"/>
      <c r="DD22" s="317"/>
      <c r="DE22" s="317"/>
      <c r="DF22" s="317"/>
      <c r="DG22" s="317"/>
      <c r="DH22" s="317"/>
      <c r="DI22" s="317"/>
      <c r="DJ22" s="317"/>
      <c r="DK22" s="317"/>
      <c r="DL22" s="317"/>
      <c r="DM22" s="317"/>
      <c r="DN22" s="317"/>
      <c r="DO22" s="317"/>
      <c r="DP22" s="317"/>
      <c r="DQ22" s="317"/>
      <c r="DR22" s="317"/>
      <c r="DS22" s="317"/>
      <c r="DT22" s="317"/>
      <c r="DU22" s="317"/>
      <c r="DV22" s="317"/>
      <c r="DW22" s="317"/>
      <c r="DX22" s="317"/>
      <c r="DY22" s="317"/>
      <c r="DZ22" s="317"/>
      <c r="EA22" s="317"/>
      <c r="EB22" s="317"/>
      <c r="EC22" s="317"/>
      <c r="ED22" s="317"/>
      <c r="EE22" s="317"/>
      <c r="EF22" s="317"/>
      <c r="EG22" s="317"/>
      <c r="EH22" s="317"/>
      <c r="EI22" s="317"/>
      <c r="EJ22" s="317"/>
      <c r="EK22" s="317"/>
      <c r="EL22" s="317"/>
      <c r="EM22" s="317"/>
      <c r="EN22" s="317"/>
      <c r="EO22" s="317"/>
      <c r="EP22" s="317"/>
      <c r="EQ22" s="317"/>
      <c r="ER22" s="317"/>
      <c r="ES22" s="317"/>
      <c r="ET22" s="317"/>
      <c r="EU22" s="317"/>
      <c r="EV22" s="317"/>
      <c r="EW22" s="317"/>
      <c r="EX22" s="317"/>
      <c r="EY22" s="317"/>
      <c r="EZ22" s="317"/>
      <c r="FA22" s="317"/>
      <c r="FB22" s="317"/>
      <c r="FC22" s="317"/>
      <c r="FD22" s="317"/>
      <c r="FE22" s="317"/>
      <c r="FF22" s="317"/>
      <c r="FG22" s="317"/>
      <c r="FH22" s="317"/>
      <c r="FI22" s="317"/>
      <c r="FJ22" s="317"/>
      <c r="FK22" s="317"/>
      <c r="FL22" s="317"/>
      <c r="FM22" s="317"/>
      <c r="FN22" s="317"/>
      <c r="FO22" s="317"/>
      <c r="FP22" s="317"/>
      <c r="FQ22" s="317"/>
      <c r="FR22" s="317"/>
      <c r="FS22" s="317"/>
      <c r="FT22" s="317"/>
      <c r="FU22" s="317"/>
      <c r="FV22" s="317"/>
      <c r="FW22" s="317"/>
      <c r="FX22" s="317"/>
      <c r="FY22" s="317"/>
      <c r="FZ22" s="317"/>
      <c r="GA22" s="317"/>
      <c r="GB22" s="317"/>
      <c r="GC22" s="317"/>
      <c r="GD22" s="317"/>
      <c r="GE22" s="317"/>
      <c r="GF22" s="317"/>
      <c r="GG22" s="317"/>
      <c r="GH22" s="317"/>
      <c r="GI22" s="317"/>
      <c r="GJ22" s="317"/>
      <c r="GK22" s="317"/>
      <c r="GL22" s="317"/>
      <c r="GM22" s="317"/>
      <c r="GN22" s="317"/>
      <c r="GO22" s="317"/>
      <c r="GP22" s="317"/>
      <c r="GQ22" s="317"/>
      <c r="GR22" s="317"/>
      <c r="GS22" s="317"/>
      <c r="GT22" s="317"/>
      <c r="GU22" s="317"/>
      <c r="GV22" s="317"/>
      <c r="GW22" s="317"/>
      <c r="GX22" s="317"/>
      <c r="GY22" s="317"/>
      <c r="GZ22" s="317"/>
      <c r="HA22" s="317"/>
      <c r="HB22" s="317"/>
      <c r="HC22" s="317"/>
      <c r="HD22" s="317"/>
      <c r="HE22" s="317"/>
      <c r="HF22" s="317"/>
      <c r="HG22" s="317"/>
      <c r="HH22" s="317"/>
      <c r="HI22" s="317"/>
      <c r="HJ22" s="317"/>
      <c r="HK22" s="317"/>
      <c r="HL22" s="317"/>
      <c r="HM22" s="317"/>
      <c r="HN22" s="317"/>
      <c r="HO22" s="317"/>
      <c r="HP22" s="317"/>
      <c r="HQ22" s="317"/>
      <c r="HR22" s="317"/>
      <c r="HS22" s="317"/>
      <c r="HT22" s="317"/>
      <c r="HU22" s="317"/>
      <c r="HV22" s="317"/>
      <c r="HW22" s="317"/>
      <c r="HX22" s="317"/>
      <c r="HY22" s="317"/>
      <c r="HZ22" s="317"/>
      <c r="IA22" s="317"/>
      <c r="IB22" s="317"/>
      <c r="IC22" s="317"/>
      <c r="ID22" s="317"/>
      <c r="IE22" s="317"/>
      <c r="IF22" s="317"/>
      <c r="IG22" s="317"/>
      <c r="IH22" s="317"/>
      <c r="II22" s="317"/>
      <c r="IJ22" s="317"/>
      <c r="IK22" s="317"/>
      <c r="IL22" s="317"/>
      <c r="IM22" s="317"/>
      <c r="IN22" s="317"/>
      <c r="IO22" s="317"/>
      <c r="IP22" s="317"/>
      <c r="IQ22" s="317"/>
      <c r="IR22" s="317"/>
      <c r="IS22" s="317"/>
      <c r="IT22" s="317"/>
      <c r="IU22" s="317"/>
      <c r="IV22" s="317"/>
      <c r="IW22" s="317"/>
      <c r="IX22" s="317"/>
      <c r="IY22" s="317"/>
      <c r="IZ22" s="317"/>
      <c r="JA22" s="317"/>
    </row>
    <row r="23" spans="1:261" ht="17.649999999999999">
      <c r="A23" s="318" t="s">
        <v>305</v>
      </c>
      <c r="B23" s="319" t="s">
        <v>305</v>
      </c>
      <c r="C23" s="320"/>
      <c r="D23" s="321">
        <f>IS!BY67</f>
        <v>0.55154235042850575</v>
      </c>
      <c r="E23" s="321">
        <f>IS!BZ67</f>
        <v>0.53491400358092345</v>
      </c>
      <c r="F23" s="321">
        <f>IS!CA67</f>
        <v>0.62592442096708656</v>
      </c>
      <c r="G23" s="321">
        <f>IS!CB67</f>
        <v>0.6346325498363582</v>
      </c>
      <c r="H23" s="321">
        <f>IS!CC67</f>
        <v>2.3470897608588235</v>
      </c>
      <c r="I23" s="321">
        <f>IS!CD67</f>
        <v>0.6694657515812138</v>
      </c>
      <c r="J23" s="321">
        <f>IS!CE67</f>
        <v>0.68489534728702839</v>
      </c>
      <c r="K23" s="321">
        <f>IS!CF67</f>
        <v>0.74560983397190295</v>
      </c>
      <c r="L23" s="321">
        <f>IS!CG67</f>
        <v>0.75294899043570673</v>
      </c>
      <c r="M23" s="321">
        <f>IS!CH67</f>
        <v>2.853540070988231</v>
      </c>
      <c r="N23" s="321">
        <f>IS!CI67</f>
        <v>0.86241575120734493</v>
      </c>
      <c r="O23" s="321">
        <f>IS!CJ67</f>
        <v>0.79730913143857973</v>
      </c>
      <c r="P23" s="321">
        <f>IS!CK67</f>
        <v>0.92296557532371826</v>
      </c>
      <c r="Q23" s="321">
        <f>IS!CL67</f>
        <v>0.89681952662721898</v>
      </c>
      <c r="R23" s="321">
        <f>IS!CM67</f>
        <v>3.4800722121927512</v>
      </c>
      <c r="S23" s="321">
        <f>IS!CN67</f>
        <v>0.99606949139218615</v>
      </c>
      <c r="T23" s="321">
        <f>IS!CO67</f>
        <v>0.99533200461554605</v>
      </c>
      <c r="U23" s="321">
        <f>IS!CP67</f>
        <v>1.130603005816861</v>
      </c>
      <c r="V23" s="321">
        <f>IS!CQ67</f>
        <v>1.1447713370230119</v>
      </c>
      <c r="W23" s="321">
        <f>IS!CR67</f>
        <v>4.2657266311961122</v>
      </c>
      <c r="X23" s="321">
        <f>IS!CS67</f>
        <v>0.97015086856567156</v>
      </c>
      <c r="Y23" s="321">
        <f>IS!CT67</f>
        <v>1.094275708070322</v>
      </c>
      <c r="Z23" s="321">
        <f>IS!CU67</f>
        <v>1.1785557051212856</v>
      </c>
      <c r="AA23" s="321">
        <f>IS!CV67</f>
        <v>1.2204721036591686</v>
      </c>
      <c r="AB23" s="321">
        <f>IS!CW67</f>
        <v>4.4648138138456499</v>
      </c>
      <c r="AC23" s="263" t="s">
        <v>302</v>
      </c>
      <c r="AJ23" s="261" t="s">
        <v>306</v>
      </c>
    </row>
    <row r="24" spans="1:261" ht="17.649999999999999">
      <c r="A24" s="322"/>
      <c r="B24" s="323" t="s">
        <v>303</v>
      </c>
      <c r="C24" s="324"/>
      <c r="D24" s="314" t="e">
        <f ca="1">_xll.BLUEMATRIX2("/servlet/excelData",D23, $C$14,$B23&amp;":"&amp;D$16&amp;D$17&amp;":"&amp;D$19&amp;":"&amp;$B24)</f>
        <v>#NAME?</v>
      </c>
      <c r="E24" s="315" t="e">
        <f ca="1">_xll.BLUEMATRIX2("/servlet/excelData",E23, $C$14,$B23&amp;":"&amp;E$16&amp;E$17&amp;":"&amp;E$19&amp;":"&amp;$B24)</f>
        <v>#NAME?</v>
      </c>
      <c r="F24" s="315" t="e">
        <f ca="1">_xll.BLUEMATRIX2("/servlet/excelData",F23, $C$14,$B23&amp;":"&amp;F$16&amp;F$17&amp;":"&amp;F$19&amp;":"&amp;$B24)</f>
        <v>#NAME?</v>
      </c>
      <c r="G24" s="315" t="e">
        <f ca="1">_xll.BLUEMATRIX2("/servlet/excelData",G23, $C$14,$B23&amp;":"&amp;G$16&amp;G$17&amp;":"&amp;G$19&amp;":"&amp;$B24)</f>
        <v>#NAME?</v>
      </c>
      <c r="H24" s="316" t="e">
        <f ca="1">_xll.BLUEMATRIX2("/servlet/excelData",H23, $C$14,$B23&amp;":"&amp;H$16&amp;H$17&amp;":"&amp;H$19&amp;":"&amp;$B24)</f>
        <v>#NAME?</v>
      </c>
      <c r="I24" s="315" t="e">
        <f ca="1">_xll.BLUEMATRIX2("/servlet/excelData",I23, $C$14,$B23&amp;":"&amp;I$16&amp;I$17&amp;":"&amp;I$19&amp;":"&amp;$B24)</f>
        <v>#NAME?</v>
      </c>
      <c r="J24" s="315" t="e">
        <f ca="1">_xll.BLUEMATRIX2("/servlet/excelData",J23, $C$14,$B23&amp;":"&amp;J$16&amp;J$17&amp;":"&amp;J$19&amp;":"&amp;$B24)</f>
        <v>#NAME?</v>
      </c>
      <c r="K24" s="315" t="e">
        <f ca="1">_xll.BLUEMATRIX2("/servlet/excelData",K23, $C$14,$B23&amp;":"&amp;K$16&amp;K$17&amp;":"&amp;K$19&amp;":"&amp;$B24)</f>
        <v>#NAME?</v>
      </c>
      <c r="L24" s="315" t="e">
        <f ca="1">_xll.BLUEMATRIX2("/servlet/excelData",L23, $C$14,$B23&amp;":"&amp;L$16&amp;L$17&amp;":"&amp;L$19&amp;":"&amp;$B24)</f>
        <v>#NAME?</v>
      </c>
      <c r="M24" s="316" t="e">
        <f ca="1">_xll.BLUEMATRIX2("/servlet/excelData",M23, $C$14,$B23&amp;":"&amp;M$16&amp;M$17&amp;":"&amp;M$19&amp;":"&amp;$B24)</f>
        <v>#NAME?</v>
      </c>
      <c r="N24" s="315" t="e">
        <f ca="1">_xll.BLUEMATRIX2("/servlet/excelData",N23, $C$14,$B23&amp;":"&amp;N$16&amp;N$17&amp;":"&amp;N$19&amp;":"&amp;$B24)</f>
        <v>#NAME?</v>
      </c>
      <c r="O24" s="315" t="e">
        <f ca="1">_xll.BLUEMATRIX2("/servlet/excelData",O23, $C$14,$B23&amp;":"&amp;O$16&amp;O$17&amp;":"&amp;O$19&amp;":"&amp;$B24)</f>
        <v>#NAME?</v>
      </c>
      <c r="P24" s="315" t="e">
        <f ca="1">_xll.BLUEMATRIX2("/servlet/excelData",P23, $C$14,$B23&amp;":"&amp;P$16&amp;P$17&amp;":"&amp;P$19&amp;":"&amp;$B24)</f>
        <v>#NAME?</v>
      </c>
      <c r="Q24" s="315" t="e">
        <f ca="1">_xll.BLUEMATRIX2("/servlet/excelData",Q23, $C$14,$B23&amp;":"&amp;Q$16&amp;Q$17&amp;":"&amp;Q$19&amp;":"&amp;$B24)</f>
        <v>#NAME?</v>
      </c>
      <c r="R24" s="316" t="e">
        <f ca="1">_xll.BLUEMATRIX2("/servlet/excelData",R23, $C$14,$B23&amp;":"&amp;R$16&amp;R$17&amp;":"&amp;R$19&amp;":"&amp;$B24)</f>
        <v>#NAME?</v>
      </c>
      <c r="S24" s="315" t="e">
        <f ca="1">_xll.BLUEMATRIX2("/servlet/excelData",S23, $C$14,$B23&amp;":"&amp;S$16&amp;S$17&amp;":"&amp;S$19&amp;":"&amp;$B24)</f>
        <v>#NAME?</v>
      </c>
      <c r="T24" s="315" t="e">
        <f ca="1">_xll.BLUEMATRIX2("/servlet/excelData",T23, $C$14,$B23&amp;":"&amp;T$16&amp;T$17&amp;":"&amp;T$19&amp;":"&amp;$B24)</f>
        <v>#NAME?</v>
      </c>
      <c r="U24" s="315" t="e">
        <f ca="1">_xll.BLUEMATRIX2("/servlet/excelData",U23, $C$14,$B23&amp;":"&amp;U$16&amp;U$17&amp;":"&amp;U$19&amp;":"&amp;$B24)</f>
        <v>#NAME?</v>
      </c>
      <c r="V24" s="315" t="e">
        <f ca="1">_xll.BLUEMATRIX2("/servlet/excelData",V23, $C$14,$B23&amp;":"&amp;V$16&amp;V$17&amp;":"&amp;V$19&amp;":"&amp;$B24)</f>
        <v>#NAME?</v>
      </c>
      <c r="W24" s="316" t="e">
        <f ca="1">_xll.BLUEMATRIX2("/servlet/excelData",W23, $C$14,$B23&amp;":"&amp;W$16&amp;W$17&amp;":"&amp;W$19&amp;":"&amp;$B24)</f>
        <v>#NAME?</v>
      </c>
      <c r="X24" s="315" t="e">
        <f ca="1">_xll.BLUEMATRIX2("/servlet/excelData",X23, $C$14,$B23&amp;":"&amp;X$16&amp;X$17&amp;":"&amp;X$19&amp;":"&amp;$B24)</f>
        <v>#NAME?</v>
      </c>
      <c r="Y24" s="315" t="e">
        <f ca="1">_xll.BLUEMATRIX2("/servlet/excelData",Y23, $C$14,$B23&amp;":"&amp;Y$16&amp;Y$17&amp;":"&amp;Y$19&amp;":"&amp;$B24)</f>
        <v>#NAME?</v>
      </c>
      <c r="Z24" s="315" t="e">
        <f ca="1">_xll.BLUEMATRIX2("/servlet/excelData",Z23, $C$14,$B23&amp;":"&amp;Z$16&amp;Z$17&amp;":"&amp;Z$19&amp;":"&amp;$B24)</f>
        <v>#NAME?</v>
      </c>
      <c r="AA24" s="315" t="e">
        <f ca="1">_xll.BLUEMATRIX2("/servlet/excelData",AA23, $C$14,$B23&amp;":"&amp;AA$16&amp;AA$17&amp;":"&amp;AA$19&amp;":"&amp;$B24)</f>
        <v>#NAME?</v>
      </c>
      <c r="AB24" s="316" t="e">
        <f ca="1">_xll.BLUEMATRIX2("/servlet/excelData",AB23, $C$14,$B23&amp;":"&amp;AB$16&amp;AB$17&amp;":"&amp;AB$19&amp;":"&amp;$B24)</f>
        <v>#NAME?</v>
      </c>
      <c r="AC24" s="317"/>
      <c r="AD24" s="317"/>
      <c r="AE24" s="317"/>
      <c r="AF24" s="317"/>
      <c r="AG24" s="317"/>
      <c r="AH24" s="317"/>
      <c r="AI24" s="317"/>
      <c r="AJ24" s="261" t="s">
        <v>307</v>
      </c>
      <c r="AK24" s="317"/>
      <c r="AL24" s="317"/>
      <c r="AM24" s="317"/>
      <c r="AN24" s="317"/>
      <c r="AO24" s="317"/>
      <c r="AP24" s="317"/>
      <c r="AQ24" s="317"/>
      <c r="AR24" s="317"/>
      <c r="AS24" s="317"/>
      <c r="AT24" s="317"/>
      <c r="AU24" s="317"/>
      <c r="AV24" s="317"/>
      <c r="AW24" s="317"/>
      <c r="AX24" s="317"/>
      <c r="AY24" s="317"/>
      <c r="AZ24" s="317"/>
      <c r="BA24" s="317"/>
      <c r="BB24" s="317"/>
      <c r="BC24" s="317"/>
      <c r="BD24" s="317"/>
      <c r="BE24" s="317"/>
      <c r="BF24" s="317"/>
      <c r="BG24" s="317"/>
      <c r="BH24" s="317"/>
      <c r="BI24" s="317"/>
      <c r="BJ24" s="317"/>
      <c r="BK24" s="317"/>
      <c r="BL24" s="317"/>
      <c r="BM24" s="317"/>
      <c r="BN24" s="317"/>
      <c r="BO24" s="317"/>
      <c r="BP24" s="317"/>
      <c r="BQ24" s="317"/>
      <c r="BR24" s="317"/>
      <c r="BS24" s="317"/>
      <c r="BT24" s="317"/>
      <c r="BU24" s="317"/>
      <c r="BV24" s="317"/>
      <c r="BW24" s="317"/>
      <c r="BX24" s="317"/>
      <c r="BY24" s="317"/>
      <c r="BZ24" s="317"/>
      <c r="CA24" s="317"/>
      <c r="CB24" s="317"/>
      <c r="CC24" s="317"/>
      <c r="CD24" s="317"/>
      <c r="CE24" s="317"/>
      <c r="CF24" s="317"/>
      <c r="CG24" s="317"/>
      <c r="CH24" s="317"/>
      <c r="CI24" s="317"/>
      <c r="CJ24" s="317"/>
      <c r="CK24" s="317"/>
      <c r="CL24" s="317"/>
      <c r="CM24" s="317"/>
      <c r="CN24" s="317"/>
      <c r="CO24" s="317"/>
      <c r="CP24" s="317"/>
      <c r="CQ24" s="317"/>
      <c r="CR24" s="317"/>
      <c r="CS24" s="317"/>
      <c r="CT24" s="317"/>
      <c r="CU24" s="317"/>
      <c r="CV24" s="317"/>
      <c r="CW24" s="317"/>
      <c r="CX24" s="317"/>
      <c r="CY24" s="317"/>
      <c r="CZ24" s="317"/>
      <c r="DA24" s="317"/>
      <c r="DB24" s="317"/>
      <c r="DC24" s="317"/>
      <c r="DD24" s="317"/>
      <c r="DE24" s="317"/>
      <c r="DF24" s="317"/>
      <c r="DG24" s="317"/>
      <c r="DH24" s="317"/>
      <c r="DI24" s="317"/>
      <c r="DJ24" s="317"/>
      <c r="DK24" s="317"/>
      <c r="DL24" s="317"/>
      <c r="DM24" s="317"/>
      <c r="DN24" s="317"/>
      <c r="DO24" s="317"/>
      <c r="DP24" s="317"/>
      <c r="DQ24" s="317"/>
      <c r="DR24" s="317"/>
      <c r="DS24" s="317"/>
      <c r="DT24" s="317"/>
      <c r="DU24" s="317"/>
      <c r="DV24" s="317"/>
      <c r="DW24" s="317"/>
      <c r="DX24" s="317"/>
      <c r="DY24" s="317"/>
      <c r="DZ24" s="317"/>
      <c r="EA24" s="317"/>
      <c r="EB24" s="317"/>
      <c r="EC24" s="317"/>
      <c r="ED24" s="317"/>
      <c r="EE24" s="317"/>
      <c r="EF24" s="317"/>
      <c r="EG24" s="317"/>
      <c r="EH24" s="317"/>
      <c r="EI24" s="317"/>
      <c r="EJ24" s="317"/>
      <c r="EK24" s="317"/>
      <c r="EL24" s="317"/>
      <c r="EM24" s="317"/>
      <c r="EN24" s="317"/>
      <c r="EO24" s="317"/>
      <c r="EP24" s="317"/>
      <c r="EQ24" s="317"/>
      <c r="ER24" s="317"/>
      <c r="ES24" s="317"/>
      <c r="ET24" s="317"/>
      <c r="EU24" s="317"/>
      <c r="EV24" s="317"/>
      <c r="EW24" s="317"/>
      <c r="EX24" s="317"/>
      <c r="EY24" s="317"/>
      <c r="EZ24" s="317"/>
      <c r="FA24" s="317"/>
      <c r="FB24" s="317"/>
      <c r="FC24" s="317"/>
      <c r="FD24" s="317"/>
      <c r="FE24" s="317"/>
      <c r="FF24" s="317"/>
      <c r="FG24" s="317"/>
      <c r="FH24" s="317"/>
      <c r="FI24" s="317"/>
      <c r="FJ24" s="317"/>
      <c r="FK24" s="317"/>
      <c r="FL24" s="317"/>
      <c r="FM24" s="317"/>
      <c r="FN24" s="317"/>
      <c r="FO24" s="317"/>
      <c r="FP24" s="317"/>
      <c r="FQ24" s="317"/>
      <c r="FR24" s="317"/>
      <c r="FS24" s="317"/>
      <c r="FT24" s="317"/>
      <c r="FU24" s="317"/>
      <c r="FV24" s="317"/>
      <c r="FW24" s="317"/>
      <c r="FX24" s="317"/>
      <c r="FY24" s="317"/>
      <c r="FZ24" s="317"/>
      <c r="GA24" s="317"/>
      <c r="GB24" s="317"/>
      <c r="GC24" s="317"/>
      <c r="GD24" s="317"/>
      <c r="GE24" s="317"/>
      <c r="GF24" s="317"/>
      <c r="GG24" s="317"/>
      <c r="GH24" s="317"/>
      <c r="GI24" s="317"/>
      <c r="GJ24" s="317"/>
      <c r="GK24" s="317"/>
      <c r="GL24" s="317"/>
      <c r="GM24" s="317"/>
      <c r="GN24" s="317"/>
      <c r="GO24" s="317"/>
      <c r="GP24" s="317"/>
      <c r="GQ24" s="317"/>
      <c r="GR24" s="317"/>
      <c r="GS24" s="317"/>
      <c r="GT24" s="317"/>
      <c r="GU24" s="317"/>
      <c r="GV24" s="317"/>
      <c r="GW24" s="317"/>
      <c r="GX24" s="317"/>
      <c r="GY24" s="317"/>
      <c r="GZ24" s="317"/>
      <c r="HA24" s="317"/>
      <c r="HB24" s="317"/>
      <c r="HC24" s="317"/>
      <c r="HD24" s="317"/>
      <c r="HE24" s="317"/>
      <c r="HF24" s="317"/>
      <c r="HG24" s="317"/>
      <c r="HH24" s="317"/>
      <c r="HI24" s="317"/>
      <c r="HJ24" s="317"/>
      <c r="HK24" s="317"/>
      <c r="HL24" s="317"/>
      <c r="HM24" s="317"/>
      <c r="HN24" s="317"/>
      <c r="HO24" s="317"/>
      <c r="HP24" s="317"/>
      <c r="HQ24" s="317"/>
      <c r="HR24" s="317"/>
      <c r="HS24" s="317"/>
      <c r="HT24" s="317"/>
      <c r="HU24" s="317"/>
      <c r="HV24" s="317"/>
      <c r="HW24" s="317"/>
      <c r="HX24" s="317"/>
      <c r="HY24" s="317"/>
      <c r="HZ24" s="317"/>
      <c r="IA24" s="317"/>
      <c r="IB24" s="317"/>
      <c r="IC24" s="317"/>
      <c r="ID24" s="317"/>
      <c r="IE24" s="317"/>
      <c r="IF24" s="317"/>
      <c r="IG24" s="317"/>
      <c r="IH24" s="317"/>
      <c r="II24" s="317"/>
      <c r="IJ24" s="317"/>
      <c r="IK24" s="317"/>
      <c r="IL24" s="317"/>
      <c r="IM24" s="317"/>
      <c r="IN24" s="317"/>
      <c r="IO24" s="317"/>
      <c r="IP24" s="317"/>
      <c r="IQ24" s="317"/>
      <c r="IR24" s="317"/>
      <c r="IS24" s="317"/>
      <c r="IT24" s="317"/>
      <c r="IU24" s="317"/>
      <c r="IV24" s="317"/>
      <c r="IW24" s="317"/>
      <c r="IX24" s="317"/>
      <c r="IY24" s="317"/>
      <c r="IZ24" s="317"/>
      <c r="JA24" s="317"/>
    </row>
    <row r="25" spans="1:261" ht="15.4">
      <c r="A25" s="325" t="s">
        <v>308</v>
      </c>
      <c r="B25" s="308" t="s">
        <v>308</v>
      </c>
      <c r="C25" s="309"/>
      <c r="D25" s="326"/>
      <c r="E25" s="327"/>
      <c r="F25" s="327"/>
      <c r="G25" s="327"/>
      <c r="H25" s="328"/>
      <c r="I25" s="327"/>
      <c r="J25" s="327"/>
      <c r="K25" s="327"/>
      <c r="L25" s="327"/>
      <c r="M25" s="328"/>
      <c r="N25" s="327"/>
      <c r="O25" s="327"/>
      <c r="P25" s="327"/>
      <c r="Q25" s="327"/>
      <c r="R25" s="328"/>
      <c r="S25" s="327"/>
      <c r="T25" s="327"/>
      <c r="U25" s="327"/>
      <c r="V25" s="327"/>
      <c r="W25" s="328"/>
      <c r="X25" s="327"/>
      <c r="Y25" s="327"/>
      <c r="Z25" s="327"/>
      <c r="AA25" s="327"/>
      <c r="AB25" s="328"/>
      <c r="AJ25" s="261" t="s">
        <v>309</v>
      </c>
    </row>
    <row r="26" spans="1:261" ht="15.4">
      <c r="A26" s="329"/>
      <c r="B26" s="312"/>
      <c r="C26" s="313"/>
      <c r="D26" s="314" t="e">
        <f ca="1">_xll.BLUEMATRIX2("/servlet/excelData",D25, $C$14,$B25&amp;":"&amp;D$16&amp;D$17&amp;":"&amp;D$19&amp;":"&amp;$B26)</f>
        <v>#NAME?</v>
      </c>
      <c r="E26" s="315" t="e">
        <f ca="1">_xll.BLUEMATRIX2("/servlet/excelData",E25, $C$14,$B25&amp;":"&amp;E$16&amp;E$17&amp;":"&amp;E$19&amp;":"&amp;$B26)</f>
        <v>#NAME?</v>
      </c>
      <c r="F26" s="315" t="e">
        <f ca="1">_xll.BLUEMATRIX2("/servlet/excelData",F25, $C$14,$B25&amp;":"&amp;F$16&amp;F$17&amp;":"&amp;F$19&amp;":"&amp;$B26)</f>
        <v>#NAME?</v>
      </c>
      <c r="G26" s="315" t="e">
        <f ca="1">_xll.BLUEMATRIX2("/servlet/excelData",G25, $C$14,$B25&amp;":"&amp;G$16&amp;G$17&amp;":"&amp;G$19&amp;":"&amp;$B26)</f>
        <v>#NAME?</v>
      </c>
      <c r="H26" s="316" t="e">
        <f ca="1">_xll.BLUEMATRIX2("/servlet/excelData",H25, $C$14,$B25&amp;":"&amp;H$16&amp;H$17&amp;":"&amp;H$19&amp;":"&amp;$B26)</f>
        <v>#NAME?</v>
      </c>
      <c r="I26" s="315" t="e">
        <f ca="1">_xll.BLUEMATRIX2("/servlet/excelData",I25, $C$14,$B25&amp;":"&amp;I$16&amp;I$17&amp;":"&amp;I$19&amp;":"&amp;$B26)</f>
        <v>#NAME?</v>
      </c>
      <c r="J26" s="315" t="e">
        <f ca="1">_xll.BLUEMATRIX2("/servlet/excelData",J25, $C$14,$B25&amp;":"&amp;J$16&amp;J$17&amp;":"&amp;J$19&amp;":"&amp;$B26)</f>
        <v>#NAME?</v>
      </c>
      <c r="K26" s="315" t="e">
        <f ca="1">_xll.BLUEMATRIX2("/servlet/excelData",K25, $C$14,$B25&amp;":"&amp;K$16&amp;K$17&amp;":"&amp;K$19&amp;":"&amp;$B26)</f>
        <v>#NAME?</v>
      </c>
      <c r="L26" s="315" t="e">
        <f ca="1">_xll.BLUEMATRIX2("/servlet/excelData",L25, $C$14,$B25&amp;":"&amp;L$16&amp;L$17&amp;":"&amp;L$19&amp;":"&amp;$B26)</f>
        <v>#NAME?</v>
      </c>
      <c r="M26" s="316" t="e">
        <f ca="1">_xll.BLUEMATRIX2("/servlet/excelData",M25, $C$14,$B25&amp;":"&amp;M$16&amp;M$17&amp;":"&amp;M$19&amp;":"&amp;$B26)</f>
        <v>#NAME?</v>
      </c>
      <c r="N26" s="315" t="e">
        <f ca="1">_xll.BLUEMATRIX2("/servlet/excelData",N25, $C$14,$B25&amp;":"&amp;N$16&amp;N$17&amp;":"&amp;N$19&amp;":"&amp;$B26)</f>
        <v>#NAME?</v>
      </c>
      <c r="O26" s="315" t="e">
        <f ca="1">_xll.BLUEMATRIX2("/servlet/excelData",O25, $C$14,$B25&amp;":"&amp;O$16&amp;O$17&amp;":"&amp;O$19&amp;":"&amp;$B26)</f>
        <v>#NAME?</v>
      </c>
      <c r="P26" s="315" t="e">
        <f ca="1">_xll.BLUEMATRIX2("/servlet/excelData",P25, $C$14,$B25&amp;":"&amp;P$16&amp;P$17&amp;":"&amp;P$19&amp;":"&amp;$B26)</f>
        <v>#NAME?</v>
      </c>
      <c r="Q26" s="315" t="e">
        <f ca="1">_xll.BLUEMATRIX2("/servlet/excelData",Q25, $C$14,$B25&amp;":"&amp;Q$16&amp;Q$17&amp;":"&amp;Q$19&amp;":"&amp;$B26)</f>
        <v>#NAME?</v>
      </c>
      <c r="R26" s="316" t="e">
        <f ca="1">_xll.BLUEMATRIX2("/servlet/excelData",R25, $C$14,$B25&amp;":"&amp;R$16&amp;R$17&amp;":"&amp;R$19&amp;":"&amp;$B26)</f>
        <v>#NAME?</v>
      </c>
      <c r="S26" s="315" t="e">
        <f ca="1">_xll.BLUEMATRIX2("/servlet/excelData",S25, $C$14,$B25&amp;":"&amp;S$16&amp;S$17&amp;":"&amp;S$19&amp;":"&amp;$B26)</f>
        <v>#NAME?</v>
      </c>
      <c r="T26" s="315" t="e">
        <f ca="1">_xll.BLUEMATRIX2("/servlet/excelData",T25, $C$14,$B25&amp;":"&amp;T$16&amp;T$17&amp;":"&amp;T$19&amp;":"&amp;$B26)</f>
        <v>#NAME?</v>
      </c>
      <c r="U26" s="315" t="e">
        <f ca="1">_xll.BLUEMATRIX2("/servlet/excelData",U25, $C$14,$B25&amp;":"&amp;U$16&amp;U$17&amp;":"&amp;U$19&amp;":"&amp;$B26)</f>
        <v>#NAME?</v>
      </c>
      <c r="V26" s="315" t="e">
        <f ca="1">_xll.BLUEMATRIX2("/servlet/excelData",V25, $C$14,$B25&amp;":"&amp;V$16&amp;V$17&amp;":"&amp;V$19&amp;":"&amp;$B26)</f>
        <v>#NAME?</v>
      </c>
      <c r="W26" s="316" t="e">
        <f ca="1">_xll.BLUEMATRIX2("/servlet/excelData",W25, $C$14,$B25&amp;":"&amp;W$16&amp;W$17&amp;":"&amp;W$19&amp;":"&amp;$B26)</f>
        <v>#NAME?</v>
      </c>
      <c r="X26" s="315" t="e">
        <f ca="1">_xll.BLUEMATRIX2("/servlet/excelData",X25, $C$14,$B25&amp;":"&amp;X$16&amp;X$17&amp;":"&amp;X$19&amp;":"&amp;$B26)</f>
        <v>#NAME?</v>
      </c>
      <c r="Y26" s="315" t="e">
        <f ca="1">_xll.BLUEMATRIX2("/servlet/excelData",Y25, $C$14,$B25&amp;":"&amp;Y$16&amp;Y$17&amp;":"&amp;Y$19&amp;":"&amp;$B26)</f>
        <v>#NAME?</v>
      </c>
      <c r="Z26" s="315" t="e">
        <f ca="1">_xll.BLUEMATRIX2("/servlet/excelData",Z25, $C$14,$B25&amp;":"&amp;Z$16&amp;Z$17&amp;":"&amp;Z$19&amp;":"&amp;$B26)</f>
        <v>#NAME?</v>
      </c>
      <c r="AA26" s="315" t="e">
        <f ca="1">_xll.BLUEMATRIX2("/servlet/excelData",AA25, $C$14,$B25&amp;":"&amp;AA$16&amp;AA$17&amp;":"&amp;AA$19&amp;":"&amp;$B26)</f>
        <v>#NAME?</v>
      </c>
      <c r="AB26" s="316" t="e">
        <f ca="1">_xll.BLUEMATRIX2("/servlet/excelData",AB25, $C$14,$B25&amp;":"&amp;AB$16&amp;AB$17&amp;":"&amp;AB$19&amp;":"&amp;$B26)</f>
        <v>#NAME?</v>
      </c>
      <c r="AC26" s="317"/>
      <c r="AD26" s="317"/>
      <c r="AE26" s="317"/>
      <c r="AF26" s="317"/>
      <c r="AG26" s="317"/>
      <c r="AH26" s="317"/>
      <c r="AI26" s="317"/>
      <c r="AJ26" s="261" t="s">
        <v>310</v>
      </c>
      <c r="AK26" s="317"/>
      <c r="AL26" s="317"/>
      <c r="AM26" s="317"/>
      <c r="AN26" s="317"/>
      <c r="AO26" s="317"/>
      <c r="AP26" s="317"/>
      <c r="AQ26" s="317"/>
      <c r="AR26" s="317"/>
      <c r="AS26" s="317"/>
      <c r="AT26" s="317"/>
      <c r="AU26" s="317"/>
      <c r="AV26" s="317"/>
      <c r="AW26" s="317"/>
      <c r="AX26" s="317"/>
      <c r="AY26" s="317"/>
      <c r="AZ26" s="317"/>
      <c r="BA26" s="317"/>
      <c r="BB26" s="317"/>
      <c r="BC26" s="317"/>
      <c r="BD26" s="317"/>
      <c r="BE26" s="317"/>
      <c r="BF26" s="317"/>
      <c r="BG26" s="317"/>
      <c r="BH26" s="317"/>
      <c r="BI26" s="317"/>
      <c r="BJ26" s="317"/>
      <c r="BK26" s="317"/>
      <c r="BL26" s="317"/>
      <c r="BM26" s="317"/>
      <c r="BN26" s="317"/>
      <c r="BO26" s="317"/>
      <c r="BP26" s="317"/>
      <c r="BQ26" s="317"/>
      <c r="BR26" s="317"/>
      <c r="BS26" s="317"/>
      <c r="BT26" s="317"/>
      <c r="BU26" s="317"/>
      <c r="BV26" s="317"/>
      <c r="BW26" s="317"/>
      <c r="BX26" s="317"/>
      <c r="BY26" s="317"/>
      <c r="BZ26" s="317"/>
      <c r="CA26" s="317"/>
      <c r="CB26" s="317"/>
      <c r="CC26" s="317"/>
      <c r="CD26" s="317"/>
      <c r="CE26" s="317"/>
      <c r="CF26" s="317"/>
      <c r="CG26" s="317"/>
      <c r="CH26" s="317"/>
      <c r="CI26" s="317"/>
      <c r="CJ26" s="317"/>
      <c r="CK26" s="317"/>
      <c r="CL26" s="317"/>
      <c r="CM26" s="317"/>
      <c r="CN26" s="317"/>
      <c r="CO26" s="317"/>
      <c r="CP26" s="317"/>
      <c r="CQ26" s="317"/>
      <c r="CR26" s="317"/>
      <c r="CS26" s="317"/>
      <c r="CT26" s="317"/>
      <c r="CU26" s="317"/>
      <c r="CV26" s="317"/>
      <c r="CW26" s="317"/>
      <c r="CX26" s="317"/>
      <c r="CY26" s="317"/>
      <c r="CZ26" s="317"/>
      <c r="DA26" s="317"/>
      <c r="DB26" s="317"/>
      <c r="DC26" s="317"/>
      <c r="DD26" s="317"/>
      <c r="DE26" s="317"/>
      <c r="DF26" s="317"/>
      <c r="DG26" s="317"/>
      <c r="DH26" s="317"/>
      <c r="DI26" s="317"/>
      <c r="DJ26" s="317"/>
      <c r="DK26" s="317"/>
      <c r="DL26" s="317"/>
      <c r="DM26" s="317"/>
      <c r="DN26" s="317"/>
      <c r="DO26" s="317"/>
      <c r="DP26" s="317"/>
      <c r="DQ26" s="317"/>
      <c r="DR26" s="317"/>
      <c r="DS26" s="317"/>
      <c r="DT26" s="317"/>
      <c r="DU26" s="317"/>
      <c r="DV26" s="317"/>
      <c r="DW26" s="317"/>
      <c r="DX26" s="317"/>
      <c r="DY26" s="317"/>
      <c r="DZ26" s="317"/>
      <c r="EA26" s="317"/>
      <c r="EB26" s="317"/>
      <c r="EC26" s="317"/>
      <c r="ED26" s="317"/>
      <c r="EE26" s="317"/>
      <c r="EF26" s="317"/>
      <c r="EG26" s="317"/>
      <c r="EH26" s="317"/>
      <c r="EI26" s="317"/>
      <c r="EJ26" s="317"/>
      <c r="EK26" s="317"/>
      <c r="EL26" s="317"/>
      <c r="EM26" s="317"/>
      <c r="EN26" s="317"/>
      <c r="EO26" s="317"/>
      <c r="EP26" s="317"/>
      <c r="EQ26" s="317"/>
      <c r="ER26" s="317"/>
      <c r="ES26" s="317"/>
      <c r="ET26" s="317"/>
      <c r="EU26" s="317"/>
      <c r="EV26" s="317"/>
      <c r="EW26" s="317"/>
      <c r="EX26" s="317"/>
      <c r="EY26" s="317"/>
      <c r="EZ26" s="317"/>
      <c r="FA26" s="317"/>
      <c r="FB26" s="317"/>
      <c r="FC26" s="317"/>
      <c r="FD26" s="317"/>
      <c r="FE26" s="317"/>
      <c r="FF26" s="317"/>
      <c r="FG26" s="317"/>
      <c r="FH26" s="317"/>
      <c r="FI26" s="317"/>
      <c r="FJ26" s="317"/>
      <c r="FK26" s="317"/>
      <c r="FL26" s="317"/>
      <c r="FM26" s="317"/>
      <c r="FN26" s="317"/>
      <c r="FO26" s="317"/>
      <c r="FP26" s="317"/>
      <c r="FQ26" s="317"/>
      <c r="FR26" s="317"/>
      <c r="FS26" s="317"/>
      <c r="FT26" s="317"/>
      <c r="FU26" s="317"/>
      <c r="FV26" s="317"/>
      <c r="FW26" s="317"/>
      <c r="FX26" s="317"/>
      <c r="FY26" s="317"/>
      <c r="FZ26" s="317"/>
      <c r="GA26" s="317"/>
      <c r="GB26" s="317"/>
      <c r="GC26" s="317"/>
      <c r="GD26" s="317"/>
      <c r="GE26" s="317"/>
      <c r="GF26" s="317"/>
      <c r="GG26" s="317"/>
      <c r="GH26" s="317"/>
      <c r="GI26" s="317"/>
      <c r="GJ26" s="317"/>
      <c r="GK26" s="317"/>
      <c r="GL26" s="317"/>
      <c r="GM26" s="317"/>
      <c r="GN26" s="317"/>
      <c r="GO26" s="317"/>
      <c r="GP26" s="317"/>
      <c r="GQ26" s="317"/>
      <c r="GR26" s="317"/>
      <c r="GS26" s="317"/>
      <c r="GT26" s="317"/>
      <c r="GU26" s="317"/>
      <c r="GV26" s="317"/>
      <c r="GW26" s="317"/>
      <c r="GX26" s="317"/>
      <c r="GY26" s="317"/>
      <c r="GZ26" s="317"/>
      <c r="HA26" s="317"/>
      <c r="HB26" s="317"/>
      <c r="HC26" s="317"/>
      <c r="HD26" s="317"/>
      <c r="HE26" s="317"/>
      <c r="HF26" s="317"/>
      <c r="HG26" s="317"/>
      <c r="HH26" s="317"/>
      <c r="HI26" s="317"/>
      <c r="HJ26" s="317"/>
      <c r="HK26" s="317"/>
      <c r="HL26" s="317"/>
      <c r="HM26" s="317"/>
      <c r="HN26" s="317"/>
      <c r="HO26" s="317"/>
      <c r="HP26" s="317"/>
      <c r="HQ26" s="317"/>
      <c r="HR26" s="317"/>
      <c r="HS26" s="317"/>
      <c r="HT26" s="317"/>
      <c r="HU26" s="317"/>
      <c r="HV26" s="317"/>
      <c r="HW26" s="317"/>
      <c r="HX26" s="317"/>
      <c r="HY26" s="317"/>
      <c r="HZ26" s="317"/>
      <c r="IA26" s="317"/>
      <c r="IB26" s="317"/>
      <c r="IC26" s="317"/>
      <c r="ID26" s="317"/>
      <c r="IE26" s="317"/>
      <c r="IF26" s="317"/>
      <c r="IG26" s="317"/>
      <c r="IH26" s="317"/>
      <c r="II26" s="317"/>
      <c r="IJ26" s="317"/>
      <c r="IK26" s="317"/>
      <c r="IL26" s="317"/>
      <c r="IM26" s="317"/>
      <c r="IN26" s="317"/>
      <c r="IO26" s="317"/>
      <c r="IP26" s="317"/>
      <c r="IQ26" s="317"/>
      <c r="IR26" s="317"/>
      <c r="IS26" s="317"/>
      <c r="IT26" s="317"/>
      <c r="IU26" s="317"/>
      <c r="IV26" s="317"/>
      <c r="IW26" s="317"/>
      <c r="IX26" s="317"/>
      <c r="IY26" s="317"/>
      <c r="IZ26" s="317"/>
      <c r="JA26" s="317"/>
    </row>
    <row r="27" spans="1:261">
      <c r="A27" s="330" t="s">
        <v>311</v>
      </c>
      <c r="B27" s="319" t="s">
        <v>311</v>
      </c>
      <c r="C27" s="320"/>
      <c r="D27" s="331"/>
      <c r="E27" s="317"/>
      <c r="F27" s="317"/>
      <c r="G27" s="317"/>
      <c r="H27" s="332"/>
      <c r="I27" s="317"/>
      <c r="J27" s="317"/>
      <c r="K27" s="317"/>
      <c r="L27" s="317"/>
      <c r="M27" s="332"/>
      <c r="N27" s="317"/>
      <c r="O27" s="317"/>
      <c r="P27" s="317"/>
      <c r="Q27" s="317"/>
      <c r="R27" s="332"/>
      <c r="S27" s="317"/>
      <c r="T27" s="317"/>
      <c r="U27" s="317"/>
      <c r="V27" s="317"/>
      <c r="W27" s="332"/>
      <c r="X27" s="317"/>
      <c r="Y27" s="317"/>
      <c r="Z27" s="317"/>
      <c r="AA27" s="317"/>
      <c r="AB27" s="332"/>
      <c r="AJ27" s="262"/>
    </row>
    <row r="28" spans="1:261">
      <c r="A28" s="333"/>
      <c r="B28" s="323"/>
      <c r="C28" s="324"/>
      <c r="D28" s="334" t="e">
        <f ca="1">_xll.BLUEMATRIX2("/servlet/excelData",D27, $C$14,$B27&amp;":"&amp;D$16&amp;D$17&amp;":"&amp;D$19&amp;":"&amp;$B28)</f>
        <v>#NAME?</v>
      </c>
      <c r="E28" s="335" t="e">
        <f ca="1">_xll.BLUEMATRIX2("/servlet/excelData",E27, $C$14,$B27&amp;":"&amp;E$16&amp;E$17&amp;":"&amp;E$19&amp;":"&amp;$B28)</f>
        <v>#NAME?</v>
      </c>
      <c r="F28" s="335" t="e">
        <f ca="1">_xll.BLUEMATRIX2("/servlet/excelData",F27, $C$14,$B27&amp;":"&amp;F$16&amp;F$17&amp;":"&amp;F$19&amp;":"&amp;$B28)</f>
        <v>#NAME?</v>
      </c>
      <c r="G28" s="335" t="e">
        <f ca="1">_xll.BLUEMATRIX2("/servlet/excelData",G27, $C$14,$B27&amp;":"&amp;G$16&amp;G$17&amp;":"&amp;G$19&amp;":"&amp;$B28)</f>
        <v>#NAME?</v>
      </c>
      <c r="H28" s="271" t="e">
        <f ca="1">_xll.BLUEMATRIX2("/servlet/excelData",H27, $C$14,$B27&amp;":"&amp;H$16&amp;H$17&amp;":"&amp;H$19&amp;":"&amp;$B28)</f>
        <v>#NAME?</v>
      </c>
      <c r="I28" s="335" t="e">
        <f ca="1">_xll.BLUEMATRIX2("/servlet/excelData",I27, $C$14,$B27&amp;":"&amp;I$16&amp;I$17&amp;":"&amp;I$19&amp;":"&amp;$B28)</f>
        <v>#NAME?</v>
      </c>
      <c r="J28" s="335" t="e">
        <f ca="1">_xll.BLUEMATRIX2("/servlet/excelData",J27, $C$14,$B27&amp;":"&amp;J$16&amp;J$17&amp;":"&amp;J$19&amp;":"&amp;$B28)</f>
        <v>#NAME?</v>
      </c>
      <c r="K28" s="335" t="e">
        <f ca="1">_xll.BLUEMATRIX2("/servlet/excelData",K27, $C$14,$B27&amp;":"&amp;K$16&amp;K$17&amp;":"&amp;K$19&amp;":"&amp;$B28)</f>
        <v>#NAME?</v>
      </c>
      <c r="L28" s="335" t="e">
        <f ca="1">_xll.BLUEMATRIX2("/servlet/excelData",L27, $C$14,$B27&amp;":"&amp;L$16&amp;L$17&amp;":"&amp;L$19&amp;":"&amp;$B28)</f>
        <v>#NAME?</v>
      </c>
      <c r="M28" s="271" t="e">
        <f ca="1">_xll.BLUEMATRIX2("/servlet/excelData",M27, $C$14,$B27&amp;":"&amp;M$16&amp;M$17&amp;":"&amp;M$19&amp;":"&amp;$B28)</f>
        <v>#NAME?</v>
      </c>
      <c r="N28" s="335" t="e">
        <f ca="1">_xll.BLUEMATRIX2("/servlet/excelData",N27, $C$14,$B27&amp;":"&amp;N$16&amp;N$17&amp;":"&amp;N$19&amp;":"&amp;$B28)</f>
        <v>#NAME?</v>
      </c>
      <c r="O28" s="335" t="e">
        <f ca="1">_xll.BLUEMATRIX2("/servlet/excelData",O27, $C$14,$B27&amp;":"&amp;O$16&amp;O$17&amp;":"&amp;O$19&amp;":"&amp;$B28)</f>
        <v>#NAME?</v>
      </c>
      <c r="P28" s="335" t="e">
        <f ca="1">_xll.BLUEMATRIX2("/servlet/excelData",P27, $C$14,$B27&amp;":"&amp;P$16&amp;P$17&amp;":"&amp;P$19&amp;":"&amp;$B28)</f>
        <v>#NAME?</v>
      </c>
      <c r="Q28" s="335" t="e">
        <f ca="1">_xll.BLUEMATRIX2("/servlet/excelData",Q27, $C$14,$B27&amp;":"&amp;Q$16&amp;Q$17&amp;":"&amp;Q$19&amp;":"&amp;$B28)</f>
        <v>#NAME?</v>
      </c>
      <c r="R28" s="271" t="e">
        <f ca="1">_xll.BLUEMATRIX2("/servlet/excelData",R27, $C$14,$B27&amp;":"&amp;R$16&amp;R$17&amp;":"&amp;R$19&amp;":"&amp;$B28)</f>
        <v>#NAME?</v>
      </c>
      <c r="S28" s="335" t="e">
        <f ca="1">_xll.BLUEMATRIX2("/servlet/excelData",S27, $C$14,$B27&amp;":"&amp;S$16&amp;S$17&amp;":"&amp;S$19&amp;":"&amp;$B28)</f>
        <v>#NAME?</v>
      </c>
      <c r="T28" s="335" t="e">
        <f ca="1">_xll.BLUEMATRIX2("/servlet/excelData",T27, $C$14,$B27&amp;":"&amp;T$16&amp;T$17&amp;":"&amp;T$19&amp;":"&amp;$B28)</f>
        <v>#NAME?</v>
      </c>
      <c r="U28" s="335" t="e">
        <f ca="1">_xll.BLUEMATRIX2("/servlet/excelData",U27, $C$14,$B27&amp;":"&amp;U$16&amp;U$17&amp;":"&amp;U$19&amp;":"&amp;$B28)</f>
        <v>#NAME?</v>
      </c>
      <c r="V28" s="335" t="e">
        <f ca="1">_xll.BLUEMATRIX2("/servlet/excelData",V27, $C$14,$B27&amp;":"&amp;V$16&amp;V$17&amp;":"&amp;V$19&amp;":"&amp;$B28)</f>
        <v>#NAME?</v>
      </c>
      <c r="W28" s="271" t="e">
        <f ca="1">_xll.BLUEMATRIX2("/servlet/excelData",W27, $C$14,$B27&amp;":"&amp;W$16&amp;W$17&amp;":"&amp;W$19&amp;":"&amp;$B28)</f>
        <v>#NAME?</v>
      </c>
      <c r="X28" s="335" t="e">
        <f ca="1">_xll.BLUEMATRIX2("/servlet/excelData",X27, $C$14,$B27&amp;":"&amp;X$16&amp;X$17&amp;":"&amp;X$19&amp;":"&amp;$B28)</f>
        <v>#NAME?</v>
      </c>
      <c r="Y28" s="335" t="e">
        <f ca="1">_xll.BLUEMATRIX2("/servlet/excelData",Y27, $C$14,$B27&amp;":"&amp;Y$16&amp;Y$17&amp;":"&amp;Y$19&amp;":"&amp;$B28)</f>
        <v>#NAME?</v>
      </c>
      <c r="Z28" s="335" t="e">
        <f ca="1">_xll.BLUEMATRIX2("/servlet/excelData",Z27, $C$14,$B27&amp;":"&amp;Z$16&amp;Z$17&amp;":"&amp;Z$19&amp;":"&amp;$B28)</f>
        <v>#NAME?</v>
      </c>
      <c r="AA28" s="335" t="e">
        <f ca="1">_xll.BLUEMATRIX2("/servlet/excelData",AA27, $C$14,$B27&amp;":"&amp;AA$16&amp;AA$17&amp;":"&amp;AA$19&amp;":"&amp;$B28)</f>
        <v>#NAME?</v>
      </c>
      <c r="AB28" s="271" t="e">
        <f ca="1">_xll.BLUEMATRIX2("/servlet/excelData",AB27, $C$14,$B27&amp;":"&amp;AB$16&amp;AB$17&amp;":"&amp;AB$19&amp;":"&amp;$B28)</f>
        <v>#NAME?</v>
      </c>
      <c r="AC28" s="317"/>
      <c r="AD28" s="317"/>
      <c r="AE28" s="317"/>
      <c r="AF28" s="317"/>
      <c r="AG28" s="317"/>
      <c r="AH28" s="317"/>
      <c r="AI28" s="317"/>
      <c r="AJ28" s="262"/>
      <c r="AK28" s="317"/>
      <c r="AL28" s="317"/>
      <c r="AM28" s="317"/>
      <c r="AN28" s="317"/>
      <c r="AO28" s="317"/>
      <c r="AP28" s="317"/>
      <c r="AQ28" s="317"/>
      <c r="AR28" s="317"/>
      <c r="AS28" s="317"/>
      <c r="AT28" s="317"/>
      <c r="AU28" s="317"/>
      <c r="AV28" s="317"/>
      <c r="AW28" s="317"/>
      <c r="AX28" s="317"/>
      <c r="AY28" s="317"/>
      <c r="AZ28" s="317"/>
      <c r="BA28" s="317"/>
      <c r="BB28" s="317"/>
      <c r="BC28" s="317"/>
      <c r="BD28" s="317"/>
      <c r="BE28" s="317"/>
      <c r="BF28" s="317"/>
      <c r="BG28" s="317"/>
      <c r="BH28" s="317"/>
      <c r="BI28" s="317"/>
      <c r="BJ28" s="317"/>
      <c r="BK28" s="317"/>
      <c r="BL28" s="317"/>
      <c r="BM28" s="317"/>
      <c r="BN28" s="317"/>
      <c r="BO28" s="317"/>
      <c r="BP28" s="317"/>
      <c r="BQ28" s="317"/>
      <c r="BR28" s="317"/>
      <c r="BS28" s="317"/>
      <c r="BT28" s="317"/>
      <c r="BU28" s="317"/>
      <c r="BV28" s="317"/>
      <c r="BW28" s="317"/>
      <c r="BX28" s="317"/>
      <c r="BY28" s="317"/>
      <c r="BZ28" s="317"/>
      <c r="CA28" s="317"/>
      <c r="CB28" s="317"/>
      <c r="CC28" s="317"/>
      <c r="CD28" s="317"/>
      <c r="CE28" s="317"/>
      <c r="CF28" s="317"/>
      <c r="CG28" s="317"/>
      <c r="CH28" s="317"/>
      <c r="CI28" s="317"/>
      <c r="CJ28" s="317"/>
      <c r="CK28" s="317"/>
      <c r="CL28" s="317"/>
      <c r="CM28" s="317"/>
      <c r="CN28" s="317"/>
      <c r="CO28" s="317"/>
      <c r="CP28" s="317"/>
      <c r="CQ28" s="317"/>
      <c r="CR28" s="317"/>
      <c r="CS28" s="317"/>
      <c r="CT28" s="317"/>
      <c r="CU28" s="317"/>
      <c r="CV28" s="317"/>
      <c r="CW28" s="317"/>
      <c r="CX28" s="317"/>
      <c r="CY28" s="317"/>
      <c r="CZ28" s="317"/>
      <c r="DA28" s="317"/>
      <c r="DB28" s="317"/>
      <c r="DC28" s="317"/>
      <c r="DD28" s="317"/>
      <c r="DE28" s="317"/>
      <c r="DF28" s="317"/>
      <c r="DG28" s="317"/>
      <c r="DH28" s="317"/>
      <c r="DI28" s="317"/>
      <c r="DJ28" s="317"/>
      <c r="DK28" s="317"/>
      <c r="DL28" s="317"/>
      <c r="DM28" s="317"/>
      <c r="DN28" s="317"/>
      <c r="DO28" s="317"/>
      <c r="DP28" s="317"/>
      <c r="DQ28" s="317"/>
      <c r="DR28" s="317"/>
      <c r="DS28" s="317"/>
      <c r="DT28" s="317"/>
      <c r="DU28" s="317"/>
      <c r="DV28" s="317"/>
      <c r="DW28" s="317"/>
      <c r="DX28" s="317"/>
      <c r="DY28" s="317"/>
      <c r="DZ28" s="317"/>
      <c r="EA28" s="317"/>
      <c r="EB28" s="317"/>
      <c r="EC28" s="317"/>
      <c r="ED28" s="317"/>
      <c r="EE28" s="317"/>
      <c r="EF28" s="317"/>
      <c r="EG28" s="317"/>
      <c r="EH28" s="317"/>
      <c r="EI28" s="317"/>
      <c r="EJ28" s="317"/>
      <c r="EK28" s="317"/>
      <c r="EL28" s="317"/>
      <c r="EM28" s="317"/>
      <c r="EN28" s="317"/>
      <c r="EO28" s="317"/>
      <c r="EP28" s="317"/>
      <c r="EQ28" s="317"/>
      <c r="ER28" s="317"/>
      <c r="ES28" s="317"/>
      <c r="ET28" s="317"/>
      <c r="EU28" s="317"/>
      <c r="EV28" s="317"/>
      <c r="EW28" s="317"/>
      <c r="EX28" s="317"/>
      <c r="EY28" s="317"/>
      <c r="EZ28" s="317"/>
      <c r="FA28" s="317"/>
      <c r="FB28" s="317"/>
      <c r="FC28" s="317"/>
      <c r="FD28" s="317"/>
      <c r="FE28" s="317"/>
      <c r="FF28" s="317"/>
      <c r="FG28" s="317"/>
      <c r="FH28" s="317"/>
      <c r="FI28" s="317"/>
      <c r="FJ28" s="317"/>
      <c r="FK28" s="317"/>
      <c r="FL28" s="317"/>
      <c r="FM28" s="317"/>
      <c r="FN28" s="317"/>
      <c r="FO28" s="317"/>
      <c r="FP28" s="317"/>
      <c r="FQ28" s="317"/>
      <c r="FR28" s="317"/>
      <c r="FS28" s="317"/>
      <c r="FT28" s="317"/>
      <c r="FU28" s="317"/>
      <c r="FV28" s="317"/>
      <c r="FW28" s="317"/>
      <c r="FX28" s="317"/>
      <c r="FY28" s="317"/>
      <c r="FZ28" s="317"/>
      <c r="GA28" s="317"/>
      <c r="GB28" s="317"/>
      <c r="GC28" s="317"/>
      <c r="GD28" s="317"/>
      <c r="GE28" s="317"/>
      <c r="GF28" s="317"/>
      <c r="GG28" s="317"/>
      <c r="GH28" s="317"/>
      <c r="GI28" s="317"/>
      <c r="GJ28" s="317"/>
      <c r="GK28" s="317"/>
      <c r="GL28" s="317"/>
      <c r="GM28" s="317"/>
      <c r="GN28" s="317"/>
      <c r="GO28" s="317"/>
      <c r="GP28" s="317"/>
      <c r="GQ28" s="317"/>
      <c r="GR28" s="317"/>
      <c r="GS28" s="317"/>
      <c r="GT28" s="317"/>
      <c r="GU28" s="317"/>
      <c r="GV28" s="317"/>
      <c r="GW28" s="317"/>
      <c r="GX28" s="317"/>
      <c r="GY28" s="317"/>
      <c r="GZ28" s="317"/>
      <c r="HA28" s="317"/>
      <c r="HB28" s="317"/>
      <c r="HC28" s="317"/>
      <c r="HD28" s="317"/>
      <c r="HE28" s="317"/>
      <c r="HF28" s="317"/>
      <c r="HG28" s="317"/>
      <c r="HH28" s="317"/>
      <c r="HI28" s="317"/>
      <c r="HJ28" s="317"/>
      <c r="HK28" s="317"/>
      <c r="HL28" s="317"/>
      <c r="HM28" s="317"/>
      <c r="HN28" s="317"/>
      <c r="HO28" s="317"/>
      <c r="HP28" s="317"/>
      <c r="HQ28" s="317"/>
      <c r="HR28" s="317"/>
      <c r="HS28" s="317"/>
      <c r="HT28" s="317"/>
      <c r="HU28" s="317"/>
      <c r="HV28" s="317"/>
      <c r="HW28" s="317"/>
      <c r="HX28" s="317"/>
      <c r="HY28" s="317"/>
      <c r="HZ28" s="317"/>
      <c r="IA28" s="317"/>
      <c r="IB28" s="317"/>
      <c r="IC28" s="317"/>
      <c r="ID28" s="317"/>
      <c r="IE28" s="317"/>
      <c r="IF28" s="317"/>
      <c r="IG28" s="317"/>
      <c r="IH28" s="317"/>
      <c r="II28" s="317"/>
      <c r="IJ28" s="317"/>
      <c r="IK28" s="317"/>
      <c r="IL28" s="317"/>
      <c r="IM28" s="317"/>
      <c r="IN28" s="317"/>
      <c r="IO28" s="317"/>
      <c r="IP28" s="317"/>
      <c r="IQ28" s="317"/>
      <c r="IR28" s="317"/>
      <c r="IS28" s="317"/>
      <c r="IT28" s="317"/>
      <c r="IU28" s="317"/>
      <c r="IV28" s="317"/>
      <c r="IW28" s="317"/>
      <c r="IX28" s="317"/>
      <c r="IY28" s="317"/>
      <c r="IZ28" s="317"/>
      <c r="JA28" s="317"/>
    </row>
    <row r="29" spans="1:261">
      <c r="A29" s="325" t="s">
        <v>312</v>
      </c>
      <c r="B29" s="308" t="s">
        <v>313</v>
      </c>
      <c r="C29" s="309"/>
      <c r="D29" s="326"/>
      <c r="E29" s="327"/>
      <c r="F29" s="327"/>
      <c r="G29" s="327"/>
      <c r="H29" s="328"/>
      <c r="I29" s="327"/>
      <c r="J29" s="327"/>
      <c r="K29" s="327"/>
      <c r="L29" s="327"/>
      <c r="M29" s="328"/>
      <c r="N29" s="327"/>
      <c r="O29" s="327"/>
      <c r="P29" s="327"/>
      <c r="Q29" s="327"/>
      <c r="R29" s="328"/>
      <c r="S29" s="327"/>
      <c r="T29" s="327"/>
      <c r="U29" s="327"/>
      <c r="V29" s="327"/>
      <c r="W29" s="328"/>
      <c r="X29" s="327"/>
      <c r="Y29" s="327"/>
      <c r="Z29" s="327"/>
      <c r="AA29" s="327"/>
      <c r="AB29" s="328"/>
      <c r="AJ29" s="262"/>
    </row>
    <row r="30" spans="1:261">
      <c r="A30" s="329"/>
      <c r="B30" s="312"/>
      <c r="C30" s="313"/>
      <c r="D30" s="314" t="e">
        <f ca="1">_xll.BLUEMATRIX2("/servlet/excelData",D29, $C$14,$B29&amp;":"&amp;D$16&amp;D$17&amp;":"&amp;D$19&amp;":"&amp;$B30)</f>
        <v>#NAME?</v>
      </c>
      <c r="E30" s="315" t="e">
        <f ca="1">_xll.BLUEMATRIX2("/servlet/excelData",E29, $C$14,$B29&amp;":"&amp;E$16&amp;E$17&amp;":"&amp;E$19&amp;":"&amp;$B30)</f>
        <v>#NAME?</v>
      </c>
      <c r="F30" s="315" t="e">
        <f ca="1">_xll.BLUEMATRIX2("/servlet/excelData",F29, $C$14,$B29&amp;":"&amp;F$16&amp;F$17&amp;":"&amp;F$19&amp;":"&amp;$B30)</f>
        <v>#NAME?</v>
      </c>
      <c r="G30" s="315" t="e">
        <f ca="1">_xll.BLUEMATRIX2("/servlet/excelData",G29, $C$14,$B29&amp;":"&amp;G$16&amp;G$17&amp;":"&amp;G$19&amp;":"&amp;$B30)</f>
        <v>#NAME?</v>
      </c>
      <c r="H30" s="316" t="e">
        <f ca="1">_xll.BLUEMATRIX2("/servlet/excelData",H29, $C$14,$B29&amp;":"&amp;H$16&amp;H$17&amp;":"&amp;H$19&amp;":"&amp;$B30)</f>
        <v>#NAME?</v>
      </c>
      <c r="I30" s="315" t="e">
        <f ca="1">_xll.BLUEMATRIX2("/servlet/excelData",I29, $C$14,$B29&amp;":"&amp;I$16&amp;I$17&amp;":"&amp;I$19&amp;":"&amp;$B30)</f>
        <v>#NAME?</v>
      </c>
      <c r="J30" s="315" t="e">
        <f ca="1">_xll.BLUEMATRIX2("/servlet/excelData",J29, $C$14,$B29&amp;":"&amp;J$16&amp;J$17&amp;":"&amp;J$19&amp;":"&amp;$B30)</f>
        <v>#NAME?</v>
      </c>
      <c r="K30" s="315" t="e">
        <f ca="1">_xll.BLUEMATRIX2("/servlet/excelData",K29, $C$14,$B29&amp;":"&amp;K$16&amp;K$17&amp;":"&amp;K$19&amp;":"&amp;$B30)</f>
        <v>#NAME?</v>
      </c>
      <c r="L30" s="315" t="e">
        <f ca="1">_xll.BLUEMATRIX2("/servlet/excelData",L29, $C$14,$B29&amp;":"&amp;L$16&amp;L$17&amp;":"&amp;L$19&amp;":"&amp;$B30)</f>
        <v>#NAME?</v>
      </c>
      <c r="M30" s="316" t="e">
        <f ca="1">_xll.BLUEMATRIX2("/servlet/excelData",M29, $C$14,$B29&amp;":"&amp;M$16&amp;M$17&amp;":"&amp;M$19&amp;":"&amp;$B30)</f>
        <v>#NAME?</v>
      </c>
      <c r="N30" s="315" t="e">
        <f ca="1">_xll.BLUEMATRIX2("/servlet/excelData",N29, $C$14,$B29&amp;":"&amp;N$16&amp;N$17&amp;":"&amp;N$19&amp;":"&amp;$B30)</f>
        <v>#NAME?</v>
      </c>
      <c r="O30" s="315" t="e">
        <f ca="1">_xll.BLUEMATRIX2("/servlet/excelData",O29, $C$14,$B29&amp;":"&amp;O$16&amp;O$17&amp;":"&amp;O$19&amp;":"&amp;$B30)</f>
        <v>#NAME?</v>
      </c>
      <c r="P30" s="315" t="e">
        <f ca="1">_xll.BLUEMATRIX2("/servlet/excelData",P29, $C$14,$B29&amp;":"&amp;P$16&amp;P$17&amp;":"&amp;P$19&amp;":"&amp;$B30)</f>
        <v>#NAME?</v>
      </c>
      <c r="Q30" s="315" t="e">
        <f ca="1">_xll.BLUEMATRIX2("/servlet/excelData",Q29, $C$14,$B29&amp;":"&amp;Q$16&amp;Q$17&amp;":"&amp;Q$19&amp;":"&amp;$B30)</f>
        <v>#NAME?</v>
      </c>
      <c r="R30" s="316" t="e">
        <f ca="1">_xll.BLUEMATRIX2("/servlet/excelData",R29, $C$14,$B29&amp;":"&amp;R$16&amp;R$17&amp;":"&amp;R$19&amp;":"&amp;$B30)</f>
        <v>#NAME?</v>
      </c>
      <c r="S30" s="315" t="e">
        <f ca="1">_xll.BLUEMATRIX2("/servlet/excelData",S29, $C$14,$B29&amp;":"&amp;S$16&amp;S$17&amp;":"&amp;S$19&amp;":"&amp;$B30)</f>
        <v>#NAME?</v>
      </c>
      <c r="T30" s="315" t="e">
        <f ca="1">_xll.BLUEMATRIX2("/servlet/excelData",T29, $C$14,$B29&amp;":"&amp;T$16&amp;T$17&amp;":"&amp;T$19&amp;":"&amp;$B30)</f>
        <v>#NAME?</v>
      </c>
      <c r="U30" s="315" t="e">
        <f ca="1">_xll.BLUEMATRIX2("/servlet/excelData",U29, $C$14,$B29&amp;":"&amp;U$16&amp;U$17&amp;":"&amp;U$19&amp;":"&amp;$B30)</f>
        <v>#NAME?</v>
      </c>
      <c r="V30" s="315" t="e">
        <f ca="1">_xll.BLUEMATRIX2("/servlet/excelData",V29, $C$14,$B29&amp;":"&amp;V$16&amp;V$17&amp;":"&amp;V$19&amp;":"&amp;$B30)</f>
        <v>#NAME?</v>
      </c>
      <c r="W30" s="316" t="e">
        <f ca="1">_xll.BLUEMATRIX2("/servlet/excelData",W29, $C$14,$B29&amp;":"&amp;W$16&amp;W$17&amp;":"&amp;W$19&amp;":"&amp;$B30)</f>
        <v>#NAME?</v>
      </c>
      <c r="X30" s="315" t="e">
        <f ca="1">_xll.BLUEMATRIX2("/servlet/excelData",X29, $C$14,$B29&amp;":"&amp;X$16&amp;X$17&amp;":"&amp;X$19&amp;":"&amp;$B30)</f>
        <v>#NAME?</v>
      </c>
      <c r="Y30" s="315" t="e">
        <f ca="1">_xll.BLUEMATRIX2("/servlet/excelData",Y29, $C$14,$B29&amp;":"&amp;Y$16&amp;Y$17&amp;":"&amp;Y$19&amp;":"&amp;$B30)</f>
        <v>#NAME?</v>
      </c>
      <c r="Z30" s="315" t="e">
        <f ca="1">_xll.BLUEMATRIX2("/servlet/excelData",Z29, $C$14,$B29&amp;":"&amp;Z$16&amp;Z$17&amp;":"&amp;Z$19&amp;":"&amp;$B30)</f>
        <v>#NAME?</v>
      </c>
      <c r="AA30" s="315" t="e">
        <f ca="1">_xll.BLUEMATRIX2("/servlet/excelData",AA29, $C$14,$B29&amp;":"&amp;AA$16&amp;AA$17&amp;":"&amp;AA$19&amp;":"&amp;$B30)</f>
        <v>#NAME?</v>
      </c>
      <c r="AB30" s="316" t="e">
        <f ca="1">_xll.BLUEMATRIX2("/servlet/excelData",AB29, $C$14,$B29&amp;":"&amp;AB$16&amp;AB$17&amp;":"&amp;AB$19&amp;":"&amp;$B30)</f>
        <v>#NAME?</v>
      </c>
      <c r="AC30" s="317"/>
      <c r="AD30" s="317"/>
      <c r="AE30" s="317"/>
      <c r="AF30" s="317"/>
      <c r="AG30" s="317"/>
      <c r="AH30" s="317"/>
      <c r="AI30" s="317"/>
      <c r="AK30" s="317"/>
      <c r="AL30" s="317"/>
      <c r="AM30" s="317"/>
      <c r="AN30" s="317"/>
      <c r="AO30" s="317"/>
      <c r="AP30" s="317"/>
      <c r="AQ30" s="317"/>
      <c r="AR30" s="317"/>
      <c r="AS30" s="317"/>
      <c r="AT30" s="317"/>
      <c r="AU30" s="317"/>
      <c r="AV30" s="317"/>
      <c r="AW30" s="317"/>
      <c r="AX30" s="317"/>
      <c r="AY30" s="317"/>
      <c r="AZ30" s="317"/>
      <c r="BA30" s="317"/>
      <c r="BB30" s="317"/>
      <c r="BC30" s="317"/>
      <c r="BD30" s="317"/>
      <c r="BE30" s="317"/>
      <c r="BF30" s="317"/>
      <c r="BG30" s="317"/>
      <c r="BH30" s="317"/>
      <c r="BI30" s="317"/>
      <c r="BJ30" s="317"/>
      <c r="BK30" s="317"/>
      <c r="BL30" s="317"/>
      <c r="BM30" s="317"/>
      <c r="BN30" s="317"/>
      <c r="BO30" s="317"/>
      <c r="BP30" s="317"/>
      <c r="BQ30" s="317"/>
      <c r="BR30" s="317"/>
      <c r="BS30" s="317"/>
      <c r="BT30" s="317"/>
      <c r="BU30" s="317"/>
      <c r="BV30" s="317"/>
      <c r="BW30" s="317"/>
      <c r="BX30" s="317"/>
      <c r="BY30" s="317"/>
      <c r="BZ30" s="317"/>
      <c r="CA30" s="317"/>
      <c r="CB30" s="317"/>
      <c r="CC30" s="317"/>
      <c r="CD30" s="317"/>
      <c r="CE30" s="317"/>
      <c r="CF30" s="317"/>
      <c r="CG30" s="317"/>
      <c r="CH30" s="317"/>
      <c r="CI30" s="317"/>
      <c r="CJ30" s="317"/>
      <c r="CK30" s="317"/>
      <c r="CL30" s="317"/>
      <c r="CM30" s="317"/>
      <c r="CN30" s="317"/>
      <c r="CO30" s="317"/>
      <c r="CP30" s="317"/>
      <c r="CQ30" s="317"/>
      <c r="CR30" s="317"/>
      <c r="CS30" s="317"/>
      <c r="CT30" s="317"/>
      <c r="CU30" s="317"/>
      <c r="CV30" s="317"/>
      <c r="CW30" s="317"/>
      <c r="CX30" s="317"/>
      <c r="CY30" s="317"/>
      <c r="CZ30" s="317"/>
      <c r="DA30" s="317"/>
      <c r="DB30" s="317"/>
      <c r="DC30" s="317"/>
      <c r="DD30" s="317"/>
      <c r="DE30" s="317"/>
      <c r="DF30" s="317"/>
      <c r="DG30" s="317"/>
      <c r="DH30" s="317"/>
      <c r="DI30" s="317"/>
      <c r="DJ30" s="317"/>
      <c r="DK30" s="317"/>
      <c r="DL30" s="317"/>
      <c r="DM30" s="317"/>
      <c r="DN30" s="317"/>
      <c r="DO30" s="317"/>
      <c r="DP30" s="317"/>
      <c r="DQ30" s="317"/>
      <c r="DR30" s="317"/>
      <c r="DS30" s="317"/>
      <c r="DT30" s="317"/>
      <c r="DU30" s="317"/>
      <c r="DV30" s="317"/>
      <c r="DW30" s="317"/>
      <c r="DX30" s="317"/>
      <c r="DY30" s="317"/>
      <c r="DZ30" s="317"/>
      <c r="EA30" s="317"/>
      <c r="EB30" s="317"/>
      <c r="EC30" s="317"/>
      <c r="ED30" s="317"/>
      <c r="EE30" s="317"/>
      <c r="EF30" s="317"/>
      <c r="EG30" s="317"/>
      <c r="EH30" s="317"/>
      <c r="EI30" s="317"/>
      <c r="EJ30" s="317"/>
      <c r="EK30" s="317"/>
      <c r="EL30" s="317"/>
      <c r="EM30" s="317"/>
      <c r="EN30" s="317"/>
      <c r="EO30" s="317"/>
      <c r="EP30" s="317"/>
      <c r="EQ30" s="317"/>
      <c r="ER30" s="317"/>
      <c r="ES30" s="317"/>
      <c r="ET30" s="317"/>
      <c r="EU30" s="317"/>
      <c r="EV30" s="317"/>
      <c r="EW30" s="317"/>
      <c r="EX30" s="317"/>
      <c r="EY30" s="317"/>
      <c r="EZ30" s="317"/>
      <c r="FA30" s="317"/>
      <c r="FB30" s="317"/>
      <c r="FC30" s="317"/>
      <c r="FD30" s="317"/>
      <c r="FE30" s="317"/>
      <c r="FF30" s="317"/>
      <c r="FG30" s="317"/>
      <c r="FH30" s="317"/>
      <c r="FI30" s="317"/>
      <c r="FJ30" s="317"/>
      <c r="FK30" s="317"/>
      <c r="FL30" s="317"/>
      <c r="FM30" s="317"/>
      <c r="FN30" s="317"/>
      <c r="FO30" s="317"/>
      <c r="FP30" s="317"/>
      <c r="FQ30" s="317"/>
      <c r="FR30" s="317"/>
      <c r="FS30" s="317"/>
      <c r="FT30" s="317"/>
      <c r="FU30" s="317"/>
      <c r="FV30" s="317"/>
      <c r="FW30" s="317"/>
      <c r="FX30" s="317"/>
      <c r="FY30" s="317"/>
      <c r="FZ30" s="317"/>
      <c r="GA30" s="317"/>
      <c r="GB30" s="317"/>
      <c r="GC30" s="317"/>
      <c r="GD30" s="317"/>
      <c r="GE30" s="317"/>
      <c r="GF30" s="317"/>
      <c r="GG30" s="317"/>
      <c r="GH30" s="317"/>
      <c r="GI30" s="317"/>
      <c r="GJ30" s="317"/>
      <c r="GK30" s="317"/>
      <c r="GL30" s="317"/>
      <c r="GM30" s="317"/>
      <c r="GN30" s="317"/>
      <c r="GO30" s="317"/>
      <c r="GP30" s="317"/>
      <c r="GQ30" s="317"/>
      <c r="GR30" s="317"/>
      <c r="GS30" s="317"/>
      <c r="GT30" s="317"/>
      <c r="GU30" s="317"/>
      <c r="GV30" s="317"/>
      <c r="GW30" s="317"/>
      <c r="GX30" s="317"/>
      <c r="GY30" s="317"/>
      <c r="GZ30" s="317"/>
      <c r="HA30" s="317"/>
      <c r="HB30" s="317"/>
      <c r="HC30" s="317"/>
      <c r="HD30" s="317"/>
      <c r="HE30" s="317"/>
      <c r="HF30" s="317"/>
      <c r="HG30" s="317"/>
      <c r="HH30" s="317"/>
      <c r="HI30" s="317"/>
      <c r="HJ30" s="317"/>
      <c r="HK30" s="317"/>
      <c r="HL30" s="317"/>
      <c r="HM30" s="317"/>
      <c r="HN30" s="317"/>
      <c r="HO30" s="317"/>
      <c r="HP30" s="317"/>
      <c r="HQ30" s="317"/>
      <c r="HR30" s="317"/>
      <c r="HS30" s="317"/>
      <c r="HT30" s="317"/>
      <c r="HU30" s="317"/>
      <c r="HV30" s="317"/>
      <c r="HW30" s="317"/>
      <c r="HX30" s="317"/>
      <c r="HY30" s="317"/>
      <c r="HZ30" s="317"/>
      <c r="IA30" s="317"/>
      <c r="IB30" s="317"/>
      <c r="IC30" s="317"/>
      <c r="ID30" s="317"/>
      <c r="IE30" s="317"/>
      <c r="IF30" s="317"/>
      <c r="IG30" s="317"/>
      <c r="IH30" s="317"/>
      <c r="II30" s="317"/>
      <c r="IJ30" s="317"/>
      <c r="IK30" s="317"/>
      <c r="IL30" s="317"/>
      <c r="IM30" s="317"/>
      <c r="IN30" s="317"/>
      <c r="IO30" s="317"/>
      <c r="IP30" s="317"/>
      <c r="IQ30" s="317"/>
      <c r="IR30" s="317"/>
      <c r="IS30" s="317"/>
      <c r="IT30" s="317"/>
      <c r="IU30" s="317"/>
      <c r="IV30" s="317"/>
      <c r="IW30" s="317"/>
      <c r="IX30" s="317"/>
      <c r="IY30" s="317"/>
      <c r="IZ30" s="317"/>
      <c r="JA30" s="317"/>
    </row>
    <row r="31" spans="1:261">
      <c r="A31" s="330" t="s">
        <v>314</v>
      </c>
      <c r="B31" s="319" t="s">
        <v>315</v>
      </c>
      <c r="C31" s="320"/>
      <c r="D31" s="331">
        <f>IS!BY34</f>
        <v>0.26612987556206213</v>
      </c>
      <c r="E31" s="331">
        <f>IS!BZ34</f>
        <v>0.24819102749638206</v>
      </c>
      <c r="F31" s="331">
        <f>IS!CA34</f>
        <v>0.26770085425292173</v>
      </c>
      <c r="G31" s="331">
        <f>IS!CB34</f>
        <v>0.25085643101837435</v>
      </c>
      <c r="H31" s="331">
        <f>IS!CC34</f>
        <v>0.25805156639866927</v>
      </c>
      <c r="I31" s="331">
        <f>IS!CD34</f>
        <v>0.25710267899704453</v>
      </c>
      <c r="J31" s="331">
        <f>IS!CE34</f>
        <v>0.25604987118145012</v>
      </c>
      <c r="K31" s="331">
        <f>IS!CF34</f>
        <v>0.26406262669448111</v>
      </c>
      <c r="L31" s="331">
        <f>IS!CG34</f>
        <v>0.25726209774773223</v>
      </c>
      <c r="M31" s="331">
        <f>IS!CH34</f>
        <v>0.25864856307388573</v>
      </c>
      <c r="N31" s="331">
        <f>IS!CI34</f>
        <v>0.26581136011124779</v>
      </c>
      <c r="O31" s="331">
        <f>IS!CJ34</f>
        <v>0.25716164483450088</v>
      </c>
      <c r="P31" s="331">
        <f>IS!CK34</f>
        <v>0.26143347628996982</v>
      </c>
      <c r="Q31" s="331">
        <f>IS!CL34</f>
        <v>0.26271012890051315</v>
      </c>
      <c r="R31" s="331">
        <f>IS!CM34</f>
        <v>0.26177353727470148</v>
      </c>
      <c r="S31" s="331">
        <f>IS!CN34</f>
        <v>0.26665528314669867</v>
      </c>
      <c r="T31" s="331">
        <f>IS!CO34</f>
        <v>0.27202241195304161</v>
      </c>
      <c r="U31" s="331">
        <f>IS!CP34</f>
        <v>0.29034143567276099</v>
      </c>
      <c r="V31" s="331">
        <f>IS!CQ34</f>
        <v>0.28380188111205695</v>
      </c>
      <c r="W31" s="331">
        <f>IS!CR34</f>
        <v>0.27837472804572161</v>
      </c>
      <c r="X31" s="331">
        <f>IS!CS34</f>
        <v>0.27000000000000007</v>
      </c>
      <c r="Y31" s="331">
        <f>IS!CT34</f>
        <v>0.29900000000000004</v>
      </c>
      <c r="Z31" s="331">
        <f>IS!CU34</f>
        <v>0.313</v>
      </c>
      <c r="AA31" s="331">
        <f>IS!CV34</f>
        <v>0.32</v>
      </c>
      <c r="AB31" s="331">
        <f>IS!CW34</f>
        <v>0.30104662366854257</v>
      </c>
      <c r="AC31" s="263" t="s">
        <v>302</v>
      </c>
    </row>
    <row r="32" spans="1:261">
      <c r="A32" s="333"/>
      <c r="B32" s="323" t="s">
        <v>285</v>
      </c>
      <c r="C32" s="324"/>
      <c r="D32" s="334" t="e">
        <f ca="1">_xll.BLUEMATRIX2("/servlet/excelData",D31, $C$14,$B31&amp;":"&amp;D$16&amp;D$17&amp;":"&amp;D$19&amp;":"&amp;$B32)</f>
        <v>#NAME?</v>
      </c>
      <c r="E32" s="335" t="e">
        <f ca="1">_xll.BLUEMATRIX2("/servlet/excelData",E31, $C$14,$B31&amp;":"&amp;E$16&amp;E$17&amp;":"&amp;E$19&amp;":"&amp;$B32)</f>
        <v>#NAME?</v>
      </c>
      <c r="F32" s="335" t="e">
        <f ca="1">_xll.BLUEMATRIX2("/servlet/excelData",F31, $C$14,$B31&amp;":"&amp;F$16&amp;F$17&amp;":"&amp;F$19&amp;":"&amp;$B32)</f>
        <v>#NAME?</v>
      </c>
      <c r="G32" s="335" t="e">
        <f ca="1">_xll.BLUEMATRIX2("/servlet/excelData",G31, $C$14,$B31&amp;":"&amp;G$16&amp;G$17&amp;":"&amp;G$19&amp;":"&amp;$B32)</f>
        <v>#NAME?</v>
      </c>
      <c r="H32" s="271" t="e">
        <f ca="1">_xll.BLUEMATRIX2("/servlet/excelData",H31, $C$14,$B31&amp;":"&amp;H$16&amp;H$17&amp;":"&amp;H$19&amp;":"&amp;$B32)</f>
        <v>#NAME?</v>
      </c>
      <c r="I32" s="335" t="e">
        <f ca="1">_xll.BLUEMATRIX2("/servlet/excelData",I31, $C$14,$B31&amp;":"&amp;I$16&amp;I$17&amp;":"&amp;I$19&amp;":"&amp;$B32)</f>
        <v>#NAME?</v>
      </c>
      <c r="J32" s="335" t="e">
        <f ca="1">_xll.BLUEMATRIX2("/servlet/excelData",J31, $C$14,$B31&amp;":"&amp;J$16&amp;J$17&amp;":"&amp;J$19&amp;":"&amp;$B32)</f>
        <v>#NAME?</v>
      </c>
      <c r="K32" s="335" t="e">
        <f ca="1">_xll.BLUEMATRIX2("/servlet/excelData",K31, $C$14,$B31&amp;":"&amp;K$16&amp;K$17&amp;":"&amp;K$19&amp;":"&amp;$B32)</f>
        <v>#NAME?</v>
      </c>
      <c r="L32" s="335" t="e">
        <f ca="1">_xll.BLUEMATRIX2("/servlet/excelData",L31, $C$14,$B31&amp;":"&amp;L$16&amp;L$17&amp;":"&amp;L$19&amp;":"&amp;$B32)</f>
        <v>#NAME?</v>
      </c>
      <c r="M32" s="271" t="e">
        <f ca="1">_xll.BLUEMATRIX2("/servlet/excelData",M31, $C$14,$B31&amp;":"&amp;M$16&amp;M$17&amp;":"&amp;M$19&amp;":"&amp;$B32)</f>
        <v>#NAME?</v>
      </c>
      <c r="N32" s="335" t="e">
        <f ca="1">_xll.BLUEMATRIX2("/servlet/excelData",N31, $C$14,$B31&amp;":"&amp;N$16&amp;N$17&amp;":"&amp;N$19&amp;":"&amp;$B32)</f>
        <v>#NAME?</v>
      </c>
      <c r="O32" s="335" t="e">
        <f ca="1">_xll.BLUEMATRIX2("/servlet/excelData",O31, $C$14,$B31&amp;":"&amp;O$16&amp;O$17&amp;":"&amp;O$19&amp;":"&amp;$B32)</f>
        <v>#NAME?</v>
      </c>
      <c r="P32" s="335" t="e">
        <f ca="1">_xll.BLUEMATRIX2("/servlet/excelData",P31, $C$14,$B31&amp;":"&amp;P$16&amp;P$17&amp;":"&amp;P$19&amp;":"&amp;$B32)</f>
        <v>#NAME?</v>
      </c>
      <c r="Q32" s="335" t="e">
        <f ca="1">_xll.BLUEMATRIX2("/servlet/excelData",Q31, $C$14,$B31&amp;":"&amp;Q$16&amp;Q$17&amp;":"&amp;Q$19&amp;":"&amp;$B32)</f>
        <v>#NAME?</v>
      </c>
      <c r="R32" s="271" t="e">
        <f ca="1">_xll.BLUEMATRIX2("/servlet/excelData",R31, $C$14,$B31&amp;":"&amp;R$16&amp;R$17&amp;":"&amp;R$19&amp;":"&amp;$B32)</f>
        <v>#NAME?</v>
      </c>
      <c r="S32" s="335" t="e">
        <f ca="1">_xll.BLUEMATRIX2("/servlet/excelData",S31, $C$14,$B31&amp;":"&amp;S$16&amp;S$17&amp;":"&amp;S$19&amp;":"&amp;$B32)</f>
        <v>#NAME?</v>
      </c>
      <c r="T32" s="335" t="e">
        <f ca="1">_xll.BLUEMATRIX2("/servlet/excelData",T31, $C$14,$B31&amp;":"&amp;T$16&amp;T$17&amp;":"&amp;T$19&amp;":"&amp;$B32)</f>
        <v>#NAME?</v>
      </c>
      <c r="U32" s="335" t="e">
        <f ca="1">_xll.BLUEMATRIX2("/servlet/excelData",U31, $C$14,$B31&amp;":"&amp;U$16&amp;U$17&amp;":"&amp;U$19&amp;":"&amp;$B32)</f>
        <v>#NAME?</v>
      </c>
      <c r="V32" s="335" t="e">
        <f ca="1">_xll.BLUEMATRIX2("/servlet/excelData",V31, $C$14,$B31&amp;":"&amp;V$16&amp;V$17&amp;":"&amp;V$19&amp;":"&amp;$B32)</f>
        <v>#NAME?</v>
      </c>
      <c r="W32" s="271" t="e">
        <f ca="1">_xll.BLUEMATRIX2("/servlet/excelData",W31, $C$14,$B31&amp;":"&amp;W$16&amp;W$17&amp;":"&amp;W$19&amp;":"&amp;$B32)</f>
        <v>#NAME?</v>
      </c>
      <c r="X32" s="335" t="e">
        <f ca="1">_xll.BLUEMATRIX2("/servlet/excelData",X31, $C$14,$B31&amp;":"&amp;X$16&amp;X$17&amp;":"&amp;X$19&amp;":"&amp;$B32)</f>
        <v>#NAME?</v>
      </c>
      <c r="Y32" s="335" t="e">
        <f ca="1">_xll.BLUEMATRIX2("/servlet/excelData",Y31, $C$14,$B31&amp;":"&amp;Y$16&amp;Y$17&amp;":"&amp;Y$19&amp;":"&amp;$B32)</f>
        <v>#NAME?</v>
      </c>
      <c r="Z32" s="335" t="e">
        <f ca="1">_xll.BLUEMATRIX2("/servlet/excelData",Z31, $C$14,$B31&amp;":"&amp;Z$16&amp;Z$17&amp;":"&amp;Z$19&amp;":"&amp;$B32)</f>
        <v>#NAME?</v>
      </c>
      <c r="AA32" s="335" t="e">
        <f ca="1">_xll.BLUEMATRIX2("/servlet/excelData",AA31, $C$14,$B31&amp;":"&amp;AA$16&amp;AA$17&amp;":"&amp;AA$19&amp;":"&amp;$B32)</f>
        <v>#NAME?</v>
      </c>
      <c r="AB32" s="271" t="e">
        <f ca="1">_xll.BLUEMATRIX2("/servlet/excelData",AB31, $C$14,$B31&amp;":"&amp;AB$16&amp;AB$17&amp;":"&amp;AB$19&amp;":"&amp;$B32)</f>
        <v>#NAME?</v>
      </c>
      <c r="AC32" s="317"/>
      <c r="AD32" s="317"/>
      <c r="AE32" s="317"/>
      <c r="AF32" s="317"/>
      <c r="AG32" s="317"/>
      <c r="AH32" s="317"/>
      <c r="AI32" s="317"/>
      <c r="AK32" s="317"/>
      <c r="AL32" s="317"/>
      <c r="AM32" s="317"/>
      <c r="AN32" s="317"/>
      <c r="AO32" s="317"/>
      <c r="AP32" s="317"/>
      <c r="AQ32" s="317"/>
      <c r="AR32" s="317"/>
      <c r="AS32" s="317"/>
      <c r="AT32" s="317"/>
      <c r="AU32" s="317"/>
      <c r="AV32" s="317"/>
      <c r="AW32" s="317"/>
      <c r="AX32" s="317"/>
      <c r="AY32" s="317"/>
      <c r="AZ32" s="317"/>
      <c r="BA32" s="317"/>
      <c r="BB32" s="317"/>
      <c r="BC32" s="317"/>
      <c r="BD32" s="317"/>
      <c r="BE32" s="317"/>
      <c r="BF32" s="317"/>
      <c r="BG32" s="317"/>
      <c r="BH32" s="317"/>
      <c r="BI32" s="317"/>
      <c r="BJ32" s="317"/>
      <c r="BK32" s="317"/>
      <c r="BL32" s="317"/>
      <c r="BM32" s="317"/>
      <c r="BN32" s="317"/>
      <c r="BO32" s="317"/>
      <c r="BP32" s="317"/>
      <c r="BQ32" s="317"/>
      <c r="BR32" s="317"/>
      <c r="BS32" s="317"/>
      <c r="BT32" s="317"/>
      <c r="BU32" s="317"/>
      <c r="BV32" s="317"/>
      <c r="BW32" s="317"/>
      <c r="BX32" s="317"/>
      <c r="BY32" s="317"/>
      <c r="BZ32" s="317"/>
      <c r="CA32" s="317"/>
      <c r="CB32" s="317"/>
      <c r="CC32" s="317"/>
      <c r="CD32" s="317"/>
      <c r="CE32" s="317"/>
      <c r="CF32" s="317"/>
      <c r="CG32" s="317"/>
      <c r="CH32" s="317"/>
      <c r="CI32" s="317"/>
      <c r="CJ32" s="317"/>
      <c r="CK32" s="317"/>
      <c r="CL32" s="317"/>
      <c r="CM32" s="317"/>
      <c r="CN32" s="317"/>
      <c r="CO32" s="317"/>
      <c r="CP32" s="317"/>
      <c r="CQ32" s="317"/>
      <c r="CR32" s="317"/>
      <c r="CS32" s="317"/>
      <c r="CT32" s="317"/>
      <c r="CU32" s="317"/>
      <c r="CV32" s="317"/>
      <c r="CW32" s="317"/>
      <c r="CX32" s="317"/>
      <c r="CY32" s="317"/>
      <c r="CZ32" s="317"/>
      <c r="DA32" s="317"/>
      <c r="DB32" s="317"/>
      <c r="DC32" s="317"/>
      <c r="DD32" s="317"/>
      <c r="DE32" s="317"/>
      <c r="DF32" s="317"/>
      <c r="DG32" s="317"/>
      <c r="DH32" s="317"/>
      <c r="DI32" s="317"/>
      <c r="DJ32" s="317"/>
      <c r="DK32" s="317"/>
      <c r="DL32" s="317"/>
      <c r="DM32" s="317"/>
      <c r="DN32" s="317"/>
      <c r="DO32" s="317"/>
      <c r="DP32" s="317"/>
      <c r="DQ32" s="317"/>
      <c r="DR32" s="317"/>
      <c r="DS32" s="317"/>
      <c r="DT32" s="317"/>
      <c r="DU32" s="317"/>
      <c r="DV32" s="317"/>
      <c r="DW32" s="317"/>
      <c r="DX32" s="317"/>
      <c r="DY32" s="317"/>
      <c r="DZ32" s="317"/>
      <c r="EA32" s="317"/>
      <c r="EB32" s="317"/>
      <c r="EC32" s="317"/>
      <c r="ED32" s="317"/>
      <c r="EE32" s="317"/>
      <c r="EF32" s="317"/>
      <c r="EG32" s="317"/>
      <c r="EH32" s="317"/>
      <c r="EI32" s="317"/>
      <c r="EJ32" s="317"/>
      <c r="EK32" s="317"/>
      <c r="EL32" s="317"/>
      <c r="EM32" s="317"/>
      <c r="EN32" s="317"/>
      <c r="EO32" s="317"/>
      <c r="EP32" s="317"/>
      <c r="EQ32" s="317"/>
      <c r="ER32" s="317"/>
      <c r="ES32" s="317"/>
      <c r="ET32" s="317"/>
      <c r="EU32" s="317"/>
      <c r="EV32" s="317"/>
      <c r="EW32" s="317"/>
      <c r="EX32" s="317"/>
      <c r="EY32" s="317"/>
      <c r="EZ32" s="317"/>
      <c r="FA32" s="317"/>
      <c r="FB32" s="317"/>
      <c r="FC32" s="317"/>
      <c r="FD32" s="317"/>
      <c r="FE32" s="317"/>
      <c r="FF32" s="317"/>
      <c r="FG32" s="317"/>
      <c r="FH32" s="317"/>
      <c r="FI32" s="317"/>
      <c r="FJ32" s="317"/>
      <c r="FK32" s="317"/>
      <c r="FL32" s="317"/>
      <c r="FM32" s="317"/>
      <c r="FN32" s="317"/>
      <c r="FO32" s="317"/>
      <c r="FP32" s="317"/>
      <c r="FQ32" s="317"/>
      <c r="FR32" s="317"/>
      <c r="FS32" s="317"/>
      <c r="FT32" s="317"/>
      <c r="FU32" s="317"/>
      <c r="FV32" s="317"/>
      <c r="FW32" s="317"/>
      <c r="FX32" s="317"/>
      <c r="FY32" s="317"/>
      <c r="FZ32" s="317"/>
      <c r="GA32" s="317"/>
      <c r="GB32" s="317"/>
      <c r="GC32" s="317"/>
      <c r="GD32" s="317"/>
      <c r="GE32" s="317"/>
      <c r="GF32" s="317"/>
      <c r="GG32" s="317"/>
      <c r="GH32" s="317"/>
      <c r="GI32" s="317"/>
      <c r="GJ32" s="317"/>
      <c r="GK32" s="317"/>
      <c r="GL32" s="317"/>
      <c r="GM32" s="317"/>
      <c r="GN32" s="317"/>
      <c r="GO32" s="317"/>
      <c r="GP32" s="317"/>
      <c r="GQ32" s="317"/>
      <c r="GR32" s="317"/>
      <c r="GS32" s="317"/>
      <c r="GT32" s="317"/>
      <c r="GU32" s="317"/>
      <c r="GV32" s="317"/>
      <c r="GW32" s="317"/>
      <c r="GX32" s="317"/>
      <c r="GY32" s="317"/>
      <c r="GZ32" s="317"/>
      <c r="HA32" s="317"/>
      <c r="HB32" s="317"/>
      <c r="HC32" s="317"/>
      <c r="HD32" s="317"/>
      <c r="HE32" s="317"/>
      <c r="HF32" s="317"/>
      <c r="HG32" s="317"/>
      <c r="HH32" s="317"/>
      <c r="HI32" s="317"/>
      <c r="HJ32" s="317"/>
      <c r="HK32" s="317"/>
      <c r="HL32" s="317"/>
      <c r="HM32" s="317"/>
      <c r="HN32" s="317"/>
      <c r="HO32" s="317"/>
      <c r="HP32" s="317"/>
      <c r="HQ32" s="317"/>
      <c r="HR32" s="317"/>
      <c r="HS32" s="317"/>
      <c r="HT32" s="317"/>
      <c r="HU32" s="317"/>
      <c r="HV32" s="317"/>
      <c r="HW32" s="317"/>
      <c r="HX32" s="317"/>
      <c r="HY32" s="317"/>
      <c r="HZ32" s="317"/>
      <c r="IA32" s="317"/>
      <c r="IB32" s="317"/>
      <c r="IC32" s="317"/>
      <c r="ID32" s="317"/>
      <c r="IE32" s="317"/>
      <c r="IF32" s="317"/>
      <c r="IG32" s="317"/>
      <c r="IH32" s="317"/>
      <c r="II32" s="317"/>
      <c r="IJ32" s="317"/>
      <c r="IK32" s="317"/>
      <c r="IL32" s="317"/>
      <c r="IM32" s="317"/>
      <c r="IN32" s="317"/>
      <c r="IO32" s="317"/>
      <c r="IP32" s="317"/>
      <c r="IQ32" s="317"/>
      <c r="IR32" s="317"/>
      <c r="IS32" s="317"/>
      <c r="IT32" s="317"/>
      <c r="IU32" s="317"/>
      <c r="IV32" s="317"/>
      <c r="IW32" s="317"/>
      <c r="IX32" s="317"/>
      <c r="IY32" s="317"/>
      <c r="IZ32" s="317"/>
      <c r="JA32" s="317"/>
    </row>
    <row r="33" spans="1:261">
      <c r="A33" s="325" t="s">
        <v>300</v>
      </c>
      <c r="B33" s="308" t="s">
        <v>301</v>
      </c>
      <c r="C33" s="309"/>
      <c r="D33" s="326"/>
      <c r="E33" s="327"/>
      <c r="F33" s="327"/>
      <c r="G33" s="327"/>
      <c r="H33" s="328"/>
      <c r="I33" s="327"/>
      <c r="J33" s="327"/>
      <c r="K33" s="327"/>
      <c r="L33" s="327"/>
      <c r="M33" s="328"/>
      <c r="N33" s="327"/>
      <c r="O33" s="327"/>
      <c r="P33" s="327"/>
      <c r="Q33" s="327"/>
      <c r="R33" s="328"/>
      <c r="S33" s="327"/>
      <c r="T33" s="327"/>
      <c r="U33" s="327"/>
      <c r="V33" s="327"/>
      <c r="W33" s="328"/>
      <c r="X33" s="327"/>
      <c r="Y33" s="327"/>
      <c r="Z33" s="327"/>
      <c r="AA33" s="327"/>
      <c r="AB33" s="328"/>
    </row>
    <row r="34" spans="1:261">
      <c r="A34" s="329"/>
      <c r="B34" s="312"/>
      <c r="C34" s="313"/>
      <c r="D34" s="314" t="e">
        <f ca="1">_xll.BLUEMATRIX2("/servlet/excelData",D33, $C$14,$B33&amp;":"&amp;D$16&amp;D$17&amp;":"&amp;D$19&amp;":"&amp;$B34)</f>
        <v>#NAME?</v>
      </c>
      <c r="E34" s="315" t="e">
        <f ca="1">_xll.BLUEMATRIX2("/servlet/excelData",E33, $C$14,$B33&amp;":"&amp;E$16&amp;E$17&amp;":"&amp;E$19&amp;":"&amp;$B34)</f>
        <v>#NAME?</v>
      </c>
      <c r="F34" s="315" t="e">
        <f ca="1">_xll.BLUEMATRIX2("/servlet/excelData",F33, $C$14,$B33&amp;":"&amp;F$16&amp;F$17&amp;":"&amp;F$19&amp;":"&amp;$B34)</f>
        <v>#NAME?</v>
      </c>
      <c r="G34" s="315" t="e">
        <f ca="1">_xll.BLUEMATRIX2("/servlet/excelData",G33, $C$14,$B33&amp;":"&amp;G$16&amp;G$17&amp;":"&amp;G$19&amp;":"&amp;$B34)</f>
        <v>#NAME?</v>
      </c>
      <c r="H34" s="316" t="e">
        <f ca="1">_xll.BLUEMATRIX2("/servlet/excelData",H33, $C$14,$B33&amp;":"&amp;H$16&amp;H$17&amp;":"&amp;H$19&amp;":"&amp;$B34)</f>
        <v>#NAME?</v>
      </c>
      <c r="I34" s="315" t="e">
        <f ca="1">_xll.BLUEMATRIX2("/servlet/excelData",I33, $C$14,$B33&amp;":"&amp;I$16&amp;I$17&amp;":"&amp;I$19&amp;":"&amp;$B34)</f>
        <v>#NAME?</v>
      </c>
      <c r="J34" s="315" t="e">
        <f ca="1">_xll.BLUEMATRIX2("/servlet/excelData",J33, $C$14,$B33&amp;":"&amp;J$16&amp;J$17&amp;":"&amp;J$19&amp;":"&amp;$B34)</f>
        <v>#NAME?</v>
      </c>
      <c r="K34" s="315" t="e">
        <f ca="1">_xll.BLUEMATRIX2("/servlet/excelData",K33, $C$14,$B33&amp;":"&amp;K$16&amp;K$17&amp;":"&amp;K$19&amp;":"&amp;$B34)</f>
        <v>#NAME?</v>
      </c>
      <c r="L34" s="315" t="e">
        <f ca="1">_xll.BLUEMATRIX2("/servlet/excelData",L33, $C$14,$B33&amp;":"&amp;L$16&amp;L$17&amp;":"&amp;L$19&amp;":"&amp;$B34)</f>
        <v>#NAME?</v>
      </c>
      <c r="M34" s="316" t="e">
        <f ca="1">_xll.BLUEMATRIX2("/servlet/excelData",M33, $C$14,$B33&amp;":"&amp;M$16&amp;M$17&amp;":"&amp;M$19&amp;":"&amp;$B34)</f>
        <v>#NAME?</v>
      </c>
      <c r="N34" s="315" t="e">
        <f ca="1">_xll.BLUEMATRIX2("/servlet/excelData",N33, $C$14,$B33&amp;":"&amp;N$16&amp;N$17&amp;":"&amp;N$19&amp;":"&amp;$B34)</f>
        <v>#NAME?</v>
      </c>
      <c r="O34" s="315" t="e">
        <f ca="1">_xll.BLUEMATRIX2("/servlet/excelData",O33, $C$14,$B33&amp;":"&amp;O$16&amp;O$17&amp;":"&amp;O$19&amp;":"&amp;$B34)</f>
        <v>#NAME?</v>
      </c>
      <c r="P34" s="315" t="e">
        <f ca="1">_xll.BLUEMATRIX2("/servlet/excelData",P33, $C$14,$B33&amp;":"&amp;P$16&amp;P$17&amp;":"&amp;P$19&amp;":"&amp;$B34)</f>
        <v>#NAME?</v>
      </c>
      <c r="Q34" s="315" t="e">
        <f ca="1">_xll.BLUEMATRIX2("/servlet/excelData",Q33, $C$14,$B33&amp;":"&amp;Q$16&amp;Q$17&amp;":"&amp;Q$19&amp;":"&amp;$B34)</f>
        <v>#NAME?</v>
      </c>
      <c r="R34" s="316" t="e">
        <f ca="1">_xll.BLUEMATRIX2("/servlet/excelData",R33, $C$14,$B33&amp;":"&amp;R$16&amp;R$17&amp;":"&amp;R$19&amp;":"&amp;$B34)</f>
        <v>#NAME?</v>
      </c>
      <c r="S34" s="315" t="e">
        <f ca="1">_xll.BLUEMATRIX2("/servlet/excelData",S33, $C$14,$B33&amp;":"&amp;S$16&amp;S$17&amp;":"&amp;S$19&amp;":"&amp;$B34)</f>
        <v>#NAME?</v>
      </c>
      <c r="T34" s="315" t="e">
        <f ca="1">_xll.BLUEMATRIX2("/servlet/excelData",T33, $C$14,$B33&amp;":"&amp;T$16&amp;T$17&amp;":"&amp;T$19&amp;":"&amp;$B34)</f>
        <v>#NAME?</v>
      </c>
      <c r="U34" s="315" t="e">
        <f ca="1">_xll.BLUEMATRIX2("/servlet/excelData",U33, $C$14,$B33&amp;":"&amp;U$16&amp;U$17&amp;":"&amp;U$19&amp;":"&amp;$B34)</f>
        <v>#NAME?</v>
      </c>
      <c r="V34" s="315" t="e">
        <f ca="1">_xll.BLUEMATRIX2("/servlet/excelData",V33, $C$14,$B33&amp;":"&amp;V$16&amp;V$17&amp;":"&amp;V$19&amp;":"&amp;$B34)</f>
        <v>#NAME?</v>
      </c>
      <c r="W34" s="316" t="e">
        <f ca="1">_xll.BLUEMATRIX2("/servlet/excelData",W33, $C$14,$B33&amp;":"&amp;W$16&amp;W$17&amp;":"&amp;W$19&amp;":"&amp;$B34)</f>
        <v>#NAME?</v>
      </c>
      <c r="X34" s="315" t="e">
        <f ca="1">_xll.BLUEMATRIX2("/servlet/excelData",X33, $C$14,$B33&amp;":"&amp;X$16&amp;X$17&amp;":"&amp;X$19&amp;":"&amp;$B34)</f>
        <v>#NAME?</v>
      </c>
      <c r="Y34" s="315" t="e">
        <f ca="1">_xll.BLUEMATRIX2("/servlet/excelData",Y33, $C$14,$B33&amp;":"&amp;Y$16&amp;Y$17&amp;":"&amp;Y$19&amp;":"&amp;$B34)</f>
        <v>#NAME?</v>
      </c>
      <c r="Z34" s="315" t="e">
        <f ca="1">_xll.BLUEMATRIX2("/servlet/excelData",Z33, $C$14,$B33&amp;":"&amp;Z$16&amp;Z$17&amp;":"&amp;Z$19&amp;":"&amp;$B34)</f>
        <v>#NAME?</v>
      </c>
      <c r="AA34" s="315" t="e">
        <f ca="1">_xll.BLUEMATRIX2("/servlet/excelData",AA33, $C$14,$B33&amp;":"&amp;AA$16&amp;AA$17&amp;":"&amp;AA$19&amp;":"&amp;$B34)</f>
        <v>#NAME?</v>
      </c>
      <c r="AB34" s="316" t="e">
        <f ca="1">_xll.BLUEMATRIX2("/servlet/excelData",AB33, $C$14,$B33&amp;":"&amp;AB$16&amp;AB$17&amp;":"&amp;AB$19&amp;":"&amp;$B34)</f>
        <v>#NAME?</v>
      </c>
      <c r="AC34" s="317"/>
      <c r="AD34" s="317"/>
      <c r="AE34" s="317"/>
      <c r="AF34" s="317"/>
      <c r="AG34" s="317"/>
      <c r="AH34" s="317"/>
      <c r="AI34" s="317"/>
      <c r="AK34" s="317"/>
      <c r="AL34" s="317"/>
      <c r="AM34" s="317"/>
      <c r="AN34" s="317"/>
      <c r="AO34" s="317"/>
      <c r="AP34" s="317"/>
      <c r="AQ34" s="317"/>
      <c r="AR34" s="317"/>
      <c r="AS34" s="317"/>
      <c r="AT34" s="317"/>
      <c r="AU34" s="317"/>
      <c r="AV34" s="317"/>
      <c r="AW34" s="317"/>
      <c r="AX34" s="317"/>
      <c r="AY34" s="317"/>
      <c r="AZ34" s="317"/>
      <c r="BA34" s="317"/>
      <c r="BB34" s="317"/>
      <c r="BC34" s="317"/>
      <c r="BD34" s="317"/>
      <c r="BE34" s="317"/>
      <c r="BF34" s="317"/>
      <c r="BG34" s="317"/>
      <c r="BH34" s="317"/>
      <c r="BI34" s="317"/>
      <c r="BJ34" s="317"/>
      <c r="BK34" s="317"/>
      <c r="BL34" s="317"/>
      <c r="BM34" s="317"/>
      <c r="BN34" s="317"/>
      <c r="BO34" s="317"/>
      <c r="BP34" s="317"/>
      <c r="BQ34" s="317"/>
      <c r="BR34" s="317"/>
      <c r="BS34" s="317"/>
      <c r="BT34" s="317"/>
      <c r="BU34" s="317"/>
      <c r="BV34" s="317"/>
      <c r="BW34" s="317"/>
      <c r="BX34" s="317"/>
      <c r="BY34" s="317"/>
      <c r="BZ34" s="317"/>
      <c r="CA34" s="317"/>
      <c r="CB34" s="317"/>
      <c r="CC34" s="317"/>
      <c r="CD34" s="317"/>
      <c r="CE34" s="317"/>
      <c r="CF34" s="317"/>
      <c r="CG34" s="317"/>
      <c r="CH34" s="317"/>
      <c r="CI34" s="317"/>
      <c r="CJ34" s="317"/>
      <c r="CK34" s="317"/>
      <c r="CL34" s="317"/>
      <c r="CM34" s="317"/>
      <c r="CN34" s="317"/>
      <c r="CO34" s="317"/>
      <c r="CP34" s="317"/>
      <c r="CQ34" s="317"/>
      <c r="CR34" s="317"/>
      <c r="CS34" s="317"/>
      <c r="CT34" s="317"/>
      <c r="CU34" s="317"/>
      <c r="CV34" s="317"/>
      <c r="CW34" s="317"/>
      <c r="CX34" s="317"/>
      <c r="CY34" s="317"/>
      <c r="CZ34" s="317"/>
      <c r="DA34" s="317"/>
      <c r="DB34" s="317"/>
      <c r="DC34" s="317"/>
      <c r="DD34" s="317"/>
      <c r="DE34" s="317"/>
      <c r="DF34" s="317"/>
      <c r="DG34" s="317"/>
      <c r="DH34" s="317"/>
      <c r="DI34" s="317"/>
      <c r="DJ34" s="317"/>
      <c r="DK34" s="317"/>
      <c r="DL34" s="317"/>
      <c r="DM34" s="317"/>
      <c r="DN34" s="317"/>
      <c r="DO34" s="317"/>
      <c r="DP34" s="317"/>
      <c r="DQ34" s="317"/>
      <c r="DR34" s="317"/>
      <c r="DS34" s="317"/>
      <c r="DT34" s="317"/>
      <c r="DU34" s="317"/>
      <c r="DV34" s="317"/>
      <c r="DW34" s="317"/>
      <c r="DX34" s="317"/>
      <c r="DY34" s="317"/>
      <c r="DZ34" s="317"/>
      <c r="EA34" s="317"/>
      <c r="EB34" s="317"/>
      <c r="EC34" s="317"/>
      <c r="ED34" s="317"/>
      <c r="EE34" s="317"/>
      <c r="EF34" s="317"/>
      <c r="EG34" s="317"/>
      <c r="EH34" s="317"/>
      <c r="EI34" s="317"/>
      <c r="EJ34" s="317"/>
      <c r="EK34" s="317"/>
      <c r="EL34" s="317"/>
      <c r="EM34" s="317"/>
      <c r="EN34" s="317"/>
      <c r="EO34" s="317"/>
      <c r="EP34" s="317"/>
      <c r="EQ34" s="317"/>
      <c r="ER34" s="317"/>
      <c r="ES34" s="317"/>
      <c r="ET34" s="317"/>
      <c r="EU34" s="317"/>
      <c r="EV34" s="317"/>
      <c r="EW34" s="317"/>
      <c r="EX34" s="317"/>
      <c r="EY34" s="317"/>
      <c r="EZ34" s="317"/>
      <c r="FA34" s="317"/>
      <c r="FB34" s="317"/>
      <c r="FC34" s="317"/>
      <c r="FD34" s="317"/>
      <c r="FE34" s="317"/>
      <c r="FF34" s="317"/>
      <c r="FG34" s="317"/>
      <c r="FH34" s="317"/>
      <c r="FI34" s="317"/>
      <c r="FJ34" s="317"/>
      <c r="FK34" s="317"/>
      <c r="FL34" s="317"/>
      <c r="FM34" s="317"/>
      <c r="FN34" s="317"/>
      <c r="FO34" s="317"/>
      <c r="FP34" s="317"/>
      <c r="FQ34" s="317"/>
      <c r="FR34" s="317"/>
      <c r="FS34" s="317"/>
      <c r="FT34" s="317"/>
      <c r="FU34" s="317"/>
      <c r="FV34" s="317"/>
      <c r="FW34" s="317"/>
      <c r="FX34" s="317"/>
      <c r="FY34" s="317"/>
      <c r="FZ34" s="317"/>
      <c r="GA34" s="317"/>
      <c r="GB34" s="317"/>
      <c r="GC34" s="317"/>
      <c r="GD34" s="317"/>
      <c r="GE34" s="317"/>
      <c r="GF34" s="317"/>
      <c r="GG34" s="317"/>
      <c r="GH34" s="317"/>
      <c r="GI34" s="317"/>
      <c r="GJ34" s="317"/>
      <c r="GK34" s="317"/>
      <c r="GL34" s="317"/>
      <c r="GM34" s="317"/>
      <c r="GN34" s="317"/>
      <c r="GO34" s="317"/>
      <c r="GP34" s="317"/>
      <c r="GQ34" s="317"/>
      <c r="GR34" s="317"/>
      <c r="GS34" s="317"/>
      <c r="GT34" s="317"/>
      <c r="GU34" s="317"/>
      <c r="GV34" s="317"/>
      <c r="GW34" s="317"/>
      <c r="GX34" s="317"/>
      <c r="GY34" s="317"/>
      <c r="GZ34" s="317"/>
      <c r="HA34" s="317"/>
      <c r="HB34" s="317"/>
      <c r="HC34" s="317"/>
      <c r="HD34" s="317"/>
      <c r="HE34" s="317"/>
      <c r="HF34" s="317"/>
      <c r="HG34" s="317"/>
      <c r="HH34" s="317"/>
      <c r="HI34" s="317"/>
      <c r="HJ34" s="317"/>
      <c r="HK34" s="317"/>
      <c r="HL34" s="317"/>
      <c r="HM34" s="317"/>
      <c r="HN34" s="317"/>
      <c r="HO34" s="317"/>
      <c r="HP34" s="317"/>
      <c r="HQ34" s="317"/>
      <c r="HR34" s="317"/>
      <c r="HS34" s="317"/>
      <c r="HT34" s="317"/>
      <c r="HU34" s="317"/>
      <c r="HV34" s="317"/>
      <c r="HW34" s="317"/>
      <c r="HX34" s="317"/>
      <c r="HY34" s="317"/>
      <c r="HZ34" s="317"/>
      <c r="IA34" s="317"/>
      <c r="IB34" s="317"/>
      <c r="IC34" s="317"/>
      <c r="ID34" s="317"/>
      <c r="IE34" s="317"/>
      <c r="IF34" s="317"/>
      <c r="IG34" s="317"/>
      <c r="IH34" s="317"/>
      <c r="II34" s="317"/>
      <c r="IJ34" s="317"/>
      <c r="IK34" s="317"/>
      <c r="IL34" s="317"/>
      <c r="IM34" s="317"/>
      <c r="IN34" s="317"/>
      <c r="IO34" s="317"/>
      <c r="IP34" s="317"/>
      <c r="IQ34" s="317"/>
      <c r="IR34" s="317"/>
      <c r="IS34" s="317"/>
      <c r="IT34" s="317"/>
      <c r="IU34" s="317"/>
      <c r="IV34" s="317"/>
      <c r="IW34" s="317"/>
      <c r="IX34" s="317"/>
      <c r="IY34" s="317"/>
      <c r="IZ34" s="317"/>
      <c r="JA34" s="317"/>
    </row>
    <row r="35" spans="1:261">
      <c r="A35" s="336" t="s">
        <v>316</v>
      </c>
      <c r="B35" s="337" t="s">
        <v>316</v>
      </c>
      <c r="C35" s="338"/>
      <c r="D35" s="326"/>
      <c r="E35" s="327"/>
      <c r="F35" s="327"/>
      <c r="G35" s="327"/>
      <c r="H35" s="328"/>
      <c r="I35" s="327"/>
      <c r="J35" s="327"/>
      <c r="K35" s="327"/>
      <c r="L35" s="327"/>
      <c r="M35" s="328"/>
      <c r="N35" s="327"/>
      <c r="O35" s="327"/>
      <c r="P35" s="327"/>
      <c r="Q35" s="327"/>
      <c r="R35" s="328"/>
      <c r="S35" s="327"/>
      <c r="T35" s="327"/>
      <c r="U35" s="327"/>
      <c r="V35" s="327"/>
      <c r="W35" s="328"/>
      <c r="X35" s="327"/>
      <c r="Y35" s="327"/>
      <c r="Z35" s="327"/>
      <c r="AA35" s="327"/>
      <c r="AB35" s="328"/>
    </row>
    <row r="36" spans="1:261">
      <c r="A36" s="339"/>
      <c r="B36" s="312"/>
      <c r="C36" s="340"/>
      <c r="D36" s="314" t="e">
        <f ca="1">_xll.BLUEMATRIX2("/servlet/excelData",D35, $C$14,$B35&amp;":"&amp;D$16&amp;D$17&amp;":"&amp;D$19&amp;":"&amp;$B36)</f>
        <v>#NAME?</v>
      </c>
      <c r="E36" s="315" t="e">
        <f ca="1">_xll.BLUEMATRIX2("/servlet/excelData",E35, $C$14,$B35&amp;":"&amp;E$16&amp;E$17&amp;":"&amp;E$19&amp;":"&amp;$B36)</f>
        <v>#NAME?</v>
      </c>
      <c r="F36" s="315" t="e">
        <f ca="1">_xll.BLUEMATRIX2("/servlet/excelData",F35, $C$14,$B35&amp;":"&amp;F$16&amp;F$17&amp;":"&amp;F$19&amp;":"&amp;$B36)</f>
        <v>#NAME?</v>
      </c>
      <c r="G36" s="315" t="e">
        <f ca="1">_xll.BLUEMATRIX2("/servlet/excelData",G35, $C$14,$B35&amp;":"&amp;G$16&amp;G$17&amp;":"&amp;G$19&amp;":"&amp;$B36)</f>
        <v>#NAME?</v>
      </c>
      <c r="H36" s="316" t="e">
        <f ca="1">_xll.BLUEMATRIX2("/servlet/excelData",H35, $C$14,$B35&amp;":"&amp;H$16&amp;H$17&amp;":"&amp;H$19&amp;":"&amp;$B36)</f>
        <v>#NAME?</v>
      </c>
      <c r="I36" s="315" t="e">
        <f ca="1">_xll.BLUEMATRIX2("/servlet/excelData",I35, $C$14,$B35&amp;":"&amp;I$16&amp;I$17&amp;":"&amp;I$19&amp;":"&amp;$B36)</f>
        <v>#NAME?</v>
      </c>
      <c r="J36" s="315" t="e">
        <f ca="1">_xll.BLUEMATRIX2("/servlet/excelData",J35, $C$14,$B35&amp;":"&amp;J$16&amp;J$17&amp;":"&amp;J$19&amp;":"&amp;$B36)</f>
        <v>#NAME?</v>
      </c>
      <c r="K36" s="315" t="e">
        <f ca="1">_xll.BLUEMATRIX2("/servlet/excelData",K35, $C$14,$B35&amp;":"&amp;K$16&amp;K$17&amp;":"&amp;K$19&amp;":"&amp;$B36)</f>
        <v>#NAME?</v>
      </c>
      <c r="L36" s="315" t="e">
        <f ca="1">_xll.BLUEMATRIX2("/servlet/excelData",L35, $C$14,$B35&amp;":"&amp;L$16&amp;L$17&amp;":"&amp;L$19&amp;":"&amp;$B36)</f>
        <v>#NAME?</v>
      </c>
      <c r="M36" s="316" t="e">
        <f ca="1">_xll.BLUEMATRIX2("/servlet/excelData",M35, $C$14,$B35&amp;":"&amp;M$16&amp;M$17&amp;":"&amp;M$19&amp;":"&amp;$B36)</f>
        <v>#NAME?</v>
      </c>
      <c r="N36" s="315" t="e">
        <f ca="1">_xll.BLUEMATRIX2("/servlet/excelData",N35, $C$14,$B35&amp;":"&amp;N$16&amp;N$17&amp;":"&amp;N$19&amp;":"&amp;$B36)</f>
        <v>#NAME?</v>
      </c>
      <c r="O36" s="315" t="e">
        <f ca="1">_xll.BLUEMATRIX2("/servlet/excelData",O35, $C$14,$B35&amp;":"&amp;O$16&amp;O$17&amp;":"&amp;O$19&amp;":"&amp;$B36)</f>
        <v>#NAME?</v>
      </c>
      <c r="P36" s="315" t="e">
        <f ca="1">_xll.BLUEMATRIX2("/servlet/excelData",P35, $C$14,$B35&amp;":"&amp;P$16&amp;P$17&amp;":"&amp;P$19&amp;":"&amp;$B36)</f>
        <v>#NAME?</v>
      </c>
      <c r="Q36" s="315" t="e">
        <f ca="1">_xll.BLUEMATRIX2("/servlet/excelData",Q35, $C$14,$B35&amp;":"&amp;Q$16&amp;Q$17&amp;":"&amp;Q$19&amp;":"&amp;$B36)</f>
        <v>#NAME?</v>
      </c>
      <c r="R36" s="316" t="e">
        <f ca="1">_xll.BLUEMATRIX2("/servlet/excelData",R35, $C$14,$B35&amp;":"&amp;R$16&amp;R$17&amp;":"&amp;R$19&amp;":"&amp;$B36)</f>
        <v>#NAME?</v>
      </c>
      <c r="S36" s="315" t="e">
        <f ca="1">_xll.BLUEMATRIX2("/servlet/excelData",S35, $C$14,$B35&amp;":"&amp;S$16&amp;S$17&amp;":"&amp;S$19&amp;":"&amp;$B36)</f>
        <v>#NAME?</v>
      </c>
      <c r="T36" s="315" t="e">
        <f ca="1">_xll.BLUEMATRIX2("/servlet/excelData",T35, $C$14,$B35&amp;":"&amp;T$16&amp;T$17&amp;":"&amp;T$19&amp;":"&amp;$B36)</f>
        <v>#NAME?</v>
      </c>
      <c r="U36" s="315" t="e">
        <f ca="1">_xll.BLUEMATRIX2("/servlet/excelData",U35, $C$14,$B35&amp;":"&amp;U$16&amp;U$17&amp;":"&amp;U$19&amp;":"&amp;$B36)</f>
        <v>#NAME?</v>
      </c>
      <c r="V36" s="315" t="e">
        <f ca="1">_xll.BLUEMATRIX2("/servlet/excelData",V35, $C$14,$B35&amp;":"&amp;V$16&amp;V$17&amp;":"&amp;V$19&amp;":"&amp;$B36)</f>
        <v>#NAME?</v>
      </c>
      <c r="W36" s="316" t="e">
        <f ca="1">_xll.BLUEMATRIX2("/servlet/excelData",W35, $C$14,$B35&amp;":"&amp;W$16&amp;W$17&amp;":"&amp;W$19&amp;":"&amp;$B36)</f>
        <v>#NAME?</v>
      </c>
      <c r="X36" s="315" t="e">
        <f ca="1">_xll.BLUEMATRIX2("/servlet/excelData",X35, $C$14,$B35&amp;":"&amp;X$16&amp;X$17&amp;":"&amp;X$19&amp;":"&amp;$B36)</f>
        <v>#NAME?</v>
      </c>
      <c r="Y36" s="315" t="e">
        <f ca="1">_xll.BLUEMATRIX2("/servlet/excelData",Y35, $C$14,$B35&amp;":"&amp;Y$16&amp;Y$17&amp;":"&amp;Y$19&amp;":"&amp;$B36)</f>
        <v>#NAME?</v>
      </c>
      <c r="Z36" s="315" t="e">
        <f ca="1">_xll.BLUEMATRIX2("/servlet/excelData",Z35, $C$14,$B35&amp;":"&amp;Z$16&amp;Z$17&amp;":"&amp;Z$19&amp;":"&amp;$B36)</f>
        <v>#NAME?</v>
      </c>
      <c r="AA36" s="315" t="e">
        <f ca="1">_xll.BLUEMATRIX2("/servlet/excelData",AA35, $C$14,$B35&amp;":"&amp;AA$16&amp;AA$17&amp;":"&amp;AA$19&amp;":"&amp;$B36)</f>
        <v>#NAME?</v>
      </c>
      <c r="AB36" s="316" t="e">
        <f ca="1">_xll.BLUEMATRIX2("/servlet/excelData",AB35, $C$14,$B35&amp;":"&amp;AB$16&amp;AB$17&amp;":"&amp;AB$19&amp;":"&amp;$B36)</f>
        <v>#NAME?</v>
      </c>
      <c r="AC36" s="317"/>
      <c r="AD36" s="317"/>
      <c r="AE36" s="317"/>
      <c r="AF36" s="317"/>
      <c r="AG36" s="317"/>
      <c r="AH36" s="317"/>
      <c r="AI36" s="317"/>
      <c r="AK36" s="317"/>
      <c r="AL36" s="317"/>
      <c r="AM36" s="317"/>
      <c r="AN36" s="317"/>
      <c r="AO36" s="317"/>
      <c r="AP36" s="317"/>
      <c r="AQ36" s="317"/>
      <c r="AR36" s="317"/>
      <c r="AS36" s="317"/>
      <c r="AT36" s="317"/>
      <c r="AU36" s="317"/>
      <c r="AV36" s="317"/>
      <c r="AW36" s="317"/>
      <c r="AX36" s="317"/>
      <c r="AY36" s="317"/>
      <c r="AZ36" s="317"/>
      <c r="BA36" s="317"/>
      <c r="BB36" s="317"/>
      <c r="BC36" s="317"/>
      <c r="BD36" s="317"/>
      <c r="BE36" s="317"/>
      <c r="BF36" s="317"/>
      <c r="BG36" s="317"/>
      <c r="BH36" s="317"/>
      <c r="BI36" s="317"/>
      <c r="BJ36" s="317"/>
      <c r="BK36" s="317"/>
      <c r="BL36" s="317"/>
      <c r="BM36" s="317"/>
      <c r="BN36" s="317"/>
      <c r="BO36" s="317"/>
      <c r="BP36" s="317"/>
      <c r="BQ36" s="317"/>
      <c r="BR36" s="317"/>
      <c r="BS36" s="317"/>
      <c r="BT36" s="317"/>
      <c r="BU36" s="317"/>
      <c r="BV36" s="317"/>
      <c r="BW36" s="317"/>
      <c r="BX36" s="317"/>
      <c r="BY36" s="317"/>
      <c r="BZ36" s="317"/>
      <c r="CA36" s="317"/>
      <c r="CB36" s="317"/>
      <c r="CC36" s="317"/>
      <c r="CD36" s="317"/>
      <c r="CE36" s="317"/>
      <c r="CF36" s="317"/>
      <c r="CG36" s="317"/>
      <c r="CH36" s="317"/>
      <c r="CI36" s="317"/>
      <c r="CJ36" s="317"/>
      <c r="CK36" s="317"/>
      <c r="CL36" s="317"/>
      <c r="CM36" s="317"/>
      <c r="CN36" s="317"/>
      <c r="CO36" s="317"/>
      <c r="CP36" s="317"/>
      <c r="CQ36" s="317"/>
      <c r="CR36" s="317"/>
      <c r="CS36" s="317"/>
      <c r="CT36" s="317"/>
      <c r="CU36" s="317"/>
      <c r="CV36" s="317"/>
      <c r="CW36" s="317"/>
      <c r="CX36" s="317"/>
      <c r="CY36" s="317"/>
      <c r="CZ36" s="317"/>
      <c r="DA36" s="317"/>
      <c r="DB36" s="317"/>
      <c r="DC36" s="317"/>
      <c r="DD36" s="317"/>
      <c r="DE36" s="317"/>
      <c r="DF36" s="317"/>
      <c r="DG36" s="317"/>
      <c r="DH36" s="317"/>
      <c r="DI36" s="317"/>
      <c r="DJ36" s="317"/>
      <c r="DK36" s="317"/>
      <c r="DL36" s="317"/>
      <c r="DM36" s="317"/>
      <c r="DN36" s="317"/>
      <c r="DO36" s="317"/>
      <c r="DP36" s="317"/>
      <c r="DQ36" s="317"/>
      <c r="DR36" s="317"/>
      <c r="DS36" s="317"/>
      <c r="DT36" s="317"/>
      <c r="DU36" s="317"/>
      <c r="DV36" s="317"/>
      <c r="DW36" s="317"/>
      <c r="DX36" s="317"/>
      <c r="DY36" s="317"/>
      <c r="DZ36" s="317"/>
      <c r="EA36" s="317"/>
      <c r="EB36" s="317"/>
      <c r="EC36" s="317"/>
      <c r="ED36" s="317"/>
      <c r="EE36" s="317"/>
      <c r="EF36" s="317"/>
      <c r="EG36" s="317"/>
      <c r="EH36" s="317"/>
      <c r="EI36" s="317"/>
      <c r="EJ36" s="317"/>
      <c r="EK36" s="317"/>
      <c r="EL36" s="317"/>
      <c r="EM36" s="317"/>
      <c r="EN36" s="317"/>
      <c r="EO36" s="317"/>
      <c r="EP36" s="317"/>
      <c r="EQ36" s="317"/>
      <c r="ER36" s="317"/>
      <c r="ES36" s="317"/>
      <c r="ET36" s="317"/>
      <c r="EU36" s="317"/>
      <c r="EV36" s="317"/>
      <c r="EW36" s="317"/>
      <c r="EX36" s="317"/>
      <c r="EY36" s="317"/>
      <c r="EZ36" s="317"/>
      <c r="FA36" s="317"/>
      <c r="FB36" s="317"/>
      <c r="FC36" s="317"/>
      <c r="FD36" s="317"/>
      <c r="FE36" s="317"/>
      <c r="FF36" s="317"/>
      <c r="FG36" s="317"/>
      <c r="FH36" s="317"/>
      <c r="FI36" s="317"/>
      <c r="FJ36" s="317"/>
      <c r="FK36" s="317"/>
      <c r="FL36" s="317"/>
      <c r="FM36" s="317"/>
      <c r="FN36" s="317"/>
      <c r="FO36" s="317"/>
      <c r="FP36" s="317"/>
      <c r="FQ36" s="317"/>
      <c r="FR36" s="317"/>
      <c r="FS36" s="317"/>
      <c r="FT36" s="317"/>
      <c r="FU36" s="317"/>
      <c r="FV36" s="317"/>
      <c r="FW36" s="317"/>
      <c r="FX36" s="317"/>
      <c r="FY36" s="317"/>
      <c r="FZ36" s="317"/>
      <c r="GA36" s="317"/>
      <c r="GB36" s="317"/>
      <c r="GC36" s="317"/>
      <c r="GD36" s="317"/>
      <c r="GE36" s="317"/>
      <c r="GF36" s="317"/>
      <c r="GG36" s="317"/>
      <c r="GH36" s="317"/>
      <c r="GI36" s="317"/>
      <c r="GJ36" s="317"/>
      <c r="GK36" s="317"/>
      <c r="GL36" s="317"/>
      <c r="GM36" s="317"/>
      <c r="GN36" s="317"/>
      <c r="GO36" s="317"/>
      <c r="GP36" s="317"/>
      <c r="GQ36" s="317"/>
      <c r="GR36" s="317"/>
      <c r="GS36" s="317"/>
      <c r="GT36" s="317"/>
      <c r="GU36" s="317"/>
      <c r="GV36" s="317"/>
      <c r="GW36" s="317"/>
      <c r="GX36" s="317"/>
      <c r="GY36" s="317"/>
      <c r="GZ36" s="317"/>
      <c r="HA36" s="317"/>
      <c r="HB36" s="317"/>
      <c r="HC36" s="317"/>
      <c r="HD36" s="317"/>
      <c r="HE36" s="317"/>
      <c r="HF36" s="317"/>
      <c r="HG36" s="317"/>
      <c r="HH36" s="317"/>
      <c r="HI36" s="317"/>
      <c r="HJ36" s="317"/>
      <c r="HK36" s="317"/>
      <c r="HL36" s="317"/>
      <c r="HM36" s="317"/>
      <c r="HN36" s="317"/>
      <c r="HO36" s="317"/>
      <c r="HP36" s="317"/>
      <c r="HQ36" s="317"/>
      <c r="HR36" s="317"/>
      <c r="HS36" s="317"/>
      <c r="HT36" s="317"/>
      <c r="HU36" s="317"/>
      <c r="HV36" s="317"/>
      <c r="HW36" s="317"/>
      <c r="HX36" s="317"/>
      <c r="HY36" s="317"/>
      <c r="HZ36" s="317"/>
      <c r="IA36" s="317"/>
      <c r="IB36" s="317"/>
      <c r="IC36" s="317"/>
      <c r="ID36" s="317"/>
      <c r="IE36" s="317"/>
      <c r="IF36" s="317"/>
      <c r="IG36" s="317"/>
      <c r="IH36" s="317"/>
      <c r="II36" s="317"/>
      <c r="IJ36" s="317"/>
      <c r="IK36" s="317"/>
      <c r="IL36" s="317"/>
      <c r="IM36" s="317"/>
      <c r="IN36" s="317"/>
      <c r="IO36" s="317"/>
      <c r="IP36" s="317"/>
      <c r="IQ36" s="317"/>
      <c r="IR36" s="317"/>
      <c r="IS36" s="317"/>
      <c r="IT36" s="317"/>
      <c r="IU36" s="317"/>
      <c r="IV36" s="317"/>
      <c r="IW36" s="317"/>
      <c r="IX36" s="317"/>
      <c r="IY36" s="317"/>
      <c r="IZ36" s="317"/>
      <c r="JA36" s="317"/>
    </row>
    <row r="37" spans="1:261">
      <c r="B37" s="263"/>
    </row>
    <row r="38" spans="1:261">
      <c r="A38" s="341"/>
      <c r="B38" s="341"/>
    </row>
    <row r="39" spans="1:261">
      <c r="A39" s="341"/>
      <c r="B39" s="341"/>
    </row>
    <row r="40" spans="1:261">
      <c r="A40" s="341"/>
      <c r="B40" s="341"/>
    </row>
    <row r="41" spans="1:261">
      <c r="A41" s="341"/>
      <c r="B41" s="341"/>
    </row>
    <row r="42" spans="1:261">
      <c r="A42" s="341"/>
      <c r="B42" s="341"/>
    </row>
    <row r="43" spans="1:261">
      <c r="A43" s="341"/>
      <c r="B43" s="341"/>
    </row>
    <row r="44" spans="1:261">
      <c r="D44" s="273" t="s">
        <v>317</v>
      </c>
    </row>
    <row r="45" spans="1:261">
      <c r="A45" s="273" t="s">
        <v>318</v>
      </c>
      <c r="B45" s="273">
        <v>3</v>
      </c>
      <c r="C45" s="342"/>
      <c r="D45" s="263">
        <v>0</v>
      </c>
    </row>
    <row r="46" spans="1:261">
      <c r="A46" s="273" t="s">
        <v>319</v>
      </c>
      <c r="B46" s="273">
        <v>6</v>
      </c>
      <c r="C46" s="342"/>
      <c r="D46" s="263">
        <v>0</v>
      </c>
    </row>
    <row r="47" spans="1:261">
      <c r="A47" s="273" t="s">
        <v>320</v>
      </c>
      <c r="B47" s="273">
        <v>9</v>
      </c>
      <c r="C47" s="342"/>
      <c r="D47" s="263">
        <v>0</v>
      </c>
    </row>
    <row r="48" spans="1:261">
      <c r="A48" s="273" t="s">
        <v>321</v>
      </c>
      <c r="B48" s="273">
        <v>12</v>
      </c>
      <c r="C48" s="342"/>
      <c r="D48" s="263">
        <v>0</v>
      </c>
    </row>
  </sheetData>
  <dataValidations count="1">
    <dataValidation type="list" allowBlank="1" showInputMessage="1" showErrorMessage="1" sqref="C10 XDJ983046 WTN983046 WJR983046 VZV983046 VPZ983046 VGD983046 UWH983046 UML983046 UCP983046 TST983046 TIX983046 SZB983046 SPF983046 SFJ983046 RVN983046 RLR983046 RBV983046 QRZ983046 QID983046 PYH983046 POL983046 PEP983046 OUT983046 OKX983046 OBB983046 NRF983046 NHJ983046 MXN983046 MNR983046 MDV983046 LTZ983046 LKD983046 LAH983046 KQL983046 KGP983046 JWT983046 JMX983046 JDB983046 ITF983046 IJJ983046 HZN983046 HPR983046 HFV983046 GVZ983046 GMD983046 GCH983046 FSL983046 FIP983046 EYT983046 EOX983046 EFB983046 DVF983046 DLJ983046 DBN983046 CRR983046 CHV983046 BXZ983046 BOD983046 BEH983046 AUL983046 AKP983046 AAT983046 QX983046 HB983046 XDJ917510 WTN917510 WJR917510 VZV917510 VPZ917510 VGD917510 UWH917510 UML917510 UCP917510 TST917510 TIX917510 SZB917510 SPF917510 SFJ917510 RVN917510 RLR917510 RBV917510 QRZ917510 QID917510 PYH917510 POL917510 PEP917510 OUT917510 OKX917510 OBB917510 NRF917510 NHJ917510 MXN917510 MNR917510 MDV917510 LTZ917510 LKD917510 LAH917510 KQL917510 KGP917510 JWT917510 JMX917510 JDB917510 ITF917510 IJJ917510 HZN917510 HPR917510 HFV917510 GVZ917510 GMD917510 GCH917510 FSL917510 FIP917510 EYT917510 EOX917510 EFB917510 DVF917510 DLJ917510 DBN917510 CRR917510 CHV917510 BXZ917510 BOD917510 BEH917510 AUL917510 AKP917510 AAT917510 QX917510 HB917510 XDJ851974 WTN851974 WJR851974 VZV851974 VPZ851974 VGD851974 UWH851974 UML851974 UCP851974 TST851974 TIX851974 SZB851974 SPF851974 SFJ851974 RVN851974 RLR851974 RBV851974 QRZ851974 QID851974 PYH851974 POL851974 PEP851974 OUT851974 OKX851974 OBB851974 NRF851974 NHJ851974 MXN851974 MNR851974 MDV851974 LTZ851974 LKD851974 LAH851974 KQL851974 KGP851974 JWT851974 JMX851974 JDB851974 ITF851974 IJJ851974 HZN851974 HPR851974 HFV851974 GVZ851974 GMD851974 GCH851974 FSL851974 FIP851974 EYT851974 EOX851974 EFB851974 DVF851974 DLJ851974 DBN851974 CRR851974 CHV851974 BXZ851974 BOD851974 BEH851974 AUL851974 AKP851974 AAT851974 QX851974 HB851974 XDJ786438 WTN786438 WJR786438 VZV786438 VPZ786438 VGD786438 UWH786438 UML786438 UCP786438 TST786438 TIX786438 SZB786438 SPF786438 SFJ786438 RVN786438 RLR786438 RBV786438 QRZ786438 QID786438 PYH786438 POL786438 PEP786438 OUT786438 OKX786438 OBB786438 NRF786438 NHJ786438 MXN786438 MNR786438 MDV786438 LTZ786438 LKD786438 LAH786438 KQL786438 KGP786438 JWT786438 JMX786438 JDB786438 ITF786438 IJJ786438 HZN786438 HPR786438 HFV786438 GVZ786438 GMD786438 GCH786438 FSL786438 FIP786438 EYT786438 EOX786438 EFB786438 DVF786438 DLJ786438 DBN786438 CRR786438 CHV786438 BXZ786438 BOD786438 BEH786438 AUL786438 AKP786438 AAT786438 QX786438 HB786438 XDJ720902 WTN720902 WJR720902 VZV720902 VPZ720902 VGD720902 UWH720902 UML720902 UCP720902 TST720902 TIX720902 SZB720902 SPF720902 SFJ720902 RVN720902 RLR720902 RBV720902 QRZ720902 QID720902 PYH720902 POL720902 PEP720902 OUT720902 OKX720902 OBB720902 NRF720902 NHJ720902 MXN720902 MNR720902 MDV720902 LTZ720902 LKD720902 LAH720902 KQL720902 KGP720902 JWT720902 JMX720902 JDB720902 ITF720902 IJJ720902 HZN720902 HPR720902 HFV720902 GVZ720902 GMD720902 GCH720902 FSL720902 FIP720902 EYT720902 EOX720902 EFB720902 DVF720902 DLJ720902 DBN720902 CRR720902 CHV720902 BXZ720902 BOD720902 BEH720902 AUL720902 AKP720902 AAT720902 QX720902 HB720902 XDJ655366 WTN655366 WJR655366 VZV655366 VPZ655366 VGD655366 UWH655366 UML655366 UCP655366 TST655366 TIX655366 SZB655366 SPF655366 SFJ655366 RVN655366 RLR655366 RBV655366 QRZ655366 QID655366 PYH655366 POL655366 PEP655366 OUT655366 OKX655366 OBB655366 NRF655366 NHJ655366 MXN655366 MNR655366 MDV655366 LTZ655366 LKD655366 LAH655366 KQL655366 KGP655366 JWT655366 JMX655366 JDB655366 ITF655366 IJJ655366 HZN655366 HPR655366 HFV655366 GVZ655366 GMD655366 GCH655366 FSL655366 FIP655366 EYT655366 EOX655366 EFB655366 DVF655366 DLJ655366 DBN655366 CRR655366 CHV655366 BXZ655366 BOD655366 BEH655366 AUL655366 AKP655366 AAT655366 QX655366 HB655366 XDJ589830 WTN589830 WJR589830 VZV589830 VPZ589830 VGD589830 UWH589830 UML589830 UCP589830 TST589830 TIX589830 SZB589830 SPF589830 SFJ589830 RVN589830 RLR589830 RBV589830 QRZ589830 QID589830 PYH589830 POL589830 PEP589830 OUT589830 OKX589830 OBB589830 NRF589830 NHJ589830 MXN589830 MNR589830 MDV589830 LTZ589830 LKD589830 LAH589830 KQL589830 KGP589830 JWT589830 JMX589830 JDB589830 ITF589830 IJJ589830 HZN589830 HPR589830 HFV589830 GVZ589830 GMD589830 GCH589830 FSL589830 FIP589830 EYT589830 EOX589830 EFB589830 DVF589830 DLJ589830 DBN589830 CRR589830 CHV589830 BXZ589830 BOD589830 BEH589830 AUL589830 AKP589830 AAT589830 QX589830 HB589830 XDJ524294 WTN524294 WJR524294 VZV524294 VPZ524294 VGD524294 UWH524294 UML524294 UCP524294 TST524294 TIX524294 SZB524294 SPF524294 SFJ524294 RVN524294 RLR524294 RBV524294 QRZ524294 QID524294 PYH524294 POL524294 PEP524294 OUT524294 OKX524294 OBB524294 NRF524294 NHJ524294 MXN524294 MNR524294 MDV524294 LTZ524294 LKD524294 LAH524294 KQL524294 KGP524294 JWT524294 JMX524294 JDB524294 ITF524294 IJJ524294 HZN524294 HPR524294 HFV524294 GVZ524294 GMD524294 GCH524294 FSL524294 FIP524294 EYT524294 EOX524294 EFB524294 DVF524294 DLJ524294 DBN524294 CRR524294 CHV524294 BXZ524294 BOD524294 BEH524294 AUL524294 AKP524294 AAT524294 QX524294 HB524294 XDJ458758 WTN458758 WJR458758 VZV458758 VPZ458758 VGD458758 UWH458758 UML458758 UCP458758 TST458758 TIX458758 SZB458758 SPF458758 SFJ458758 RVN458758 RLR458758 RBV458758 QRZ458758 QID458758 PYH458758 POL458758 PEP458758 OUT458758 OKX458758 OBB458758 NRF458758 NHJ458758 MXN458758 MNR458758 MDV458758 LTZ458758 LKD458758 LAH458758 KQL458758 KGP458758 JWT458758 JMX458758 JDB458758 ITF458758 IJJ458758 HZN458758 HPR458758 HFV458758 GVZ458758 GMD458758 GCH458758 FSL458758 FIP458758 EYT458758 EOX458758 EFB458758 DVF458758 DLJ458758 DBN458758 CRR458758 CHV458758 BXZ458758 BOD458758 BEH458758 AUL458758 AKP458758 AAT458758 QX458758 HB458758 XDJ393222 WTN393222 WJR393222 VZV393222 VPZ393222 VGD393222 UWH393222 UML393222 UCP393222 TST393222 TIX393222 SZB393222 SPF393222 SFJ393222 RVN393222 RLR393222 RBV393222 QRZ393222 QID393222 PYH393222 POL393222 PEP393222 OUT393222 OKX393222 OBB393222 NRF393222 NHJ393222 MXN393222 MNR393222 MDV393222 LTZ393222 LKD393222 LAH393222 KQL393222 KGP393222 JWT393222 JMX393222 JDB393222 ITF393222 IJJ393222 HZN393222 HPR393222 HFV393222 GVZ393222 GMD393222 GCH393222 FSL393222 FIP393222 EYT393222 EOX393222 EFB393222 DVF393222 DLJ393222 DBN393222 CRR393222 CHV393222 BXZ393222 BOD393222 BEH393222 AUL393222 AKP393222 AAT393222 QX393222 HB393222 XDJ327686 WTN327686 WJR327686 VZV327686 VPZ327686 VGD327686 UWH327686 UML327686 UCP327686 TST327686 TIX327686 SZB327686 SPF327686 SFJ327686 RVN327686 RLR327686 RBV327686 QRZ327686 QID327686 PYH327686 POL327686 PEP327686 OUT327686 OKX327686 OBB327686 NRF327686 NHJ327686 MXN327686 MNR327686 MDV327686 LTZ327686 LKD327686 LAH327686 KQL327686 KGP327686 JWT327686 JMX327686 JDB327686 ITF327686 IJJ327686 HZN327686 HPR327686 HFV327686 GVZ327686 GMD327686 GCH327686 FSL327686 FIP327686 EYT327686 EOX327686 EFB327686 DVF327686 DLJ327686 DBN327686 CRR327686 CHV327686 BXZ327686 BOD327686 BEH327686 AUL327686 AKP327686 AAT327686 QX327686 HB327686 XDJ262150 WTN262150 WJR262150 VZV262150 VPZ262150 VGD262150 UWH262150 UML262150 UCP262150 TST262150 TIX262150 SZB262150 SPF262150 SFJ262150 RVN262150 RLR262150 RBV262150 QRZ262150 QID262150 PYH262150 POL262150 PEP262150 OUT262150 OKX262150 OBB262150 NRF262150 NHJ262150 MXN262150 MNR262150 MDV262150 LTZ262150 LKD262150 LAH262150 KQL262150 KGP262150 JWT262150 JMX262150 JDB262150 ITF262150 IJJ262150 HZN262150 HPR262150 HFV262150 GVZ262150 GMD262150 GCH262150 FSL262150 FIP262150 EYT262150 EOX262150 EFB262150 DVF262150 DLJ262150 DBN262150 CRR262150 CHV262150 BXZ262150 BOD262150 BEH262150 AUL262150 AKP262150 AAT262150 QX262150 HB262150 XDJ196614 WTN196614 WJR196614 VZV196614 VPZ196614 VGD196614 UWH196614 UML196614 UCP196614 TST196614 TIX196614 SZB196614 SPF196614 SFJ196614 RVN196614 RLR196614 RBV196614 QRZ196614 QID196614 PYH196614 POL196614 PEP196614 OUT196614 OKX196614 OBB196614 NRF196614 NHJ196614 MXN196614 MNR196614 MDV196614 LTZ196614 LKD196614 LAH196614 KQL196614 KGP196614 JWT196614 JMX196614 JDB196614 ITF196614 IJJ196614 HZN196614 HPR196614 HFV196614 GVZ196614 GMD196614 GCH196614 FSL196614 FIP196614 EYT196614 EOX196614 EFB196614 DVF196614 DLJ196614 DBN196614 CRR196614 CHV196614 BXZ196614 BOD196614 BEH196614 AUL196614 AKP196614 AAT196614 QX196614 HB196614 XDJ131078 WTN131078 WJR131078 VZV131078 VPZ131078 VGD131078 UWH131078 UML131078 UCP131078 TST131078 TIX131078 SZB131078 SPF131078 SFJ131078 RVN131078 RLR131078 RBV131078 QRZ131078 QID131078 PYH131078 POL131078 PEP131078 OUT131078 OKX131078 OBB131078 NRF131078 NHJ131078 MXN131078 MNR131078 MDV131078 LTZ131078 LKD131078 LAH131078 KQL131078 KGP131078 JWT131078 JMX131078 JDB131078 ITF131078 IJJ131078 HZN131078 HPR131078 HFV131078 GVZ131078 GMD131078 GCH131078 FSL131078 FIP131078 EYT131078 EOX131078 EFB131078 DVF131078 DLJ131078 DBN131078 CRR131078 CHV131078 BXZ131078 BOD131078 BEH131078 AUL131078 AKP131078 AAT131078 QX131078 HB131078 XDJ65542 WTN65542 WJR65542 VZV65542 VPZ65542 VGD65542 UWH65542 UML65542 UCP65542 TST65542 TIX65542 SZB65542 SPF65542 SFJ65542 RVN65542 RLR65542 RBV65542 QRZ65542 QID65542 PYH65542 POL65542 PEP65542 OUT65542 OKX65542 OBB65542 NRF65542 NHJ65542 MXN65542 MNR65542 MDV65542 LTZ65542 LKD65542 LAH65542 KQL65542 KGP65542 JWT65542 JMX65542 JDB65542 ITF65542 IJJ65542 HZN65542 HPR65542 HFV65542 GVZ65542 GMD65542 GCH65542 FSL65542 FIP65542 EYT65542 EOX65542 EFB65542 DVF65542 DLJ65542 DBN65542 CRR65542 CHV65542 BXZ65542 BOD65542 BEH65542 AUL65542 AKP65542 AAT65542 QX65542 HB65542 XDJ6 WTN6 WJR6 VZV6 VPZ6 VGD6 UWH6 UML6 UCP6 TST6 TIX6 SZB6 SPF6 SFJ6 RVN6 RLR6 RBV6 QRZ6 QID6 PYH6 POL6 PEP6 OUT6 OKX6 OBB6 NRF6 NHJ6 MXN6 MNR6 MDV6 LTZ6 LKD6 LAH6 KQL6 KGP6 JWT6 JMX6 JDB6 ITF6 IJJ6 HZN6 HPR6 HFV6 GVZ6 GMD6 GCH6 FSL6 FIP6 EYT6 EOX6 EFB6 DVF6 DLJ6 DBN6 CRR6 CHV6 BXZ6 BOD6 BEH6 AUL6 AKP6 AAT6 QX6 HB6 WVP1048536 WLT1048536 WBX1048536 VSB1048536 VIF1048536 UYJ1048536 UON1048536 UER1048536 TUV1048536 TKZ1048536 TBD1048536 SRH1048536 SHL1048536 RXP1048536 RNT1048536 RDX1048536 QUB1048536 QKF1048536 QAJ1048536 PQN1048536 PGR1048536 OWV1048536 OMZ1048536 ODD1048536 NTH1048536 NJL1048536 MZP1048536 MPT1048536 MFX1048536 LWB1048536 LMF1048536 LCJ1048536 KSN1048536 KIR1048536 JYV1048536 JOZ1048536 JFD1048536 IVH1048536 ILL1048536 IBP1048536 HRT1048536 HHX1048536 GYB1048536 GOF1048536 GEJ1048536 FUN1048536 FKR1048536 FAV1048536 EQZ1048536 EHD1048536 DXH1048536 DNL1048536 DDP1048536 CTT1048536 CJX1048536 CAB1048536 BQF1048536 BGJ1048536 AWN1048536 AMR1048536 ACV1048536 SZ1048536 JD1048536 C1048536 WVP983000 WLT983000 WBX983000 VSB983000 VIF983000 UYJ983000 UON983000 UER983000 TUV983000 TKZ983000 TBD983000 SRH983000 SHL983000 RXP983000 RNT983000 RDX983000 QUB983000 QKF983000 QAJ983000 PQN983000 PGR983000 OWV983000 OMZ983000 ODD983000 NTH983000 NJL983000 MZP983000 MPT983000 MFX983000 LWB983000 LMF983000 LCJ983000 KSN983000 KIR983000 JYV983000 JOZ983000 JFD983000 IVH983000 ILL983000 IBP983000 HRT983000 HHX983000 GYB983000 GOF983000 GEJ983000 FUN983000 FKR983000 FAV983000 EQZ983000 EHD983000 DXH983000 DNL983000 DDP983000 CTT983000 CJX983000 CAB983000 BQF983000 BGJ983000 AWN983000 AMR983000 ACV983000 SZ983000 JD983000 C983000 WVP917464 WLT917464 WBX917464 VSB917464 VIF917464 UYJ917464 UON917464 UER917464 TUV917464 TKZ917464 TBD917464 SRH917464 SHL917464 RXP917464 RNT917464 RDX917464 QUB917464 QKF917464 QAJ917464 PQN917464 PGR917464 OWV917464 OMZ917464 ODD917464 NTH917464 NJL917464 MZP917464 MPT917464 MFX917464 LWB917464 LMF917464 LCJ917464 KSN917464 KIR917464 JYV917464 JOZ917464 JFD917464 IVH917464 ILL917464 IBP917464 HRT917464 HHX917464 GYB917464 GOF917464 GEJ917464 FUN917464 FKR917464 FAV917464 EQZ917464 EHD917464 DXH917464 DNL917464 DDP917464 CTT917464 CJX917464 CAB917464 BQF917464 BGJ917464 AWN917464 AMR917464 ACV917464 SZ917464 JD917464 C917464 WVP851928 WLT851928 WBX851928 VSB851928 VIF851928 UYJ851928 UON851928 UER851928 TUV851928 TKZ851928 TBD851928 SRH851928 SHL851928 RXP851928 RNT851928 RDX851928 QUB851928 QKF851928 QAJ851928 PQN851928 PGR851928 OWV851928 OMZ851928 ODD851928 NTH851928 NJL851928 MZP851928 MPT851928 MFX851928 LWB851928 LMF851928 LCJ851928 KSN851928 KIR851928 JYV851928 JOZ851928 JFD851928 IVH851928 ILL851928 IBP851928 HRT851928 HHX851928 GYB851928 GOF851928 GEJ851928 FUN851928 FKR851928 FAV851928 EQZ851928 EHD851928 DXH851928 DNL851928 DDP851928 CTT851928 CJX851928 CAB851928 BQF851928 BGJ851928 AWN851928 AMR851928 ACV851928 SZ851928 JD851928 C851928 WVP786392 WLT786392 WBX786392 VSB786392 VIF786392 UYJ786392 UON786392 UER786392 TUV786392 TKZ786392 TBD786392 SRH786392 SHL786392 RXP786392 RNT786392 RDX786392 QUB786392 QKF786392 QAJ786392 PQN786392 PGR786392 OWV786392 OMZ786392 ODD786392 NTH786392 NJL786392 MZP786392 MPT786392 MFX786392 LWB786392 LMF786392 LCJ786392 KSN786392 KIR786392 JYV786392 JOZ786392 JFD786392 IVH786392 ILL786392 IBP786392 HRT786392 HHX786392 GYB786392 GOF786392 GEJ786392 FUN786392 FKR786392 FAV786392 EQZ786392 EHD786392 DXH786392 DNL786392 DDP786392 CTT786392 CJX786392 CAB786392 BQF786392 BGJ786392 AWN786392 AMR786392 ACV786392 SZ786392 JD786392 C786392 WVP720856 WLT720856 WBX720856 VSB720856 VIF720856 UYJ720856 UON720856 UER720856 TUV720856 TKZ720856 TBD720856 SRH720856 SHL720856 RXP720856 RNT720856 RDX720856 QUB720856 QKF720856 QAJ720856 PQN720856 PGR720856 OWV720856 OMZ720856 ODD720856 NTH720856 NJL720856 MZP720856 MPT720856 MFX720856 LWB720856 LMF720856 LCJ720856 KSN720856 KIR720856 JYV720856 JOZ720856 JFD720856 IVH720856 ILL720856 IBP720856 HRT720856 HHX720856 GYB720856 GOF720856 GEJ720856 FUN720856 FKR720856 FAV720856 EQZ720856 EHD720856 DXH720856 DNL720856 DDP720856 CTT720856 CJX720856 CAB720856 BQF720856 BGJ720856 AWN720856 AMR720856 ACV720856 SZ720856 JD720856 C720856 WVP655320 WLT655320 WBX655320 VSB655320 VIF655320 UYJ655320 UON655320 UER655320 TUV655320 TKZ655320 TBD655320 SRH655320 SHL655320 RXP655320 RNT655320 RDX655320 QUB655320 QKF655320 QAJ655320 PQN655320 PGR655320 OWV655320 OMZ655320 ODD655320 NTH655320 NJL655320 MZP655320 MPT655320 MFX655320 LWB655320 LMF655320 LCJ655320 KSN655320 KIR655320 JYV655320 JOZ655320 JFD655320 IVH655320 ILL655320 IBP655320 HRT655320 HHX655320 GYB655320 GOF655320 GEJ655320 FUN655320 FKR655320 FAV655320 EQZ655320 EHD655320 DXH655320 DNL655320 DDP655320 CTT655320 CJX655320 CAB655320 BQF655320 BGJ655320 AWN655320 AMR655320 ACV655320 SZ655320 JD655320 C655320 WVP589784 WLT589784 WBX589784 VSB589784 VIF589784 UYJ589784 UON589784 UER589784 TUV589784 TKZ589784 TBD589784 SRH589784 SHL589784 RXP589784 RNT589784 RDX589784 QUB589784 QKF589784 QAJ589784 PQN589784 PGR589784 OWV589784 OMZ589784 ODD589784 NTH589784 NJL589784 MZP589784 MPT589784 MFX589784 LWB589784 LMF589784 LCJ589784 KSN589784 KIR589784 JYV589784 JOZ589784 JFD589784 IVH589784 ILL589784 IBP589784 HRT589784 HHX589784 GYB589784 GOF589784 GEJ589784 FUN589784 FKR589784 FAV589784 EQZ589784 EHD589784 DXH589784 DNL589784 DDP589784 CTT589784 CJX589784 CAB589784 BQF589784 BGJ589784 AWN589784 AMR589784 ACV589784 SZ589784 JD589784 C589784 WVP524248 WLT524248 WBX524248 VSB524248 VIF524248 UYJ524248 UON524248 UER524248 TUV524248 TKZ524248 TBD524248 SRH524248 SHL524248 RXP524248 RNT524248 RDX524248 QUB524248 QKF524248 QAJ524248 PQN524248 PGR524248 OWV524248 OMZ524248 ODD524248 NTH524248 NJL524248 MZP524248 MPT524248 MFX524248 LWB524248 LMF524248 LCJ524248 KSN524248 KIR524248 JYV524248 JOZ524248 JFD524248 IVH524248 ILL524248 IBP524248 HRT524248 HHX524248 GYB524248 GOF524248 GEJ524248 FUN524248 FKR524248 FAV524248 EQZ524248 EHD524248 DXH524248 DNL524248 DDP524248 CTT524248 CJX524248 CAB524248 BQF524248 BGJ524248 AWN524248 AMR524248 ACV524248 SZ524248 JD524248 C524248 WVP458712 WLT458712 WBX458712 VSB458712 VIF458712 UYJ458712 UON458712 UER458712 TUV458712 TKZ458712 TBD458712 SRH458712 SHL458712 RXP458712 RNT458712 RDX458712 QUB458712 QKF458712 QAJ458712 PQN458712 PGR458712 OWV458712 OMZ458712 ODD458712 NTH458712 NJL458712 MZP458712 MPT458712 MFX458712 LWB458712 LMF458712 LCJ458712 KSN458712 KIR458712 JYV458712 JOZ458712 JFD458712 IVH458712 ILL458712 IBP458712 HRT458712 HHX458712 GYB458712 GOF458712 GEJ458712 FUN458712 FKR458712 FAV458712 EQZ458712 EHD458712 DXH458712 DNL458712 DDP458712 CTT458712 CJX458712 CAB458712 BQF458712 BGJ458712 AWN458712 AMR458712 ACV458712 SZ458712 JD458712 C458712 WVP393176 WLT393176 WBX393176 VSB393176 VIF393176 UYJ393176 UON393176 UER393176 TUV393176 TKZ393176 TBD393176 SRH393176 SHL393176 RXP393176 RNT393176 RDX393176 QUB393176 QKF393176 QAJ393176 PQN393176 PGR393176 OWV393176 OMZ393176 ODD393176 NTH393176 NJL393176 MZP393176 MPT393176 MFX393176 LWB393176 LMF393176 LCJ393176 KSN393176 KIR393176 JYV393176 JOZ393176 JFD393176 IVH393176 ILL393176 IBP393176 HRT393176 HHX393176 GYB393176 GOF393176 GEJ393176 FUN393176 FKR393176 FAV393176 EQZ393176 EHD393176 DXH393176 DNL393176 DDP393176 CTT393176 CJX393176 CAB393176 BQF393176 BGJ393176 AWN393176 AMR393176 ACV393176 SZ393176 JD393176 C393176 WVP327640 WLT327640 WBX327640 VSB327640 VIF327640 UYJ327640 UON327640 UER327640 TUV327640 TKZ327640 TBD327640 SRH327640 SHL327640 RXP327640 RNT327640 RDX327640 QUB327640 QKF327640 QAJ327640 PQN327640 PGR327640 OWV327640 OMZ327640 ODD327640 NTH327640 NJL327640 MZP327640 MPT327640 MFX327640 LWB327640 LMF327640 LCJ327640 KSN327640 KIR327640 JYV327640 JOZ327640 JFD327640 IVH327640 ILL327640 IBP327640 HRT327640 HHX327640 GYB327640 GOF327640 GEJ327640 FUN327640 FKR327640 FAV327640 EQZ327640 EHD327640 DXH327640 DNL327640 DDP327640 CTT327640 CJX327640 CAB327640 BQF327640 BGJ327640 AWN327640 AMR327640 ACV327640 SZ327640 JD327640 C327640 WVP262104 WLT262104 WBX262104 VSB262104 VIF262104 UYJ262104 UON262104 UER262104 TUV262104 TKZ262104 TBD262104 SRH262104 SHL262104 RXP262104 RNT262104 RDX262104 QUB262104 QKF262104 QAJ262104 PQN262104 PGR262104 OWV262104 OMZ262104 ODD262104 NTH262104 NJL262104 MZP262104 MPT262104 MFX262104 LWB262104 LMF262104 LCJ262104 KSN262104 KIR262104 JYV262104 JOZ262104 JFD262104 IVH262104 ILL262104 IBP262104 HRT262104 HHX262104 GYB262104 GOF262104 GEJ262104 FUN262104 FKR262104 FAV262104 EQZ262104 EHD262104 DXH262104 DNL262104 DDP262104 CTT262104 CJX262104 CAB262104 BQF262104 BGJ262104 AWN262104 AMR262104 ACV262104 SZ262104 JD262104 C262104 WVP196568 WLT196568 WBX196568 VSB196568 VIF196568 UYJ196568 UON196568 UER196568 TUV196568 TKZ196568 TBD196568 SRH196568 SHL196568 RXP196568 RNT196568 RDX196568 QUB196568 QKF196568 QAJ196568 PQN196568 PGR196568 OWV196568 OMZ196568 ODD196568 NTH196568 NJL196568 MZP196568 MPT196568 MFX196568 LWB196568 LMF196568 LCJ196568 KSN196568 KIR196568 JYV196568 JOZ196568 JFD196568 IVH196568 ILL196568 IBP196568 HRT196568 HHX196568 GYB196568 GOF196568 GEJ196568 FUN196568 FKR196568 FAV196568 EQZ196568 EHD196568 DXH196568 DNL196568 DDP196568 CTT196568 CJX196568 CAB196568 BQF196568 BGJ196568 AWN196568 AMR196568 ACV196568 SZ196568 JD196568 C196568 WVP131032 WLT131032 WBX131032 VSB131032 VIF131032 UYJ131032 UON131032 UER131032 TUV131032 TKZ131032 TBD131032 SRH131032 SHL131032 RXP131032 RNT131032 RDX131032 QUB131032 QKF131032 QAJ131032 PQN131032 PGR131032 OWV131032 OMZ131032 ODD131032 NTH131032 NJL131032 MZP131032 MPT131032 MFX131032 LWB131032 LMF131032 LCJ131032 KSN131032 KIR131032 JYV131032 JOZ131032 JFD131032 IVH131032 ILL131032 IBP131032 HRT131032 HHX131032 GYB131032 GOF131032 GEJ131032 FUN131032 FKR131032 FAV131032 EQZ131032 EHD131032 DXH131032 DNL131032 DDP131032 CTT131032 CJX131032 CAB131032 BQF131032 BGJ131032 AWN131032 AMR131032 ACV131032 SZ131032 JD131032 C131032 WVP65496 WLT65496 WBX65496 VSB65496 VIF65496 UYJ65496 UON65496 UER65496 TUV65496 TKZ65496 TBD65496 SRH65496 SHL65496 RXP65496 RNT65496 RDX65496 QUB65496 QKF65496 QAJ65496 PQN65496 PGR65496 OWV65496 OMZ65496 ODD65496 NTH65496 NJL65496 MZP65496 MPT65496 MFX65496 LWB65496 LMF65496 LCJ65496 KSN65496 KIR65496 JYV65496 JOZ65496 JFD65496 IVH65496 ILL65496 IBP65496 HRT65496 HHX65496 GYB65496 GOF65496 GEJ65496 FUN65496 FKR65496 FAV65496 EQZ65496 EHD65496 DXH65496 DNL65496 DDP65496 CTT65496 CJX65496 CAB65496 BQF65496 BGJ65496 AWN65496 AMR65496 ACV65496 SZ65496 JD65496 C65496 XDJ1048535 WTN1048535 WJR1048535 VZV1048535 VPZ1048535 VGD1048535 UWH1048535 UML1048535 UCP1048535 TST1048535 TIX1048535 SZB1048535 SPF1048535 SFJ1048535 RVN1048535 RLR1048535 RBV1048535 QRZ1048535 QID1048535 PYH1048535 POL1048535 PEP1048535 OUT1048535 OKX1048535 OBB1048535 NRF1048535 NHJ1048535 MXN1048535 MNR1048535 MDV1048535 LTZ1048535 LKD1048535 LAH1048535 KQL1048535 KGP1048535 JWT1048535 JMX1048535 JDB1048535 ITF1048535 IJJ1048535 HZN1048535 HPR1048535 HFV1048535 GVZ1048535 GMD1048535 GCH1048535 FSL1048535 FIP1048535 EYT1048535 EOX1048535 EFB1048535 DVF1048535 DLJ1048535 DBN1048535 CRR1048535 CHV1048535 BXZ1048535 BOD1048535 BEH1048535 AUL1048535 AKP1048535 AAT1048535 QX1048535 HB1048535 XDJ982999 WTN982999 WJR982999 VZV982999 VPZ982999 VGD982999 UWH982999 UML982999 UCP982999 TST982999 TIX982999 SZB982999 SPF982999 SFJ982999 RVN982999 RLR982999 RBV982999 QRZ982999 QID982999 PYH982999 POL982999 PEP982999 OUT982999 OKX982999 OBB982999 NRF982999 NHJ982999 MXN982999 MNR982999 MDV982999 LTZ982999 LKD982999 LAH982999 KQL982999 KGP982999 JWT982999 JMX982999 JDB982999 ITF982999 IJJ982999 HZN982999 HPR982999 HFV982999 GVZ982999 GMD982999 GCH982999 FSL982999 FIP982999 EYT982999 EOX982999 EFB982999 DVF982999 DLJ982999 DBN982999 CRR982999 CHV982999 BXZ982999 BOD982999 BEH982999 AUL982999 AKP982999 AAT982999 QX982999 HB982999 XDJ917463 WTN917463 WJR917463 VZV917463 VPZ917463 VGD917463 UWH917463 UML917463 UCP917463 TST917463 TIX917463 SZB917463 SPF917463 SFJ917463 RVN917463 RLR917463 RBV917463 QRZ917463 QID917463 PYH917463 POL917463 PEP917463 OUT917463 OKX917463 OBB917463 NRF917463 NHJ917463 MXN917463 MNR917463 MDV917463 LTZ917463 LKD917463 LAH917463 KQL917463 KGP917463 JWT917463 JMX917463 JDB917463 ITF917463 IJJ917463 HZN917463 HPR917463 HFV917463 GVZ917463 GMD917463 GCH917463 FSL917463 FIP917463 EYT917463 EOX917463 EFB917463 DVF917463 DLJ917463 DBN917463 CRR917463 CHV917463 BXZ917463 BOD917463 BEH917463 AUL917463 AKP917463 AAT917463 QX917463 HB917463 XDJ851927 WTN851927 WJR851927 VZV851927 VPZ851927 VGD851927 UWH851927 UML851927 UCP851927 TST851927 TIX851927 SZB851927 SPF851927 SFJ851927 RVN851927 RLR851927 RBV851927 QRZ851927 QID851927 PYH851927 POL851927 PEP851927 OUT851927 OKX851927 OBB851927 NRF851927 NHJ851927 MXN851927 MNR851927 MDV851927 LTZ851927 LKD851927 LAH851927 KQL851927 KGP851927 JWT851927 JMX851927 JDB851927 ITF851927 IJJ851927 HZN851927 HPR851927 HFV851927 GVZ851927 GMD851927 GCH851927 FSL851927 FIP851927 EYT851927 EOX851927 EFB851927 DVF851927 DLJ851927 DBN851927 CRR851927 CHV851927 BXZ851927 BOD851927 BEH851927 AUL851927 AKP851927 AAT851927 QX851927 HB851927 XDJ786391 WTN786391 WJR786391 VZV786391 VPZ786391 VGD786391 UWH786391 UML786391 UCP786391 TST786391 TIX786391 SZB786391 SPF786391 SFJ786391 RVN786391 RLR786391 RBV786391 QRZ786391 QID786391 PYH786391 POL786391 PEP786391 OUT786391 OKX786391 OBB786391 NRF786391 NHJ786391 MXN786391 MNR786391 MDV786391 LTZ786391 LKD786391 LAH786391 KQL786391 KGP786391 JWT786391 JMX786391 JDB786391 ITF786391 IJJ786391 HZN786391 HPR786391 HFV786391 GVZ786391 GMD786391 GCH786391 FSL786391 FIP786391 EYT786391 EOX786391 EFB786391 DVF786391 DLJ786391 DBN786391 CRR786391 CHV786391 BXZ786391 BOD786391 BEH786391 AUL786391 AKP786391 AAT786391 QX786391 HB786391 XDJ720855 WTN720855 WJR720855 VZV720855 VPZ720855 VGD720855 UWH720855 UML720855 UCP720855 TST720855 TIX720855 SZB720855 SPF720855 SFJ720855 RVN720855 RLR720855 RBV720855 QRZ720855 QID720855 PYH720855 POL720855 PEP720855 OUT720855 OKX720855 OBB720855 NRF720855 NHJ720855 MXN720855 MNR720855 MDV720855 LTZ720855 LKD720855 LAH720855 KQL720855 KGP720855 JWT720855 JMX720855 JDB720855 ITF720855 IJJ720855 HZN720855 HPR720855 HFV720855 GVZ720855 GMD720855 GCH720855 FSL720855 FIP720855 EYT720855 EOX720855 EFB720855 DVF720855 DLJ720855 DBN720855 CRR720855 CHV720855 BXZ720855 BOD720855 BEH720855 AUL720855 AKP720855 AAT720855 QX720855 HB720855 XDJ655319 WTN655319 WJR655319 VZV655319 VPZ655319 VGD655319 UWH655319 UML655319 UCP655319 TST655319 TIX655319 SZB655319 SPF655319 SFJ655319 RVN655319 RLR655319 RBV655319 QRZ655319 QID655319 PYH655319 POL655319 PEP655319 OUT655319 OKX655319 OBB655319 NRF655319 NHJ655319 MXN655319 MNR655319 MDV655319 LTZ655319 LKD655319 LAH655319 KQL655319 KGP655319 JWT655319 JMX655319 JDB655319 ITF655319 IJJ655319 HZN655319 HPR655319 HFV655319 GVZ655319 GMD655319 GCH655319 FSL655319 FIP655319 EYT655319 EOX655319 EFB655319 DVF655319 DLJ655319 DBN655319 CRR655319 CHV655319 BXZ655319 BOD655319 BEH655319 AUL655319 AKP655319 AAT655319 QX655319 HB655319 XDJ589783 WTN589783 WJR589783 VZV589783 VPZ589783 VGD589783 UWH589783 UML589783 UCP589783 TST589783 TIX589783 SZB589783 SPF589783 SFJ589783 RVN589783 RLR589783 RBV589783 QRZ589783 QID589783 PYH589783 POL589783 PEP589783 OUT589783 OKX589783 OBB589783 NRF589783 NHJ589783 MXN589783 MNR589783 MDV589783 LTZ589783 LKD589783 LAH589783 KQL589783 KGP589783 JWT589783 JMX589783 JDB589783 ITF589783 IJJ589783 HZN589783 HPR589783 HFV589783 GVZ589783 GMD589783 GCH589783 FSL589783 FIP589783 EYT589783 EOX589783 EFB589783 DVF589783 DLJ589783 DBN589783 CRR589783 CHV589783 BXZ589783 BOD589783 BEH589783 AUL589783 AKP589783 AAT589783 QX589783 HB589783 XDJ524247 WTN524247 WJR524247 VZV524247 VPZ524247 VGD524247 UWH524247 UML524247 UCP524247 TST524247 TIX524247 SZB524247 SPF524247 SFJ524247 RVN524247 RLR524247 RBV524247 QRZ524247 QID524247 PYH524247 POL524247 PEP524247 OUT524247 OKX524247 OBB524247 NRF524247 NHJ524247 MXN524247 MNR524247 MDV524247 LTZ524247 LKD524247 LAH524247 KQL524247 KGP524247 JWT524247 JMX524247 JDB524247 ITF524247 IJJ524247 HZN524247 HPR524247 HFV524247 GVZ524247 GMD524247 GCH524247 FSL524247 FIP524247 EYT524247 EOX524247 EFB524247 DVF524247 DLJ524247 DBN524247 CRR524247 CHV524247 BXZ524247 BOD524247 BEH524247 AUL524247 AKP524247 AAT524247 QX524247 HB524247 XDJ458711 WTN458711 WJR458711 VZV458711 VPZ458711 VGD458711 UWH458711 UML458711 UCP458711 TST458711 TIX458711 SZB458711 SPF458711 SFJ458711 RVN458711 RLR458711 RBV458711 QRZ458711 QID458711 PYH458711 POL458711 PEP458711 OUT458711 OKX458711 OBB458711 NRF458711 NHJ458711 MXN458711 MNR458711 MDV458711 LTZ458711 LKD458711 LAH458711 KQL458711 KGP458711 JWT458711 JMX458711 JDB458711 ITF458711 IJJ458711 HZN458711 HPR458711 HFV458711 GVZ458711 GMD458711 GCH458711 FSL458711 FIP458711 EYT458711 EOX458711 EFB458711 DVF458711 DLJ458711 DBN458711 CRR458711 CHV458711 BXZ458711 BOD458711 BEH458711 AUL458711 AKP458711 AAT458711 QX458711 HB458711 XDJ393175 WTN393175 WJR393175 VZV393175 VPZ393175 VGD393175 UWH393175 UML393175 UCP393175 TST393175 TIX393175 SZB393175 SPF393175 SFJ393175 RVN393175 RLR393175 RBV393175 QRZ393175 QID393175 PYH393175 POL393175 PEP393175 OUT393175 OKX393175 OBB393175 NRF393175 NHJ393175 MXN393175 MNR393175 MDV393175 LTZ393175 LKD393175 LAH393175 KQL393175 KGP393175 JWT393175 JMX393175 JDB393175 ITF393175 IJJ393175 HZN393175 HPR393175 HFV393175 GVZ393175 GMD393175 GCH393175 FSL393175 FIP393175 EYT393175 EOX393175 EFB393175 DVF393175 DLJ393175 DBN393175 CRR393175 CHV393175 BXZ393175 BOD393175 BEH393175 AUL393175 AKP393175 AAT393175 QX393175 HB393175 XDJ327639 WTN327639 WJR327639 VZV327639 VPZ327639 VGD327639 UWH327639 UML327639 UCP327639 TST327639 TIX327639 SZB327639 SPF327639 SFJ327639 RVN327639 RLR327639 RBV327639 QRZ327639 QID327639 PYH327639 POL327639 PEP327639 OUT327639 OKX327639 OBB327639 NRF327639 NHJ327639 MXN327639 MNR327639 MDV327639 LTZ327639 LKD327639 LAH327639 KQL327639 KGP327639 JWT327639 JMX327639 JDB327639 ITF327639 IJJ327639 HZN327639 HPR327639 HFV327639 GVZ327639 GMD327639 GCH327639 FSL327639 FIP327639 EYT327639 EOX327639 EFB327639 DVF327639 DLJ327639 DBN327639 CRR327639 CHV327639 BXZ327639 BOD327639 BEH327639 AUL327639 AKP327639 AAT327639 QX327639 HB327639 XDJ262103 WTN262103 WJR262103 VZV262103 VPZ262103 VGD262103 UWH262103 UML262103 UCP262103 TST262103 TIX262103 SZB262103 SPF262103 SFJ262103 RVN262103 RLR262103 RBV262103 QRZ262103 QID262103 PYH262103 POL262103 PEP262103 OUT262103 OKX262103 OBB262103 NRF262103 NHJ262103 MXN262103 MNR262103 MDV262103 LTZ262103 LKD262103 LAH262103 KQL262103 KGP262103 JWT262103 JMX262103 JDB262103 ITF262103 IJJ262103 HZN262103 HPR262103 HFV262103 GVZ262103 GMD262103 GCH262103 FSL262103 FIP262103 EYT262103 EOX262103 EFB262103 DVF262103 DLJ262103 DBN262103 CRR262103 CHV262103 BXZ262103 BOD262103 BEH262103 AUL262103 AKP262103 AAT262103 QX262103 HB262103 XDJ196567 WTN196567 WJR196567 VZV196567 VPZ196567 VGD196567 UWH196567 UML196567 UCP196567 TST196567 TIX196567 SZB196567 SPF196567 SFJ196567 RVN196567 RLR196567 RBV196567 QRZ196567 QID196567 PYH196567 POL196567 PEP196567 OUT196567 OKX196567 OBB196567 NRF196567 NHJ196567 MXN196567 MNR196567 MDV196567 LTZ196567 LKD196567 LAH196567 KQL196567 KGP196567 JWT196567 JMX196567 JDB196567 ITF196567 IJJ196567 HZN196567 HPR196567 HFV196567 GVZ196567 GMD196567 GCH196567 FSL196567 FIP196567 EYT196567 EOX196567 EFB196567 DVF196567 DLJ196567 DBN196567 CRR196567 CHV196567 BXZ196567 BOD196567 BEH196567 AUL196567 AKP196567 AAT196567 QX196567 HB196567 XDJ131031 WTN131031 WJR131031 VZV131031 VPZ131031 VGD131031 UWH131031 UML131031 UCP131031 TST131031 TIX131031 SZB131031 SPF131031 SFJ131031 RVN131031 RLR131031 RBV131031 QRZ131031 QID131031 PYH131031 POL131031 PEP131031 OUT131031 OKX131031 OBB131031 NRF131031 NHJ131031 MXN131031 MNR131031 MDV131031 LTZ131031 LKD131031 LAH131031 KQL131031 KGP131031 JWT131031 JMX131031 JDB131031 ITF131031 IJJ131031 HZN131031 HPR131031 HFV131031 GVZ131031 GMD131031 GCH131031 FSL131031 FIP131031 EYT131031 EOX131031 EFB131031 DVF131031 DLJ131031 DBN131031 CRR131031 CHV131031 BXZ131031 BOD131031 BEH131031 AUL131031 AKP131031 AAT131031 QX131031 HB131031 XDJ65495 WTN65495 WJR65495 VZV65495 VPZ65495 VGD65495 UWH65495 UML65495 UCP65495 TST65495 TIX65495 SZB65495 SPF65495 SFJ65495 RVN65495 RLR65495 RBV65495 QRZ65495 QID65495 PYH65495 POL65495 PEP65495 OUT65495 OKX65495 OBB65495 NRF65495 NHJ65495 MXN65495 MNR65495 MDV65495 LTZ65495 LKD65495 LAH65495 KQL65495 KGP65495 JWT65495 JMX65495 JDB65495 ITF65495 IJJ65495 HZN65495 HPR65495 HFV65495 GVZ65495 GMD65495 GCH65495 FSL65495 FIP65495 EYT65495 EOX65495 EFB65495 DVF65495 DLJ65495 DBN65495 CRR65495 CHV65495 BXZ65495 BOD65495 BEH65495 AUL65495 AKP65495 AAT65495 QX65495 HB65495 WVP983050 WLT983050 WBX983050 VSB983050 VIF983050 UYJ983050 UON983050 UER983050 TUV983050 TKZ983050 TBD983050 SRH983050 SHL983050 RXP983050 RNT983050 RDX983050 QUB983050 QKF983050 QAJ983050 PQN983050 PGR983050 OWV983050 OMZ983050 ODD983050 NTH983050 NJL983050 MZP983050 MPT983050 MFX983050 LWB983050 LMF983050 LCJ983050 KSN983050 KIR983050 JYV983050 JOZ983050 JFD983050 IVH983050 ILL983050 IBP983050 HRT983050 HHX983050 GYB983050 GOF983050 GEJ983050 FUN983050 FKR983050 FAV983050 EQZ983050 EHD983050 DXH983050 DNL983050 DDP983050 CTT983050 CJX983050 CAB983050 BQF983050 BGJ983050 AWN983050 AMR983050 ACV983050 SZ983050 JD983050 C983050 WVP917514 WLT917514 WBX917514 VSB917514 VIF917514 UYJ917514 UON917514 UER917514 TUV917514 TKZ917514 TBD917514 SRH917514 SHL917514 RXP917514 RNT917514 RDX917514 QUB917514 QKF917514 QAJ917514 PQN917514 PGR917514 OWV917514 OMZ917514 ODD917514 NTH917514 NJL917514 MZP917514 MPT917514 MFX917514 LWB917514 LMF917514 LCJ917514 KSN917514 KIR917514 JYV917514 JOZ917514 JFD917514 IVH917514 ILL917514 IBP917514 HRT917514 HHX917514 GYB917514 GOF917514 GEJ917514 FUN917514 FKR917514 FAV917514 EQZ917514 EHD917514 DXH917514 DNL917514 DDP917514 CTT917514 CJX917514 CAB917514 BQF917514 BGJ917514 AWN917514 AMR917514 ACV917514 SZ917514 JD917514 C917514 WVP851978 WLT851978 WBX851978 VSB851978 VIF851978 UYJ851978 UON851978 UER851978 TUV851978 TKZ851978 TBD851978 SRH851978 SHL851978 RXP851978 RNT851978 RDX851978 QUB851978 QKF851978 QAJ851978 PQN851978 PGR851978 OWV851978 OMZ851978 ODD851978 NTH851978 NJL851978 MZP851978 MPT851978 MFX851978 LWB851978 LMF851978 LCJ851978 KSN851978 KIR851978 JYV851978 JOZ851978 JFD851978 IVH851978 ILL851978 IBP851978 HRT851978 HHX851978 GYB851978 GOF851978 GEJ851978 FUN851978 FKR851978 FAV851978 EQZ851978 EHD851978 DXH851978 DNL851978 DDP851978 CTT851978 CJX851978 CAB851978 BQF851978 BGJ851978 AWN851978 AMR851978 ACV851978 SZ851978 JD851978 C851978 WVP786442 WLT786442 WBX786442 VSB786442 VIF786442 UYJ786442 UON786442 UER786442 TUV786442 TKZ786442 TBD786442 SRH786442 SHL786442 RXP786442 RNT786442 RDX786442 QUB786442 QKF786442 QAJ786442 PQN786442 PGR786442 OWV786442 OMZ786442 ODD786442 NTH786442 NJL786442 MZP786442 MPT786442 MFX786442 LWB786442 LMF786442 LCJ786442 KSN786442 KIR786442 JYV786442 JOZ786442 JFD786442 IVH786442 ILL786442 IBP786442 HRT786442 HHX786442 GYB786442 GOF786442 GEJ786442 FUN786442 FKR786442 FAV786442 EQZ786442 EHD786442 DXH786442 DNL786442 DDP786442 CTT786442 CJX786442 CAB786442 BQF786442 BGJ786442 AWN786442 AMR786442 ACV786442 SZ786442 JD786442 C786442 WVP720906 WLT720906 WBX720906 VSB720906 VIF720906 UYJ720906 UON720906 UER720906 TUV720906 TKZ720906 TBD720906 SRH720906 SHL720906 RXP720906 RNT720906 RDX720906 QUB720906 QKF720906 QAJ720906 PQN720906 PGR720906 OWV720906 OMZ720906 ODD720906 NTH720906 NJL720906 MZP720906 MPT720906 MFX720906 LWB720906 LMF720906 LCJ720906 KSN720906 KIR720906 JYV720906 JOZ720906 JFD720906 IVH720906 ILL720906 IBP720906 HRT720906 HHX720906 GYB720906 GOF720906 GEJ720906 FUN720906 FKR720906 FAV720906 EQZ720906 EHD720906 DXH720906 DNL720906 DDP720906 CTT720906 CJX720906 CAB720906 BQF720906 BGJ720906 AWN720906 AMR720906 ACV720906 SZ720906 JD720906 C720906 WVP655370 WLT655370 WBX655370 VSB655370 VIF655370 UYJ655370 UON655370 UER655370 TUV655370 TKZ655370 TBD655370 SRH655370 SHL655370 RXP655370 RNT655370 RDX655370 QUB655370 QKF655370 QAJ655370 PQN655370 PGR655370 OWV655370 OMZ655370 ODD655370 NTH655370 NJL655370 MZP655370 MPT655370 MFX655370 LWB655370 LMF655370 LCJ655370 KSN655370 KIR655370 JYV655370 JOZ655370 JFD655370 IVH655370 ILL655370 IBP655370 HRT655370 HHX655370 GYB655370 GOF655370 GEJ655370 FUN655370 FKR655370 FAV655370 EQZ655370 EHD655370 DXH655370 DNL655370 DDP655370 CTT655370 CJX655370 CAB655370 BQF655370 BGJ655370 AWN655370 AMR655370 ACV655370 SZ655370 JD655370 C655370 WVP589834 WLT589834 WBX589834 VSB589834 VIF589834 UYJ589834 UON589834 UER589834 TUV589834 TKZ589834 TBD589834 SRH589834 SHL589834 RXP589834 RNT589834 RDX589834 QUB589834 QKF589834 QAJ589834 PQN589834 PGR589834 OWV589834 OMZ589834 ODD589834 NTH589834 NJL589834 MZP589834 MPT589834 MFX589834 LWB589834 LMF589834 LCJ589834 KSN589834 KIR589834 JYV589834 JOZ589834 JFD589834 IVH589834 ILL589834 IBP589834 HRT589834 HHX589834 GYB589834 GOF589834 GEJ589834 FUN589834 FKR589834 FAV589834 EQZ589834 EHD589834 DXH589834 DNL589834 DDP589834 CTT589834 CJX589834 CAB589834 BQF589834 BGJ589834 AWN589834 AMR589834 ACV589834 SZ589834 JD589834 C589834 WVP524298 WLT524298 WBX524298 VSB524298 VIF524298 UYJ524298 UON524298 UER524298 TUV524298 TKZ524298 TBD524298 SRH524298 SHL524298 RXP524298 RNT524298 RDX524298 QUB524298 QKF524298 QAJ524298 PQN524298 PGR524298 OWV524298 OMZ524298 ODD524298 NTH524298 NJL524298 MZP524298 MPT524298 MFX524298 LWB524298 LMF524298 LCJ524298 KSN524298 KIR524298 JYV524298 JOZ524298 JFD524298 IVH524298 ILL524298 IBP524298 HRT524298 HHX524298 GYB524298 GOF524298 GEJ524298 FUN524298 FKR524298 FAV524298 EQZ524298 EHD524298 DXH524298 DNL524298 DDP524298 CTT524298 CJX524298 CAB524298 BQF524298 BGJ524298 AWN524298 AMR524298 ACV524298 SZ524298 JD524298 C524298 WVP458762 WLT458762 WBX458762 VSB458762 VIF458762 UYJ458762 UON458762 UER458762 TUV458762 TKZ458762 TBD458762 SRH458762 SHL458762 RXP458762 RNT458762 RDX458762 QUB458762 QKF458762 QAJ458762 PQN458762 PGR458762 OWV458762 OMZ458762 ODD458762 NTH458762 NJL458762 MZP458762 MPT458762 MFX458762 LWB458762 LMF458762 LCJ458762 KSN458762 KIR458762 JYV458762 JOZ458762 JFD458762 IVH458762 ILL458762 IBP458762 HRT458762 HHX458762 GYB458762 GOF458762 GEJ458762 FUN458762 FKR458762 FAV458762 EQZ458762 EHD458762 DXH458762 DNL458762 DDP458762 CTT458762 CJX458762 CAB458762 BQF458762 BGJ458762 AWN458762 AMR458762 ACV458762 SZ458762 JD458762 C458762 WVP393226 WLT393226 WBX393226 VSB393226 VIF393226 UYJ393226 UON393226 UER393226 TUV393226 TKZ393226 TBD393226 SRH393226 SHL393226 RXP393226 RNT393226 RDX393226 QUB393226 QKF393226 QAJ393226 PQN393226 PGR393226 OWV393226 OMZ393226 ODD393226 NTH393226 NJL393226 MZP393226 MPT393226 MFX393226 LWB393226 LMF393226 LCJ393226 KSN393226 KIR393226 JYV393226 JOZ393226 JFD393226 IVH393226 ILL393226 IBP393226 HRT393226 HHX393226 GYB393226 GOF393226 GEJ393226 FUN393226 FKR393226 FAV393226 EQZ393226 EHD393226 DXH393226 DNL393226 DDP393226 CTT393226 CJX393226 CAB393226 BQF393226 BGJ393226 AWN393226 AMR393226 ACV393226 SZ393226 JD393226 C393226 WVP327690 WLT327690 WBX327690 VSB327690 VIF327690 UYJ327690 UON327690 UER327690 TUV327690 TKZ327690 TBD327690 SRH327690 SHL327690 RXP327690 RNT327690 RDX327690 QUB327690 QKF327690 QAJ327690 PQN327690 PGR327690 OWV327690 OMZ327690 ODD327690 NTH327690 NJL327690 MZP327690 MPT327690 MFX327690 LWB327690 LMF327690 LCJ327690 KSN327690 KIR327690 JYV327690 JOZ327690 JFD327690 IVH327690 ILL327690 IBP327690 HRT327690 HHX327690 GYB327690 GOF327690 GEJ327690 FUN327690 FKR327690 FAV327690 EQZ327690 EHD327690 DXH327690 DNL327690 DDP327690 CTT327690 CJX327690 CAB327690 BQF327690 BGJ327690 AWN327690 AMR327690 ACV327690 SZ327690 JD327690 C327690 WVP262154 WLT262154 WBX262154 VSB262154 VIF262154 UYJ262154 UON262154 UER262154 TUV262154 TKZ262154 TBD262154 SRH262154 SHL262154 RXP262154 RNT262154 RDX262154 QUB262154 QKF262154 QAJ262154 PQN262154 PGR262154 OWV262154 OMZ262154 ODD262154 NTH262154 NJL262154 MZP262154 MPT262154 MFX262154 LWB262154 LMF262154 LCJ262154 KSN262154 KIR262154 JYV262154 JOZ262154 JFD262154 IVH262154 ILL262154 IBP262154 HRT262154 HHX262154 GYB262154 GOF262154 GEJ262154 FUN262154 FKR262154 FAV262154 EQZ262154 EHD262154 DXH262154 DNL262154 DDP262154 CTT262154 CJX262154 CAB262154 BQF262154 BGJ262154 AWN262154 AMR262154 ACV262154 SZ262154 JD262154 C262154 WVP196618 WLT196618 WBX196618 VSB196618 VIF196618 UYJ196618 UON196618 UER196618 TUV196618 TKZ196618 TBD196618 SRH196618 SHL196618 RXP196618 RNT196618 RDX196618 QUB196618 QKF196618 QAJ196618 PQN196618 PGR196618 OWV196618 OMZ196618 ODD196618 NTH196618 NJL196618 MZP196618 MPT196618 MFX196618 LWB196618 LMF196618 LCJ196618 KSN196618 KIR196618 JYV196618 JOZ196618 JFD196618 IVH196618 ILL196618 IBP196618 HRT196618 HHX196618 GYB196618 GOF196618 GEJ196618 FUN196618 FKR196618 FAV196618 EQZ196618 EHD196618 DXH196618 DNL196618 DDP196618 CTT196618 CJX196618 CAB196618 BQF196618 BGJ196618 AWN196618 AMR196618 ACV196618 SZ196618 JD196618 C196618 WVP131082 WLT131082 WBX131082 VSB131082 VIF131082 UYJ131082 UON131082 UER131082 TUV131082 TKZ131082 TBD131082 SRH131082 SHL131082 RXP131082 RNT131082 RDX131082 QUB131082 QKF131082 QAJ131082 PQN131082 PGR131082 OWV131082 OMZ131082 ODD131082 NTH131082 NJL131082 MZP131082 MPT131082 MFX131082 LWB131082 LMF131082 LCJ131082 KSN131082 KIR131082 JYV131082 JOZ131082 JFD131082 IVH131082 ILL131082 IBP131082 HRT131082 HHX131082 GYB131082 GOF131082 GEJ131082 FUN131082 FKR131082 FAV131082 EQZ131082 EHD131082 DXH131082 DNL131082 DDP131082 CTT131082 CJX131082 CAB131082 BQF131082 BGJ131082 AWN131082 AMR131082 ACV131082 SZ131082 JD131082 C131082 WVP65546 WLT65546 WBX65546 VSB65546 VIF65546 UYJ65546 UON65546 UER65546 TUV65546 TKZ65546 TBD65546 SRH65546 SHL65546 RXP65546 RNT65546 RDX65546 QUB65546 QKF65546 QAJ65546 PQN65546 PGR65546 OWV65546 OMZ65546 ODD65546 NTH65546 NJL65546 MZP65546 MPT65546 MFX65546 LWB65546 LMF65546 LCJ65546 KSN65546 KIR65546 JYV65546 JOZ65546 JFD65546 IVH65546 ILL65546 IBP65546 HRT65546 HHX65546 GYB65546 GOF65546 GEJ65546 FUN65546 FKR65546 FAV65546 EQZ65546 EHD65546 DXH65546 DNL65546 DDP65546 CTT65546 CJX65546 CAB65546 BQF65546 BGJ65546 AWN65546 AMR65546 ACV65546 SZ65546 JD65546 C65546 WVP10 WLT10 WBX10 VSB10 VIF10 UYJ10 UON10 UER10 TUV10 TKZ10 TBD10 SRH10 SHL10 RXP10 RNT10 RDX10 QUB10 QKF10 QAJ10 PQN10 PGR10 OWV10 OMZ10 ODD10 NTH10 NJL10 MZP10 MPT10 MFX10 LWB10 LMF10 LCJ10 KSN10 KIR10 JYV10 JOZ10 JFD10 IVH10 ILL10 IBP10 HRT10 HHX10 GYB10 GOF10 GEJ10 FUN10 FKR10 FAV10 EQZ10 EHD10 DXH10 DNL10 DDP10 CTT10 CJX10 CAB10 BQF10 BGJ10 AWN10 AMR10 ACV10 SZ10 JD10" xr:uid="{00000000-0002-0000-0700-000000000000}">
      <formula1>$AH$5:$AH$12</formula1>
    </dataValidation>
  </dataValidations>
  <hyperlinks>
    <hyperlink ref="A4" r:id="rId1"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1000000}">
          <x14:formula1>
            <xm:f>$AJ$1:$AJ$26</xm:f>
          </x14:formula1>
          <xm:sqref>B36 WVO983070 WLS983070 WBW983070 VSA983070 VIE983070 UYI983070 UOM983070 UEQ983070 TUU983070 TKY983070 TBC983070 SRG983070 SHK983070 RXO983070 RNS983070 RDW983070 QUA983070 QKE983070 QAI983070 PQM983070 PGQ983070 OWU983070 OMY983070 ODC983070 NTG983070 NJK983070 MZO983070 MPS983070 MFW983070 LWA983070 LME983070 LCI983070 KSM983070 KIQ983070 JYU983070 JOY983070 JFC983070 IVG983070 ILK983070 IBO983070 HRS983070 HHW983070 GYA983070 GOE983070 GEI983070 FUM983070 FKQ983070 FAU983070 EQY983070 EHC983070 DXG983070 DNK983070 DDO983070 CTS983070 CJW983070 CAA983070 BQE983070 BGI983070 AWM983070 AMQ983070 ACU983070 SY983070 JC983070 B983070 WVO917534 WLS917534 WBW917534 VSA917534 VIE917534 UYI917534 UOM917534 UEQ917534 TUU917534 TKY917534 TBC917534 SRG917534 SHK917534 RXO917534 RNS917534 RDW917534 QUA917534 QKE917534 QAI917534 PQM917534 PGQ917534 OWU917534 OMY917534 ODC917534 NTG917534 NJK917534 MZO917534 MPS917534 MFW917534 LWA917534 LME917534 LCI917534 KSM917534 KIQ917534 JYU917534 JOY917534 JFC917534 IVG917534 ILK917534 IBO917534 HRS917534 HHW917534 GYA917534 GOE917534 GEI917534 FUM917534 FKQ917534 FAU917534 EQY917534 EHC917534 DXG917534 DNK917534 DDO917534 CTS917534 CJW917534 CAA917534 BQE917534 BGI917534 AWM917534 AMQ917534 ACU917534 SY917534 JC917534 B917534 WVO851998 WLS851998 WBW851998 VSA851998 VIE851998 UYI851998 UOM851998 UEQ851998 TUU851998 TKY851998 TBC851998 SRG851998 SHK851998 RXO851998 RNS851998 RDW851998 QUA851998 QKE851998 QAI851998 PQM851998 PGQ851998 OWU851998 OMY851998 ODC851998 NTG851998 NJK851998 MZO851998 MPS851998 MFW851998 LWA851998 LME851998 LCI851998 KSM851998 KIQ851998 JYU851998 JOY851998 JFC851998 IVG851998 ILK851998 IBO851998 HRS851998 HHW851998 GYA851998 GOE851998 GEI851998 FUM851998 FKQ851998 FAU851998 EQY851998 EHC851998 DXG851998 DNK851998 DDO851998 CTS851998 CJW851998 CAA851998 BQE851998 BGI851998 AWM851998 AMQ851998 ACU851998 SY851998 JC851998 B851998 WVO786462 WLS786462 WBW786462 VSA786462 VIE786462 UYI786462 UOM786462 UEQ786462 TUU786462 TKY786462 TBC786462 SRG786462 SHK786462 RXO786462 RNS786462 RDW786462 QUA786462 QKE786462 QAI786462 PQM786462 PGQ786462 OWU786462 OMY786462 ODC786462 NTG786462 NJK786462 MZO786462 MPS786462 MFW786462 LWA786462 LME786462 LCI786462 KSM786462 KIQ786462 JYU786462 JOY786462 JFC786462 IVG786462 ILK786462 IBO786462 HRS786462 HHW786462 GYA786462 GOE786462 GEI786462 FUM786462 FKQ786462 FAU786462 EQY786462 EHC786462 DXG786462 DNK786462 DDO786462 CTS786462 CJW786462 CAA786462 BQE786462 BGI786462 AWM786462 AMQ786462 ACU786462 SY786462 JC786462 B786462 WVO720926 WLS720926 WBW720926 VSA720926 VIE720926 UYI720926 UOM720926 UEQ720926 TUU720926 TKY720926 TBC720926 SRG720926 SHK720926 RXO720926 RNS720926 RDW720926 QUA720926 QKE720926 QAI720926 PQM720926 PGQ720926 OWU720926 OMY720926 ODC720926 NTG720926 NJK720926 MZO720926 MPS720926 MFW720926 LWA720926 LME720926 LCI720926 KSM720926 KIQ720926 JYU720926 JOY720926 JFC720926 IVG720926 ILK720926 IBO720926 HRS720926 HHW720926 GYA720926 GOE720926 GEI720926 FUM720926 FKQ720926 FAU720926 EQY720926 EHC720926 DXG720926 DNK720926 DDO720926 CTS720926 CJW720926 CAA720926 BQE720926 BGI720926 AWM720926 AMQ720926 ACU720926 SY720926 JC720926 B720926 WVO655390 WLS655390 WBW655390 VSA655390 VIE655390 UYI655390 UOM655390 UEQ655390 TUU655390 TKY655390 TBC655390 SRG655390 SHK655390 RXO655390 RNS655390 RDW655390 QUA655390 QKE655390 QAI655390 PQM655390 PGQ655390 OWU655390 OMY655390 ODC655390 NTG655390 NJK655390 MZO655390 MPS655390 MFW655390 LWA655390 LME655390 LCI655390 KSM655390 KIQ655390 JYU655390 JOY655390 JFC655390 IVG655390 ILK655390 IBO655390 HRS655390 HHW655390 GYA655390 GOE655390 GEI655390 FUM655390 FKQ655390 FAU655390 EQY655390 EHC655390 DXG655390 DNK655390 DDO655390 CTS655390 CJW655390 CAA655390 BQE655390 BGI655390 AWM655390 AMQ655390 ACU655390 SY655390 JC655390 B655390 WVO589854 WLS589854 WBW589854 VSA589854 VIE589854 UYI589854 UOM589854 UEQ589854 TUU589854 TKY589854 TBC589854 SRG589854 SHK589854 RXO589854 RNS589854 RDW589854 QUA589854 QKE589854 QAI589854 PQM589854 PGQ589854 OWU589854 OMY589854 ODC589854 NTG589854 NJK589854 MZO589854 MPS589854 MFW589854 LWA589854 LME589854 LCI589854 KSM589854 KIQ589854 JYU589854 JOY589854 JFC589854 IVG589854 ILK589854 IBO589854 HRS589854 HHW589854 GYA589854 GOE589854 GEI589854 FUM589854 FKQ589854 FAU589854 EQY589854 EHC589854 DXG589854 DNK589854 DDO589854 CTS589854 CJW589854 CAA589854 BQE589854 BGI589854 AWM589854 AMQ589854 ACU589854 SY589854 JC589854 B589854 WVO524318 WLS524318 WBW524318 VSA524318 VIE524318 UYI524318 UOM524318 UEQ524318 TUU524318 TKY524318 TBC524318 SRG524318 SHK524318 RXO524318 RNS524318 RDW524318 QUA524318 QKE524318 QAI524318 PQM524318 PGQ524318 OWU524318 OMY524318 ODC524318 NTG524318 NJK524318 MZO524318 MPS524318 MFW524318 LWA524318 LME524318 LCI524318 KSM524318 KIQ524318 JYU524318 JOY524318 JFC524318 IVG524318 ILK524318 IBO524318 HRS524318 HHW524318 GYA524318 GOE524318 GEI524318 FUM524318 FKQ524318 FAU524318 EQY524318 EHC524318 DXG524318 DNK524318 DDO524318 CTS524318 CJW524318 CAA524318 BQE524318 BGI524318 AWM524318 AMQ524318 ACU524318 SY524318 JC524318 B524318 WVO458782 WLS458782 WBW458782 VSA458782 VIE458782 UYI458782 UOM458782 UEQ458782 TUU458782 TKY458782 TBC458782 SRG458782 SHK458782 RXO458782 RNS458782 RDW458782 QUA458782 QKE458782 QAI458782 PQM458782 PGQ458782 OWU458782 OMY458782 ODC458782 NTG458782 NJK458782 MZO458782 MPS458782 MFW458782 LWA458782 LME458782 LCI458782 KSM458782 KIQ458782 JYU458782 JOY458782 JFC458782 IVG458782 ILK458782 IBO458782 HRS458782 HHW458782 GYA458782 GOE458782 GEI458782 FUM458782 FKQ458782 FAU458782 EQY458782 EHC458782 DXG458782 DNK458782 DDO458782 CTS458782 CJW458782 CAA458782 BQE458782 BGI458782 AWM458782 AMQ458782 ACU458782 SY458782 JC458782 B458782 WVO393246 WLS393246 WBW393246 VSA393246 VIE393246 UYI393246 UOM393246 UEQ393246 TUU393246 TKY393246 TBC393246 SRG393246 SHK393246 RXO393246 RNS393246 RDW393246 QUA393246 QKE393246 QAI393246 PQM393246 PGQ393246 OWU393246 OMY393246 ODC393246 NTG393246 NJK393246 MZO393246 MPS393246 MFW393246 LWA393246 LME393246 LCI393246 KSM393246 KIQ393246 JYU393246 JOY393246 JFC393246 IVG393246 ILK393246 IBO393246 HRS393246 HHW393246 GYA393246 GOE393246 GEI393246 FUM393246 FKQ393246 FAU393246 EQY393246 EHC393246 DXG393246 DNK393246 DDO393246 CTS393246 CJW393246 CAA393246 BQE393246 BGI393246 AWM393246 AMQ393246 ACU393246 SY393246 JC393246 B393246 WVO327710 WLS327710 WBW327710 VSA327710 VIE327710 UYI327710 UOM327710 UEQ327710 TUU327710 TKY327710 TBC327710 SRG327710 SHK327710 RXO327710 RNS327710 RDW327710 QUA327710 QKE327710 QAI327710 PQM327710 PGQ327710 OWU327710 OMY327710 ODC327710 NTG327710 NJK327710 MZO327710 MPS327710 MFW327710 LWA327710 LME327710 LCI327710 KSM327710 KIQ327710 JYU327710 JOY327710 JFC327710 IVG327710 ILK327710 IBO327710 HRS327710 HHW327710 GYA327710 GOE327710 GEI327710 FUM327710 FKQ327710 FAU327710 EQY327710 EHC327710 DXG327710 DNK327710 DDO327710 CTS327710 CJW327710 CAA327710 BQE327710 BGI327710 AWM327710 AMQ327710 ACU327710 SY327710 JC327710 B327710 WVO262174 WLS262174 WBW262174 VSA262174 VIE262174 UYI262174 UOM262174 UEQ262174 TUU262174 TKY262174 TBC262174 SRG262174 SHK262174 RXO262174 RNS262174 RDW262174 QUA262174 QKE262174 QAI262174 PQM262174 PGQ262174 OWU262174 OMY262174 ODC262174 NTG262174 NJK262174 MZO262174 MPS262174 MFW262174 LWA262174 LME262174 LCI262174 KSM262174 KIQ262174 JYU262174 JOY262174 JFC262174 IVG262174 ILK262174 IBO262174 HRS262174 HHW262174 GYA262174 GOE262174 GEI262174 FUM262174 FKQ262174 FAU262174 EQY262174 EHC262174 DXG262174 DNK262174 DDO262174 CTS262174 CJW262174 CAA262174 BQE262174 BGI262174 AWM262174 AMQ262174 ACU262174 SY262174 JC262174 B262174 WVO196638 WLS196638 WBW196638 VSA196638 VIE196638 UYI196638 UOM196638 UEQ196638 TUU196638 TKY196638 TBC196638 SRG196638 SHK196638 RXO196638 RNS196638 RDW196638 QUA196638 QKE196638 QAI196638 PQM196638 PGQ196638 OWU196638 OMY196638 ODC196638 NTG196638 NJK196638 MZO196638 MPS196638 MFW196638 LWA196638 LME196638 LCI196638 KSM196638 KIQ196638 JYU196638 JOY196638 JFC196638 IVG196638 ILK196638 IBO196638 HRS196638 HHW196638 GYA196638 GOE196638 GEI196638 FUM196638 FKQ196638 FAU196638 EQY196638 EHC196638 DXG196638 DNK196638 DDO196638 CTS196638 CJW196638 CAA196638 BQE196638 BGI196638 AWM196638 AMQ196638 ACU196638 SY196638 JC196638 B196638 WVO131102 WLS131102 WBW131102 VSA131102 VIE131102 UYI131102 UOM131102 UEQ131102 TUU131102 TKY131102 TBC131102 SRG131102 SHK131102 RXO131102 RNS131102 RDW131102 QUA131102 QKE131102 QAI131102 PQM131102 PGQ131102 OWU131102 OMY131102 ODC131102 NTG131102 NJK131102 MZO131102 MPS131102 MFW131102 LWA131102 LME131102 LCI131102 KSM131102 KIQ131102 JYU131102 JOY131102 JFC131102 IVG131102 ILK131102 IBO131102 HRS131102 HHW131102 GYA131102 GOE131102 GEI131102 FUM131102 FKQ131102 FAU131102 EQY131102 EHC131102 DXG131102 DNK131102 DDO131102 CTS131102 CJW131102 CAA131102 BQE131102 BGI131102 AWM131102 AMQ131102 ACU131102 SY131102 JC131102 B131102 WVO65566 WLS65566 WBW65566 VSA65566 VIE65566 UYI65566 UOM65566 UEQ65566 TUU65566 TKY65566 TBC65566 SRG65566 SHK65566 RXO65566 RNS65566 RDW65566 QUA65566 QKE65566 QAI65566 PQM65566 PGQ65566 OWU65566 OMY65566 ODC65566 NTG65566 NJK65566 MZO65566 MPS65566 MFW65566 LWA65566 LME65566 LCI65566 KSM65566 KIQ65566 JYU65566 JOY65566 JFC65566 IVG65566 ILK65566 IBO65566 HRS65566 HHW65566 GYA65566 GOE65566 GEI65566 FUM65566 FKQ65566 FAU65566 EQY65566 EHC65566 DXG65566 DNK65566 DDO65566 CTS65566 CJW65566 CAA65566 BQE65566 BGI65566 AWM65566 AMQ65566 ACU65566 SY65566 JC65566 B65566 WVO30 WLS30 WBW30 VSA30 VIE30 UYI30 UOM30 UEQ30 TUU30 TKY30 TBC30 SRG30 SHK30 RXO30 RNS30 RDW30 QUA30 QKE30 QAI30 PQM30 PGQ30 OWU30 OMY30 ODC30 NTG30 NJK30 MZO30 MPS30 MFW30 LWA30 LME30 LCI30 KSM30 KIQ30 JYU30 JOY30 JFC30 IVG30 ILK30 IBO30 HRS30 HHW30 GYA30 GOE30 GEI30 FUM30 FKQ30 FAU30 EQY30 EHC30 DXG30 DNK30 DDO30 CTS30 CJW30 CAA30 BQE30 BGI30 AWM30 AMQ30 ACU30 SY30 JC30 B30 WVO983068 WLS983068 WBW983068 VSA983068 VIE983068 UYI983068 UOM983068 UEQ983068 TUU983068 TKY983068 TBC983068 SRG983068 SHK983068 RXO983068 RNS983068 RDW983068 QUA983068 QKE983068 QAI983068 PQM983068 PGQ983068 OWU983068 OMY983068 ODC983068 NTG983068 NJK983068 MZO983068 MPS983068 MFW983068 LWA983068 LME983068 LCI983068 KSM983068 KIQ983068 JYU983068 JOY983068 JFC983068 IVG983068 ILK983068 IBO983068 HRS983068 HHW983068 GYA983068 GOE983068 GEI983068 FUM983068 FKQ983068 FAU983068 EQY983068 EHC983068 DXG983068 DNK983068 DDO983068 CTS983068 CJW983068 CAA983068 BQE983068 BGI983068 AWM983068 AMQ983068 ACU983068 SY983068 JC983068 B983068 WVO917532 WLS917532 WBW917532 VSA917532 VIE917532 UYI917532 UOM917532 UEQ917532 TUU917532 TKY917532 TBC917532 SRG917532 SHK917532 RXO917532 RNS917532 RDW917532 QUA917532 QKE917532 QAI917532 PQM917532 PGQ917532 OWU917532 OMY917532 ODC917532 NTG917532 NJK917532 MZO917532 MPS917532 MFW917532 LWA917532 LME917532 LCI917532 KSM917532 KIQ917532 JYU917532 JOY917532 JFC917532 IVG917532 ILK917532 IBO917532 HRS917532 HHW917532 GYA917532 GOE917532 GEI917532 FUM917532 FKQ917532 FAU917532 EQY917532 EHC917532 DXG917532 DNK917532 DDO917532 CTS917532 CJW917532 CAA917532 BQE917532 BGI917532 AWM917532 AMQ917532 ACU917532 SY917532 JC917532 B917532 WVO851996 WLS851996 WBW851996 VSA851996 VIE851996 UYI851996 UOM851996 UEQ851996 TUU851996 TKY851996 TBC851996 SRG851996 SHK851996 RXO851996 RNS851996 RDW851996 QUA851996 QKE851996 QAI851996 PQM851996 PGQ851996 OWU851996 OMY851996 ODC851996 NTG851996 NJK851996 MZO851996 MPS851996 MFW851996 LWA851996 LME851996 LCI851996 KSM851996 KIQ851996 JYU851996 JOY851996 JFC851996 IVG851996 ILK851996 IBO851996 HRS851996 HHW851996 GYA851996 GOE851996 GEI851996 FUM851996 FKQ851996 FAU851996 EQY851996 EHC851996 DXG851996 DNK851996 DDO851996 CTS851996 CJW851996 CAA851996 BQE851996 BGI851996 AWM851996 AMQ851996 ACU851996 SY851996 JC851996 B851996 WVO786460 WLS786460 WBW786460 VSA786460 VIE786460 UYI786460 UOM786460 UEQ786460 TUU786460 TKY786460 TBC786460 SRG786460 SHK786460 RXO786460 RNS786460 RDW786460 QUA786460 QKE786460 QAI786460 PQM786460 PGQ786460 OWU786460 OMY786460 ODC786460 NTG786460 NJK786460 MZO786460 MPS786460 MFW786460 LWA786460 LME786460 LCI786460 KSM786460 KIQ786460 JYU786460 JOY786460 JFC786460 IVG786460 ILK786460 IBO786460 HRS786460 HHW786460 GYA786460 GOE786460 GEI786460 FUM786460 FKQ786460 FAU786460 EQY786460 EHC786460 DXG786460 DNK786460 DDO786460 CTS786460 CJW786460 CAA786460 BQE786460 BGI786460 AWM786460 AMQ786460 ACU786460 SY786460 JC786460 B786460 WVO720924 WLS720924 WBW720924 VSA720924 VIE720924 UYI720924 UOM720924 UEQ720924 TUU720924 TKY720924 TBC720924 SRG720924 SHK720924 RXO720924 RNS720924 RDW720924 QUA720924 QKE720924 QAI720924 PQM720924 PGQ720924 OWU720924 OMY720924 ODC720924 NTG720924 NJK720924 MZO720924 MPS720924 MFW720924 LWA720924 LME720924 LCI720924 KSM720924 KIQ720924 JYU720924 JOY720924 JFC720924 IVG720924 ILK720924 IBO720924 HRS720924 HHW720924 GYA720924 GOE720924 GEI720924 FUM720924 FKQ720924 FAU720924 EQY720924 EHC720924 DXG720924 DNK720924 DDO720924 CTS720924 CJW720924 CAA720924 BQE720924 BGI720924 AWM720924 AMQ720924 ACU720924 SY720924 JC720924 B720924 WVO655388 WLS655388 WBW655388 VSA655388 VIE655388 UYI655388 UOM655388 UEQ655388 TUU655388 TKY655388 TBC655388 SRG655388 SHK655388 RXO655388 RNS655388 RDW655388 QUA655388 QKE655388 QAI655388 PQM655388 PGQ655388 OWU655388 OMY655388 ODC655388 NTG655388 NJK655388 MZO655388 MPS655388 MFW655388 LWA655388 LME655388 LCI655388 KSM655388 KIQ655388 JYU655388 JOY655388 JFC655388 IVG655388 ILK655388 IBO655388 HRS655388 HHW655388 GYA655388 GOE655388 GEI655388 FUM655388 FKQ655388 FAU655388 EQY655388 EHC655388 DXG655388 DNK655388 DDO655388 CTS655388 CJW655388 CAA655388 BQE655388 BGI655388 AWM655388 AMQ655388 ACU655388 SY655388 JC655388 B655388 WVO589852 WLS589852 WBW589852 VSA589852 VIE589852 UYI589852 UOM589852 UEQ589852 TUU589852 TKY589852 TBC589852 SRG589852 SHK589852 RXO589852 RNS589852 RDW589852 QUA589852 QKE589852 QAI589852 PQM589852 PGQ589852 OWU589852 OMY589852 ODC589852 NTG589852 NJK589852 MZO589852 MPS589852 MFW589852 LWA589852 LME589852 LCI589852 KSM589852 KIQ589852 JYU589852 JOY589852 JFC589852 IVG589852 ILK589852 IBO589852 HRS589852 HHW589852 GYA589852 GOE589852 GEI589852 FUM589852 FKQ589852 FAU589852 EQY589852 EHC589852 DXG589852 DNK589852 DDO589852 CTS589852 CJW589852 CAA589852 BQE589852 BGI589852 AWM589852 AMQ589852 ACU589852 SY589852 JC589852 B589852 WVO524316 WLS524316 WBW524316 VSA524316 VIE524316 UYI524316 UOM524316 UEQ524316 TUU524316 TKY524316 TBC524316 SRG524316 SHK524316 RXO524316 RNS524316 RDW524316 QUA524316 QKE524316 QAI524316 PQM524316 PGQ524316 OWU524316 OMY524316 ODC524316 NTG524316 NJK524316 MZO524316 MPS524316 MFW524316 LWA524316 LME524316 LCI524316 KSM524316 KIQ524316 JYU524316 JOY524316 JFC524316 IVG524316 ILK524316 IBO524316 HRS524316 HHW524316 GYA524316 GOE524316 GEI524316 FUM524316 FKQ524316 FAU524316 EQY524316 EHC524316 DXG524316 DNK524316 DDO524316 CTS524316 CJW524316 CAA524316 BQE524316 BGI524316 AWM524316 AMQ524316 ACU524316 SY524316 JC524316 B524316 WVO458780 WLS458780 WBW458780 VSA458780 VIE458780 UYI458780 UOM458780 UEQ458780 TUU458780 TKY458780 TBC458780 SRG458780 SHK458780 RXO458780 RNS458780 RDW458780 QUA458780 QKE458780 QAI458780 PQM458780 PGQ458780 OWU458780 OMY458780 ODC458780 NTG458780 NJK458780 MZO458780 MPS458780 MFW458780 LWA458780 LME458780 LCI458780 KSM458780 KIQ458780 JYU458780 JOY458780 JFC458780 IVG458780 ILK458780 IBO458780 HRS458780 HHW458780 GYA458780 GOE458780 GEI458780 FUM458780 FKQ458780 FAU458780 EQY458780 EHC458780 DXG458780 DNK458780 DDO458780 CTS458780 CJW458780 CAA458780 BQE458780 BGI458780 AWM458780 AMQ458780 ACU458780 SY458780 JC458780 B458780 WVO393244 WLS393244 WBW393244 VSA393244 VIE393244 UYI393244 UOM393244 UEQ393244 TUU393244 TKY393244 TBC393244 SRG393244 SHK393244 RXO393244 RNS393244 RDW393244 QUA393244 QKE393244 QAI393244 PQM393244 PGQ393244 OWU393244 OMY393244 ODC393244 NTG393244 NJK393244 MZO393244 MPS393244 MFW393244 LWA393244 LME393244 LCI393244 KSM393244 KIQ393244 JYU393244 JOY393244 JFC393244 IVG393244 ILK393244 IBO393244 HRS393244 HHW393244 GYA393244 GOE393244 GEI393244 FUM393244 FKQ393244 FAU393244 EQY393244 EHC393244 DXG393244 DNK393244 DDO393244 CTS393244 CJW393244 CAA393244 BQE393244 BGI393244 AWM393244 AMQ393244 ACU393244 SY393244 JC393244 B393244 WVO327708 WLS327708 WBW327708 VSA327708 VIE327708 UYI327708 UOM327708 UEQ327708 TUU327708 TKY327708 TBC327708 SRG327708 SHK327708 RXO327708 RNS327708 RDW327708 QUA327708 QKE327708 QAI327708 PQM327708 PGQ327708 OWU327708 OMY327708 ODC327708 NTG327708 NJK327708 MZO327708 MPS327708 MFW327708 LWA327708 LME327708 LCI327708 KSM327708 KIQ327708 JYU327708 JOY327708 JFC327708 IVG327708 ILK327708 IBO327708 HRS327708 HHW327708 GYA327708 GOE327708 GEI327708 FUM327708 FKQ327708 FAU327708 EQY327708 EHC327708 DXG327708 DNK327708 DDO327708 CTS327708 CJW327708 CAA327708 BQE327708 BGI327708 AWM327708 AMQ327708 ACU327708 SY327708 JC327708 B327708 WVO262172 WLS262172 WBW262172 VSA262172 VIE262172 UYI262172 UOM262172 UEQ262172 TUU262172 TKY262172 TBC262172 SRG262172 SHK262172 RXO262172 RNS262172 RDW262172 QUA262172 QKE262172 QAI262172 PQM262172 PGQ262172 OWU262172 OMY262172 ODC262172 NTG262172 NJK262172 MZO262172 MPS262172 MFW262172 LWA262172 LME262172 LCI262172 KSM262172 KIQ262172 JYU262172 JOY262172 JFC262172 IVG262172 ILK262172 IBO262172 HRS262172 HHW262172 GYA262172 GOE262172 GEI262172 FUM262172 FKQ262172 FAU262172 EQY262172 EHC262172 DXG262172 DNK262172 DDO262172 CTS262172 CJW262172 CAA262172 BQE262172 BGI262172 AWM262172 AMQ262172 ACU262172 SY262172 JC262172 B262172 WVO196636 WLS196636 WBW196636 VSA196636 VIE196636 UYI196636 UOM196636 UEQ196636 TUU196636 TKY196636 TBC196636 SRG196636 SHK196636 RXO196636 RNS196636 RDW196636 QUA196636 QKE196636 QAI196636 PQM196636 PGQ196636 OWU196636 OMY196636 ODC196636 NTG196636 NJK196636 MZO196636 MPS196636 MFW196636 LWA196636 LME196636 LCI196636 KSM196636 KIQ196636 JYU196636 JOY196636 JFC196636 IVG196636 ILK196636 IBO196636 HRS196636 HHW196636 GYA196636 GOE196636 GEI196636 FUM196636 FKQ196636 FAU196636 EQY196636 EHC196636 DXG196636 DNK196636 DDO196636 CTS196636 CJW196636 CAA196636 BQE196636 BGI196636 AWM196636 AMQ196636 ACU196636 SY196636 JC196636 B196636 WVO131100 WLS131100 WBW131100 VSA131100 VIE131100 UYI131100 UOM131100 UEQ131100 TUU131100 TKY131100 TBC131100 SRG131100 SHK131100 RXO131100 RNS131100 RDW131100 QUA131100 QKE131100 QAI131100 PQM131100 PGQ131100 OWU131100 OMY131100 ODC131100 NTG131100 NJK131100 MZO131100 MPS131100 MFW131100 LWA131100 LME131100 LCI131100 KSM131100 KIQ131100 JYU131100 JOY131100 JFC131100 IVG131100 ILK131100 IBO131100 HRS131100 HHW131100 GYA131100 GOE131100 GEI131100 FUM131100 FKQ131100 FAU131100 EQY131100 EHC131100 DXG131100 DNK131100 DDO131100 CTS131100 CJW131100 CAA131100 BQE131100 BGI131100 AWM131100 AMQ131100 ACU131100 SY131100 JC131100 B131100 WVO65564 WLS65564 WBW65564 VSA65564 VIE65564 UYI65564 UOM65564 UEQ65564 TUU65564 TKY65564 TBC65564 SRG65564 SHK65564 RXO65564 RNS65564 RDW65564 QUA65564 QKE65564 QAI65564 PQM65564 PGQ65564 OWU65564 OMY65564 ODC65564 NTG65564 NJK65564 MZO65564 MPS65564 MFW65564 LWA65564 LME65564 LCI65564 KSM65564 KIQ65564 JYU65564 JOY65564 JFC65564 IVG65564 ILK65564 IBO65564 HRS65564 HHW65564 GYA65564 GOE65564 GEI65564 FUM65564 FKQ65564 FAU65564 EQY65564 EHC65564 DXG65564 DNK65564 DDO65564 CTS65564 CJW65564 CAA65564 BQE65564 BGI65564 AWM65564 AMQ65564 ACU65564 SY65564 JC65564 B65564 WVO28 WLS28 WBW28 VSA28 VIE28 UYI28 UOM28 UEQ28 TUU28 TKY28 TBC28 SRG28 SHK28 RXO28 RNS28 RDW28 QUA28 QKE28 QAI28 PQM28 PGQ28 OWU28 OMY28 ODC28 NTG28 NJK28 MZO28 MPS28 MFW28 LWA28 LME28 LCI28 KSM28 KIQ28 JYU28 JOY28 JFC28 IVG28 ILK28 IBO28 HRS28 HHW28 GYA28 GOE28 GEI28 FUM28 FKQ28 FAU28 EQY28 EHC28 DXG28 DNK28 DDO28 CTS28 CJW28 CAA28 BQE28 BGI28 AWM28 AMQ28 ACU28 SY28 JC28 B28 WVO983062 WLS983062 WBW983062 VSA983062 VIE983062 UYI983062 UOM983062 UEQ983062 TUU983062 TKY983062 TBC983062 SRG983062 SHK983062 RXO983062 RNS983062 RDW983062 QUA983062 QKE983062 QAI983062 PQM983062 PGQ983062 OWU983062 OMY983062 ODC983062 NTG983062 NJK983062 MZO983062 MPS983062 MFW983062 LWA983062 LME983062 LCI983062 KSM983062 KIQ983062 JYU983062 JOY983062 JFC983062 IVG983062 ILK983062 IBO983062 HRS983062 HHW983062 GYA983062 GOE983062 GEI983062 FUM983062 FKQ983062 FAU983062 EQY983062 EHC983062 DXG983062 DNK983062 DDO983062 CTS983062 CJW983062 CAA983062 BQE983062 BGI983062 AWM983062 AMQ983062 ACU983062 SY983062 JC983062 B983062 WVO917526 WLS917526 WBW917526 VSA917526 VIE917526 UYI917526 UOM917526 UEQ917526 TUU917526 TKY917526 TBC917526 SRG917526 SHK917526 RXO917526 RNS917526 RDW917526 QUA917526 QKE917526 QAI917526 PQM917526 PGQ917526 OWU917526 OMY917526 ODC917526 NTG917526 NJK917526 MZO917526 MPS917526 MFW917526 LWA917526 LME917526 LCI917526 KSM917526 KIQ917526 JYU917526 JOY917526 JFC917526 IVG917526 ILK917526 IBO917526 HRS917526 HHW917526 GYA917526 GOE917526 GEI917526 FUM917526 FKQ917526 FAU917526 EQY917526 EHC917526 DXG917526 DNK917526 DDO917526 CTS917526 CJW917526 CAA917526 BQE917526 BGI917526 AWM917526 AMQ917526 ACU917526 SY917526 JC917526 B917526 WVO851990 WLS851990 WBW851990 VSA851990 VIE851990 UYI851990 UOM851990 UEQ851990 TUU851990 TKY851990 TBC851990 SRG851990 SHK851990 RXO851990 RNS851990 RDW851990 QUA851990 QKE851990 QAI851990 PQM851990 PGQ851990 OWU851990 OMY851990 ODC851990 NTG851990 NJK851990 MZO851990 MPS851990 MFW851990 LWA851990 LME851990 LCI851990 KSM851990 KIQ851990 JYU851990 JOY851990 JFC851990 IVG851990 ILK851990 IBO851990 HRS851990 HHW851990 GYA851990 GOE851990 GEI851990 FUM851990 FKQ851990 FAU851990 EQY851990 EHC851990 DXG851990 DNK851990 DDO851990 CTS851990 CJW851990 CAA851990 BQE851990 BGI851990 AWM851990 AMQ851990 ACU851990 SY851990 JC851990 B851990 WVO786454 WLS786454 WBW786454 VSA786454 VIE786454 UYI786454 UOM786454 UEQ786454 TUU786454 TKY786454 TBC786454 SRG786454 SHK786454 RXO786454 RNS786454 RDW786454 QUA786454 QKE786454 QAI786454 PQM786454 PGQ786454 OWU786454 OMY786454 ODC786454 NTG786454 NJK786454 MZO786454 MPS786454 MFW786454 LWA786454 LME786454 LCI786454 KSM786454 KIQ786454 JYU786454 JOY786454 JFC786454 IVG786454 ILK786454 IBO786454 HRS786454 HHW786454 GYA786454 GOE786454 GEI786454 FUM786454 FKQ786454 FAU786454 EQY786454 EHC786454 DXG786454 DNK786454 DDO786454 CTS786454 CJW786454 CAA786454 BQE786454 BGI786454 AWM786454 AMQ786454 ACU786454 SY786454 JC786454 B786454 WVO720918 WLS720918 WBW720918 VSA720918 VIE720918 UYI720918 UOM720918 UEQ720918 TUU720918 TKY720918 TBC720918 SRG720918 SHK720918 RXO720918 RNS720918 RDW720918 QUA720918 QKE720918 QAI720918 PQM720918 PGQ720918 OWU720918 OMY720918 ODC720918 NTG720918 NJK720918 MZO720918 MPS720918 MFW720918 LWA720918 LME720918 LCI720918 KSM720918 KIQ720918 JYU720918 JOY720918 JFC720918 IVG720918 ILK720918 IBO720918 HRS720918 HHW720918 GYA720918 GOE720918 GEI720918 FUM720918 FKQ720918 FAU720918 EQY720918 EHC720918 DXG720918 DNK720918 DDO720918 CTS720918 CJW720918 CAA720918 BQE720918 BGI720918 AWM720918 AMQ720918 ACU720918 SY720918 JC720918 B720918 WVO655382 WLS655382 WBW655382 VSA655382 VIE655382 UYI655382 UOM655382 UEQ655382 TUU655382 TKY655382 TBC655382 SRG655382 SHK655382 RXO655382 RNS655382 RDW655382 QUA655382 QKE655382 QAI655382 PQM655382 PGQ655382 OWU655382 OMY655382 ODC655382 NTG655382 NJK655382 MZO655382 MPS655382 MFW655382 LWA655382 LME655382 LCI655382 KSM655382 KIQ655382 JYU655382 JOY655382 JFC655382 IVG655382 ILK655382 IBO655382 HRS655382 HHW655382 GYA655382 GOE655382 GEI655382 FUM655382 FKQ655382 FAU655382 EQY655382 EHC655382 DXG655382 DNK655382 DDO655382 CTS655382 CJW655382 CAA655382 BQE655382 BGI655382 AWM655382 AMQ655382 ACU655382 SY655382 JC655382 B655382 WVO589846 WLS589846 WBW589846 VSA589846 VIE589846 UYI589846 UOM589846 UEQ589846 TUU589846 TKY589846 TBC589846 SRG589846 SHK589846 RXO589846 RNS589846 RDW589846 QUA589846 QKE589846 QAI589846 PQM589846 PGQ589846 OWU589846 OMY589846 ODC589846 NTG589846 NJK589846 MZO589846 MPS589846 MFW589846 LWA589846 LME589846 LCI589846 KSM589846 KIQ589846 JYU589846 JOY589846 JFC589846 IVG589846 ILK589846 IBO589846 HRS589846 HHW589846 GYA589846 GOE589846 GEI589846 FUM589846 FKQ589846 FAU589846 EQY589846 EHC589846 DXG589846 DNK589846 DDO589846 CTS589846 CJW589846 CAA589846 BQE589846 BGI589846 AWM589846 AMQ589846 ACU589846 SY589846 JC589846 B589846 WVO524310 WLS524310 WBW524310 VSA524310 VIE524310 UYI524310 UOM524310 UEQ524310 TUU524310 TKY524310 TBC524310 SRG524310 SHK524310 RXO524310 RNS524310 RDW524310 QUA524310 QKE524310 QAI524310 PQM524310 PGQ524310 OWU524310 OMY524310 ODC524310 NTG524310 NJK524310 MZO524310 MPS524310 MFW524310 LWA524310 LME524310 LCI524310 KSM524310 KIQ524310 JYU524310 JOY524310 JFC524310 IVG524310 ILK524310 IBO524310 HRS524310 HHW524310 GYA524310 GOE524310 GEI524310 FUM524310 FKQ524310 FAU524310 EQY524310 EHC524310 DXG524310 DNK524310 DDO524310 CTS524310 CJW524310 CAA524310 BQE524310 BGI524310 AWM524310 AMQ524310 ACU524310 SY524310 JC524310 B524310 WVO458774 WLS458774 WBW458774 VSA458774 VIE458774 UYI458774 UOM458774 UEQ458774 TUU458774 TKY458774 TBC458774 SRG458774 SHK458774 RXO458774 RNS458774 RDW458774 QUA458774 QKE458774 QAI458774 PQM458774 PGQ458774 OWU458774 OMY458774 ODC458774 NTG458774 NJK458774 MZO458774 MPS458774 MFW458774 LWA458774 LME458774 LCI458774 KSM458774 KIQ458774 JYU458774 JOY458774 JFC458774 IVG458774 ILK458774 IBO458774 HRS458774 HHW458774 GYA458774 GOE458774 GEI458774 FUM458774 FKQ458774 FAU458774 EQY458774 EHC458774 DXG458774 DNK458774 DDO458774 CTS458774 CJW458774 CAA458774 BQE458774 BGI458774 AWM458774 AMQ458774 ACU458774 SY458774 JC458774 B458774 WVO393238 WLS393238 WBW393238 VSA393238 VIE393238 UYI393238 UOM393238 UEQ393238 TUU393238 TKY393238 TBC393238 SRG393238 SHK393238 RXO393238 RNS393238 RDW393238 QUA393238 QKE393238 QAI393238 PQM393238 PGQ393238 OWU393238 OMY393238 ODC393238 NTG393238 NJK393238 MZO393238 MPS393238 MFW393238 LWA393238 LME393238 LCI393238 KSM393238 KIQ393238 JYU393238 JOY393238 JFC393238 IVG393238 ILK393238 IBO393238 HRS393238 HHW393238 GYA393238 GOE393238 GEI393238 FUM393238 FKQ393238 FAU393238 EQY393238 EHC393238 DXG393238 DNK393238 DDO393238 CTS393238 CJW393238 CAA393238 BQE393238 BGI393238 AWM393238 AMQ393238 ACU393238 SY393238 JC393238 B393238 WVO327702 WLS327702 WBW327702 VSA327702 VIE327702 UYI327702 UOM327702 UEQ327702 TUU327702 TKY327702 TBC327702 SRG327702 SHK327702 RXO327702 RNS327702 RDW327702 QUA327702 QKE327702 QAI327702 PQM327702 PGQ327702 OWU327702 OMY327702 ODC327702 NTG327702 NJK327702 MZO327702 MPS327702 MFW327702 LWA327702 LME327702 LCI327702 KSM327702 KIQ327702 JYU327702 JOY327702 JFC327702 IVG327702 ILK327702 IBO327702 HRS327702 HHW327702 GYA327702 GOE327702 GEI327702 FUM327702 FKQ327702 FAU327702 EQY327702 EHC327702 DXG327702 DNK327702 DDO327702 CTS327702 CJW327702 CAA327702 BQE327702 BGI327702 AWM327702 AMQ327702 ACU327702 SY327702 JC327702 B327702 WVO262166 WLS262166 WBW262166 VSA262166 VIE262166 UYI262166 UOM262166 UEQ262166 TUU262166 TKY262166 TBC262166 SRG262166 SHK262166 RXO262166 RNS262166 RDW262166 QUA262166 QKE262166 QAI262166 PQM262166 PGQ262166 OWU262166 OMY262166 ODC262166 NTG262166 NJK262166 MZO262166 MPS262166 MFW262166 LWA262166 LME262166 LCI262166 KSM262166 KIQ262166 JYU262166 JOY262166 JFC262166 IVG262166 ILK262166 IBO262166 HRS262166 HHW262166 GYA262166 GOE262166 GEI262166 FUM262166 FKQ262166 FAU262166 EQY262166 EHC262166 DXG262166 DNK262166 DDO262166 CTS262166 CJW262166 CAA262166 BQE262166 BGI262166 AWM262166 AMQ262166 ACU262166 SY262166 JC262166 B262166 WVO196630 WLS196630 WBW196630 VSA196630 VIE196630 UYI196630 UOM196630 UEQ196630 TUU196630 TKY196630 TBC196630 SRG196630 SHK196630 RXO196630 RNS196630 RDW196630 QUA196630 QKE196630 QAI196630 PQM196630 PGQ196630 OWU196630 OMY196630 ODC196630 NTG196630 NJK196630 MZO196630 MPS196630 MFW196630 LWA196630 LME196630 LCI196630 KSM196630 KIQ196630 JYU196630 JOY196630 JFC196630 IVG196630 ILK196630 IBO196630 HRS196630 HHW196630 GYA196630 GOE196630 GEI196630 FUM196630 FKQ196630 FAU196630 EQY196630 EHC196630 DXG196630 DNK196630 DDO196630 CTS196630 CJW196630 CAA196630 BQE196630 BGI196630 AWM196630 AMQ196630 ACU196630 SY196630 JC196630 B196630 WVO131094 WLS131094 WBW131094 VSA131094 VIE131094 UYI131094 UOM131094 UEQ131094 TUU131094 TKY131094 TBC131094 SRG131094 SHK131094 RXO131094 RNS131094 RDW131094 QUA131094 QKE131094 QAI131094 PQM131094 PGQ131094 OWU131094 OMY131094 ODC131094 NTG131094 NJK131094 MZO131094 MPS131094 MFW131094 LWA131094 LME131094 LCI131094 KSM131094 KIQ131094 JYU131094 JOY131094 JFC131094 IVG131094 ILK131094 IBO131094 HRS131094 HHW131094 GYA131094 GOE131094 GEI131094 FUM131094 FKQ131094 FAU131094 EQY131094 EHC131094 DXG131094 DNK131094 DDO131094 CTS131094 CJW131094 CAA131094 BQE131094 BGI131094 AWM131094 AMQ131094 ACU131094 SY131094 JC131094 B131094 WVO65558 WLS65558 WBW65558 VSA65558 VIE65558 UYI65558 UOM65558 UEQ65558 TUU65558 TKY65558 TBC65558 SRG65558 SHK65558 RXO65558 RNS65558 RDW65558 QUA65558 QKE65558 QAI65558 PQM65558 PGQ65558 OWU65558 OMY65558 ODC65558 NTG65558 NJK65558 MZO65558 MPS65558 MFW65558 LWA65558 LME65558 LCI65558 KSM65558 KIQ65558 JYU65558 JOY65558 JFC65558 IVG65558 ILK65558 IBO65558 HRS65558 HHW65558 GYA65558 GOE65558 GEI65558 FUM65558 FKQ65558 FAU65558 EQY65558 EHC65558 DXG65558 DNK65558 DDO65558 CTS65558 CJW65558 CAA65558 BQE65558 BGI65558 AWM65558 AMQ65558 ACU65558 SY65558 JC65558 B65558 WVO22 WLS22 WBW22 VSA22 VIE22 UYI22 UOM22 UEQ22 TUU22 TKY22 TBC22 SRG22 SHK22 RXO22 RNS22 RDW22 QUA22 QKE22 QAI22 PQM22 PGQ22 OWU22 OMY22 ODC22 NTG22 NJK22 MZO22 MPS22 MFW22 LWA22 LME22 LCI22 KSM22 KIQ22 JYU22 JOY22 JFC22 IVG22 ILK22 IBO22 HRS22 HHW22 GYA22 GOE22 GEI22 FUM22 FKQ22 FAU22 EQY22 EHC22 DXG22 DNK22 DDO22 CTS22 CJW22 CAA22 BQE22 BGI22 AWM22 AMQ22 ACU22 SY22 JC22 B22 WVO983064 WLS983064 WBW983064 VSA983064 VIE983064 UYI983064 UOM983064 UEQ983064 TUU983064 TKY983064 TBC983064 SRG983064 SHK983064 RXO983064 RNS983064 RDW983064 QUA983064 QKE983064 QAI983064 PQM983064 PGQ983064 OWU983064 OMY983064 ODC983064 NTG983064 NJK983064 MZO983064 MPS983064 MFW983064 LWA983064 LME983064 LCI983064 KSM983064 KIQ983064 JYU983064 JOY983064 JFC983064 IVG983064 ILK983064 IBO983064 HRS983064 HHW983064 GYA983064 GOE983064 GEI983064 FUM983064 FKQ983064 FAU983064 EQY983064 EHC983064 DXG983064 DNK983064 DDO983064 CTS983064 CJW983064 CAA983064 BQE983064 BGI983064 AWM983064 AMQ983064 ACU983064 SY983064 JC983064 B983064 WVO917528 WLS917528 WBW917528 VSA917528 VIE917528 UYI917528 UOM917528 UEQ917528 TUU917528 TKY917528 TBC917528 SRG917528 SHK917528 RXO917528 RNS917528 RDW917528 QUA917528 QKE917528 QAI917528 PQM917528 PGQ917528 OWU917528 OMY917528 ODC917528 NTG917528 NJK917528 MZO917528 MPS917528 MFW917528 LWA917528 LME917528 LCI917528 KSM917528 KIQ917528 JYU917528 JOY917528 JFC917528 IVG917528 ILK917528 IBO917528 HRS917528 HHW917528 GYA917528 GOE917528 GEI917528 FUM917528 FKQ917528 FAU917528 EQY917528 EHC917528 DXG917528 DNK917528 DDO917528 CTS917528 CJW917528 CAA917528 BQE917528 BGI917528 AWM917528 AMQ917528 ACU917528 SY917528 JC917528 B917528 WVO851992 WLS851992 WBW851992 VSA851992 VIE851992 UYI851992 UOM851992 UEQ851992 TUU851992 TKY851992 TBC851992 SRG851992 SHK851992 RXO851992 RNS851992 RDW851992 QUA851992 QKE851992 QAI851992 PQM851992 PGQ851992 OWU851992 OMY851992 ODC851992 NTG851992 NJK851992 MZO851992 MPS851992 MFW851992 LWA851992 LME851992 LCI851992 KSM851992 KIQ851992 JYU851992 JOY851992 JFC851992 IVG851992 ILK851992 IBO851992 HRS851992 HHW851992 GYA851992 GOE851992 GEI851992 FUM851992 FKQ851992 FAU851992 EQY851992 EHC851992 DXG851992 DNK851992 DDO851992 CTS851992 CJW851992 CAA851992 BQE851992 BGI851992 AWM851992 AMQ851992 ACU851992 SY851992 JC851992 B851992 WVO786456 WLS786456 WBW786456 VSA786456 VIE786456 UYI786456 UOM786456 UEQ786456 TUU786456 TKY786456 TBC786456 SRG786456 SHK786456 RXO786456 RNS786456 RDW786456 QUA786456 QKE786456 QAI786456 PQM786456 PGQ786456 OWU786456 OMY786456 ODC786456 NTG786456 NJK786456 MZO786456 MPS786456 MFW786456 LWA786456 LME786456 LCI786456 KSM786456 KIQ786456 JYU786456 JOY786456 JFC786456 IVG786456 ILK786456 IBO786456 HRS786456 HHW786456 GYA786456 GOE786456 GEI786456 FUM786456 FKQ786456 FAU786456 EQY786456 EHC786456 DXG786456 DNK786456 DDO786456 CTS786456 CJW786456 CAA786456 BQE786456 BGI786456 AWM786456 AMQ786456 ACU786456 SY786456 JC786456 B786456 WVO720920 WLS720920 WBW720920 VSA720920 VIE720920 UYI720920 UOM720920 UEQ720920 TUU720920 TKY720920 TBC720920 SRG720920 SHK720920 RXO720920 RNS720920 RDW720920 QUA720920 QKE720920 QAI720920 PQM720920 PGQ720920 OWU720920 OMY720920 ODC720920 NTG720920 NJK720920 MZO720920 MPS720920 MFW720920 LWA720920 LME720920 LCI720920 KSM720920 KIQ720920 JYU720920 JOY720920 JFC720920 IVG720920 ILK720920 IBO720920 HRS720920 HHW720920 GYA720920 GOE720920 GEI720920 FUM720920 FKQ720920 FAU720920 EQY720920 EHC720920 DXG720920 DNK720920 DDO720920 CTS720920 CJW720920 CAA720920 BQE720920 BGI720920 AWM720920 AMQ720920 ACU720920 SY720920 JC720920 B720920 WVO655384 WLS655384 WBW655384 VSA655384 VIE655384 UYI655384 UOM655384 UEQ655384 TUU655384 TKY655384 TBC655384 SRG655384 SHK655384 RXO655384 RNS655384 RDW655384 QUA655384 QKE655384 QAI655384 PQM655384 PGQ655384 OWU655384 OMY655384 ODC655384 NTG655384 NJK655384 MZO655384 MPS655384 MFW655384 LWA655384 LME655384 LCI655384 KSM655384 KIQ655384 JYU655384 JOY655384 JFC655384 IVG655384 ILK655384 IBO655384 HRS655384 HHW655384 GYA655384 GOE655384 GEI655384 FUM655384 FKQ655384 FAU655384 EQY655384 EHC655384 DXG655384 DNK655384 DDO655384 CTS655384 CJW655384 CAA655384 BQE655384 BGI655384 AWM655384 AMQ655384 ACU655384 SY655384 JC655384 B655384 WVO589848 WLS589848 WBW589848 VSA589848 VIE589848 UYI589848 UOM589848 UEQ589848 TUU589848 TKY589848 TBC589848 SRG589848 SHK589848 RXO589848 RNS589848 RDW589848 QUA589848 QKE589848 QAI589848 PQM589848 PGQ589848 OWU589848 OMY589848 ODC589848 NTG589848 NJK589848 MZO589848 MPS589848 MFW589848 LWA589848 LME589848 LCI589848 KSM589848 KIQ589848 JYU589848 JOY589848 JFC589848 IVG589848 ILK589848 IBO589848 HRS589848 HHW589848 GYA589848 GOE589848 GEI589848 FUM589848 FKQ589848 FAU589848 EQY589848 EHC589848 DXG589848 DNK589848 DDO589848 CTS589848 CJW589848 CAA589848 BQE589848 BGI589848 AWM589848 AMQ589848 ACU589848 SY589848 JC589848 B589848 WVO524312 WLS524312 WBW524312 VSA524312 VIE524312 UYI524312 UOM524312 UEQ524312 TUU524312 TKY524312 TBC524312 SRG524312 SHK524312 RXO524312 RNS524312 RDW524312 QUA524312 QKE524312 QAI524312 PQM524312 PGQ524312 OWU524312 OMY524312 ODC524312 NTG524312 NJK524312 MZO524312 MPS524312 MFW524312 LWA524312 LME524312 LCI524312 KSM524312 KIQ524312 JYU524312 JOY524312 JFC524312 IVG524312 ILK524312 IBO524312 HRS524312 HHW524312 GYA524312 GOE524312 GEI524312 FUM524312 FKQ524312 FAU524312 EQY524312 EHC524312 DXG524312 DNK524312 DDO524312 CTS524312 CJW524312 CAA524312 BQE524312 BGI524312 AWM524312 AMQ524312 ACU524312 SY524312 JC524312 B524312 WVO458776 WLS458776 WBW458776 VSA458776 VIE458776 UYI458776 UOM458776 UEQ458776 TUU458776 TKY458776 TBC458776 SRG458776 SHK458776 RXO458776 RNS458776 RDW458776 QUA458776 QKE458776 QAI458776 PQM458776 PGQ458776 OWU458776 OMY458776 ODC458776 NTG458776 NJK458776 MZO458776 MPS458776 MFW458776 LWA458776 LME458776 LCI458776 KSM458776 KIQ458776 JYU458776 JOY458776 JFC458776 IVG458776 ILK458776 IBO458776 HRS458776 HHW458776 GYA458776 GOE458776 GEI458776 FUM458776 FKQ458776 FAU458776 EQY458776 EHC458776 DXG458776 DNK458776 DDO458776 CTS458776 CJW458776 CAA458776 BQE458776 BGI458776 AWM458776 AMQ458776 ACU458776 SY458776 JC458776 B458776 WVO393240 WLS393240 WBW393240 VSA393240 VIE393240 UYI393240 UOM393240 UEQ393240 TUU393240 TKY393240 TBC393240 SRG393240 SHK393240 RXO393240 RNS393240 RDW393240 QUA393240 QKE393240 QAI393240 PQM393240 PGQ393240 OWU393240 OMY393240 ODC393240 NTG393240 NJK393240 MZO393240 MPS393240 MFW393240 LWA393240 LME393240 LCI393240 KSM393240 KIQ393240 JYU393240 JOY393240 JFC393240 IVG393240 ILK393240 IBO393240 HRS393240 HHW393240 GYA393240 GOE393240 GEI393240 FUM393240 FKQ393240 FAU393240 EQY393240 EHC393240 DXG393240 DNK393240 DDO393240 CTS393240 CJW393240 CAA393240 BQE393240 BGI393240 AWM393240 AMQ393240 ACU393240 SY393240 JC393240 B393240 WVO327704 WLS327704 WBW327704 VSA327704 VIE327704 UYI327704 UOM327704 UEQ327704 TUU327704 TKY327704 TBC327704 SRG327704 SHK327704 RXO327704 RNS327704 RDW327704 QUA327704 QKE327704 QAI327704 PQM327704 PGQ327704 OWU327704 OMY327704 ODC327704 NTG327704 NJK327704 MZO327704 MPS327704 MFW327704 LWA327704 LME327704 LCI327704 KSM327704 KIQ327704 JYU327704 JOY327704 JFC327704 IVG327704 ILK327704 IBO327704 HRS327704 HHW327704 GYA327704 GOE327704 GEI327704 FUM327704 FKQ327704 FAU327704 EQY327704 EHC327704 DXG327704 DNK327704 DDO327704 CTS327704 CJW327704 CAA327704 BQE327704 BGI327704 AWM327704 AMQ327704 ACU327704 SY327704 JC327704 B327704 WVO262168 WLS262168 WBW262168 VSA262168 VIE262168 UYI262168 UOM262168 UEQ262168 TUU262168 TKY262168 TBC262168 SRG262168 SHK262168 RXO262168 RNS262168 RDW262168 QUA262168 QKE262168 QAI262168 PQM262168 PGQ262168 OWU262168 OMY262168 ODC262168 NTG262168 NJK262168 MZO262168 MPS262168 MFW262168 LWA262168 LME262168 LCI262168 KSM262168 KIQ262168 JYU262168 JOY262168 JFC262168 IVG262168 ILK262168 IBO262168 HRS262168 HHW262168 GYA262168 GOE262168 GEI262168 FUM262168 FKQ262168 FAU262168 EQY262168 EHC262168 DXG262168 DNK262168 DDO262168 CTS262168 CJW262168 CAA262168 BQE262168 BGI262168 AWM262168 AMQ262168 ACU262168 SY262168 JC262168 B262168 WVO196632 WLS196632 WBW196632 VSA196632 VIE196632 UYI196632 UOM196632 UEQ196632 TUU196632 TKY196632 TBC196632 SRG196632 SHK196632 RXO196632 RNS196632 RDW196632 QUA196632 QKE196632 QAI196632 PQM196632 PGQ196632 OWU196632 OMY196632 ODC196632 NTG196632 NJK196632 MZO196632 MPS196632 MFW196632 LWA196632 LME196632 LCI196632 KSM196632 KIQ196632 JYU196632 JOY196632 JFC196632 IVG196632 ILK196632 IBO196632 HRS196632 HHW196632 GYA196632 GOE196632 GEI196632 FUM196632 FKQ196632 FAU196632 EQY196632 EHC196632 DXG196632 DNK196632 DDO196632 CTS196632 CJW196632 CAA196632 BQE196632 BGI196632 AWM196632 AMQ196632 ACU196632 SY196632 JC196632 B196632 WVO131096 WLS131096 WBW131096 VSA131096 VIE131096 UYI131096 UOM131096 UEQ131096 TUU131096 TKY131096 TBC131096 SRG131096 SHK131096 RXO131096 RNS131096 RDW131096 QUA131096 QKE131096 QAI131096 PQM131096 PGQ131096 OWU131096 OMY131096 ODC131096 NTG131096 NJK131096 MZO131096 MPS131096 MFW131096 LWA131096 LME131096 LCI131096 KSM131096 KIQ131096 JYU131096 JOY131096 JFC131096 IVG131096 ILK131096 IBO131096 HRS131096 HHW131096 GYA131096 GOE131096 GEI131096 FUM131096 FKQ131096 FAU131096 EQY131096 EHC131096 DXG131096 DNK131096 DDO131096 CTS131096 CJW131096 CAA131096 BQE131096 BGI131096 AWM131096 AMQ131096 ACU131096 SY131096 JC131096 B131096 WVO65560 WLS65560 WBW65560 VSA65560 VIE65560 UYI65560 UOM65560 UEQ65560 TUU65560 TKY65560 TBC65560 SRG65560 SHK65560 RXO65560 RNS65560 RDW65560 QUA65560 QKE65560 QAI65560 PQM65560 PGQ65560 OWU65560 OMY65560 ODC65560 NTG65560 NJK65560 MZO65560 MPS65560 MFW65560 LWA65560 LME65560 LCI65560 KSM65560 KIQ65560 JYU65560 JOY65560 JFC65560 IVG65560 ILK65560 IBO65560 HRS65560 HHW65560 GYA65560 GOE65560 GEI65560 FUM65560 FKQ65560 FAU65560 EQY65560 EHC65560 DXG65560 DNK65560 DDO65560 CTS65560 CJW65560 CAA65560 BQE65560 BGI65560 AWM65560 AMQ65560 ACU65560 SY65560 JC65560 B65560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B24 WVO983066 WLS983066 WBW983066 VSA983066 VIE983066 UYI983066 UOM983066 UEQ983066 TUU983066 TKY983066 TBC983066 SRG983066 SHK983066 RXO983066 RNS983066 RDW983066 QUA983066 QKE983066 QAI983066 PQM983066 PGQ983066 OWU983066 OMY983066 ODC983066 NTG983066 NJK983066 MZO983066 MPS983066 MFW983066 LWA983066 LME983066 LCI983066 KSM983066 KIQ983066 JYU983066 JOY983066 JFC983066 IVG983066 ILK983066 IBO983066 HRS983066 HHW983066 GYA983066 GOE983066 GEI983066 FUM983066 FKQ983066 FAU983066 EQY983066 EHC983066 DXG983066 DNK983066 DDO983066 CTS983066 CJW983066 CAA983066 BQE983066 BGI983066 AWM983066 AMQ983066 ACU983066 SY983066 JC983066 B983066 WVO917530 WLS917530 WBW917530 VSA917530 VIE917530 UYI917530 UOM917530 UEQ917530 TUU917530 TKY917530 TBC917530 SRG917530 SHK917530 RXO917530 RNS917530 RDW917530 QUA917530 QKE917530 QAI917530 PQM917530 PGQ917530 OWU917530 OMY917530 ODC917530 NTG917530 NJK917530 MZO917530 MPS917530 MFW917530 LWA917530 LME917530 LCI917530 KSM917530 KIQ917530 JYU917530 JOY917530 JFC917530 IVG917530 ILK917530 IBO917530 HRS917530 HHW917530 GYA917530 GOE917530 GEI917530 FUM917530 FKQ917530 FAU917530 EQY917530 EHC917530 DXG917530 DNK917530 DDO917530 CTS917530 CJW917530 CAA917530 BQE917530 BGI917530 AWM917530 AMQ917530 ACU917530 SY917530 JC917530 B917530 WVO851994 WLS851994 WBW851994 VSA851994 VIE851994 UYI851994 UOM851994 UEQ851994 TUU851994 TKY851994 TBC851994 SRG851994 SHK851994 RXO851994 RNS851994 RDW851994 QUA851994 QKE851994 QAI851994 PQM851994 PGQ851994 OWU851994 OMY851994 ODC851994 NTG851994 NJK851994 MZO851994 MPS851994 MFW851994 LWA851994 LME851994 LCI851994 KSM851994 KIQ851994 JYU851994 JOY851994 JFC851994 IVG851994 ILK851994 IBO851994 HRS851994 HHW851994 GYA851994 GOE851994 GEI851994 FUM851994 FKQ851994 FAU851994 EQY851994 EHC851994 DXG851994 DNK851994 DDO851994 CTS851994 CJW851994 CAA851994 BQE851994 BGI851994 AWM851994 AMQ851994 ACU851994 SY851994 JC851994 B851994 WVO786458 WLS786458 WBW786458 VSA786458 VIE786458 UYI786458 UOM786458 UEQ786458 TUU786458 TKY786458 TBC786458 SRG786458 SHK786458 RXO786458 RNS786458 RDW786458 QUA786458 QKE786458 QAI786458 PQM786458 PGQ786458 OWU786458 OMY786458 ODC786458 NTG786458 NJK786458 MZO786458 MPS786458 MFW786458 LWA786458 LME786458 LCI786458 KSM786458 KIQ786458 JYU786458 JOY786458 JFC786458 IVG786458 ILK786458 IBO786458 HRS786458 HHW786458 GYA786458 GOE786458 GEI786458 FUM786458 FKQ786458 FAU786458 EQY786458 EHC786458 DXG786458 DNK786458 DDO786458 CTS786458 CJW786458 CAA786458 BQE786458 BGI786458 AWM786458 AMQ786458 ACU786458 SY786458 JC786458 B786458 WVO720922 WLS720922 WBW720922 VSA720922 VIE720922 UYI720922 UOM720922 UEQ720922 TUU720922 TKY720922 TBC720922 SRG720922 SHK720922 RXO720922 RNS720922 RDW720922 QUA720922 QKE720922 QAI720922 PQM720922 PGQ720922 OWU720922 OMY720922 ODC720922 NTG720922 NJK720922 MZO720922 MPS720922 MFW720922 LWA720922 LME720922 LCI720922 KSM720922 KIQ720922 JYU720922 JOY720922 JFC720922 IVG720922 ILK720922 IBO720922 HRS720922 HHW720922 GYA720922 GOE720922 GEI720922 FUM720922 FKQ720922 FAU720922 EQY720922 EHC720922 DXG720922 DNK720922 DDO720922 CTS720922 CJW720922 CAA720922 BQE720922 BGI720922 AWM720922 AMQ720922 ACU720922 SY720922 JC720922 B720922 WVO655386 WLS655386 WBW655386 VSA655386 VIE655386 UYI655386 UOM655386 UEQ655386 TUU655386 TKY655386 TBC655386 SRG655386 SHK655386 RXO655386 RNS655386 RDW655386 QUA655386 QKE655386 QAI655386 PQM655386 PGQ655386 OWU655386 OMY655386 ODC655386 NTG655386 NJK655386 MZO655386 MPS655386 MFW655386 LWA655386 LME655386 LCI655386 KSM655386 KIQ655386 JYU655386 JOY655386 JFC655386 IVG655386 ILK655386 IBO655386 HRS655386 HHW655386 GYA655386 GOE655386 GEI655386 FUM655386 FKQ655386 FAU655386 EQY655386 EHC655386 DXG655386 DNK655386 DDO655386 CTS655386 CJW655386 CAA655386 BQE655386 BGI655386 AWM655386 AMQ655386 ACU655386 SY655386 JC655386 B655386 WVO589850 WLS589850 WBW589850 VSA589850 VIE589850 UYI589850 UOM589850 UEQ589850 TUU589850 TKY589850 TBC589850 SRG589850 SHK589850 RXO589850 RNS589850 RDW589850 QUA589850 QKE589850 QAI589850 PQM589850 PGQ589850 OWU589850 OMY589850 ODC589850 NTG589850 NJK589850 MZO589850 MPS589850 MFW589850 LWA589850 LME589850 LCI589850 KSM589850 KIQ589850 JYU589850 JOY589850 JFC589850 IVG589850 ILK589850 IBO589850 HRS589850 HHW589850 GYA589850 GOE589850 GEI589850 FUM589850 FKQ589850 FAU589850 EQY589850 EHC589850 DXG589850 DNK589850 DDO589850 CTS589850 CJW589850 CAA589850 BQE589850 BGI589850 AWM589850 AMQ589850 ACU589850 SY589850 JC589850 B589850 WVO524314 WLS524314 WBW524314 VSA524314 VIE524314 UYI524314 UOM524314 UEQ524314 TUU524314 TKY524314 TBC524314 SRG524314 SHK524314 RXO524314 RNS524314 RDW524314 QUA524314 QKE524314 QAI524314 PQM524314 PGQ524314 OWU524314 OMY524314 ODC524314 NTG524314 NJK524314 MZO524314 MPS524314 MFW524314 LWA524314 LME524314 LCI524314 KSM524314 KIQ524314 JYU524314 JOY524314 JFC524314 IVG524314 ILK524314 IBO524314 HRS524314 HHW524314 GYA524314 GOE524314 GEI524314 FUM524314 FKQ524314 FAU524314 EQY524314 EHC524314 DXG524314 DNK524314 DDO524314 CTS524314 CJW524314 CAA524314 BQE524314 BGI524314 AWM524314 AMQ524314 ACU524314 SY524314 JC524314 B524314 WVO458778 WLS458778 WBW458778 VSA458778 VIE458778 UYI458778 UOM458778 UEQ458778 TUU458778 TKY458778 TBC458778 SRG458778 SHK458778 RXO458778 RNS458778 RDW458778 QUA458778 QKE458778 QAI458778 PQM458778 PGQ458778 OWU458778 OMY458778 ODC458778 NTG458778 NJK458778 MZO458778 MPS458778 MFW458778 LWA458778 LME458778 LCI458778 KSM458778 KIQ458778 JYU458778 JOY458778 JFC458778 IVG458778 ILK458778 IBO458778 HRS458778 HHW458778 GYA458778 GOE458778 GEI458778 FUM458778 FKQ458778 FAU458778 EQY458778 EHC458778 DXG458778 DNK458778 DDO458778 CTS458778 CJW458778 CAA458778 BQE458778 BGI458778 AWM458778 AMQ458778 ACU458778 SY458778 JC458778 B458778 WVO393242 WLS393242 WBW393242 VSA393242 VIE393242 UYI393242 UOM393242 UEQ393242 TUU393242 TKY393242 TBC393242 SRG393242 SHK393242 RXO393242 RNS393242 RDW393242 QUA393242 QKE393242 QAI393242 PQM393242 PGQ393242 OWU393242 OMY393242 ODC393242 NTG393242 NJK393242 MZO393242 MPS393242 MFW393242 LWA393242 LME393242 LCI393242 KSM393242 KIQ393242 JYU393242 JOY393242 JFC393242 IVG393242 ILK393242 IBO393242 HRS393242 HHW393242 GYA393242 GOE393242 GEI393242 FUM393242 FKQ393242 FAU393242 EQY393242 EHC393242 DXG393242 DNK393242 DDO393242 CTS393242 CJW393242 CAA393242 BQE393242 BGI393242 AWM393242 AMQ393242 ACU393242 SY393242 JC393242 B393242 WVO327706 WLS327706 WBW327706 VSA327706 VIE327706 UYI327706 UOM327706 UEQ327706 TUU327706 TKY327706 TBC327706 SRG327706 SHK327706 RXO327706 RNS327706 RDW327706 QUA327706 QKE327706 QAI327706 PQM327706 PGQ327706 OWU327706 OMY327706 ODC327706 NTG327706 NJK327706 MZO327706 MPS327706 MFW327706 LWA327706 LME327706 LCI327706 KSM327706 KIQ327706 JYU327706 JOY327706 JFC327706 IVG327706 ILK327706 IBO327706 HRS327706 HHW327706 GYA327706 GOE327706 GEI327706 FUM327706 FKQ327706 FAU327706 EQY327706 EHC327706 DXG327706 DNK327706 DDO327706 CTS327706 CJW327706 CAA327706 BQE327706 BGI327706 AWM327706 AMQ327706 ACU327706 SY327706 JC327706 B327706 WVO262170 WLS262170 WBW262170 VSA262170 VIE262170 UYI262170 UOM262170 UEQ262170 TUU262170 TKY262170 TBC262170 SRG262170 SHK262170 RXO262170 RNS262170 RDW262170 QUA262170 QKE262170 QAI262170 PQM262170 PGQ262170 OWU262170 OMY262170 ODC262170 NTG262170 NJK262170 MZO262170 MPS262170 MFW262170 LWA262170 LME262170 LCI262170 KSM262170 KIQ262170 JYU262170 JOY262170 JFC262170 IVG262170 ILK262170 IBO262170 HRS262170 HHW262170 GYA262170 GOE262170 GEI262170 FUM262170 FKQ262170 FAU262170 EQY262170 EHC262170 DXG262170 DNK262170 DDO262170 CTS262170 CJW262170 CAA262170 BQE262170 BGI262170 AWM262170 AMQ262170 ACU262170 SY262170 JC262170 B262170 WVO196634 WLS196634 WBW196634 VSA196634 VIE196634 UYI196634 UOM196634 UEQ196634 TUU196634 TKY196634 TBC196634 SRG196634 SHK196634 RXO196634 RNS196634 RDW196634 QUA196634 QKE196634 QAI196634 PQM196634 PGQ196634 OWU196634 OMY196634 ODC196634 NTG196634 NJK196634 MZO196634 MPS196634 MFW196634 LWA196634 LME196634 LCI196634 KSM196634 KIQ196634 JYU196634 JOY196634 JFC196634 IVG196634 ILK196634 IBO196634 HRS196634 HHW196634 GYA196634 GOE196634 GEI196634 FUM196634 FKQ196634 FAU196634 EQY196634 EHC196634 DXG196634 DNK196634 DDO196634 CTS196634 CJW196634 CAA196634 BQE196634 BGI196634 AWM196634 AMQ196634 ACU196634 SY196634 JC196634 B196634 WVO131098 WLS131098 WBW131098 VSA131098 VIE131098 UYI131098 UOM131098 UEQ131098 TUU131098 TKY131098 TBC131098 SRG131098 SHK131098 RXO131098 RNS131098 RDW131098 QUA131098 QKE131098 QAI131098 PQM131098 PGQ131098 OWU131098 OMY131098 ODC131098 NTG131098 NJK131098 MZO131098 MPS131098 MFW131098 LWA131098 LME131098 LCI131098 KSM131098 KIQ131098 JYU131098 JOY131098 JFC131098 IVG131098 ILK131098 IBO131098 HRS131098 HHW131098 GYA131098 GOE131098 GEI131098 FUM131098 FKQ131098 FAU131098 EQY131098 EHC131098 DXG131098 DNK131098 DDO131098 CTS131098 CJW131098 CAA131098 BQE131098 BGI131098 AWM131098 AMQ131098 ACU131098 SY131098 JC131098 B131098 WVO65562 WLS65562 WBW65562 VSA65562 VIE65562 UYI65562 UOM65562 UEQ65562 TUU65562 TKY65562 TBC65562 SRG65562 SHK65562 RXO65562 RNS65562 RDW65562 QUA65562 QKE65562 QAI65562 PQM65562 PGQ65562 OWU65562 OMY65562 ODC65562 NTG65562 NJK65562 MZO65562 MPS65562 MFW65562 LWA65562 LME65562 LCI65562 KSM65562 KIQ65562 JYU65562 JOY65562 JFC65562 IVG65562 ILK65562 IBO65562 HRS65562 HHW65562 GYA65562 GOE65562 GEI65562 FUM65562 FKQ65562 FAU65562 EQY65562 EHC65562 DXG65562 DNK65562 DDO65562 CTS65562 CJW65562 CAA65562 BQE65562 BGI65562 AWM65562 AMQ65562 ACU65562 SY65562 JC65562 B65562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B26 WVO983072 WLS983072 WBW983072 VSA983072 VIE983072 UYI983072 UOM983072 UEQ983072 TUU983072 TKY983072 TBC983072 SRG983072 SHK983072 RXO983072 RNS983072 RDW983072 QUA983072 QKE983072 QAI983072 PQM983072 PGQ983072 OWU983072 OMY983072 ODC983072 NTG983072 NJK983072 MZO983072 MPS983072 MFW983072 LWA983072 LME983072 LCI983072 KSM983072 KIQ983072 JYU983072 JOY983072 JFC983072 IVG983072 ILK983072 IBO983072 HRS983072 HHW983072 GYA983072 GOE983072 GEI983072 FUM983072 FKQ983072 FAU983072 EQY983072 EHC983072 DXG983072 DNK983072 DDO983072 CTS983072 CJW983072 CAA983072 BQE983072 BGI983072 AWM983072 AMQ983072 ACU983072 SY983072 JC983072 B983072 WVO917536 WLS917536 WBW917536 VSA917536 VIE917536 UYI917536 UOM917536 UEQ917536 TUU917536 TKY917536 TBC917536 SRG917536 SHK917536 RXO917536 RNS917536 RDW917536 QUA917536 QKE917536 QAI917536 PQM917536 PGQ917536 OWU917536 OMY917536 ODC917536 NTG917536 NJK917536 MZO917536 MPS917536 MFW917536 LWA917536 LME917536 LCI917536 KSM917536 KIQ917536 JYU917536 JOY917536 JFC917536 IVG917536 ILK917536 IBO917536 HRS917536 HHW917536 GYA917536 GOE917536 GEI917536 FUM917536 FKQ917536 FAU917536 EQY917536 EHC917536 DXG917536 DNK917536 DDO917536 CTS917536 CJW917536 CAA917536 BQE917536 BGI917536 AWM917536 AMQ917536 ACU917536 SY917536 JC917536 B917536 WVO852000 WLS852000 WBW852000 VSA852000 VIE852000 UYI852000 UOM852000 UEQ852000 TUU852000 TKY852000 TBC852000 SRG852000 SHK852000 RXO852000 RNS852000 RDW852000 QUA852000 QKE852000 QAI852000 PQM852000 PGQ852000 OWU852000 OMY852000 ODC852000 NTG852000 NJK852000 MZO852000 MPS852000 MFW852000 LWA852000 LME852000 LCI852000 KSM852000 KIQ852000 JYU852000 JOY852000 JFC852000 IVG852000 ILK852000 IBO852000 HRS852000 HHW852000 GYA852000 GOE852000 GEI852000 FUM852000 FKQ852000 FAU852000 EQY852000 EHC852000 DXG852000 DNK852000 DDO852000 CTS852000 CJW852000 CAA852000 BQE852000 BGI852000 AWM852000 AMQ852000 ACU852000 SY852000 JC852000 B852000 WVO786464 WLS786464 WBW786464 VSA786464 VIE786464 UYI786464 UOM786464 UEQ786464 TUU786464 TKY786464 TBC786464 SRG786464 SHK786464 RXO786464 RNS786464 RDW786464 QUA786464 QKE786464 QAI786464 PQM786464 PGQ786464 OWU786464 OMY786464 ODC786464 NTG786464 NJK786464 MZO786464 MPS786464 MFW786464 LWA786464 LME786464 LCI786464 KSM786464 KIQ786464 JYU786464 JOY786464 JFC786464 IVG786464 ILK786464 IBO786464 HRS786464 HHW786464 GYA786464 GOE786464 GEI786464 FUM786464 FKQ786464 FAU786464 EQY786464 EHC786464 DXG786464 DNK786464 DDO786464 CTS786464 CJW786464 CAA786464 BQE786464 BGI786464 AWM786464 AMQ786464 ACU786464 SY786464 JC786464 B786464 WVO720928 WLS720928 WBW720928 VSA720928 VIE720928 UYI720928 UOM720928 UEQ720928 TUU720928 TKY720928 TBC720928 SRG720928 SHK720928 RXO720928 RNS720928 RDW720928 QUA720928 QKE720928 QAI720928 PQM720928 PGQ720928 OWU720928 OMY720928 ODC720928 NTG720928 NJK720928 MZO720928 MPS720928 MFW720928 LWA720928 LME720928 LCI720928 KSM720928 KIQ720928 JYU720928 JOY720928 JFC720928 IVG720928 ILK720928 IBO720928 HRS720928 HHW720928 GYA720928 GOE720928 GEI720928 FUM720928 FKQ720928 FAU720928 EQY720928 EHC720928 DXG720928 DNK720928 DDO720928 CTS720928 CJW720928 CAA720928 BQE720928 BGI720928 AWM720928 AMQ720928 ACU720928 SY720928 JC720928 B720928 WVO655392 WLS655392 WBW655392 VSA655392 VIE655392 UYI655392 UOM655392 UEQ655392 TUU655392 TKY655392 TBC655392 SRG655392 SHK655392 RXO655392 RNS655392 RDW655392 QUA655392 QKE655392 QAI655392 PQM655392 PGQ655392 OWU655392 OMY655392 ODC655392 NTG655392 NJK655392 MZO655392 MPS655392 MFW655392 LWA655392 LME655392 LCI655392 KSM655392 KIQ655392 JYU655392 JOY655392 JFC655392 IVG655392 ILK655392 IBO655392 HRS655392 HHW655392 GYA655392 GOE655392 GEI655392 FUM655392 FKQ655392 FAU655392 EQY655392 EHC655392 DXG655392 DNK655392 DDO655392 CTS655392 CJW655392 CAA655392 BQE655392 BGI655392 AWM655392 AMQ655392 ACU655392 SY655392 JC655392 B655392 WVO589856 WLS589856 WBW589856 VSA589856 VIE589856 UYI589856 UOM589856 UEQ589856 TUU589856 TKY589856 TBC589856 SRG589856 SHK589856 RXO589856 RNS589856 RDW589856 QUA589856 QKE589856 QAI589856 PQM589856 PGQ589856 OWU589856 OMY589856 ODC589856 NTG589856 NJK589856 MZO589856 MPS589856 MFW589856 LWA589856 LME589856 LCI589856 KSM589856 KIQ589856 JYU589856 JOY589856 JFC589856 IVG589856 ILK589856 IBO589856 HRS589856 HHW589856 GYA589856 GOE589856 GEI589856 FUM589856 FKQ589856 FAU589856 EQY589856 EHC589856 DXG589856 DNK589856 DDO589856 CTS589856 CJW589856 CAA589856 BQE589856 BGI589856 AWM589856 AMQ589856 ACU589856 SY589856 JC589856 B589856 WVO524320 WLS524320 WBW524320 VSA524320 VIE524320 UYI524320 UOM524320 UEQ524320 TUU524320 TKY524320 TBC524320 SRG524320 SHK524320 RXO524320 RNS524320 RDW524320 QUA524320 QKE524320 QAI524320 PQM524320 PGQ524320 OWU524320 OMY524320 ODC524320 NTG524320 NJK524320 MZO524320 MPS524320 MFW524320 LWA524320 LME524320 LCI524320 KSM524320 KIQ524320 JYU524320 JOY524320 JFC524320 IVG524320 ILK524320 IBO524320 HRS524320 HHW524320 GYA524320 GOE524320 GEI524320 FUM524320 FKQ524320 FAU524320 EQY524320 EHC524320 DXG524320 DNK524320 DDO524320 CTS524320 CJW524320 CAA524320 BQE524320 BGI524320 AWM524320 AMQ524320 ACU524320 SY524320 JC524320 B524320 WVO458784 WLS458784 WBW458784 VSA458784 VIE458784 UYI458784 UOM458784 UEQ458784 TUU458784 TKY458784 TBC458784 SRG458784 SHK458784 RXO458784 RNS458784 RDW458784 QUA458784 QKE458784 QAI458784 PQM458784 PGQ458784 OWU458784 OMY458784 ODC458784 NTG458784 NJK458784 MZO458784 MPS458784 MFW458784 LWA458784 LME458784 LCI458784 KSM458784 KIQ458784 JYU458784 JOY458784 JFC458784 IVG458784 ILK458784 IBO458784 HRS458784 HHW458784 GYA458784 GOE458784 GEI458784 FUM458784 FKQ458784 FAU458784 EQY458784 EHC458784 DXG458784 DNK458784 DDO458784 CTS458784 CJW458784 CAA458784 BQE458784 BGI458784 AWM458784 AMQ458784 ACU458784 SY458784 JC458784 B458784 WVO393248 WLS393248 WBW393248 VSA393248 VIE393248 UYI393248 UOM393248 UEQ393248 TUU393248 TKY393248 TBC393248 SRG393248 SHK393248 RXO393248 RNS393248 RDW393248 QUA393248 QKE393248 QAI393248 PQM393248 PGQ393248 OWU393248 OMY393248 ODC393248 NTG393248 NJK393248 MZO393248 MPS393248 MFW393248 LWA393248 LME393248 LCI393248 KSM393248 KIQ393248 JYU393248 JOY393248 JFC393248 IVG393248 ILK393248 IBO393248 HRS393248 HHW393248 GYA393248 GOE393248 GEI393248 FUM393248 FKQ393248 FAU393248 EQY393248 EHC393248 DXG393248 DNK393248 DDO393248 CTS393248 CJW393248 CAA393248 BQE393248 BGI393248 AWM393248 AMQ393248 ACU393248 SY393248 JC393248 B393248 WVO327712 WLS327712 WBW327712 VSA327712 VIE327712 UYI327712 UOM327712 UEQ327712 TUU327712 TKY327712 TBC327712 SRG327712 SHK327712 RXO327712 RNS327712 RDW327712 QUA327712 QKE327712 QAI327712 PQM327712 PGQ327712 OWU327712 OMY327712 ODC327712 NTG327712 NJK327712 MZO327712 MPS327712 MFW327712 LWA327712 LME327712 LCI327712 KSM327712 KIQ327712 JYU327712 JOY327712 JFC327712 IVG327712 ILK327712 IBO327712 HRS327712 HHW327712 GYA327712 GOE327712 GEI327712 FUM327712 FKQ327712 FAU327712 EQY327712 EHC327712 DXG327712 DNK327712 DDO327712 CTS327712 CJW327712 CAA327712 BQE327712 BGI327712 AWM327712 AMQ327712 ACU327712 SY327712 JC327712 B327712 WVO262176 WLS262176 WBW262176 VSA262176 VIE262176 UYI262176 UOM262176 UEQ262176 TUU262176 TKY262176 TBC262176 SRG262176 SHK262176 RXO262176 RNS262176 RDW262176 QUA262176 QKE262176 QAI262176 PQM262176 PGQ262176 OWU262176 OMY262176 ODC262176 NTG262176 NJK262176 MZO262176 MPS262176 MFW262176 LWA262176 LME262176 LCI262176 KSM262176 KIQ262176 JYU262176 JOY262176 JFC262176 IVG262176 ILK262176 IBO262176 HRS262176 HHW262176 GYA262176 GOE262176 GEI262176 FUM262176 FKQ262176 FAU262176 EQY262176 EHC262176 DXG262176 DNK262176 DDO262176 CTS262176 CJW262176 CAA262176 BQE262176 BGI262176 AWM262176 AMQ262176 ACU262176 SY262176 JC262176 B262176 WVO196640 WLS196640 WBW196640 VSA196640 VIE196640 UYI196640 UOM196640 UEQ196640 TUU196640 TKY196640 TBC196640 SRG196640 SHK196640 RXO196640 RNS196640 RDW196640 QUA196640 QKE196640 QAI196640 PQM196640 PGQ196640 OWU196640 OMY196640 ODC196640 NTG196640 NJK196640 MZO196640 MPS196640 MFW196640 LWA196640 LME196640 LCI196640 KSM196640 KIQ196640 JYU196640 JOY196640 JFC196640 IVG196640 ILK196640 IBO196640 HRS196640 HHW196640 GYA196640 GOE196640 GEI196640 FUM196640 FKQ196640 FAU196640 EQY196640 EHC196640 DXG196640 DNK196640 DDO196640 CTS196640 CJW196640 CAA196640 BQE196640 BGI196640 AWM196640 AMQ196640 ACU196640 SY196640 JC196640 B196640 WVO131104 WLS131104 WBW131104 VSA131104 VIE131104 UYI131104 UOM131104 UEQ131104 TUU131104 TKY131104 TBC131104 SRG131104 SHK131104 RXO131104 RNS131104 RDW131104 QUA131104 QKE131104 QAI131104 PQM131104 PGQ131104 OWU131104 OMY131104 ODC131104 NTG131104 NJK131104 MZO131104 MPS131104 MFW131104 LWA131104 LME131104 LCI131104 KSM131104 KIQ131104 JYU131104 JOY131104 JFC131104 IVG131104 ILK131104 IBO131104 HRS131104 HHW131104 GYA131104 GOE131104 GEI131104 FUM131104 FKQ131104 FAU131104 EQY131104 EHC131104 DXG131104 DNK131104 DDO131104 CTS131104 CJW131104 CAA131104 BQE131104 BGI131104 AWM131104 AMQ131104 ACU131104 SY131104 JC131104 B131104 WVO65568 WLS65568 WBW65568 VSA65568 VIE65568 UYI65568 UOM65568 UEQ65568 TUU65568 TKY65568 TBC65568 SRG65568 SHK65568 RXO65568 RNS65568 RDW65568 QUA65568 QKE65568 QAI65568 PQM65568 PGQ65568 OWU65568 OMY65568 ODC65568 NTG65568 NJK65568 MZO65568 MPS65568 MFW65568 LWA65568 LME65568 LCI65568 KSM65568 KIQ65568 JYU65568 JOY65568 JFC65568 IVG65568 ILK65568 IBO65568 HRS65568 HHW65568 GYA65568 GOE65568 GEI65568 FUM65568 FKQ65568 FAU65568 EQY65568 EHC65568 DXG65568 DNK65568 DDO65568 CTS65568 CJW65568 CAA65568 BQE65568 BGI65568 AWM65568 AMQ65568 ACU65568 SY65568 JC65568 B65568 WVO32 WLS32 WBW32 VSA32 VIE32 UYI32 UOM32 UEQ32 TUU32 TKY32 TBC32 SRG32 SHK32 RXO32 RNS32 RDW32 QUA32 QKE32 QAI32 PQM32 PGQ32 OWU32 OMY32 ODC32 NTG32 NJK32 MZO32 MPS32 MFW32 LWA32 LME32 LCI32 KSM32 KIQ32 JYU32 JOY32 JFC32 IVG32 ILK32 IBO32 HRS32 HHW32 GYA32 GOE32 GEI32 FUM32 FKQ32 FAU32 EQY32 EHC32 DXG32 DNK32 DDO32 CTS32 CJW32 CAA32 BQE32 BGI32 AWM32 AMQ32 ACU32 SY32 JC32 B32 WVO983074 WLS983074 WBW983074 VSA983074 VIE983074 UYI983074 UOM983074 UEQ983074 TUU983074 TKY983074 TBC983074 SRG983074 SHK983074 RXO983074 RNS983074 RDW983074 QUA983074 QKE983074 QAI983074 PQM983074 PGQ983074 OWU983074 OMY983074 ODC983074 NTG983074 NJK983074 MZO983074 MPS983074 MFW983074 LWA983074 LME983074 LCI983074 KSM983074 KIQ983074 JYU983074 JOY983074 JFC983074 IVG983074 ILK983074 IBO983074 HRS983074 HHW983074 GYA983074 GOE983074 GEI983074 FUM983074 FKQ983074 FAU983074 EQY983074 EHC983074 DXG983074 DNK983074 DDO983074 CTS983074 CJW983074 CAA983074 BQE983074 BGI983074 AWM983074 AMQ983074 ACU983074 SY983074 JC983074 B983074 WVO917538 WLS917538 WBW917538 VSA917538 VIE917538 UYI917538 UOM917538 UEQ917538 TUU917538 TKY917538 TBC917538 SRG917538 SHK917538 RXO917538 RNS917538 RDW917538 QUA917538 QKE917538 QAI917538 PQM917538 PGQ917538 OWU917538 OMY917538 ODC917538 NTG917538 NJK917538 MZO917538 MPS917538 MFW917538 LWA917538 LME917538 LCI917538 KSM917538 KIQ917538 JYU917538 JOY917538 JFC917538 IVG917538 ILK917538 IBO917538 HRS917538 HHW917538 GYA917538 GOE917538 GEI917538 FUM917538 FKQ917538 FAU917538 EQY917538 EHC917538 DXG917538 DNK917538 DDO917538 CTS917538 CJW917538 CAA917538 BQE917538 BGI917538 AWM917538 AMQ917538 ACU917538 SY917538 JC917538 B917538 WVO852002 WLS852002 WBW852002 VSA852002 VIE852002 UYI852002 UOM852002 UEQ852002 TUU852002 TKY852002 TBC852002 SRG852002 SHK852002 RXO852002 RNS852002 RDW852002 QUA852002 QKE852002 QAI852002 PQM852002 PGQ852002 OWU852002 OMY852002 ODC852002 NTG852002 NJK852002 MZO852002 MPS852002 MFW852002 LWA852002 LME852002 LCI852002 KSM852002 KIQ852002 JYU852002 JOY852002 JFC852002 IVG852002 ILK852002 IBO852002 HRS852002 HHW852002 GYA852002 GOE852002 GEI852002 FUM852002 FKQ852002 FAU852002 EQY852002 EHC852002 DXG852002 DNK852002 DDO852002 CTS852002 CJW852002 CAA852002 BQE852002 BGI852002 AWM852002 AMQ852002 ACU852002 SY852002 JC852002 B852002 WVO786466 WLS786466 WBW786466 VSA786466 VIE786466 UYI786466 UOM786466 UEQ786466 TUU786466 TKY786466 TBC786466 SRG786466 SHK786466 RXO786466 RNS786466 RDW786466 QUA786466 QKE786466 QAI786466 PQM786466 PGQ786466 OWU786466 OMY786466 ODC786466 NTG786466 NJK786466 MZO786466 MPS786466 MFW786466 LWA786466 LME786466 LCI786466 KSM786466 KIQ786466 JYU786466 JOY786466 JFC786466 IVG786466 ILK786466 IBO786466 HRS786466 HHW786466 GYA786466 GOE786466 GEI786466 FUM786466 FKQ786466 FAU786466 EQY786466 EHC786466 DXG786466 DNK786466 DDO786466 CTS786466 CJW786466 CAA786466 BQE786466 BGI786466 AWM786466 AMQ786466 ACU786466 SY786466 JC786466 B786466 WVO720930 WLS720930 WBW720930 VSA720930 VIE720930 UYI720930 UOM720930 UEQ720930 TUU720930 TKY720930 TBC720930 SRG720930 SHK720930 RXO720930 RNS720930 RDW720930 QUA720930 QKE720930 QAI720930 PQM720930 PGQ720930 OWU720930 OMY720930 ODC720930 NTG720930 NJK720930 MZO720930 MPS720930 MFW720930 LWA720930 LME720930 LCI720930 KSM720930 KIQ720930 JYU720930 JOY720930 JFC720930 IVG720930 ILK720930 IBO720930 HRS720930 HHW720930 GYA720930 GOE720930 GEI720930 FUM720930 FKQ720930 FAU720930 EQY720930 EHC720930 DXG720930 DNK720930 DDO720930 CTS720930 CJW720930 CAA720930 BQE720930 BGI720930 AWM720930 AMQ720930 ACU720930 SY720930 JC720930 B720930 WVO655394 WLS655394 WBW655394 VSA655394 VIE655394 UYI655394 UOM655394 UEQ655394 TUU655394 TKY655394 TBC655394 SRG655394 SHK655394 RXO655394 RNS655394 RDW655394 QUA655394 QKE655394 QAI655394 PQM655394 PGQ655394 OWU655394 OMY655394 ODC655394 NTG655394 NJK655394 MZO655394 MPS655394 MFW655394 LWA655394 LME655394 LCI655394 KSM655394 KIQ655394 JYU655394 JOY655394 JFC655394 IVG655394 ILK655394 IBO655394 HRS655394 HHW655394 GYA655394 GOE655394 GEI655394 FUM655394 FKQ655394 FAU655394 EQY655394 EHC655394 DXG655394 DNK655394 DDO655394 CTS655394 CJW655394 CAA655394 BQE655394 BGI655394 AWM655394 AMQ655394 ACU655394 SY655394 JC655394 B655394 WVO589858 WLS589858 WBW589858 VSA589858 VIE589858 UYI589858 UOM589858 UEQ589858 TUU589858 TKY589858 TBC589858 SRG589858 SHK589858 RXO589858 RNS589858 RDW589858 QUA589858 QKE589858 QAI589858 PQM589858 PGQ589858 OWU589858 OMY589858 ODC589858 NTG589858 NJK589858 MZO589858 MPS589858 MFW589858 LWA589858 LME589858 LCI589858 KSM589858 KIQ589858 JYU589858 JOY589858 JFC589858 IVG589858 ILK589858 IBO589858 HRS589858 HHW589858 GYA589858 GOE589858 GEI589858 FUM589858 FKQ589858 FAU589858 EQY589858 EHC589858 DXG589858 DNK589858 DDO589858 CTS589858 CJW589858 CAA589858 BQE589858 BGI589858 AWM589858 AMQ589858 ACU589858 SY589858 JC589858 B589858 WVO524322 WLS524322 WBW524322 VSA524322 VIE524322 UYI524322 UOM524322 UEQ524322 TUU524322 TKY524322 TBC524322 SRG524322 SHK524322 RXO524322 RNS524322 RDW524322 QUA524322 QKE524322 QAI524322 PQM524322 PGQ524322 OWU524322 OMY524322 ODC524322 NTG524322 NJK524322 MZO524322 MPS524322 MFW524322 LWA524322 LME524322 LCI524322 KSM524322 KIQ524322 JYU524322 JOY524322 JFC524322 IVG524322 ILK524322 IBO524322 HRS524322 HHW524322 GYA524322 GOE524322 GEI524322 FUM524322 FKQ524322 FAU524322 EQY524322 EHC524322 DXG524322 DNK524322 DDO524322 CTS524322 CJW524322 CAA524322 BQE524322 BGI524322 AWM524322 AMQ524322 ACU524322 SY524322 JC524322 B524322 WVO458786 WLS458786 WBW458786 VSA458786 VIE458786 UYI458786 UOM458786 UEQ458786 TUU458786 TKY458786 TBC458786 SRG458786 SHK458786 RXO458786 RNS458786 RDW458786 QUA458786 QKE458786 QAI458786 PQM458786 PGQ458786 OWU458786 OMY458786 ODC458786 NTG458786 NJK458786 MZO458786 MPS458786 MFW458786 LWA458786 LME458786 LCI458786 KSM458786 KIQ458786 JYU458786 JOY458786 JFC458786 IVG458786 ILK458786 IBO458786 HRS458786 HHW458786 GYA458786 GOE458786 GEI458786 FUM458786 FKQ458786 FAU458786 EQY458786 EHC458786 DXG458786 DNK458786 DDO458786 CTS458786 CJW458786 CAA458786 BQE458786 BGI458786 AWM458786 AMQ458786 ACU458786 SY458786 JC458786 B458786 WVO393250 WLS393250 WBW393250 VSA393250 VIE393250 UYI393250 UOM393250 UEQ393250 TUU393250 TKY393250 TBC393250 SRG393250 SHK393250 RXO393250 RNS393250 RDW393250 QUA393250 QKE393250 QAI393250 PQM393250 PGQ393250 OWU393250 OMY393250 ODC393250 NTG393250 NJK393250 MZO393250 MPS393250 MFW393250 LWA393250 LME393250 LCI393250 KSM393250 KIQ393250 JYU393250 JOY393250 JFC393250 IVG393250 ILK393250 IBO393250 HRS393250 HHW393250 GYA393250 GOE393250 GEI393250 FUM393250 FKQ393250 FAU393250 EQY393250 EHC393250 DXG393250 DNK393250 DDO393250 CTS393250 CJW393250 CAA393250 BQE393250 BGI393250 AWM393250 AMQ393250 ACU393250 SY393250 JC393250 B393250 WVO327714 WLS327714 WBW327714 VSA327714 VIE327714 UYI327714 UOM327714 UEQ327714 TUU327714 TKY327714 TBC327714 SRG327714 SHK327714 RXO327714 RNS327714 RDW327714 QUA327714 QKE327714 QAI327714 PQM327714 PGQ327714 OWU327714 OMY327714 ODC327714 NTG327714 NJK327714 MZO327714 MPS327714 MFW327714 LWA327714 LME327714 LCI327714 KSM327714 KIQ327714 JYU327714 JOY327714 JFC327714 IVG327714 ILK327714 IBO327714 HRS327714 HHW327714 GYA327714 GOE327714 GEI327714 FUM327714 FKQ327714 FAU327714 EQY327714 EHC327714 DXG327714 DNK327714 DDO327714 CTS327714 CJW327714 CAA327714 BQE327714 BGI327714 AWM327714 AMQ327714 ACU327714 SY327714 JC327714 B327714 WVO262178 WLS262178 WBW262178 VSA262178 VIE262178 UYI262178 UOM262178 UEQ262178 TUU262178 TKY262178 TBC262178 SRG262178 SHK262178 RXO262178 RNS262178 RDW262178 QUA262178 QKE262178 QAI262178 PQM262178 PGQ262178 OWU262178 OMY262178 ODC262178 NTG262178 NJK262178 MZO262178 MPS262178 MFW262178 LWA262178 LME262178 LCI262178 KSM262178 KIQ262178 JYU262178 JOY262178 JFC262178 IVG262178 ILK262178 IBO262178 HRS262178 HHW262178 GYA262178 GOE262178 GEI262178 FUM262178 FKQ262178 FAU262178 EQY262178 EHC262178 DXG262178 DNK262178 DDO262178 CTS262178 CJW262178 CAA262178 BQE262178 BGI262178 AWM262178 AMQ262178 ACU262178 SY262178 JC262178 B262178 WVO196642 WLS196642 WBW196642 VSA196642 VIE196642 UYI196642 UOM196642 UEQ196642 TUU196642 TKY196642 TBC196642 SRG196642 SHK196642 RXO196642 RNS196642 RDW196642 QUA196642 QKE196642 QAI196642 PQM196642 PGQ196642 OWU196642 OMY196642 ODC196642 NTG196642 NJK196642 MZO196642 MPS196642 MFW196642 LWA196642 LME196642 LCI196642 KSM196642 KIQ196642 JYU196642 JOY196642 JFC196642 IVG196642 ILK196642 IBO196642 HRS196642 HHW196642 GYA196642 GOE196642 GEI196642 FUM196642 FKQ196642 FAU196642 EQY196642 EHC196642 DXG196642 DNK196642 DDO196642 CTS196642 CJW196642 CAA196642 BQE196642 BGI196642 AWM196642 AMQ196642 ACU196642 SY196642 JC196642 B196642 WVO131106 WLS131106 WBW131106 VSA131106 VIE131106 UYI131106 UOM131106 UEQ131106 TUU131106 TKY131106 TBC131106 SRG131106 SHK131106 RXO131106 RNS131106 RDW131106 QUA131106 QKE131106 QAI131106 PQM131106 PGQ131106 OWU131106 OMY131106 ODC131106 NTG131106 NJK131106 MZO131106 MPS131106 MFW131106 LWA131106 LME131106 LCI131106 KSM131106 KIQ131106 JYU131106 JOY131106 JFC131106 IVG131106 ILK131106 IBO131106 HRS131106 HHW131106 GYA131106 GOE131106 GEI131106 FUM131106 FKQ131106 FAU131106 EQY131106 EHC131106 DXG131106 DNK131106 DDO131106 CTS131106 CJW131106 CAA131106 BQE131106 BGI131106 AWM131106 AMQ131106 ACU131106 SY131106 JC131106 B131106 WVO65570 WLS65570 WBW65570 VSA65570 VIE65570 UYI65570 UOM65570 UEQ65570 TUU65570 TKY65570 TBC65570 SRG65570 SHK65570 RXO65570 RNS65570 RDW65570 QUA65570 QKE65570 QAI65570 PQM65570 PGQ65570 OWU65570 OMY65570 ODC65570 NTG65570 NJK65570 MZO65570 MPS65570 MFW65570 LWA65570 LME65570 LCI65570 KSM65570 KIQ65570 JYU65570 JOY65570 JFC65570 IVG65570 ILK65570 IBO65570 HRS65570 HHW65570 GYA65570 GOE65570 GEI65570 FUM65570 FKQ65570 FAU65570 EQY65570 EHC65570 DXG65570 DNK65570 DDO65570 CTS65570 CJW65570 CAA65570 BQE65570 BGI65570 AWM65570 AMQ65570 ACU65570 SY65570 JC65570 B65570 WVO34 WLS34 WBW34 VSA34 VIE34 UYI34 UOM34 UEQ34 TUU34 TKY34 TBC34 SRG34 SHK34 RXO34 RNS34 RDW34 QUA34 QKE34 QAI34 PQM34 PGQ34 OWU34 OMY34 ODC34 NTG34 NJK34 MZO34 MPS34 MFW34 LWA34 LME34 LCI34 KSM34 KIQ34 JYU34 JOY34 JFC34 IVG34 ILK34 IBO34 HRS34 HHW34 GYA34 GOE34 GEI34 FUM34 FKQ34 FAU34 EQY34 EHC34 DXG34 DNK34 DDO34 CTS34 CJW34 CAA34 BQE34 BGI34 AWM34 AMQ34 ACU34 SY34 JC34 B34 WVO983076 WLS983076 WBW983076 VSA983076 VIE983076 UYI983076 UOM983076 UEQ983076 TUU983076 TKY983076 TBC983076 SRG983076 SHK983076 RXO983076 RNS983076 RDW983076 QUA983076 QKE983076 QAI983076 PQM983076 PGQ983076 OWU983076 OMY983076 ODC983076 NTG983076 NJK983076 MZO983076 MPS983076 MFW983076 LWA983076 LME983076 LCI983076 KSM983076 KIQ983076 JYU983076 JOY983076 JFC983076 IVG983076 ILK983076 IBO983076 HRS983076 HHW983076 GYA983076 GOE983076 GEI983076 FUM983076 FKQ983076 FAU983076 EQY983076 EHC983076 DXG983076 DNK983076 DDO983076 CTS983076 CJW983076 CAA983076 BQE983076 BGI983076 AWM983076 AMQ983076 ACU983076 SY983076 JC983076 B983076 WVO917540 WLS917540 WBW917540 VSA917540 VIE917540 UYI917540 UOM917540 UEQ917540 TUU917540 TKY917540 TBC917540 SRG917540 SHK917540 RXO917540 RNS917540 RDW917540 QUA917540 QKE917540 QAI917540 PQM917540 PGQ917540 OWU917540 OMY917540 ODC917540 NTG917540 NJK917540 MZO917540 MPS917540 MFW917540 LWA917540 LME917540 LCI917540 KSM917540 KIQ917540 JYU917540 JOY917540 JFC917540 IVG917540 ILK917540 IBO917540 HRS917540 HHW917540 GYA917540 GOE917540 GEI917540 FUM917540 FKQ917540 FAU917540 EQY917540 EHC917540 DXG917540 DNK917540 DDO917540 CTS917540 CJW917540 CAA917540 BQE917540 BGI917540 AWM917540 AMQ917540 ACU917540 SY917540 JC917540 B917540 WVO852004 WLS852004 WBW852004 VSA852004 VIE852004 UYI852004 UOM852004 UEQ852004 TUU852004 TKY852004 TBC852004 SRG852004 SHK852004 RXO852004 RNS852004 RDW852004 QUA852004 QKE852004 QAI852004 PQM852004 PGQ852004 OWU852004 OMY852004 ODC852004 NTG852004 NJK852004 MZO852004 MPS852004 MFW852004 LWA852004 LME852004 LCI852004 KSM852004 KIQ852004 JYU852004 JOY852004 JFC852004 IVG852004 ILK852004 IBO852004 HRS852004 HHW852004 GYA852004 GOE852004 GEI852004 FUM852004 FKQ852004 FAU852004 EQY852004 EHC852004 DXG852004 DNK852004 DDO852004 CTS852004 CJW852004 CAA852004 BQE852004 BGI852004 AWM852004 AMQ852004 ACU852004 SY852004 JC852004 B852004 WVO786468 WLS786468 WBW786468 VSA786468 VIE786468 UYI786468 UOM786468 UEQ786468 TUU786468 TKY786468 TBC786468 SRG786468 SHK786468 RXO786468 RNS786468 RDW786468 QUA786468 QKE786468 QAI786468 PQM786468 PGQ786468 OWU786468 OMY786468 ODC786468 NTG786468 NJK786468 MZO786468 MPS786468 MFW786468 LWA786468 LME786468 LCI786468 KSM786468 KIQ786468 JYU786468 JOY786468 JFC786468 IVG786468 ILK786468 IBO786468 HRS786468 HHW786468 GYA786468 GOE786468 GEI786468 FUM786468 FKQ786468 FAU786468 EQY786468 EHC786468 DXG786468 DNK786468 DDO786468 CTS786468 CJW786468 CAA786468 BQE786468 BGI786468 AWM786468 AMQ786468 ACU786468 SY786468 JC786468 B786468 WVO720932 WLS720932 WBW720932 VSA720932 VIE720932 UYI720932 UOM720932 UEQ720932 TUU720932 TKY720932 TBC720932 SRG720932 SHK720932 RXO720932 RNS720932 RDW720932 QUA720932 QKE720932 QAI720932 PQM720932 PGQ720932 OWU720932 OMY720932 ODC720932 NTG720932 NJK720932 MZO720932 MPS720932 MFW720932 LWA720932 LME720932 LCI720932 KSM720932 KIQ720932 JYU720932 JOY720932 JFC720932 IVG720932 ILK720932 IBO720932 HRS720932 HHW720932 GYA720932 GOE720932 GEI720932 FUM720932 FKQ720932 FAU720932 EQY720932 EHC720932 DXG720932 DNK720932 DDO720932 CTS720932 CJW720932 CAA720932 BQE720932 BGI720932 AWM720932 AMQ720932 ACU720932 SY720932 JC720932 B720932 WVO655396 WLS655396 WBW655396 VSA655396 VIE655396 UYI655396 UOM655396 UEQ655396 TUU655396 TKY655396 TBC655396 SRG655396 SHK655396 RXO655396 RNS655396 RDW655396 QUA655396 QKE655396 QAI655396 PQM655396 PGQ655396 OWU655396 OMY655396 ODC655396 NTG655396 NJK655396 MZO655396 MPS655396 MFW655396 LWA655396 LME655396 LCI655396 KSM655396 KIQ655396 JYU655396 JOY655396 JFC655396 IVG655396 ILK655396 IBO655396 HRS655396 HHW655396 GYA655396 GOE655396 GEI655396 FUM655396 FKQ655396 FAU655396 EQY655396 EHC655396 DXG655396 DNK655396 DDO655396 CTS655396 CJW655396 CAA655396 BQE655396 BGI655396 AWM655396 AMQ655396 ACU655396 SY655396 JC655396 B655396 WVO589860 WLS589860 WBW589860 VSA589860 VIE589860 UYI589860 UOM589860 UEQ589860 TUU589860 TKY589860 TBC589860 SRG589860 SHK589860 RXO589860 RNS589860 RDW589860 QUA589860 QKE589860 QAI589860 PQM589860 PGQ589860 OWU589860 OMY589860 ODC589860 NTG589860 NJK589860 MZO589860 MPS589860 MFW589860 LWA589860 LME589860 LCI589860 KSM589860 KIQ589860 JYU589860 JOY589860 JFC589860 IVG589860 ILK589860 IBO589860 HRS589860 HHW589860 GYA589860 GOE589860 GEI589860 FUM589860 FKQ589860 FAU589860 EQY589860 EHC589860 DXG589860 DNK589860 DDO589860 CTS589860 CJW589860 CAA589860 BQE589860 BGI589860 AWM589860 AMQ589860 ACU589860 SY589860 JC589860 B589860 WVO524324 WLS524324 WBW524324 VSA524324 VIE524324 UYI524324 UOM524324 UEQ524324 TUU524324 TKY524324 TBC524324 SRG524324 SHK524324 RXO524324 RNS524324 RDW524324 QUA524324 QKE524324 QAI524324 PQM524324 PGQ524324 OWU524324 OMY524324 ODC524324 NTG524324 NJK524324 MZO524324 MPS524324 MFW524324 LWA524324 LME524324 LCI524324 KSM524324 KIQ524324 JYU524324 JOY524324 JFC524324 IVG524324 ILK524324 IBO524324 HRS524324 HHW524324 GYA524324 GOE524324 GEI524324 FUM524324 FKQ524324 FAU524324 EQY524324 EHC524324 DXG524324 DNK524324 DDO524324 CTS524324 CJW524324 CAA524324 BQE524324 BGI524324 AWM524324 AMQ524324 ACU524324 SY524324 JC524324 B524324 WVO458788 WLS458788 WBW458788 VSA458788 VIE458788 UYI458788 UOM458788 UEQ458788 TUU458788 TKY458788 TBC458788 SRG458788 SHK458788 RXO458788 RNS458788 RDW458788 QUA458788 QKE458788 QAI458788 PQM458788 PGQ458788 OWU458788 OMY458788 ODC458788 NTG458788 NJK458788 MZO458788 MPS458788 MFW458788 LWA458788 LME458788 LCI458788 KSM458788 KIQ458788 JYU458788 JOY458788 JFC458788 IVG458788 ILK458788 IBO458788 HRS458788 HHW458788 GYA458788 GOE458788 GEI458788 FUM458788 FKQ458788 FAU458788 EQY458788 EHC458788 DXG458788 DNK458788 DDO458788 CTS458788 CJW458788 CAA458788 BQE458788 BGI458788 AWM458788 AMQ458788 ACU458788 SY458788 JC458788 B458788 WVO393252 WLS393252 WBW393252 VSA393252 VIE393252 UYI393252 UOM393252 UEQ393252 TUU393252 TKY393252 TBC393252 SRG393252 SHK393252 RXO393252 RNS393252 RDW393252 QUA393252 QKE393252 QAI393252 PQM393252 PGQ393252 OWU393252 OMY393252 ODC393252 NTG393252 NJK393252 MZO393252 MPS393252 MFW393252 LWA393252 LME393252 LCI393252 KSM393252 KIQ393252 JYU393252 JOY393252 JFC393252 IVG393252 ILK393252 IBO393252 HRS393252 HHW393252 GYA393252 GOE393252 GEI393252 FUM393252 FKQ393252 FAU393252 EQY393252 EHC393252 DXG393252 DNK393252 DDO393252 CTS393252 CJW393252 CAA393252 BQE393252 BGI393252 AWM393252 AMQ393252 ACU393252 SY393252 JC393252 B393252 WVO327716 WLS327716 WBW327716 VSA327716 VIE327716 UYI327716 UOM327716 UEQ327716 TUU327716 TKY327716 TBC327716 SRG327716 SHK327716 RXO327716 RNS327716 RDW327716 QUA327716 QKE327716 QAI327716 PQM327716 PGQ327716 OWU327716 OMY327716 ODC327716 NTG327716 NJK327716 MZO327716 MPS327716 MFW327716 LWA327716 LME327716 LCI327716 KSM327716 KIQ327716 JYU327716 JOY327716 JFC327716 IVG327716 ILK327716 IBO327716 HRS327716 HHW327716 GYA327716 GOE327716 GEI327716 FUM327716 FKQ327716 FAU327716 EQY327716 EHC327716 DXG327716 DNK327716 DDO327716 CTS327716 CJW327716 CAA327716 BQE327716 BGI327716 AWM327716 AMQ327716 ACU327716 SY327716 JC327716 B327716 WVO262180 WLS262180 WBW262180 VSA262180 VIE262180 UYI262180 UOM262180 UEQ262180 TUU262180 TKY262180 TBC262180 SRG262180 SHK262180 RXO262180 RNS262180 RDW262180 QUA262180 QKE262180 QAI262180 PQM262180 PGQ262180 OWU262180 OMY262180 ODC262180 NTG262180 NJK262180 MZO262180 MPS262180 MFW262180 LWA262180 LME262180 LCI262180 KSM262180 KIQ262180 JYU262180 JOY262180 JFC262180 IVG262180 ILK262180 IBO262180 HRS262180 HHW262180 GYA262180 GOE262180 GEI262180 FUM262180 FKQ262180 FAU262180 EQY262180 EHC262180 DXG262180 DNK262180 DDO262180 CTS262180 CJW262180 CAA262180 BQE262180 BGI262180 AWM262180 AMQ262180 ACU262180 SY262180 JC262180 B262180 WVO196644 WLS196644 WBW196644 VSA196644 VIE196644 UYI196644 UOM196644 UEQ196644 TUU196644 TKY196644 TBC196644 SRG196644 SHK196644 RXO196644 RNS196644 RDW196644 QUA196644 QKE196644 QAI196644 PQM196644 PGQ196644 OWU196644 OMY196644 ODC196644 NTG196644 NJK196644 MZO196644 MPS196644 MFW196644 LWA196644 LME196644 LCI196644 KSM196644 KIQ196644 JYU196644 JOY196644 JFC196644 IVG196644 ILK196644 IBO196644 HRS196644 HHW196644 GYA196644 GOE196644 GEI196644 FUM196644 FKQ196644 FAU196644 EQY196644 EHC196644 DXG196644 DNK196644 DDO196644 CTS196644 CJW196644 CAA196644 BQE196644 BGI196644 AWM196644 AMQ196644 ACU196644 SY196644 JC196644 B196644 WVO131108 WLS131108 WBW131108 VSA131108 VIE131108 UYI131108 UOM131108 UEQ131108 TUU131108 TKY131108 TBC131108 SRG131108 SHK131108 RXO131108 RNS131108 RDW131108 QUA131108 QKE131108 QAI131108 PQM131108 PGQ131108 OWU131108 OMY131108 ODC131108 NTG131108 NJK131108 MZO131108 MPS131108 MFW131108 LWA131108 LME131108 LCI131108 KSM131108 KIQ131108 JYU131108 JOY131108 JFC131108 IVG131108 ILK131108 IBO131108 HRS131108 HHW131108 GYA131108 GOE131108 GEI131108 FUM131108 FKQ131108 FAU131108 EQY131108 EHC131108 DXG131108 DNK131108 DDO131108 CTS131108 CJW131108 CAA131108 BQE131108 BGI131108 AWM131108 AMQ131108 ACU131108 SY131108 JC131108 B131108 WVO65572 WLS65572 WBW65572 VSA65572 VIE65572 UYI65572 UOM65572 UEQ65572 TUU65572 TKY65572 TBC65572 SRG65572 SHK65572 RXO65572 RNS65572 RDW65572 QUA65572 QKE65572 QAI65572 PQM65572 PGQ65572 OWU65572 OMY65572 ODC65572 NTG65572 NJK65572 MZO65572 MPS65572 MFW65572 LWA65572 LME65572 LCI65572 KSM65572 KIQ65572 JYU65572 JOY65572 JFC65572 IVG65572 ILK65572 IBO65572 HRS65572 HHW65572 GYA65572 GOE65572 GEI65572 FUM65572 FKQ65572 FAU65572 EQY65572 EHC65572 DXG65572 DNK65572 DDO65572 CTS65572 CJW65572 CAA65572 BQE65572 BGI65572 AWM65572 AMQ65572 ACU65572 SY65572 JC65572 B65572 WVO36 WLS36 WBW36 VSA36 VIE36 UYI36 UOM36 UEQ36 TUU36 TKY36 TBC36 SRG36 SHK36 RXO36 RNS36 RDW36 QUA36 QKE36 QAI36 PQM36 PGQ36 OWU36 OMY36 ODC36 NTG36 NJK36 MZO36 MPS36 MFW36 LWA36 LME36 LCI36 KSM36 KIQ36 JYU36 JOY36 JFC36 IVG36 ILK36 IBO36 HRS36 HHW36 GYA36 GOE36 GEI36 FUM36 FKQ36 FAU36 EQY36 EHC36 DXG36 DNK36 DDO36 CTS36 CJW36 CAA36 BQE36 BGI36 AWM36 AMQ36 ACU36 SY36 JC36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D719B-FF06-467E-BEEE-FF9963FEC38A}">
  <dimension ref="A1:AN50"/>
  <sheetViews>
    <sheetView showGridLines="0" zoomScaleNormal="100" workbookViewId="0">
      <selection activeCell="E5" sqref="E5"/>
    </sheetView>
  </sheetViews>
  <sheetFormatPr defaultColWidth="9.796875" defaultRowHeight="14.25" outlineLevelCol="1"/>
  <cols>
    <col min="1" max="1" width="1.796875" style="549" customWidth="1"/>
    <col min="2" max="2" width="20.73046875" style="549" customWidth="1" outlineLevel="1"/>
    <col min="3" max="3" width="9.796875" style="549" customWidth="1" outlineLevel="1"/>
    <col min="4" max="4" width="9.796875" style="549" customWidth="1"/>
    <col min="5" max="5" width="25.796875" style="548" bestFit="1" customWidth="1"/>
    <col min="6" max="9" width="9.796875" style="548" hidden="1" customWidth="1" outlineLevel="1"/>
    <col min="10" max="10" width="9.796875" style="548" collapsed="1"/>
    <col min="11" max="14" width="9.796875" style="548" hidden="1" customWidth="1" outlineLevel="1"/>
    <col min="15" max="15" width="9.796875" style="548" collapsed="1"/>
    <col min="16" max="19" width="9.796875" style="548" hidden="1" customWidth="1" outlineLevel="1"/>
    <col min="20" max="20" width="9.796875" style="548" collapsed="1"/>
    <col min="21" max="24" width="9.796875" style="548" hidden="1" customWidth="1" outlineLevel="1"/>
    <col min="25" max="25" width="9.796875" style="548" collapsed="1"/>
    <col min="26" max="29" width="0" style="548" hidden="1" customWidth="1" outlineLevel="1"/>
    <col min="30" max="30" width="11.796875" style="548" bestFit="1" customWidth="1" collapsed="1"/>
    <col min="31" max="31" width="10.796875" style="548" customWidth="1"/>
    <col min="32" max="16384" width="9.796875" style="548"/>
  </cols>
  <sheetData>
    <row r="1" spans="2:40" s="548" customFormat="1" ht="10.5" customHeight="1"/>
    <row r="2" spans="2:40" s="548" customFormat="1">
      <c r="B2" s="548" t="s">
        <v>581</v>
      </c>
      <c r="C2" s="923">
        <f>IS!CW52</f>
        <v>263279.9041086522</v>
      </c>
    </row>
    <row r="3" spans="2:40" s="548" customFormat="1">
      <c r="B3" s="548" t="s">
        <v>582</v>
      </c>
      <c r="C3" s="548">
        <v>64.75</v>
      </c>
    </row>
    <row r="4" spans="2:40" s="548" customFormat="1">
      <c r="B4" s="548" t="s">
        <v>583</v>
      </c>
      <c r="C4" s="548">
        <f>IS!CQ73</f>
        <v>37763</v>
      </c>
    </row>
    <row r="5" spans="2:40" s="548" customFormat="1">
      <c r="B5" s="548" t="s">
        <v>584</v>
      </c>
      <c r="C5" s="548">
        <f>BS!CR6</f>
        <v>151355</v>
      </c>
    </row>
    <row r="6" spans="2:40" s="548" customFormat="1">
      <c r="B6" s="548" t="s">
        <v>322</v>
      </c>
      <c r="C6" s="923">
        <f>C3*C4-C5</f>
        <v>2293799.25</v>
      </c>
    </row>
    <row r="7" spans="2:40" s="548" customFormat="1">
      <c r="B7" s="548" t="s">
        <v>585</v>
      </c>
      <c r="C7" s="924">
        <f>C6/C2</f>
        <v>8.7123977721192833</v>
      </c>
    </row>
    <row r="8" spans="2:40" s="548" customFormat="1"/>
    <row r="9" spans="2:40" s="548" customFormat="1" ht="14.65" customHeight="1">
      <c r="AE9" s="548" t="s">
        <v>420</v>
      </c>
    </row>
    <row r="10" spans="2:40" ht="14.65" customHeight="1">
      <c r="B10" s="576" t="s">
        <v>419</v>
      </c>
      <c r="C10" s="604" t="s">
        <v>282</v>
      </c>
      <c r="E10" s="576" t="s">
        <v>418</v>
      </c>
      <c r="F10" s="603"/>
      <c r="G10" s="603"/>
      <c r="H10" s="603"/>
      <c r="I10" s="603"/>
      <c r="J10" s="603"/>
      <c r="K10" s="603"/>
      <c r="L10" s="603"/>
      <c r="M10" s="603"/>
      <c r="N10" s="603"/>
      <c r="O10" s="603"/>
      <c r="P10" s="603"/>
      <c r="Q10" s="603"/>
      <c r="R10" s="603"/>
      <c r="S10" s="603"/>
      <c r="T10" s="603"/>
      <c r="U10" s="603"/>
      <c r="V10" s="603"/>
      <c r="W10" s="603"/>
      <c r="X10" s="603"/>
      <c r="Y10" s="603"/>
      <c r="Z10" s="603"/>
      <c r="AA10" s="603"/>
      <c r="AB10" s="603"/>
      <c r="AC10" s="603"/>
      <c r="AD10" s="603"/>
      <c r="AE10" s="575"/>
      <c r="AF10" s="549"/>
      <c r="AG10" s="549"/>
      <c r="AH10" s="549"/>
      <c r="AI10" s="549"/>
      <c r="AJ10" s="549"/>
      <c r="AK10" s="549"/>
      <c r="AL10" s="549"/>
      <c r="AM10" s="549"/>
      <c r="AN10" s="549"/>
    </row>
    <row r="11" spans="2:40" s="549" customFormat="1" ht="4.9000000000000004" customHeight="1">
      <c r="B11" s="562"/>
      <c r="C11" s="592"/>
      <c r="E11" s="602"/>
      <c r="AE11" s="592"/>
    </row>
    <row r="12" spans="2:40" ht="14.65" customHeight="1">
      <c r="B12" s="562" t="s">
        <v>417</v>
      </c>
      <c r="C12" s="601" t="e">
        <f ca="1">_xll.FDSZ(C10,"P_PRICE(NOW)")</f>
        <v>#NAME?</v>
      </c>
      <c r="E12" s="574" t="s">
        <v>416</v>
      </c>
      <c r="F12" s="600"/>
      <c r="G12" s="600"/>
      <c r="H12" s="600"/>
      <c r="I12" s="600"/>
      <c r="J12" s="600">
        <v>43830</v>
      </c>
      <c r="K12" s="600"/>
      <c r="L12" s="600"/>
      <c r="M12" s="600"/>
      <c r="N12" s="600"/>
      <c r="O12" s="600">
        <f>J12+365</f>
        <v>44195</v>
      </c>
      <c r="P12" s="600"/>
      <c r="Q12" s="600"/>
      <c r="R12" s="600"/>
      <c r="S12" s="600"/>
      <c r="T12" s="599">
        <f>O12+365</f>
        <v>44560</v>
      </c>
      <c r="U12" s="573"/>
      <c r="V12" s="573"/>
      <c r="W12" s="573"/>
      <c r="X12" s="573"/>
      <c r="Y12" s="599">
        <f>T12+365</f>
        <v>44925</v>
      </c>
      <c r="Z12" s="599"/>
      <c r="AA12" s="599"/>
      <c r="AB12" s="599"/>
      <c r="AC12" s="599"/>
      <c r="AD12" s="599">
        <f>Y12+365</f>
        <v>45290</v>
      </c>
      <c r="AE12" s="598" t="s">
        <v>415</v>
      </c>
      <c r="AF12" s="549"/>
      <c r="AG12" s="549"/>
      <c r="AH12" s="549"/>
      <c r="AI12" s="549"/>
      <c r="AJ12" s="549"/>
      <c r="AK12" s="549"/>
      <c r="AL12" s="549"/>
      <c r="AM12" s="549"/>
      <c r="AN12" s="549"/>
    </row>
    <row r="13" spans="2:40">
      <c r="B13" s="562" t="s">
        <v>414</v>
      </c>
      <c r="C13" s="597">
        <v>1000</v>
      </c>
      <c r="E13" s="562" t="s">
        <v>117</v>
      </c>
      <c r="F13" s="569"/>
      <c r="G13" s="569"/>
      <c r="H13" s="569"/>
      <c r="I13" s="569"/>
      <c r="J13" s="569"/>
      <c r="K13" s="569"/>
      <c r="L13" s="569"/>
      <c r="M13" s="569"/>
      <c r="N13" s="569"/>
      <c r="O13" s="569"/>
      <c r="P13" s="569"/>
      <c r="Q13" s="569"/>
      <c r="R13" s="569"/>
      <c r="S13" s="569"/>
      <c r="T13" s="569"/>
      <c r="U13" s="549"/>
      <c r="V13" s="549"/>
      <c r="W13" s="549"/>
      <c r="X13" s="549"/>
      <c r="Y13" s="569"/>
      <c r="Z13" s="569"/>
      <c r="AA13" s="569"/>
      <c r="AB13" s="569"/>
      <c r="AC13" s="569"/>
      <c r="AD13" s="552">
        <f>IS!CH4/C13</f>
        <v>536.91</v>
      </c>
      <c r="AE13" s="592"/>
      <c r="AF13" s="549"/>
      <c r="AG13" s="549"/>
      <c r="AH13" s="549"/>
      <c r="AI13" s="549"/>
      <c r="AJ13" s="549"/>
      <c r="AK13" s="549"/>
      <c r="AL13" s="549"/>
      <c r="AM13" s="549"/>
      <c r="AN13" s="549"/>
    </row>
    <row r="14" spans="2:40">
      <c r="B14" s="596" t="s">
        <v>403</v>
      </c>
      <c r="C14" s="595">
        <f>IF($B$14="Bear ",C20,IF($B$14="Base",C21,IF($B$14="Bull",C22,"Check")))</f>
        <v>10.211</v>
      </c>
      <c r="E14" s="562" t="s">
        <v>413</v>
      </c>
      <c r="F14" s="569"/>
      <c r="G14" s="569"/>
      <c r="H14" s="569"/>
      <c r="I14" s="569"/>
      <c r="J14" s="569"/>
      <c r="K14" s="569"/>
      <c r="L14" s="569"/>
      <c r="M14" s="569"/>
      <c r="N14" s="569"/>
      <c r="O14" s="569"/>
      <c r="P14" s="569"/>
      <c r="Q14" s="569"/>
      <c r="R14" s="569"/>
      <c r="S14" s="569"/>
      <c r="T14" s="569"/>
      <c r="U14" s="549"/>
      <c r="V14" s="549"/>
      <c r="W14" s="549"/>
      <c r="X14" s="549"/>
      <c r="Y14" s="569"/>
      <c r="Z14" s="569"/>
      <c r="AA14" s="569"/>
      <c r="AB14" s="569"/>
      <c r="AC14" s="569"/>
      <c r="AD14" s="569"/>
      <c r="AE14" s="592"/>
      <c r="AF14" s="549"/>
      <c r="AG14" s="549"/>
      <c r="AH14" s="549"/>
      <c r="AI14" s="549"/>
      <c r="AJ14" s="549"/>
      <c r="AK14" s="549"/>
      <c r="AL14" s="549"/>
      <c r="AM14" s="549"/>
      <c r="AN14" s="549"/>
    </row>
    <row r="15" spans="2:40">
      <c r="B15" s="562" t="s">
        <v>412</v>
      </c>
      <c r="C15" s="594" t="e">
        <f>AE32</f>
        <v>#DIV/0!</v>
      </c>
      <c r="E15" s="562" t="s">
        <v>411</v>
      </c>
      <c r="F15" s="569"/>
      <c r="G15" s="569"/>
      <c r="H15" s="569"/>
      <c r="I15" s="569"/>
      <c r="J15" s="569"/>
      <c r="K15" s="569"/>
      <c r="L15" s="569"/>
      <c r="M15" s="569"/>
      <c r="N15" s="569"/>
      <c r="O15" s="569"/>
      <c r="P15" s="569"/>
      <c r="Q15" s="569"/>
      <c r="R15" s="569"/>
      <c r="S15" s="569"/>
      <c r="T15" s="569"/>
      <c r="U15" s="549"/>
      <c r="V15" s="549"/>
      <c r="W15" s="549"/>
      <c r="X15" s="549"/>
      <c r="Y15" s="569"/>
      <c r="Z15" s="569"/>
      <c r="AA15" s="569"/>
      <c r="AB15" s="569"/>
      <c r="AC15" s="569"/>
      <c r="AD15" s="569"/>
      <c r="AE15" s="592"/>
      <c r="AF15" s="549"/>
      <c r="AG15" s="549"/>
      <c r="AH15" s="549"/>
      <c r="AI15" s="549"/>
      <c r="AJ15" s="549"/>
      <c r="AK15" s="549"/>
      <c r="AL15" s="549"/>
      <c r="AM15" s="549"/>
      <c r="AN15" s="549"/>
    </row>
    <row r="16" spans="2:40">
      <c r="B16" s="560" t="s">
        <v>410</v>
      </c>
      <c r="C16" s="593" t="e">
        <f ca="1">C15/C12-1</f>
        <v>#DIV/0!</v>
      </c>
      <c r="E16" s="562" t="s">
        <v>409</v>
      </c>
      <c r="F16" s="569"/>
      <c r="G16" s="569"/>
      <c r="H16" s="569"/>
      <c r="I16" s="569"/>
      <c r="J16" s="569"/>
      <c r="K16" s="569"/>
      <c r="L16" s="569"/>
      <c r="M16" s="569"/>
      <c r="N16" s="569"/>
      <c r="O16" s="569"/>
      <c r="P16" s="569"/>
      <c r="Q16" s="569"/>
      <c r="R16" s="569"/>
      <c r="S16" s="569"/>
      <c r="T16" s="569"/>
      <c r="U16" s="549"/>
      <c r="V16" s="549"/>
      <c r="W16" s="549"/>
      <c r="X16" s="549"/>
      <c r="Y16" s="569"/>
      <c r="Z16" s="569"/>
      <c r="AA16" s="569"/>
      <c r="AB16" s="569"/>
      <c r="AC16" s="569"/>
      <c r="AD16" s="569"/>
      <c r="AE16" s="592"/>
      <c r="AF16" s="549"/>
      <c r="AG16" s="549"/>
      <c r="AH16" s="549"/>
      <c r="AI16" s="549"/>
      <c r="AJ16" s="549"/>
      <c r="AK16" s="549"/>
      <c r="AL16" s="549"/>
      <c r="AM16" s="549"/>
      <c r="AN16" s="549"/>
    </row>
    <row r="17" spans="1:40" s="577" customFormat="1" ht="14.65" customHeight="1">
      <c r="A17" s="578"/>
      <c r="B17" s="578"/>
      <c r="C17" s="578"/>
      <c r="D17" s="578"/>
      <c r="E17" s="558" t="s">
        <v>118</v>
      </c>
      <c r="F17" s="591"/>
      <c r="G17" s="591"/>
      <c r="H17" s="591"/>
      <c r="I17" s="591"/>
      <c r="J17" s="589"/>
      <c r="K17" s="589"/>
      <c r="L17" s="589"/>
      <c r="M17" s="589"/>
      <c r="N17" s="589"/>
      <c r="O17" s="589"/>
      <c r="P17" s="589"/>
      <c r="Q17" s="589"/>
      <c r="R17" s="589"/>
      <c r="S17" s="589"/>
      <c r="T17" s="589"/>
      <c r="U17" s="590"/>
      <c r="V17" s="590"/>
      <c r="W17" s="590"/>
      <c r="X17" s="590"/>
      <c r="Y17" s="589"/>
      <c r="Z17" s="589"/>
      <c r="AA17" s="589"/>
      <c r="AB17" s="589"/>
      <c r="AC17" s="589"/>
      <c r="AD17" s="589"/>
      <c r="AE17" s="587"/>
      <c r="AF17" s="578"/>
      <c r="AG17" s="578"/>
      <c r="AH17" s="578"/>
      <c r="AI17" s="578"/>
      <c r="AJ17" s="578"/>
      <c r="AK17" s="578"/>
      <c r="AL17" s="578"/>
      <c r="AM17" s="578"/>
      <c r="AN17" s="578"/>
    </row>
    <row r="18" spans="1:40" s="577" customFormat="1" ht="19.899999999999999" customHeight="1">
      <c r="A18" s="578"/>
      <c r="B18" s="578"/>
      <c r="C18" s="578"/>
      <c r="D18" s="578"/>
      <c r="E18" s="558" t="s">
        <v>408</v>
      </c>
      <c r="F18" s="588"/>
      <c r="G18" s="588"/>
      <c r="H18" s="588"/>
      <c r="I18" s="588"/>
      <c r="J18" s="588"/>
      <c r="K18" s="588"/>
      <c r="L18" s="588"/>
      <c r="M18" s="588"/>
      <c r="N18" s="588"/>
      <c r="O18" s="588"/>
      <c r="P18" s="588"/>
      <c r="Q18" s="588"/>
      <c r="R18" s="588"/>
      <c r="S18" s="588"/>
      <c r="T18" s="588"/>
      <c r="U18" s="578"/>
      <c r="V18" s="578"/>
      <c r="W18" s="578"/>
      <c r="X18" s="578"/>
      <c r="Y18" s="588"/>
      <c r="Z18" s="588"/>
      <c r="AA18" s="588"/>
      <c r="AB18" s="588"/>
      <c r="AC18" s="588"/>
      <c r="AD18" s="588"/>
      <c r="AE18" s="587"/>
      <c r="AF18" s="578"/>
      <c r="AG18" s="578"/>
      <c r="AH18" s="578"/>
      <c r="AI18" s="578"/>
      <c r="AJ18" s="578"/>
      <c r="AK18" s="578"/>
      <c r="AL18" s="578"/>
      <c r="AM18" s="578"/>
      <c r="AN18" s="578"/>
    </row>
    <row r="19" spans="1:40">
      <c r="B19" s="576" t="s">
        <v>407</v>
      </c>
      <c r="C19" s="575"/>
      <c r="E19" s="574" t="s">
        <v>406</v>
      </c>
      <c r="F19" s="573"/>
      <c r="G19" s="573"/>
      <c r="H19" s="573"/>
      <c r="I19" s="573"/>
      <c r="J19" s="573"/>
      <c r="K19" s="573"/>
      <c r="L19" s="573"/>
      <c r="M19" s="573"/>
      <c r="N19" s="573"/>
      <c r="O19" s="573"/>
      <c r="P19" s="573"/>
      <c r="Q19" s="573"/>
      <c r="R19" s="573"/>
      <c r="S19" s="573"/>
      <c r="T19" s="573"/>
      <c r="U19" s="573"/>
      <c r="V19" s="573"/>
      <c r="W19" s="573"/>
      <c r="X19" s="573"/>
      <c r="Y19" s="573"/>
      <c r="Z19" s="573"/>
      <c r="AA19" s="573"/>
      <c r="AB19" s="573"/>
      <c r="AC19" s="573"/>
      <c r="AD19" s="573"/>
      <c r="AE19" s="572"/>
      <c r="AF19" s="549"/>
      <c r="AG19" s="549"/>
      <c r="AH19" s="549"/>
      <c r="AI19" s="549"/>
      <c r="AJ19" s="549"/>
      <c r="AK19" s="549"/>
      <c r="AL19" s="549"/>
      <c r="AM19" s="549"/>
      <c r="AN19" s="549"/>
    </row>
    <row r="20" spans="1:40">
      <c r="B20" s="586" t="s">
        <v>405</v>
      </c>
      <c r="C20" s="585">
        <v>15</v>
      </c>
      <c r="E20" s="562" t="s">
        <v>404</v>
      </c>
      <c r="F20" s="551"/>
      <c r="G20" s="551"/>
      <c r="H20" s="551"/>
      <c r="I20" s="551"/>
      <c r="J20" s="551" t="e">
        <f ca="1">J31/J13</f>
        <v>#NAME?</v>
      </c>
      <c r="K20" s="551"/>
      <c r="L20" s="551"/>
      <c r="M20" s="551"/>
      <c r="N20" s="551"/>
      <c r="O20" s="551" t="e">
        <f ca="1">O31/O13</f>
        <v>#NAME?</v>
      </c>
      <c r="P20" s="551"/>
      <c r="Q20" s="551"/>
      <c r="R20" s="551"/>
      <c r="S20" s="551"/>
      <c r="T20" s="551" t="e">
        <f ca="1">T31/T13</f>
        <v>#NAME?</v>
      </c>
      <c r="U20" s="551"/>
      <c r="V20" s="551"/>
      <c r="W20" s="551"/>
      <c r="X20" s="551"/>
      <c r="Y20" s="551" t="e">
        <f ca="1">Y31/Y13</f>
        <v>#NAME?</v>
      </c>
      <c r="Z20" s="551"/>
      <c r="AA20" s="551"/>
      <c r="AB20" s="551"/>
      <c r="AC20" s="551"/>
      <c r="AD20" s="551"/>
      <c r="AE20" s="584">
        <f>C14</f>
        <v>10.211</v>
      </c>
      <c r="AF20" s="549"/>
      <c r="AG20" s="549"/>
      <c r="AH20" s="549"/>
      <c r="AI20" s="549"/>
      <c r="AJ20" s="549"/>
      <c r="AK20" s="549"/>
      <c r="AL20" s="549"/>
      <c r="AM20" s="549"/>
      <c r="AN20" s="549"/>
    </row>
    <row r="21" spans="1:40">
      <c r="B21" s="562" t="s">
        <v>403</v>
      </c>
      <c r="C21" s="583">
        <v>10.211</v>
      </c>
      <c r="E21" s="562" t="s">
        <v>402</v>
      </c>
      <c r="F21" s="551"/>
      <c r="G21" s="551"/>
      <c r="H21" s="551"/>
      <c r="I21" s="551"/>
      <c r="J21" s="551" t="e">
        <f ca="1">J31/J14</f>
        <v>#NAME?</v>
      </c>
      <c r="K21" s="551"/>
      <c r="L21" s="551"/>
      <c r="M21" s="551"/>
      <c r="N21" s="551"/>
      <c r="O21" s="551" t="e">
        <f ca="1">O31/O14</f>
        <v>#NAME?</v>
      </c>
      <c r="P21" s="551"/>
      <c r="Q21" s="551"/>
      <c r="R21" s="551"/>
      <c r="S21" s="551"/>
      <c r="T21" s="551" t="e">
        <f ca="1">T31/T14</f>
        <v>#NAME?</v>
      </c>
      <c r="U21" s="551"/>
      <c r="V21" s="551"/>
      <c r="W21" s="551"/>
      <c r="X21" s="551"/>
      <c r="Y21" s="551" t="e">
        <f ca="1">Y31/Y14</f>
        <v>#NAME?</v>
      </c>
      <c r="Z21" s="551"/>
      <c r="AA21" s="551"/>
      <c r="AB21" s="551"/>
      <c r="AC21" s="551"/>
      <c r="AD21" s="551"/>
      <c r="AE21" s="581" t="e">
        <f>AE31/Y14</f>
        <v>#DIV/0!</v>
      </c>
      <c r="AF21" s="549"/>
      <c r="AG21" s="549"/>
      <c r="AH21" s="549"/>
      <c r="AI21" s="549"/>
      <c r="AJ21" s="549"/>
      <c r="AK21" s="549"/>
      <c r="AL21" s="549"/>
      <c r="AM21" s="549"/>
      <c r="AN21" s="549"/>
    </row>
    <row r="22" spans="1:40">
      <c r="B22" s="560" t="s">
        <v>401</v>
      </c>
      <c r="C22" s="582">
        <v>22</v>
      </c>
      <c r="E22" s="562" t="s">
        <v>400</v>
      </c>
      <c r="F22" s="551"/>
      <c r="G22" s="551"/>
      <c r="H22" s="551"/>
      <c r="I22" s="551"/>
      <c r="J22" s="551" t="str">
        <f>IF(J15&gt;0, J31/J15, "NM ")</f>
        <v xml:space="preserve">NM </v>
      </c>
      <c r="K22" s="551"/>
      <c r="L22" s="551"/>
      <c r="M22" s="551"/>
      <c r="N22" s="551"/>
      <c r="O22" s="551" t="str">
        <f>IF(O15&gt;0, O31/O15, "NM ")</f>
        <v xml:space="preserve">NM </v>
      </c>
      <c r="P22" s="551"/>
      <c r="Q22" s="551"/>
      <c r="R22" s="551"/>
      <c r="S22" s="551"/>
      <c r="T22" s="551" t="str">
        <f>IF(T15&gt;0, T31/T15, "NM ")</f>
        <v xml:space="preserve">NM </v>
      </c>
      <c r="U22" s="551"/>
      <c r="V22" s="551"/>
      <c r="W22" s="551"/>
      <c r="X22" s="551"/>
      <c r="Y22" s="551" t="str">
        <f>IF(Y15&gt;0, Y31/Y15, "NM ")</f>
        <v xml:space="preserve">NM </v>
      </c>
      <c r="Z22" s="551"/>
      <c r="AA22" s="551"/>
      <c r="AB22" s="551"/>
      <c r="AC22" s="551"/>
      <c r="AD22" s="551"/>
      <c r="AE22" s="581" t="str">
        <f>IF(Y15&gt;0, AE31/Y15, "NM ")</f>
        <v xml:space="preserve">NM </v>
      </c>
      <c r="AF22" s="549"/>
      <c r="AG22" s="549"/>
      <c r="AH22" s="549"/>
      <c r="AI22" s="549"/>
      <c r="AJ22" s="549"/>
      <c r="AK22" s="549"/>
      <c r="AL22" s="549"/>
      <c r="AM22" s="549"/>
      <c r="AN22" s="549"/>
    </row>
    <row r="23" spans="1:40">
      <c r="E23" s="562" t="s">
        <v>399</v>
      </c>
      <c r="F23" s="551"/>
      <c r="G23" s="551"/>
      <c r="H23" s="551"/>
      <c r="I23" s="551"/>
      <c r="J23" s="551" t="str">
        <f>IF(J16&gt;0, J31/J16, "NM ")</f>
        <v xml:space="preserve">NM </v>
      </c>
      <c r="K23" s="551"/>
      <c r="L23" s="551"/>
      <c r="M23" s="551"/>
      <c r="N23" s="551"/>
      <c r="O23" s="551" t="str">
        <f>IF(O16&gt;0, O31/O16, "NM ")</f>
        <v xml:space="preserve">NM </v>
      </c>
      <c r="P23" s="551"/>
      <c r="Q23" s="551"/>
      <c r="R23" s="551"/>
      <c r="S23" s="551"/>
      <c r="T23" s="551" t="str">
        <f>IF(T16&gt;0, T31/T16, "NM ")</f>
        <v xml:space="preserve">NM </v>
      </c>
      <c r="U23" s="551"/>
      <c r="V23" s="551"/>
      <c r="W23" s="551"/>
      <c r="X23" s="551"/>
      <c r="Y23" s="551" t="str">
        <f>IF(Y16&gt;0, Y31/Y16, "NM ")</f>
        <v xml:space="preserve">NM </v>
      </c>
      <c r="Z23" s="551"/>
      <c r="AA23" s="551"/>
      <c r="AB23" s="551"/>
      <c r="AC23" s="551"/>
      <c r="AD23" s="551"/>
      <c r="AE23" s="581" t="str">
        <f>IF(Y16&gt;0, AE31/Y16, "NM ")</f>
        <v xml:space="preserve">NM </v>
      </c>
      <c r="AF23" s="549"/>
      <c r="AG23" s="549"/>
      <c r="AH23" s="549"/>
      <c r="AI23" s="549"/>
      <c r="AJ23" s="549"/>
      <c r="AK23" s="549"/>
      <c r="AL23" s="549"/>
      <c r="AM23" s="549"/>
      <c r="AN23" s="549"/>
    </row>
    <row r="24" spans="1:40" s="577" customFormat="1" ht="14.65" customHeight="1">
      <c r="A24" s="578"/>
      <c r="B24" s="578"/>
      <c r="C24" s="578"/>
      <c r="D24" s="578"/>
      <c r="E24" s="558" t="s">
        <v>398</v>
      </c>
      <c r="F24" s="580"/>
      <c r="G24" s="580"/>
      <c r="H24" s="580"/>
      <c r="I24" s="580"/>
      <c r="J24" s="580" t="str">
        <f>IF(J17&gt;0, $C$12/J17, "NM ")</f>
        <v xml:space="preserve">NM </v>
      </c>
      <c r="K24" s="580"/>
      <c r="L24" s="580"/>
      <c r="M24" s="580"/>
      <c r="N24" s="580"/>
      <c r="O24" s="580" t="str">
        <f>IF(O17&gt;0, $C$12/O17, "NM ")</f>
        <v xml:space="preserve">NM </v>
      </c>
      <c r="P24" s="580"/>
      <c r="Q24" s="580"/>
      <c r="R24" s="580"/>
      <c r="S24" s="580"/>
      <c r="T24" s="580" t="str">
        <f>IF(T17&gt;0, $C$12/T17, "NM ")</f>
        <v xml:space="preserve">NM </v>
      </c>
      <c r="U24" s="580"/>
      <c r="V24" s="580"/>
      <c r="W24" s="580"/>
      <c r="X24" s="580"/>
      <c r="Y24" s="580" t="str">
        <f>IF(Y17&gt;0, $C$12/Y17, "NM ")</f>
        <v xml:space="preserve">NM </v>
      </c>
      <c r="Z24" s="580"/>
      <c r="AA24" s="580"/>
      <c r="AB24" s="580"/>
      <c r="AC24" s="580"/>
      <c r="AD24" s="580"/>
      <c r="AE24" s="579" t="str">
        <f>IF(Y17&gt;0, $C$12/Y17, "NM ")</f>
        <v xml:space="preserve">NM </v>
      </c>
      <c r="AF24" s="578"/>
      <c r="AG24" s="578"/>
      <c r="AH24" s="578"/>
      <c r="AI24" s="578"/>
      <c r="AJ24" s="578"/>
      <c r="AK24" s="578"/>
      <c r="AL24" s="578"/>
      <c r="AM24" s="578"/>
      <c r="AN24" s="578"/>
    </row>
    <row r="25" spans="1:40" s="577" customFormat="1" ht="19.899999999999999" customHeight="1">
      <c r="A25" s="578"/>
      <c r="B25" s="578"/>
      <c r="C25" s="578"/>
      <c r="D25" s="578"/>
      <c r="E25" s="558" t="s">
        <v>397</v>
      </c>
      <c r="F25" s="580"/>
      <c r="G25" s="580"/>
      <c r="H25" s="580"/>
      <c r="I25" s="580"/>
      <c r="J25" s="580" t="str">
        <f>IF(J18&gt;0, J31/J18, "NM ")</f>
        <v xml:space="preserve">NM </v>
      </c>
      <c r="K25" s="580"/>
      <c r="L25" s="580"/>
      <c r="M25" s="580"/>
      <c r="N25" s="580"/>
      <c r="O25" s="580" t="str">
        <f>IF(O18&gt;0, O31/O18, "NM ")</f>
        <v xml:space="preserve">NM </v>
      </c>
      <c r="P25" s="580"/>
      <c r="Q25" s="580"/>
      <c r="R25" s="580"/>
      <c r="S25" s="580"/>
      <c r="T25" s="580" t="str">
        <f>IF(T18&gt;0, T31/T18, "NM ")</f>
        <v xml:space="preserve">NM </v>
      </c>
      <c r="U25" s="580"/>
      <c r="V25" s="580"/>
      <c r="W25" s="580"/>
      <c r="X25" s="580"/>
      <c r="Y25" s="580" t="str">
        <f>IF(Y18&gt;0, Y31/Y18, "NM ")</f>
        <v xml:space="preserve">NM </v>
      </c>
      <c r="Z25" s="580"/>
      <c r="AA25" s="580"/>
      <c r="AB25" s="580"/>
      <c r="AC25" s="580"/>
      <c r="AD25" s="580"/>
      <c r="AE25" s="579" t="str">
        <f>IF(Y18&gt;0, AE31/Y18, "NM ")</f>
        <v xml:space="preserve">NM </v>
      </c>
      <c r="AF25" s="578"/>
      <c r="AG25" s="578"/>
      <c r="AH25" s="578"/>
      <c r="AI25" s="578"/>
      <c r="AJ25" s="578"/>
      <c r="AK25" s="578"/>
      <c r="AL25" s="578"/>
      <c r="AM25" s="578"/>
      <c r="AN25" s="578"/>
    </row>
    <row r="26" spans="1:40">
      <c r="B26" s="576" t="s">
        <v>396</v>
      </c>
      <c r="C26" s="575"/>
      <c r="E26" s="574" t="s">
        <v>395</v>
      </c>
      <c r="F26" s="573"/>
      <c r="G26" s="573"/>
      <c r="H26" s="573"/>
      <c r="I26" s="573"/>
      <c r="J26" s="573"/>
      <c r="K26" s="573"/>
      <c r="L26" s="573"/>
      <c r="M26" s="573"/>
      <c r="N26" s="573"/>
      <c r="O26" s="573"/>
      <c r="P26" s="573"/>
      <c r="Q26" s="573"/>
      <c r="R26" s="573"/>
      <c r="S26" s="573"/>
      <c r="T26" s="573"/>
      <c r="U26" s="573"/>
      <c r="V26" s="573"/>
      <c r="W26" s="573"/>
      <c r="X26" s="573"/>
      <c r="Y26" s="573"/>
      <c r="Z26" s="573"/>
      <c r="AA26" s="573"/>
      <c r="AB26" s="573"/>
      <c r="AC26" s="573"/>
      <c r="AD26" s="573"/>
      <c r="AE26" s="572"/>
      <c r="AF26" s="549"/>
      <c r="AG26" s="549"/>
      <c r="AH26" s="549"/>
      <c r="AI26" s="549"/>
      <c r="AJ26" s="549"/>
      <c r="AK26" s="549"/>
      <c r="AL26" s="549"/>
      <c r="AM26" s="549"/>
      <c r="AN26" s="549"/>
    </row>
    <row r="27" spans="1:40">
      <c r="B27" s="562" t="s">
        <v>394</v>
      </c>
      <c r="C27" s="571"/>
      <c r="E27" s="562" t="s">
        <v>386</v>
      </c>
      <c r="F27" s="569"/>
      <c r="G27" s="569"/>
      <c r="H27" s="569"/>
      <c r="I27" s="569"/>
      <c r="J27" s="569"/>
      <c r="K27" s="569"/>
      <c r="L27" s="569"/>
      <c r="M27" s="569"/>
      <c r="N27" s="569"/>
      <c r="O27" s="569"/>
      <c r="P27" s="569"/>
      <c r="Q27" s="569"/>
      <c r="R27" s="569"/>
      <c r="S27" s="569"/>
      <c r="T27" s="569"/>
      <c r="U27" s="549"/>
      <c r="V27" s="549"/>
      <c r="W27" s="549"/>
      <c r="X27" s="549"/>
      <c r="Y27" s="569"/>
      <c r="Z27" s="569"/>
      <c r="AA27" s="569"/>
      <c r="AB27" s="569"/>
      <c r="AC27" s="569"/>
      <c r="AD27" s="569"/>
      <c r="AE27" s="566">
        <f>C27</f>
        <v>0</v>
      </c>
      <c r="AF27" s="549"/>
      <c r="AG27" s="549"/>
      <c r="AH27" s="549"/>
      <c r="AI27" s="549"/>
      <c r="AJ27" s="549"/>
      <c r="AK27" s="549"/>
      <c r="AL27" s="549"/>
      <c r="AM27" s="549"/>
      <c r="AN27" s="549"/>
    </row>
    <row r="28" spans="1:40">
      <c r="B28" s="562" t="s">
        <v>393</v>
      </c>
      <c r="C28" s="570">
        <v>0</v>
      </c>
      <c r="E28" s="562" t="s">
        <v>385</v>
      </c>
      <c r="F28" s="569"/>
      <c r="G28" s="569"/>
      <c r="H28" s="569"/>
      <c r="I28" s="569"/>
      <c r="J28" s="567">
        <v>0</v>
      </c>
      <c r="K28" s="567"/>
      <c r="L28" s="567"/>
      <c r="M28" s="567"/>
      <c r="N28" s="567"/>
      <c r="O28" s="567">
        <v>0</v>
      </c>
      <c r="P28" s="567"/>
      <c r="Q28" s="567"/>
      <c r="R28" s="567"/>
      <c r="S28" s="567"/>
      <c r="T28" s="567">
        <v>0</v>
      </c>
      <c r="U28" s="568"/>
      <c r="V28" s="568"/>
      <c r="W28" s="568"/>
      <c r="X28" s="568"/>
      <c r="Y28" s="567">
        <v>0</v>
      </c>
      <c r="Z28" s="567"/>
      <c r="AA28" s="567"/>
      <c r="AB28" s="567"/>
      <c r="AC28" s="567"/>
      <c r="AD28" s="567"/>
      <c r="AE28" s="566">
        <f>C28</f>
        <v>0</v>
      </c>
      <c r="AF28" s="549"/>
      <c r="AG28" s="549"/>
      <c r="AH28" s="549"/>
      <c r="AI28" s="549"/>
      <c r="AJ28" s="549"/>
      <c r="AK28" s="549"/>
      <c r="AL28" s="549"/>
      <c r="AM28" s="549"/>
      <c r="AN28" s="549"/>
    </row>
    <row r="29" spans="1:40" ht="14.65" customHeight="1">
      <c r="B29" s="562" t="s">
        <v>392</v>
      </c>
      <c r="C29" s="565"/>
      <c r="E29" s="562" t="s">
        <v>392</v>
      </c>
      <c r="F29" s="564"/>
      <c r="G29" s="564"/>
      <c r="H29" s="564"/>
      <c r="I29" s="564"/>
      <c r="J29" s="564"/>
      <c r="K29" s="564"/>
      <c r="L29" s="564"/>
      <c r="M29" s="564"/>
      <c r="N29" s="564"/>
      <c r="O29" s="564"/>
      <c r="P29" s="564"/>
      <c r="Q29" s="564"/>
      <c r="R29" s="564"/>
      <c r="S29" s="564"/>
      <c r="T29" s="564"/>
      <c r="U29" s="564"/>
      <c r="V29" s="564"/>
      <c r="W29" s="564"/>
      <c r="X29" s="564"/>
      <c r="Y29" s="564"/>
      <c r="Z29" s="564"/>
      <c r="AA29" s="564"/>
      <c r="AB29" s="564"/>
      <c r="AC29" s="564"/>
      <c r="AD29" s="564"/>
      <c r="AE29" s="563">
        <f>C29</f>
        <v>0</v>
      </c>
      <c r="AF29" s="549"/>
      <c r="AG29" s="549"/>
      <c r="AH29" s="549"/>
      <c r="AI29" s="549"/>
      <c r="AJ29" s="549"/>
      <c r="AK29" s="549"/>
      <c r="AL29" s="549"/>
      <c r="AM29" s="549"/>
      <c r="AN29" s="549"/>
    </row>
    <row r="30" spans="1:40" ht="14.65" customHeight="1">
      <c r="B30" s="562" t="s">
        <v>391</v>
      </c>
      <c r="C30" s="561" t="e">
        <f ca="1">C29*C12</f>
        <v>#NAME?</v>
      </c>
      <c r="E30" s="562" t="s">
        <v>390</v>
      </c>
      <c r="F30" s="552"/>
      <c r="G30" s="552"/>
      <c r="H30" s="552"/>
      <c r="I30" s="552"/>
      <c r="J30" s="552" t="e">
        <f ca="1">J29*$C$12</f>
        <v>#NAME?</v>
      </c>
      <c r="K30" s="552"/>
      <c r="L30" s="552"/>
      <c r="M30" s="552"/>
      <c r="N30" s="552"/>
      <c r="O30" s="552" t="e">
        <f ca="1">O29*$C$12</f>
        <v>#NAME?</v>
      </c>
      <c r="P30" s="552"/>
      <c r="Q30" s="552"/>
      <c r="R30" s="552"/>
      <c r="S30" s="552"/>
      <c r="T30" s="552" t="e">
        <f ca="1">T29*$C$12</f>
        <v>#NAME?</v>
      </c>
      <c r="U30" s="552"/>
      <c r="V30" s="552"/>
      <c r="W30" s="552"/>
      <c r="X30" s="552"/>
      <c r="Y30" s="552" t="e">
        <f ca="1">Y29*$C$12</f>
        <v>#NAME?</v>
      </c>
      <c r="Z30" s="552"/>
      <c r="AA30" s="552"/>
      <c r="AB30" s="552"/>
      <c r="AC30" s="552"/>
      <c r="AD30" s="552"/>
      <c r="AE30" s="561">
        <f>AE31+AE27-AE28</f>
        <v>5482.3880099999997</v>
      </c>
      <c r="AF30" s="549"/>
      <c r="AG30" s="549"/>
      <c r="AH30" s="549"/>
      <c r="AI30" s="549"/>
      <c r="AJ30" s="549"/>
      <c r="AK30" s="549"/>
      <c r="AL30" s="549"/>
      <c r="AM30" s="549"/>
      <c r="AN30" s="549"/>
    </row>
    <row r="31" spans="1:40" ht="14.65" customHeight="1">
      <c r="B31" s="560" t="s">
        <v>389</v>
      </c>
      <c r="C31" s="559" t="e">
        <f ca="1">C30-C27+C28</f>
        <v>#NAME?</v>
      </c>
      <c r="E31" s="558" t="s">
        <v>322</v>
      </c>
      <c r="F31" s="557"/>
      <c r="G31" s="557"/>
      <c r="H31" s="557"/>
      <c r="I31" s="557"/>
      <c r="J31" s="557" t="e">
        <f ca="1">J30-J27+J28</f>
        <v>#NAME?</v>
      </c>
      <c r="K31" s="557"/>
      <c r="L31" s="557"/>
      <c r="M31" s="557"/>
      <c r="N31" s="557"/>
      <c r="O31" s="557" t="e">
        <f ca="1">O30-O27+O28</f>
        <v>#NAME?</v>
      </c>
      <c r="P31" s="557"/>
      <c r="Q31" s="557"/>
      <c r="R31" s="557"/>
      <c r="S31" s="557"/>
      <c r="T31" s="557" t="e">
        <f ca="1">T30-T27+T28</f>
        <v>#NAME?</v>
      </c>
      <c r="U31" s="557"/>
      <c r="V31" s="557"/>
      <c r="W31" s="557"/>
      <c r="X31" s="557"/>
      <c r="Y31" s="557" t="e">
        <f ca="1">Y30-Y27+Y28</f>
        <v>#NAME?</v>
      </c>
      <c r="Z31" s="557"/>
      <c r="AA31" s="557"/>
      <c r="AB31" s="557"/>
      <c r="AC31" s="557"/>
      <c r="AD31" s="557"/>
      <c r="AE31" s="556">
        <f>AE20*AD13</f>
        <v>5482.3880099999997</v>
      </c>
      <c r="AF31" s="549"/>
      <c r="AG31" s="549"/>
      <c r="AH31" s="549"/>
      <c r="AI31" s="549"/>
      <c r="AJ31" s="549"/>
      <c r="AK31" s="549"/>
      <c r="AL31" s="549"/>
      <c r="AM31" s="549"/>
      <c r="AN31" s="549"/>
    </row>
    <row r="32" spans="1:40" ht="14.65" thickBot="1">
      <c r="E32" s="555" t="s">
        <v>388</v>
      </c>
      <c r="F32" s="554"/>
      <c r="G32" s="554"/>
      <c r="H32" s="554"/>
      <c r="I32" s="554"/>
      <c r="J32" s="554"/>
      <c r="K32" s="554"/>
      <c r="L32" s="554"/>
      <c r="M32" s="554"/>
      <c r="N32" s="554"/>
      <c r="O32" s="554"/>
      <c r="P32" s="554"/>
      <c r="Q32" s="554"/>
      <c r="R32" s="554"/>
      <c r="S32" s="554"/>
      <c r="T32" s="554"/>
      <c r="U32" s="554"/>
      <c r="V32" s="554"/>
      <c r="W32" s="554"/>
      <c r="X32" s="554"/>
      <c r="Y32" s="554"/>
      <c r="Z32" s="554"/>
      <c r="AA32" s="554"/>
      <c r="AB32" s="554"/>
      <c r="AC32" s="554"/>
      <c r="AD32" s="554"/>
      <c r="AE32" s="553" t="e">
        <f>AE30/AE29</f>
        <v>#DIV/0!</v>
      </c>
      <c r="AF32" s="549"/>
      <c r="AG32" s="549"/>
      <c r="AH32" s="549"/>
      <c r="AI32" s="549"/>
      <c r="AJ32" s="549"/>
      <c r="AK32" s="549"/>
      <c r="AL32" s="549"/>
      <c r="AM32" s="549"/>
      <c r="AN32" s="549"/>
    </row>
    <row r="33" spans="2:40">
      <c r="E33" s="549"/>
      <c r="F33" s="552"/>
      <c r="G33" s="552"/>
      <c r="H33" s="552"/>
      <c r="I33" s="552"/>
      <c r="J33" s="552"/>
      <c r="K33" s="552"/>
      <c r="L33" s="552"/>
      <c r="M33" s="552"/>
      <c r="N33" s="552"/>
      <c r="O33" s="552"/>
      <c r="P33" s="552"/>
      <c r="Q33" s="552"/>
      <c r="R33" s="552"/>
      <c r="S33" s="552"/>
      <c r="T33" s="552"/>
      <c r="U33" s="552"/>
      <c r="V33" s="552"/>
      <c r="W33" s="552"/>
      <c r="X33" s="552"/>
      <c r="Y33" s="552"/>
      <c r="Z33" s="552"/>
      <c r="AA33" s="552"/>
      <c r="AB33" s="552"/>
      <c r="AC33" s="552"/>
      <c r="AD33" s="552"/>
      <c r="AE33" s="549"/>
      <c r="AF33" s="549"/>
      <c r="AG33" s="549"/>
      <c r="AH33" s="549"/>
      <c r="AI33" s="549"/>
      <c r="AJ33" s="549"/>
      <c r="AK33" s="549"/>
      <c r="AL33" s="549"/>
      <c r="AM33" s="549"/>
      <c r="AN33" s="549"/>
    </row>
    <row r="34" spans="2:40">
      <c r="E34" s="549" t="s">
        <v>117</v>
      </c>
      <c r="F34" s="552"/>
      <c r="G34" s="552"/>
      <c r="H34" s="552"/>
      <c r="I34" s="552"/>
      <c r="J34" s="552">
        <f>J13</f>
        <v>0</v>
      </c>
      <c r="K34" s="552"/>
      <c r="L34" s="552"/>
      <c r="M34" s="552"/>
      <c r="N34" s="552"/>
      <c r="O34" s="552">
        <f>O13</f>
        <v>0</v>
      </c>
      <c r="P34" s="552"/>
      <c r="Q34" s="552"/>
      <c r="R34" s="552"/>
      <c r="S34" s="552"/>
      <c r="T34" s="552">
        <f>T13</f>
        <v>0</v>
      </c>
      <c r="U34" s="552"/>
      <c r="V34" s="552"/>
      <c r="W34" s="552"/>
      <c r="X34" s="552"/>
      <c r="Y34" s="552">
        <f>Y13</f>
        <v>0</v>
      </c>
      <c r="Z34" s="552"/>
      <c r="AA34" s="552"/>
      <c r="AB34" s="552"/>
      <c r="AC34" s="552"/>
      <c r="AD34" s="552"/>
      <c r="AE34" s="549"/>
      <c r="AF34" s="549"/>
      <c r="AG34" s="549"/>
      <c r="AH34" s="549"/>
      <c r="AI34" s="549"/>
      <c r="AJ34" s="549"/>
      <c r="AK34" s="549"/>
      <c r="AL34" s="549"/>
      <c r="AM34" s="549"/>
      <c r="AN34" s="549"/>
    </row>
    <row r="35" spans="2:40">
      <c r="B35" s="548"/>
      <c r="C35" s="548"/>
      <c r="E35" s="549" t="s">
        <v>387</v>
      </c>
      <c r="F35" s="549"/>
      <c r="G35" s="549"/>
      <c r="H35" s="549"/>
      <c r="I35" s="549"/>
      <c r="J35" s="551" t="e">
        <f ca="1">$C$31/J34</f>
        <v>#NAME?</v>
      </c>
      <c r="K35" s="549"/>
      <c r="L35" s="549"/>
      <c r="M35" s="549"/>
      <c r="N35" s="549"/>
      <c r="O35" s="551" t="e">
        <f ca="1">$C$31/O34</f>
        <v>#NAME?</v>
      </c>
      <c r="P35" s="549"/>
      <c r="Q35" s="549"/>
      <c r="R35" s="549"/>
      <c r="S35" s="549"/>
      <c r="T35" s="551" t="e">
        <f ca="1">$C$31/T34</f>
        <v>#NAME?</v>
      </c>
      <c r="U35" s="549"/>
      <c r="V35" s="549"/>
      <c r="W35" s="549"/>
      <c r="X35" s="549"/>
      <c r="Y35" s="551" t="e">
        <f ca="1">$C$31/Y34</f>
        <v>#NAME?</v>
      </c>
      <c r="Z35" s="551"/>
      <c r="AA35" s="551"/>
      <c r="AB35" s="551"/>
      <c r="AC35" s="551"/>
      <c r="AD35" s="551"/>
      <c r="AE35" s="549"/>
      <c r="AF35" s="549"/>
      <c r="AG35" s="549"/>
      <c r="AH35" s="549"/>
      <c r="AI35" s="549"/>
      <c r="AJ35" s="549"/>
      <c r="AK35" s="549"/>
      <c r="AL35" s="549"/>
      <c r="AM35" s="549"/>
      <c r="AN35" s="549"/>
    </row>
    <row r="36" spans="2:40">
      <c r="B36" s="548"/>
      <c r="C36" s="548"/>
      <c r="F36" s="549"/>
      <c r="G36" s="549"/>
      <c r="H36" s="549"/>
      <c r="I36" s="549"/>
      <c r="J36" s="549"/>
      <c r="K36" s="549"/>
      <c r="L36" s="549"/>
      <c r="M36" s="549"/>
      <c r="N36" s="549"/>
      <c r="O36" s="549"/>
      <c r="P36" s="549"/>
      <c r="Q36" s="549"/>
      <c r="R36" s="549"/>
      <c r="S36" s="549"/>
      <c r="T36" s="549"/>
      <c r="U36" s="549"/>
      <c r="V36" s="549"/>
      <c r="W36" s="549"/>
      <c r="X36" s="549"/>
      <c r="Y36" s="549"/>
      <c r="Z36" s="549"/>
      <c r="AA36" s="549"/>
      <c r="AB36" s="549"/>
      <c r="AC36" s="549"/>
      <c r="AD36" s="549"/>
      <c r="AE36" s="549"/>
      <c r="AF36" s="549"/>
      <c r="AG36" s="549"/>
      <c r="AH36" s="549"/>
      <c r="AI36" s="549"/>
      <c r="AJ36" s="549"/>
      <c r="AK36" s="549"/>
      <c r="AL36" s="549"/>
      <c r="AM36" s="549"/>
      <c r="AN36" s="549"/>
    </row>
    <row r="37" spans="2:40">
      <c r="B37" s="548"/>
      <c r="C37" s="548"/>
      <c r="E37" s="549"/>
      <c r="F37" s="549"/>
      <c r="G37" s="549"/>
      <c r="H37" s="549"/>
      <c r="I37" s="549"/>
      <c r="J37" s="549"/>
      <c r="K37" s="549"/>
      <c r="L37" s="549"/>
      <c r="M37" s="549"/>
      <c r="N37" s="549"/>
      <c r="O37" s="549"/>
      <c r="P37" s="549"/>
      <c r="Q37" s="549"/>
      <c r="R37" s="549"/>
      <c r="S37" s="549"/>
      <c r="T37" s="549"/>
      <c r="U37" s="549"/>
      <c r="V37" s="549"/>
      <c r="W37" s="549"/>
      <c r="X37" s="549"/>
      <c r="Y37" s="549"/>
      <c r="Z37" s="549"/>
      <c r="AA37" s="549"/>
      <c r="AB37" s="549"/>
      <c r="AC37" s="549"/>
      <c r="AD37" s="549"/>
      <c r="AE37" s="549"/>
      <c r="AF37" s="549"/>
      <c r="AG37" s="549"/>
      <c r="AH37" s="549"/>
      <c r="AI37" s="549"/>
      <c r="AJ37" s="549"/>
      <c r="AK37" s="549"/>
      <c r="AL37" s="549"/>
      <c r="AM37" s="549"/>
      <c r="AN37" s="549"/>
    </row>
    <row r="38" spans="2:40">
      <c r="E38" s="549"/>
      <c r="F38" s="549"/>
      <c r="G38" s="549"/>
      <c r="H38" s="549"/>
      <c r="I38" s="549"/>
      <c r="J38" s="549"/>
      <c r="K38" s="549"/>
      <c r="L38" s="549"/>
      <c r="M38" s="549"/>
      <c r="N38" s="549"/>
      <c r="O38" s="549"/>
      <c r="P38" s="549"/>
      <c r="Q38" s="549"/>
      <c r="R38" s="549"/>
      <c r="S38" s="549"/>
      <c r="T38" s="549"/>
      <c r="U38" s="549"/>
      <c r="V38" s="549"/>
      <c r="W38" s="549"/>
      <c r="X38" s="549"/>
      <c r="Y38" s="549"/>
      <c r="Z38" s="549"/>
      <c r="AA38" s="549"/>
      <c r="AB38" s="549"/>
      <c r="AC38" s="549"/>
      <c r="AD38" s="549"/>
      <c r="AE38" s="549"/>
      <c r="AF38" s="549"/>
      <c r="AG38" s="549"/>
      <c r="AH38" s="549"/>
      <c r="AI38" s="549"/>
      <c r="AJ38" s="549"/>
      <c r="AK38" s="549"/>
      <c r="AL38" s="549"/>
      <c r="AM38" s="549"/>
      <c r="AN38" s="549"/>
    </row>
    <row r="39" spans="2:40">
      <c r="E39" s="549"/>
      <c r="F39" s="549"/>
      <c r="G39" s="549"/>
      <c r="H39" s="549"/>
      <c r="I39" s="549"/>
      <c r="J39" s="549"/>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c r="AI39" s="549"/>
      <c r="AJ39" s="549"/>
      <c r="AK39" s="549"/>
      <c r="AL39" s="549"/>
      <c r="AM39" s="549"/>
      <c r="AN39" s="549"/>
    </row>
    <row r="40" spans="2:40">
      <c r="E40" s="549"/>
      <c r="F40" s="549"/>
      <c r="G40" s="549"/>
      <c r="H40" s="549"/>
      <c r="I40" s="549"/>
      <c r="J40" s="549"/>
      <c r="K40" s="549"/>
      <c r="L40" s="549"/>
      <c r="M40" s="549"/>
      <c r="N40" s="549"/>
      <c r="O40" s="549"/>
      <c r="P40" s="549"/>
      <c r="Q40" s="549"/>
      <c r="R40" s="549"/>
      <c r="S40" s="549"/>
      <c r="T40" s="549"/>
      <c r="U40" s="549"/>
      <c r="V40" s="549"/>
      <c r="W40" s="549"/>
      <c r="X40" s="549"/>
      <c r="Y40" s="549"/>
      <c r="Z40" s="549"/>
      <c r="AA40" s="549"/>
      <c r="AB40" s="549"/>
      <c r="AC40" s="549"/>
      <c r="AD40" s="549"/>
      <c r="AE40" s="549"/>
      <c r="AF40" s="549"/>
      <c r="AG40" s="549"/>
      <c r="AH40" s="549"/>
      <c r="AI40" s="549"/>
      <c r="AJ40" s="549"/>
      <c r="AK40" s="549"/>
      <c r="AL40" s="549"/>
      <c r="AM40" s="549"/>
      <c r="AN40" s="549"/>
    </row>
    <row r="41" spans="2:40">
      <c r="E41" s="549"/>
      <c r="F41" s="549"/>
      <c r="G41" s="549"/>
      <c r="H41" s="549"/>
      <c r="I41" s="549"/>
      <c r="J41" s="550"/>
      <c r="K41" s="550"/>
      <c r="L41" s="550"/>
      <c r="M41" s="550"/>
      <c r="N41" s="550"/>
      <c r="O41" s="550"/>
      <c r="P41" s="550"/>
      <c r="Q41" s="550"/>
      <c r="R41" s="550"/>
      <c r="S41" s="550"/>
      <c r="T41" s="550"/>
      <c r="U41" s="550"/>
      <c r="V41" s="550"/>
      <c r="W41" s="550"/>
      <c r="X41" s="550"/>
      <c r="Y41" s="550"/>
      <c r="Z41" s="550"/>
      <c r="AA41" s="550"/>
      <c r="AB41" s="550"/>
      <c r="AC41" s="550"/>
      <c r="AD41" s="550"/>
      <c r="AE41" s="549"/>
      <c r="AF41" s="549"/>
      <c r="AG41" s="549"/>
      <c r="AH41" s="549"/>
      <c r="AI41" s="549"/>
      <c r="AJ41" s="549"/>
      <c r="AK41" s="549"/>
      <c r="AL41" s="549"/>
      <c r="AM41" s="549"/>
      <c r="AN41" s="549"/>
    </row>
    <row r="42" spans="2:40">
      <c r="E42" s="549"/>
      <c r="F42" s="549"/>
      <c r="G42" s="549"/>
      <c r="H42" s="549"/>
      <c r="I42" s="549"/>
      <c r="J42" s="549"/>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row>
    <row r="43" spans="2:40">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row>
    <row r="44" spans="2:40">
      <c r="E44" s="549"/>
      <c r="F44" s="549"/>
      <c r="G44" s="549"/>
      <c r="H44" s="549"/>
      <c r="I44" s="549"/>
      <c r="J44" s="549"/>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49"/>
    </row>
    <row r="45" spans="2:40">
      <c r="E45" s="549"/>
      <c r="F45" s="549"/>
      <c r="G45" s="549"/>
      <c r="H45" s="549"/>
      <c r="I45" s="549"/>
      <c r="J45" s="549"/>
      <c r="K45" s="549"/>
      <c r="L45" s="549"/>
      <c r="M45" s="549"/>
      <c r="N45" s="549"/>
      <c r="O45" s="549"/>
      <c r="P45" s="549"/>
      <c r="Q45" s="549"/>
      <c r="R45" s="549"/>
      <c r="S45" s="549"/>
      <c r="T45" s="549"/>
      <c r="U45" s="549"/>
      <c r="V45" s="549"/>
      <c r="W45" s="549"/>
      <c r="X45" s="549"/>
      <c r="Y45" s="549"/>
      <c r="Z45" s="549"/>
      <c r="AA45" s="549"/>
      <c r="AB45" s="549"/>
      <c r="AC45" s="549"/>
      <c r="AD45" s="549"/>
      <c r="AE45" s="549"/>
      <c r="AF45" s="549"/>
      <c r="AG45" s="549"/>
      <c r="AH45" s="549"/>
      <c r="AI45" s="549"/>
      <c r="AJ45" s="549"/>
      <c r="AK45" s="549"/>
      <c r="AL45" s="549"/>
      <c r="AM45" s="549"/>
      <c r="AN45" s="549"/>
    </row>
    <row r="46" spans="2:40">
      <c r="E46" s="549"/>
      <c r="F46" s="549"/>
      <c r="G46" s="549"/>
      <c r="H46" s="549"/>
      <c r="I46" s="549"/>
      <c r="J46" s="549"/>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c r="AI46" s="549"/>
      <c r="AJ46" s="549"/>
      <c r="AK46" s="549"/>
      <c r="AL46" s="549"/>
      <c r="AM46" s="549"/>
      <c r="AN46" s="549"/>
    </row>
    <row r="47" spans="2:40">
      <c r="E47" s="549"/>
      <c r="F47" s="549"/>
      <c r="G47" s="549"/>
      <c r="H47" s="549"/>
      <c r="I47" s="549"/>
      <c r="J47" s="549"/>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c r="AI47" s="549"/>
      <c r="AJ47" s="549"/>
      <c r="AK47" s="549"/>
      <c r="AL47" s="549"/>
      <c r="AM47" s="549"/>
      <c r="AN47" s="549"/>
    </row>
    <row r="48" spans="2:40">
      <c r="E48" s="549"/>
      <c r="F48" s="549"/>
      <c r="G48" s="549"/>
      <c r="H48" s="549"/>
      <c r="I48" s="549"/>
      <c r="J48" s="549"/>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c r="AI48" s="549"/>
      <c r="AJ48" s="549"/>
      <c r="AK48" s="549"/>
      <c r="AL48" s="549"/>
      <c r="AM48" s="549"/>
      <c r="AN48" s="549"/>
    </row>
    <row r="49" spans="5:40">
      <c r="E49" s="549"/>
      <c r="F49" s="549"/>
      <c r="G49" s="549"/>
      <c r="H49" s="549"/>
      <c r="I49" s="549"/>
      <c r="J49" s="549"/>
      <c r="K49" s="549"/>
      <c r="L49" s="549"/>
      <c r="M49" s="549"/>
      <c r="N49" s="549"/>
      <c r="O49" s="549"/>
      <c r="P49" s="549"/>
      <c r="Q49" s="549"/>
      <c r="R49" s="549"/>
      <c r="S49" s="549"/>
      <c r="T49" s="549"/>
      <c r="U49" s="549"/>
      <c r="V49" s="549"/>
      <c r="W49" s="549"/>
      <c r="X49" s="549"/>
      <c r="Y49" s="549"/>
      <c r="Z49" s="549"/>
      <c r="AA49" s="549"/>
      <c r="AB49" s="549"/>
      <c r="AC49" s="549"/>
      <c r="AD49" s="549"/>
      <c r="AE49" s="549"/>
      <c r="AF49" s="549"/>
      <c r="AG49" s="549"/>
      <c r="AH49" s="549"/>
      <c r="AI49" s="549"/>
      <c r="AJ49" s="549"/>
      <c r="AK49" s="549"/>
      <c r="AL49" s="549"/>
      <c r="AM49" s="549"/>
      <c r="AN49" s="549"/>
    </row>
    <row r="50" spans="5:40">
      <c r="E50" s="549"/>
      <c r="F50" s="549"/>
      <c r="G50" s="549"/>
      <c r="H50" s="549"/>
      <c r="I50" s="549"/>
      <c r="J50" s="549"/>
      <c r="K50" s="549"/>
      <c r="L50" s="549"/>
      <c r="M50" s="549"/>
      <c r="N50" s="549"/>
      <c r="O50" s="549"/>
      <c r="P50" s="549"/>
      <c r="Q50" s="549"/>
      <c r="R50" s="549"/>
      <c r="S50" s="549"/>
      <c r="T50" s="549"/>
      <c r="U50" s="549"/>
      <c r="V50" s="549"/>
      <c r="W50" s="549"/>
      <c r="X50" s="549"/>
      <c r="Y50" s="549"/>
      <c r="Z50" s="549"/>
      <c r="AA50" s="549"/>
      <c r="AB50" s="549"/>
      <c r="AC50" s="549"/>
      <c r="AD50" s="549"/>
      <c r="AE50" s="549"/>
      <c r="AF50" s="549"/>
      <c r="AG50" s="549"/>
      <c r="AH50" s="549"/>
      <c r="AI50" s="549"/>
      <c r="AJ50" s="549"/>
      <c r="AK50" s="549"/>
      <c r="AL50" s="549"/>
      <c r="AM50" s="549"/>
      <c r="AN50" s="549"/>
    </row>
  </sheetData>
  <dataValidations count="1">
    <dataValidation type="list" allowBlank="1" showInputMessage="1" showErrorMessage="1" sqref="B14" xr:uid="{3A0235AC-DD0E-4A39-B386-6032FB32285A}">
      <formula1>$B$20:$B$22</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115C-04C8-4E0C-AED0-113D36A21D63}">
  <dimension ref="B5:BO77"/>
  <sheetViews>
    <sheetView showGridLines="0" workbookViewId="0">
      <selection activeCell="R66" sqref="R66"/>
    </sheetView>
  </sheetViews>
  <sheetFormatPr defaultRowHeight="12.75"/>
  <sheetData>
    <row r="5" spans="2:67">
      <c r="C5" s="642">
        <f>IS!E3</f>
        <v>2006</v>
      </c>
      <c r="D5" s="642">
        <f>IS!F3</f>
        <v>2007</v>
      </c>
      <c r="E5" s="642">
        <f>IS!K3</f>
        <v>2008</v>
      </c>
      <c r="F5" s="642">
        <f>IS!P3</f>
        <v>2009</v>
      </c>
      <c r="G5" s="642">
        <f>IS!U3</f>
        <v>2010</v>
      </c>
      <c r="H5" s="642">
        <f>IS!Z3</f>
        <v>2011</v>
      </c>
      <c r="I5" s="642">
        <f>IS!AE3</f>
        <v>2012</v>
      </c>
      <c r="J5" s="642">
        <f>IS!AJ3</f>
        <v>2013</v>
      </c>
      <c r="K5" s="642">
        <f>IS!AO3</f>
        <v>2014</v>
      </c>
      <c r="L5" s="642">
        <f>IS!AT3</f>
        <v>2015</v>
      </c>
      <c r="M5" s="642">
        <f>IS!AY3</f>
        <v>2016</v>
      </c>
      <c r="N5" s="642">
        <f>IS!BD3</f>
        <v>2017</v>
      </c>
      <c r="O5" s="642">
        <f>IS!BI3</f>
        <v>2018</v>
      </c>
      <c r="P5" s="642">
        <f>IS!BN3</f>
        <v>2019</v>
      </c>
      <c r="Q5" s="642">
        <f>IS!BS3</f>
        <v>2020</v>
      </c>
      <c r="R5" s="642">
        <f>IS!BX3</f>
        <v>2021</v>
      </c>
      <c r="S5" s="642">
        <f>IS!CC3</f>
        <v>2022</v>
      </c>
      <c r="T5" s="642">
        <f>IS!CH3</f>
        <v>2023</v>
      </c>
    </row>
    <row r="6" spans="2:67">
      <c r="B6" t="s">
        <v>431</v>
      </c>
      <c r="C6" s="70">
        <f>IS!E5</f>
        <v>0.43624792073479424</v>
      </c>
      <c r="D6" s="70">
        <f>IS!F5</f>
        <v>0.26884535978649482</v>
      </c>
      <c r="E6" s="70">
        <f>IS!K5</f>
        <v>0.21823160568299071</v>
      </c>
      <c r="F6" s="70">
        <f>IS!P5</f>
        <v>0.2296315600873049</v>
      </c>
      <c r="G6" s="70">
        <f>IS!U5</f>
        <v>0.18150267578021517</v>
      </c>
      <c r="H6" s="70">
        <f>IS!Z5</f>
        <v>0.29984079646613004</v>
      </c>
      <c r="I6" s="70">
        <f>IS!AE5</f>
        <v>0.3301247218340837</v>
      </c>
      <c r="J6" s="70">
        <f>IS!AJ5</f>
        <v>0.35386351256711546</v>
      </c>
      <c r="K6" s="70">
        <f>IS!AO5</f>
        <v>0.22565163663534205</v>
      </c>
      <c r="L6" s="70">
        <f>IS!AT5</f>
        <v>0.23893487147021819</v>
      </c>
      <c r="M6" s="70">
        <f>IS!AY5</f>
        <v>0.21938833444782291</v>
      </c>
      <c r="N6" s="70">
        <f>IS!BD5</f>
        <v>0.14108487027600303</v>
      </c>
      <c r="O6" s="70">
        <f>IS!BI5</f>
        <v>0.12546811385254308</v>
      </c>
      <c r="P6" s="70">
        <f>IS!BN5</f>
        <v>0.12441185949081524</v>
      </c>
      <c r="Q6" s="70">
        <f>IS!BS5</f>
        <v>0.12003983892463554</v>
      </c>
      <c r="R6" s="70">
        <f>IS!BX5</f>
        <v>0.23237053385791517</v>
      </c>
      <c r="S6" s="70">
        <f>IS!CC5</f>
        <v>0.17026495291687005</v>
      </c>
      <c r="T6" s="70">
        <f>IS!CH5</f>
        <v>0.19081785417244257</v>
      </c>
    </row>
    <row r="7" spans="2:67">
      <c r="B7" t="s">
        <v>432</v>
      </c>
      <c r="C7" s="72">
        <v>-3.7212347046679091E-2</v>
      </c>
      <c r="D7" s="72">
        <v>4.0876260020636561E-3</v>
      </c>
      <c r="E7" s="72">
        <v>2.4855849105775808E-2</v>
      </c>
      <c r="F7" s="72">
        <v>9.4420600858369105E-2</v>
      </c>
      <c r="G7" s="72">
        <v>0.11603919546157813</v>
      </c>
      <c r="H7" s="72">
        <v>9.3325743069571671E-2</v>
      </c>
      <c r="I7" s="72">
        <v>0.11703369387596296</v>
      </c>
      <c r="J7" s="72">
        <v>0.13194624057629489</v>
      </c>
      <c r="K7" s="72">
        <v>0.1398313364127334</v>
      </c>
      <c r="L7" s="72">
        <v>0.14269672844724257</v>
      </c>
      <c r="M7" s="72">
        <v>0.13710649525336921</v>
      </c>
      <c r="N7" s="72">
        <v>0.14786957191951616</v>
      </c>
      <c r="O7" s="72">
        <v>0.2066588785046729</v>
      </c>
      <c r="P7" s="72">
        <v>0.24993192989495708</v>
      </c>
      <c r="Q7" s="72">
        <v>0.27826504174263506</v>
      </c>
      <c r="R7" s="72">
        <v>0.27776191613285023</v>
      </c>
      <c r="S7" s="72">
        <v>0.29335846964236206</v>
      </c>
      <c r="T7" s="72">
        <v>0.30047555491073652</v>
      </c>
    </row>
    <row r="8" spans="2:67">
      <c r="B8" t="s">
        <v>433</v>
      </c>
      <c r="C8" s="70">
        <f>C7+C6</f>
        <v>0.39903557368811515</v>
      </c>
      <c r="D8" s="70">
        <f t="shared" ref="D8:T8" si="0">D7+D6</f>
        <v>0.27293298578855846</v>
      </c>
      <c r="E8" s="70">
        <f t="shared" si="0"/>
        <v>0.24308745478876653</v>
      </c>
      <c r="F8" s="70">
        <f t="shared" si="0"/>
        <v>0.32405216094567402</v>
      </c>
      <c r="G8" s="70">
        <f t="shared" si="0"/>
        <v>0.29754187124179332</v>
      </c>
      <c r="H8" s="70">
        <f t="shared" si="0"/>
        <v>0.39316653953570169</v>
      </c>
      <c r="I8" s="70">
        <f t="shared" si="0"/>
        <v>0.44715841571004666</v>
      </c>
      <c r="J8" s="70">
        <f t="shared" si="0"/>
        <v>0.48580975314341035</v>
      </c>
      <c r="K8" s="70">
        <f t="shared" si="0"/>
        <v>0.36548297304807542</v>
      </c>
      <c r="L8" s="70">
        <f t="shared" si="0"/>
        <v>0.38163159991746076</v>
      </c>
      <c r="M8" s="70">
        <f t="shared" si="0"/>
        <v>0.35649482970119212</v>
      </c>
      <c r="N8" s="70">
        <f t="shared" si="0"/>
        <v>0.28895444219551919</v>
      </c>
      <c r="O8" s="70">
        <f t="shared" si="0"/>
        <v>0.33212699235721599</v>
      </c>
      <c r="P8" s="70">
        <f t="shared" si="0"/>
        <v>0.37434378938577229</v>
      </c>
      <c r="Q8" s="70">
        <f t="shared" si="0"/>
        <v>0.3983048806672706</v>
      </c>
      <c r="R8" s="70">
        <f t="shared" si="0"/>
        <v>0.51013244999076535</v>
      </c>
      <c r="S8" s="70">
        <f t="shared" si="0"/>
        <v>0.46362342255923211</v>
      </c>
      <c r="T8" s="70">
        <f t="shared" si="0"/>
        <v>0.49129340908317909</v>
      </c>
    </row>
    <row r="9" spans="2:67">
      <c r="C9" s="70"/>
    </row>
    <row r="10" spans="2:67">
      <c r="C10" s="70"/>
    </row>
    <row r="11" spans="2:67">
      <c r="C11" t="s">
        <v>434</v>
      </c>
      <c r="D11" t="s">
        <v>435</v>
      </c>
      <c r="E11" t="s">
        <v>436</v>
      </c>
      <c r="F11" t="s">
        <v>437</v>
      </c>
      <c r="G11" t="s">
        <v>438</v>
      </c>
      <c r="H11" t="s">
        <v>439</v>
      </c>
      <c r="I11" t="s">
        <v>440</v>
      </c>
      <c r="J11" t="s">
        <v>441</v>
      </c>
      <c r="K11" t="s">
        <v>183</v>
      </c>
      <c r="L11" t="s">
        <v>186</v>
      </c>
      <c r="M11" t="s">
        <v>187</v>
      </c>
      <c r="N11" t="s">
        <v>188</v>
      </c>
      <c r="O11" t="s">
        <v>184</v>
      </c>
      <c r="P11" t="s">
        <v>185</v>
      </c>
      <c r="Q11" t="s">
        <v>158</v>
      </c>
      <c r="R11" t="s">
        <v>159</v>
      </c>
      <c r="S11" t="s">
        <v>160</v>
      </c>
      <c r="T11" t="s">
        <v>161</v>
      </c>
      <c r="U11" t="s">
        <v>162</v>
      </c>
      <c r="V11" t="s">
        <v>164</v>
      </c>
      <c r="W11" t="s">
        <v>177</v>
      </c>
      <c r="X11" t="s">
        <v>167</v>
      </c>
      <c r="Y11" t="s">
        <v>171</v>
      </c>
      <c r="Z11" t="s">
        <v>174</v>
      </c>
      <c r="AA11" t="s">
        <v>178</v>
      </c>
      <c r="AB11" t="s">
        <v>179</v>
      </c>
      <c r="AC11" t="s">
        <v>180</v>
      </c>
      <c r="AD11" t="s">
        <v>181</v>
      </c>
      <c r="AE11" t="s">
        <v>324</v>
      </c>
      <c r="AF11" t="s">
        <v>325</v>
      </c>
      <c r="AG11" t="s">
        <v>326</v>
      </c>
      <c r="AH11" t="s">
        <v>327</v>
      </c>
      <c r="AI11" t="s">
        <v>329</v>
      </c>
      <c r="AJ11" t="s">
        <v>330</v>
      </c>
      <c r="AK11" t="s">
        <v>331</v>
      </c>
      <c r="AL11" t="s">
        <v>332</v>
      </c>
      <c r="AM11" t="s">
        <v>345</v>
      </c>
      <c r="AN11" t="s">
        <v>350</v>
      </c>
      <c r="AO11" t="s">
        <v>351</v>
      </c>
      <c r="AP11" t="s">
        <v>352</v>
      </c>
      <c r="AQ11" t="s">
        <v>359</v>
      </c>
      <c r="AR11" t="s">
        <v>360</v>
      </c>
      <c r="AS11" t="s">
        <v>361</v>
      </c>
      <c r="AT11" t="s">
        <v>362</v>
      </c>
      <c r="AU11" t="s">
        <v>369</v>
      </c>
      <c r="AV11" t="s">
        <v>371</v>
      </c>
      <c r="AW11" t="s">
        <v>372</v>
      </c>
      <c r="AX11" t="s">
        <v>373</v>
      </c>
    </row>
    <row r="12" spans="2:67">
      <c r="B12" s="70" t="s">
        <v>442</v>
      </c>
      <c r="C12">
        <v>389</v>
      </c>
      <c r="D12">
        <v>412</v>
      </c>
      <c r="E12">
        <v>313</v>
      </c>
      <c r="F12">
        <v>283</v>
      </c>
      <c r="G12">
        <v>640</v>
      </c>
      <c r="H12">
        <v>475</v>
      </c>
      <c r="I12">
        <v>572</v>
      </c>
      <c r="J12">
        <v>233</v>
      </c>
      <c r="K12">
        <v>314</v>
      </c>
      <c r="L12" s="85">
        <v>592</v>
      </c>
      <c r="M12" s="85">
        <v>688</v>
      </c>
      <c r="N12" s="85">
        <v>254</v>
      </c>
      <c r="O12">
        <v>421</v>
      </c>
      <c r="P12" s="85">
        <v>473</v>
      </c>
      <c r="Q12" s="85">
        <v>516</v>
      </c>
      <c r="R12" s="85">
        <v>303</v>
      </c>
      <c r="S12">
        <v>326</v>
      </c>
      <c r="T12" s="85">
        <v>729</v>
      </c>
      <c r="U12" s="85">
        <v>473</v>
      </c>
      <c r="V12" s="85">
        <v>265</v>
      </c>
      <c r="W12">
        <v>453</v>
      </c>
      <c r="X12" s="85">
        <v>310</v>
      </c>
      <c r="Y12" s="85">
        <v>346</v>
      </c>
      <c r="Z12" s="85">
        <v>318</v>
      </c>
      <c r="AA12" s="45">
        <v>383</v>
      </c>
      <c r="AB12" s="45">
        <v>369</v>
      </c>
      <c r="AC12" s="45">
        <v>397</v>
      </c>
      <c r="AD12" s="45">
        <v>222</v>
      </c>
      <c r="AE12" s="45">
        <v>196</v>
      </c>
      <c r="AF12" s="45">
        <v>152</v>
      </c>
      <c r="AG12" s="45">
        <v>206</v>
      </c>
      <c r="AH12" s="45">
        <v>392</v>
      </c>
      <c r="AI12" s="56">
        <v>137</v>
      </c>
      <c r="AJ12" s="45">
        <v>324</v>
      </c>
      <c r="AK12" s="45">
        <v>657</v>
      </c>
      <c r="AL12" s="57">
        <v>265</v>
      </c>
      <c r="AM12" s="175">
        <v>158</v>
      </c>
      <c r="AN12">
        <v>423</v>
      </c>
      <c r="AO12">
        <v>662</v>
      </c>
      <c r="AP12">
        <v>220</v>
      </c>
      <c r="AQ12" s="85">
        <v>699</v>
      </c>
      <c r="AR12">
        <v>700</v>
      </c>
      <c r="AS12" s="85">
        <v>850</v>
      </c>
      <c r="AT12">
        <v>400</v>
      </c>
      <c r="AU12" s="85">
        <v>400</v>
      </c>
      <c r="AV12" s="85">
        <v>750</v>
      </c>
      <c r="AW12">
        <v>400</v>
      </c>
      <c r="AX12">
        <v>250</v>
      </c>
    </row>
    <row r="13" spans="2:67" ht="13.15" thickBot="1">
      <c r="B13" t="s">
        <v>424</v>
      </c>
      <c r="C13" s="181">
        <v>0.10669610007358354</v>
      </c>
      <c r="D13" s="181">
        <v>0.10997532604864291</v>
      </c>
      <c r="E13" s="181">
        <v>0.11241379310344835</v>
      </c>
      <c r="F13" s="181">
        <v>9.4676549865229109E-2</v>
      </c>
      <c r="G13" s="181">
        <v>9.4082446808510634E-2</v>
      </c>
      <c r="H13" s="181">
        <v>5.4620514449031488E-2</v>
      </c>
      <c r="I13" s="181">
        <v>4.6497210167389946E-2</v>
      </c>
      <c r="J13" s="181">
        <v>5.0169282856263431E-2</v>
      </c>
      <c r="K13" s="181">
        <v>7.2318444241871838E-2</v>
      </c>
      <c r="L13" s="181">
        <v>0.10448660042155966</v>
      </c>
      <c r="M13" s="181">
        <v>0.21475118483412325</v>
      </c>
      <c r="N13" s="181">
        <v>0.31858147713950768</v>
      </c>
      <c r="O13" s="181">
        <v>0.3131198639841315</v>
      </c>
      <c r="P13" s="181">
        <v>0.32742639040348953</v>
      </c>
      <c r="Q13" s="181">
        <v>0.22360399902462813</v>
      </c>
      <c r="R13" s="181">
        <v>0.13380751278061798</v>
      </c>
      <c r="S13" s="181">
        <v>0.12645662494605103</v>
      </c>
      <c r="T13" s="181">
        <v>0.12281782706921329</v>
      </c>
      <c r="U13" s="181">
        <v>0.11518533280191301</v>
      </c>
      <c r="V13" s="181">
        <v>0.16094883356204659</v>
      </c>
      <c r="W13" s="181">
        <v>0.15191570881226046</v>
      </c>
      <c r="X13" s="181">
        <v>0.13865008231205422</v>
      </c>
      <c r="Y13" s="181">
        <v>0.15010721944245886</v>
      </c>
      <c r="Z13" s="181">
        <v>0.11972306653157716</v>
      </c>
      <c r="AA13" s="181">
        <v>0.17295858972226852</v>
      </c>
      <c r="AB13" s="181">
        <v>0.16032128514056221</v>
      </c>
      <c r="AC13" s="181">
        <v>0.14962709757613424</v>
      </c>
      <c r="AD13" s="181">
        <v>0.14763987332227413</v>
      </c>
      <c r="AE13" s="181">
        <v>9.2726499361973636E-2</v>
      </c>
      <c r="AF13" s="181">
        <v>0.10660390419493293</v>
      </c>
      <c r="AG13" s="181">
        <v>0.11082578726854986</v>
      </c>
      <c r="AH13" s="181">
        <v>0.10919842312746386</v>
      </c>
      <c r="AI13" s="181">
        <v>0.10276372129233158</v>
      </c>
      <c r="AJ13" s="181">
        <v>8.4073564368822629E-2</v>
      </c>
      <c r="AK13" s="181">
        <v>7.5313298454799948E-2</v>
      </c>
      <c r="AL13" s="181">
        <v>2.4404691387276412E-2</v>
      </c>
      <c r="AM13" s="181">
        <v>4.9417578538650808E-3</v>
      </c>
      <c r="AN13" s="181">
        <v>1.038661281015596E-3</v>
      </c>
      <c r="AO13" s="181">
        <v>-5.0916496945010437E-3</v>
      </c>
      <c r="AP13" s="181">
        <v>3.3190701977564574E-2</v>
      </c>
      <c r="AQ13" s="181">
        <v>6.1819459079732964E-2</v>
      </c>
      <c r="AR13" s="181">
        <v>5.1187456767350703E-2</v>
      </c>
      <c r="AS13" s="181">
        <v>7.733424314795867E-2</v>
      </c>
      <c r="AT13" s="181">
        <v>7.9583613163196842E-2</v>
      </c>
      <c r="AU13" s="181">
        <v>9.1630830301025368E-2</v>
      </c>
      <c r="AV13" s="181">
        <v>0.11318271550778669</v>
      </c>
      <c r="AW13" s="181">
        <v>9.2578908476723232E-2</v>
      </c>
      <c r="AX13" s="181">
        <v>7.827890098496626E-2</v>
      </c>
      <c r="BA13" s="134"/>
      <c r="BF13" s="134"/>
      <c r="BK13" s="134"/>
      <c r="BL13" s="181">
        <v>4.5454545454545414E-2</v>
      </c>
      <c r="BM13" s="181">
        <v>3.9408866995073843E-2</v>
      </c>
      <c r="BN13" s="181">
        <v>5.3140096618357502E-2</v>
      </c>
      <c r="BO13" s="181">
        <v>6.7307692307692291E-2</v>
      </c>
    </row>
    <row r="14" spans="2:67">
      <c r="C14" s="70"/>
    </row>
    <row r="15" spans="2:67">
      <c r="C15" s="70"/>
    </row>
    <row r="16" spans="2:67">
      <c r="C16" s="70"/>
    </row>
    <row r="17" spans="3:3">
      <c r="C17" s="70"/>
    </row>
    <row r="18" spans="3:3">
      <c r="C18" s="70"/>
    </row>
    <row r="19" spans="3:3">
      <c r="C19" s="70"/>
    </row>
    <row r="20" spans="3:3">
      <c r="C20" s="70"/>
    </row>
    <row r="21" spans="3:3">
      <c r="C21" s="70"/>
    </row>
    <row r="22" spans="3:3">
      <c r="C22" s="70"/>
    </row>
    <row r="23" spans="3:3">
      <c r="C23" s="70"/>
    </row>
    <row r="24" spans="3:3">
      <c r="C24" s="70"/>
    </row>
    <row r="25" spans="3:3">
      <c r="C25" s="70"/>
    </row>
    <row r="26" spans="3:3">
      <c r="C26" s="70"/>
    </row>
    <row r="27" spans="3:3">
      <c r="C27" s="70"/>
    </row>
    <row r="28" spans="3:3">
      <c r="C28" s="70"/>
    </row>
    <row r="29" spans="3:3">
      <c r="C29" s="70"/>
    </row>
    <row r="30" spans="3:3">
      <c r="C30" s="70"/>
    </row>
    <row r="31" spans="3:3">
      <c r="C31" s="70"/>
    </row>
    <row r="32" spans="3:3">
      <c r="C32" s="70"/>
    </row>
    <row r="33" spans="3:3">
      <c r="C33" s="70"/>
    </row>
    <row r="34" spans="3:3">
      <c r="C34" s="70"/>
    </row>
    <row r="35" spans="3:3">
      <c r="C35" s="70"/>
    </row>
    <row r="36" spans="3:3">
      <c r="C36" s="70"/>
    </row>
    <row r="37" spans="3:3">
      <c r="C37" s="70"/>
    </row>
    <row r="38" spans="3:3">
      <c r="C38" s="70"/>
    </row>
    <row r="39" spans="3:3">
      <c r="C39" s="70"/>
    </row>
    <row r="40" spans="3:3">
      <c r="C40" s="70"/>
    </row>
    <row r="41" spans="3:3">
      <c r="C41" s="70"/>
    </row>
    <row r="42" spans="3:3">
      <c r="C42" s="70"/>
    </row>
    <row r="43" spans="3:3">
      <c r="C43" s="70"/>
    </row>
    <row r="44" spans="3:3">
      <c r="C44" s="70"/>
    </row>
    <row r="45" spans="3:3">
      <c r="C45" s="70"/>
    </row>
    <row r="46" spans="3:3">
      <c r="C46" s="70"/>
    </row>
    <row r="47" spans="3:3">
      <c r="C47" s="70"/>
    </row>
    <row r="48" spans="3:3">
      <c r="C48" s="70"/>
    </row>
    <row r="49" spans="3:3">
      <c r="C49" s="70"/>
    </row>
    <row r="50" spans="3:3">
      <c r="C50" s="70"/>
    </row>
    <row r="51" spans="3:3">
      <c r="C51" s="70"/>
    </row>
    <row r="52" spans="3:3">
      <c r="C52" s="70"/>
    </row>
    <row r="53" spans="3:3">
      <c r="C53" s="70"/>
    </row>
    <row r="54" spans="3:3">
      <c r="C54" s="70"/>
    </row>
    <row r="55" spans="3:3">
      <c r="C55" s="70"/>
    </row>
    <row r="56" spans="3:3">
      <c r="C56" s="70"/>
    </row>
    <row r="57" spans="3:3">
      <c r="C57" s="70"/>
    </row>
    <row r="58" spans="3:3">
      <c r="C58" s="70"/>
    </row>
    <row r="59" spans="3:3">
      <c r="C59" s="70"/>
    </row>
    <row r="60" spans="3:3">
      <c r="C60" s="70"/>
    </row>
    <row r="61" spans="3:3">
      <c r="C61" s="70"/>
    </row>
    <row r="62" spans="3:3">
      <c r="C62" s="70"/>
    </row>
    <row r="63" spans="3:3">
      <c r="C63" s="70"/>
    </row>
    <row r="64" spans="3:3">
      <c r="C64" s="70"/>
    </row>
    <row r="65" spans="3:3">
      <c r="C65" s="70"/>
    </row>
    <row r="66" spans="3:3">
      <c r="C66" s="70"/>
    </row>
    <row r="67" spans="3:3">
      <c r="C67" s="70"/>
    </row>
    <row r="68" spans="3:3">
      <c r="C68" s="70"/>
    </row>
    <row r="69" spans="3:3">
      <c r="C69" s="70"/>
    </row>
    <row r="70" spans="3:3">
      <c r="C70" s="70"/>
    </row>
    <row r="71" spans="3:3">
      <c r="C71" s="70"/>
    </row>
    <row r="72" spans="3:3">
      <c r="C72" s="70"/>
    </row>
    <row r="73" spans="3:3">
      <c r="C73" s="70"/>
    </row>
    <row r="74" spans="3:3">
      <c r="C74" s="70"/>
    </row>
    <row r="75" spans="3:3">
      <c r="C75" s="70"/>
    </row>
    <row r="76" spans="3:3">
      <c r="C76" s="70"/>
    </row>
    <row r="77" spans="3:3">
      <c r="C77" s="70"/>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7712-D5E9-4A84-BD4B-94860C9E0DC9}">
  <dimension ref="D2:XFD33"/>
  <sheetViews>
    <sheetView showGridLines="0" topLeftCell="G1" workbookViewId="0">
      <selection activeCell="M2" sqref="M2:R7"/>
    </sheetView>
  </sheetViews>
  <sheetFormatPr defaultRowHeight="12.75"/>
  <cols>
    <col min="4" max="4" width="14.53125" bestFit="1" customWidth="1"/>
    <col min="5" max="9" width="12.796875" customWidth="1"/>
    <col min="13" max="13" width="16" bestFit="1" customWidth="1"/>
    <col min="14" max="14" width="15.73046875" customWidth="1"/>
  </cols>
  <sheetData>
    <row r="2" spans="4:18 16384:16384" ht="13.15">
      <c r="M2" s="828"/>
      <c r="N2" s="829"/>
      <c r="O2" s="932" t="s">
        <v>495</v>
      </c>
      <c r="P2" s="932"/>
      <c r="Q2" s="932" t="s">
        <v>496</v>
      </c>
      <c r="R2" s="933"/>
      <c r="XFD2" s="1"/>
    </row>
    <row r="3" spans="4:18 16384:16384" ht="13.15">
      <c r="M3" s="830" t="s">
        <v>485</v>
      </c>
      <c r="N3" s="831" t="s">
        <v>487</v>
      </c>
      <c r="O3" s="832" t="s">
        <v>482</v>
      </c>
      <c r="P3" s="832" t="s">
        <v>488</v>
      </c>
      <c r="Q3" s="832" t="s">
        <v>482</v>
      </c>
      <c r="R3" s="833" t="s">
        <v>447</v>
      </c>
    </row>
    <row r="4" spans="4:18 16384:16384">
      <c r="M4" s="759" t="s">
        <v>489</v>
      </c>
      <c r="N4" s="765" t="s">
        <v>492</v>
      </c>
      <c r="O4" s="760">
        <v>5</v>
      </c>
      <c r="P4" s="760">
        <v>2.1</v>
      </c>
      <c r="Q4" s="766">
        <v>1.5</v>
      </c>
      <c r="R4" s="761">
        <f>Q4/O4</f>
        <v>0.3</v>
      </c>
    </row>
    <row r="5" spans="4:18 16384:16384">
      <c r="D5" t="s">
        <v>382</v>
      </c>
      <c r="E5" s="546">
        <v>150</v>
      </c>
      <c r="H5" s="254" t="s">
        <v>421</v>
      </c>
      <c r="M5" s="759" t="s">
        <v>490</v>
      </c>
      <c r="N5" s="765" t="s">
        <v>493</v>
      </c>
      <c r="O5" s="760">
        <v>25</v>
      </c>
      <c r="P5" s="760">
        <v>18</v>
      </c>
      <c r="Q5" s="766">
        <v>0</v>
      </c>
      <c r="R5" s="761">
        <f t="shared" ref="R5:R6" si="0">Q5/O5</f>
        <v>0</v>
      </c>
    </row>
    <row r="6" spans="4:18 16384:16384">
      <c r="D6" t="s">
        <v>383</v>
      </c>
      <c r="E6">
        <f>IS!BY73/1000</f>
        <v>36.988999999999997</v>
      </c>
      <c r="H6" s="606">
        <f>IS!CH4/1000</f>
        <v>536.91</v>
      </c>
      <c r="M6" s="759" t="s">
        <v>491</v>
      </c>
      <c r="N6" s="765" t="s">
        <v>494</v>
      </c>
      <c r="O6" s="760">
        <v>40</v>
      </c>
      <c r="P6" s="760">
        <v>40</v>
      </c>
      <c r="Q6" s="766">
        <v>5.5</v>
      </c>
      <c r="R6" s="761">
        <f t="shared" si="0"/>
        <v>0.13750000000000001</v>
      </c>
    </row>
    <row r="7" spans="4:18 16384:16384" ht="13.15">
      <c r="D7" t="s">
        <v>384</v>
      </c>
      <c r="E7" s="547">
        <f>E6*E5</f>
        <v>5548.3499999999995</v>
      </c>
      <c r="M7" s="698" t="s">
        <v>482</v>
      </c>
      <c r="N7" s="762"/>
      <c r="O7" s="763">
        <f>SUM(O4:O6)</f>
        <v>70</v>
      </c>
      <c r="P7" s="763">
        <f>SUM(P4:P6)</f>
        <v>60.1</v>
      </c>
      <c r="Q7" s="767">
        <f>SUM(Q4:Q6)</f>
        <v>7</v>
      </c>
      <c r="R7" s="764">
        <f>Q7/O7</f>
        <v>0.1</v>
      </c>
    </row>
    <row r="8" spans="4:18 16384:16384">
      <c r="D8" t="s">
        <v>385</v>
      </c>
      <c r="E8">
        <v>0</v>
      </c>
      <c r="H8">
        <f>E10/H6</f>
        <v>9.8811532659104859</v>
      </c>
    </row>
    <row r="9" spans="4:18 16384:16384">
      <c r="D9" t="s">
        <v>386</v>
      </c>
      <c r="E9" s="547">
        <v>243.06</v>
      </c>
    </row>
    <row r="10" spans="4:18 16384:16384" ht="13.15">
      <c r="D10" s="1" t="s">
        <v>322</v>
      </c>
      <c r="E10" s="605">
        <f>E7-E9</f>
        <v>5305.2899999999991</v>
      </c>
    </row>
    <row r="13" spans="4:18 16384:16384">
      <c r="N13" s="609"/>
      <c r="O13" s="609"/>
      <c r="P13" s="609"/>
      <c r="Q13" s="609"/>
      <c r="R13" s="609"/>
    </row>
    <row r="16" spans="4:18 16384:16384" ht="13.15" thickBot="1">
      <c r="N16" s="609"/>
      <c r="O16" s="609"/>
      <c r="P16" s="609"/>
      <c r="Q16" s="609"/>
      <c r="R16" s="609"/>
    </row>
    <row r="17" spans="4:15" ht="13.5" thickBot="1">
      <c r="E17" s="465" t="s">
        <v>120</v>
      </c>
      <c r="F17" s="465" t="s">
        <v>381</v>
      </c>
      <c r="G17" s="465" t="s">
        <v>122</v>
      </c>
      <c r="H17" s="465" t="s">
        <v>121</v>
      </c>
      <c r="I17" s="465" t="s">
        <v>120</v>
      </c>
    </row>
    <row r="18" spans="4:15">
      <c r="D18" t="s">
        <v>117</v>
      </c>
      <c r="E18" s="63">
        <v>119187.14759999998</v>
      </c>
      <c r="F18" s="63">
        <v>122103.9135</v>
      </c>
      <c r="G18" s="63">
        <v>126440.871</v>
      </c>
      <c r="H18" s="63">
        <v>131400.418576355</v>
      </c>
      <c r="I18" s="63">
        <v>136841.30655559996</v>
      </c>
    </row>
    <row r="19" spans="4:15">
      <c r="D19" t="s">
        <v>423</v>
      </c>
      <c r="E19" s="609">
        <v>1700</v>
      </c>
      <c r="F19" s="609">
        <v>1900</v>
      </c>
      <c r="G19" s="609">
        <v>2100</v>
      </c>
      <c r="H19" s="609">
        <v>2200</v>
      </c>
      <c r="I19" s="609">
        <v>2300</v>
      </c>
    </row>
    <row r="20" spans="4:15">
      <c r="D20" t="s">
        <v>363</v>
      </c>
      <c r="E20" s="85">
        <f>E18+E19</f>
        <v>120887.14759999998</v>
      </c>
      <c r="F20" s="85">
        <f t="shared" ref="F20:I20" si="1">F18+F19</f>
        <v>124003.9135</v>
      </c>
      <c r="G20" s="85">
        <f t="shared" si="1"/>
        <v>128540.871</v>
      </c>
      <c r="H20" s="85">
        <f t="shared" si="1"/>
        <v>133600.418576355</v>
      </c>
      <c r="I20" s="85">
        <f t="shared" si="1"/>
        <v>139141.30655559996</v>
      </c>
    </row>
    <row r="22" spans="4:15">
      <c r="D22" t="s">
        <v>354</v>
      </c>
      <c r="E22" s="45">
        <v>33786.374047600002</v>
      </c>
      <c r="F22" s="118">
        <v>35327.649683000011</v>
      </c>
      <c r="G22" s="45">
        <v>36704.299589000002</v>
      </c>
      <c r="H22" s="45">
        <v>38100.40531127595</v>
      </c>
      <c r="I22" s="45">
        <v>39604.440762900398</v>
      </c>
      <c r="N22" s="45"/>
      <c r="O22" s="45"/>
    </row>
    <row r="23" spans="4:15">
      <c r="D23" t="s">
        <v>423</v>
      </c>
      <c r="E23" s="64">
        <v>-200</v>
      </c>
      <c r="F23" s="609">
        <v>0</v>
      </c>
      <c r="G23" s="609">
        <v>100</v>
      </c>
      <c r="H23" s="609">
        <v>150</v>
      </c>
      <c r="I23" s="609">
        <v>250</v>
      </c>
      <c r="N23" s="86"/>
      <c r="O23" s="86"/>
    </row>
    <row r="24" spans="4:15">
      <c r="D24" t="s">
        <v>363</v>
      </c>
      <c r="E24" s="85">
        <f>E22+E23</f>
        <v>33586.374047600002</v>
      </c>
      <c r="F24" s="85">
        <f t="shared" ref="F24:I24" si="2">F22+F23</f>
        <v>35327.649683000011</v>
      </c>
      <c r="G24" s="85">
        <f t="shared" si="2"/>
        <v>36804.299589000002</v>
      </c>
      <c r="H24" s="85">
        <f t="shared" si="2"/>
        <v>38250.40531127595</v>
      </c>
      <c r="I24" s="85">
        <f t="shared" si="2"/>
        <v>39854.440762900398</v>
      </c>
      <c r="J24" s="85">
        <f>SUM(F24:I24)</f>
        <v>150236.79534617637</v>
      </c>
    </row>
    <row r="27" spans="4:15" ht="13.15">
      <c r="D27" s="692"/>
      <c r="E27" s="693" t="s">
        <v>458</v>
      </c>
      <c r="F27" s="693" t="s">
        <v>459</v>
      </c>
      <c r="G27" s="694" t="s">
        <v>460</v>
      </c>
    </row>
    <row r="28" spans="4:15" ht="13.15">
      <c r="D28" s="695" t="s">
        <v>117</v>
      </c>
      <c r="E28" s="696">
        <v>3000</v>
      </c>
      <c r="F28" s="696">
        <v>8000</v>
      </c>
      <c r="G28" s="697">
        <v>25000</v>
      </c>
    </row>
    <row r="29" spans="4:15" ht="13.15">
      <c r="D29" s="698" t="s">
        <v>19</v>
      </c>
      <c r="E29" s="699">
        <v>-750</v>
      </c>
      <c r="F29" s="699">
        <v>-1500</v>
      </c>
      <c r="G29" s="700">
        <v>0</v>
      </c>
    </row>
    <row r="33" spans="4:5" ht="13.15">
      <c r="D33" s="1" t="s">
        <v>485</v>
      </c>
      <c r="E33" s="254" t="s">
        <v>486</v>
      </c>
    </row>
  </sheetData>
  <mergeCells count="2">
    <mergeCell ref="O2:P2"/>
    <mergeCell ref="Q2:R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1"/>
  <sheetViews>
    <sheetView showGridLines="0" workbookViewId="0">
      <pane xSplit="1" ySplit="1" topLeftCell="M2" activePane="bottomRight" state="frozen"/>
      <selection pane="topRight" activeCell="B1" sqref="B1"/>
      <selection pane="bottomLeft" activeCell="A2" sqref="A2"/>
      <selection pane="bottomRight" activeCell="T11" sqref="T11"/>
    </sheetView>
  </sheetViews>
  <sheetFormatPr defaultRowHeight="12.75"/>
  <cols>
    <col min="1" max="1" width="22.46484375" customWidth="1"/>
    <col min="2" max="12" width="10.265625" bestFit="1" customWidth="1"/>
    <col min="14" max="14" width="10.265625" bestFit="1" customWidth="1"/>
    <col min="37" max="37" width="10.265625" bestFit="1" customWidth="1"/>
  </cols>
  <sheetData>
    <row r="1" spans="1:37" ht="13.5" thickBot="1">
      <c r="B1" s="165" t="s">
        <v>184</v>
      </c>
      <c r="C1" s="151" t="s">
        <v>185</v>
      </c>
      <c r="D1" s="151" t="s">
        <v>158</v>
      </c>
      <c r="E1" s="164" t="s">
        <v>159</v>
      </c>
      <c r="F1" s="165" t="s">
        <v>160</v>
      </c>
      <c r="G1" s="151" t="s">
        <v>161</v>
      </c>
      <c r="H1" s="151" t="s">
        <v>162</v>
      </c>
      <c r="I1" s="164" t="s">
        <v>164</v>
      </c>
      <c r="J1" s="165" t="s">
        <v>177</v>
      </c>
      <c r="K1" s="151" t="s">
        <v>167</v>
      </c>
      <c r="L1" s="151" t="s">
        <v>171</v>
      </c>
      <c r="M1" s="164" t="s">
        <v>174</v>
      </c>
      <c r="N1" s="154" t="s">
        <v>178</v>
      </c>
      <c r="O1" s="155" t="s">
        <v>179</v>
      </c>
      <c r="P1" s="155" t="s">
        <v>180</v>
      </c>
      <c r="Q1" s="156" t="s">
        <v>181</v>
      </c>
      <c r="R1" s="375" t="s">
        <v>324</v>
      </c>
      <c r="S1" s="374" t="s">
        <v>325</v>
      </c>
      <c r="T1" s="374" t="s">
        <v>326</v>
      </c>
      <c r="U1" s="376" t="s">
        <v>327</v>
      </c>
      <c r="V1" s="375" t="s">
        <v>329</v>
      </c>
      <c r="W1" s="374" t="s">
        <v>330</v>
      </c>
      <c r="X1" s="374" t="s">
        <v>331</v>
      </c>
      <c r="Y1" s="376" t="s">
        <v>332</v>
      </c>
      <c r="Z1" s="375" t="s">
        <v>345</v>
      </c>
      <c r="AA1" s="374" t="s">
        <v>350</v>
      </c>
      <c r="AB1" s="374" t="s">
        <v>351</v>
      </c>
      <c r="AC1" s="376" t="s">
        <v>352</v>
      </c>
      <c r="AD1" s="375" t="s">
        <v>359</v>
      </c>
      <c r="AE1" s="374" t="s">
        <v>360</v>
      </c>
      <c r="AF1" s="374" t="s">
        <v>361</v>
      </c>
      <c r="AG1" s="376" t="s">
        <v>362</v>
      </c>
      <c r="AH1" s="375" t="s">
        <v>369</v>
      </c>
      <c r="AI1" s="374" t="s">
        <v>371</v>
      </c>
      <c r="AJ1" s="374" t="s">
        <v>372</v>
      </c>
      <c r="AK1" s="374" t="s">
        <v>373</v>
      </c>
    </row>
    <row r="2" spans="1:37">
      <c r="A2" s="185" t="s">
        <v>189</v>
      </c>
      <c r="B2" s="196">
        <f>Metrics!AF25</f>
        <v>4634</v>
      </c>
      <c r="C2" s="197">
        <f>Metrics!AG25</f>
        <v>4869</v>
      </c>
      <c r="D2" s="197">
        <f>Metrics!AH25</f>
        <v>5018</v>
      </c>
      <c r="E2" s="198">
        <f>Metrics!AI25</f>
        <v>5101</v>
      </c>
      <c r="F2" s="197">
        <f>Metrics!AK25</f>
        <v>5220</v>
      </c>
      <c r="G2" s="197">
        <f>Metrics!AL25</f>
        <v>5467</v>
      </c>
      <c r="H2" s="197">
        <f>Metrics!AM25</f>
        <v>5596</v>
      </c>
      <c r="I2" s="198">
        <f>Metrics!AN25</f>
        <v>5922</v>
      </c>
      <c r="J2" s="196">
        <f>Metrics!AP25</f>
        <v>6013</v>
      </c>
      <c r="K2" s="197">
        <f>Metrics!AQ25</f>
        <v>6225</v>
      </c>
      <c r="L2" s="197">
        <f>Metrics!AR25</f>
        <v>6436</v>
      </c>
      <c r="M2" s="197">
        <f>Metrics!AS25</f>
        <v>6631</v>
      </c>
      <c r="N2" s="196">
        <f>Metrics!AU25</f>
        <v>7053</v>
      </c>
      <c r="O2" s="197">
        <f>Metrics!AV25</f>
        <v>7223</v>
      </c>
      <c r="P2" s="197">
        <f>Metrics!AW25</f>
        <v>7399</v>
      </c>
      <c r="Q2" s="369">
        <f>Metrics!AX25</f>
        <v>7610</v>
      </c>
      <c r="R2" s="371">
        <f>Metrics!AZ25</f>
        <v>7707</v>
      </c>
      <c r="S2" s="369">
        <f>Metrics!BA25</f>
        <v>7993</v>
      </c>
      <c r="T2" s="369">
        <f>Metrics!BB25</f>
        <v>8219</v>
      </c>
      <c r="U2" s="369">
        <f>Metrics!BC25</f>
        <v>8441</v>
      </c>
      <c r="V2" s="371">
        <f>Metrics!BE25</f>
        <v>8499</v>
      </c>
      <c r="W2" s="369">
        <f>Metrics!BF25</f>
        <v>8665</v>
      </c>
      <c r="X2" s="369">
        <f>Metrics!BG25</f>
        <v>8838</v>
      </c>
      <c r="Y2" s="369">
        <f>Metrics!BH25</f>
        <v>8647</v>
      </c>
      <c r="Z2" s="371">
        <f>Metrics!BJ25</f>
        <v>8541</v>
      </c>
      <c r="AA2" s="369">
        <f>Metrics!BK25</f>
        <v>8674</v>
      </c>
      <c r="AB2" s="369">
        <f>Metrics!BL25</f>
        <v>8793</v>
      </c>
      <c r="AC2" s="455">
        <f>Metrics!BM25</f>
        <v>8934</v>
      </c>
      <c r="AD2" s="371">
        <f>Metrics!BO25</f>
        <v>9069</v>
      </c>
      <c r="AE2" s="369">
        <f>Metrics!BP25</f>
        <v>9118</v>
      </c>
      <c r="AF2" s="369">
        <f>Metrics!BQ25</f>
        <v>9473</v>
      </c>
      <c r="AG2" s="458">
        <f>Metrics!BR25</f>
        <v>9645</v>
      </c>
      <c r="AH2" s="371">
        <f>Metrics!BT25</f>
        <v>9900</v>
      </c>
      <c r="AI2" s="369">
        <f>Metrics!BU25</f>
        <v>10150</v>
      </c>
      <c r="AJ2" s="369">
        <f>Metrics!BV25</f>
        <v>10350</v>
      </c>
      <c r="AK2" s="458">
        <f>Metrics!BV25</f>
        <v>10350</v>
      </c>
    </row>
    <row r="3" spans="1:37">
      <c r="A3" s="200" t="s">
        <v>244</v>
      </c>
      <c r="B3" s="194">
        <f>Metrics!AF26</f>
        <v>0.3131198639841315</v>
      </c>
      <c r="C3" s="195">
        <f>Metrics!AG26</f>
        <v>0.32742639040348953</v>
      </c>
      <c r="D3" s="195">
        <f>Metrics!AH26</f>
        <v>0.22360399902462813</v>
      </c>
      <c r="E3" s="199">
        <f>Metrics!AI26</f>
        <v>0.13380751278061798</v>
      </c>
      <c r="F3" s="195">
        <f>F2/B2-1</f>
        <v>0.12645662494605103</v>
      </c>
      <c r="G3" s="195">
        <f t="shared" ref="G3:K3" si="0">G2/C2-1</f>
        <v>0.12281782706921329</v>
      </c>
      <c r="H3" s="195">
        <f t="shared" si="0"/>
        <v>0.11518533280191301</v>
      </c>
      <c r="I3" s="199">
        <v>0.14000000000000001</v>
      </c>
      <c r="J3" s="194">
        <f t="shared" si="0"/>
        <v>0.15191570881226046</v>
      </c>
      <c r="K3" s="195">
        <f t="shared" si="0"/>
        <v>0.13865008231205422</v>
      </c>
      <c r="L3" s="195">
        <v>0.13</v>
      </c>
      <c r="M3" s="195">
        <v>0.14000000000000001</v>
      </c>
      <c r="N3" s="194">
        <v>0.13</v>
      </c>
      <c r="O3" s="195">
        <v>0.11</v>
      </c>
      <c r="P3" s="195">
        <v>0.11</v>
      </c>
      <c r="Q3" s="370">
        <v>0.1</v>
      </c>
      <c r="R3" s="372">
        <f>Metrics!AZ26</f>
        <v>9.2726499361973636E-2</v>
      </c>
      <c r="S3" s="257">
        <f>Metrics!BA26</f>
        <v>0.10660390419493293</v>
      </c>
      <c r="T3" s="257">
        <f>Metrics!BB26</f>
        <v>0.11082578726854986</v>
      </c>
      <c r="U3" s="257">
        <f>Metrics!BC26</f>
        <v>0.10919842312746386</v>
      </c>
      <c r="V3" s="372">
        <f>Metrics!BE26</f>
        <v>0.10276372129233158</v>
      </c>
      <c r="W3" s="257">
        <f>Metrics!BF26</f>
        <v>8.4073564368822629E-2</v>
      </c>
      <c r="X3" s="257">
        <f>Metrics!BG26</f>
        <v>7.5313298454799948E-2</v>
      </c>
      <c r="Y3" s="257">
        <f>Metrics!BH26</f>
        <v>2.4404691387276412E-2</v>
      </c>
      <c r="Z3" s="372">
        <v>6.2E-2</v>
      </c>
      <c r="AA3" s="257">
        <v>0.06</v>
      </c>
      <c r="AB3" s="446">
        <v>0.05</v>
      </c>
      <c r="AC3" s="456">
        <v>0.06</v>
      </c>
      <c r="AD3" s="372">
        <v>6.2E-2</v>
      </c>
      <c r="AE3" s="257">
        <v>5.0999999999999997E-2</v>
      </c>
      <c r="AF3" s="446">
        <f>AF2/AB2-1</f>
        <v>7.733424314795867E-2</v>
      </c>
      <c r="AG3" s="456">
        <f>AG2/AC2-1</f>
        <v>7.9583613163196842E-2</v>
      </c>
      <c r="AH3" s="372">
        <f>AH2/AD2-1</f>
        <v>9.1630830301025368E-2</v>
      </c>
      <c r="AI3" s="257">
        <f>AI2/AE2-1</f>
        <v>0.11318271550778669</v>
      </c>
      <c r="AJ3" s="257">
        <f>Metrics!BV26</f>
        <v>9.2578908476723232E-2</v>
      </c>
      <c r="AK3" s="456"/>
    </row>
    <row r="4" spans="1:37">
      <c r="A4" s="185" t="s">
        <v>141</v>
      </c>
      <c r="B4" s="186">
        <f>Metrics!AF7</f>
        <v>421</v>
      </c>
      <c r="C4" s="184">
        <f>Metrics!AG7</f>
        <v>473</v>
      </c>
      <c r="D4" s="184">
        <f>Metrics!AH7</f>
        <v>516</v>
      </c>
      <c r="E4" s="187">
        <f>Metrics!AI7</f>
        <v>303</v>
      </c>
      <c r="F4" s="184">
        <f>Metrics!AK7</f>
        <v>326</v>
      </c>
      <c r="G4" s="184">
        <f>Metrics!AL7</f>
        <v>729</v>
      </c>
      <c r="H4" s="184">
        <f>Metrics!AM7</f>
        <v>473</v>
      </c>
      <c r="I4" s="187">
        <v>247</v>
      </c>
      <c r="J4" s="186">
        <f>Metrics!AP7</f>
        <v>453</v>
      </c>
      <c r="K4" s="184">
        <f>Metrics!AQ7</f>
        <v>310</v>
      </c>
      <c r="L4" s="184">
        <f>Metrics!AR7</f>
        <v>346</v>
      </c>
      <c r="M4" s="184">
        <f>Metrics!AS7</f>
        <v>318</v>
      </c>
      <c r="N4" s="186">
        <f>Metrics!AU9</f>
        <v>383</v>
      </c>
      <c r="O4" s="184">
        <f>Metrics!AV7</f>
        <v>369</v>
      </c>
      <c r="P4" s="184">
        <f>Metrics!AW7</f>
        <v>397</v>
      </c>
      <c r="Q4" s="184">
        <f>Metrics!AX7</f>
        <v>222</v>
      </c>
      <c r="R4" s="186">
        <f>Metrics!AZ7</f>
        <v>196</v>
      </c>
      <c r="S4" s="184">
        <f>Metrics!BA7</f>
        <v>152</v>
      </c>
      <c r="T4" s="184">
        <f>Metrics!BB7</f>
        <v>206</v>
      </c>
      <c r="U4" s="184">
        <f>Metrics!BC7</f>
        <v>392</v>
      </c>
      <c r="V4" s="186">
        <f>Metrics!BE7</f>
        <v>137</v>
      </c>
      <c r="W4" s="184">
        <f>Metrics!BF7</f>
        <v>324</v>
      </c>
      <c r="X4" s="184">
        <f>Metrics!BG7</f>
        <v>657</v>
      </c>
      <c r="Y4" s="184">
        <v>265</v>
      </c>
      <c r="Z4" s="186">
        <f>Metrics!BJ7</f>
        <v>158</v>
      </c>
      <c r="AA4" s="184">
        <f>Metrics!BK7</f>
        <v>423</v>
      </c>
      <c r="AB4" s="184">
        <f>Metrics!BL7</f>
        <v>662</v>
      </c>
      <c r="AC4" s="217">
        <f>Metrics!BM7</f>
        <v>220</v>
      </c>
      <c r="AD4" s="186">
        <f>Metrics!BO7</f>
        <v>229</v>
      </c>
      <c r="AE4" s="184">
        <f>Metrics!BP7</f>
        <v>468</v>
      </c>
      <c r="AF4" s="184">
        <f>Metrics!BQ7</f>
        <v>557</v>
      </c>
      <c r="AG4" s="187">
        <f>Metrics!BR7</f>
        <v>1126</v>
      </c>
      <c r="AH4" s="186">
        <f>Metrics!BT7</f>
        <v>699</v>
      </c>
      <c r="AI4" s="186">
        <f>Metrics!BU7</f>
        <v>700</v>
      </c>
      <c r="AJ4" s="184">
        <f>Metrics!BV7</f>
        <v>850</v>
      </c>
      <c r="AK4" s="187">
        <f>Metrics!BV7</f>
        <v>850</v>
      </c>
    </row>
    <row r="5" spans="1:37" ht="13.15" thickBot="1">
      <c r="A5" s="185" t="s">
        <v>97</v>
      </c>
      <c r="B5" s="58">
        <f>Metrics!AF4</f>
        <v>18398</v>
      </c>
      <c r="C5" s="59">
        <f>Metrics!AG4</f>
        <v>18871</v>
      </c>
      <c r="D5" s="59">
        <f>Metrics!AH4</f>
        <v>19387</v>
      </c>
      <c r="E5" s="60">
        <f>Metrics!AI4</f>
        <v>19690</v>
      </c>
      <c r="F5" s="59">
        <f>Metrics!AK4</f>
        <v>20016</v>
      </c>
      <c r="G5" s="59">
        <f>Metrics!AL4</f>
        <v>20745</v>
      </c>
      <c r="H5" s="59">
        <f>Metrics!AM4</f>
        <v>21218</v>
      </c>
      <c r="I5" s="60">
        <f>Metrics!AN4</f>
        <v>21983</v>
      </c>
      <c r="J5" s="58">
        <f>Metrics!AP4</f>
        <v>22436</v>
      </c>
      <c r="K5" s="59">
        <f>Metrics!AQ4</f>
        <v>22746</v>
      </c>
      <c r="L5" s="59">
        <f>Metrics!AR4</f>
        <v>23092</v>
      </c>
      <c r="M5" s="59">
        <f>Metrics!AS4</f>
        <v>23410</v>
      </c>
      <c r="N5" s="58">
        <f>Metrics!AU4</f>
        <v>23817</v>
      </c>
      <c r="O5" s="59">
        <f>Metrics!AV4</f>
        <v>24186</v>
      </c>
      <c r="P5" s="59">
        <f>Metrics!AW4</f>
        <v>24583</v>
      </c>
      <c r="Q5" s="59">
        <f>Metrics!AX4</f>
        <v>24805</v>
      </c>
      <c r="R5" s="58">
        <f>Metrics!AZ4</f>
        <v>25001</v>
      </c>
      <c r="S5" s="59">
        <f>Metrics!BA4</f>
        <v>25153</v>
      </c>
      <c r="T5" s="59">
        <f>Metrics!BB4</f>
        <v>25359</v>
      </c>
      <c r="U5" s="59">
        <f>Metrics!BC4</f>
        <v>25751</v>
      </c>
      <c r="V5" s="58">
        <f>Metrics!BE4</f>
        <v>25888</v>
      </c>
      <c r="W5" s="59">
        <f>Metrics!BF4</f>
        <v>26212</v>
      </c>
      <c r="X5" s="59">
        <f>Metrics!BG4</f>
        <v>26869</v>
      </c>
      <c r="Y5" s="59">
        <f>Metrics!BH4</f>
        <v>29308</v>
      </c>
      <c r="Z5" s="55">
        <f>Metrics!BJ4</f>
        <v>29466</v>
      </c>
      <c r="AA5" s="28">
        <f>Metrics!BK4</f>
        <v>29889</v>
      </c>
      <c r="AB5" s="28">
        <f>Metrics!BL4</f>
        <v>30551</v>
      </c>
      <c r="AC5" s="178">
        <f>Metrics!BM4</f>
        <v>30771</v>
      </c>
      <c r="AD5" s="55">
        <f>Metrics!BO4</f>
        <v>31000</v>
      </c>
      <c r="AE5" s="28">
        <f>Metrics!BP4</f>
        <v>31468</v>
      </c>
      <c r="AF5" s="28">
        <f>Metrics!BQ4</f>
        <v>32025</v>
      </c>
      <c r="AG5" s="178">
        <f>Metrics!BR4</f>
        <v>33151</v>
      </c>
      <c r="AH5" s="55">
        <f>Metrics!BT4</f>
        <v>33850</v>
      </c>
      <c r="AI5" s="28">
        <f>Metrics!BT4</f>
        <v>33850</v>
      </c>
      <c r="AJ5" s="28">
        <f>Metrics!BV4</f>
        <v>35400</v>
      </c>
      <c r="AK5" s="178">
        <f>Metrics!BV4</f>
        <v>35400</v>
      </c>
    </row>
    <row r="6" spans="1:37">
      <c r="B6" t="s">
        <v>247</v>
      </c>
      <c r="I6" t="s">
        <v>246</v>
      </c>
      <c r="N6" t="s">
        <v>245</v>
      </c>
      <c r="AC6" s="70"/>
    </row>
    <row r="7" spans="1:37">
      <c r="I7" t="s">
        <v>248</v>
      </c>
    </row>
    <row r="8" spans="1:37" ht="13.15" thickBot="1"/>
    <row r="9" spans="1:37" ht="13.5" thickBot="1">
      <c r="F9" s="165" t="s">
        <v>160</v>
      </c>
      <c r="G9" s="151" t="s">
        <v>161</v>
      </c>
      <c r="H9" s="151" t="s">
        <v>162</v>
      </c>
      <c r="I9" s="164" t="s">
        <v>164</v>
      </c>
      <c r="J9" s="165" t="s">
        <v>177</v>
      </c>
      <c r="K9" s="151" t="s">
        <v>167</v>
      </c>
      <c r="L9" s="151" t="s">
        <v>171</v>
      </c>
      <c r="M9" s="164" t="s">
        <v>174</v>
      </c>
      <c r="N9" s="154" t="s">
        <v>178</v>
      </c>
      <c r="O9" s="155" t="s">
        <v>179</v>
      </c>
      <c r="P9" s="155" t="s">
        <v>180</v>
      </c>
      <c r="Q9" s="156" t="s">
        <v>181</v>
      </c>
      <c r="R9" s="375" t="s">
        <v>324</v>
      </c>
      <c r="S9" s="374" t="s">
        <v>325</v>
      </c>
      <c r="T9" s="374" t="s">
        <v>326</v>
      </c>
      <c r="U9" s="376" t="s">
        <v>327</v>
      </c>
      <c r="V9" s="375" t="s">
        <v>329</v>
      </c>
      <c r="W9" s="374" t="s">
        <v>330</v>
      </c>
      <c r="X9" s="374" t="s">
        <v>331</v>
      </c>
      <c r="Y9" s="376" t="s">
        <v>332</v>
      </c>
      <c r="Z9" s="375" t="s">
        <v>345</v>
      </c>
      <c r="AA9" s="374" t="s">
        <v>350</v>
      </c>
      <c r="AB9" s="374" t="s">
        <v>351</v>
      </c>
      <c r="AC9" s="376" t="s">
        <v>352</v>
      </c>
      <c r="AD9" s="375" t="s">
        <v>359</v>
      </c>
      <c r="AE9" s="374" t="s">
        <v>360</v>
      </c>
      <c r="AF9" s="374" t="s">
        <v>361</v>
      </c>
      <c r="AG9" s="376" t="s">
        <v>362</v>
      </c>
      <c r="AH9" s="375" t="s">
        <v>369</v>
      </c>
      <c r="AI9" s="374" t="s">
        <v>371</v>
      </c>
      <c r="AJ9" s="374" t="s">
        <v>372</v>
      </c>
      <c r="AK9" s="376" t="s">
        <v>373</v>
      </c>
    </row>
    <row r="10" spans="1:37">
      <c r="E10" s="529" t="s">
        <v>376</v>
      </c>
      <c r="F10" s="195">
        <v>0.12645662494605103</v>
      </c>
      <c r="G10" s="195">
        <v>0.12281782706921329</v>
      </c>
      <c r="H10" s="195">
        <v>0.11518533280191301</v>
      </c>
      <c r="I10" s="199">
        <v>0.14000000000000001</v>
      </c>
      <c r="J10" s="194">
        <v>0.15191570881226046</v>
      </c>
      <c r="K10" s="195">
        <v>0.13865008231205422</v>
      </c>
      <c r="L10" s="195">
        <v>0.13</v>
      </c>
      <c r="M10" s="195">
        <v>0.14000000000000001</v>
      </c>
      <c r="N10" s="194">
        <v>0.13</v>
      </c>
      <c r="O10" s="195">
        <v>0.11</v>
      </c>
      <c r="P10" s="195">
        <v>0.11</v>
      </c>
      <c r="Q10" s="370">
        <v>0.1</v>
      </c>
      <c r="R10" s="372">
        <v>9.2726499361973636E-2</v>
      </c>
      <c r="S10" s="257">
        <v>0.10660390419493293</v>
      </c>
      <c r="T10" s="257">
        <v>0.11082578726854986</v>
      </c>
      <c r="U10" s="257">
        <v>0.10919842312746386</v>
      </c>
      <c r="V10" s="372">
        <v>0.10276372129233158</v>
      </c>
      <c r="W10" s="257">
        <v>8.4073564368822629E-2</v>
      </c>
      <c r="X10" s="257">
        <v>7.5313298454799948E-2</v>
      </c>
      <c r="Y10" s="257">
        <v>2.4404691387276412E-2</v>
      </c>
      <c r="Z10" s="372">
        <f>Metrics!BJ26</f>
        <v>4.9417578538650808E-3</v>
      </c>
      <c r="AA10" s="372">
        <f>Metrics!BK26</f>
        <v>1.038661281015596E-3</v>
      </c>
      <c r="AB10" s="372">
        <f>Metrics!BL26</f>
        <v>-5.0916496945010437E-3</v>
      </c>
      <c r="AC10" s="372">
        <f>Metrics!BM26</f>
        <v>3.3190701977564574E-2</v>
      </c>
      <c r="AD10" s="372">
        <f>Metrics!BO26</f>
        <v>6.1819459079732964E-2</v>
      </c>
      <c r="AE10" s="372">
        <f>Metrics!BP26</f>
        <v>5.1187456767350703E-2</v>
      </c>
      <c r="AF10" s="446">
        <v>7.733424314795867E-2</v>
      </c>
      <c r="AG10" s="456">
        <v>7.9583613163196842E-2</v>
      </c>
      <c r="AH10" s="372">
        <v>9.1630830301025368E-2</v>
      </c>
      <c r="AI10" s="257">
        <v>0.11318271550778669</v>
      </c>
      <c r="AJ10" s="257">
        <v>9.2578908476723232E-2</v>
      </c>
    </row>
    <row r="11" spans="1:37">
      <c r="E11" s="185" t="s">
        <v>141</v>
      </c>
      <c r="F11" s="184">
        <v>326</v>
      </c>
      <c r="G11" s="184">
        <v>729</v>
      </c>
      <c r="H11" s="184">
        <v>473</v>
      </c>
      <c r="I11" s="187">
        <v>247</v>
      </c>
      <c r="J11" s="186">
        <v>453</v>
      </c>
      <c r="K11" s="184">
        <v>310</v>
      </c>
      <c r="L11" s="184">
        <v>346</v>
      </c>
      <c r="M11" s="184">
        <v>318</v>
      </c>
      <c r="N11" s="186">
        <v>383</v>
      </c>
      <c r="O11" s="184">
        <v>369</v>
      </c>
      <c r="P11" s="184">
        <v>397</v>
      </c>
      <c r="Q11" s="184">
        <v>222</v>
      </c>
      <c r="R11" s="186">
        <v>196</v>
      </c>
      <c r="S11" s="184">
        <v>152</v>
      </c>
      <c r="T11" s="184">
        <v>206</v>
      </c>
      <c r="U11" s="184">
        <v>392</v>
      </c>
      <c r="V11" s="186">
        <v>137</v>
      </c>
      <c r="W11" s="184">
        <v>324</v>
      </c>
      <c r="X11" s="184">
        <v>657</v>
      </c>
      <c r="Y11" s="184">
        <v>265</v>
      </c>
      <c r="Z11" s="186">
        <v>158</v>
      </c>
      <c r="AA11" s="184">
        <v>423</v>
      </c>
      <c r="AB11" s="184">
        <v>662</v>
      </c>
      <c r="AC11" s="217">
        <v>220</v>
      </c>
      <c r="AD11" s="186">
        <v>239</v>
      </c>
      <c r="AE11" s="184">
        <v>458</v>
      </c>
      <c r="AF11" s="184">
        <v>557</v>
      </c>
      <c r="AG11" s="187">
        <v>1126</v>
      </c>
      <c r="AH11" s="186">
        <v>699</v>
      </c>
      <c r="AI11" s="186">
        <v>700</v>
      </c>
      <c r="AJ11" s="184">
        <v>850</v>
      </c>
      <c r="AK11" s="187">
        <v>850</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C354E-D3CC-4727-B6DD-67A4AE068C3C}">
  <dimension ref="B2:BP5"/>
  <sheetViews>
    <sheetView workbookViewId="0">
      <selection activeCell="H18" sqref="H18"/>
    </sheetView>
  </sheetViews>
  <sheetFormatPr defaultRowHeight="12.75"/>
  <cols>
    <col min="2" max="2" width="26.19921875" customWidth="1"/>
  </cols>
  <sheetData>
    <row r="2" spans="2:68">
      <c r="C2" s="254" t="s">
        <v>465</v>
      </c>
      <c r="D2" s="254" t="s">
        <v>466</v>
      </c>
      <c r="E2" s="254" t="s">
        <v>467</v>
      </c>
      <c r="F2" s="254" t="s">
        <v>468</v>
      </c>
      <c r="G2" s="254" t="s">
        <v>434</v>
      </c>
      <c r="H2" s="254" t="s">
        <v>435</v>
      </c>
      <c r="I2" s="254" t="s">
        <v>436</v>
      </c>
      <c r="J2" s="254" t="s">
        <v>437</v>
      </c>
      <c r="K2" s="254" t="s">
        <v>438</v>
      </c>
      <c r="L2" s="254" t="s">
        <v>439</v>
      </c>
      <c r="M2" s="254" t="s">
        <v>440</v>
      </c>
      <c r="N2" s="254" t="s">
        <v>441</v>
      </c>
      <c r="O2" s="254" t="s">
        <v>183</v>
      </c>
      <c r="P2" s="254" t="s">
        <v>186</v>
      </c>
      <c r="Q2" s="254" t="s">
        <v>187</v>
      </c>
      <c r="R2" s="254" t="s">
        <v>188</v>
      </c>
      <c r="S2" s="254" t="s">
        <v>184</v>
      </c>
      <c r="T2" s="254" t="s">
        <v>185</v>
      </c>
      <c r="U2" s="254" t="s">
        <v>158</v>
      </c>
      <c r="V2" s="254" t="s">
        <v>159</v>
      </c>
      <c r="W2" s="254" t="s">
        <v>160</v>
      </c>
      <c r="X2" s="254" t="s">
        <v>161</v>
      </c>
      <c r="Y2" s="254" t="s">
        <v>162</v>
      </c>
      <c r="Z2" s="254" t="s">
        <v>164</v>
      </c>
      <c r="AA2" s="254" t="s">
        <v>177</v>
      </c>
      <c r="AB2" s="254" t="s">
        <v>167</v>
      </c>
      <c r="AC2" s="254" t="s">
        <v>171</v>
      </c>
      <c r="AD2" s="254" t="s">
        <v>174</v>
      </c>
      <c r="AE2" s="254" t="s">
        <v>178</v>
      </c>
      <c r="AF2" s="254" t="s">
        <v>179</v>
      </c>
      <c r="AG2" s="254" t="s">
        <v>180</v>
      </c>
      <c r="AH2" s="254" t="s">
        <v>181</v>
      </c>
      <c r="AI2" s="254" t="s">
        <v>324</v>
      </c>
      <c r="AJ2" s="254" t="s">
        <v>325</v>
      </c>
      <c r="AK2" s="254" t="s">
        <v>326</v>
      </c>
      <c r="AL2" s="254" t="s">
        <v>327</v>
      </c>
      <c r="AM2" s="254" t="s">
        <v>329</v>
      </c>
      <c r="AN2" s="254" t="s">
        <v>330</v>
      </c>
      <c r="AO2" s="254" t="s">
        <v>331</v>
      </c>
      <c r="AP2" s="254" t="s">
        <v>332</v>
      </c>
      <c r="AQ2" s="254" t="s">
        <v>345</v>
      </c>
      <c r="AR2" s="254" t="s">
        <v>350</v>
      </c>
      <c r="AS2" s="254" t="s">
        <v>351</v>
      </c>
      <c r="AT2" s="254" t="s">
        <v>352</v>
      </c>
      <c r="AU2" s="254" t="s">
        <v>359</v>
      </c>
      <c r="AV2" s="254" t="s">
        <v>360</v>
      </c>
      <c r="AW2" s="254" t="s">
        <v>361</v>
      </c>
      <c r="AX2" s="254" t="s">
        <v>362</v>
      </c>
      <c r="AY2" s="254" t="s">
        <v>369</v>
      </c>
      <c r="AZ2" s="254" t="s">
        <v>371</v>
      </c>
      <c r="BA2" s="254" t="s">
        <v>372</v>
      </c>
      <c r="BB2" s="254" t="s">
        <v>373</v>
      </c>
      <c r="BC2" s="254" t="s">
        <v>374</v>
      </c>
      <c r="BD2" s="254" t="s">
        <v>375</v>
      </c>
      <c r="BE2" s="254" t="s">
        <v>378</v>
      </c>
      <c r="BF2" s="254" t="s">
        <v>379</v>
      </c>
      <c r="BG2" s="254" t="s">
        <v>444</v>
      </c>
      <c r="BH2" s="254" t="s">
        <v>449</v>
      </c>
      <c r="BI2" s="254" t="s">
        <v>450</v>
      </c>
      <c r="BJ2" s="254" t="s">
        <v>451</v>
      </c>
      <c r="BK2" s="254" t="s">
        <v>455</v>
      </c>
      <c r="BL2" s="254" t="s">
        <v>456</v>
      </c>
      <c r="BM2" s="254"/>
      <c r="BN2" s="254"/>
    </row>
    <row r="3" spans="2:68">
      <c r="B3" s="254" t="s">
        <v>462</v>
      </c>
      <c r="C3" s="70">
        <f>IS!L5</f>
        <v>0.22624694552249536</v>
      </c>
      <c r="D3" s="70">
        <f>IS!M5</f>
        <v>0.2654890587925125</v>
      </c>
      <c r="E3" s="70">
        <f>IS!N5</f>
        <v>0.19321278176863999</v>
      </c>
      <c r="F3" s="70">
        <f>IS!O5</f>
        <v>0.2352722772277227</v>
      </c>
      <c r="G3" s="70">
        <f>IS!Q5</f>
        <v>0.20067987340288362</v>
      </c>
      <c r="H3" s="70">
        <f>IS!R5</f>
        <v>0.1399999999999999</v>
      </c>
      <c r="I3" s="70">
        <f>IS!S5</f>
        <v>0.19275482665559474</v>
      </c>
      <c r="J3" s="70">
        <f>IS!T5</f>
        <v>0.19416892094980454</v>
      </c>
      <c r="K3" s="70">
        <f>IS!V5</f>
        <v>0.23489212144879423</v>
      </c>
      <c r="L3" s="70">
        <f>IS!W5</f>
        <v>0.27348318713450293</v>
      </c>
      <c r="M3" s="70">
        <f>IS!X5</f>
        <v>0.35140544774171101</v>
      </c>
      <c r="N3" s="70">
        <f>IS!Y5</f>
        <v>0.33014514640489967</v>
      </c>
      <c r="O3" s="70">
        <f>IS!AA5</f>
        <v>0.30713890426120649</v>
      </c>
      <c r="P3" s="70">
        <f>IS!AB5</f>
        <v>0.27868264332352721</v>
      </c>
      <c r="Q3" s="70">
        <f>IS!AC5</f>
        <v>0.30510657479554393</v>
      </c>
      <c r="R3" s="70">
        <f>IS!AD5</f>
        <v>0.41819099280938565</v>
      </c>
      <c r="S3" s="70">
        <f>IS!AF5</f>
        <v>0.43655497762187001</v>
      </c>
      <c r="T3" s="70">
        <f>IS!AG5</f>
        <v>0.43976207844677617</v>
      </c>
      <c r="U3" s="70">
        <f>IS!AH5</f>
        <v>0.33260966102531198</v>
      </c>
      <c r="V3" s="70">
        <f>IS!AI5</f>
        <v>0.2441291585127201</v>
      </c>
      <c r="W3" s="70">
        <f>IS!AK5</f>
        <v>0.2183816099696867</v>
      </c>
      <c r="X3" s="70">
        <f>IS!AL5</f>
        <v>0.21209759139449691</v>
      </c>
      <c r="Y3" s="70">
        <f>IS!AM5</f>
        <v>0.2035693127962086</v>
      </c>
      <c r="Z3" s="70">
        <f>IS!AN5</f>
        <v>0.26557752118113886</v>
      </c>
      <c r="AA3" s="70">
        <f>IS!AP5</f>
        <v>0.27751477245239986</v>
      </c>
      <c r="AB3" s="70">
        <f>IS!AQ5</f>
        <v>0.24906752411575561</v>
      </c>
      <c r="AC3" s="70">
        <f>IS!AR5</f>
        <v>0.24143235095059379</v>
      </c>
      <c r="AD3" s="70">
        <f>IS!AS5</f>
        <v>0.19620360431614037</v>
      </c>
      <c r="AE3" s="70">
        <f>IS!AU5</f>
        <v>0.23340546388964034</v>
      </c>
      <c r="AF3" s="70">
        <f>IS!AV5</f>
        <v>0.21894146115430169</v>
      </c>
      <c r="AG3" s="70">
        <f>IS!AW5</f>
        <v>0.22129156960896079</v>
      </c>
      <c r="AH3" s="70">
        <f>IS!AX5</f>
        <v>0.20574761499952765</v>
      </c>
      <c r="AI3" s="70">
        <f>IS!AZ5</f>
        <v>0.13888462466282148</v>
      </c>
      <c r="AJ3" s="70">
        <f>IS!BA5</f>
        <v>0.14641718231927525</v>
      </c>
      <c r="AK3" s="70">
        <f>IS!BB5</f>
        <v>0.13931499066634201</v>
      </c>
      <c r="AL3" s="70">
        <f>IS!BC5</f>
        <v>0.13981316464620752</v>
      </c>
      <c r="AM3" s="70">
        <f>IS!BE5</f>
        <v>0.13787260263421408</v>
      </c>
      <c r="AN3" s="70">
        <f>IS!BF5</f>
        <v>0.12539606513889923</v>
      </c>
      <c r="AO3" s="70">
        <f>IS!BG5</f>
        <v>0.11964381121994649</v>
      </c>
      <c r="AP3" s="70">
        <f>IS!BH5</f>
        <v>0.12008591065292107</v>
      </c>
      <c r="AQ3" s="70">
        <f>IS!BJ5</f>
        <v>0.13270831923102966</v>
      </c>
      <c r="AR3" s="70">
        <f>IS!BK5</f>
        <v>0.12175279501072178</v>
      </c>
      <c r="AS3" s="70">
        <f>IS!BL5</f>
        <v>0.12820512820512819</v>
      </c>
      <c r="AT3" s="70">
        <f>IS!BM5</f>
        <v>0.11572504563653374</v>
      </c>
      <c r="AU3" s="70">
        <f>IS!BO5</f>
        <v>0.10843517494845667</v>
      </c>
      <c r="AV3" s="70">
        <f>IS!BP5</f>
        <v>0.10278860044652638</v>
      </c>
      <c r="AW3" s="70">
        <f>IS!BQ5</f>
        <v>0.12165858335213176</v>
      </c>
      <c r="AX3" s="70">
        <f>IS!BR5</f>
        <v>0.14539480015948736</v>
      </c>
      <c r="AY3" s="70">
        <f>IS!BT5</f>
        <v>0.2143357774423118</v>
      </c>
      <c r="AZ3" s="70">
        <f>IS!BU5</f>
        <v>0.25096264538922641</v>
      </c>
      <c r="BA3" s="70">
        <f>IS!BV5</f>
        <v>0.23040084467740107</v>
      </c>
      <c r="BB3" s="70">
        <f>IS!BW5</f>
        <v>0.23344696787823493</v>
      </c>
      <c r="BC3" s="70">
        <f>IS!BY5</f>
        <v>0.16759162652340898</v>
      </c>
      <c r="BD3" s="70">
        <f>IS!BZ5</f>
        <v>0.1548461481504988</v>
      </c>
      <c r="BE3" s="70">
        <f>IS!CA5</f>
        <v>0.16957307916270792</v>
      </c>
      <c r="BF3" s="70">
        <f>IS!CB5</f>
        <v>0.18745377398886687</v>
      </c>
      <c r="BG3" s="70">
        <f>IS!CD5</f>
        <v>0.19654349624024414</v>
      </c>
      <c r="BH3" s="70">
        <f>IS!CE5</f>
        <v>0.19452636978145788</v>
      </c>
      <c r="BI3" s="70">
        <f>IS!CF5</f>
        <v>0.18495711266006332</v>
      </c>
      <c r="BJ3" s="70">
        <f>IS!CG5</f>
        <v>0.18806241702043969</v>
      </c>
      <c r="BK3" s="70">
        <f>IS!CI5</f>
        <v>0.18835605555025903</v>
      </c>
      <c r="BL3" s="70">
        <f>IS!CJ5</f>
        <v>0.17773892773892763</v>
      </c>
      <c r="BM3" s="70"/>
      <c r="BN3" s="70"/>
      <c r="BO3" s="70"/>
      <c r="BP3" s="70"/>
    </row>
    <row r="4" spans="2:68">
      <c r="B4" s="254" t="s">
        <v>463</v>
      </c>
      <c r="C4" s="70">
        <f>Metrics!L5</f>
        <v>5.0163132137031052E-2</v>
      </c>
      <c r="D4" s="70">
        <f>Metrics!M5</f>
        <v>7.8591726898089354E-2</v>
      </c>
      <c r="E4" s="70">
        <f>Metrics!N5</f>
        <v>9.0302003388816887E-2</v>
      </c>
      <c r="F4" s="70">
        <f>Metrics!O5</f>
        <v>9.2000793965859362E-2</v>
      </c>
      <c r="G4" s="70">
        <f>Metrics!Q5</f>
        <v>0.10601941747572807</v>
      </c>
      <c r="H4" s="70">
        <f>Metrics!R5</f>
        <v>0.10000000000000009</v>
      </c>
      <c r="I4" s="70">
        <f>Metrics!S5</f>
        <v>0.1076880884907212</v>
      </c>
      <c r="J4" s="70">
        <f>Metrics!T5</f>
        <v>0.12696537308006905</v>
      </c>
      <c r="K4" s="70">
        <f>Metrics!V5</f>
        <v>0.1446629213483146</v>
      </c>
      <c r="L4" s="70">
        <f>Metrics!W5</f>
        <v>0.29820399864452729</v>
      </c>
      <c r="M4" s="70">
        <f>Metrics!X5</f>
        <v>0.31187587686721141</v>
      </c>
      <c r="N4" s="70">
        <f>Metrics!Y5</f>
        <v>0.30072580645161295</v>
      </c>
      <c r="O4" s="70">
        <f>Metrics!AA5</f>
        <v>0.26096625766871173</v>
      </c>
      <c r="P4" s="70">
        <f>Metrics!AB5</f>
        <v>0.11165492038632219</v>
      </c>
      <c r="Q4" s="70">
        <f>Metrics!AC5</f>
        <v>0.11493457473578261</v>
      </c>
      <c r="R4" s="70">
        <f>Metrics!AD5</f>
        <v>0.11457622915245835</v>
      </c>
      <c r="S4" s="70">
        <f>Metrics!AF5</f>
        <v>0.11889557866569356</v>
      </c>
      <c r="T4" s="70">
        <f>Metrics!AG5</f>
        <v>0.10777810390372755</v>
      </c>
      <c r="U4" s="70">
        <f>Metrics!AH5</f>
        <v>9.3889296394515709E-2</v>
      </c>
      <c r="V4" s="70">
        <f>Metrics!AI5</f>
        <v>9.5288424097457858E-2</v>
      </c>
      <c r="W4" s="70">
        <f>Metrics!AK5</f>
        <v>8.7944341776279966E-2</v>
      </c>
      <c r="X4" s="70">
        <f>Metrics!AL5</f>
        <v>9.9305813152456235E-2</v>
      </c>
      <c r="Y4" s="70">
        <f>Metrics!AM5</f>
        <v>9.4444731005312921E-2</v>
      </c>
      <c r="Z4" s="70">
        <f>Metrics!AN5</f>
        <v>0.11645505332656181</v>
      </c>
      <c r="AA4" s="70">
        <f>Metrics!AP5</f>
        <v>0.12090327737809758</v>
      </c>
      <c r="AB4" s="70">
        <f>Metrics!AQ5</f>
        <v>9.6456977584960191E-2</v>
      </c>
      <c r="AC4" s="70">
        <f>Metrics!AR5</f>
        <v>8.8321236685832805E-2</v>
      </c>
      <c r="AD4" s="70">
        <f>Metrics!AS5</f>
        <v>6.4913797024973796E-2</v>
      </c>
      <c r="AE4" s="70">
        <f>Metrics!AU5</f>
        <v>6.155286147263328E-2</v>
      </c>
      <c r="AF4" s="70">
        <f>Metrics!AV5</f>
        <v>6.3307834344500158E-2</v>
      </c>
      <c r="AG4" s="70">
        <f>Metrics!AW5</f>
        <v>6.4567815693746811E-2</v>
      </c>
      <c r="AH4" s="70">
        <f>Metrics!AX5</f>
        <v>5.9589918838103273E-2</v>
      </c>
      <c r="AI4" s="70">
        <f>Metrics!AZ5</f>
        <v>4.9712390309442744E-2</v>
      </c>
      <c r="AJ4" s="70">
        <f>Metrics!BA5</f>
        <v>3.9981807657322399E-2</v>
      </c>
      <c r="AK4" s="70">
        <f>Metrics!BB5</f>
        <v>3.1566529715657099E-2</v>
      </c>
      <c r="AL4" s="70">
        <f>Metrics!BC5</f>
        <v>3.81374722838137E-2</v>
      </c>
      <c r="AM4" s="70">
        <f>Metrics!BE5</f>
        <v>3.5478580856765696E-2</v>
      </c>
      <c r="AN4" s="70">
        <f>Metrics!BF5</f>
        <v>4.2102333717648044E-2</v>
      </c>
      <c r="AO4" s="70">
        <f>Metrics!BG5</f>
        <v>5.9544934737174149E-2</v>
      </c>
      <c r="AP4" s="70">
        <f>Metrics!BH5</f>
        <v>0.13813055803658103</v>
      </c>
      <c r="AQ4" s="70">
        <f>Metrics!BJ5</f>
        <v>0.13821075401730543</v>
      </c>
      <c r="AR4" s="70">
        <f>Metrics!BK5</f>
        <v>0.14027926140698921</v>
      </c>
      <c r="AS4" s="70">
        <f>Metrics!BL5</f>
        <v>0.13703524507797082</v>
      </c>
      <c r="AT4" s="70">
        <f>Metrics!BM5</f>
        <v>4.9918111095946571E-2</v>
      </c>
      <c r="AU4" s="70">
        <f>Metrics!BO5</f>
        <v>5.2060001357496777E-2</v>
      </c>
      <c r="AV4" s="70">
        <f>Metrics!BP5</f>
        <v>5.2828799892937095E-2</v>
      </c>
      <c r="AW4" s="70">
        <f>Metrics!BQ5</f>
        <v>4.8247193217897832E-2</v>
      </c>
      <c r="AX4" s="70">
        <f>Metrics!BR5</f>
        <v>7.7345552630723624E-2</v>
      </c>
      <c r="AY4" s="70">
        <f>Metrics!BT5</f>
        <v>9.1935483870967838E-2</v>
      </c>
      <c r="AZ4" s="70">
        <f>Metrics!BU5</f>
        <v>9.794076522181272E-2</v>
      </c>
      <c r="BA4" s="70">
        <f>Metrics!BV5</f>
        <v>0.10538641686182659</v>
      </c>
      <c r="BB4" s="70">
        <f>Metrics!BW5</f>
        <v>0.13118759615094566</v>
      </c>
      <c r="BC4" s="70">
        <f>Metrics!BY5</f>
        <v>0.11964549483013287</v>
      </c>
      <c r="BD4" s="70">
        <f>Metrics!BZ5</f>
        <v>0.11866859623733728</v>
      </c>
      <c r="BE4" s="70">
        <f>Metrics!CA5</f>
        <v>0.11723163841807915</v>
      </c>
      <c r="BF4" s="70">
        <f>Metrics!CB5</f>
        <v>0.12799999999999989</v>
      </c>
      <c r="BG4" s="70">
        <f>Metrics!CD5</f>
        <v>0.12796833773087068</v>
      </c>
      <c r="BH4" s="70">
        <f>Metrics!CE5</f>
        <v>0.11254851228978002</v>
      </c>
      <c r="BI4" s="70">
        <f>Metrics!CF5</f>
        <v>0.12515802781289498</v>
      </c>
      <c r="BJ4" s="70">
        <f>Metrics!CG5</f>
        <v>5.9101654846335672E-2</v>
      </c>
      <c r="BK4" s="70">
        <f>Metrics!CI5</f>
        <v>4.7953216374269081E-2</v>
      </c>
      <c r="BL4" s="70">
        <f>Metrics!CJ5</f>
        <v>4.5348837209302273E-2</v>
      </c>
      <c r="BM4" s="70"/>
      <c r="BN4" s="70"/>
      <c r="BO4" s="70"/>
      <c r="BP4" s="70"/>
    </row>
    <row r="5" spans="2:68">
      <c r="B5" s="254" t="s">
        <v>464</v>
      </c>
      <c r="C5" s="70">
        <f>Metrics!L26</f>
        <v>0.125</v>
      </c>
      <c r="D5" s="70">
        <f>Metrics!M26</f>
        <v>0.10432074737251851</v>
      </c>
      <c r="E5" s="70">
        <f>Metrics!N26</f>
        <v>6.9715971966064272E-2</v>
      </c>
      <c r="F5" s="70">
        <f>Metrics!O26</f>
        <v>0.11119430924747276</v>
      </c>
      <c r="G5" s="70">
        <f>Metrics!Q26</f>
        <v>0.10669610007358354</v>
      </c>
      <c r="H5" s="70">
        <f>Metrics!R26</f>
        <v>0.10997532604864291</v>
      </c>
      <c r="I5" s="70">
        <f>Metrics!S26</f>
        <v>0.11241379310344835</v>
      </c>
      <c r="J5" s="70">
        <f>Metrics!T26</f>
        <v>9.4676549865229109E-2</v>
      </c>
      <c r="K5" s="70">
        <f>Metrics!V26</f>
        <v>9.4082446808510634E-2</v>
      </c>
      <c r="L5" s="70">
        <f>Metrics!W26</f>
        <v>5.4620514449031488E-2</v>
      </c>
      <c r="M5" s="70">
        <f>Metrics!X26</f>
        <v>4.6497210167389946E-2</v>
      </c>
      <c r="N5" s="70">
        <f>Metrics!Y26</f>
        <v>5.0169282856263431E-2</v>
      </c>
      <c r="O5" s="70">
        <f>Metrics!AA26</f>
        <v>7.2318444241871838E-2</v>
      </c>
      <c r="P5" s="70">
        <f>Metrics!AB26</f>
        <v>0.10448660042155966</v>
      </c>
      <c r="Q5" s="70">
        <f>Metrics!AC26</f>
        <v>0.21475118483412325</v>
      </c>
      <c r="R5" s="70">
        <f>Metrics!AD26</f>
        <v>0.31858147713950768</v>
      </c>
      <c r="S5" s="70">
        <f>Metrics!AF26</f>
        <v>0.3131198639841315</v>
      </c>
      <c r="T5" s="70">
        <f>Metrics!AG26</f>
        <v>0.32742639040348953</v>
      </c>
      <c r="U5" s="70">
        <f>Metrics!AH26</f>
        <v>0.22360399902462813</v>
      </c>
      <c r="V5" s="70">
        <f>Metrics!AI26</f>
        <v>0.13380751278061798</v>
      </c>
      <c r="W5" s="70">
        <f>Metrics!AK26</f>
        <v>0.12645662494605103</v>
      </c>
      <c r="X5" s="70">
        <f>Metrics!AL26</f>
        <v>0.12281782706921329</v>
      </c>
      <c r="Y5" s="70">
        <f>Metrics!AM26</f>
        <v>0.11518533280191301</v>
      </c>
      <c r="Z5" s="70">
        <f>Metrics!AN26</f>
        <v>0.16094883356204659</v>
      </c>
      <c r="AA5" s="70">
        <f>Metrics!AP26</f>
        <v>0.15191570881226046</v>
      </c>
      <c r="AB5" s="70">
        <f>Metrics!AQ26</f>
        <v>0.13865008231205422</v>
      </c>
      <c r="AC5" s="70">
        <f>Metrics!AR26</f>
        <v>0.15010721944245886</v>
      </c>
      <c r="AD5" s="70">
        <f>Metrics!AS26</f>
        <v>0.11972306653157716</v>
      </c>
      <c r="AE5" s="70">
        <f>Metrics!AU26</f>
        <v>0.17295858972226852</v>
      </c>
      <c r="AF5" s="70">
        <f>Metrics!AV26</f>
        <v>0.16032128514056221</v>
      </c>
      <c r="AG5" s="70">
        <f>Metrics!AW26</f>
        <v>0.14962709757613424</v>
      </c>
      <c r="AH5" s="70">
        <f>Metrics!AX26</f>
        <v>0.14763987332227413</v>
      </c>
      <c r="AI5" s="70">
        <f>Metrics!AZ26</f>
        <v>9.2726499361973636E-2</v>
      </c>
      <c r="AJ5" s="70">
        <f>Metrics!BA26</f>
        <v>0.10660390419493293</v>
      </c>
      <c r="AK5" s="70">
        <f>Metrics!BB26</f>
        <v>0.11082578726854986</v>
      </c>
      <c r="AL5" s="70">
        <f>Metrics!BC26</f>
        <v>0.10919842312746386</v>
      </c>
      <c r="AM5" s="70">
        <f>Metrics!BE26</f>
        <v>0.10276372129233158</v>
      </c>
      <c r="AN5" s="70">
        <f>Metrics!BF26</f>
        <v>8.4073564368822629E-2</v>
      </c>
      <c r="AO5" s="70">
        <f>Metrics!BG26</f>
        <v>7.5313298454799948E-2</v>
      </c>
      <c r="AP5" s="70">
        <f>Metrics!BH26</f>
        <v>2.4404691387276412E-2</v>
      </c>
      <c r="AQ5" s="70">
        <f>Metrics!BJ26</f>
        <v>4.9417578538650808E-3</v>
      </c>
      <c r="AR5" s="70">
        <f>Metrics!BK26</f>
        <v>1.038661281015596E-3</v>
      </c>
      <c r="AS5" s="70">
        <f>Metrics!BL26</f>
        <v>-5.0916496945010437E-3</v>
      </c>
      <c r="AT5" s="70">
        <f>Metrics!BM26</f>
        <v>3.3190701977564574E-2</v>
      </c>
      <c r="AU5" s="70">
        <f>Metrics!BO26</f>
        <v>6.1819459079732964E-2</v>
      </c>
      <c r="AV5" s="70">
        <f>Metrics!BP26</f>
        <v>5.1187456767350703E-2</v>
      </c>
      <c r="AW5" s="70">
        <f>Metrics!BQ26</f>
        <v>7.733424314795867E-2</v>
      </c>
      <c r="AX5" s="70">
        <f>Metrics!BR26</f>
        <v>7.9583613163196842E-2</v>
      </c>
      <c r="AY5" s="70">
        <f>Metrics!BT26</f>
        <v>9.1630830301025368E-2</v>
      </c>
      <c r="AZ5" s="70">
        <f>Metrics!BU26</f>
        <v>0.11318271550778669</v>
      </c>
      <c r="BA5" s="70">
        <f>Metrics!BV26</f>
        <v>9.2578908476723232E-2</v>
      </c>
      <c r="BB5" s="70">
        <f>Metrics!BW26</f>
        <v>7.827890098496626E-2</v>
      </c>
      <c r="BC5" s="70">
        <f>Metrics!BY26</f>
        <v>4.5454545454545414E-2</v>
      </c>
      <c r="BD5" s="70">
        <f>Metrics!BZ26</f>
        <v>3.9408866995073843E-2</v>
      </c>
      <c r="BE5" s="70">
        <f>Metrics!CA26</f>
        <v>5.3140096618357502E-2</v>
      </c>
      <c r="BF5" s="70">
        <f>Metrics!CB26</f>
        <v>6.7307692307692291E-2</v>
      </c>
      <c r="BG5" s="70">
        <f>Metrics!CD26</f>
        <v>6.7632850241545972E-2</v>
      </c>
      <c r="BH5" s="70">
        <f>Metrics!CE26</f>
        <v>7.5829383886255819E-2</v>
      </c>
      <c r="BI5" s="70">
        <f>Metrics!CF26</f>
        <v>6.8807339449541205E-2</v>
      </c>
      <c r="BJ5" s="70">
        <f>Metrics!CG26</f>
        <v>9.4594594594594517E-2</v>
      </c>
      <c r="BK5" s="70">
        <f>Metrics!CI26</f>
        <v>0.12669683257918551</v>
      </c>
      <c r="BL5" s="70">
        <f>Metrics!CJ26</f>
        <v>0.13215859030836996</v>
      </c>
      <c r="BM5" s="70"/>
      <c r="BN5" s="70"/>
      <c r="BO5" s="70"/>
      <c r="BP5" s="7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0941651"><![CDATA[{"SPSC^P_PRICE(NOW)":115.28}]]></FdsFormulaCache>
</file>

<file path=customXml/itemProps1.xml><?xml version="1.0" encoding="utf-8"?>
<ds:datastoreItem xmlns:ds="http://schemas.openxmlformats.org/officeDocument/2006/customXml" ds:itemID="{BD50AFBC-7DEF-4182-A0F9-B3FC71F3519C}">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Comparison</vt:lpstr>
      <vt:lpstr>Guidance</vt:lpstr>
      <vt:lpstr>IS</vt:lpstr>
      <vt:lpstr>BS</vt:lpstr>
      <vt:lpstr>CF</vt:lpstr>
      <vt:lpstr>Metrics</vt:lpstr>
      <vt:lpstr>Org customer adds</vt:lpstr>
      <vt:lpstr>Sheet4</vt:lpstr>
      <vt:lpstr>Investor Day</vt:lpstr>
      <vt:lpstr>Chart</vt:lpstr>
      <vt:lpstr>Estimates</vt:lpstr>
      <vt:lpstr>BM Upload</vt:lpstr>
      <vt:lpstr>V</vt:lpstr>
      <vt:lpstr>Sheet2</vt:lpstr>
      <vt:lpstr>Sheet1</vt:lpstr>
      <vt:lpstr>Charts</vt:lpstr>
      <vt:lpstr>Sheet3</vt:lpstr>
      <vt:lpstr>Guidance!Print_Area</vt:lpstr>
      <vt:lpstr>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srberg</dc:creator>
  <cp:lastModifiedBy>Yuuji Anderson</cp:lastModifiedBy>
  <cp:lastPrinted>2026-02-13T00:13:41Z</cp:lastPrinted>
  <dcterms:created xsi:type="dcterms:W3CDTF">2010-06-10T18:36:21Z</dcterms:created>
  <dcterms:modified xsi:type="dcterms:W3CDTF">2026-03-12T22:41:37Z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c62055e9-48ea-4d02-993c-63cf14e4db25</vt:lpwstr>
  </property>
</Properties>
</file>